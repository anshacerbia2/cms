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660" windowWidth="30240" windowHeight="17685" firstSheet="5" activeTab="16"/>
  </bookViews>
  <sheets>
    <sheet name="BCA Sho" sheetId="1" r:id="rId1"/>
    <sheet name="BCA Juanda" sheetId="19" r:id="rId2"/>
    <sheet name="Mandiri MP" sheetId="2" r:id="rId3"/>
    <sheet name="BRI Sho" sheetId="5" r:id="rId4"/>
    <sheet name="BTN" sheetId="6" r:id="rId5"/>
    <sheet name="Raya" sheetId="23" r:id="rId6"/>
    <sheet name="BRI Tebet" sheetId="24" r:id="rId7"/>
    <sheet name="Mandiri PM" sheetId="32" r:id="rId8"/>
    <sheet name="BNI" sheetId="38" r:id="rId9"/>
    <sheet name="Cash IDR" sheetId="14" r:id="rId10"/>
    <sheet name="Non CB" sheetId="3" r:id="rId11"/>
    <sheet name="List Invoice" sheetId="43" r:id="rId12"/>
    <sheet name="Deprec 2025" sheetId="10" r:id="rId13"/>
    <sheet name="AP" sheetId="44" r:id="rId14"/>
    <sheet name="AR" sheetId="36" r:id="rId15"/>
    <sheet name="PPN In and Out" sheetId="51" r:id="rId16"/>
    <sheet name="Inter Accounts" sheetId="11" r:id="rId17"/>
    <sheet name="PL" sheetId="12" r:id="rId18"/>
    <sheet name="Balance Sheet" sheetId="13" r:id="rId19"/>
  </sheets>
  <definedNames>
    <definedName name="_xlnm._FilterDatabase" localSheetId="13" hidden="1">AP!$A$3:$S$250</definedName>
    <definedName name="_xlnm._FilterDatabase" localSheetId="14" hidden="1">AR!$A$4:$P$996</definedName>
    <definedName name="_xlnm._FilterDatabase" localSheetId="1" hidden="1">'BCA Juanda'!$A$4:$I$1344</definedName>
    <definedName name="_xlnm._FilterDatabase" localSheetId="0" hidden="1">'BCA Sho'!$A$4:$I$660</definedName>
    <definedName name="_xlnm._FilterDatabase" localSheetId="8" hidden="1">BNI!$A$4:$I$32</definedName>
    <definedName name="_xlnm._FilterDatabase" localSheetId="3" hidden="1">'BRI Sho'!$A$4:$I$106</definedName>
    <definedName name="_xlnm._FilterDatabase" localSheetId="6" hidden="1">'BRI Tebet'!$A$4:$I$114</definedName>
    <definedName name="_xlnm._FilterDatabase" localSheetId="4" hidden="1">BTN!$A$4:$I$98</definedName>
    <definedName name="_xlnm._FilterDatabase" localSheetId="9" hidden="1">'Cash IDR'!$A$4:$I$630</definedName>
    <definedName name="_xlnm._FilterDatabase" localSheetId="11" hidden="1">'List Invoice'!$A$4:$AD$302</definedName>
    <definedName name="_xlnm._FilterDatabase" localSheetId="2" hidden="1">'Mandiri MP'!$A$4:$I$1429</definedName>
    <definedName name="_xlnm._FilterDatabase" localSheetId="7" hidden="1">'Mandiri PM'!$A$4:$I$245</definedName>
    <definedName name="_xlnm._FilterDatabase" localSheetId="10" hidden="1">'Non CB'!$A$4:$J$3301</definedName>
    <definedName name="_xlnm._FilterDatabase" localSheetId="15" hidden="1">'PPN In and Out'!$A$4:$S$360</definedName>
    <definedName name="_xlnm._FilterDatabase" localSheetId="5" hidden="1">Raya!$A$4:$G$4</definedName>
    <definedName name="_xlnm.Print_Area" localSheetId="13">AP!$A$2:$S$212</definedName>
    <definedName name="_xlnm.Print_Area" localSheetId="14">AR!$B$3:$P$999</definedName>
    <definedName name="_xlnm.Print_Area" localSheetId="18">'Balance Sheet'!$B$2:$D$78</definedName>
    <definedName name="_xlnm.Print_Area" localSheetId="1">'BCA Juanda'!$A$1:$N$4</definedName>
    <definedName name="_xlnm.Print_Area" localSheetId="12">'Deprec 2025'!$A$2:$U$107</definedName>
    <definedName name="_xlnm.Print_Area" localSheetId="17">PL!$A$189:$Q$245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2" i="11" l="1"/>
  <c r="D72" i="13" l="1"/>
  <c r="C3301" i="3"/>
  <c r="D3298" i="3"/>
  <c r="C3299" i="3" s="1"/>
  <c r="S87" i="44"/>
  <c r="P993" i="36" l="1"/>
  <c r="S250" i="44" l="1"/>
  <c r="S249" i="44"/>
  <c r="S248" i="44"/>
  <c r="S247" i="44"/>
  <c r="S246" i="44"/>
  <c r="S245" i="44"/>
  <c r="S244" i="44"/>
  <c r="S243" i="44"/>
  <c r="S242" i="44"/>
  <c r="S241" i="44"/>
  <c r="S240" i="44"/>
  <c r="S239" i="44"/>
  <c r="S238" i="44"/>
  <c r="S237" i="44"/>
  <c r="S236" i="44"/>
  <c r="S235" i="44"/>
  <c r="S234" i="44"/>
  <c r="S233" i="44"/>
  <c r="S232" i="44"/>
  <c r="S231" i="44"/>
  <c r="S230" i="44"/>
  <c r="S229" i="44"/>
  <c r="S228" i="44"/>
  <c r="S227" i="44"/>
  <c r="S226" i="44"/>
  <c r="S225" i="44"/>
  <c r="S224" i="44"/>
  <c r="S223" i="44"/>
  <c r="S222" i="44"/>
  <c r="S221" i="44"/>
  <c r="S220" i="44"/>
  <c r="S219" i="44"/>
  <c r="S218" i="44"/>
  <c r="S217" i="44"/>
  <c r="S216" i="44"/>
  <c r="S215" i="44"/>
  <c r="S214" i="44"/>
  <c r="S213" i="44"/>
  <c r="S47" i="44" l="1"/>
  <c r="P985" i="36" l="1"/>
  <c r="D3255" i="3" l="1"/>
  <c r="S43" i="44"/>
  <c r="I357" i="51"/>
  <c r="K357" i="51" s="1"/>
  <c r="I356" i="51"/>
  <c r="K356" i="51" s="1"/>
  <c r="I353" i="51"/>
  <c r="J353" i="51" s="1"/>
  <c r="K353" i="51" s="1"/>
  <c r="I352" i="51"/>
  <c r="J352" i="51" s="1"/>
  <c r="K352" i="51" s="1"/>
  <c r="I351" i="51"/>
  <c r="J351" i="51" s="1"/>
  <c r="K351" i="51" s="1"/>
  <c r="I349" i="51"/>
  <c r="K349" i="51" s="1"/>
  <c r="I348" i="51"/>
  <c r="K348" i="51" s="1"/>
  <c r="I347" i="51"/>
  <c r="K347" i="51" s="1"/>
  <c r="I346" i="51"/>
  <c r="K346" i="51" s="1"/>
  <c r="I343" i="51"/>
  <c r="K343" i="51" s="1"/>
  <c r="I342" i="51"/>
  <c r="K342" i="51" s="1"/>
  <c r="I341" i="51"/>
  <c r="K341" i="51" s="1"/>
  <c r="I334" i="51"/>
  <c r="J334" i="51" s="1"/>
  <c r="K334" i="51" s="1"/>
  <c r="I333" i="51"/>
  <c r="J333" i="51" s="1"/>
  <c r="K333" i="51" s="1"/>
  <c r="I331" i="51"/>
  <c r="K331" i="51" s="1"/>
  <c r="I330" i="51"/>
  <c r="J330" i="51" s="1"/>
  <c r="K330" i="51" s="1"/>
  <c r="I329" i="51"/>
  <c r="J329" i="51" s="1"/>
  <c r="K329" i="51" s="1"/>
  <c r="I328" i="51"/>
  <c r="J328" i="51" s="1"/>
  <c r="K328" i="51" s="1"/>
  <c r="I322" i="51"/>
  <c r="J322" i="51" s="1"/>
  <c r="K322" i="51" s="1"/>
  <c r="I321" i="51"/>
  <c r="J321" i="51" s="1"/>
  <c r="K321" i="51" s="1"/>
  <c r="I320" i="51"/>
  <c r="J320" i="51" s="1"/>
  <c r="K320" i="51" s="1"/>
  <c r="I318" i="51"/>
  <c r="J318" i="51" s="1"/>
  <c r="K318" i="51" s="1"/>
  <c r="I317" i="51"/>
  <c r="J317" i="51" s="1"/>
  <c r="K317" i="51" s="1"/>
  <c r="I306" i="51"/>
  <c r="J306" i="51" s="1"/>
  <c r="K306" i="51" s="1"/>
  <c r="I303" i="51"/>
  <c r="J303" i="51" s="1"/>
  <c r="K303" i="51" s="1"/>
  <c r="I281" i="51"/>
  <c r="J281" i="51" s="1"/>
  <c r="K281" i="51" s="1"/>
  <c r="I280" i="51"/>
  <c r="J280" i="51" s="1"/>
  <c r="K280" i="51" s="1"/>
  <c r="I279" i="51"/>
  <c r="J279" i="51" s="1"/>
  <c r="I277" i="51"/>
  <c r="J277" i="51" s="1"/>
  <c r="K277" i="51" s="1"/>
  <c r="I273" i="51"/>
  <c r="J273" i="51" s="1"/>
  <c r="K273" i="51" s="1"/>
  <c r="I272" i="51"/>
  <c r="J272" i="51" s="1"/>
  <c r="K272" i="51" s="1"/>
  <c r="I271" i="51"/>
  <c r="J271" i="51" s="1"/>
  <c r="K271" i="51" s="1"/>
  <c r="I261" i="51"/>
  <c r="J261" i="51" s="1"/>
  <c r="K261" i="51" s="1"/>
  <c r="I259" i="51"/>
  <c r="J259" i="51" s="1"/>
  <c r="K259" i="51" s="1"/>
  <c r="I245" i="51"/>
  <c r="J245" i="51" s="1"/>
  <c r="K245" i="51" s="1"/>
  <c r="I242" i="51"/>
  <c r="J242" i="51" s="1"/>
  <c r="K242" i="51" s="1"/>
  <c r="I234" i="51"/>
  <c r="J234" i="51" s="1"/>
  <c r="K234" i="51" s="1"/>
  <c r="I193" i="51"/>
  <c r="J193" i="51" s="1"/>
  <c r="K193" i="51" s="1"/>
  <c r="I192" i="51"/>
  <c r="J192" i="51" s="1"/>
  <c r="K192" i="51" s="1"/>
  <c r="I183" i="51"/>
  <c r="J183" i="51" s="1"/>
  <c r="K183" i="51" s="1"/>
  <c r="I182" i="51"/>
  <c r="J182" i="51" s="1"/>
  <c r="K182" i="51" s="1"/>
  <c r="I166" i="51"/>
  <c r="J166" i="51" s="1"/>
  <c r="K166" i="51" s="1"/>
  <c r="I164" i="51"/>
  <c r="J164" i="51" s="1"/>
  <c r="K164" i="51" s="1"/>
  <c r="I162" i="51"/>
  <c r="J162" i="51" s="1"/>
  <c r="K162" i="51" s="1"/>
  <c r="I159" i="51"/>
  <c r="J159" i="51" s="1"/>
  <c r="K159" i="51" s="1"/>
  <c r="I154" i="51"/>
  <c r="J154" i="51" s="1"/>
  <c r="K154" i="51" s="1"/>
  <c r="I153" i="51"/>
  <c r="J153" i="51" s="1"/>
  <c r="K153" i="51" s="1"/>
  <c r="I152" i="51"/>
  <c r="J152" i="51" s="1"/>
  <c r="K152" i="51" s="1"/>
  <c r="I151" i="51"/>
  <c r="J151" i="51" s="1"/>
  <c r="K151" i="51" s="1"/>
  <c r="I122" i="51"/>
  <c r="J122" i="51" s="1"/>
  <c r="K122" i="51" s="1"/>
  <c r="I121" i="51"/>
  <c r="J121" i="51" s="1"/>
  <c r="K121" i="51" s="1"/>
  <c r="I108" i="51"/>
  <c r="J108" i="51" s="1"/>
  <c r="K108" i="51" s="1"/>
  <c r="I105" i="51"/>
  <c r="J105" i="51" s="1"/>
  <c r="K105" i="51" s="1"/>
  <c r="I104" i="51"/>
  <c r="J104" i="51" s="1"/>
  <c r="K104" i="51" s="1"/>
  <c r="I100" i="51"/>
  <c r="J100" i="51" s="1"/>
  <c r="K100" i="51" s="1"/>
  <c r="I99" i="51"/>
  <c r="J99" i="51" s="1"/>
  <c r="K99" i="51" s="1"/>
  <c r="I98" i="51"/>
  <c r="J98" i="51" s="1"/>
  <c r="K98" i="51" s="1"/>
  <c r="I95" i="51"/>
  <c r="J95" i="51" s="1"/>
  <c r="K95" i="51" s="1"/>
  <c r="I94" i="51"/>
  <c r="J94" i="51" s="1"/>
  <c r="K94" i="51" s="1"/>
  <c r="I93" i="51"/>
  <c r="J93" i="51" s="1"/>
  <c r="K93" i="51" s="1"/>
  <c r="I76" i="51"/>
  <c r="J76" i="51" s="1"/>
  <c r="K76" i="51" s="1"/>
  <c r="I74" i="51"/>
  <c r="J74" i="51" s="1"/>
  <c r="K74" i="51" s="1"/>
  <c r="I73" i="51"/>
  <c r="J73" i="51" s="1"/>
  <c r="K73" i="51" s="1"/>
  <c r="I72" i="51"/>
  <c r="J72" i="51" s="1"/>
  <c r="K72" i="51" s="1"/>
  <c r="I71" i="51"/>
  <c r="J71" i="51" s="1"/>
  <c r="K71" i="51" s="1"/>
  <c r="I70" i="51"/>
  <c r="J70" i="51" s="1"/>
  <c r="K70" i="51" s="1"/>
  <c r="I69" i="51"/>
  <c r="J69" i="51" s="1"/>
  <c r="K69" i="51" s="1"/>
  <c r="I68" i="51"/>
  <c r="J68" i="51" s="1"/>
  <c r="K68" i="51" s="1"/>
  <c r="I67" i="51"/>
  <c r="K67" i="51" s="1"/>
  <c r="I66" i="51"/>
  <c r="J66" i="51" s="1"/>
  <c r="K66" i="51" s="1"/>
  <c r="I65" i="51"/>
  <c r="J65" i="51" s="1"/>
  <c r="K65" i="51" s="1"/>
  <c r="I64" i="51"/>
  <c r="J64" i="51" s="1"/>
  <c r="K64" i="51" s="1"/>
  <c r="I63" i="51"/>
  <c r="J63" i="51" s="1"/>
  <c r="K63" i="51" s="1"/>
  <c r="I62" i="51"/>
  <c r="J62" i="51" s="1"/>
  <c r="K62" i="51" s="1"/>
  <c r="I61" i="51"/>
  <c r="J61" i="51" s="1"/>
  <c r="K61" i="51" s="1"/>
  <c r="I60" i="51"/>
  <c r="J60" i="51" s="1"/>
  <c r="K60" i="51" s="1"/>
  <c r="I59" i="51"/>
  <c r="J59" i="51" s="1"/>
  <c r="K59" i="51" s="1"/>
  <c r="I58" i="51"/>
  <c r="J58" i="51" s="1"/>
  <c r="K58" i="51" s="1"/>
  <c r="I57" i="51"/>
  <c r="J57" i="51" s="1"/>
  <c r="K57" i="51" s="1"/>
  <c r="I56" i="51"/>
  <c r="J56" i="51" s="1"/>
  <c r="K56" i="51" s="1"/>
  <c r="I55" i="51"/>
  <c r="J55" i="51" s="1"/>
  <c r="K55" i="51" s="1"/>
  <c r="I54" i="51"/>
  <c r="J54" i="51" s="1"/>
  <c r="K54" i="51" s="1"/>
  <c r="I53" i="51"/>
  <c r="J53" i="51" s="1"/>
  <c r="K53" i="51" s="1"/>
  <c r="I52" i="51"/>
  <c r="J52" i="51" s="1"/>
  <c r="K52" i="51" s="1"/>
  <c r="I51" i="51"/>
  <c r="J51" i="51" s="1"/>
  <c r="K51" i="51" s="1"/>
  <c r="I50" i="51"/>
  <c r="J50" i="51" s="1"/>
  <c r="K50" i="51" s="1"/>
  <c r="I49" i="51"/>
  <c r="J49" i="51" s="1"/>
  <c r="K49" i="51" s="1"/>
  <c r="I48" i="51"/>
  <c r="J48" i="51" s="1"/>
  <c r="K48" i="51" s="1"/>
  <c r="I47" i="51"/>
  <c r="K47" i="51" s="1"/>
  <c r="I46" i="51"/>
  <c r="J46" i="51" s="1"/>
  <c r="K46" i="51" s="1"/>
  <c r="I45" i="51"/>
  <c r="J45" i="51" s="1"/>
  <c r="K45" i="51" s="1"/>
  <c r="I44" i="51"/>
  <c r="J44" i="51" s="1"/>
  <c r="K44" i="51" s="1"/>
  <c r="I31" i="51"/>
  <c r="J31" i="51" s="1"/>
  <c r="K31" i="51" s="1"/>
  <c r="Q252" i="44"/>
  <c r="N998" i="36"/>
  <c r="K279" i="51" l="1"/>
  <c r="O5" i="51"/>
  <c r="O6" i="51" s="1"/>
  <c r="O7" i="51" s="1"/>
  <c r="O8" i="51" s="1"/>
  <c r="O9" i="51" s="1"/>
  <c r="O10" i="51" s="1"/>
  <c r="O11" i="51" s="1"/>
  <c r="O12" i="51" s="1"/>
  <c r="O13" i="51" s="1"/>
  <c r="O14" i="51" s="1"/>
  <c r="O15" i="51" s="1"/>
  <c r="O16" i="51" s="1"/>
  <c r="O17" i="51" s="1"/>
  <c r="O18" i="51" s="1"/>
  <c r="O19" i="51" s="1"/>
  <c r="O20" i="51" s="1"/>
  <c r="N360" i="51"/>
  <c r="S45" i="44"/>
  <c r="K360" i="51"/>
  <c r="I359" i="51"/>
  <c r="K359" i="51" s="1"/>
  <c r="I358" i="51"/>
  <c r="K358" i="51" s="1"/>
  <c r="M355" i="51"/>
  <c r="K355" i="51"/>
  <c r="M354" i="51"/>
  <c r="K354" i="51"/>
  <c r="M350" i="51"/>
  <c r="K350" i="51"/>
  <c r="I345" i="51"/>
  <c r="K345" i="51" s="1"/>
  <c r="M344" i="51"/>
  <c r="K344" i="51"/>
  <c r="N340" i="51"/>
  <c r="K340" i="51"/>
  <c r="N339" i="51"/>
  <c r="K339" i="51"/>
  <c r="N338" i="51"/>
  <c r="K338" i="51"/>
  <c r="N337" i="51"/>
  <c r="K337" i="51"/>
  <c r="N336" i="51"/>
  <c r="K336" i="51"/>
  <c r="K335" i="51"/>
  <c r="M332" i="51"/>
  <c r="K332" i="51"/>
  <c r="I327" i="51"/>
  <c r="I326" i="51"/>
  <c r="I325" i="51"/>
  <c r="I324" i="51"/>
  <c r="I323" i="51"/>
  <c r="I319" i="51"/>
  <c r="N316" i="51"/>
  <c r="K316" i="51"/>
  <c r="N315" i="51"/>
  <c r="K315" i="51"/>
  <c r="N314" i="51"/>
  <c r="K314" i="51"/>
  <c r="N313" i="51"/>
  <c r="K313" i="51"/>
  <c r="N312" i="51"/>
  <c r="K312" i="51"/>
  <c r="N311" i="51"/>
  <c r="K311" i="51"/>
  <c r="N310" i="51"/>
  <c r="K310" i="51"/>
  <c r="K309" i="51"/>
  <c r="M307" i="51"/>
  <c r="K307" i="51"/>
  <c r="I305" i="51"/>
  <c r="I304" i="51"/>
  <c r="M302" i="51"/>
  <c r="K302" i="51"/>
  <c r="N301" i="51"/>
  <c r="K301" i="51"/>
  <c r="N300" i="51"/>
  <c r="K300" i="51"/>
  <c r="N299" i="51"/>
  <c r="K299" i="51"/>
  <c r="N298" i="51"/>
  <c r="K298" i="51"/>
  <c r="N297" i="51"/>
  <c r="K297" i="51"/>
  <c r="N296" i="51"/>
  <c r="K296" i="51"/>
  <c r="N295" i="51"/>
  <c r="K295" i="51"/>
  <c r="N294" i="51"/>
  <c r="K294" i="51"/>
  <c r="N293" i="51"/>
  <c r="K293" i="51"/>
  <c r="N292" i="51"/>
  <c r="K292" i="51"/>
  <c r="K291" i="51"/>
  <c r="M290" i="51"/>
  <c r="K290" i="51"/>
  <c r="M289" i="51"/>
  <c r="K289" i="51"/>
  <c r="M288" i="51"/>
  <c r="K288" i="51"/>
  <c r="M287" i="51"/>
  <c r="K287" i="51"/>
  <c r="M286" i="51"/>
  <c r="K286" i="51"/>
  <c r="M285" i="51"/>
  <c r="K285" i="51"/>
  <c r="M284" i="51"/>
  <c r="K284" i="51"/>
  <c r="M283" i="51"/>
  <c r="K283" i="51"/>
  <c r="M282" i="51"/>
  <c r="K282" i="51"/>
  <c r="I278" i="51"/>
  <c r="I276" i="51"/>
  <c r="H275" i="51"/>
  <c r="M275" i="51" s="1"/>
  <c r="M274" i="51"/>
  <c r="K274" i="51"/>
  <c r="M270" i="51"/>
  <c r="K270" i="51"/>
  <c r="N269" i="51"/>
  <c r="K269" i="51"/>
  <c r="N268" i="51"/>
  <c r="K268" i="51"/>
  <c r="N267" i="51"/>
  <c r="K267" i="51"/>
  <c r="N266" i="51"/>
  <c r="K266" i="51"/>
  <c r="N265" i="51"/>
  <c r="K265" i="51"/>
  <c r="M264" i="51"/>
  <c r="K264" i="51"/>
  <c r="M263" i="51"/>
  <c r="K263" i="51"/>
  <c r="M262" i="51"/>
  <c r="K262" i="51"/>
  <c r="I260" i="51"/>
  <c r="M258" i="51"/>
  <c r="K258" i="51"/>
  <c r="M257" i="51"/>
  <c r="K257" i="51"/>
  <c r="M256" i="51"/>
  <c r="K256" i="51"/>
  <c r="M255" i="51"/>
  <c r="K255" i="51"/>
  <c r="M254" i="51"/>
  <c r="K254" i="51"/>
  <c r="M253" i="51"/>
  <c r="K253" i="51"/>
  <c r="M252" i="51"/>
  <c r="K252" i="51"/>
  <c r="M251" i="51"/>
  <c r="K251" i="51"/>
  <c r="M250" i="51"/>
  <c r="K250" i="51"/>
  <c r="M249" i="51"/>
  <c r="K249" i="51"/>
  <c r="M248" i="51"/>
  <c r="K248" i="51"/>
  <c r="M247" i="51"/>
  <c r="K247" i="51"/>
  <c r="M246" i="51"/>
  <c r="K246" i="51"/>
  <c r="M244" i="51"/>
  <c r="K244" i="51"/>
  <c r="M243" i="51"/>
  <c r="K243" i="51"/>
  <c r="N241" i="51"/>
  <c r="K241" i="51"/>
  <c r="N240" i="51"/>
  <c r="K240" i="51"/>
  <c r="N239" i="51"/>
  <c r="K239" i="51"/>
  <c r="N238" i="51"/>
  <c r="K238" i="51"/>
  <c r="N237" i="51"/>
  <c r="K237" i="51"/>
  <c r="N236" i="51"/>
  <c r="K236" i="51"/>
  <c r="I235" i="51"/>
  <c r="M233" i="51"/>
  <c r="K233" i="51"/>
  <c r="M232" i="51"/>
  <c r="K232" i="51"/>
  <c r="M231" i="51"/>
  <c r="K231" i="51"/>
  <c r="M230" i="51"/>
  <c r="K230" i="51"/>
  <c r="M229" i="51"/>
  <c r="K229" i="51"/>
  <c r="M228" i="51"/>
  <c r="K228" i="51"/>
  <c r="M227" i="51"/>
  <c r="K227" i="51"/>
  <c r="M226" i="51"/>
  <c r="K226" i="51"/>
  <c r="M225" i="51"/>
  <c r="K225" i="51"/>
  <c r="M224" i="51"/>
  <c r="K224" i="51"/>
  <c r="M223" i="51"/>
  <c r="K223" i="51"/>
  <c r="M222" i="51"/>
  <c r="K222" i="51"/>
  <c r="M221" i="51"/>
  <c r="K221" i="51"/>
  <c r="M220" i="51"/>
  <c r="K220" i="51"/>
  <c r="M219" i="51"/>
  <c r="K219" i="51"/>
  <c r="M218" i="51"/>
  <c r="K218" i="51"/>
  <c r="M217" i="51"/>
  <c r="K217" i="51"/>
  <c r="M216" i="51"/>
  <c r="K216" i="51"/>
  <c r="M215" i="51"/>
  <c r="K215" i="51"/>
  <c r="M214" i="51"/>
  <c r="K214" i="51"/>
  <c r="M213" i="51"/>
  <c r="K213" i="51"/>
  <c r="M212" i="51"/>
  <c r="K212" i="51"/>
  <c r="M211" i="51"/>
  <c r="K211" i="51"/>
  <c r="M210" i="51"/>
  <c r="K210" i="51"/>
  <c r="M209" i="51"/>
  <c r="K209" i="51"/>
  <c r="M208" i="51"/>
  <c r="K208" i="51"/>
  <c r="M207" i="51"/>
  <c r="K207" i="51"/>
  <c r="M206" i="51"/>
  <c r="K206" i="51"/>
  <c r="M205" i="51"/>
  <c r="K205" i="51"/>
  <c r="M204" i="51"/>
  <c r="K204" i="51"/>
  <c r="M203" i="51"/>
  <c r="K203" i="51"/>
  <c r="M202" i="51"/>
  <c r="K202" i="51"/>
  <c r="N201" i="51"/>
  <c r="K201" i="51"/>
  <c r="N200" i="51"/>
  <c r="K200" i="51"/>
  <c r="N199" i="51"/>
  <c r="K199" i="51"/>
  <c r="N198" i="51"/>
  <c r="K198" i="51"/>
  <c r="N197" i="51"/>
  <c r="K197" i="51"/>
  <c r="N196" i="51"/>
  <c r="K196" i="51"/>
  <c r="N195" i="51"/>
  <c r="K195" i="51"/>
  <c r="I194" i="51"/>
  <c r="M191" i="51"/>
  <c r="K191" i="51"/>
  <c r="M190" i="51"/>
  <c r="K190" i="51"/>
  <c r="M189" i="51"/>
  <c r="K189" i="51"/>
  <c r="M188" i="51"/>
  <c r="K188" i="51"/>
  <c r="M187" i="51"/>
  <c r="K187" i="51"/>
  <c r="M186" i="51"/>
  <c r="K186" i="51"/>
  <c r="M185" i="51"/>
  <c r="K185" i="51"/>
  <c r="K184" i="51"/>
  <c r="N181" i="51"/>
  <c r="K181" i="51"/>
  <c r="N180" i="51"/>
  <c r="K180" i="51"/>
  <c r="N179" i="51"/>
  <c r="K179" i="51"/>
  <c r="N178" i="51"/>
  <c r="K178" i="51"/>
  <c r="N177" i="51"/>
  <c r="K177" i="51"/>
  <c r="N176" i="51"/>
  <c r="K176" i="51"/>
  <c r="N175" i="51"/>
  <c r="K175" i="51"/>
  <c r="N174" i="51"/>
  <c r="K174" i="51"/>
  <c r="N173" i="51"/>
  <c r="K173" i="51"/>
  <c r="M172" i="51"/>
  <c r="K172" i="51"/>
  <c r="I171" i="51"/>
  <c r="I170" i="51"/>
  <c r="M169" i="51"/>
  <c r="K169" i="51"/>
  <c r="M168" i="51"/>
  <c r="K168" i="51"/>
  <c r="M167" i="51"/>
  <c r="K167" i="51"/>
  <c r="I165" i="51"/>
  <c r="M163" i="51"/>
  <c r="K163" i="51"/>
  <c r="M161" i="51"/>
  <c r="K161" i="51"/>
  <c r="I160" i="51"/>
  <c r="M158" i="51"/>
  <c r="K158" i="51"/>
  <c r="I157" i="51"/>
  <c r="M156" i="51"/>
  <c r="K156" i="51"/>
  <c r="M155" i="51"/>
  <c r="K155" i="51"/>
  <c r="N150" i="51"/>
  <c r="K150" i="51"/>
  <c r="N149" i="51"/>
  <c r="K149" i="51"/>
  <c r="N148" i="51"/>
  <c r="K148" i="51"/>
  <c r="N147" i="51"/>
  <c r="K147" i="51"/>
  <c r="N146" i="51"/>
  <c r="K146" i="51"/>
  <c r="N145" i="51"/>
  <c r="K145" i="51"/>
  <c r="N144" i="51"/>
  <c r="K144" i="51"/>
  <c r="N143" i="51"/>
  <c r="K143" i="51"/>
  <c r="N142" i="51"/>
  <c r="K142" i="51"/>
  <c r="N141" i="51"/>
  <c r="K141" i="51"/>
  <c r="N140" i="51"/>
  <c r="K140" i="51"/>
  <c r="N139" i="51"/>
  <c r="K139" i="51"/>
  <c r="N138" i="51"/>
  <c r="K138" i="51"/>
  <c r="N137" i="51"/>
  <c r="K137" i="51"/>
  <c r="N136" i="51"/>
  <c r="K136" i="51"/>
  <c r="N135" i="51"/>
  <c r="K135" i="51"/>
  <c r="N134" i="51"/>
  <c r="K134" i="51"/>
  <c r="M133" i="51"/>
  <c r="K133" i="51"/>
  <c r="M132" i="51"/>
  <c r="K132" i="51"/>
  <c r="M131" i="51"/>
  <c r="K131" i="51"/>
  <c r="M130" i="51"/>
  <c r="K130" i="51"/>
  <c r="M129" i="51"/>
  <c r="K129" i="51"/>
  <c r="M128" i="51"/>
  <c r="K128" i="51"/>
  <c r="M127" i="51"/>
  <c r="K127" i="51"/>
  <c r="M126" i="51"/>
  <c r="K126" i="51"/>
  <c r="M125" i="51"/>
  <c r="K125" i="51"/>
  <c r="M124" i="51"/>
  <c r="K124" i="51"/>
  <c r="I123" i="51"/>
  <c r="K123" i="51" s="1"/>
  <c r="I120" i="51"/>
  <c r="N119" i="51"/>
  <c r="K119" i="51"/>
  <c r="N118" i="51"/>
  <c r="K118" i="51"/>
  <c r="N117" i="51"/>
  <c r="K117" i="51"/>
  <c r="N116" i="51"/>
  <c r="K116" i="51"/>
  <c r="N115" i="51"/>
  <c r="K115" i="51"/>
  <c r="N114" i="51"/>
  <c r="K114" i="51"/>
  <c r="N113" i="51"/>
  <c r="K113" i="51"/>
  <c r="N112" i="51"/>
  <c r="K112" i="51"/>
  <c r="M111" i="51"/>
  <c r="K111" i="51"/>
  <c r="M110" i="51"/>
  <c r="K110" i="51"/>
  <c r="M109" i="51"/>
  <c r="K109" i="51"/>
  <c r="I107" i="51"/>
  <c r="I106" i="51"/>
  <c r="I103" i="51"/>
  <c r="I102" i="51"/>
  <c r="I101" i="51"/>
  <c r="I97" i="51"/>
  <c r="I96" i="51"/>
  <c r="N92" i="51"/>
  <c r="K92" i="51"/>
  <c r="N91" i="51"/>
  <c r="K91" i="51"/>
  <c r="N90" i="51"/>
  <c r="K90" i="51"/>
  <c r="N89" i="51"/>
  <c r="K89" i="51"/>
  <c r="N88" i="51"/>
  <c r="K88" i="51"/>
  <c r="N87" i="51"/>
  <c r="K87" i="51"/>
  <c r="N86" i="51"/>
  <c r="K86" i="51"/>
  <c r="N85" i="51"/>
  <c r="K85" i="51"/>
  <c r="M84" i="51"/>
  <c r="K84" i="51"/>
  <c r="M83" i="51"/>
  <c r="K83" i="51"/>
  <c r="M82" i="51"/>
  <c r="K82" i="51"/>
  <c r="M81" i="51"/>
  <c r="K81" i="51"/>
  <c r="M80" i="51"/>
  <c r="K80" i="51"/>
  <c r="M79" i="51"/>
  <c r="K79" i="51"/>
  <c r="M78" i="51"/>
  <c r="K78" i="51"/>
  <c r="M77" i="51"/>
  <c r="K77" i="51"/>
  <c r="I75" i="51"/>
  <c r="N43" i="51"/>
  <c r="K43" i="51"/>
  <c r="N42" i="51"/>
  <c r="K42" i="51"/>
  <c r="N41" i="51"/>
  <c r="K41" i="51"/>
  <c r="N40" i="51"/>
  <c r="K40" i="51"/>
  <c r="N39" i="51"/>
  <c r="K39" i="51"/>
  <c r="N38" i="51"/>
  <c r="K38" i="51"/>
  <c r="N37" i="51"/>
  <c r="K37" i="51"/>
  <c r="N36" i="51"/>
  <c r="K36" i="51"/>
  <c r="N35" i="51"/>
  <c r="K35" i="51"/>
  <c r="N34" i="51"/>
  <c r="K34" i="51"/>
  <c r="N33" i="51"/>
  <c r="K33" i="51"/>
  <c r="N32" i="51"/>
  <c r="K32" i="51"/>
  <c r="M30" i="51"/>
  <c r="K30" i="51"/>
  <c r="M29" i="51"/>
  <c r="K29" i="51"/>
  <c r="N28" i="51"/>
  <c r="K28" i="51"/>
  <c r="N27" i="51"/>
  <c r="K27" i="51"/>
  <c r="N26" i="51"/>
  <c r="K26" i="51"/>
  <c r="N25" i="51"/>
  <c r="K25" i="51"/>
  <c r="N24" i="51"/>
  <c r="K24" i="51"/>
  <c r="N23" i="51"/>
  <c r="K23" i="51"/>
  <c r="N22" i="51"/>
  <c r="K22" i="51"/>
  <c r="N21" i="51"/>
  <c r="K21" i="51"/>
  <c r="I20" i="51"/>
  <c r="I19" i="51"/>
  <c r="I18" i="51"/>
  <c r="I17" i="51"/>
  <c r="I16" i="51"/>
  <c r="I15" i="51"/>
  <c r="I14" i="51"/>
  <c r="I13" i="51"/>
  <c r="I12" i="51"/>
  <c r="I11" i="51"/>
  <c r="I10" i="51"/>
  <c r="I9" i="51"/>
  <c r="I8" i="51"/>
  <c r="I7" i="51"/>
  <c r="I6" i="51"/>
  <c r="I5" i="51"/>
  <c r="AA30" i="43"/>
  <c r="AA231" i="43"/>
  <c r="AA136" i="43"/>
  <c r="AA239" i="43"/>
  <c r="AA223" i="43"/>
  <c r="AA153" i="43"/>
  <c r="AA150" i="43"/>
  <c r="AA148" i="43"/>
  <c r="AA233" i="43"/>
  <c r="AA232" i="43"/>
  <c r="AA229" i="43"/>
  <c r="AA228" i="43"/>
  <c r="AA225" i="43"/>
  <c r="AA224" i="43"/>
  <c r="AA218" i="43"/>
  <c r="AA214" i="43"/>
  <c r="AA213" i="43"/>
  <c r="AA206" i="43"/>
  <c r="AA178" i="43"/>
  <c r="AA177" i="43"/>
  <c r="AA172" i="43"/>
  <c r="AA168" i="43"/>
  <c r="AA158" i="43"/>
  <c r="AA157" i="43"/>
  <c r="AA155" i="43"/>
  <c r="AA152" i="43"/>
  <c r="AA149" i="43"/>
  <c r="AA147" i="43"/>
  <c r="AA145" i="43"/>
  <c r="AA137" i="43"/>
  <c r="AA131" i="43"/>
  <c r="AA130" i="43"/>
  <c r="AA6" i="43"/>
  <c r="J9" i="51" l="1"/>
  <c r="K9" i="51" s="1"/>
  <c r="J103" i="51"/>
  <c r="K103" i="51" s="1"/>
  <c r="J327" i="51"/>
  <c r="K327" i="51" s="1"/>
  <c r="J16" i="51"/>
  <c r="K16" i="51" s="1"/>
  <c r="J10" i="51"/>
  <c r="K10" i="51" s="1"/>
  <c r="J11" i="51"/>
  <c r="K11" i="51" s="1"/>
  <c r="J12" i="51"/>
  <c r="K12" i="51" s="1"/>
  <c r="J106" i="51"/>
  <c r="K106" i="51" s="1"/>
  <c r="J75" i="51"/>
  <c r="K75" i="51" s="1"/>
  <c r="J107" i="51"/>
  <c r="K107" i="51" s="1"/>
  <c r="J120" i="51"/>
  <c r="K120" i="51" s="1"/>
  <c r="J260" i="51"/>
  <c r="K260" i="51" s="1"/>
  <c r="J319" i="51"/>
  <c r="K319" i="51" s="1"/>
  <c r="J14" i="51"/>
  <c r="K14" i="51" s="1"/>
  <c r="J96" i="51"/>
  <c r="K96" i="51" s="1"/>
  <c r="J170" i="51"/>
  <c r="K170" i="51" s="1"/>
  <c r="J13" i="51"/>
  <c r="K13" i="51" s="1"/>
  <c r="J15" i="51"/>
  <c r="K15" i="51" s="1"/>
  <c r="J97" i="51"/>
  <c r="K97" i="51" s="1"/>
  <c r="J171" i="51"/>
  <c r="K171" i="51" s="1"/>
  <c r="J235" i="51"/>
  <c r="K235" i="51" s="1"/>
  <c r="J276" i="51"/>
  <c r="K276" i="51" s="1"/>
  <c r="J304" i="51"/>
  <c r="K304" i="51" s="1"/>
  <c r="J278" i="51"/>
  <c r="K278" i="51" s="1"/>
  <c r="J323" i="51"/>
  <c r="K323" i="51" s="1"/>
  <c r="J6" i="51"/>
  <c r="K6" i="51" s="1"/>
  <c r="J18" i="51"/>
  <c r="K18" i="51" s="1"/>
  <c r="J165" i="51"/>
  <c r="K165" i="51" s="1"/>
  <c r="J324" i="51"/>
  <c r="K324" i="51" s="1"/>
  <c r="J305" i="51"/>
  <c r="K305" i="51" s="1"/>
  <c r="J5" i="51"/>
  <c r="K5" i="51" s="1"/>
  <c r="J7" i="51"/>
  <c r="K7" i="51" s="1"/>
  <c r="J19" i="51"/>
  <c r="K19" i="51" s="1"/>
  <c r="J101" i="51"/>
  <c r="K101" i="51" s="1"/>
  <c r="J157" i="51"/>
  <c r="K157" i="51" s="1"/>
  <c r="J194" i="51"/>
  <c r="K194" i="51" s="1"/>
  <c r="J325" i="51"/>
  <c r="K325" i="51" s="1"/>
  <c r="J17" i="51"/>
  <c r="K17" i="51" s="1"/>
  <c r="J8" i="51"/>
  <c r="K8" i="51" s="1"/>
  <c r="J20" i="51"/>
  <c r="K20" i="51" s="1"/>
  <c r="J102" i="51"/>
  <c r="K102" i="51" s="1"/>
  <c r="J326" i="51"/>
  <c r="K326" i="51" s="1"/>
  <c r="J160" i="51"/>
  <c r="K160" i="51" s="1"/>
  <c r="O21" i="5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O33" i="51" s="1"/>
  <c r="O34" i="51" s="1"/>
  <c r="O35" i="51" s="1"/>
  <c r="O36" i="51" s="1"/>
  <c r="O37" i="51" s="1"/>
  <c r="O38" i="51" s="1"/>
  <c r="O39" i="51" s="1"/>
  <c r="O40" i="51" s="1"/>
  <c r="O41" i="51" s="1"/>
  <c r="O42" i="51" s="1"/>
  <c r="O43" i="51" s="1"/>
  <c r="O44" i="51" s="1"/>
  <c r="O45" i="51" s="1"/>
  <c r="O46" i="51" s="1"/>
  <c r="O47" i="51" s="1"/>
  <c r="O48" i="51" s="1"/>
  <c r="O49" i="51" s="1"/>
  <c r="O50" i="51" s="1"/>
  <c r="O51" i="51" s="1"/>
  <c r="O52" i="51" s="1"/>
  <c r="O53" i="51" s="1"/>
  <c r="O54" i="51" s="1"/>
  <c r="O55" i="51" s="1"/>
  <c r="O56" i="51" s="1"/>
  <c r="O57" i="51" s="1"/>
  <c r="O58" i="51" s="1"/>
  <c r="O59" i="51" s="1"/>
  <c r="O60" i="51" s="1"/>
  <c r="O61" i="51" s="1"/>
  <c r="O62" i="51" s="1"/>
  <c r="O63" i="51" s="1"/>
  <c r="O64" i="51" s="1"/>
  <c r="O65" i="51" s="1"/>
  <c r="O66" i="51" s="1"/>
  <c r="O67" i="51" s="1"/>
  <c r="O68" i="51" s="1"/>
  <c r="O69" i="51" s="1"/>
  <c r="O70" i="51" s="1"/>
  <c r="O71" i="51" s="1"/>
  <c r="O72" i="51" s="1"/>
  <c r="O73" i="51" s="1"/>
  <c r="O74" i="51" s="1"/>
  <c r="O75" i="51" s="1"/>
  <c r="O76" i="51" s="1"/>
  <c r="O77" i="51" s="1"/>
  <c r="O78" i="51" s="1"/>
  <c r="O79" i="51" s="1"/>
  <c r="O80" i="51" s="1"/>
  <c r="O81" i="51" s="1"/>
  <c r="O82" i="51" s="1"/>
  <c r="O83" i="51" s="1"/>
  <c r="O84" i="51" s="1"/>
  <c r="O85" i="51" s="1"/>
  <c r="O86" i="51" s="1"/>
  <c r="O87" i="51" s="1"/>
  <c r="O88" i="51" s="1"/>
  <c r="O89" i="51" s="1"/>
  <c r="O90" i="51" s="1"/>
  <c r="O91" i="51" s="1"/>
  <c r="O92" i="51" s="1"/>
  <c r="O93" i="51" s="1"/>
  <c r="O94" i="51" s="1"/>
  <c r="O95" i="51" s="1"/>
  <c r="O96" i="51" s="1"/>
  <c r="O97" i="51" s="1"/>
  <c r="O98" i="51" s="1"/>
  <c r="O99" i="51" s="1"/>
  <c r="O100" i="51" s="1"/>
  <c r="O101" i="51" s="1"/>
  <c r="O102" i="51" s="1"/>
  <c r="O103" i="51" s="1"/>
  <c r="O104" i="51" s="1"/>
  <c r="O105" i="51" s="1"/>
  <c r="O106" i="51" s="1"/>
  <c r="O107" i="51" s="1"/>
  <c r="O108" i="51" s="1"/>
  <c r="O109" i="51" s="1"/>
  <c r="O110" i="51" s="1"/>
  <c r="O111" i="51" s="1"/>
  <c r="O112" i="51" s="1"/>
  <c r="O113" i="51" s="1"/>
  <c r="O114" i="51" s="1"/>
  <c r="O115" i="51" s="1"/>
  <c r="O116" i="51" s="1"/>
  <c r="O117" i="51" s="1"/>
  <c r="O118" i="51" s="1"/>
  <c r="O119" i="51" s="1"/>
  <c r="O120" i="51" s="1"/>
  <c r="O121" i="51" s="1"/>
  <c r="O122" i="51" s="1"/>
  <c r="O123" i="51" s="1"/>
  <c r="O124" i="51" s="1"/>
  <c r="O125" i="51" s="1"/>
  <c r="O126" i="51" s="1"/>
  <c r="O127" i="51" s="1"/>
  <c r="O128" i="51" s="1"/>
  <c r="O129" i="51" s="1"/>
  <c r="O130" i="51" s="1"/>
  <c r="O131" i="51" s="1"/>
  <c r="O132" i="51" s="1"/>
  <c r="O133" i="51" s="1"/>
  <c r="O134" i="51" s="1"/>
  <c r="O135" i="51" s="1"/>
  <c r="O136" i="51" s="1"/>
  <c r="O137" i="51" s="1"/>
  <c r="O138" i="51" s="1"/>
  <c r="O139" i="51" s="1"/>
  <c r="O140" i="51" s="1"/>
  <c r="O141" i="51" s="1"/>
  <c r="O142" i="51" s="1"/>
  <c r="O143" i="51" s="1"/>
  <c r="O144" i="51" s="1"/>
  <c r="O145" i="51" s="1"/>
  <c r="O146" i="51" s="1"/>
  <c r="O147" i="51" s="1"/>
  <c r="O148" i="51" s="1"/>
  <c r="O149" i="51" s="1"/>
  <c r="O150" i="51" s="1"/>
  <c r="O151" i="51" s="1"/>
  <c r="O152" i="51" s="1"/>
  <c r="O153" i="51" s="1"/>
  <c r="O154" i="51" s="1"/>
  <c r="O155" i="51" s="1"/>
  <c r="O156" i="51" s="1"/>
  <c r="O157" i="51" s="1"/>
  <c r="O158" i="51" s="1"/>
  <c r="O159" i="51" s="1"/>
  <c r="O160" i="51" s="1"/>
  <c r="O161" i="51" s="1"/>
  <c r="O162" i="51" s="1"/>
  <c r="O163" i="51" s="1"/>
  <c r="O164" i="51" s="1"/>
  <c r="O165" i="51" s="1"/>
  <c r="O166" i="51" s="1"/>
  <c r="O167" i="51" s="1"/>
  <c r="O168" i="51" s="1"/>
  <c r="O169" i="51" s="1"/>
  <c r="O170" i="51" s="1"/>
  <c r="O171" i="51" s="1"/>
  <c r="O172" i="51" s="1"/>
  <c r="O173" i="51" s="1"/>
  <c r="O174" i="51" s="1"/>
  <c r="O175" i="51" s="1"/>
  <c r="O176" i="51" s="1"/>
  <c r="O177" i="51" s="1"/>
  <c r="O178" i="51" s="1"/>
  <c r="O179" i="51" s="1"/>
  <c r="O180" i="51" s="1"/>
  <c r="O181" i="51" s="1"/>
  <c r="O182" i="51" s="1"/>
  <c r="O183" i="51" s="1"/>
  <c r="O184" i="51" s="1"/>
  <c r="O185" i="51" s="1"/>
  <c r="O186" i="51" s="1"/>
  <c r="O187" i="51" s="1"/>
  <c r="O188" i="51" s="1"/>
  <c r="O189" i="51" s="1"/>
  <c r="O190" i="51" s="1"/>
  <c r="O191" i="51" s="1"/>
  <c r="O192" i="51" s="1"/>
  <c r="O193" i="51" s="1"/>
  <c r="O194" i="51" s="1"/>
  <c r="O195" i="51" s="1"/>
  <c r="O196" i="51" s="1"/>
  <c r="O197" i="51" s="1"/>
  <c r="O198" i="51" s="1"/>
  <c r="O199" i="51" s="1"/>
  <c r="O200" i="51" s="1"/>
  <c r="O201" i="51" s="1"/>
  <c r="O202" i="51" s="1"/>
  <c r="O203" i="51" s="1"/>
  <c r="O204" i="51" s="1"/>
  <c r="O205" i="51" s="1"/>
  <c r="O206" i="51" s="1"/>
  <c r="O207" i="51" s="1"/>
  <c r="O208" i="51" s="1"/>
  <c r="O209" i="51" s="1"/>
  <c r="O210" i="51" s="1"/>
  <c r="O211" i="51" s="1"/>
  <c r="O212" i="51" s="1"/>
  <c r="O213" i="51" s="1"/>
  <c r="O214" i="51" s="1"/>
  <c r="O215" i="51" s="1"/>
  <c r="O216" i="51" s="1"/>
  <c r="O217" i="51" s="1"/>
  <c r="O218" i="51" s="1"/>
  <c r="O219" i="51" s="1"/>
  <c r="O220" i="51" s="1"/>
  <c r="O221" i="51" s="1"/>
  <c r="O222" i="51" s="1"/>
  <c r="O223" i="51" s="1"/>
  <c r="O224" i="51" s="1"/>
  <c r="O225" i="51" s="1"/>
  <c r="O226" i="51" s="1"/>
  <c r="O227" i="51" s="1"/>
  <c r="O228" i="51" s="1"/>
  <c r="O229" i="51" s="1"/>
  <c r="O230" i="51" s="1"/>
  <c r="O231" i="51" s="1"/>
  <c r="O232" i="51" s="1"/>
  <c r="O233" i="51" s="1"/>
  <c r="O234" i="51" s="1"/>
  <c r="O235" i="51" s="1"/>
  <c r="O236" i="51" s="1"/>
  <c r="O237" i="51" s="1"/>
  <c r="O238" i="51" s="1"/>
  <c r="O239" i="51" s="1"/>
  <c r="O240" i="51" s="1"/>
  <c r="O241" i="51" s="1"/>
  <c r="O242" i="51" s="1"/>
  <c r="O243" i="51" s="1"/>
  <c r="O244" i="51" s="1"/>
  <c r="O245" i="51" s="1"/>
  <c r="O246" i="51" s="1"/>
  <c r="O247" i="51" s="1"/>
  <c r="O248" i="51" s="1"/>
  <c r="O249" i="51" s="1"/>
  <c r="O250" i="51" s="1"/>
  <c r="O251" i="51" s="1"/>
  <c r="O252" i="51" s="1"/>
  <c r="O253" i="51" s="1"/>
  <c r="O254" i="51" s="1"/>
  <c r="O255" i="51" s="1"/>
  <c r="O256" i="51" s="1"/>
  <c r="O257" i="51" s="1"/>
  <c r="O258" i="51" s="1"/>
  <c r="O259" i="51" s="1"/>
  <c r="O260" i="51" s="1"/>
  <c r="O261" i="51" s="1"/>
  <c r="O262" i="51" s="1"/>
  <c r="O263" i="51" s="1"/>
  <c r="O264" i="51" s="1"/>
  <c r="O265" i="51" s="1"/>
  <c r="O266" i="51" s="1"/>
  <c r="O267" i="51" s="1"/>
  <c r="O268" i="51" s="1"/>
  <c r="O269" i="51" s="1"/>
  <c r="O270" i="51" s="1"/>
  <c r="O271" i="51" s="1"/>
  <c r="O272" i="51" s="1"/>
  <c r="O273" i="51" s="1"/>
  <c r="O274" i="51" s="1"/>
  <c r="O275" i="51" s="1"/>
  <c r="O276" i="51" s="1"/>
  <c r="O277" i="51" s="1"/>
  <c r="O278" i="51" s="1"/>
  <c r="O279" i="51" s="1"/>
  <c r="O280" i="51" s="1"/>
  <c r="O281" i="51" s="1"/>
  <c r="O282" i="51" s="1"/>
  <c r="O283" i="51" s="1"/>
  <c r="O284" i="51" s="1"/>
  <c r="O285" i="51" s="1"/>
  <c r="O286" i="51" s="1"/>
  <c r="O287" i="51" s="1"/>
  <c r="O288" i="51" s="1"/>
  <c r="O289" i="51" s="1"/>
  <c r="O290" i="51" s="1"/>
  <c r="O291" i="51" s="1"/>
  <c r="O292" i="51" s="1"/>
  <c r="O293" i="51" s="1"/>
  <c r="O294" i="51" s="1"/>
  <c r="O295" i="51" s="1"/>
  <c r="O296" i="51" s="1"/>
  <c r="O297" i="51" s="1"/>
  <c r="O298" i="51" s="1"/>
  <c r="O299" i="51" s="1"/>
  <c r="O300" i="51" s="1"/>
  <c r="O301" i="51" s="1"/>
  <c r="O302" i="51" s="1"/>
  <c r="O303" i="51" s="1"/>
  <c r="O304" i="51" s="1"/>
  <c r="O305" i="51" s="1"/>
  <c r="O306" i="51" s="1"/>
  <c r="O307" i="51" s="1"/>
  <c r="O308" i="51" s="1"/>
  <c r="O309" i="51" s="1"/>
  <c r="O310" i="51" s="1"/>
  <c r="O311" i="51" s="1"/>
  <c r="O312" i="51" s="1"/>
  <c r="O313" i="51" s="1"/>
  <c r="O314" i="51" s="1"/>
  <c r="O315" i="51" s="1"/>
  <c r="O316" i="51" s="1"/>
  <c r="O317" i="51" s="1"/>
  <c r="O318" i="51" s="1"/>
  <c r="O319" i="51" s="1"/>
  <c r="O320" i="51" s="1"/>
  <c r="O321" i="51" s="1"/>
  <c r="O322" i="51" s="1"/>
  <c r="O323" i="51" s="1"/>
  <c r="O324" i="51" s="1"/>
  <c r="O325" i="51" s="1"/>
  <c r="O326" i="51" s="1"/>
  <c r="O327" i="51" s="1"/>
  <c r="O328" i="51" s="1"/>
  <c r="O329" i="51" s="1"/>
  <c r="O330" i="51" s="1"/>
  <c r="O331" i="51" s="1"/>
  <c r="O332" i="51" s="1"/>
  <c r="O333" i="51" s="1"/>
  <c r="O334" i="51" s="1"/>
  <c r="O335" i="51" s="1"/>
  <c r="O336" i="51" s="1"/>
  <c r="O337" i="51" s="1"/>
  <c r="O338" i="51" s="1"/>
  <c r="O339" i="51" s="1"/>
  <c r="O340" i="51" s="1"/>
  <c r="O341" i="51" s="1"/>
  <c r="O342" i="51" s="1"/>
  <c r="O343" i="51" s="1"/>
  <c r="O344" i="51" s="1"/>
  <c r="O345" i="51" s="1"/>
  <c r="O346" i="51" s="1"/>
  <c r="O347" i="51" s="1"/>
  <c r="O348" i="51" s="1"/>
  <c r="O349" i="51" s="1"/>
  <c r="O350" i="51" s="1"/>
  <c r="O351" i="51" s="1"/>
  <c r="O352" i="51" s="1"/>
  <c r="O353" i="51" s="1"/>
  <c r="O354" i="51" s="1"/>
  <c r="O355" i="51" s="1"/>
  <c r="O356" i="51" s="1"/>
  <c r="O357" i="51" s="1"/>
  <c r="O358" i="51" s="1"/>
  <c r="O359" i="51" s="1"/>
  <c r="O360" i="51" s="1"/>
  <c r="N362" i="51"/>
  <c r="M362" i="51"/>
  <c r="H362" i="51"/>
  <c r="I362" i="51"/>
  <c r="J362" i="51" l="1"/>
  <c r="K362" i="51"/>
  <c r="S91" i="44" l="1"/>
  <c r="S211" i="44" l="1"/>
  <c r="S210" i="44"/>
  <c r="S209" i="44"/>
  <c r="S208" i="44"/>
  <c r="S206" i="44"/>
  <c r="S205" i="44"/>
  <c r="S90" i="44"/>
  <c r="S203" i="44"/>
  <c r="S202" i="44"/>
  <c r="AA253" i="43" l="1"/>
  <c r="AA112" i="43"/>
  <c r="P995" i="36"/>
  <c r="AA120" i="43"/>
  <c r="Z120" i="43"/>
  <c r="K120" i="43"/>
  <c r="W304" i="43"/>
  <c r="V304" i="43"/>
  <c r="U304" i="43"/>
  <c r="T304" i="43"/>
  <c r="S304" i="43"/>
  <c r="R304" i="43"/>
  <c r="Q304" i="43"/>
  <c r="P304" i="43"/>
  <c r="O304" i="43"/>
  <c r="N304" i="43"/>
  <c r="M304" i="43"/>
  <c r="I304" i="43"/>
  <c r="H304" i="43"/>
  <c r="P52" i="44"/>
  <c r="AB120" i="43" l="1"/>
  <c r="X120" i="43"/>
  <c r="AA251" i="43"/>
  <c r="S207" i="44"/>
  <c r="P136" i="12" l="1"/>
  <c r="P137" i="12"/>
  <c r="P138" i="12"/>
  <c r="P139" i="12"/>
  <c r="P140" i="12"/>
  <c r="P143" i="12"/>
  <c r="P144" i="12"/>
  <c r="P155" i="12"/>
  <c r="P156" i="12"/>
  <c r="P157" i="12"/>
  <c r="P158" i="12"/>
  <c r="P167" i="12"/>
  <c r="P168" i="12"/>
  <c r="P169" i="12"/>
  <c r="P170" i="12"/>
  <c r="P171" i="12"/>
  <c r="P179" i="12"/>
  <c r="P180" i="12"/>
  <c r="P181" i="12"/>
  <c r="P182" i="12"/>
  <c r="P183" i="12"/>
  <c r="P184" i="12"/>
  <c r="P69" i="12"/>
  <c r="P70" i="12"/>
  <c r="P71" i="12"/>
  <c r="P72" i="12"/>
  <c r="P73" i="12"/>
  <c r="P134" i="12" s="1"/>
  <c r="P74" i="12"/>
  <c r="P135" i="12" s="1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148" i="12" s="1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7" i="12"/>
  <c r="P8" i="12"/>
  <c r="P131" i="12" s="1"/>
  <c r="P9" i="12"/>
  <c r="P132" i="12" s="1"/>
  <c r="P10" i="12"/>
  <c r="P133" i="12" s="1"/>
  <c r="P11" i="12"/>
  <c r="P12" i="12"/>
  <c r="P13" i="12"/>
  <c r="P14" i="12"/>
  <c r="P15" i="12"/>
  <c r="P16" i="12"/>
  <c r="P17" i="12"/>
  <c r="P18" i="12"/>
  <c r="P141" i="12" s="1"/>
  <c r="P19" i="12"/>
  <c r="P142" i="12" s="1"/>
  <c r="P20" i="12"/>
  <c r="P21" i="12"/>
  <c r="P22" i="12"/>
  <c r="P145" i="12" s="1"/>
  <c r="P23" i="12"/>
  <c r="P146" i="12" s="1"/>
  <c r="P24" i="12"/>
  <c r="P147" i="12" s="1"/>
  <c r="P25" i="12"/>
  <c r="P26" i="12"/>
  <c r="P149" i="12" s="1"/>
  <c r="P27" i="12"/>
  <c r="P150" i="12" s="1"/>
  <c r="P28" i="12"/>
  <c r="P151" i="12" s="1"/>
  <c r="P29" i="12"/>
  <c r="P152" i="12" s="1"/>
  <c r="P30" i="12"/>
  <c r="P153" i="12" s="1"/>
  <c r="P31" i="12"/>
  <c r="P154" i="12" s="1"/>
  <c r="P32" i="12"/>
  <c r="P33" i="12"/>
  <c r="P34" i="12"/>
  <c r="P35" i="12"/>
  <c r="P36" i="12"/>
  <c r="P159" i="12" s="1"/>
  <c r="P37" i="12"/>
  <c r="P160" i="12" s="1"/>
  <c r="P38" i="12"/>
  <c r="P161" i="12" s="1"/>
  <c r="P39" i="12"/>
  <c r="P162" i="12" s="1"/>
  <c r="P40" i="12"/>
  <c r="P163" i="12" s="1"/>
  <c r="P41" i="12"/>
  <c r="P164" i="12" s="1"/>
  <c r="P42" i="12"/>
  <c r="P165" i="12" s="1"/>
  <c r="P43" i="12"/>
  <c r="P166" i="12" s="1"/>
  <c r="P44" i="12"/>
  <c r="P45" i="12"/>
  <c r="P46" i="12"/>
  <c r="P47" i="12"/>
  <c r="P48" i="12"/>
  <c r="P49" i="12"/>
  <c r="P172" i="12" s="1"/>
  <c r="P50" i="12"/>
  <c r="P173" i="12" s="1"/>
  <c r="P51" i="12"/>
  <c r="P174" i="12" s="1"/>
  <c r="P52" i="12"/>
  <c r="P175" i="12" s="1"/>
  <c r="P53" i="12"/>
  <c r="P54" i="12"/>
  <c r="P177" i="12" s="1"/>
  <c r="P55" i="12"/>
  <c r="P178" i="12" s="1"/>
  <c r="P56" i="12"/>
  <c r="P57" i="12"/>
  <c r="P58" i="12"/>
  <c r="P59" i="12"/>
  <c r="P60" i="12"/>
  <c r="P61" i="12"/>
  <c r="P62" i="12"/>
  <c r="P185" i="12" s="1"/>
  <c r="P63" i="12"/>
  <c r="P186" i="12" s="1"/>
  <c r="P130" i="12" l="1"/>
  <c r="P176" i="12"/>
  <c r="P874" i="36" l="1"/>
  <c r="P873" i="36"/>
  <c r="P981" i="36"/>
  <c r="B141" i="12"/>
  <c r="B142" i="12"/>
  <c r="B143" i="12"/>
  <c r="B144" i="12"/>
  <c r="B145" i="12"/>
  <c r="B146" i="12"/>
  <c r="B147" i="12"/>
  <c r="B148" i="12"/>
  <c r="A141" i="12"/>
  <c r="A142" i="12" s="1"/>
  <c r="A143" i="12" s="1"/>
  <c r="A144" i="12" s="1"/>
  <c r="A145" i="12" s="1"/>
  <c r="A146" i="12" s="1"/>
  <c r="A147" i="12" s="1"/>
  <c r="B81" i="12"/>
  <c r="B82" i="12"/>
  <c r="B83" i="12"/>
  <c r="Q142" i="12"/>
  <c r="P885" i="36"/>
  <c r="P884" i="36"/>
  <c r="P883" i="36"/>
  <c r="P882" i="36"/>
  <c r="P881" i="36"/>
  <c r="P880" i="36"/>
  <c r="P879" i="36"/>
  <c r="P878" i="36"/>
  <c r="P987" i="36"/>
  <c r="S212" i="44" l="1"/>
  <c r="S204" i="44"/>
  <c r="S201" i="44"/>
  <c r="S200" i="44"/>
  <c r="S199" i="44"/>
  <c r="S198" i="44"/>
  <c r="S197" i="44"/>
  <c r="S196" i="44"/>
  <c r="S195" i="44"/>
  <c r="S194" i="44"/>
  <c r="S193" i="44"/>
  <c r="S192" i="44"/>
  <c r="S191" i="44"/>
  <c r="S190" i="44"/>
  <c r="S189" i="44"/>
  <c r="S92" i="44"/>
  <c r="S89" i="44"/>
  <c r="S88" i="44"/>
  <c r="S86" i="44"/>
  <c r="D3207" i="3"/>
  <c r="D3201" i="3"/>
  <c r="D3195" i="3"/>
  <c r="D3193" i="3"/>
  <c r="D3191" i="3"/>
  <c r="D3189" i="3"/>
  <c r="D3187" i="3"/>
  <c r="D3185" i="3"/>
  <c r="D3183" i="3"/>
  <c r="D3181" i="3"/>
  <c r="D3179" i="3"/>
  <c r="D3177" i="3"/>
  <c r="D3175" i="3"/>
  <c r="D3173" i="3"/>
  <c r="D3171" i="3"/>
  <c r="D3165" i="3"/>
  <c r="D3162" i="3"/>
  <c r="S38" i="44"/>
  <c r="P889" i="36" l="1"/>
  <c r="C1124" i="2"/>
  <c r="S49" i="44"/>
  <c r="S50" i="44"/>
  <c r="S46" i="44"/>
  <c r="E1" i="2" l="1"/>
  <c r="S44" i="44" l="1"/>
  <c r="S48" i="44"/>
  <c r="S42" i="44"/>
  <c r="S41" i="44"/>
  <c r="S40" i="44"/>
  <c r="S39" i="44"/>
  <c r="S37" i="44"/>
  <c r="C1137" i="2"/>
  <c r="C1097" i="2"/>
  <c r="C1092" i="2"/>
  <c r="C1000" i="2"/>
  <c r="C1054" i="19"/>
  <c r="C1110" i="19"/>
  <c r="C878" i="19"/>
  <c r="C1055" i="2"/>
  <c r="C880" i="19"/>
  <c r="C854" i="19"/>
  <c r="C535" i="19"/>
  <c r="D64" i="19"/>
  <c r="P230" i="12" l="1"/>
  <c r="P231" i="12"/>
  <c r="P232" i="12"/>
  <c r="P227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20" i="12"/>
  <c r="P221" i="12"/>
  <c r="P222" i="12"/>
  <c r="P223" i="12"/>
  <c r="P224" i="12"/>
  <c r="P193" i="12"/>
  <c r="P194" i="12"/>
  <c r="P195" i="12"/>
  <c r="P196" i="12"/>
  <c r="P197" i="12"/>
  <c r="P198" i="12"/>
  <c r="P199" i="12"/>
  <c r="P200" i="12"/>
  <c r="P201" i="12"/>
  <c r="Q178" i="12"/>
  <c r="P994" i="36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R86" i="10"/>
  <c r="R85" i="10"/>
  <c r="R84" i="10"/>
  <c r="R83" i="10"/>
  <c r="R82" i="10"/>
  <c r="R81" i="10"/>
  <c r="R80" i="10"/>
  <c r="R79" i="10"/>
  <c r="R78" i="10"/>
  <c r="Q86" i="10"/>
  <c r="Q85" i="10"/>
  <c r="Q84" i="10"/>
  <c r="Q83" i="10"/>
  <c r="Q82" i="10"/>
  <c r="Q81" i="10"/>
  <c r="Q80" i="10"/>
  <c r="Q79" i="10"/>
  <c r="Q78" i="10"/>
  <c r="P86" i="10"/>
  <c r="P85" i="10"/>
  <c r="P84" i="10"/>
  <c r="P83" i="10"/>
  <c r="P82" i="10"/>
  <c r="P81" i="10"/>
  <c r="P80" i="10"/>
  <c r="P79" i="10"/>
  <c r="P78" i="10"/>
  <c r="O86" i="10"/>
  <c r="O85" i="10"/>
  <c r="O84" i="10"/>
  <c r="O83" i="10"/>
  <c r="O82" i="10"/>
  <c r="O81" i="10"/>
  <c r="O80" i="10"/>
  <c r="O79" i="10"/>
  <c r="O78" i="10"/>
  <c r="N86" i="10"/>
  <c r="N85" i="10"/>
  <c r="N84" i="10"/>
  <c r="N83" i="10"/>
  <c r="N82" i="10"/>
  <c r="N81" i="10"/>
  <c r="N80" i="10"/>
  <c r="N79" i="10"/>
  <c r="N78" i="10"/>
  <c r="M86" i="10"/>
  <c r="M85" i="10"/>
  <c r="M84" i="10"/>
  <c r="M83" i="10"/>
  <c r="M82" i="10"/>
  <c r="M81" i="10"/>
  <c r="M80" i="10"/>
  <c r="M79" i="10"/>
  <c r="M78" i="10"/>
  <c r="L86" i="10"/>
  <c r="L85" i="10"/>
  <c r="L84" i="10"/>
  <c r="L83" i="10"/>
  <c r="L82" i="10"/>
  <c r="L81" i="10"/>
  <c r="L80" i="10"/>
  <c r="L79" i="10"/>
  <c r="L78" i="10"/>
  <c r="K86" i="10"/>
  <c r="K85" i="10"/>
  <c r="K84" i="10"/>
  <c r="K83" i="10"/>
  <c r="K82" i="10"/>
  <c r="K81" i="10"/>
  <c r="K80" i="10"/>
  <c r="K79" i="10"/>
  <c r="K78" i="10"/>
  <c r="J86" i="10"/>
  <c r="J85" i="10"/>
  <c r="J84" i="10"/>
  <c r="J83" i="10"/>
  <c r="J82" i="10"/>
  <c r="J81" i="10"/>
  <c r="J80" i="10"/>
  <c r="J79" i="10"/>
  <c r="J78" i="10"/>
  <c r="I86" i="10"/>
  <c r="I85" i="10"/>
  <c r="I84" i="10"/>
  <c r="I83" i="10"/>
  <c r="I82" i="10"/>
  <c r="I81" i="10"/>
  <c r="I80" i="10"/>
  <c r="I79" i="10"/>
  <c r="I78" i="10"/>
  <c r="H86" i="10"/>
  <c r="H85" i="10"/>
  <c r="H84" i="10"/>
  <c r="H83" i="10"/>
  <c r="H82" i="10"/>
  <c r="H81" i="10"/>
  <c r="H80" i="10"/>
  <c r="H79" i="10"/>
  <c r="H78" i="10"/>
  <c r="G86" i="10"/>
  <c r="G85" i="10"/>
  <c r="G84" i="10"/>
  <c r="G83" i="10"/>
  <c r="G82" i="10"/>
  <c r="G81" i="10"/>
  <c r="G80" i="10"/>
  <c r="G79" i="10"/>
  <c r="G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G77" i="10"/>
  <c r="S77" i="10" s="1"/>
  <c r="T77" i="10" s="1"/>
  <c r="U77" i="10" s="1"/>
  <c r="G76" i="10"/>
  <c r="S76" i="10" s="1"/>
  <c r="T76" i="10" s="1"/>
  <c r="U76" i="10" s="1"/>
  <c r="G75" i="10"/>
  <c r="S75" i="10" s="1"/>
  <c r="T75" i="10" s="1"/>
  <c r="U75" i="10" s="1"/>
  <c r="G74" i="10"/>
  <c r="G73" i="10"/>
  <c r="G72" i="10"/>
  <c r="G71" i="10"/>
  <c r="G70" i="10"/>
  <c r="G69" i="10"/>
  <c r="G68" i="10"/>
  <c r="G67" i="10"/>
  <c r="S67" i="10" s="1"/>
  <c r="T67" i="10" s="1"/>
  <c r="U67" i="10" s="1"/>
  <c r="G66" i="10"/>
  <c r="S66" i="10" s="1"/>
  <c r="T66" i="10" s="1"/>
  <c r="U66" i="10" s="1"/>
  <c r="S48" i="10"/>
  <c r="S47" i="10"/>
  <c r="S49" i="10"/>
  <c r="S50" i="10"/>
  <c r="S51" i="10"/>
  <c r="S52" i="10"/>
  <c r="S53" i="10"/>
  <c r="S54" i="10"/>
  <c r="S55" i="10"/>
  <c r="R65" i="10"/>
  <c r="R64" i="10"/>
  <c r="R63" i="10"/>
  <c r="R62" i="10"/>
  <c r="R61" i="10"/>
  <c r="R60" i="10"/>
  <c r="R59" i="10"/>
  <c r="R57" i="10"/>
  <c r="R56" i="10"/>
  <c r="Q65" i="10"/>
  <c r="Q64" i="10"/>
  <c r="Q63" i="10"/>
  <c r="Q62" i="10"/>
  <c r="Q61" i="10"/>
  <c r="Q60" i="10"/>
  <c r="Q59" i="10"/>
  <c r="Q57" i="10"/>
  <c r="Q56" i="10"/>
  <c r="P65" i="10"/>
  <c r="P64" i="10"/>
  <c r="P63" i="10"/>
  <c r="P62" i="10"/>
  <c r="P61" i="10"/>
  <c r="P60" i="10"/>
  <c r="P59" i="10"/>
  <c r="P57" i="10"/>
  <c r="P56" i="10"/>
  <c r="O65" i="10"/>
  <c r="O64" i="10"/>
  <c r="O63" i="10"/>
  <c r="O62" i="10"/>
  <c r="O61" i="10"/>
  <c r="O60" i="10"/>
  <c r="O59" i="10"/>
  <c r="O57" i="10"/>
  <c r="O56" i="10"/>
  <c r="N65" i="10"/>
  <c r="N64" i="10"/>
  <c r="N63" i="10"/>
  <c r="N62" i="10"/>
  <c r="N61" i="10"/>
  <c r="N60" i="10"/>
  <c r="N59" i="10"/>
  <c r="N57" i="10"/>
  <c r="N56" i="10"/>
  <c r="M65" i="10"/>
  <c r="M64" i="10"/>
  <c r="M63" i="10"/>
  <c r="M62" i="10"/>
  <c r="M61" i="10"/>
  <c r="M60" i="10"/>
  <c r="M59" i="10"/>
  <c r="M57" i="10"/>
  <c r="M56" i="10"/>
  <c r="L65" i="10"/>
  <c r="L64" i="10"/>
  <c r="L63" i="10"/>
  <c r="L62" i="10"/>
  <c r="L61" i="10"/>
  <c r="L60" i="10"/>
  <c r="L59" i="10"/>
  <c r="L57" i="10"/>
  <c r="L56" i="10"/>
  <c r="K65" i="10"/>
  <c r="K64" i="10"/>
  <c r="K63" i="10"/>
  <c r="K62" i="10"/>
  <c r="K61" i="10"/>
  <c r="K60" i="10"/>
  <c r="K59" i="10"/>
  <c r="K57" i="10"/>
  <c r="K56" i="10"/>
  <c r="J65" i="10"/>
  <c r="J64" i="10"/>
  <c r="J63" i="10"/>
  <c r="J62" i="10"/>
  <c r="J61" i="10"/>
  <c r="J60" i="10"/>
  <c r="J59" i="10"/>
  <c r="J57" i="10"/>
  <c r="J56" i="10"/>
  <c r="I65" i="10"/>
  <c r="I64" i="10"/>
  <c r="I63" i="10"/>
  <c r="I62" i="10"/>
  <c r="I61" i="10"/>
  <c r="I60" i="10"/>
  <c r="I59" i="10"/>
  <c r="I57" i="10"/>
  <c r="I56" i="10"/>
  <c r="H65" i="10"/>
  <c r="H64" i="10"/>
  <c r="H63" i="10"/>
  <c r="H62" i="10"/>
  <c r="H61" i="10"/>
  <c r="H60" i="10"/>
  <c r="H59" i="10"/>
  <c r="H57" i="10"/>
  <c r="H56" i="10"/>
  <c r="G60" i="10"/>
  <c r="D58" i="10"/>
  <c r="Q58" i="10" s="1"/>
  <c r="F89" i="10"/>
  <c r="G65" i="10"/>
  <c r="S12" i="44"/>
  <c r="S82" i="44"/>
  <c r="N162" i="11"/>
  <c r="N166" i="11" s="1"/>
  <c r="M162" i="11"/>
  <c r="L162" i="11"/>
  <c r="K162" i="11"/>
  <c r="J162" i="11"/>
  <c r="I162" i="11"/>
  <c r="H162" i="11"/>
  <c r="G162" i="11"/>
  <c r="F162" i="11"/>
  <c r="E162" i="11"/>
  <c r="D162" i="11"/>
  <c r="C162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7" i="11"/>
  <c r="P136" i="11"/>
  <c r="P124" i="11"/>
  <c r="P112" i="11"/>
  <c r="P100" i="11"/>
  <c r="P88" i="11"/>
  <c r="P76" i="11"/>
  <c r="P64" i="11"/>
  <c r="P52" i="11"/>
  <c r="P40" i="11"/>
  <c r="P28" i="11"/>
  <c r="P16" i="11"/>
  <c r="B178" i="12"/>
  <c r="B117" i="12"/>
  <c r="S69" i="10" l="1"/>
  <c r="T69" i="10" s="1"/>
  <c r="U69" i="10" s="1"/>
  <c r="S74" i="10"/>
  <c r="T74" i="10" s="1"/>
  <c r="U74" i="10" s="1"/>
  <c r="S72" i="10"/>
  <c r="T72" i="10" s="1"/>
  <c r="U72" i="10" s="1"/>
  <c r="S73" i="10"/>
  <c r="T73" i="10" s="1"/>
  <c r="U73" i="10" s="1"/>
  <c r="S71" i="10"/>
  <c r="T71" i="10" s="1"/>
  <c r="U71" i="10" s="1"/>
  <c r="S68" i="10"/>
  <c r="T68" i="10" s="1"/>
  <c r="U68" i="10" s="1"/>
  <c r="S70" i="10"/>
  <c r="T70" i="10" s="1"/>
  <c r="U70" i="10" s="1"/>
  <c r="S65" i="10"/>
  <c r="L58" i="10"/>
  <c r="R58" i="10"/>
  <c r="I58" i="10"/>
  <c r="H58" i="10"/>
  <c r="M58" i="10"/>
  <c r="S60" i="10"/>
  <c r="T60" i="10" s="1"/>
  <c r="U60" i="10" s="1"/>
  <c r="J58" i="10"/>
  <c r="P58" i="10"/>
  <c r="O58" i="10"/>
  <c r="N58" i="10"/>
  <c r="K58" i="10"/>
  <c r="D1297" i="19" l="1"/>
  <c r="D1232" i="19"/>
  <c r="D1087" i="19"/>
  <c r="D922" i="19"/>
  <c r="D817" i="19"/>
  <c r="D704" i="19"/>
  <c r="D1302" i="19"/>
  <c r="D1305" i="19"/>
  <c r="D1151" i="19"/>
  <c r="D1094" i="19"/>
  <c r="D1165" i="2"/>
  <c r="C1090" i="19"/>
  <c r="D1091" i="19" s="1"/>
  <c r="C1082" i="2"/>
  <c r="D1083" i="2" s="1"/>
  <c r="D1319" i="2" l="1"/>
  <c r="D99" i="2"/>
  <c r="D509" i="19" l="1"/>
  <c r="C1197" i="2"/>
  <c r="C1049" i="2"/>
  <c r="C440" i="2"/>
  <c r="C885" i="2"/>
  <c r="C758" i="2"/>
  <c r="C647" i="2"/>
  <c r="C510" i="2"/>
  <c r="C313" i="2"/>
  <c r="C323" i="2"/>
  <c r="C330" i="2"/>
  <c r="C510" i="19" l="1"/>
  <c r="D962" i="19"/>
  <c r="D1190" i="19"/>
  <c r="D1415" i="2"/>
  <c r="D1179" i="19"/>
  <c r="D1193" i="19"/>
  <c r="C963" i="2"/>
  <c r="D1063" i="19"/>
  <c r="D1117" i="19"/>
  <c r="D1164" i="19"/>
  <c r="D1227" i="19"/>
  <c r="D1039" i="19"/>
  <c r="D1174" i="2"/>
  <c r="D1108" i="19"/>
  <c r="D1105" i="19"/>
  <c r="C998" i="19"/>
  <c r="D891" i="19"/>
  <c r="D904" i="19"/>
  <c r="D941" i="19"/>
  <c r="D1047" i="2"/>
  <c r="D718" i="19"/>
  <c r="D721" i="19"/>
  <c r="D766" i="19"/>
  <c r="D765" i="2"/>
  <c r="C820" i="2"/>
  <c r="D855" i="2"/>
  <c r="D821" i="19"/>
  <c r="D694" i="19"/>
  <c r="C968" i="3"/>
  <c r="D624" i="19"/>
  <c r="C689" i="19"/>
  <c r="D741" i="2"/>
  <c r="D790" i="19"/>
  <c r="D525" i="19"/>
  <c r="D660" i="19"/>
  <c r="D559" i="19"/>
  <c r="C530" i="2"/>
  <c r="C958" i="3"/>
  <c r="D627" i="19"/>
  <c r="D595" i="2"/>
  <c r="D597" i="19"/>
  <c r="D1270" i="19"/>
  <c r="C253" i="19"/>
  <c r="D469" i="19"/>
  <c r="D669" i="19"/>
  <c r="D528" i="19"/>
  <c r="D500" i="19"/>
  <c r="D470" i="2"/>
  <c r="D444" i="19"/>
  <c r="D441" i="19"/>
  <c r="D582" i="19"/>
  <c r="D457" i="19"/>
  <c r="D346" i="2"/>
  <c r="D466" i="19"/>
  <c r="D405" i="19"/>
  <c r="D402" i="19"/>
  <c r="D506" i="19"/>
  <c r="D494" i="2"/>
  <c r="D397" i="19"/>
  <c r="D332" i="19"/>
  <c r="D279" i="2"/>
  <c r="D379" i="19"/>
  <c r="D347" i="19"/>
  <c r="D463" i="19"/>
  <c r="D295" i="19"/>
  <c r="D389" i="19"/>
  <c r="D965" i="2" l="1"/>
  <c r="D182" i="19" l="1"/>
  <c r="D16" i="19"/>
  <c r="D158" i="19"/>
  <c r="D329" i="19"/>
  <c r="D277" i="19"/>
  <c r="D151" i="2"/>
  <c r="D137" i="2"/>
  <c r="D171" i="19"/>
  <c r="D168" i="19"/>
  <c r="D179" i="2"/>
  <c r="D121" i="19"/>
  <c r="D118" i="19"/>
  <c r="D45" i="2"/>
  <c r="D8" i="19"/>
  <c r="D165" i="19"/>
  <c r="D58" i="2"/>
  <c r="D148" i="2"/>
  <c r="P460" i="36" l="1"/>
  <c r="P980" i="36"/>
  <c r="P979" i="36"/>
  <c r="P978" i="36"/>
  <c r="P977" i="36"/>
  <c r="P976" i="36"/>
  <c r="P996" i="36"/>
  <c r="P992" i="36"/>
  <c r="P991" i="36"/>
  <c r="P990" i="36"/>
  <c r="P989" i="36"/>
  <c r="P988" i="36"/>
  <c r="P986" i="36"/>
  <c r="P984" i="36"/>
  <c r="P983" i="36"/>
  <c r="P982" i="36"/>
  <c r="P975" i="36"/>
  <c r="P234" i="36"/>
  <c r="D528" i="2"/>
  <c r="P875" i="36" l="1"/>
  <c r="P872" i="36"/>
  <c r="P871" i="36"/>
  <c r="P870" i="36"/>
  <c r="P869" i="36"/>
  <c r="P868" i="36"/>
  <c r="P867" i="36"/>
  <c r="P866" i="36"/>
  <c r="P865" i="36"/>
  <c r="P864" i="36"/>
  <c r="P863" i="36"/>
  <c r="P862" i="36"/>
  <c r="P861" i="36"/>
  <c r="P860" i="36"/>
  <c r="P859" i="36"/>
  <c r="P858" i="36"/>
  <c r="P857" i="36"/>
  <c r="P856" i="36"/>
  <c r="P855" i="36"/>
  <c r="P854" i="36"/>
  <c r="P853" i="36"/>
  <c r="P852" i="36"/>
  <c r="P851" i="36"/>
  <c r="P850" i="36"/>
  <c r="P849" i="36"/>
  <c r="P848" i="36"/>
  <c r="P847" i="36"/>
  <c r="P846" i="36"/>
  <c r="P845" i="36"/>
  <c r="P844" i="36"/>
  <c r="P843" i="36"/>
  <c r="P842" i="36"/>
  <c r="P841" i="36"/>
  <c r="P840" i="36"/>
  <c r="P839" i="36"/>
  <c r="P838" i="36"/>
  <c r="P837" i="36"/>
  <c r="P836" i="36"/>
  <c r="P835" i="36"/>
  <c r="P834" i="36"/>
  <c r="P833" i="36"/>
  <c r="P832" i="36"/>
  <c r="P831" i="36"/>
  <c r="P830" i="36"/>
  <c r="P829" i="36"/>
  <c r="P828" i="36"/>
  <c r="P827" i="36"/>
  <c r="P826" i="36"/>
  <c r="P825" i="36"/>
  <c r="P824" i="36"/>
  <c r="P823" i="36"/>
  <c r="P822" i="36"/>
  <c r="P821" i="36"/>
  <c r="P820" i="36"/>
  <c r="P819" i="36"/>
  <c r="P818" i="36"/>
  <c r="P817" i="36"/>
  <c r="P816" i="36"/>
  <c r="P815" i="36"/>
  <c r="P814" i="36"/>
  <c r="P813" i="36"/>
  <c r="P812" i="36"/>
  <c r="P810" i="36"/>
  <c r="P811" i="36"/>
  <c r="P809" i="36"/>
  <c r="P808" i="36"/>
  <c r="P807" i="36"/>
  <c r="P806" i="36"/>
  <c r="P805" i="36"/>
  <c r="P804" i="36"/>
  <c r="P803" i="36"/>
  <c r="P802" i="36"/>
  <c r="P801" i="36"/>
  <c r="P800" i="36"/>
  <c r="P888" i="36"/>
  <c r="M467" i="36" l="1"/>
  <c r="P793" i="36"/>
  <c r="P794" i="36"/>
  <c r="P797" i="36"/>
  <c r="P798" i="36"/>
  <c r="P799" i="36"/>
  <c r="P752" i="36"/>
  <c r="P753" i="36"/>
  <c r="P758" i="36"/>
  <c r="P759" i="36"/>
  <c r="P760" i="36"/>
  <c r="P761" i="36"/>
  <c r="P762" i="36"/>
  <c r="P763" i="36"/>
  <c r="P765" i="36"/>
  <c r="P768" i="36"/>
  <c r="P770" i="36"/>
  <c r="P771" i="36"/>
  <c r="P772" i="36"/>
  <c r="P773" i="36"/>
  <c r="P774" i="36"/>
  <c r="P775" i="36"/>
  <c r="P776" i="36"/>
  <c r="P777" i="36"/>
  <c r="P780" i="36"/>
  <c r="P781" i="36"/>
  <c r="P782" i="36"/>
  <c r="P783" i="36"/>
  <c r="P784" i="36"/>
  <c r="P785" i="36"/>
  <c r="P786" i="36"/>
  <c r="P787" i="36"/>
  <c r="P789" i="36"/>
  <c r="P796" i="36"/>
  <c r="P795" i="36"/>
  <c r="P792" i="36"/>
  <c r="P791" i="36"/>
  <c r="P790" i="36"/>
  <c r="P788" i="36"/>
  <c r="P779" i="36"/>
  <c r="P778" i="36"/>
  <c r="P769" i="36"/>
  <c r="P767" i="36"/>
  <c r="P766" i="36"/>
  <c r="P764" i="36"/>
  <c r="P757" i="36"/>
  <c r="P756" i="36"/>
  <c r="P755" i="36"/>
  <c r="P754" i="36"/>
  <c r="P751" i="36"/>
  <c r="P750" i="36"/>
  <c r="P504" i="36"/>
  <c r="P496" i="36"/>
  <c r="P491" i="36"/>
  <c r="P490" i="36"/>
  <c r="P489" i="36"/>
  <c r="P488" i="36"/>
  <c r="P472" i="36"/>
  <c r="P471" i="36"/>
  <c r="P473" i="36"/>
  <c r="P467" i="36"/>
  <c r="P469" i="36"/>
  <c r="P468" i="36"/>
  <c r="P519" i="36" l="1"/>
  <c r="P518" i="36"/>
  <c r="P517" i="36"/>
  <c r="P516" i="36"/>
  <c r="P515" i="36"/>
  <c r="P514" i="36"/>
  <c r="P513" i="36"/>
  <c r="P512" i="36"/>
  <c r="P511" i="36"/>
  <c r="P510" i="36"/>
  <c r="P509" i="36"/>
  <c r="P508" i="36"/>
  <c r="P507" i="36"/>
  <c r="P506" i="36"/>
  <c r="P505" i="36"/>
  <c r="P503" i="36"/>
  <c r="P502" i="36"/>
  <c r="P501" i="36"/>
  <c r="P500" i="36"/>
  <c r="P499" i="36"/>
  <c r="P498" i="36"/>
  <c r="P497" i="36"/>
  <c r="P495" i="36"/>
  <c r="P494" i="36"/>
  <c r="P493" i="36"/>
  <c r="P492" i="36"/>
  <c r="P482" i="36"/>
  <c r="P481" i="36"/>
  <c r="P480" i="36"/>
  <c r="P479" i="36"/>
  <c r="P478" i="36"/>
  <c r="P477" i="36"/>
  <c r="P476" i="36"/>
  <c r="P475" i="36"/>
  <c r="P474" i="36"/>
  <c r="P470" i="36"/>
  <c r="P466" i="36"/>
  <c r="P465" i="36"/>
  <c r="P464" i="36"/>
  <c r="P463" i="36"/>
  <c r="P462" i="36"/>
  <c r="P461" i="36"/>
  <c r="P459" i="36"/>
  <c r="P191" i="36"/>
  <c r="P183" i="36"/>
  <c r="P202" i="36"/>
  <c r="P199" i="36"/>
  <c r="P194" i="36"/>
  <c r="B166" i="12" l="1"/>
  <c r="B105" i="12"/>
  <c r="Q166" i="12"/>
  <c r="P572" i="36"/>
  <c r="P571" i="36"/>
  <c r="P570" i="36"/>
  <c r="P569" i="36"/>
  <c r="P567" i="36"/>
  <c r="P566" i="36"/>
  <c r="P565" i="36"/>
  <c r="P564" i="36"/>
  <c r="P560" i="36"/>
  <c r="P559" i="36"/>
  <c r="P558" i="36"/>
  <c r="P556" i="36"/>
  <c r="P554" i="36"/>
  <c r="P553" i="36"/>
  <c r="P552" i="36"/>
  <c r="P549" i="36"/>
  <c r="P548" i="36"/>
  <c r="P547" i="36"/>
  <c r="P546" i="36"/>
  <c r="P545" i="36"/>
  <c r="P542" i="36"/>
  <c r="P541" i="36"/>
  <c r="P540" i="36"/>
  <c r="P539" i="36"/>
  <c r="P538" i="36"/>
  <c r="P536" i="36"/>
  <c r="P535" i="36"/>
  <c r="P534" i="36"/>
  <c r="P530" i="36"/>
  <c r="P529" i="36"/>
  <c r="P528" i="36"/>
  <c r="P575" i="36"/>
  <c r="P574" i="36"/>
  <c r="P573" i="36"/>
  <c r="P568" i="36"/>
  <c r="P563" i="36"/>
  <c r="P562" i="36"/>
  <c r="P561" i="36"/>
  <c r="P557" i="36"/>
  <c r="P555" i="36"/>
  <c r="P551" i="36"/>
  <c r="P550" i="36"/>
  <c r="P544" i="36"/>
  <c r="P543" i="36"/>
  <c r="P537" i="36"/>
  <c r="P533" i="36"/>
  <c r="P532" i="36"/>
  <c r="P531" i="36"/>
  <c r="P527" i="36"/>
  <c r="P526" i="36"/>
  <c r="P525" i="36"/>
  <c r="P524" i="36"/>
  <c r="P523" i="36"/>
  <c r="P522" i="36"/>
  <c r="P521" i="36"/>
  <c r="P520" i="36"/>
  <c r="P452" i="36"/>
  <c r="P451" i="36"/>
  <c r="P448" i="36"/>
  <c r="P444" i="36"/>
  <c r="P443" i="36"/>
  <c r="P442" i="36"/>
  <c r="P439" i="36"/>
  <c r="P409" i="36"/>
  <c r="P408" i="36"/>
  <c r="P407" i="36"/>
  <c r="P378" i="36"/>
  <c r="P377" i="36"/>
  <c r="P376" i="36"/>
  <c r="P375" i="36"/>
  <c r="P374" i="36"/>
  <c r="P373" i="36"/>
  <c r="P372" i="36"/>
  <c r="P371" i="36"/>
  <c r="P370" i="36"/>
  <c r="P369" i="36"/>
  <c r="P368" i="36"/>
  <c r="P364" i="36"/>
  <c r="P362" i="36"/>
  <c r="P361" i="36"/>
  <c r="P360" i="36"/>
  <c r="P359" i="36"/>
  <c r="P350" i="36"/>
  <c r="P341" i="36"/>
  <c r="P340" i="36"/>
  <c r="P339" i="36"/>
  <c r="P338" i="36"/>
  <c r="P337" i="36"/>
  <c r="P336" i="36"/>
  <c r="P335" i="36"/>
  <c r="P334" i="36"/>
  <c r="P333" i="36"/>
  <c r="P332" i="36"/>
  <c r="P331" i="36"/>
  <c r="P330" i="36"/>
  <c r="P329" i="36"/>
  <c r="P328" i="36"/>
  <c r="P327" i="36"/>
  <c r="P326" i="36"/>
  <c r="P325" i="36"/>
  <c r="P324" i="36"/>
  <c r="P314" i="36"/>
  <c r="P313" i="36"/>
  <c r="P312" i="36"/>
  <c r="P311" i="36"/>
  <c r="P310" i="36"/>
  <c r="P309" i="36"/>
  <c r="P308" i="36"/>
  <c r="P307" i="36"/>
  <c r="P301" i="36"/>
  <c r="P296" i="36"/>
  <c r="P282" i="36"/>
  <c r="P263" i="36"/>
  <c r="P262" i="36"/>
  <c r="P256" i="36"/>
  <c r="P247" i="36"/>
  <c r="P240" i="36"/>
  <c r="P235" i="36"/>
  <c r="P229" i="36"/>
  <c r="P223" i="36"/>
  <c r="P221" i="36"/>
  <c r="P219" i="36"/>
  <c r="P217" i="36"/>
  <c r="P216" i="36"/>
  <c r="P215" i="36"/>
  <c r="P196" i="36"/>
  <c r="P177" i="36"/>
  <c r="P171" i="36"/>
  <c r="P164" i="36"/>
  <c r="P163" i="36"/>
  <c r="P162" i="36"/>
  <c r="P158" i="36"/>
  <c r="P156" i="36"/>
  <c r="P154" i="36"/>
  <c r="P152" i="36"/>
  <c r="P151" i="36"/>
  <c r="P150" i="36"/>
  <c r="P146" i="36"/>
  <c r="P144" i="36"/>
  <c r="P140" i="36"/>
  <c r="P138" i="36"/>
  <c r="P135" i="36"/>
  <c r="P134" i="36"/>
  <c r="P132" i="36"/>
  <c r="P131" i="36"/>
  <c r="P130" i="36"/>
  <c r="P129" i="36"/>
  <c r="P128" i="36"/>
  <c r="P127" i="36"/>
  <c r="P126" i="36"/>
  <c r="P125" i="36"/>
  <c r="P124" i="36"/>
  <c r="P123" i="36"/>
  <c r="P122" i="36"/>
  <c r="P121" i="36"/>
  <c r="P120" i="36"/>
  <c r="P119" i="36"/>
  <c r="P100" i="36"/>
  <c r="P89" i="36"/>
  <c r="P77" i="36"/>
  <c r="P75" i="36"/>
  <c r="P74" i="36"/>
  <c r="P72" i="36"/>
  <c r="P64" i="36"/>
  <c r="P63" i="36"/>
  <c r="P62" i="36"/>
  <c r="P61" i="36"/>
  <c r="P60" i="36"/>
  <c r="P59" i="36"/>
  <c r="P57" i="36"/>
  <c r="P56" i="36"/>
  <c r="P55" i="36"/>
  <c r="P35" i="36"/>
  <c r="P32" i="36"/>
  <c r="P31" i="36"/>
  <c r="P29" i="36"/>
  <c r="P28" i="36"/>
  <c r="P30" i="36"/>
  <c r="B151" i="12"/>
  <c r="B90" i="12"/>
  <c r="P749" i="36"/>
  <c r="P748" i="36"/>
  <c r="P747" i="36"/>
  <c r="P746" i="36"/>
  <c r="P745" i="36"/>
  <c r="P744" i="36"/>
  <c r="P743" i="36"/>
  <c r="P742" i="36"/>
  <c r="P741" i="36"/>
  <c r="P740" i="36"/>
  <c r="P739" i="36"/>
  <c r="P738" i="36"/>
  <c r="P737" i="36"/>
  <c r="P736" i="36"/>
  <c r="P725" i="36"/>
  <c r="P724" i="36"/>
  <c r="P723" i="36"/>
  <c r="P722" i="36"/>
  <c r="P721" i="36"/>
  <c r="P720" i="36"/>
  <c r="P719" i="36"/>
  <c r="P718" i="36"/>
  <c r="P717" i="36"/>
  <c r="P716" i="36"/>
  <c r="P715" i="36"/>
  <c r="P714" i="36"/>
  <c r="P713" i="36"/>
  <c r="P712" i="36"/>
  <c r="P711" i="36"/>
  <c r="P710" i="36"/>
  <c r="P709" i="36"/>
  <c r="P708" i="36"/>
  <c r="M691" i="36"/>
  <c r="P707" i="36"/>
  <c r="P706" i="36"/>
  <c r="P705" i="36"/>
  <c r="P702" i="36"/>
  <c r="P701" i="36"/>
  <c r="P700" i="36"/>
  <c r="P699" i="36"/>
  <c r="P698" i="36"/>
  <c r="P697" i="36"/>
  <c r="P696" i="36"/>
  <c r="P695" i="36"/>
  <c r="P694" i="36"/>
  <c r="P693" i="36"/>
  <c r="P692" i="36"/>
  <c r="P690" i="36"/>
  <c r="P689" i="36"/>
  <c r="P688" i="36"/>
  <c r="P687" i="36"/>
  <c r="P686" i="36"/>
  <c r="P685" i="36"/>
  <c r="P684" i="36"/>
  <c r="P683" i="36"/>
  <c r="P682" i="36"/>
  <c r="P681" i="36"/>
  <c r="P680" i="36"/>
  <c r="P679" i="36"/>
  <c r="P678" i="36"/>
  <c r="P677" i="36"/>
  <c r="P323" i="36"/>
  <c r="P322" i="36"/>
  <c r="P321" i="36"/>
  <c r="P320" i="36"/>
  <c r="P319" i="36"/>
  <c r="P317" i="36"/>
  <c r="P316" i="36"/>
  <c r="P297" i="36"/>
  <c r="P293" i="36"/>
  <c r="P291" i="36"/>
  <c r="P290" i="36"/>
  <c r="P288" i="36"/>
  <c r="P271" i="36"/>
  <c r="P118" i="36"/>
  <c r="P117" i="36"/>
  <c r="P116" i="36"/>
  <c r="P115" i="36"/>
  <c r="P114" i="36"/>
  <c r="P113" i="36"/>
  <c r="P112" i="36"/>
  <c r="P111" i="36"/>
  <c r="I78" i="36"/>
  <c r="P110" i="36"/>
  <c r="P109" i="36"/>
  <c r="P108" i="36"/>
  <c r="P107" i="36"/>
  <c r="P106" i="36"/>
  <c r="P105" i="36"/>
  <c r="P104" i="36"/>
  <c r="P103" i="36"/>
  <c r="P102" i="36"/>
  <c r="P101" i="36"/>
  <c r="P97" i="36"/>
  <c r="P96" i="36"/>
  <c r="P95" i="36"/>
  <c r="P94" i="36"/>
  <c r="P93" i="36"/>
  <c r="P92" i="36"/>
  <c r="P91" i="36"/>
  <c r="P88" i="36"/>
  <c r="P87" i="36"/>
  <c r="P86" i="36"/>
  <c r="P85" i="36"/>
  <c r="P54" i="36"/>
  <c r="P53" i="36"/>
  <c r="P52" i="36"/>
  <c r="P50" i="36"/>
  <c r="P49" i="36"/>
  <c r="P48" i="36"/>
  <c r="P47" i="36"/>
  <c r="P46" i="36"/>
  <c r="P45" i="36"/>
  <c r="P44" i="36"/>
  <c r="P43" i="36"/>
  <c r="P42" i="36"/>
  <c r="P41" i="36"/>
  <c r="P40" i="36"/>
  <c r="P691" i="36" l="1"/>
  <c r="M998" i="36"/>
  <c r="Q151" i="12"/>
  <c r="S33" i="44"/>
  <c r="S32" i="44"/>
  <c r="P300" i="36"/>
  <c r="P299" i="36"/>
  <c r="P298" i="36"/>
  <c r="P295" i="36"/>
  <c r="P294" i="36"/>
  <c r="P292" i="36"/>
  <c r="D1398" i="2"/>
  <c r="D1394" i="2" l="1"/>
  <c r="P877" i="36"/>
  <c r="P51" i="36"/>
  <c r="P735" i="36" l="1"/>
  <c r="P734" i="36"/>
  <c r="P733" i="36"/>
  <c r="P732" i="36"/>
  <c r="P731" i="36"/>
  <c r="P730" i="36"/>
  <c r="P729" i="36"/>
  <c r="P728" i="36"/>
  <c r="P727" i="36"/>
  <c r="P726" i="36"/>
  <c r="P704" i="36"/>
  <c r="P703" i="36" l="1"/>
  <c r="P676" i="36"/>
  <c r="P887" i="36" l="1"/>
  <c r="E5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P429" i="36" l="1"/>
  <c r="P454" i="36"/>
  <c r="D2884" i="3" l="1"/>
  <c r="D3303" i="3" s="1"/>
  <c r="D1390" i="2" l="1"/>
  <c r="B134" i="12" l="1"/>
  <c r="B135" i="12"/>
  <c r="B73" i="12"/>
  <c r="S30" i="44"/>
  <c r="S29" i="44"/>
  <c r="S18" i="44"/>
  <c r="D616" i="1"/>
  <c r="D584" i="1"/>
  <c r="C585" i="1" s="1"/>
  <c r="Q134" i="12" l="1"/>
  <c r="S86" i="10"/>
  <c r="T86" i="10" s="1"/>
  <c r="U86" i="10" s="1"/>
  <c r="S85" i="10"/>
  <c r="T85" i="10" s="1"/>
  <c r="U85" i="10" s="1"/>
  <c r="S83" i="10" l="1"/>
  <c r="T83" i="10" s="1"/>
  <c r="U83" i="10" s="1"/>
  <c r="C72" i="3"/>
  <c r="E72" i="3" l="1"/>
  <c r="C73" i="3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S84" i="10"/>
  <c r="T84" i="10" s="1"/>
  <c r="U84" i="10" s="1"/>
  <c r="S82" i="10"/>
  <c r="T82" i="10" s="1"/>
  <c r="U82" i="10" s="1"/>
  <c r="S81" i="10"/>
  <c r="T81" i="10" s="1"/>
  <c r="U81" i="10" s="1"/>
  <c r="S80" i="10"/>
  <c r="T80" i="10" s="1"/>
  <c r="U80" i="10" s="1"/>
  <c r="D87" i="10"/>
  <c r="S99" i="10"/>
  <c r="T99" i="10" s="1"/>
  <c r="U99" i="10" s="1"/>
  <c r="S79" i="10"/>
  <c r="T79" i="10" s="1"/>
  <c r="U79" i="10" s="1"/>
  <c r="S78" i="10"/>
  <c r="T78" i="10" s="1"/>
  <c r="U78" i="10" s="1"/>
  <c r="P348" i="36"/>
  <c r="P349" i="36"/>
  <c r="P351" i="36"/>
  <c r="P352" i="36"/>
  <c r="P353" i="36"/>
  <c r="P354" i="36"/>
  <c r="P355" i="36"/>
  <c r="P356" i="36"/>
  <c r="P357" i="36"/>
  <c r="P366" i="36"/>
  <c r="P367" i="36"/>
  <c r="P379" i="36"/>
  <c r="P380" i="36"/>
  <c r="P381" i="36"/>
  <c r="P382" i="36"/>
  <c r="P383" i="36"/>
  <c r="P384" i="36"/>
  <c r="P385" i="36"/>
  <c r="P389" i="36"/>
  <c r="P390" i="36"/>
  <c r="P391" i="36"/>
  <c r="P392" i="36"/>
  <c r="P393" i="36"/>
  <c r="P394" i="36"/>
  <c r="P395" i="36"/>
  <c r="P396" i="36"/>
  <c r="P397" i="36"/>
  <c r="P402" i="36"/>
  <c r="P403" i="36"/>
  <c r="P404" i="36"/>
  <c r="P405" i="36"/>
  <c r="P406" i="36"/>
  <c r="P410" i="36"/>
  <c r="P411" i="36"/>
  <c r="P412" i="36"/>
  <c r="P416" i="36"/>
  <c r="P417" i="36"/>
  <c r="P418" i="36"/>
  <c r="P419" i="36"/>
  <c r="P421" i="36"/>
  <c r="P422" i="36"/>
  <c r="P423" i="36"/>
  <c r="P424" i="36"/>
  <c r="P425" i="36"/>
  <c r="P428" i="36"/>
  <c r="P431" i="36"/>
  <c r="P432" i="36"/>
  <c r="P433" i="36"/>
  <c r="P434" i="36"/>
  <c r="P435" i="36"/>
  <c r="P436" i="36"/>
  <c r="P441" i="36"/>
  <c r="P445" i="36"/>
  <c r="P446" i="36"/>
  <c r="P447" i="36"/>
  <c r="P449" i="36"/>
  <c r="P450" i="36"/>
  <c r="P453" i="36"/>
  <c r="P455" i="36"/>
  <c r="P483" i="36"/>
  <c r="P484" i="36"/>
  <c r="P485" i="36"/>
  <c r="P486" i="36"/>
  <c r="P487" i="36"/>
  <c r="P576" i="36"/>
  <c r="P577" i="36"/>
  <c r="P578" i="36"/>
  <c r="P579" i="36"/>
  <c r="P580" i="36"/>
  <c r="P583" i="36"/>
  <c r="P584" i="36"/>
  <c r="P585" i="36"/>
  <c r="P586" i="36"/>
  <c r="P587" i="36"/>
  <c r="P588" i="36"/>
  <c r="P589" i="36"/>
  <c r="P590" i="36"/>
  <c r="P591" i="36"/>
  <c r="P595" i="36"/>
  <c r="P596" i="36"/>
  <c r="P597" i="36"/>
  <c r="P598" i="36"/>
  <c r="P599" i="36"/>
  <c r="P601" i="36"/>
  <c r="P602" i="36"/>
  <c r="P603" i="36"/>
  <c r="P606" i="36"/>
  <c r="P607" i="36"/>
  <c r="P608" i="36"/>
  <c r="P609" i="36"/>
  <c r="P612" i="36"/>
  <c r="P613" i="36"/>
  <c r="P614" i="36"/>
  <c r="P615" i="36"/>
  <c r="P621" i="36"/>
  <c r="P622" i="36"/>
  <c r="P623" i="36"/>
  <c r="P624" i="36"/>
  <c r="P625" i="36"/>
  <c r="P626" i="36"/>
  <c r="P627" i="36"/>
  <c r="P630" i="36"/>
  <c r="P631" i="36"/>
  <c r="P633" i="36"/>
  <c r="P634" i="36"/>
  <c r="P635" i="36"/>
  <c r="P636" i="36"/>
  <c r="P637" i="36"/>
  <c r="P638" i="36"/>
  <c r="P639" i="36"/>
  <c r="P640" i="36"/>
  <c r="P643" i="36"/>
  <c r="P645" i="36"/>
  <c r="P646" i="36"/>
  <c r="P647" i="36"/>
  <c r="P648" i="36"/>
  <c r="P649" i="36"/>
  <c r="P650" i="36"/>
  <c r="P651" i="36"/>
  <c r="P656" i="36"/>
  <c r="P657" i="36"/>
  <c r="P658" i="36"/>
  <c r="P659" i="36"/>
  <c r="P660" i="36"/>
  <c r="P661" i="36"/>
  <c r="P662" i="36"/>
  <c r="P663" i="36"/>
  <c r="P667" i="36"/>
  <c r="P668" i="36"/>
  <c r="P669" i="36"/>
  <c r="P670" i="36"/>
  <c r="P672" i="36"/>
  <c r="P673" i="36"/>
  <c r="P674" i="36"/>
  <c r="P675" i="36"/>
  <c r="P358" i="36"/>
  <c r="P363" i="36"/>
  <c r="P365" i="36"/>
  <c r="P386" i="36"/>
  <c r="P387" i="36"/>
  <c r="P388" i="36"/>
  <c r="P398" i="36"/>
  <c r="P399" i="36"/>
  <c r="P400" i="36"/>
  <c r="P401" i="36"/>
  <c r="P413" i="36"/>
  <c r="P414" i="36"/>
  <c r="P415" i="36"/>
  <c r="P420" i="36"/>
  <c r="P426" i="36"/>
  <c r="P427" i="36"/>
  <c r="P430" i="36"/>
  <c r="P437" i="36"/>
  <c r="P438" i="36"/>
  <c r="P440" i="36"/>
  <c r="P456" i="36"/>
  <c r="P457" i="36"/>
  <c r="P458" i="36"/>
  <c r="P581" i="36"/>
  <c r="P582" i="36"/>
  <c r="P592" i="36"/>
  <c r="P593" i="36"/>
  <c r="P594" i="36"/>
  <c r="P600" i="36"/>
  <c r="P604" i="36"/>
  <c r="P605" i="36"/>
  <c r="P610" i="36"/>
  <c r="P611" i="36"/>
  <c r="P616" i="36"/>
  <c r="P617" i="36"/>
  <c r="P618" i="36"/>
  <c r="P619" i="36"/>
  <c r="P620" i="36"/>
  <c r="P628" i="36"/>
  <c r="P629" i="36"/>
  <c r="P632" i="36"/>
  <c r="P641" i="36"/>
  <c r="P642" i="36"/>
  <c r="P644" i="36"/>
  <c r="P652" i="36"/>
  <c r="P653" i="36"/>
  <c r="P654" i="36"/>
  <c r="P655" i="36"/>
  <c r="P664" i="36"/>
  <c r="P665" i="36"/>
  <c r="P666" i="36"/>
  <c r="P671" i="36"/>
  <c r="P193" i="36"/>
  <c r="P178" i="36"/>
  <c r="P142" i="36"/>
  <c r="P143" i="36"/>
  <c r="P145" i="36"/>
  <c r="P147" i="36"/>
  <c r="P148" i="36"/>
  <c r="P149" i="36"/>
  <c r="P153" i="36"/>
  <c r="P155" i="36"/>
  <c r="P161" i="36"/>
  <c r="P167" i="36"/>
  <c r="P168" i="36"/>
  <c r="P169" i="36"/>
  <c r="P170" i="36"/>
  <c r="P172" i="36"/>
  <c r="P176" i="36"/>
  <c r="P179" i="36"/>
  <c r="P180" i="36"/>
  <c r="P181" i="36"/>
  <c r="P182" i="36"/>
  <c r="P184" i="36"/>
  <c r="P185" i="36"/>
  <c r="P186" i="36"/>
  <c r="P187" i="36"/>
  <c r="P192" i="36"/>
  <c r="P195" i="36"/>
  <c r="P197" i="36"/>
  <c r="P198" i="36"/>
  <c r="P200" i="36"/>
  <c r="P201" i="36"/>
  <c r="P203" i="36"/>
  <c r="P204" i="36"/>
  <c r="P205" i="36"/>
  <c r="P210" i="36"/>
  <c r="P211" i="36"/>
  <c r="P212" i="36"/>
  <c r="P213" i="36"/>
  <c r="P214" i="36"/>
  <c r="P218" i="36"/>
  <c r="P220" i="36"/>
  <c r="P226" i="36"/>
  <c r="P227" i="36"/>
  <c r="P228" i="36"/>
  <c r="P230" i="36"/>
  <c r="P231" i="36"/>
  <c r="P232" i="36"/>
  <c r="P233" i="36"/>
  <c r="P236" i="36"/>
  <c r="P237" i="36"/>
  <c r="P242" i="36"/>
  <c r="P243" i="36"/>
  <c r="P245" i="36"/>
  <c r="P246" i="36"/>
  <c r="P248" i="36"/>
  <c r="P249" i="36"/>
  <c r="P250" i="36"/>
  <c r="P251" i="36"/>
  <c r="P258" i="36"/>
  <c r="P259" i="36"/>
  <c r="P261" i="36"/>
  <c r="P264" i="36"/>
  <c r="P265" i="36"/>
  <c r="P266" i="36"/>
  <c r="P270" i="36"/>
  <c r="P272" i="36"/>
  <c r="P274" i="36"/>
  <c r="P275" i="36"/>
  <c r="P276" i="36"/>
  <c r="P277" i="36"/>
  <c r="P278" i="36"/>
  <c r="P279" i="36"/>
  <c r="P284" i="36"/>
  <c r="P285" i="36"/>
  <c r="P286" i="36"/>
  <c r="P287" i="36"/>
  <c r="P289" i="36"/>
  <c r="P133" i="36"/>
  <c r="P165" i="36"/>
  <c r="P166" i="36"/>
  <c r="P257" i="36"/>
  <c r="P347" i="36"/>
  <c r="P346" i="36"/>
  <c r="P345" i="36"/>
  <c r="P344" i="36"/>
  <c r="P343" i="36"/>
  <c r="P342" i="36"/>
  <c r="P318" i="36"/>
  <c r="P315" i="36"/>
  <c r="P306" i="36"/>
  <c r="P305" i="36"/>
  <c r="P304" i="36"/>
  <c r="P303" i="36"/>
  <c r="P302" i="36"/>
  <c r="P283" i="36"/>
  <c r="P281" i="36"/>
  <c r="P280" i="36"/>
  <c r="P273" i="36"/>
  <c r="P269" i="36"/>
  <c r="P268" i="36"/>
  <c r="P267" i="36"/>
  <c r="P260" i="36"/>
  <c r="P255" i="36"/>
  <c r="P254" i="36"/>
  <c r="P253" i="36"/>
  <c r="P252" i="36"/>
  <c r="P244" i="36"/>
  <c r="P241" i="36"/>
  <c r="P239" i="36"/>
  <c r="P238" i="36"/>
  <c r="P225" i="36"/>
  <c r="P224" i="36"/>
  <c r="P222" i="36"/>
  <c r="P209" i="36"/>
  <c r="P208" i="36"/>
  <c r="P207" i="36"/>
  <c r="P206" i="36"/>
  <c r="P190" i="36"/>
  <c r="P189" i="36"/>
  <c r="P188" i="36"/>
  <c r="P175" i="36"/>
  <c r="P174" i="36"/>
  <c r="P173" i="36"/>
  <c r="P160" i="36"/>
  <c r="P159" i="36"/>
  <c r="P157" i="36"/>
  <c r="P141" i="36"/>
  <c r="P139" i="36"/>
  <c r="P137" i="36"/>
  <c r="P136" i="36"/>
  <c r="P78" i="36"/>
  <c r="P99" i="36"/>
  <c r="P98" i="36"/>
  <c r="P90" i="36"/>
  <c r="P84" i="36"/>
  <c r="P83" i="36"/>
  <c r="P82" i="36"/>
  <c r="P81" i="36"/>
  <c r="P80" i="36"/>
  <c r="P79" i="36"/>
  <c r="P76" i="36"/>
  <c r="P73" i="36"/>
  <c r="P71" i="36"/>
  <c r="P70" i="36"/>
  <c r="P69" i="36"/>
  <c r="P68" i="36"/>
  <c r="P67" i="36"/>
  <c r="P66" i="36"/>
  <c r="P65" i="36"/>
  <c r="P58" i="36"/>
  <c r="P39" i="36"/>
  <c r="P38" i="36"/>
  <c r="P37" i="36"/>
  <c r="P36" i="36"/>
  <c r="P34" i="36"/>
  <c r="P33" i="36"/>
  <c r="P27" i="36"/>
  <c r="S31" i="44"/>
  <c r="S28" i="44"/>
  <c r="S27" i="44"/>
  <c r="S26" i="44"/>
  <c r="S25" i="44"/>
  <c r="S24" i="44"/>
  <c r="S23" i="44"/>
  <c r="S22" i="44"/>
  <c r="S21" i="44"/>
  <c r="S20" i="44"/>
  <c r="S19" i="44"/>
  <c r="S17" i="44"/>
  <c r="S16" i="44"/>
  <c r="S15" i="44"/>
  <c r="K234" i="12"/>
  <c r="K127" i="12"/>
  <c r="J234" i="12"/>
  <c r="D632" i="14"/>
  <c r="C632" i="14"/>
  <c r="B74" i="12"/>
  <c r="AA255" i="43"/>
  <c r="R87" i="10" l="1"/>
  <c r="L87" i="10"/>
  <c r="M87" i="10"/>
  <c r="G87" i="10"/>
  <c r="N87" i="10"/>
  <c r="H87" i="10"/>
  <c r="J87" i="10"/>
  <c r="Q87" i="10"/>
  <c r="O87" i="10"/>
  <c r="I87" i="10"/>
  <c r="P87" i="10"/>
  <c r="K87" i="10"/>
  <c r="Q135" i="12"/>
  <c r="D633" i="14"/>
  <c r="K5" i="44"/>
  <c r="B130" i="12"/>
  <c r="B131" i="12"/>
  <c r="B132" i="12"/>
  <c r="B133" i="12"/>
  <c r="B136" i="12"/>
  <c r="B137" i="12"/>
  <c r="B138" i="12"/>
  <c r="B139" i="12"/>
  <c r="B140" i="12"/>
  <c r="B149" i="12"/>
  <c r="B150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7" i="12"/>
  <c r="B168" i="12"/>
  <c r="B169" i="12"/>
  <c r="B170" i="12"/>
  <c r="B171" i="12"/>
  <c r="B172" i="12"/>
  <c r="B173" i="12"/>
  <c r="B174" i="12"/>
  <c r="B175" i="12"/>
  <c r="B176" i="12"/>
  <c r="B177" i="12"/>
  <c r="B179" i="12"/>
  <c r="B180" i="12"/>
  <c r="B181" i="12"/>
  <c r="B182" i="12"/>
  <c r="B183" i="12"/>
  <c r="B184" i="12"/>
  <c r="B185" i="12"/>
  <c r="B186" i="12"/>
  <c r="A130" i="12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8" i="12" s="1"/>
  <c r="A149" i="12" s="1"/>
  <c r="B69" i="12"/>
  <c r="B70" i="12"/>
  <c r="B71" i="12"/>
  <c r="B72" i="12"/>
  <c r="B75" i="12"/>
  <c r="B76" i="12"/>
  <c r="B77" i="12"/>
  <c r="B78" i="12"/>
  <c r="B79" i="12"/>
  <c r="B80" i="12"/>
  <c r="B84" i="12"/>
  <c r="B85" i="12"/>
  <c r="B86" i="12"/>
  <c r="B87" i="12"/>
  <c r="B88" i="12"/>
  <c r="B89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6" i="12"/>
  <c r="B107" i="12"/>
  <c r="B108" i="12"/>
  <c r="B109" i="12"/>
  <c r="B110" i="12"/>
  <c r="B111" i="12"/>
  <c r="B112" i="12"/>
  <c r="B113" i="12"/>
  <c r="B114" i="12"/>
  <c r="B115" i="12"/>
  <c r="B116" i="12"/>
  <c r="B118" i="12"/>
  <c r="B119" i="12"/>
  <c r="B120" i="12"/>
  <c r="B121" i="12"/>
  <c r="B122" i="12"/>
  <c r="B123" i="12"/>
  <c r="B124" i="12"/>
  <c r="B125" i="12"/>
  <c r="A69" i="12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80" i="12" l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8" i="12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150" i="12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Q133" i="12"/>
  <c r="T65" i="10"/>
  <c r="U65" i="10" s="1"/>
  <c r="A42" i="12" l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164" i="12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00" i="12"/>
  <c r="A101" i="12" s="1"/>
  <c r="A102" i="12" s="1"/>
  <c r="A103" i="12" s="1"/>
  <c r="Q130" i="12"/>
  <c r="P973" i="36"/>
  <c r="A178" i="12" l="1"/>
  <c r="A179" i="12" s="1"/>
  <c r="A180" i="12" s="1"/>
  <c r="A181" i="12" s="1"/>
  <c r="A182" i="12" s="1"/>
  <c r="A183" i="12" s="1"/>
  <c r="A184" i="12" s="1"/>
  <c r="A185" i="12" s="1"/>
  <c r="A186" i="12" s="1"/>
  <c r="A55" i="12"/>
  <c r="A56" i="12" s="1"/>
  <c r="A57" i="12" s="1"/>
  <c r="A58" i="12" s="1"/>
  <c r="A59" i="12" s="1"/>
  <c r="A60" i="12" s="1"/>
  <c r="A61" i="12" s="1"/>
  <c r="A62" i="12" s="1"/>
  <c r="A63" i="12" s="1"/>
  <c r="A104" i="12"/>
  <c r="A105" i="12" l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P902" i="36"/>
  <c r="P892" i="36"/>
  <c r="P891" i="36"/>
  <c r="A116" i="12" l="1"/>
  <c r="A117" i="12" s="1"/>
  <c r="A118" i="12" s="1"/>
  <c r="A119" i="12" s="1"/>
  <c r="A120" i="12" s="1"/>
  <c r="A121" i="12" s="1"/>
  <c r="A122" i="12" s="1"/>
  <c r="A123" i="12" s="1"/>
  <c r="A124" i="12" s="1"/>
  <c r="A125" i="12" s="1"/>
  <c r="P899" i="36"/>
  <c r="P898" i="36"/>
  <c r="S162" i="44"/>
  <c r="S161" i="44"/>
  <c r="S160" i="44"/>
  <c r="S159" i="44"/>
  <c r="S158" i="44"/>
  <c r="S157" i="44"/>
  <c r="S156" i="44"/>
  <c r="S155" i="44"/>
  <c r="S168" i="44"/>
  <c r="S167" i="44"/>
  <c r="S166" i="44"/>
  <c r="S165" i="44"/>
  <c r="S164" i="44"/>
  <c r="S163" i="44"/>
  <c r="S154" i="44"/>
  <c r="S153" i="44"/>
  <c r="S152" i="44"/>
  <c r="S151" i="44"/>
  <c r="S150" i="44"/>
  <c r="S143" i="44"/>
  <c r="S142" i="44"/>
  <c r="S125" i="44" l="1"/>
  <c r="S103" i="44"/>
  <c r="S102" i="44"/>
  <c r="S79" i="44" l="1"/>
  <c r="S78" i="44"/>
  <c r="S77" i="44"/>
  <c r="S76" i="44"/>
  <c r="S75" i="44"/>
  <c r="S74" i="44"/>
  <c r="S73" i="44"/>
  <c r="S72" i="44"/>
  <c r="S71" i="44"/>
  <c r="S115" i="44"/>
  <c r="S7" i="44"/>
  <c r="S70" i="44"/>
  <c r="S69" i="44"/>
  <c r="S68" i="44"/>
  <c r="S67" i="44"/>
  <c r="P252" i="44"/>
  <c r="O252" i="44"/>
  <c r="N252" i="44"/>
  <c r="M252" i="44"/>
  <c r="L252" i="44"/>
  <c r="K252" i="44"/>
  <c r="I252" i="44"/>
  <c r="E252" i="44"/>
  <c r="S117" i="44"/>
  <c r="S188" i="44"/>
  <c r="S187" i="44"/>
  <c r="S186" i="44"/>
  <c r="S185" i="44"/>
  <c r="S184" i="44"/>
  <c r="S183" i="44"/>
  <c r="S182" i="44"/>
  <c r="S181" i="44"/>
  <c r="S180" i="44"/>
  <c r="S179" i="44"/>
  <c r="S178" i="44"/>
  <c r="S177" i="44"/>
  <c r="S176" i="44"/>
  <c r="S175" i="44"/>
  <c r="S174" i="44"/>
  <c r="S173" i="44"/>
  <c r="S172" i="44"/>
  <c r="S171" i="44"/>
  <c r="S170" i="44"/>
  <c r="S169" i="44"/>
  <c r="S149" i="44"/>
  <c r="S148" i="44"/>
  <c r="S147" i="44"/>
  <c r="S146" i="44"/>
  <c r="S145" i="44"/>
  <c r="S144" i="44"/>
  <c r="S141" i="44"/>
  <c r="S140" i="44"/>
  <c r="S139" i="44"/>
  <c r="S138" i="44"/>
  <c r="S137" i="44"/>
  <c r="S136" i="44"/>
  <c r="S135" i="44"/>
  <c r="S134" i="44"/>
  <c r="S133" i="44"/>
  <c r="S132" i="44"/>
  <c r="S131" i="44"/>
  <c r="S130" i="44"/>
  <c r="S129" i="44"/>
  <c r="S128" i="44"/>
  <c r="S127" i="44"/>
  <c r="S126" i="44"/>
  <c r="S124" i="44"/>
  <c r="S123" i="44"/>
  <c r="S122" i="44"/>
  <c r="S121" i="44"/>
  <c r="S120" i="44"/>
  <c r="S119" i="44"/>
  <c r="S118" i="44"/>
  <c r="S116" i="44"/>
  <c r="S114" i="44"/>
  <c r="S113" i="44"/>
  <c r="S112" i="44"/>
  <c r="S111" i="44"/>
  <c r="S110" i="44"/>
  <c r="S109" i="44"/>
  <c r="S108" i="44"/>
  <c r="S107" i="44"/>
  <c r="S106" i="44"/>
  <c r="S105" i="44"/>
  <c r="S104" i="44"/>
  <c r="S101" i="44"/>
  <c r="S100" i="44"/>
  <c r="S99" i="44"/>
  <c r="S98" i="44"/>
  <c r="S97" i="44"/>
  <c r="S96" i="44"/>
  <c r="S95" i="44"/>
  <c r="S94" i="44"/>
  <c r="S93" i="44"/>
  <c r="S85" i="44"/>
  <c r="S84" i="44"/>
  <c r="S83" i="44"/>
  <c r="S81" i="44"/>
  <c r="S80" i="44"/>
  <c r="S66" i="44"/>
  <c r="S65" i="44"/>
  <c r="S64" i="44"/>
  <c r="S63" i="44"/>
  <c r="S62" i="44"/>
  <c r="S61" i="44"/>
  <c r="S60" i="44"/>
  <c r="S59" i="44"/>
  <c r="S58" i="44"/>
  <c r="S57" i="44"/>
  <c r="S56" i="44"/>
  <c r="S55" i="44"/>
  <c r="S54" i="44"/>
  <c r="S53" i="44"/>
  <c r="S52" i="44"/>
  <c r="S51" i="44"/>
  <c r="S36" i="44"/>
  <c r="S35" i="44"/>
  <c r="S34" i="44"/>
  <c r="S14" i="44"/>
  <c r="S13" i="44"/>
  <c r="S11" i="44"/>
  <c r="S10" i="44"/>
  <c r="S9" i="44"/>
  <c r="S8" i="44"/>
  <c r="S6" i="44"/>
  <c r="S5" i="44"/>
  <c r="S4" i="44"/>
  <c r="S252" i="44" l="1"/>
  <c r="J252" i="44"/>
  <c r="J959" i="36" l="1"/>
  <c r="J956" i="36"/>
  <c r="H954" i="36"/>
  <c r="W308" i="43"/>
  <c r="U308" i="43"/>
  <c r="T308" i="43"/>
  <c r="S308" i="43"/>
  <c r="R308" i="43"/>
  <c r="P308" i="43"/>
  <c r="O308" i="43"/>
  <c r="M308" i="43"/>
  <c r="AA263" i="43"/>
  <c r="Z263" i="43"/>
  <c r="K263" i="43"/>
  <c r="AA262" i="43"/>
  <c r="Z262" i="43"/>
  <c r="K262" i="43"/>
  <c r="AA261" i="43"/>
  <c r="Z261" i="43"/>
  <c r="K261" i="43"/>
  <c r="AA260" i="43"/>
  <c r="Z260" i="43"/>
  <c r="K260" i="43"/>
  <c r="AA259" i="43"/>
  <c r="Z259" i="43"/>
  <c r="K259" i="43"/>
  <c r="AA258" i="43"/>
  <c r="Z258" i="43"/>
  <c r="K258" i="43"/>
  <c r="AA119" i="43"/>
  <c r="Z119" i="43"/>
  <c r="K119" i="43"/>
  <c r="X119" i="43" s="1"/>
  <c r="AA257" i="43"/>
  <c r="Z257" i="43"/>
  <c r="K257" i="43"/>
  <c r="AA118" i="43"/>
  <c r="Z118" i="43"/>
  <c r="K118" i="43"/>
  <c r="X118" i="43" s="1"/>
  <c r="AA117" i="43"/>
  <c r="Z117" i="43"/>
  <c r="K117" i="43"/>
  <c r="AA256" i="43"/>
  <c r="Z256" i="43"/>
  <c r="K256" i="43"/>
  <c r="AA116" i="43"/>
  <c r="Z116" i="43"/>
  <c r="K116" i="43"/>
  <c r="X116" i="43" s="1"/>
  <c r="AA115" i="43"/>
  <c r="Z115" i="43"/>
  <c r="K115" i="43"/>
  <c r="AA114" i="43"/>
  <c r="Z114" i="43"/>
  <c r="K114" i="43"/>
  <c r="X114" i="43" s="1"/>
  <c r="AA113" i="43"/>
  <c r="Z113" i="43"/>
  <c r="K113" i="43"/>
  <c r="Z112" i="43"/>
  <c r="K112" i="43"/>
  <c r="AA111" i="43"/>
  <c r="Z111" i="43"/>
  <c r="K111" i="43"/>
  <c r="AA110" i="43"/>
  <c r="Z110" i="43"/>
  <c r="K110" i="43"/>
  <c r="Z255" i="43"/>
  <c r="K255" i="43"/>
  <c r="AC255" i="43" s="1"/>
  <c r="AA109" i="43"/>
  <c r="Z109" i="43"/>
  <c r="K109" i="43"/>
  <c r="X109" i="43" s="1"/>
  <c r="AA254" i="43"/>
  <c r="Z254" i="43"/>
  <c r="K254" i="43"/>
  <c r="X254" i="43" s="1"/>
  <c r="AA108" i="43"/>
  <c r="Z108" i="43"/>
  <c r="K108" i="43"/>
  <c r="AA302" i="43"/>
  <c r="Z302" i="43"/>
  <c r="K302" i="43"/>
  <c r="X302" i="43" s="1"/>
  <c r="AA301" i="43"/>
  <c r="Z301" i="43"/>
  <c r="K301" i="43"/>
  <c r="X301" i="43" s="1"/>
  <c r="AA300" i="43"/>
  <c r="Z300" i="43"/>
  <c r="K300" i="43"/>
  <c r="X300" i="43" s="1"/>
  <c r="AA107" i="43"/>
  <c r="Z107" i="43"/>
  <c r="K107" i="43"/>
  <c r="AA299" i="43"/>
  <c r="Z299" i="43"/>
  <c r="K299" i="43"/>
  <c r="X299" i="43" s="1"/>
  <c r="AA298" i="43"/>
  <c r="Z298" i="43"/>
  <c r="K298" i="43"/>
  <c r="AA106" i="43"/>
  <c r="Z106" i="43"/>
  <c r="K106" i="43"/>
  <c r="AA105" i="43"/>
  <c r="Z105" i="43"/>
  <c r="K105" i="43"/>
  <c r="AA297" i="43"/>
  <c r="Z297" i="43"/>
  <c r="K297" i="43"/>
  <c r="X297" i="43" s="1"/>
  <c r="AA296" i="43"/>
  <c r="Z296" i="43"/>
  <c r="K296" i="43"/>
  <c r="AA295" i="43"/>
  <c r="Z295" i="43"/>
  <c r="K295" i="43"/>
  <c r="AA294" i="43"/>
  <c r="Z294" i="43"/>
  <c r="K294" i="43"/>
  <c r="AA293" i="43"/>
  <c r="Z293" i="43"/>
  <c r="K293" i="43"/>
  <c r="AA292" i="43"/>
  <c r="Z292" i="43"/>
  <c r="K292" i="43"/>
  <c r="X292" i="43" s="1"/>
  <c r="AA104" i="43"/>
  <c r="Z104" i="43"/>
  <c r="K104" i="43"/>
  <c r="AA291" i="43"/>
  <c r="Z291" i="43"/>
  <c r="K291" i="43"/>
  <c r="X291" i="43" s="1"/>
  <c r="AA290" i="43"/>
  <c r="Z290" i="43"/>
  <c r="K290" i="43"/>
  <c r="AA289" i="43"/>
  <c r="Z289" i="43"/>
  <c r="K289" i="43"/>
  <c r="AA288" i="43"/>
  <c r="Z288" i="43"/>
  <c r="K288" i="43"/>
  <c r="AA287" i="43"/>
  <c r="Z287" i="43"/>
  <c r="K287" i="43"/>
  <c r="X287" i="43" s="1"/>
  <c r="AA286" i="43"/>
  <c r="Z286" i="43"/>
  <c r="K286" i="43"/>
  <c r="AA103" i="43"/>
  <c r="Z103" i="43"/>
  <c r="K103" i="43"/>
  <c r="X103" i="43" s="1"/>
  <c r="AA102" i="43"/>
  <c r="Z102" i="43"/>
  <c r="K102" i="43"/>
  <c r="X102" i="43" s="1"/>
  <c r="AA285" i="43"/>
  <c r="Z285" i="43"/>
  <c r="K285" i="43"/>
  <c r="AA284" i="43"/>
  <c r="Z284" i="43"/>
  <c r="K284" i="43"/>
  <c r="X284" i="43" s="1"/>
  <c r="AA283" i="43"/>
  <c r="Z283" i="43"/>
  <c r="K283" i="43"/>
  <c r="AA282" i="43"/>
  <c r="Z282" i="43"/>
  <c r="K282" i="43"/>
  <c r="X282" i="43" s="1"/>
  <c r="AA281" i="43"/>
  <c r="Z281" i="43"/>
  <c r="K281" i="43"/>
  <c r="AA280" i="43"/>
  <c r="Z280" i="43"/>
  <c r="K280" i="43"/>
  <c r="AA279" i="43"/>
  <c r="Z279" i="43"/>
  <c r="K279" i="43"/>
  <c r="AA278" i="43"/>
  <c r="Z278" i="43"/>
  <c r="K278" i="43"/>
  <c r="AA277" i="43"/>
  <c r="Z277" i="43"/>
  <c r="K277" i="43"/>
  <c r="AA276" i="43"/>
  <c r="Z276" i="43"/>
  <c r="K276" i="43"/>
  <c r="X276" i="43" s="1"/>
  <c r="AA275" i="43"/>
  <c r="Z275" i="43"/>
  <c r="K275" i="43"/>
  <c r="AA274" i="43"/>
  <c r="Z274" i="43"/>
  <c r="K274" i="43"/>
  <c r="AA273" i="43"/>
  <c r="Z273" i="43"/>
  <c r="K273" i="43"/>
  <c r="X273" i="43" s="1"/>
  <c r="Z101" i="43"/>
  <c r="K101" i="43"/>
  <c r="X101" i="43" s="1"/>
  <c r="AA100" i="43"/>
  <c r="Z100" i="43"/>
  <c r="K100" i="43"/>
  <c r="AA272" i="43"/>
  <c r="Z272" i="43"/>
  <c r="K272" i="43"/>
  <c r="AA271" i="43"/>
  <c r="Z271" i="43"/>
  <c r="K271" i="43"/>
  <c r="X271" i="43" s="1"/>
  <c r="Z253" i="43"/>
  <c r="K253" i="43"/>
  <c r="AC253" i="43" s="1"/>
  <c r="AA99" i="43"/>
  <c r="Z99" i="43"/>
  <c r="K99" i="43"/>
  <c r="AA270" i="43"/>
  <c r="Z270" i="43"/>
  <c r="K270" i="43"/>
  <c r="AA98" i="43"/>
  <c r="Z98" i="43"/>
  <c r="K98" i="43"/>
  <c r="AA97" i="43"/>
  <c r="Z97" i="43"/>
  <c r="K97" i="43"/>
  <c r="AA252" i="43"/>
  <c r="Z252" i="43"/>
  <c r="K252" i="43"/>
  <c r="Z251" i="43"/>
  <c r="K251" i="43"/>
  <c r="AC251" i="43" s="1"/>
  <c r="AA96" i="43"/>
  <c r="Z96" i="43"/>
  <c r="K96" i="43"/>
  <c r="AA269" i="43"/>
  <c r="Z269" i="43"/>
  <c r="K269" i="43"/>
  <c r="AA95" i="43"/>
  <c r="Z95" i="43"/>
  <c r="K95" i="43"/>
  <c r="AA250" i="43"/>
  <c r="Z250" i="43"/>
  <c r="K250" i="43"/>
  <c r="AA268" i="43"/>
  <c r="Z268" i="43"/>
  <c r="K268" i="43"/>
  <c r="X268" i="43" s="1"/>
  <c r="AA249" i="43"/>
  <c r="Z249" i="43"/>
  <c r="K249" i="43"/>
  <c r="AA267" i="43"/>
  <c r="Z267" i="43"/>
  <c r="K267" i="43"/>
  <c r="AA266" i="43"/>
  <c r="Z266" i="43"/>
  <c r="K266" i="43"/>
  <c r="AA265" i="43"/>
  <c r="Z265" i="43"/>
  <c r="K265" i="43"/>
  <c r="AA94" i="43"/>
  <c r="Z94" i="43"/>
  <c r="K94" i="43"/>
  <c r="AA264" i="43"/>
  <c r="Z264" i="43"/>
  <c r="K264" i="43"/>
  <c r="X264" i="43" s="1"/>
  <c r="Z93" i="43"/>
  <c r="K93" i="43"/>
  <c r="Z92" i="43"/>
  <c r="K92" i="43"/>
  <c r="X92" i="43" s="1"/>
  <c r="Z91" i="43"/>
  <c r="K91" i="43"/>
  <c r="X91" i="43" s="1"/>
  <c r="AA90" i="43"/>
  <c r="Z90" i="43"/>
  <c r="K90" i="43"/>
  <c r="AA248" i="43"/>
  <c r="Z248" i="43"/>
  <c r="K248" i="43"/>
  <c r="AA247" i="43"/>
  <c r="Z247" i="43"/>
  <c r="K247" i="43"/>
  <c r="AA89" i="43"/>
  <c r="Z89" i="43"/>
  <c r="K89" i="43"/>
  <c r="X89" i="43" s="1"/>
  <c r="AA246" i="43"/>
  <c r="Z246" i="43"/>
  <c r="N246" i="43"/>
  <c r="N308" i="43" s="1"/>
  <c r="K246" i="43"/>
  <c r="AA245" i="43"/>
  <c r="Z245" i="43"/>
  <c r="K245" i="43"/>
  <c r="AA244" i="43"/>
  <c r="Z244" i="43"/>
  <c r="K244" i="43"/>
  <c r="AA243" i="43"/>
  <c r="Z243" i="43"/>
  <c r="K243" i="43"/>
  <c r="AA88" i="43"/>
  <c r="Z88" i="43"/>
  <c r="K88" i="43"/>
  <c r="X88" i="43" s="1"/>
  <c r="AA242" i="43"/>
  <c r="Z242" i="43"/>
  <c r="K242" i="43"/>
  <c r="X242" i="43" s="1"/>
  <c r="AA87" i="43"/>
  <c r="Z87" i="43"/>
  <c r="K87" i="43"/>
  <c r="AA86" i="43"/>
  <c r="Z86" i="43"/>
  <c r="K86" i="43"/>
  <c r="AA85" i="43"/>
  <c r="Z85" i="43"/>
  <c r="K85" i="43"/>
  <c r="X85" i="43" s="1"/>
  <c r="Z241" i="43"/>
  <c r="K241" i="43"/>
  <c r="AC241" i="43" s="1"/>
  <c r="Z240" i="43"/>
  <c r="K240" i="43"/>
  <c r="X240" i="43" s="1"/>
  <c r="Z239" i="43"/>
  <c r="K239" i="43"/>
  <c r="Z238" i="43"/>
  <c r="K238" i="43"/>
  <c r="X238" i="43" s="1"/>
  <c r="Z237" i="43"/>
  <c r="K237" i="43"/>
  <c r="X237" i="43" s="1"/>
  <c r="Z236" i="43"/>
  <c r="K236" i="43"/>
  <c r="X236" i="43" s="1"/>
  <c r="Z235" i="43"/>
  <c r="K235" i="43"/>
  <c r="X235" i="43" s="1"/>
  <c r="Z234" i="43"/>
  <c r="K234" i="43"/>
  <c r="AC234" i="43" s="1"/>
  <c r="Z233" i="43"/>
  <c r="K233" i="43"/>
  <c r="X233" i="43" s="1"/>
  <c r="AA84" i="43"/>
  <c r="Z84" i="43"/>
  <c r="K84" i="43"/>
  <c r="AA83" i="43"/>
  <c r="Z83" i="43"/>
  <c r="K83" i="43"/>
  <c r="X83" i="43" s="1"/>
  <c r="AA82" i="43"/>
  <c r="Z82" i="43"/>
  <c r="K82" i="43"/>
  <c r="AA81" i="43"/>
  <c r="Z81" i="43"/>
  <c r="K81" i="43"/>
  <c r="X81" i="43" s="1"/>
  <c r="Z232" i="43"/>
  <c r="K232" i="43"/>
  <c r="X232" i="43" s="1"/>
  <c r="Z231" i="43"/>
  <c r="K231" i="43"/>
  <c r="X231" i="43" s="1"/>
  <c r="AA230" i="43"/>
  <c r="Z230" i="43"/>
  <c r="K230" i="43"/>
  <c r="Z229" i="43"/>
  <c r="K229" i="43"/>
  <c r="X229" i="43" s="1"/>
  <c r="Z228" i="43"/>
  <c r="K228" i="43"/>
  <c r="X228" i="43" s="1"/>
  <c r="Z227" i="43"/>
  <c r="K227" i="43"/>
  <c r="AC227" i="43" s="1"/>
  <c r="AA80" i="43"/>
  <c r="Z80" i="43"/>
  <c r="K80" i="43"/>
  <c r="X80" i="43" s="1"/>
  <c r="Z226" i="43"/>
  <c r="K226" i="43"/>
  <c r="AC226" i="43" s="1"/>
  <c r="Z225" i="43"/>
  <c r="K225" i="43"/>
  <c r="Z224" i="43"/>
  <c r="K224" i="43"/>
  <c r="X224" i="43" s="1"/>
  <c r="Z223" i="43"/>
  <c r="K223" i="43"/>
  <c r="AA222" i="43"/>
  <c r="Z222" i="43"/>
  <c r="K222" i="43"/>
  <c r="X222" i="43" s="1"/>
  <c r="Z221" i="43"/>
  <c r="K221" i="43"/>
  <c r="X221" i="43" s="1"/>
  <c r="Z220" i="43"/>
  <c r="K220" i="43"/>
  <c r="X220" i="43" s="1"/>
  <c r="AA219" i="43"/>
  <c r="Z219" i="43"/>
  <c r="K219" i="43"/>
  <c r="X219" i="43" s="1"/>
  <c r="Z218" i="43"/>
  <c r="K218" i="43"/>
  <c r="Z217" i="43"/>
  <c r="K217" i="43"/>
  <c r="AC217" i="43" s="1"/>
  <c r="AA216" i="43"/>
  <c r="Z216" i="43"/>
  <c r="K216" i="43"/>
  <c r="Z215" i="43"/>
  <c r="K215" i="43"/>
  <c r="X215" i="43" s="1"/>
  <c r="Z214" i="43"/>
  <c r="K214" i="43"/>
  <c r="Z213" i="43"/>
  <c r="K213" i="43"/>
  <c r="AA79" i="43"/>
  <c r="Z79" i="43"/>
  <c r="K79" i="43"/>
  <c r="X79" i="43" s="1"/>
  <c r="AA78" i="43"/>
  <c r="Z78" i="43"/>
  <c r="K78" i="43"/>
  <c r="AA77" i="43"/>
  <c r="Z77" i="43"/>
  <c r="K77" i="43"/>
  <c r="X77" i="43" s="1"/>
  <c r="Z212" i="43"/>
  <c r="K212" i="43"/>
  <c r="AC212" i="43" s="1"/>
  <c r="AA211" i="43"/>
  <c r="Z211" i="43"/>
  <c r="K211" i="43"/>
  <c r="X211" i="43" s="1"/>
  <c r="AA210" i="43"/>
  <c r="Z210" i="43"/>
  <c r="K210" i="43"/>
  <c r="Z76" i="43"/>
  <c r="K76" i="43"/>
  <c r="X76" i="43" s="1"/>
  <c r="AA209" i="43"/>
  <c r="Z209" i="43"/>
  <c r="K209" i="43"/>
  <c r="AA208" i="43"/>
  <c r="Z208" i="43"/>
  <c r="K208" i="43"/>
  <c r="Z75" i="43"/>
  <c r="K75" i="43"/>
  <c r="X75" i="43" s="1"/>
  <c r="AA207" i="43"/>
  <c r="Z207" i="43"/>
  <c r="K207" i="43"/>
  <c r="X207" i="43" s="1"/>
  <c r="AA74" i="43"/>
  <c r="Z74" i="43"/>
  <c r="K74" i="43"/>
  <c r="Z206" i="43"/>
  <c r="K206" i="43"/>
  <c r="X206" i="43" s="1"/>
  <c r="Z73" i="43"/>
  <c r="K73" i="43"/>
  <c r="X73" i="43" s="1"/>
  <c r="Z72" i="43"/>
  <c r="K72" i="43"/>
  <c r="X72" i="43" s="1"/>
  <c r="Z71" i="43"/>
  <c r="K71" i="43"/>
  <c r="X71" i="43" s="1"/>
  <c r="AA205" i="43"/>
  <c r="Z205" i="43"/>
  <c r="K205" i="43"/>
  <c r="X205" i="43" s="1"/>
  <c r="Z70" i="43"/>
  <c r="K70" i="43"/>
  <c r="X70" i="43" s="1"/>
  <c r="Z69" i="43"/>
  <c r="K69" i="43"/>
  <c r="X69" i="43" s="1"/>
  <c r="Z68" i="43"/>
  <c r="K68" i="43"/>
  <c r="X68" i="43" s="1"/>
  <c r="Z204" i="43"/>
  <c r="K204" i="43"/>
  <c r="AC204" i="43" s="1"/>
  <c r="Z203" i="43"/>
  <c r="K203" i="43"/>
  <c r="AC203" i="43" s="1"/>
  <c r="Z202" i="43"/>
  <c r="K202" i="43"/>
  <c r="AC202" i="43" s="1"/>
  <c r="Z201" i="43"/>
  <c r="K201" i="43"/>
  <c r="X201" i="43" s="1"/>
  <c r="Z200" i="43"/>
  <c r="K200" i="43"/>
  <c r="AC200" i="43" s="1"/>
  <c r="Z199" i="43"/>
  <c r="K199" i="43"/>
  <c r="AC199" i="43" s="1"/>
  <c r="Z198" i="43"/>
  <c r="K198" i="43"/>
  <c r="AC198" i="43" s="1"/>
  <c r="Z197" i="43"/>
  <c r="K197" i="43"/>
  <c r="AC197" i="43" s="1"/>
  <c r="Z196" i="43"/>
  <c r="K196" i="43"/>
  <c r="Z195" i="43"/>
  <c r="K195" i="43"/>
  <c r="AC195" i="43" s="1"/>
  <c r="Z194" i="43"/>
  <c r="K194" i="43"/>
  <c r="X194" i="43" s="1"/>
  <c r="Z193" i="43"/>
  <c r="K193" i="43"/>
  <c r="AC193" i="43" s="1"/>
  <c r="Z192" i="43"/>
  <c r="K192" i="43"/>
  <c r="X192" i="43" s="1"/>
  <c r="Z191" i="43"/>
  <c r="K191" i="43"/>
  <c r="AC191" i="43" s="1"/>
  <c r="Z190" i="43"/>
  <c r="K190" i="43"/>
  <c r="AC190" i="43" s="1"/>
  <c r="Z189" i="43"/>
  <c r="K189" i="43"/>
  <c r="AC189" i="43" s="1"/>
  <c r="Z188" i="43"/>
  <c r="K188" i="43"/>
  <c r="AC188" i="43" s="1"/>
  <c r="Z187" i="43"/>
  <c r="K187" i="43"/>
  <c r="X187" i="43" s="1"/>
  <c r="Z186" i="43"/>
  <c r="K186" i="43"/>
  <c r="AC186" i="43" s="1"/>
  <c r="Z185" i="43"/>
  <c r="K185" i="43"/>
  <c r="AC185" i="43" s="1"/>
  <c r="Z184" i="43"/>
  <c r="K184" i="43"/>
  <c r="Z183" i="43"/>
  <c r="K183" i="43"/>
  <c r="X183" i="43" s="1"/>
  <c r="Z182" i="43"/>
  <c r="K182" i="43"/>
  <c r="X182" i="43" s="1"/>
  <c r="Z181" i="43"/>
  <c r="K181" i="43"/>
  <c r="AC181" i="43" s="1"/>
  <c r="Z180" i="43"/>
  <c r="K180" i="43"/>
  <c r="AC180" i="43" s="1"/>
  <c r="AA179" i="43"/>
  <c r="Z179" i="43"/>
  <c r="K179" i="43"/>
  <c r="X179" i="43" s="1"/>
  <c r="Z178" i="43"/>
  <c r="K178" i="43"/>
  <c r="AA67" i="43"/>
  <c r="Z67" i="43"/>
  <c r="K67" i="43"/>
  <c r="AA66" i="43"/>
  <c r="Z66" i="43"/>
  <c r="K66" i="43"/>
  <c r="X66" i="43" s="1"/>
  <c r="AA65" i="43"/>
  <c r="Z65" i="43"/>
  <c r="K65" i="43"/>
  <c r="AA64" i="43"/>
  <c r="Z64" i="43"/>
  <c r="K64" i="43"/>
  <c r="X64" i="43" s="1"/>
  <c r="Z177" i="43"/>
  <c r="K177" i="43"/>
  <c r="Z176" i="43"/>
  <c r="K176" i="43"/>
  <c r="X176" i="43" s="1"/>
  <c r="Z175" i="43"/>
  <c r="K175" i="43"/>
  <c r="Z174" i="43"/>
  <c r="K174" i="43"/>
  <c r="AC174" i="43" s="1"/>
  <c r="Z173" i="43"/>
  <c r="K173" i="43"/>
  <c r="X173" i="43" s="1"/>
  <c r="Z172" i="43"/>
  <c r="K172" i="43"/>
  <c r="X172" i="43" s="1"/>
  <c r="Z63" i="43"/>
  <c r="K63" i="43"/>
  <c r="X63" i="43" s="1"/>
  <c r="AA171" i="43"/>
  <c r="Z171" i="43"/>
  <c r="K171" i="43"/>
  <c r="AA170" i="43"/>
  <c r="Z170" i="43"/>
  <c r="K170" i="43"/>
  <c r="AA62" i="43"/>
  <c r="Z62" i="43"/>
  <c r="K62" i="43"/>
  <c r="X62" i="43" s="1"/>
  <c r="AA169" i="43"/>
  <c r="Z169" i="43"/>
  <c r="K169" i="43"/>
  <c r="Z168" i="43"/>
  <c r="K168" i="43"/>
  <c r="X168" i="43" s="1"/>
  <c r="AA167" i="43"/>
  <c r="Z167" i="43"/>
  <c r="K167" i="43"/>
  <c r="AA166" i="43"/>
  <c r="Z166" i="43"/>
  <c r="K166" i="43"/>
  <c r="AA165" i="43"/>
  <c r="Z165" i="43"/>
  <c r="K165" i="43"/>
  <c r="X165" i="43" s="1"/>
  <c r="AA164" i="43"/>
  <c r="Z164" i="43"/>
  <c r="K164" i="43"/>
  <c r="X164" i="43" s="1"/>
  <c r="AA163" i="43"/>
  <c r="Z163" i="43"/>
  <c r="K163" i="43"/>
  <c r="AA162" i="43"/>
  <c r="Z162" i="43"/>
  <c r="K162" i="43"/>
  <c r="AA161" i="43"/>
  <c r="Z161" i="43"/>
  <c r="K161" i="43"/>
  <c r="X161" i="43" s="1"/>
  <c r="AA61" i="43"/>
  <c r="Z61" i="43"/>
  <c r="K61" i="43"/>
  <c r="AA60" i="43"/>
  <c r="Z60" i="43"/>
  <c r="K60" i="43"/>
  <c r="X60" i="43" s="1"/>
  <c r="AA59" i="43"/>
  <c r="Z59" i="43"/>
  <c r="K59" i="43"/>
  <c r="AA58" i="43"/>
  <c r="Z58" i="43"/>
  <c r="K58" i="43"/>
  <c r="X58" i="43" s="1"/>
  <c r="AA57" i="43"/>
  <c r="Z57" i="43"/>
  <c r="K57" i="43"/>
  <c r="AA160" i="43"/>
  <c r="Z160" i="43"/>
  <c r="K160" i="43"/>
  <c r="X160" i="43" s="1"/>
  <c r="AA159" i="43"/>
  <c r="Z159" i="43"/>
  <c r="K159" i="43"/>
  <c r="X159" i="43" s="1"/>
  <c r="Z158" i="43"/>
  <c r="K158" i="43"/>
  <c r="AA56" i="43"/>
  <c r="Z56" i="43"/>
  <c r="K56" i="43"/>
  <c r="AA55" i="43"/>
  <c r="Z55" i="43"/>
  <c r="K55" i="43"/>
  <c r="Z157" i="43"/>
  <c r="K157" i="43"/>
  <c r="X157" i="43" s="1"/>
  <c r="AA156" i="43"/>
  <c r="Z156" i="43"/>
  <c r="K156" i="43"/>
  <c r="X156" i="43" s="1"/>
  <c r="Z155" i="43"/>
  <c r="K155" i="43"/>
  <c r="AA154" i="43"/>
  <c r="Z154" i="43"/>
  <c r="K154" i="43"/>
  <c r="Z153" i="43"/>
  <c r="K153" i="43"/>
  <c r="X153" i="43" s="1"/>
  <c r="Z152" i="43"/>
  <c r="K152" i="43"/>
  <c r="X152" i="43" s="1"/>
  <c r="AA151" i="43"/>
  <c r="Z151" i="43"/>
  <c r="K151" i="43"/>
  <c r="Z150" i="43"/>
  <c r="K150" i="43"/>
  <c r="Z149" i="43"/>
  <c r="K149" i="43"/>
  <c r="Z148" i="43"/>
  <c r="K148" i="43"/>
  <c r="Z147" i="43"/>
  <c r="K147" i="43"/>
  <c r="X147" i="43" s="1"/>
  <c r="AA146" i="43"/>
  <c r="Z146" i="43"/>
  <c r="K146" i="43"/>
  <c r="AA54" i="43"/>
  <c r="Z54" i="43"/>
  <c r="K54" i="43"/>
  <c r="Z145" i="43"/>
  <c r="K145" i="43"/>
  <c r="X145" i="43" s="1"/>
  <c r="AA144" i="43"/>
  <c r="Z144" i="43"/>
  <c r="K144" i="43"/>
  <c r="X144" i="43" s="1"/>
  <c r="AA143" i="43"/>
  <c r="Z143" i="43"/>
  <c r="K143" i="43"/>
  <c r="X143" i="43" s="1"/>
  <c r="AA142" i="43"/>
  <c r="Z142" i="43"/>
  <c r="K142" i="43"/>
  <c r="X142" i="43" s="1"/>
  <c r="AA141" i="43"/>
  <c r="Z141" i="43"/>
  <c r="K141" i="43"/>
  <c r="X141" i="43" s="1"/>
  <c r="AA140" i="43"/>
  <c r="Z140" i="43"/>
  <c r="K140" i="43"/>
  <c r="X140" i="43" s="1"/>
  <c r="AA139" i="43"/>
  <c r="Z139" i="43"/>
  <c r="K139" i="43"/>
  <c r="X139" i="43" s="1"/>
  <c r="AA138" i="43"/>
  <c r="Z138" i="43"/>
  <c r="K138" i="43"/>
  <c r="X138" i="43" s="1"/>
  <c r="Z137" i="43"/>
  <c r="K137" i="43"/>
  <c r="AA53" i="43"/>
  <c r="Z53" i="43"/>
  <c r="K53" i="43"/>
  <c r="X53" i="43" s="1"/>
  <c r="AA52" i="43"/>
  <c r="Z52" i="43"/>
  <c r="K52" i="43"/>
  <c r="Z51" i="43"/>
  <c r="K51" i="43"/>
  <c r="X51" i="43" s="1"/>
  <c r="Z136" i="43"/>
  <c r="K136" i="43"/>
  <c r="X136" i="43" s="1"/>
  <c r="AA135" i="43"/>
  <c r="Z135" i="43"/>
  <c r="K135" i="43"/>
  <c r="X135" i="43" s="1"/>
  <c r="AA134" i="43"/>
  <c r="Z134" i="43"/>
  <c r="K134" i="43"/>
  <c r="X134" i="43" s="1"/>
  <c r="AA133" i="43"/>
  <c r="Z133" i="43"/>
  <c r="K133" i="43"/>
  <c r="AA50" i="43"/>
  <c r="Z50" i="43"/>
  <c r="K50" i="43"/>
  <c r="X50" i="43" s="1"/>
  <c r="AA49" i="43"/>
  <c r="Z49" i="43"/>
  <c r="K49" i="43"/>
  <c r="AA132" i="43"/>
  <c r="Z132" i="43"/>
  <c r="K132" i="43"/>
  <c r="X132" i="43" s="1"/>
  <c r="Z131" i="43"/>
  <c r="K131" i="43"/>
  <c r="X131" i="43" s="1"/>
  <c r="Z48" i="43"/>
  <c r="K48" i="43"/>
  <c r="X48" i="43" s="1"/>
  <c r="AA47" i="43"/>
  <c r="Z47" i="43"/>
  <c r="K47" i="43"/>
  <c r="Z130" i="43"/>
  <c r="K130" i="43"/>
  <c r="X130" i="43" s="1"/>
  <c r="Z46" i="43"/>
  <c r="K46" i="43"/>
  <c r="X46" i="43" s="1"/>
  <c r="Z45" i="43"/>
  <c r="K45" i="43"/>
  <c r="X45" i="43" s="1"/>
  <c r="AA44" i="43"/>
  <c r="Z44" i="43"/>
  <c r="K44" i="43"/>
  <c r="AA43" i="43"/>
  <c r="Z43" i="43"/>
  <c r="K43" i="43"/>
  <c r="Z42" i="43"/>
  <c r="K42" i="43"/>
  <c r="X42" i="43" s="1"/>
  <c r="AA129" i="43"/>
  <c r="Z129" i="43"/>
  <c r="K129" i="43"/>
  <c r="AA41" i="43"/>
  <c r="Z41" i="43"/>
  <c r="K41" i="43"/>
  <c r="X41" i="43" s="1"/>
  <c r="AA40" i="43"/>
  <c r="Z40" i="43"/>
  <c r="K40" i="43"/>
  <c r="X40" i="43" s="1"/>
  <c r="AA39" i="43"/>
  <c r="Z39" i="43"/>
  <c r="K39" i="43"/>
  <c r="X39" i="43" s="1"/>
  <c r="AA38" i="43"/>
  <c r="Z38" i="43"/>
  <c r="K38" i="43"/>
  <c r="AA37" i="43"/>
  <c r="Z37" i="43"/>
  <c r="K37" i="43"/>
  <c r="X37" i="43" s="1"/>
  <c r="Z128" i="43"/>
  <c r="K128" i="43"/>
  <c r="AC128" i="43" s="1"/>
  <c r="Z127" i="43"/>
  <c r="K127" i="43"/>
  <c r="AC127" i="43" s="1"/>
  <c r="Z126" i="43"/>
  <c r="K126" i="43"/>
  <c r="X126" i="43" s="1"/>
  <c r="Z125" i="43"/>
  <c r="K125" i="43"/>
  <c r="X125" i="43" s="1"/>
  <c r="AA124" i="43"/>
  <c r="Z124" i="43"/>
  <c r="K124" i="43"/>
  <c r="X124" i="43" s="1"/>
  <c r="AA36" i="43"/>
  <c r="Z36" i="43"/>
  <c r="K36" i="43"/>
  <c r="AA35" i="43"/>
  <c r="Z35" i="43"/>
  <c r="K35" i="43"/>
  <c r="X35" i="43" s="1"/>
  <c r="AA34" i="43"/>
  <c r="Z34" i="43"/>
  <c r="K34" i="43"/>
  <c r="AA33" i="43"/>
  <c r="Z33" i="43"/>
  <c r="K33" i="43"/>
  <c r="AA32" i="43"/>
  <c r="Z32" i="43"/>
  <c r="K32" i="43"/>
  <c r="AA31" i="43"/>
  <c r="Z31" i="43"/>
  <c r="K31" i="43"/>
  <c r="Z30" i="43"/>
  <c r="K30" i="43"/>
  <c r="AA29" i="43"/>
  <c r="Z29" i="43"/>
  <c r="K29" i="43"/>
  <c r="AA28" i="43"/>
  <c r="J28" i="43"/>
  <c r="K28" i="43" s="1"/>
  <c r="AA27" i="43"/>
  <c r="Z27" i="43"/>
  <c r="K27" i="43"/>
  <c r="X27" i="43" s="1"/>
  <c r="AA26" i="43"/>
  <c r="Z26" i="43"/>
  <c r="K26" i="43"/>
  <c r="AA25" i="43"/>
  <c r="Z25" i="43"/>
  <c r="K25" i="43"/>
  <c r="X25" i="43" s="1"/>
  <c r="AA24" i="43"/>
  <c r="Z24" i="43"/>
  <c r="K24" i="43"/>
  <c r="AA23" i="43"/>
  <c r="Z23" i="43"/>
  <c r="K23" i="43"/>
  <c r="X23" i="43" s="1"/>
  <c r="AA22" i="43"/>
  <c r="Z22" i="43"/>
  <c r="K22" i="43"/>
  <c r="X22" i="43" s="1"/>
  <c r="AA21" i="43"/>
  <c r="Z21" i="43"/>
  <c r="K21" i="43"/>
  <c r="X21" i="43" s="1"/>
  <c r="AA20" i="43"/>
  <c r="Z20" i="43"/>
  <c r="K20" i="43"/>
  <c r="AA19" i="43"/>
  <c r="Z19" i="43"/>
  <c r="K19" i="43"/>
  <c r="X19" i="43" s="1"/>
  <c r="AA18" i="43"/>
  <c r="Z18" i="43"/>
  <c r="K18" i="43"/>
  <c r="AA17" i="43"/>
  <c r="Z17" i="43"/>
  <c r="K17" i="43"/>
  <c r="X17" i="43" s="1"/>
  <c r="AA16" i="43"/>
  <c r="Z16" i="43"/>
  <c r="K16" i="43"/>
  <c r="AA15" i="43"/>
  <c r="Z15" i="43"/>
  <c r="K15" i="43"/>
  <c r="X15" i="43" s="1"/>
  <c r="AA14" i="43"/>
  <c r="Z14" i="43"/>
  <c r="K14" i="43"/>
  <c r="AA13" i="43"/>
  <c r="Z13" i="43"/>
  <c r="K13" i="43"/>
  <c r="X13" i="43" s="1"/>
  <c r="AA12" i="43"/>
  <c r="Z12" i="43"/>
  <c r="K12" i="43"/>
  <c r="AA11" i="43"/>
  <c r="Z11" i="43"/>
  <c r="K11" i="43"/>
  <c r="X11" i="43" s="1"/>
  <c r="Z123" i="43"/>
  <c r="K123" i="43"/>
  <c r="AC123" i="43" s="1"/>
  <c r="Z122" i="43"/>
  <c r="K122" i="43"/>
  <c r="AA10" i="43"/>
  <c r="Z10" i="43"/>
  <c r="K10" i="43"/>
  <c r="AA121" i="43"/>
  <c r="Z121" i="43"/>
  <c r="K121" i="43"/>
  <c r="X121" i="43" s="1"/>
  <c r="AA9" i="43"/>
  <c r="Z9" i="43"/>
  <c r="K9" i="43"/>
  <c r="AA8" i="43"/>
  <c r="Z8" i="43"/>
  <c r="K8" i="43"/>
  <c r="AA7" i="43"/>
  <c r="Z7" i="43"/>
  <c r="K7" i="43"/>
  <c r="Z6" i="43"/>
  <c r="K6" i="43"/>
  <c r="A6" i="43"/>
  <c r="A7" i="43" s="1"/>
  <c r="A8" i="43" s="1"/>
  <c r="A9" i="43" s="1"/>
  <c r="AA5" i="43"/>
  <c r="J5" i="43"/>
  <c r="X6" i="43" l="1"/>
  <c r="AB6" i="43"/>
  <c r="AC150" i="43"/>
  <c r="X252" i="43"/>
  <c r="AC252" i="43"/>
  <c r="AC149" i="43"/>
  <c r="X148" i="43"/>
  <c r="AC148" i="43"/>
  <c r="X122" i="43"/>
  <c r="AC122" i="43"/>
  <c r="Z5" i="43"/>
  <c r="J304" i="43"/>
  <c r="AA304" i="43"/>
  <c r="AC210" i="43"/>
  <c r="AB261" i="43"/>
  <c r="AC125" i="43"/>
  <c r="AB78" i="43"/>
  <c r="AC178" i="43"/>
  <c r="AC216" i="43"/>
  <c r="AC225" i="43"/>
  <c r="AB110" i="43"/>
  <c r="AB274" i="43"/>
  <c r="AB278" i="43"/>
  <c r="AC214" i="43"/>
  <c r="AC147" i="43"/>
  <c r="AC137" i="43"/>
  <c r="AB44" i="43"/>
  <c r="AC218" i="43"/>
  <c r="AC223" i="43"/>
  <c r="AB268" i="43"/>
  <c r="AB16" i="43"/>
  <c r="AB160" i="43"/>
  <c r="AB250" i="43"/>
  <c r="AB272" i="43"/>
  <c r="AB151" i="43"/>
  <c r="AC155" i="43"/>
  <c r="AB57" i="43"/>
  <c r="AB61" i="43"/>
  <c r="AB242" i="43"/>
  <c r="AB248" i="43"/>
  <c r="AB54" i="43"/>
  <c r="AB86" i="43"/>
  <c r="AC162" i="43"/>
  <c r="AC166" i="43"/>
  <c r="X200" i="43"/>
  <c r="AC239" i="43"/>
  <c r="AB281" i="43"/>
  <c r="AB79" i="43"/>
  <c r="AB50" i="43"/>
  <c r="AB179" i="43"/>
  <c r="AC233" i="43"/>
  <c r="AC246" i="43"/>
  <c r="AB25" i="43"/>
  <c r="AB30" i="43"/>
  <c r="AB34" i="43"/>
  <c r="AC168" i="43"/>
  <c r="AB85" i="43"/>
  <c r="AB26" i="43"/>
  <c r="AB129" i="43"/>
  <c r="AB133" i="43"/>
  <c r="AC145" i="43"/>
  <c r="AC158" i="43"/>
  <c r="X203" i="43"/>
  <c r="AC209" i="43"/>
  <c r="AC146" i="43"/>
  <c r="AB20" i="43"/>
  <c r="AB32" i="43"/>
  <c r="AC172" i="43"/>
  <c r="AC235" i="43"/>
  <c r="AB77" i="43"/>
  <c r="AB10" i="43"/>
  <c r="AB24" i="43"/>
  <c r="AB98" i="43"/>
  <c r="AB7" i="43"/>
  <c r="AC215" i="43"/>
  <c r="AC93" i="43"/>
  <c r="AB66" i="43"/>
  <c r="AB9" i="43"/>
  <c r="AB14" i="43"/>
  <c r="AC163" i="43"/>
  <c r="AC167" i="43"/>
  <c r="AB87" i="43"/>
  <c r="AB94" i="43"/>
  <c r="AB249" i="43"/>
  <c r="AB100" i="43"/>
  <c r="AB283" i="43"/>
  <c r="AB300" i="43"/>
  <c r="AB111" i="43"/>
  <c r="AB115" i="43"/>
  <c r="AB37" i="43"/>
  <c r="AB97" i="43"/>
  <c r="AB280" i="43"/>
  <c r="AB301" i="43"/>
  <c r="AC121" i="43"/>
  <c r="AB65" i="43"/>
  <c r="AC247" i="43"/>
  <c r="AB265" i="43"/>
  <c r="AB263" i="43"/>
  <c r="AB38" i="43"/>
  <c r="AB171" i="43"/>
  <c r="AC183" i="43"/>
  <c r="AC213" i="43"/>
  <c r="AC245" i="43"/>
  <c r="AB96" i="43"/>
  <c r="AB293" i="43"/>
  <c r="AB257" i="43"/>
  <c r="AB169" i="43"/>
  <c r="AC238" i="43"/>
  <c r="AB271" i="43"/>
  <c r="AB105" i="43"/>
  <c r="AB107" i="43"/>
  <c r="AB256" i="43"/>
  <c r="Z28" i="43"/>
  <c r="AB28" i="43" s="1"/>
  <c r="AC153" i="43"/>
  <c r="AC177" i="43"/>
  <c r="X197" i="43"/>
  <c r="X78" i="43"/>
  <c r="X86" i="43"/>
  <c r="AB267" i="43"/>
  <c r="X261" i="43"/>
  <c r="AB36" i="43"/>
  <c r="AB43" i="43"/>
  <c r="AB154" i="43"/>
  <c r="AB67" i="43"/>
  <c r="AB243" i="43"/>
  <c r="AB264" i="43"/>
  <c r="AB95" i="43"/>
  <c r="AB104" i="43"/>
  <c r="AB295" i="43"/>
  <c r="AC161" i="43"/>
  <c r="AB29" i="43"/>
  <c r="AB33" i="43"/>
  <c r="AB47" i="43"/>
  <c r="AB49" i="43"/>
  <c r="AB55" i="43"/>
  <c r="AC192" i="43"/>
  <c r="AC208" i="43"/>
  <c r="AB83" i="43"/>
  <c r="AB99" i="43"/>
  <c r="AB282" i="43"/>
  <c r="AB258" i="43"/>
  <c r="X24" i="43"/>
  <c r="AB64" i="43"/>
  <c r="X199" i="43"/>
  <c r="X265" i="43"/>
  <c r="AB299" i="43"/>
  <c r="X115" i="43"/>
  <c r="AB22" i="43"/>
  <c r="AB35" i="43"/>
  <c r="AB40" i="43"/>
  <c r="AC131" i="43"/>
  <c r="AB135" i="43"/>
  <c r="AB56" i="43"/>
  <c r="AC164" i="43"/>
  <c r="AB170" i="43"/>
  <c r="AC176" i="43"/>
  <c r="AC187" i="43"/>
  <c r="AC222" i="43"/>
  <c r="AC244" i="43"/>
  <c r="AB266" i="43"/>
  <c r="AB269" i="43"/>
  <c r="AB270" i="43"/>
  <c r="AB296" i="43"/>
  <c r="AB108" i="43"/>
  <c r="AB113" i="43"/>
  <c r="AB298" i="43"/>
  <c r="X213" i="43"/>
  <c r="X223" i="43"/>
  <c r="AB260" i="43"/>
  <c r="X263" i="43"/>
  <c r="AB19" i="43"/>
  <c r="AB276" i="43"/>
  <c r="X280" i="43"/>
  <c r="X283" i="43"/>
  <c r="X110" i="43"/>
  <c r="X16" i="43"/>
  <c r="X162" i="43"/>
  <c r="X177" i="43"/>
  <c r="AC173" i="43"/>
  <c r="AC229" i="43"/>
  <c r="X267" i="43"/>
  <c r="X96" i="43"/>
  <c r="AB23" i="43"/>
  <c r="AC126" i="43"/>
  <c r="X38" i="43"/>
  <c r="X133" i="43"/>
  <c r="X54" i="43"/>
  <c r="AB60" i="43"/>
  <c r="X169" i="43"/>
  <c r="X198" i="43"/>
  <c r="X217" i="43"/>
  <c r="AC220" i="43"/>
  <c r="X247" i="43"/>
  <c r="AB288" i="43"/>
  <c r="AB297" i="43"/>
  <c r="AC130" i="43"/>
  <c r="X151" i="43"/>
  <c r="X189" i="43"/>
  <c r="AC206" i="43"/>
  <c r="AB13" i="43"/>
  <c r="X20" i="43"/>
  <c r="X33" i="43"/>
  <c r="X44" i="43"/>
  <c r="X47" i="43"/>
  <c r="AB53" i="43"/>
  <c r="AC157" i="43"/>
  <c r="X67" i="43"/>
  <c r="AC201" i="43"/>
  <c r="AB80" i="43"/>
  <c r="AC236" i="43"/>
  <c r="AB254" i="43"/>
  <c r="AB119" i="43"/>
  <c r="X26" i="43"/>
  <c r="X208" i="43"/>
  <c r="X245" i="43"/>
  <c r="X99" i="43"/>
  <c r="AC136" i="43"/>
  <c r="X181" i="43"/>
  <c r="X214" i="43"/>
  <c r="AB81" i="43"/>
  <c r="X274" i="43"/>
  <c r="X104" i="43"/>
  <c r="X29" i="43"/>
  <c r="AC165" i="43"/>
  <c r="X171" i="43"/>
  <c r="AB102" i="43"/>
  <c r="X14" i="43"/>
  <c r="X127" i="43"/>
  <c r="AB41" i="43"/>
  <c r="AB132" i="43"/>
  <c r="X195" i="43"/>
  <c r="AB17" i="43"/>
  <c r="X55" i="43"/>
  <c r="X98" i="43"/>
  <c r="X100" i="43"/>
  <c r="AB11" i="43"/>
  <c r="AB18" i="43"/>
  <c r="X49" i="43"/>
  <c r="AB159" i="43"/>
  <c r="AB58" i="43"/>
  <c r="AB284" i="43"/>
  <c r="AB286" i="43"/>
  <c r="X295" i="43"/>
  <c r="AB118" i="43"/>
  <c r="X202" i="43"/>
  <c r="AC224" i="43"/>
  <c r="AB88" i="43"/>
  <c r="X146" i="43"/>
  <c r="AB8" i="43"/>
  <c r="AB12" i="43"/>
  <c r="X18" i="43"/>
  <c r="AB27" i="43"/>
  <c r="AB31" i="43"/>
  <c r="AB59" i="43"/>
  <c r="X212" i="43"/>
  <c r="AC237" i="43"/>
  <c r="X241" i="43"/>
  <c r="AB275" i="43"/>
  <c r="AB285" i="43"/>
  <c r="X286" i="43"/>
  <c r="AB106" i="43"/>
  <c r="AB262" i="43"/>
  <c r="X155" i="43"/>
  <c r="AC240" i="43"/>
  <c r="X95" i="43"/>
  <c r="X129" i="43"/>
  <c r="X8" i="43"/>
  <c r="X12" i="43"/>
  <c r="AB15" i="43"/>
  <c r="AB21" i="43"/>
  <c r="X31" i="43"/>
  <c r="AB39" i="43"/>
  <c r="AC48" i="43"/>
  <c r="AB134" i="43"/>
  <c r="AB52" i="43"/>
  <c r="AC152" i="43"/>
  <c r="AB156" i="43"/>
  <c r="X59" i="43"/>
  <c r="AB62" i="43"/>
  <c r="AC207" i="43"/>
  <c r="AC231" i="43"/>
  <c r="AB90" i="43"/>
  <c r="AB279" i="43"/>
  <c r="AB290" i="43"/>
  <c r="AB302" i="43"/>
  <c r="AB259" i="43"/>
  <c r="AC184" i="43"/>
  <c r="X184" i="43"/>
  <c r="AB289" i="43"/>
  <c r="AB112" i="43"/>
  <c r="AC182" i="43"/>
  <c r="AC42" i="43"/>
  <c r="X149" i="43"/>
  <c r="X158" i="43"/>
  <c r="X166" i="43"/>
  <c r="X243" i="43"/>
  <c r="X278" i="43"/>
  <c r="AB287" i="43"/>
  <c r="X289" i="43"/>
  <c r="X106" i="43"/>
  <c r="X112" i="43"/>
  <c r="X259" i="43"/>
  <c r="AB103" i="43"/>
  <c r="AB109" i="43"/>
  <c r="K5" i="43"/>
  <c r="K304" i="43" s="1"/>
  <c r="X7" i="43"/>
  <c r="X9" i="43"/>
  <c r="X10" i="43"/>
  <c r="X123" i="43"/>
  <c r="X28" i="43"/>
  <c r="X30" i="43"/>
  <c r="X32" i="43"/>
  <c r="X34" i="43"/>
  <c r="X36" i="43"/>
  <c r="X43" i="43"/>
  <c r="X154" i="43"/>
  <c r="X61" i="43"/>
  <c r="X170" i="43"/>
  <c r="X174" i="43"/>
  <c r="X65" i="43"/>
  <c r="X185" i="43"/>
  <c r="X190" i="43"/>
  <c r="X218" i="43"/>
  <c r="X225" i="43"/>
  <c r="X90" i="43"/>
  <c r="X285" i="43"/>
  <c r="X293" i="43"/>
  <c r="X108" i="43"/>
  <c r="X256" i="43"/>
  <c r="X128" i="43"/>
  <c r="X137" i="43"/>
  <c r="X150" i="43"/>
  <c r="X57" i="43"/>
  <c r="X167" i="43"/>
  <c r="X188" i="43"/>
  <c r="X193" i="43"/>
  <c r="AC196" i="43"/>
  <c r="X196" i="43"/>
  <c r="X210" i="43"/>
  <c r="X216" i="43"/>
  <c r="X239" i="43"/>
  <c r="X244" i="43"/>
  <c r="X246" i="43"/>
  <c r="X93" i="43"/>
  <c r="X94" i="43"/>
  <c r="X266" i="43"/>
  <c r="X249" i="43"/>
  <c r="X250" i="43"/>
  <c r="X269" i="43"/>
  <c r="X251" i="43"/>
  <c r="X97" i="43"/>
  <c r="X270" i="43"/>
  <c r="X253" i="43"/>
  <c r="X272" i="43"/>
  <c r="X281" i="43"/>
  <c r="X290" i="43"/>
  <c r="X107" i="43"/>
  <c r="X113" i="43"/>
  <c r="X262" i="43"/>
  <c r="X52" i="43"/>
  <c r="X180" i="43"/>
  <c r="X204" i="43"/>
  <c r="X227" i="43"/>
  <c r="AB84" i="43"/>
  <c r="X234" i="43"/>
  <c r="AB277" i="43"/>
  <c r="X279" i="43"/>
  <c r="X288" i="43"/>
  <c r="X298" i="43"/>
  <c r="X111" i="43"/>
  <c r="X260" i="43"/>
  <c r="X56" i="43"/>
  <c r="X163" i="43"/>
  <c r="AC175" i="43"/>
  <c r="X175" i="43"/>
  <c r="X178" i="43"/>
  <c r="X209" i="43"/>
  <c r="AB82" i="43"/>
  <c r="X84" i="43"/>
  <c r="X87" i="43"/>
  <c r="X277" i="43"/>
  <c r="X105" i="43"/>
  <c r="X255" i="43"/>
  <c r="X258" i="43"/>
  <c r="AC124" i="43"/>
  <c r="X186" i="43"/>
  <c r="X191" i="43"/>
  <c r="X226" i="43"/>
  <c r="AC232" i="43"/>
  <c r="X82" i="43"/>
  <c r="AB273" i="43"/>
  <c r="X275" i="43"/>
  <c r="AB294" i="43"/>
  <c r="X296" i="43"/>
  <c r="AB117" i="43"/>
  <c r="X257" i="43"/>
  <c r="AB74" i="43"/>
  <c r="AB292" i="43"/>
  <c r="X294" i="43"/>
  <c r="AB116" i="43"/>
  <c r="X117" i="43"/>
  <c r="AB230" i="43"/>
  <c r="AC194" i="43"/>
  <c r="AB205" i="43"/>
  <c r="X74" i="43"/>
  <c r="AC211" i="43"/>
  <c r="AC219" i="43"/>
  <c r="AC228" i="43"/>
  <c r="X230" i="43"/>
  <c r="AB89" i="43"/>
  <c r="X248" i="43"/>
  <c r="AB291" i="43"/>
  <c r="AB114" i="43"/>
  <c r="Z304" i="43" l="1"/>
  <c r="AC304" i="43"/>
  <c r="X5" i="43"/>
  <c r="X304" i="43" s="1"/>
  <c r="AB5" i="43"/>
  <c r="AB304" i="43" s="1"/>
  <c r="C2417" i="3" l="1"/>
  <c r="C2421" i="3"/>
  <c r="C2419" i="3"/>
  <c r="C2415" i="3"/>
  <c r="C2413" i="3"/>
  <c r="C2411" i="3"/>
  <c r="C2409" i="3"/>
  <c r="C2407" i="3"/>
  <c r="C2402" i="3"/>
  <c r="C2400" i="3"/>
  <c r="E2400" i="3" l="1"/>
  <c r="E2401" i="3" s="1"/>
  <c r="E2402" i="3" s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C3303" i="3"/>
  <c r="P914" i="36"/>
  <c r="E2693" i="3" l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E3122" i="3" s="1"/>
  <c r="E3123" i="3" s="1"/>
  <c r="E3124" i="3" s="1"/>
  <c r="E3125" i="3" s="1"/>
  <c r="E3126" i="3" s="1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E3146" i="3" s="1"/>
  <c r="E3147" i="3" s="1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E3170" i="3" s="1"/>
  <c r="E3171" i="3" s="1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E3194" i="3" s="1"/>
  <c r="Q154" i="12"/>
  <c r="D3304" i="3"/>
  <c r="E3195" i="3" l="1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P30" i="11"/>
  <c r="E3207" i="3" l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E3218" i="3" s="1"/>
  <c r="E3219" i="3" s="1"/>
  <c r="E3220" i="3" s="1"/>
  <c r="E3221" i="3" s="1"/>
  <c r="E3222" i="3" s="1"/>
  <c r="E3223" i="3" s="1"/>
  <c r="E3224" i="3" s="1"/>
  <c r="E3225" i="3" s="1"/>
  <c r="E3226" i="3" s="1"/>
  <c r="E3227" i="3" s="1"/>
  <c r="E3228" i="3" s="1"/>
  <c r="E3229" i="3" s="1"/>
  <c r="E3230" i="3" s="1"/>
  <c r="E3231" i="3" s="1"/>
  <c r="E3232" i="3" s="1"/>
  <c r="E3233" i="3" s="1"/>
  <c r="E3234" i="3" s="1"/>
  <c r="E3235" i="3" s="1"/>
  <c r="E3236" i="3" s="1"/>
  <c r="E3237" i="3" s="1"/>
  <c r="E3238" i="3" s="1"/>
  <c r="E3239" i="3" s="1"/>
  <c r="E3240" i="3" s="1"/>
  <c r="E3241" i="3" s="1"/>
  <c r="E3242" i="3" s="1"/>
  <c r="E3243" i="3" s="1"/>
  <c r="E3244" i="3" s="1"/>
  <c r="E3245" i="3" s="1"/>
  <c r="E3246" i="3" s="1"/>
  <c r="E3247" i="3" s="1"/>
  <c r="E3248" i="3" s="1"/>
  <c r="E3249" i="3" s="1"/>
  <c r="E3250" i="3" s="1"/>
  <c r="E3251" i="3" s="1"/>
  <c r="E3252" i="3" s="1"/>
  <c r="E3253" i="3" s="1"/>
  <c r="E3254" i="3" s="1"/>
  <c r="E3255" i="3" s="1"/>
  <c r="E3256" i="3" s="1"/>
  <c r="E3257" i="3" s="1"/>
  <c r="E3258" i="3" s="1"/>
  <c r="E3259" i="3" s="1"/>
  <c r="E3260" i="3" s="1"/>
  <c r="E3261" i="3" s="1"/>
  <c r="E3262" i="3" s="1"/>
  <c r="E3263" i="3" s="1"/>
  <c r="E3264" i="3" s="1"/>
  <c r="E3265" i="3" s="1"/>
  <c r="C1431" i="2"/>
  <c r="E3266" i="3" l="1"/>
  <c r="E3267" i="3" s="1"/>
  <c r="E3268" i="3" s="1"/>
  <c r="E3269" i="3" s="1"/>
  <c r="E3270" i="3" s="1"/>
  <c r="E3271" i="3" s="1"/>
  <c r="E3272" i="3" s="1"/>
  <c r="E3273" i="3" s="1"/>
  <c r="E3274" i="3" s="1"/>
  <c r="E3275" i="3" s="1"/>
  <c r="E3276" i="3" s="1"/>
  <c r="E3277" i="3" s="1"/>
  <c r="E3278" i="3" s="1"/>
  <c r="E3279" i="3" s="1"/>
  <c r="E3280" i="3" s="1"/>
  <c r="E3281" i="3" s="1"/>
  <c r="E3282" i="3" s="1"/>
  <c r="E3283" i="3" s="1"/>
  <c r="E3284" i="3" s="1"/>
  <c r="E3285" i="3" s="1"/>
  <c r="E3286" i="3" s="1"/>
  <c r="E3287" i="3" s="1"/>
  <c r="E3288" i="3" s="1"/>
  <c r="E3289" i="3" s="1"/>
  <c r="E3290" i="3" s="1"/>
  <c r="E3291" i="3" s="1"/>
  <c r="E3292" i="3" s="1"/>
  <c r="E3293" i="3" s="1"/>
  <c r="E3294" i="3" s="1"/>
  <c r="E3295" i="3" s="1"/>
  <c r="E3296" i="3" s="1"/>
  <c r="E3297" i="3" s="1"/>
  <c r="E3298" i="3" s="1"/>
  <c r="E3299" i="3" s="1"/>
  <c r="E3300" i="3" s="1"/>
  <c r="E3301" i="3" s="1"/>
  <c r="D14" i="2"/>
  <c r="D12" i="2"/>
  <c r="D1216" i="2"/>
  <c r="P101" i="11" l="1"/>
  <c r="P102" i="11"/>
  <c r="P103" i="11"/>
  <c r="P104" i="11"/>
  <c r="P105" i="11"/>
  <c r="P106" i="11"/>
  <c r="P107" i="11"/>
  <c r="P108" i="11"/>
  <c r="P109" i="11"/>
  <c r="P110" i="11"/>
  <c r="P111" i="11"/>
  <c r="P145" i="11"/>
  <c r="P133" i="11"/>
  <c r="P121" i="11"/>
  <c r="P96" i="11"/>
  <c r="P84" i="11"/>
  <c r="P72" i="11"/>
  <c r="P60" i="11"/>
  <c r="P48" i="11"/>
  <c r="P36" i="11"/>
  <c r="P24" i="11"/>
  <c r="P12" i="11"/>
  <c r="K166" i="11"/>
  <c r="D100" i="6" l="1"/>
  <c r="D1065" i="2"/>
  <c r="D698" i="2"/>
  <c r="D815" i="2"/>
  <c r="D807" i="2"/>
  <c r="D247" i="32" l="1"/>
  <c r="C247" i="32"/>
  <c r="D248" i="32" l="1"/>
  <c r="D288" i="1" l="1"/>
  <c r="D34" i="38" l="1"/>
  <c r="C34" i="38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D35" i="38" l="1"/>
  <c r="C414" i="19" l="1"/>
  <c r="C360" i="19"/>
  <c r="C36" i="19"/>
  <c r="P913" i="36" l="1"/>
  <c r="P912" i="36"/>
  <c r="D349" i="19"/>
  <c r="D1346" i="19" s="1"/>
  <c r="C350" i="19" l="1"/>
  <c r="D293" i="2"/>
  <c r="D67" i="2"/>
  <c r="D21" i="2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876" i="36"/>
  <c r="P886" i="36"/>
  <c r="P890" i="36"/>
  <c r="P893" i="36"/>
  <c r="P894" i="36"/>
  <c r="P895" i="36"/>
  <c r="P896" i="36"/>
  <c r="P897" i="36"/>
  <c r="P900" i="36"/>
  <c r="P901" i="36"/>
  <c r="P903" i="36"/>
  <c r="P904" i="36"/>
  <c r="P905" i="36"/>
  <c r="P906" i="36"/>
  <c r="P907" i="36"/>
  <c r="P908" i="36"/>
  <c r="P909" i="36"/>
  <c r="P910" i="36"/>
  <c r="P911" i="36"/>
  <c r="P915" i="36"/>
  <c r="P916" i="36"/>
  <c r="P917" i="36"/>
  <c r="P918" i="36"/>
  <c r="P919" i="36"/>
  <c r="P920" i="36"/>
  <c r="P921" i="36"/>
  <c r="P922" i="36"/>
  <c r="P923" i="36"/>
  <c r="P924" i="36"/>
  <c r="P925" i="36"/>
  <c r="P926" i="36"/>
  <c r="P927" i="36"/>
  <c r="P928" i="36"/>
  <c r="P929" i="36"/>
  <c r="P930" i="36"/>
  <c r="P931" i="36"/>
  <c r="P932" i="36"/>
  <c r="P933" i="36"/>
  <c r="P934" i="36"/>
  <c r="P935" i="36"/>
  <c r="P936" i="36"/>
  <c r="P937" i="36"/>
  <c r="P938" i="36"/>
  <c r="P939" i="36"/>
  <c r="P940" i="36"/>
  <c r="P941" i="36"/>
  <c r="P942" i="36"/>
  <c r="P943" i="36"/>
  <c r="P944" i="36"/>
  <c r="P945" i="36"/>
  <c r="P946" i="36"/>
  <c r="P947" i="36"/>
  <c r="P948" i="36"/>
  <c r="P949" i="36"/>
  <c r="P950" i="36"/>
  <c r="P951" i="36"/>
  <c r="P952" i="36"/>
  <c r="P953" i="36"/>
  <c r="P954" i="36"/>
  <c r="P955" i="36"/>
  <c r="P956" i="36"/>
  <c r="P957" i="36"/>
  <c r="P958" i="36"/>
  <c r="P959" i="36"/>
  <c r="P960" i="36"/>
  <c r="P961" i="36"/>
  <c r="P962" i="36"/>
  <c r="P963" i="36"/>
  <c r="P964" i="36"/>
  <c r="P965" i="36"/>
  <c r="P966" i="36"/>
  <c r="P967" i="36"/>
  <c r="P968" i="36"/>
  <c r="P969" i="36"/>
  <c r="P970" i="36"/>
  <c r="P971" i="36"/>
  <c r="P972" i="36"/>
  <c r="P974" i="36"/>
  <c r="F998" i="36"/>
  <c r="L998" i="36" l="1"/>
  <c r="K998" i="36"/>
  <c r="J998" i="36"/>
  <c r="I998" i="36"/>
  <c r="H998" i="36"/>
  <c r="P5" i="36"/>
  <c r="P998" i="36" s="1"/>
  <c r="C662" i="1" l="1"/>
  <c r="D662" i="1"/>
  <c r="D624" i="2"/>
  <c r="D516" i="2"/>
  <c r="D404" i="2"/>
  <c r="D398" i="2"/>
  <c r="D342" i="2"/>
  <c r="D302" i="2"/>
  <c r="D240" i="2"/>
  <c r="D474" i="2" l="1"/>
  <c r="D1431" i="2" s="1"/>
  <c r="D1432" i="2" l="1"/>
  <c r="C1346" i="19"/>
  <c r="D1347" i="19" s="1"/>
  <c r="E5" i="32" l="1"/>
  <c r="E6" i="32" s="1"/>
  <c r="E7" i="32" s="1"/>
  <c r="E8" i="32" s="1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C7" i="6"/>
  <c r="C5" i="6"/>
  <c r="C100" i="6" l="1"/>
  <c r="D101" i="6" s="1"/>
  <c r="E20" i="32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l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l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D116" i="24"/>
  <c r="C116" i="24"/>
  <c r="D18" i="23"/>
  <c r="C18" i="23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47" i="32" l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D117" i="24"/>
  <c r="E5" i="6" l="1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" i="6" l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l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5" i="19"/>
  <c r="E6" i="19" s="1"/>
  <c r="E7" i="19" s="1"/>
  <c r="E8" i="19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9" i="19" l="1"/>
  <c r="E977" i="2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281" i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Q156" i="12"/>
  <c r="Q161" i="12"/>
  <c r="Q167" i="12"/>
  <c r="Q158" i="12"/>
  <c r="E10" i="19" l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1013" i="2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Q170" i="12"/>
  <c r="Q181" i="12"/>
  <c r="Q182" i="12"/>
  <c r="Q144" i="12"/>
  <c r="Q180" i="12"/>
  <c r="Q137" i="12"/>
  <c r="Q138" i="12"/>
  <c r="Q160" i="12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Q145" i="12"/>
  <c r="Q169" i="12"/>
  <c r="Q149" i="12"/>
  <c r="Q147" i="12"/>
  <c r="Q155" i="12"/>
  <c r="Q152" i="12"/>
  <c r="Q150" i="12"/>
  <c r="Q179" i="12"/>
  <c r="Q184" i="12"/>
  <c r="Q148" i="12"/>
  <c r="Q139" i="12"/>
  <c r="Q153" i="12"/>
  <c r="Q132" i="12"/>
  <c r="Q140" i="12"/>
  <c r="Q131" i="12"/>
  <c r="Q162" i="12"/>
  <c r="Q159" i="12"/>
  <c r="Q186" i="12"/>
  <c r="Q171" i="12"/>
  <c r="Q177" i="12"/>
  <c r="Q176" i="12"/>
  <c r="Q173" i="12"/>
  <c r="Q146" i="12"/>
  <c r="Q165" i="12"/>
  <c r="Q175" i="12"/>
  <c r="Q183" i="12"/>
  <c r="Q168" i="12"/>
  <c r="Q164" i="12"/>
  <c r="Q163" i="12"/>
  <c r="Q174" i="12"/>
  <c r="Q143" i="12"/>
  <c r="Q172" i="12"/>
  <c r="Q157" i="12"/>
  <c r="Q141" i="12"/>
  <c r="E1048" i="2" l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l="1"/>
  <c r="E1090" i="2" s="1"/>
  <c r="E1091" i="2" s="1"/>
  <c r="E1092" i="2" s="1"/>
  <c r="E1093" i="2" s="1"/>
  <c r="E1094" i="2" s="1"/>
  <c r="E1095" i="2" s="1"/>
  <c r="E1096" i="2" l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l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J127" i="12"/>
  <c r="B129" i="12" l="1"/>
  <c r="B68" i="12"/>
  <c r="L166" i="11" l="1"/>
  <c r="J166" i="11"/>
  <c r="P135" i="11"/>
  <c r="P134" i="11"/>
  <c r="P132" i="11"/>
  <c r="P131" i="11"/>
  <c r="P130" i="11"/>
  <c r="P129" i="11"/>
  <c r="P128" i="11"/>
  <c r="P127" i="11"/>
  <c r="P126" i="11"/>
  <c r="P125" i="11"/>
  <c r="P99" i="11"/>
  <c r="P98" i="11"/>
  <c r="P97" i="11"/>
  <c r="P95" i="11"/>
  <c r="P94" i="11"/>
  <c r="P93" i="11"/>
  <c r="P92" i="11"/>
  <c r="P91" i="11"/>
  <c r="P90" i="11"/>
  <c r="P89" i="11"/>
  <c r="P75" i="11"/>
  <c r="P74" i="11"/>
  <c r="P73" i="11"/>
  <c r="P71" i="11"/>
  <c r="P70" i="11"/>
  <c r="P69" i="11"/>
  <c r="P68" i="11"/>
  <c r="P67" i="11"/>
  <c r="P66" i="11"/>
  <c r="P65" i="11"/>
  <c r="P51" i="11"/>
  <c r="P50" i="11"/>
  <c r="P49" i="11"/>
  <c r="P47" i="11"/>
  <c r="P46" i="11"/>
  <c r="P45" i="11"/>
  <c r="P44" i="11"/>
  <c r="P43" i="11"/>
  <c r="P42" i="11"/>
  <c r="P41" i="11"/>
  <c r="P27" i="11"/>
  <c r="P26" i="11"/>
  <c r="P25" i="11"/>
  <c r="P23" i="11"/>
  <c r="P22" i="11"/>
  <c r="P21" i="11"/>
  <c r="P20" i="11"/>
  <c r="P19" i="11"/>
  <c r="P18" i="11"/>
  <c r="P148" i="11"/>
  <c r="P146" i="11"/>
  <c r="P144" i="11"/>
  <c r="P143" i="11"/>
  <c r="P142" i="11"/>
  <c r="P141" i="11"/>
  <c r="P140" i="11"/>
  <c r="P139" i="11"/>
  <c r="P138" i="11"/>
  <c r="P137" i="11"/>
  <c r="P123" i="11"/>
  <c r="P122" i="11"/>
  <c r="P120" i="11"/>
  <c r="P119" i="11"/>
  <c r="P118" i="11"/>
  <c r="P117" i="11"/>
  <c r="P116" i="11"/>
  <c r="P115" i="11"/>
  <c r="P114" i="11"/>
  <c r="P113" i="11"/>
  <c r="P87" i="11"/>
  <c r="P86" i="11"/>
  <c r="P85" i="11"/>
  <c r="P83" i="11"/>
  <c r="P82" i="11"/>
  <c r="P81" i="11"/>
  <c r="P80" i="11"/>
  <c r="P79" i="11"/>
  <c r="P78" i="11"/>
  <c r="P77" i="11"/>
  <c r="P63" i="11"/>
  <c r="P62" i="11"/>
  <c r="P61" i="11"/>
  <c r="P59" i="11"/>
  <c r="P58" i="11"/>
  <c r="P57" i="11"/>
  <c r="P56" i="11"/>
  <c r="P55" i="11"/>
  <c r="P54" i="11"/>
  <c r="P53" i="11"/>
  <c r="P39" i="11"/>
  <c r="P38" i="11"/>
  <c r="P37" i="11"/>
  <c r="P35" i="11"/>
  <c r="P34" i="11"/>
  <c r="P33" i="11"/>
  <c r="P32" i="11"/>
  <c r="P31" i="11"/>
  <c r="P29" i="11"/>
  <c r="P15" i="11"/>
  <c r="P14" i="11"/>
  <c r="P13" i="11"/>
  <c r="P11" i="11"/>
  <c r="P10" i="11"/>
  <c r="P9" i="11"/>
  <c r="P8" i="11"/>
  <c r="P7" i="11"/>
  <c r="P6" i="11"/>
  <c r="E5" i="24" l="1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D663" i="1" l="1"/>
  <c r="E50" i="19" l="1"/>
  <c r="E51" i="19" s="1"/>
  <c r="E52" i="19" s="1"/>
  <c r="E53" i="19" s="1"/>
  <c r="E54" i="19" s="1"/>
  <c r="E55" i="19" s="1"/>
  <c r="E56" i="19" l="1"/>
  <c r="P203" i="12"/>
  <c r="P226" i="12"/>
  <c r="E57" i="19" l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G65" i="12"/>
  <c r="E140" i="19" l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H127" i="12"/>
  <c r="F127" i="12"/>
  <c r="I166" i="11" l="1"/>
  <c r="E195" i="19" l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l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G64" i="10"/>
  <c r="S64" i="10" s="1"/>
  <c r="G63" i="10"/>
  <c r="S63" i="10" s="1"/>
  <c r="G62" i="10"/>
  <c r="S62" i="10" s="1"/>
  <c r="G61" i="10"/>
  <c r="S61" i="10" s="1"/>
  <c r="E335" i="19" l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E377" i="19" s="1"/>
  <c r="E378" i="19" s="1"/>
  <c r="E379" i="19" s="1"/>
  <c r="E380" i="19" s="1"/>
  <c r="E381" i="19" s="1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04" i="19" s="1"/>
  <c r="E405" i="19" s="1"/>
  <c r="E406" i="19" s="1"/>
  <c r="E407" i="19" s="1"/>
  <c r="T62" i="10"/>
  <c r="U62" i="10" s="1"/>
  <c r="T63" i="10"/>
  <c r="U63" i="10" s="1"/>
  <c r="T64" i="10"/>
  <c r="U64" i="10" s="1"/>
  <c r="T61" i="10"/>
  <c r="U61" i="10" s="1"/>
  <c r="T53" i="10"/>
  <c r="U53" i="10" s="1"/>
  <c r="T52" i="10"/>
  <c r="U52" i="10" s="1"/>
  <c r="S87" i="10"/>
  <c r="T87" i="10" s="1"/>
  <c r="U87" i="10" s="1"/>
  <c r="I234" i="12" l="1"/>
  <c r="I127" i="12"/>
  <c r="I65" i="12"/>
  <c r="G59" i="10" l="1"/>
  <c r="S59" i="10" s="1"/>
  <c r="G57" i="10"/>
  <c r="S57" i="10" s="1"/>
  <c r="G56" i="10"/>
  <c r="S56" i="10" s="1"/>
  <c r="E408" i="19" l="1"/>
  <c r="E409" i="19" s="1"/>
  <c r="E410" i="19" s="1"/>
  <c r="E411" i="19" s="1"/>
  <c r="E412" i="19" s="1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 s="1"/>
  <c r="E437" i="19" s="1"/>
  <c r="E438" i="19" s="1"/>
  <c r="E439" i="19" s="1"/>
  <c r="E440" i="19" s="1"/>
  <c r="E441" i="19" s="1"/>
  <c r="E442" i="19" s="1"/>
  <c r="E443" i="19" s="1"/>
  <c r="E444" i="19" s="1"/>
  <c r="E445" i="19" s="1"/>
  <c r="E446" i="19" s="1"/>
  <c r="E447" i="19" s="1"/>
  <c r="T59" i="10"/>
  <c r="U59" i="10" s="1"/>
  <c r="T57" i="10"/>
  <c r="U57" i="10" s="1"/>
  <c r="T56" i="10"/>
  <c r="U56" i="10" s="1"/>
  <c r="E448" i="19" l="1"/>
  <c r="E449" i="19" s="1"/>
  <c r="E450" i="19" s="1"/>
  <c r="E451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 s="1"/>
  <c r="E468" i="19" s="1"/>
  <c r="E469" i="19" s="1"/>
  <c r="E470" i="19" s="1"/>
  <c r="E471" i="19" s="1"/>
  <c r="E472" i="19" s="1"/>
  <c r="E473" i="19" s="1"/>
  <c r="E474" i="19" s="1"/>
  <c r="M127" i="12"/>
  <c r="Q185" i="12" s="1"/>
  <c r="L127" i="12"/>
  <c r="L65" i="12"/>
  <c r="H65" i="12"/>
  <c r="F65" i="12"/>
  <c r="E65" i="12"/>
  <c r="E475" i="19" l="1"/>
  <c r="E476" i="19" s="1"/>
  <c r="E477" i="19" s="1"/>
  <c r="E478" i="19" s="1"/>
  <c r="E479" i="19" s="1"/>
  <c r="E480" i="19" s="1"/>
  <c r="E481" i="19" s="1"/>
  <c r="E482" i="19" s="1"/>
  <c r="E483" i="19" s="1"/>
  <c r="E484" i="19" s="1"/>
  <c r="E485" i="19" s="1"/>
  <c r="E486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 s="1"/>
  <c r="E499" i="19" s="1"/>
  <c r="E500" i="19" s="1"/>
  <c r="E501" i="19" s="1"/>
  <c r="E502" i="19" s="1"/>
  <c r="E503" i="19" s="1"/>
  <c r="E504" i="19" s="1"/>
  <c r="E505" i="19" s="1"/>
  <c r="E506" i="19" s="1"/>
  <c r="E507" i="19" s="1"/>
  <c r="E508" i="19" s="1"/>
  <c r="E509" i="19" s="1"/>
  <c r="E510" i="19" s="1"/>
  <c r="E511" i="19" s="1"/>
  <c r="E512" i="19" s="1"/>
  <c r="E513" i="19" s="1"/>
  <c r="E514" i="19" s="1"/>
  <c r="E515" i="19" s="1"/>
  <c r="E516" i="19" s="1"/>
  <c r="N127" i="12"/>
  <c r="E517" i="19" l="1"/>
  <c r="E518" i="19" s="1"/>
  <c r="E519" i="19" s="1"/>
  <c r="E520" i="19" s="1"/>
  <c r="E521" i="19" s="1"/>
  <c r="E522" i="19" s="1"/>
  <c r="E523" i="19" s="1"/>
  <c r="E524" i="19" s="1"/>
  <c r="E525" i="19" s="1"/>
  <c r="E526" i="19" s="1"/>
  <c r="E527" i="19" s="1"/>
  <c r="E528" i="19" s="1"/>
  <c r="E529" i="19" s="1"/>
  <c r="E530" i="19" s="1"/>
  <c r="E531" i="19" s="1"/>
  <c r="E532" i="19" s="1"/>
  <c r="E533" i="19" s="1"/>
  <c r="E534" i="19" s="1"/>
  <c r="E535" i="19" s="1"/>
  <c r="E536" i="19" s="1"/>
  <c r="E537" i="19" s="1"/>
  <c r="E538" i="19" s="1"/>
  <c r="E539" i="19" s="1"/>
  <c r="E540" i="19" s="1"/>
  <c r="E541" i="19" s="1"/>
  <c r="D19" i="23"/>
  <c r="E542" i="19" l="1"/>
  <c r="E543" i="19" s="1"/>
  <c r="E544" i="19" s="1"/>
  <c r="E545" i="19" s="1"/>
  <c r="E546" i="19" s="1"/>
  <c r="E547" i="19" s="1"/>
  <c r="E548" i="19" s="1"/>
  <c r="E549" i="19" s="1"/>
  <c r="E550" i="19" s="1"/>
  <c r="E551" i="19" s="1"/>
  <c r="E552" i="19" s="1"/>
  <c r="E553" i="19" s="1"/>
  <c r="E554" i="19" s="1"/>
  <c r="E555" i="19" s="1"/>
  <c r="E556" i="19" s="1"/>
  <c r="E557" i="19" s="1"/>
  <c r="E558" i="19" s="1"/>
  <c r="E559" i="19" s="1"/>
  <c r="E560" i="19" s="1"/>
  <c r="E561" i="19" s="1"/>
  <c r="E562" i="19" s="1"/>
  <c r="E563" i="19" s="1"/>
  <c r="E564" i="19" s="1"/>
  <c r="E565" i="19" s="1"/>
  <c r="E566" i="19" s="1"/>
  <c r="E567" i="19" s="1"/>
  <c r="E568" i="19" s="1"/>
  <c r="E569" i="19" s="1"/>
  <c r="E570" i="19" s="1"/>
  <c r="E571" i="19" s="1"/>
  <c r="E572" i="19" s="1"/>
  <c r="E573" i="19" s="1"/>
  <c r="E574" i="19" s="1"/>
  <c r="E575" i="19" s="1"/>
  <c r="E576" i="19" s="1"/>
  <c r="E577" i="19" s="1"/>
  <c r="E578" i="19" s="1"/>
  <c r="E579" i="19" s="1"/>
  <c r="E580" i="19" s="1"/>
  <c r="E581" i="19" s="1"/>
  <c r="E582" i="19" s="1"/>
  <c r="E583" i="19" s="1"/>
  <c r="E584" i="19" s="1"/>
  <c r="E585" i="19" s="1"/>
  <c r="E586" i="19" s="1"/>
  <c r="E587" i="19" s="1"/>
  <c r="E588" i="19" s="1"/>
  <c r="E589" i="19" s="1"/>
  <c r="E590" i="19" s="1"/>
  <c r="E591" i="19" s="1"/>
  <c r="E592" i="19" s="1"/>
  <c r="E593" i="19" s="1"/>
  <c r="E594" i="19" s="1"/>
  <c r="E595" i="19" s="1"/>
  <c r="E596" i="19" s="1"/>
  <c r="E597" i="19" s="1"/>
  <c r="E598" i="19" s="1"/>
  <c r="E599" i="19" s="1"/>
  <c r="E600" i="19" s="1"/>
  <c r="E601" i="19" s="1"/>
  <c r="E602" i="19" s="1"/>
  <c r="E603" i="19" s="1"/>
  <c r="E604" i="19" s="1"/>
  <c r="E605" i="19" s="1"/>
  <c r="E606" i="19" s="1"/>
  <c r="E607" i="19" s="1"/>
  <c r="E608" i="19" s="1"/>
  <c r="E609" i="19" s="1"/>
  <c r="E610" i="19" s="1"/>
  <c r="E611" i="19" s="1"/>
  <c r="E612" i="19" s="1"/>
  <c r="E613" i="19" s="1"/>
  <c r="E614" i="19" s="1"/>
  <c r="E615" i="19" s="1"/>
  <c r="E616" i="19" s="1"/>
  <c r="E617" i="19" s="1"/>
  <c r="E618" i="19" s="1"/>
  <c r="E619" i="19" s="1"/>
  <c r="E620" i="19" s="1"/>
  <c r="E621" i="19" s="1"/>
  <c r="E622" i="19" s="1"/>
  <c r="E623" i="19" s="1"/>
  <c r="E624" i="19" s="1"/>
  <c r="E625" i="19" s="1"/>
  <c r="E626" i="19" s="1"/>
  <c r="E627" i="19" s="1"/>
  <c r="E628" i="19" s="1"/>
  <c r="E629" i="19" s="1"/>
  <c r="E630" i="19" s="1"/>
  <c r="E631" i="19" s="1"/>
  <c r="E632" i="19" s="1"/>
  <c r="E633" i="19" s="1"/>
  <c r="H234" i="12"/>
  <c r="E634" i="19" l="1"/>
  <c r="E635" i="19" s="1"/>
  <c r="E636" i="19" s="1"/>
  <c r="E637" i="19" s="1"/>
  <c r="E638" i="19" s="1"/>
  <c r="E639" i="19" s="1"/>
  <c r="E640" i="19" s="1"/>
  <c r="E641" i="19" s="1"/>
  <c r="E642" i="19" s="1"/>
  <c r="E643" i="19" s="1"/>
  <c r="E644" i="19" s="1"/>
  <c r="E645" i="19" s="1"/>
  <c r="E646" i="19" s="1"/>
  <c r="E647" i="19" s="1"/>
  <c r="E648" i="19" s="1"/>
  <c r="E649" i="19" s="1"/>
  <c r="E650" i="19" s="1"/>
  <c r="E651" i="19" s="1"/>
  <c r="E652" i="19" s="1"/>
  <c r="E653" i="19" s="1"/>
  <c r="E654" i="19" s="1"/>
  <c r="E655" i="19" s="1"/>
  <c r="E656" i="19" s="1"/>
  <c r="E657" i="19" s="1"/>
  <c r="E658" i="19" s="1"/>
  <c r="E659" i="19" s="1"/>
  <c r="E660" i="19" s="1"/>
  <c r="E661" i="19" s="1"/>
  <c r="E662" i="19" s="1"/>
  <c r="E663" i="19" s="1"/>
  <c r="E664" i="19" s="1"/>
  <c r="H166" i="11"/>
  <c r="D166" i="11"/>
  <c r="L234" i="12"/>
  <c r="E665" i="19" l="1"/>
  <c r="E666" i="19" s="1"/>
  <c r="E667" i="19" s="1"/>
  <c r="E668" i="19" s="1"/>
  <c r="E669" i="19" s="1"/>
  <c r="E670" i="19" s="1"/>
  <c r="E671" i="19" s="1"/>
  <c r="E672" i="19" s="1"/>
  <c r="E673" i="19" s="1"/>
  <c r="E674" i="19" s="1"/>
  <c r="E675" i="19" s="1"/>
  <c r="E676" i="19" s="1"/>
  <c r="E677" i="19" s="1"/>
  <c r="E678" i="19" s="1"/>
  <c r="E679" i="19" s="1"/>
  <c r="E680" i="19" s="1"/>
  <c r="E681" i="19" s="1"/>
  <c r="E682" i="19" s="1"/>
  <c r="E683" i="19" s="1"/>
  <c r="E684" i="19" s="1"/>
  <c r="E685" i="19" s="1"/>
  <c r="E686" i="19" s="1"/>
  <c r="E687" i="19" s="1"/>
  <c r="E688" i="19" s="1"/>
  <c r="E689" i="19" s="1"/>
  <c r="E690" i="19" s="1"/>
  <c r="E691" i="19" s="1"/>
  <c r="E692" i="19" s="1"/>
  <c r="E693" i="19" s="1"/>
  <c r="E694" i="19" s="1"/>
  <c r="E695" i="19" s="1"/>
  <c r="E696" i="19" s="1"/>
  <c r="E697" i="19" s="1"/>
  <c r="E698" i="19" s="1"/>
  <c r="E699" i="19" s="1"/>
  <c r="E700" i="19" s="1"/>
  <c r="E701" i="19" s="1"/>
  <c r="E702" i="19" s="1"/>
  <c r="E703" i="19" s="1"/>
  <c r="E704" i="19" s="1"/>
  <c r="E705" i="19" s="1"/>
  <c r="E706" i="19" s="1"/>
  <c r="E707" i="19" s="1"/>
  <c r="E708" i="19" s="1"/>
  <c r="E709" i="19" s="1"/>
  <c r="E710" i="19" s="1"/>
  <c r="E711" i="19" s="1"/>
  <c r="E712" i="19" s="1"/>
  <c r="E713" i="19" s="1"/>
  <c r="E714" i="19" s="1"/>
  <c r="E715" i="19" s="1"/>
  <c r="E716" i="19" s="1"/>
  <c r="G58" i="10"/>
  <c r="S58" i="10" s="1"/>
  <c r="T58" i="10" l="1"/>
  <c r="U58" i="10" s="1"/>
  <c r="D110" i="5" l="1"/>
  <c r="C110" i="5"/>
  <c r="E717" i="19" l="1"/>
  <c r="E718" i="19" s="1"/>
  <c r="E719" i="19" s="1"/>
  <c r="E720" i="19" s="1"/>
  <c r="E721" i="19" s="1"/>
  <c r="E722" i="19" s="1"/>
  <c r="E723" i="19" s="1"/>
  <c r="E724" i="19" s="1"/>
  <c r="E725" i="19" s="1"/>
  <c r="E726" i="19" s="1"/>
  <c r="E727" i="19" s="1"/>
  <c r="E728" i="19" s="1"/>
  <c r="E729" i="19" s="1"/>
  <c r="E730" i="19" s="1"/>
  <c r="E731" i="19" s="1"/>
  <c r="E732" i="19" s="1"/>
  <c r="E733" i="19" s="1"/>
  <c r="E734" i="19" s="1"/>
  <c r="E735" i="19" s="1"/>
  <c r="E736" i="19" s="1"/>
  <c r="E737" i="19" s="1"/>
  <c r="E738" i="19" s="1"/>
  <c r="E739" i="19" s="1"/>
  <c r="E740" i="19" s="1"/>
  <c r="E741" i="19" s="1"/>
  <c r="E742" i="19" s="1"/>
  <c r="E743" i="19" s="1"/>
  <c r="E744" i="19" s="1"/>
  <c r="E745" i="19" s="1"/>
  <c r="E746" i="19" s="1"/>
  <c r="E747" i="19" s="1"/>
  <c r="E748" i="19" s="1"/>
  <c r="E749" i="19" s="1"/>
  <c r="E750" i="19" s="1"/>
  <c r="E751" i="19" s="1"/>
  <c r="E752" i="19" s="1"/>
  <c r="E753" i="19" s="1"/>
  <c r="E754" i="19" s="1"/>
  <c r="E755" i="19" s="1"/>
  <c r="E756" i="19" s="1"/>
  <c r="E757" i="19" s="1"/>
  <c r="E758" i="19" s="1"/>
  <c r="E759" i="19" s="1"/>
  <c r="E760" i="19" s="1"/>
  <c r="E761" i="19" s="1"/>
  <c r="E762" i="19" s="1"/>
  <c r="E763" i="19" s="1"/>
  <c r="E764" i="19" s="1"/>
  <c r="E765" i="19" s="1"/>
  <c r="E766" i="19" s="1"/>
  <c r="E767" i="19" s="1"/>
  <c r="E768" i="19" s="1"/>
  <c r="E769" i="19" s="1"/>
  <c r="E770" i="19" s="1"/>
  <c r="E771" i="19" s="1"/>
  <c r="E772" i="19" s="1"/>
  <c r="E773" i="19" s="1"/>
  <c r="E774" i="19" s="1"/>
  <c r="E775" i="19" s="1"/>
  <c r="E776" i="19" s="1"/>
  <c r="E777" i="19" s="1"/>
  <c r="E778" i="19" s="1"/>
  <c r="E779" i="19" s="1"/>
  <c r="E780" i="19" s="1"/>
  <c r="E781" i="19" s="1"/>
  <c r="E782" i="19" s="1"/>
  <c r="E783" i="19" s="1"/>
  <c r="E784" i="19" s="1"/>
  <c r="E785" i="19" s="1"/>
  <c r="E786" i="19" s="1"/>
  <c r="E787" i="19" s="1"/>
  <c r="E788" i="19" s="1"/>
  <c r="E789" i="19" s="1"/>
  <c r="E790" i="19" s="1"/>
  <c r="E791" i="19" s="1"/>
  <c r="E792" i="19" s="1"/>
  <c r="E793" i="19" s="1"/>
  <c r="E794" i="19" s="1"/>
  <c r="E795" i="19" s="1"/>
  <c r="E796" i="19" s="1"/>
  <c r="E797" i="19" s="1"/>
  <c r="E798" i="19" s="1"/>
  <c r="E799" i="19" s="1"/>
  <c r="E800" i="19" s="1"/>
  <c r="E801" i="19" s="1"/>
  <c r="E802" i="19" s="1"/>
  <c r="E803" i="19" s="1"/>
  <c r="E804" i="19" s="1"/>
  <c r="E805" i="19" s="1"/>
  <c r="E806" i="19" s="1"/>
  <c r="E807" i="19" s="1"/>
  <c r="E808" i="19" s="1"/>
  <c r="E809" i="19" s="1"/>
  <c r="E810" i="19" s="1"/>
  <c r="E811" i="19" s="1"/>
  <c r="E812" i="19" s="1"/>
  <c r="E813" i="19" s="1"/>
  <c r="E814" i="19" s="1"/>
  <c r="E815" i="19" s="1"/>
  <c r="E816" i="19" s="1"/>
  <c r="E817" i="19" s="1"/>
  <c r="E818" i="19" s="1"/>
  <c r="E819" i="19" s="1"/>
  <c r="E820" i="19" s="1"/>
  <c r="E821" i="19" s="1"/>
  <c r="E822" i="19" s="1"/>
  <c r="E823" i="19" s="1"/>
  <c r="E824" i="19" s="1"/>
  <c r="E825" i="19" s="1"/>
  <c r="P17" i="11"/>
  <c r="E826" i="19" l="1"/>
  <c r="E827" i="19" s="1"/>
  <c r="E828" i="19" s="1"/>
  <c r="E829" i="19" s="1"/>
  <c r="E830" i="19" s="1"/>
  <c r="E831" i="19" s="1"/>
  <c r="E832" i="19" s="1"/>
  <c r="E833" i="19" s="1"/>
  <c r="E834" i="19" s="1"/>
  <c r="E835" i="19" s="1"/>
  <c r="E836" i="19" s="1"/>
  <c r="E837" i="19" s="1"/>
  <c r="E838" i="19" s="1"/>
  <c r="E839" i="19" s="1"/>
  <c r="E840" i="19" s="1"/>
  <c r="E841" i="19" s="1"/>
  <c r="E842" i="19" s="1"/>
  <c r="E843" i="19" s="1"/>
  <c r="E844" i="19" s="1"/>
  <c r="E845" i="19" s="1"/>
  <c r="E846" i="19" s="1"/>
  <c r="E847" i="19" s="1"/>
  <c r="E848" i="19" s="1"/>
  <c r="E849" i="19" s="1"/>
  <c r="E850" i="19" s="1"/>
  <c r="E851" i="19" s="1"/>
  <c r="E852" i="19" s="1"/>
  <c r="E853" i="19" s="1"/>
  <c r="E854" i="19" s="1"/>
  <c r="E855" i="19" s="1"/>
  <c r="E856" i="19" s="1"/>
  <c r="E857" i="19" s="1"/>
  <c r="E858" i="19" s="1"/>
  <c r="E859" i="19" s="1"/>
  <c r="E860" i="19" s="1"/>
  <c r="E861" i="19" s="1"/>
  <c r="E862" i="19" s="1"/>
  <c r="E863" i="19" s="1"/>
  <c r="I89" i="10"/>
  <c r="T55" i="10"/>
  <c r="U55" i="10" s="1"/>
  <c r="N234" i="12"/>
  <c r="M234" i="12"/>
  <c r="G234" i="12"/>
  <c r="F234" i="12"/>
  <c r="E234" i="12"/>
  <c r="D234" i="12"/>
  <c r="C234" i="12"/>
  <c r="P229" i="12"/>
  <c r="P192" i="12"/>
  <c r="C127" i="12"/>
  <c r="E127" i="12" s="1"/>
  <c r="P68" i="12"/>
  <c r="C65" i="12"/>
  <c r="P6" i="12"/>
  <c r="O166" i="11"/>
  <c r="M166" i="11"/>
  <c r="G166" i="11"/>
  <c r="F166" i="11"/>
  <c r="E166" i="11"/>
  <c r="C166" i="11"/>
  <c r="P5" i="11"/>
  <c r="S104" i="10"/>
  <c r="U104" i="10" s="1"/>
  <c r="F102" i="10"/>
  <c r="S100" i="10"/>
  <c r="T100" i="10" s="1"/>
  <c r="U100" i="10" s="1"/>
  <c r="S98" i="10"/>
  <c r="T98" i="10" s="1"/>
  <c r="I102" i="10"/>
  <c r="E97" i="10"/>
  <c r="M102" i="10"/>
  <c r="S96" i="10"/>
  <c r="T96" i="10" s="1"/>
  <c r="S95" i="10"/>
  <c r="T95" i="10" s="1"/>
  <c r="U95" i="10" s="1"/>
  <c r="S94" i="10"/>
  <c r="T94" i="10" s="1"/>
  <c r="U94" i="10" s="1"/>
  <c r="S93" i="10"/>
  <c r="T93" i="10" s="1"/>
  <c r="U93" i="10" s="1"/>
  <c r="S92" i="10"/>
  <c r="T92" i="10" s="1"/>
  <c r="U92" i="10" s="1"/>
  <c r="T49" i="10"/>
  <c r="U49" i="10" s="1"/>
  <c r="N89" i="10"/>
  <c r="T47" i="10"/>
  <c r="U47" i="10" s="1"/>
  <c r="S46" i="10"/>
  <c r="T46" i="10" s="1"/>
  <c r="U46" i="10" s="1"/>
  <c r="S45" i="10"/>
  <c r="T45" i="10" s="1"/>
  <c r="U45" i="10" s="1"/>
  <c r="S44" i="10"/>
  <c r="T44" i="10"/>
  <c r="U44" i="10" s="1"/>
  <c r="S42" i="10"/>
  <c r="T42" i="10" s="1"/>
  <c r="U42" i="10" s="1"/>
  <c r="R89" i="10"/>
  <c r="S41" i="10"/>
  <c r="T41" i="10" s="1"/>
  <c r="U41" i="10" s="1"/>
  <c r="S38" i="10"/>
  <c r="T38" i="10" s="1"/>
  <c r="U38" i="10" s="1"/>
  <c r="S37" i="10"/>
  <c r="T37" i="10" s="1"/>
  <c r="U37" i="10" s="1"/>
  <c r="S36" i="10"/>
  <c r="T36" i="10" s="1"/>
  <c r="U36" i="10" s="1"/>
  <c r="S35" i="10"/>
  <c r="T35" i="10" s="1"/>
  <c r="U35" i="10" s="1"/>
  <c r="S34" i="10"/>
  <c r="T34" i="10" s="1"/>
  <c r="U34" i="10" s="1"/>
  <c r="S33" i="10"/>
  <c r="T33" i="10" s="1"/>
  <c r="U33" i="10" s="1"/>
  <c r="S32" i="10"/>
  <c r="T32" i="10" s="1"/>
  <c r="U32" i="10" s="1"/>
  <c r="S31" i="10"/>
  <c r="T31" i="10" s="1"/>
  <c r="U31" i="10" s="1"/>
  <c r="S30" i="10"/>
  <c r="T30" i="10" s="1"/>
  <c r="U30" i="10" s="1"/>
  <c r="S29" i="10"/>
  <c r="T29" i="10" s="1"/>
  <c r="U29" i="10" s="1"/>
  <c r="S28" i="10"/>
  <c r="T28" i="10" s="1"/>
  <c r="U28" i="10" s="1"/>
  <c r="S27" i="10"/>
  <c r="T27" i="10" s="1"/>
  <c r="U27" i="10" s="1"/>
  <c r="S26" i="10"/>
  <c r="T26" i="10" s="1"/>
  <c r="U26" i="10" s="1"/>
  <c r="S25" i="10"/>
  <c r="T25" i="10" s="1"/>
  <c r="D25" i="10"/>
  <c r="S24" i="10"/>
  <c r="T24" i="10" s="1"/>
  <c r="U24" i="10" s="1"/>
  <c r="S23" i="10"/>
  <c r="T23" i="10" s="1"/>
  <c r="U23" i="10" s="1"/>
  <c r="S22" i="10"/>
  <c r="T22" i="10" s="1"/>
  <c r="U22" i="10" s="1"/>
  <c r="S21" i="10"/>
  <c r="T21" i="10" s="1"/>
  <c r="U21" i="10" s="1"/>
  <c r="S20" i="10"/>
  <c r="T20" i="10" s="1"/>
  <c r="U20" i="10" s="1"/>
  <c r="S19" i="10"/>
  <c r="T19" i="10" s="1"/>
  <c r="U19" i="10" s="1"/>
  <c r="S18" i="10"/>
  <c r="T18" i="10" s="1"/>
  <c r="U18" i="10" s="1"/>
  <c r="S17" i="10"/>
  <c r="T17" i="10" s="1"/>
  <c r="U17" i="10" s="1"/>
  <c r="S16" i="10"/>
  <c r="T16" i="10" s="1"/>
  <c r="U16" i="10" s="1"/>
  <c r="S15" i="10"/>
  <c r="T15" i="10" s="1"/>
  <c r="U15" i="10" s="1"/>
  <c r="S14" i="10"/>
  <c r="T14" i="10" s="1"/>
  <c r="U14" i="10" s="1"/>
  <c r="S13" i="10"/>
  <c r="T13" i="10" s="1"/>
  <c r="U13" i="10" s="1"/>
  <c r="S12" i="10"/>
  <c r="T12" i="10" s="1"/>
  <c r="U12" i="10" s="1"/>
  <c r="S11" i="10"/>
  <c r="T11" i="10" s="1"/>
  <c r="U11" i="10" s="1"/>
  <c r="S10" i="10"/>
  <c r="T10" i="10" s="1"/>
  <c r="U10" i="10" s="1"/>
  <c r="S9" i="10"/>
  <c r="T9" i="10" s="1"/>
  <c r="U9" i="10" s="1"/>
  <c r="S8" i="10"/>
  <c r="T8" i="10" s="1"/>
  <c r="U8" i="10" s="1"/>
  <c r="S7" i="10"/>
  <c r="T7" i="10" s="1"/>
  <c r="U7" i="10" s="1"/>
  <c r="S6" i="10"/>
  <c r="T6" i="10" s="1"/>
  <c r="U6" i="10" s="1"/>
  <c r="O89" i="10"/>
  <c r="P89" i="10"/>
  <c r="S39" i="10"/>
  <c r="T39" i="10" s="1"/>
  <c r="U39" i="10" s="1"/>
  <c r="S43" i="10"/>
  <c r="T43" i="10" s="1"/>
  <c r="U43" i="10" s="1"/>
  <c r="T48" i="10"/>
  <c r="U48" i="10" s="1"/>
  <c r="Q89" i="10"/>
  <c r="S40" i="10"/>
  <c r="T40" i="10" s="1"/>
  <c r="U40" i="10" s="1"/>
  <c r="P102" i="10"/>
  <c r="L102" i="10"/>
  <c r="H102" i="10"/>
  <c r="J102" i="10"/>
  <c r="O102" i="10"/>
  <c r="K102" i="10"/>
  <c r="R102" i="10"/>
  <c r="N102" i="10"/>
  <c r="Q102" i="10"/>
  <c r="S97" i="10"/>
  <c r="T97" i="10" s="1"/>
  <c r="G102" i="10"/>
  <c r="E864" i="19" l="1"/>
  <c r="E865" i="19" s="1"/>
  <c r="E866" i="19" s="1"/>
  <c r="E867" i="19" s="1"/>
  <c r="E868" i="19" s="1"/>
  <c r="E869" i="19" s="1"/>
  <c r="E870" i="19" s="1"/>
  <c r="E871" i="19" s="1"/>
  <c r="E872" i="19" s="1"/>
  <c r="E873" i="19" s="1"/>
  <c r="E874" i="19" s="1"/>
  <c r="E875" i="19" s="1"/>
  <c r="E876" i="19" s="1"/>
  <c r="E877" i="19" s="1"/>
  <c r="E878" i="19" s="1"/>
  <c r="E879" i="19" s="1"/>
  <c r="E880" i="19" s="1"/>
  <c r="E881" i="19" s="1"/>
  <c r="E882" i="19" s="1"/>
  <c r="E883" i="19" s="1"/>
  <c r="E884" i="19" s="1"/>
  <c r="E885" i="19" s="1"/>
  <c r="D67" i="13"/>
  <c r="P162" i="11"/>
  <c r="F106" i="10"/>
  <c r="G89" i="10"/>
  <c r="G106" i="10" s="1"/>
  <c r="G108" i="10" s="1"/>
  <c r="S102" i="10"/>
  <c r="U97" i="10"/>
  <c r="P106" i="10"/>
  <c r="Q106" i="10"/>
  <c r="T50" i="10"/>
  <c r="U50" i="10" s="1"/>
  <c r="U96" i="10"/>
  <c r="T51" i="10"/>
  <c r="U51" i="10" s="1"/>
  <c r="U25" i="10"/>
  <c r="I106" i="10"/>
  <c r="T104" i="10"/>
  <c r="J89" i="10"/>
  <c r="J106" i="10" s="1"/>
  <c r="N106" i="10"/>
  <c r="M89" i="10"/>
  <c r="M106" i="10" s="1"/>
  <c r="R106" i="10"/>
  <c r="P129" i="12"/>
  <c r="Q129" i="12" s="1"/>
  <c r="P234" i="12"/>
  <c r="D111" i="5"/>
  <c r="O106" i="10"/>
  <c r="D89" i="10"/>
  <c r="T102" i="10"/>
  <c r="K89" i="10"/>
  <c r="K106" i="10" s="1"/>
  <c r="L89" i="10"/>
  <c r="L106" i="10" s="1"/>
  <c r="T54" i="10"/>
  <c r="U54" i="10" s="1"/>
  <c r="D36" i="13"/>
  <c r="U98" i="10"/>
  <c r="P65" i="12"/>
  <c r="D102" i="10"/>
  <c r="H89" i="10"/>
  <c r="H106" i="10" s="1"/>
  <c r="D65" i="12"/>
  <c r="D127" i="12" s="1"/>
  <c r="E886" i="19" l="1"/>
  <c r="E887" i="19" s="1"/>
  <c r="E888" i="19" s="1"/>
  <c r="E889" i="19" s="1"/>
  <c r="E890" i="19" s="1"/>
  <c r="E891" i="19" s="1"/>
  <c r="G127" i="12"/>
  <c r="Q136" i="12"/>
  <c r="H108" i="10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U102" i="10"/>
  <c r="D106" i="10"/>
  <c r="S89" i="10"/>
  <c r="S106" i="10" s="1"/>
  <c r="P238" i="12" s="1"/>
  <c r="U89" i="10"/>
  <c r="T89" i="10"/>
  <c r="T106" i="10" s="1"/>
  <c r="D43" i="13" s="1"/>
  <c r="D46" i="13" s="1"/>
  <c r="E892" i="19" l="1"/>
  <c r="E893" i="19" s="1"/>
  <c r="E894" i="19" s="1"/>
  <c r="E895" i="19" s="1"/>
  <c r="E896" i="19" s="1"/>
  <c r="E897" i="19" s="1"/>
  <c r="E898" i="19" s="1"/>
  <c r="E899" i="19" s="1"/>
  <c r="E900" i="19" s="1"/>
  <c r="E901" i="19" s="1"/>
  <c r="E902" i="19" s="1"/>
  <c r="E903" i="19" s="1"/>
  <c r="E904" i="19" s="1"/>
  <c r="E905" i="19" s="1"/>
  <c r="E906" i="19" s="1"/>
  <c r="E907" i="19" s="1"/>
  <c r="E908" i="19" s="1"/>
  <c r="E909" i="19" s="1"/>
  <c r="E910" i="19" s="1"/>
  <c r="E911" i="19" s="1"/>
  <c r="E912" i="19" s="1"/>
  <c r="E913" i="19" s="1"/>
  <c r="E914" i="19" s="1"/>
  <c r="E915" i="19" s="1"/>
  <c r="E916" i="19" s="1"/>
  <c r="E917" i="19" s="1"/>
  <c r="E918" i="19" s="1"/>
  <c r="E919" i="19" s="1"/>
  <c r="E920" i="19" s="1"/>
  <c r="E921" i="19" s="1"/>
  <c r="E922" i="19" s="1"/>
  <c r="E923" i="19" s="1"/>
  <c r="E924" i="19" s="1"/>
  <c r="E925" i="19" s="1"/>
  <c r="E926" i="19" s="1"/>
  <c r="E927" i="19" s="1"/>
  <c r="E928" i="19" s="1"/>
  <c r="E929" i="19" s="1"/>
  <c r="E930" i="19" s="1"/>
  <c r="E931" i="19" s="1"/>
  <c r="E932" i="19" s="1"/>
  <c r="E933" i="19" s="1"/>
  <c r="E934" i="19" s="1"/>
  <c r="E935" i="19" s="1"/>
  <c r="E936" i="19" s="1"/>
  <c r="E937" i="19" s="1"/>
  <c r="E938" i="19" s="1"/>
  <c r="E939" i="19" s="1"/>
  <c r="E940" i="19" s="1"/>
  <c r="E941" i="19" s="1"/>
  <c r="E942" i="19" s="1"/>
  <c r="E943" i="19" s="1"/>
  <c r="E944" i="19" s="1"/>
  <c r="E945" i="19" s="1"/>
  <c r="E946" i="19" s="1"/>
  <c r="E947" i="19" s="1"/>
  <c r="E948" i="19" s="1"/>
  <c r="E949" i="19" s="1"/>
  <c r="E950" i="19" s="1"/>
  <c r="E951" i="19" s="1"/>
  <c r="E952" i="19" s="1"/>
  <c r="E953" i="19" s="1"/>
  <c r="E954" i="19" s="1"/>
  <c r="E955" i="19" s="1"/>
  <c r="E956" i="19" s="1"/>
  <c r="E957" i="19" s="1"/>
  <c r="E958" i="19" s="1"/>
  <c r="P127" i="12"/>
  <c r="U106" i="10"/>
  <c r="E959" i="19" l="1"/>
  <c r="E960" i="19" s="1"/>
  <c r="E961" i="19" s="1"/>
  <c r="E962" i="19" s="1"/>
  <c r="E963" i="19" s="1"/>
  <c r="E964" i="19" s="1"/>
  <c r="E965" i="19" s="1"/>
  <c r="E966" i="19" s="1"/>
  <c r="E967" i="19" s="1"/>
  <c r="E968" i="19" s="1"/>
  <c r="E969" i="19" s="1"/>
  <c r="E970" i="19" s="1"/>
  <c r="E971" i="19" s="1"/>
  <c r="E972" i="19" s="1"/>
  <c r="E973" i="19" s="1"/>
  <c r="E974" i="19" s="1"/>
  <c r="E975" i="19" s="1"/>
  <c r="E976" i="19" s="1"/>
  <c r="E977" i="19" s="1"/>
  <c r="E978" i="19" s="1"/>
  <c r="E979" i="19" s="1"/>
  <c r="E980" i="19" s="1"/>
  <c r="E981" i="19" s="1"/>
  <c r="E982" i="19" s="1"/>
  <c r="E983" i="19" s="1"/>
  <c r="E984" i="19" s="1"/>
  <c r="E985" i="19" s="1"/>
  <c r="E986" i="19" s="1"/>
  <c r="E987" i="19" s="1"/>
  <c r="E988" i="19" s="1"/>
  <c r="E989" i="19" s="1"/>
  <c r="E990" i="19" s="1"/>
  <c r="E991" i="19" s="1"/>
  <c r="P188" i="12"/>
  <c r="E992" i="19" l="1"/>
  <c r="E993" i="19" s="1"/>
  <c r="E994" i="19" s="1"/>
  <c r="E995" i="19" s="1"/>
  <c r="E996" i="19" s="1"/>
  <c r="E997" i="19" s="1"/>
  <c r="E998" i="19" s="1"/>
  <c r="E999" i="19" s="1"/>
  <c r="E1000" i="19" s="1"/>
  <c r="E1001" i="19" s="1"/>
  <c r="E1002" i="19" s="1"/>
  <c r="E1003" i="19" s="1"/>
  <c r="E1004" i="19" s="1"/>
  <c r="E1005" i="19" s="1"/>
  <c r="E1006" i="19" s="1"/>
  <c r="E1007" i="19" s="1"/>
  <c r="E1008" i="19" s="1"/>
  <c r="E1009" i="19" s="1"/>
  <c r="E1010" i="19" s="1"/>
  <c r="E1011" i="19" s="1"/>
  <c r="E1012" i="19" s="1"/>
  <c r="E1013" i="19" s="1"/>
  <c r="E1014" i="19" s="1"/>
  <c r="E1015" i="19" s="1"/>
  <c r="E1016" i="19" s="1"/>
  <c r="E1017" i="19" s="1"/>
  <c r="E1018" i="19" s="1"/>
  <c r="E1019" i="19" s="1"/>
  <c r="E1020" i="19" s="1"/>
  <c r="E1021" i="19" s="1"/>
  <c r="E1022" i="19" s="1"/>
  <c r="E1023" i="19" s="1"/>
  <c r="E1024" i="19" s="1"/>
  <c r="E1025" i="19" s="1"/>
  <c r="E1026" i="19" s="1"/>
  <c r="E1027" i="19" s="1"/>
  <c r="E1028" i="19" s="1"/>
  <c r="E1029" i="19" s="1"/>
  <c r="E1030" i="19" s="1"/>
  <c r="E1031" i="19" s="1"/>
  <c r="E1032" i="19" s="1"/>
  <c r="E1033" i="19" s="1"/>
  <c r="E1034" i="19" s="1"/>
  <c r="E1035" i="19" s="1"/>
  <c r="E1036" i="19" s="1"/>
  <c r="E1037" i="19" s="1"/>
  <c r="E1038" i="19" s="1"/>
  <c r="E1039" i="19" s="1"/>
  <c r="E1040" i="19" s="1"/>
  <c r="E1041" i="19" s="1"/>
  <c r="E1042" i="19" s="1"/>
  <c r="E1043" i="19" s="1"/>
  <c r="E1044" i="19" s="1"/>
  <c r="E1045" i="19" s="1"/>
  <c r="E1046" i="19" s="1"/>
  <c r="E1047" i="19" s="1"/>
  <c r="E1048" i="19" s="1"/>
  <c r="E1049" i="19" s="1"/>
  <c r="E1050" i="19" s="1"/>
  <c r="E1051" i="19" s="1"/>
  <c r="E1052" i="19" s="1"/>
  <c r="E1053" i="19" s="1"/>
  <c r="E1054" i="19" s="1"/>
  <c r="E1055" i="19" s="1"/>
  <c r="E1056" i="19" s="1"/>
  <c r="E1057" i="19" s="1"/>
  <c r="E1058" i="19" s="1"/>
  <c r="E1059" i="19" s="1"/>
  <c r="E1060" i="19" s="1"/>
  <c r="E1061" i="19" s="1"/>
  <c r="E1062" i="19" s="1"/>
  <c r="E1063" i="19" s="1"/>
  <c r="E1064" i="19" s="1"/>
  <c r="Q188" i="12"/>
  <c r="P236" i="12"/>
  <c r="P240" i="12" s="1"/>
  <c r="P244" i="12" l="1"/>
  <c r="Q244" i="12" s="1"/>
  <c r="D74" i="13"/>
  <c r="E1065" i="19"/>
  <c r="E1066" i="19" s="1"/>
  <c r="E1067" i="19" s="1"/>
  <c r="E1068" i="19" s="1"/>
  <c r="E1069" i="19" s="1"/>
  <c r="E1070" i="19" s="1"/>
  <c r="E1071" i="19" s="1"/>
  <c r="E1072" i="19" s="1"/>
  <c r="E1073" i="19" s="1"/>
  <c r="E1074" i="19" s="1"/>
  <c r="E1075" i="19" s="1"/>
  <c r="E1076" i="19" s="1"/>
  <c r="E1077" i="19" s="1"/>
  <c r="E1078" i="19" s="1"/>
  <c r="E1079" i="19" s="1"/>
  <c r="E1080" i="19" s="1"/>
  <c r="E1081" i="19" s="1"/>
  <c r="E1082" i="19" s="1"/>
  <c r="E1083" i="19" s="1"/>
  <c r="E1084" i="19" s="1"/>
  <c r="E1085" i="19" s="1"/>
  <c r="E1086" i="19" s="1"/>
  <c r="E1087" i="19" s="1"/>
  <c r="E1088" i="19" s="1"/>
  <c r="E1089" i="19" s="1"/>
  <c r="E1090" i="19" s="1"/>
  <c r="E1091" i="19" s="1"/>
  <c r="E1092" i="19" s="1"/>
  <c r="E1093" i="19" s="1"/>
  <c r="E1094" i="19" s="1"/>
  <c r="E1095" i="19" s="1"/>
  <c r="E1096" i="19" s="1"/>
  <c r="E1097" i="19" s="1"/>
  <c r="E1098" i="19" s="1"/>
  <c r="E1099" i="19" s="1"/>
  <c r="E1100" i="19" s="1"/>
  <c r="E1101" i="19" s="1"/>
  <c r="E1102" i="19" s="1"/>
  <c r="E1103" i="19" s="1"/>
  <c r="E1104" i="19" s="1"/>
  <c r="E1105" i="19" s="1"/>
  <c r="E1106" i="19" s="1"/>
  <c r="E1107" i="19" s="1"/>
  <c r="E1108" i="19" s="1"/>
  <c r="E1109" i="19" s="1"/>
  <c r="E1110" i="19" s="1"/>
  <c r="E1111" i="19" s="1"/>
  <c r="E1112" i="19" s="1"/>
  <c r="E1113" i="19" s="1"/>
  <c r="E1114" i="19" s="1"/>
  <c r="E1115" i="19" s="1"/>
  <c r="E1116" i="19" s="1"/>
  <c r="E1117" i="19" s="1"/>
  <c r="E1118" i="19" s="1"/>
  <c r="E1119" i="19" s="1"/>
  <c r="E1120" i="19" s="1"/>
  <c r="E1121" i="19" s="1"/>
  <c r="D75" i="13" l="1"/>
  <c r="D78" i="13" s="1"/>
  <c r="E1122" i="19"/>
  <c r="E1123" i="19" s="1"/>
  <c r="E1124" i="19" s="1"/>
  <c r="E1125" i="19" s="1"/>
  <c r="E1126" i="19" s="1"/>
  <c r="E1127" i="19" s="1"/>
  <c r="E1128" i="19" s="1"/>
  <c r="E1129" i="19" s="1"/>
  <c r="E1130" i="19" s="1"/>
  <c r="E1131" i="19" s="1"/>
  <c r="E1132" i="19" s="1"/>
  <c r="E1133" i="19" s="1"/>
  <c r="E1134" i="19" s="1"/>
  <c r="E1135" i="19" s="1"/>
  <c r="E1136" i="19" s="1"/>
  <c r="E1137" i="19" s="1"/>
  <c r="E1138" i="19" s="1"/>
  <c r="E1139" i="19" s="1"/>
  <c r="E1140" i="19" s="1"/>
  <c r="E1141" i="19" s="1"/>
  <c r="E1142" i="19" s="1"/>
  <c r="E1143" i="19" s="1"/>
  <c r="E1144" i="19" s="1"/>
  <c r="E1145" i="19" s="1"/>
  <c r="E1146" i="19" s="1"/>
  <c r="E1147" i="19" s="1"/>
  <c r="E1148" i="19" s="1"/>
  <c r="E1149" i="19" s="1"/>
  <c r="E1150" i="19" s="1"/>
  <c r="E1151" i="19" s="1"/>
  <c r="E1152" i="19" s="1"/>
  <c r="E1153" i="19" s="1"/>
  <c r="E1154" i="19" s="1"/>
  <c r="E1155" i="19" s="1"/>
  <c r="E1156" i="19" s="1"/>
  <c r="E1157" i="19" s="1"/>
  <c r="E1158" i="19" s="1"/>
  <c r="E1159" i="19" s="1"/>
  <c r="E1160" i="19" s="1"/>
  <c r="E1161" i="19" s="1"/>
  <c r="E1162" i="19" s="1"/>
  <c r="E1163" i="19" s="1"/>
  <c r="E1164" i="19" s="1"/>
  <c r="E1165" i="19" s="1"/>
  <c r="E1166" i="19" s="1"/>
  <c r="E1167" i="19" s="1"/>
  <c r="E1168" i="19" s="1"/>
  <c r="E1169" i="19" s="1"/>
  <c r="E1170" i="19" s="1"/>
  <c r="E1171" i="19" s="1"/>
  <c r="E1172" i="19" s="1"/>
  <c r="E1173" i="19" s="1"/>
  <c r="E1174" i="19" s="1"/>
  <c r="E1175" i="19" s="1"/>
  <c r="E1176" i="19" s="1"/>
  <c r="E1177" i="19" s="1"/>
  <c r="E1178" i="19" s="1"/>
  <c r="E1179" i="19" s="1"/>
  <c r="E1180" i="19" s="1"/>
  <c r="E1181" i="19" s="1"/>
  <c r="E1182" i="19" s="1"/>
  <c r="E1183" i="19" s="1"/>
  <c r="E1184" i="19" s="1"/>
  <c r="E1185" i="19" s="1"/>
  <c r="E1186" i="19" s="1"/>
  <c r="E1187" i="19" s="1"/>
  <c r="E1188" i="19" s="1"/>
  <c r="E1189" i="19" s="1"/>
  <c r="E1190" i="19" s="1"/>
  <c r="E1191" i="19" s="1"/>
  <c r="E1192" i="19" s="1"/>
  <c r="E1193" i="19" s="1"/>
  <c r="E1194" i="19" s="1"/>
  <c r="E1195" i="19" s="1"/>
  <c r="E1196" i="19" s="1"/>
  <c r="E1197" i="19" s="1"/>
  <c r="E1198" i="19" s="1"/>
  <c r="E1199" i="19" s="1"/>
  <c r="E1200" i="19" s="1"/>
  <c r="E1201" i="19" s="1"/>
  <c r="E1202" i="19" s="1"/>
  <c r="E1203" i="19" s="1"/>
  <c r="E1204" i="19" s="1"/>
  <c r="E1205" i="19" s="1"/>
  <c r="E1206" i="19" s="1"/>
  <c r="E1207" i="19" s="1"/>
  <c r="E1208" i="19" s="1"/>
  <c r="E1209" i="19" s="1"/>
  <c r="E1210" i="19" s="1"/>
  <c r="E1211" i="19" s="1"/>
  <c r="E1212" i="19" s="1"/>
  <c r="E1213" i="19" s="1"/>
  <c r="E1214" i="19" s="1"/>
  <c r="E1215" i="19" s="1"/>
  <c r="E1216" i="19" s="1"/>
  <c r="E1217" i="19" s="1"/>
  <c r="E1218" i="19" s="1"/>
  <c r="E1219" i="19" s="1"/>
  <c r="E1220" i="19" s="1"/>
  <c r="E1221" i="19" s="1"/>
  <c r="E1222" i="19" s="1"/>
  <c r="E1223" i="19" s="1"/>
  <c r="E1224" i="19" s="1"/>
  <c r="E1225" i="19" s="1"/>
  <c r="E1226" i="19" s="1"/>
  <c r="E1227" i="19" s="1"/>
  <c r="E1228" i="19" s="1"/>
  <c r="E1229" i="19" s="1"/>
  <c r="E1230" i="19" s="1"/>
  <c r="E1231" i="19" s="1"/>
  <c r="E1232" i="19" s="1"/>
  <c r="E1233" i="19" s="1"/>
  <c r="E1234" i="19" s="1"/>
  <c r="E1235" i="19" s="1"/>
  <c r="E1236" i="19" s="1"/>
  <c r="E1237" i="19" s="1"/>
  <c r="E1238" i="19" s="1"/>
  <c r="E1239" i="19" s="1"/>
  <c r="E1240" i="19" s="1"/>
  <c r="E1241" i="19" s="1"/>
  <c r="E1242" i="19" s="1"/>
  <c r="E1243" i="19" s="1"/>
  <c r="E1244" i="19" s="1"/>
  <c r="E1245" i="19" s="1"/>
  <c r="E1246" i="19" s="1"/>
  <c r="E1247" i="19" s="1"/>
  <c r="E1248" i="19" s="1"/>
  <c r="E1249" i="19" s="1"/>
  <c r="E1250" i="19" s="1"/>
  <c r="E1251" i="19" s="1"/>
  <c r="E1252" i="19" s="1"/>
  <c r="E1253" i="19" s="1"/>
  <c r="E1254" i="19" s="1"/>
  <c r="E1255" i="19" s="1"/>
  <c r="E1256" i="19" s="1"/>
  <c r="E1257" i="19" s="1"/>
  <c r="E1258" i="19" s="1"/>
  <c r="E1259" i="19" s="1"/>
  <c r="E1260" i="19" s="1"/>
  <c r="E1261" i="19" s="1"/>
  <c r="E1262" i="19" s="1"/>
  <c r="E1263" i="19" s="1"/>
  <c r="E1264" i="19" s="1"/>
  <c r="E1265" i="19" s="1"/>
  <c r="E1266" i="19" s="1"/>
  <c r="E1267" i="19" s="1"/>
  <c r="E1268" i="19" s="1"/>
  <c r="E1269" i="19" s="1"/>
  <c r="E1270" i="19" s="1"/>
  <c r="E1271" i="19" s="1"/>
  <c r="E1272" i="19" s="1"/>
  <c r="E1273" i="19" s="1"/>
  <c r="E1274" i="19" s="1"/>
  <c r="E1275" i="19" s="1"/>
  <c r="E1276" i="19" s="1"/>
  <c r="E1277" i="19" s="1"/>
  <c r="E1278" i="19" s="1"/>
  <c r="E1279" i="19" s="1"/>
  <c r="E1280" i="19" s="1"/>
  <c r="E1281" i="19" s="1"/>
  <c r="E1282" i="19" s="1"/>
  <c r="E1283" i="19" s="1"/>
  <c r="E1284" i="19" s="1"/>
  <c r="E1285" i="19" s="1"/>
  <c r="E1286" i="19" s="1"/>
  <c r="E1287" i="19" s="1"/>
  <c r="E1288" i="19" s="1"/>
  <c r="E1289" i="19" s="1"/>
  <c r="E1290" i="19" s="1"/>
  <c r="E1291" i="19" s="1"/>
  <c r="E1292" i="19" s="1"/>
  <c r="E1293" i="19" s="1"/>
  <c r="E1294" i="19" s="1"/>
  <c r="E1295" i="19" s="1"/>
  <c r="E1296" i="19" s="1"/>
  <c r="E1297" i="19" s="1"/>
  <c r="E1298" i="19" s="1"/>
  <c r="E1299" i="19" s="1"/>
  <c r="E1300" i="19" s="1"/>
  <c r="E1301" i="19" l="1"/>
  <c r="E1302" i="19" s="1"/>
  <c r="E1303" i="19" s="1"/>
  <c r="E1304" i="19" s="1"/>
  <c r="E1305" i="19" s="1"/>
  <c r="E1306" i="19" s="1"/>
  <c r="E1307" i="19" s="1"/>
  <c r="E1308" i="19" s="1"/>
  <c r="E1309" i="19" s="1"/>
  <c r="E1310" i="19" s="1"/>
  <c r="E1311" i="19" s="1"/>
  <c r="E1312" i="19" s="1"/>
  <c r="E1313" i="19" s="1"/>
  <c r="E1314" i="19" s="1"/>
  <c r="E1315" i="19" s="1"/>
  <c r="E1316" i="19" s="1"/>
  <c r="E1317" i="19" s="1"/>
  <c r="E1318" i="19" s="1"/>
  <c r="E1319" i="19" s="1"/>
  <c r="E1320" i="19" s="1"/>
  <c r="E1321" i="19" s="1"/>
  <c r="E1322" i="19" s="1"/>
  <c r="E1323" i="19" s="1"/>
  <c r="E1324" i="19" s="1"/>
  <c r="E1325" i="19" s="1"/>
  <c r="E1326" i="19" s="1"/>
  <c r="E1327" i="19" s="1"/>
  <c r="E1328" i="19" s="1"/>
  <c r="E1329" i="19" s="1"/>
  <c r="E1330" i="19" s="1"/>
  <c r="E1331" i="19" s="1"/>
  <c r="E1332" i="19" s="1"/>
  <c r="E1333" i="19" s="1"/>
  <c r="E1334" i="19" s="1"/>
  <c r="E1335" i="19" s="1"/>
  <c r="E1336" i="19" s="1"/>
  <c r="E1337" i="19" s="1"/>
  <c r="E1338" i="19" s="1"/>
  <c r="E1339" i="19" s="1"/>
  <c r="E1340" i="19" s="1"/>
  <c r="E1341" i="19" s="1"/>
  <c r="E1342" i="19" s="1"/>
  <c r="E1343" i="19" s="1"/>
  <c r="E1344" i="19" s="1"/>
  <c r="A10" i="43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</calcChain>
</file>

<file path=xl/sharedStrings.xml><?xml version="1.0" encoding="utf-8"?>
<sst xmlns="http://schemas.openxmlformats.org/spreadsheetml/2006/main" count="41979" uniqueCount="7941">
  <si>
    <t>BCA</t>
  </si>
  <si>
    <t>575-0489-666</t>
  </si>
  <si>
    <t>RD HIDIANITJE</t>
  </si>
  <si>
    <t>Tanggal</t>
  </si>
  <si>
    <t>Cost of goods</t>
  </si>
  <si>
    <t>COGS</t>
  </si>
  <si>
    <t>Account Payable</t>
  </si>
  <si>
    <t>AP Trade</t>
  </si>
  <si>
    <t>Office Expense</t>
  </si>
  <si>
    <t>Photocopy</t>
  </si>
  <si>
    <t>Account Receivable</t>
  </si>
  <si>
    <t>AR Cash Advance</t>
  </si>
  <si>
    <t>Odhey</t>
  </si>
  <si>
    <t>AP Expense</t>
  </si>
  <si>
    <t>Transportation</t>
  </si>
  <si>
    <t>Mandiri</t>
  </si>
  <si>
    <t>122-000-487-5566</t>
  </si>
  <si>
    <t>PT Pan Convince Mitra International</t>
  </si>
  <si>
    <t>AR Trade</t>
  </si>
  <si>
    <t>Financial Expense</t>
  </si>
  <si>
    <t>Telkomsel Onboarding</t>
  </si>
  <si>
    <t>Marketing Expense</t>
  </si>
  <si>
    <t>Entertainment</t>
  </si>
  <si>
    <t>Salary and THR</t>
  </si>
  <si>
    <t>AP Temporary Loan</t>
  </si>
  <si>
    <t>David Harsamto</t>
  </si>
  <si>
    <t xml:space="preserve"> </t>
  </si>
  <si>
    <t>Non Cash - Non Bank</t>
  </si>
  <si>
    <t>Tgl</t>
  </si>
  <si>
    <t>Cash Advance Report - Credit Cards and others</t>
  </si>
  <si>
    <t>Overtime</t>
  </si>
  <si>
    <t>Telephone</t>
  </si>
  <si>
    <t>Internet and emails</t>
  </si>
  <si>
    <t>Building Management</t>
  </si>
  <si>
    <t>Sisa Budget</t>
  </si>
  <si>
    <t>Sisa Budget Saldo Akhir 2020 : Sesuai Meeting AH Yogi - 19-Jan-2021</t>
  </si>
  <si>
    <t xml:space="preserve">Telkomsel Loyalty Program </t>
  </si>
  <si>
    <t>PAYABLE</t>
  </si>
  <si>
    <t>YEAR</t>
  </si>
  <si>
    <t>VENDOR</t>
  </si>
  <si>
    <t>KETERANGAN</t>
  </si>
  <si>
    <t>IDR</t>
  </si>
  <si>
    <t>BTN</t>
  </si>
  <si>
    <t>Cash IDR</t>
  </si>
  <si>
    <t>Non CB</t>
  </si>
  <si>
    <t>Anne Hidayat</t>
  </si>
  <si>
    <t>Temporary Loan for operation expense</t>
  </si>
  <si>
    <t>Elly Hutabarat</t>
  </si>
  <si>
    <t>H S B C</t>
  </si>
  <si>
    <t>AP Others</t>
  </si>
  <si>
    <t>AP Credit Card</t>
  </si>
  <si>
    <t>Mandiri Visa</t>
  </si>
  <si>
    <t>AP Leasing</t>
  </si>
  <si>
    <t>AP Tax</t>
  </si>
  <si>
    <t>Age</t>
  </si>
  <si>
    <t>Alex</t>
  </si>
  <si>
    <t>Analita</t>
  </si>
  <si>
    <t>Frieda</t>
  </si>
  <si>
    <t>Patrice</t>
  </si>
  <si>
    <t>Titing</t>
  </si>
  <si>
    <t>Yogi</t>
  </si>
  <si>
    <t>AP Refund</t>
  </si>
  <si>
    <t>Personnel Expense</t>
  </si>
  <si>
    <t>Meals Allowance</t>
  </si>
  <si>
    <t>HSBC</t>
  </si>
  <si>
    <t>Interest Loan</t>
  </si>
  <si>
    <t>Incentive and Bonus</t>
  </si>
  <si>
    <t>Telkomsel Bootcamp and Mentoring TINC</t>
  </si>
  <si>
    <t>Sisa Budget  as per 7 Jan</t>
  </si>
  <si>
    <t>Other Expense</t>
  </si>
  <si>
    <t>Medical Allowance</t>
  </si>
  <si>
    <t xml:space="preserve">Telkomsel MICE InnoXtion </t>
  </si>
  <si>
    <t xml:space="preserve">Telkomsel Program Games Publishing </t>
  </si>
  <si>
    <t>Telkomsel Undian Jelajah Nusantara</t>
  </si>
  <si>
    <t>B R I</t>
  </si>
  <si>
    <t xml:space="preserve">1125-01-000255-30-1 </t>
  </si>
  <si>
    <t>AR Staff Loan</t>
  </si>
  <si>
    <t>Office Rent</t>
  </si>
  <si>
    <t>Maintenance</t>
  </si>
  <si>
    <t>Interest Income</t>
  </si>
  <si>
    <t>B T N</t>
  </si>
  <si>
    <t>00001-01-30-001293-5</t>
  </si>
  <si>
    <t>Date</t>
  </si>
  <si>
    <t>Year</t>
  </si>
  <si>
    <t>Description</t>
  </si>
  <si>
    <t>Basic Price</t>
  </si>
  <si>
    <t>Management Fee</t>
  </si>
  <si>
    <t>PPN</t>
  </si>
  <si>
    <t>PPh-23</t>
  </si>
  <si>
    <t>Jan</t>
  </si>
  <si>
    <t>BNI</t>
  </si>
  <si>
    <t xml:space="preserve"> </t>
    <phoneticPr fontId="0" type="noConversion"/>
  </si>
  <si>
    <t>OUTSTANDING</t>
  </si>
  <si>
    <t>AR Others</t>
  </si>
  <si>
    <t>AR Prepaid Tax</t>
  </si>
  <si>
    <t>Praja</t>
  </si>
  <si>
    <t>Sukanda</t>
  </si>
  <si>
    <t>Supriyadi</t>
  </si>
  <si>
    <t>AR Temporary Notes</t>
  </si>
  <si>
    <t>AR Refund</t>
  </si>
  <si>
    <t>DBS Visa White</t>
  </si>
  <si>
    <t>AP Deposit from customer</t>
  </si>
  <si>
    <t>DAFTAR AKTIVA &amp; PENYUSUTAN</t>
    <phoneticPr fontId="12" type="noConversion"/>
  </si>
  <si>
    <t>Harga Beli</t>
    <phoneticPr fontId="12" type="noConversion"/>
  </si>
  <si>
    <t>Bulan</t>
    <phoneticPr fontId="12" type="noConversion"/>
  </si>
  <si>
    <t>Nilai Buku</t>
    <phoneticPr fontId="12" type="noConversion"/>
  </si>
  <si>
    <t xml:space="preserve"> </t>
    <phoneticPr fontId="12" type="noConversion"/>
  </si>
  <si>
    <t>OFFICE EQUIPMENT</t>
    <phoneticPr fontId="12" type="noConversion"/>
  </si>
  <si>
    <t>Furniture : meja operation : 120x60x73</t>
    <phoneticPr fontId="12" type="noConversion"/>
  </si>
  <si>
    <t xml:space="preserve">Furniture : almari crezenda 100x40x84 </t>
    <phoneticPr fontId="12" type="noConversion"/>
  </si>
  <si>
    <t>Furniture : almari crezenda 122x28x110</t>
    <phoneticPr fontId="12" type="noConversion"/>
  </si>
  <si>
    <t>Lensa camera canon</t>
    <phoneticPr fontId="12" type="noConversion"/>
  </si>
  <si>
    <t>Furniture : Ruang Winda</t>
    <phoneticPr fontId="12" type="noConversion"/>
  </si>
  <si>
    <t>PC Desk top : Patrice</t>
    <phoneticPr fontId="12" type="noConversion"/>
  </si>
  <si>
    <t>Camera</t>
  </si>
  <si>
    <t>Perlengkapan printer photo</t>
  </si>
  <si>
    <t xml:space="preserve">Perlengkapan camera </t>
  </si>
  <si>
    <t>PC Team Operation</t>
  </si>
  <si>
    <t>1 unit Personal Computer u/Alex</t>
  </si>
  <si>
    <t>iPad for AH</t>
  </si>
  <si>
    <t>Camera for AH</t>
  </si>
  <si>
    <t>Bose Desk Speaker</t>
  </si>
  <si>
    <t>External Hard Disk Storage</t>
  </si>
  <si>
    <t>AC Daikin 2PK - Ruang AH</t>
  </si>
  <si>
    <t>Bose Soundlink : AUD 223.81</t>
  </si>
  <si>
    <t>MacBook Air : Ibu Anne</t>
  </si>
  <si>
    <t>PC Inu</t>
  </si>
  <si>
    <t>PC Fabio</t>
  </si>
  <si>
    <t>Samsung Tab - Sales</t>
  </si>
  <si>
    <t>Mesin Absensi</t>
  </si>
  <si>
    <t>Carpet lantai 2</t>
  </si>
  <si>
    <t>Portable Soundsystem</t>
  </si>
  <si>
    <t>LED TV Ruang Operation</t>
  </si>
  <si>
    <t>PC Upgrade</t>
  </si>
  <si>
    <t>i-Pad Pro</t>
  </si>
  <si>
    <t>Apple Key-board for iPad</t>
  </si>
  <si>
    <t>PC Meery          180629972         JULIATI</t>
  </si>
  <si>
    <t>MacBookPro Ibu Anne       MCM Outw CN  RD Hidianitje</t>
  </si>
  <si>
    <t>INFORMA-CINERE Depok : Gamma Chair</t>
  </si>
  <si>
    <t xml:space="preserve">VS Monitor AH     190211511  </t>
  </si>
  <si>
    <t xml:space="preserve">RouterHuawei B315 </t>
  </si>
  <si>
    <t xml:space="preserve">1PC + Pswt Telp   IV-191113272  </t>
  </si>
  <si>
    <t>Sincere Musik Jak Pus : Mixing MG10XU</t>
  </si>
  <si>
    <t>Apple earPods     RD HIDIANITJE</t>
  </si>
  <si>
    <t>Laptop ROG Event  IV-200910643      JULIATI</t>
  </si>
  <si>
    <t>Infonet Ambassador : Laptop Yogi</t>
  </si>
  <si>
    <t>Sandisk SSD Extreme Portable External 1TB</t>
  </si>
  <si>
    <t>Laptop Hewlett Peckard Omen</t>
  </si>
  <si>
    <t>Charger Mac Book Pro AH</t>
  </si>
  <si>
    <t>VEHICLE</t>
    <phoneticPr fontId="12" type="noConversion"/>
  </si>
  <si>
    <t>Avansa Type G 1300 Manual</t>
    <phoneticPr fontId="12" type="noConversion"/>
  </si>
  <si>
    <t>Motor cycle : Honda SupraX  F1</t>
    <phoneticPr fontId="12" type="noConversion"/>
  </si>
  <si>
    <t>Mercy E300</t>
  </si>
  <si>
    <t>Grand Livina</t>
    <phoneticPr fontId="12" type="noConversion"/>
  </si>
  <si>
    <t>BCA-NCB</t>
  </si>
  <si>
    <t>Avansa</t>
  </si>
  <si>
    <t>Mercy S Class : Rp. 2.050.000.000 (PCMI=1.741.026.555 - AH=308.973.445)</t>
  </si>
  <si>
    <t>Avansa Veloz - B 2850 SOO</t>
  </si>
  <si>
    <t>Mercy GLE250D - DH</t>
  </si>
  <si>
    <t>INTANGIBLE ASSET</t>
    <phoneticPr fontId="12" type="noConversion"/>
  </si>
  <si>
    <t>Non Cash Bank</t>
  </si>
  <si>
    <t>BTN to Cash IDR</t>
  </si>
  <si>
    <t>Cash IDR to BTN</t>
  </si>
  <si>
    <t>Cash IDR to Non Cash Bank</t>
  </si>
  <si>
    <t>Non Cash Bank to BTN</t>
  </si>
  <si>
    <t>Non Cash Bank to Cash IDR</t>
  </si>
  <si>
    <t>PT. PANCONVINCE MITRA INTERNATIONAL</t>
  </si>
  <si>
    <t>SALES</t>
  </si>
  <si>
    <t>Gross</t>
  </si>
  <si>
    <t>NET SALES</t>
  </si>
  <si>
    <t>C O G S</t>
  </si>
  <si>
    <t>AP/AR/Others</t>
  </si>
  <si>
    <t>GROSS PROFIT</t>
  </si>
  <si>
    <t>EXPENSES</t>
  </si>
  <si>
    <t>Personal Expense</t>
  </si>
  <si>
    <t>Health Insurance</t>
  </si>
  <si>
    <t>Honorarium</t>
  </si>
  <si>
    <t>HR Development</t>
  </si>
  <si>
    <t>Car Insurance</t>
  </si>
  <si>
    <t>Cleaning Service</t>
  </si>
  <si>
    <t>Computer Supplies</t>
  </si>
  <si>
    <t>Groceries and Household Misc</t>
  </si>
  <si>
    <t>License</t>
  </si>
  <si>
    <t>Stationary</t>
  </si>
  <si>
    <t>Subscription</t>
  </si>
  <si>
    <t>Donation</t>
  </si>
  <si>
    <t>Notarial Fee</t>
  </si>
  <si>
    <t>Sales and Promotion</t>
  </si>
  <si>
    <t>Sales Trip</t>
  </si>
  <si>
    <t>Bank Charge</t>
  </si>
  <si>
    <t>Other Income / Expense</t>
  </si>
  <si>
    <t>Forex Gain (Loss)</t>
  </si>
  <si>
    <t>Other Income</t>
  </si>
  <si>
    <t>Total Expense</t>
  </si>
  <si>
    <t>OPERATING PROFIT</t>
  </si>
  <si>
    <t>Depreciation</t>
  </si>
  <si>
    <t>PROFIT BEFORE TAX</t>
  </si>
  <si>
    <t>Income Tax</t>
  </si>
  <si>
    <t>PROFIT AFTER TAX</t>
  </si>
  <si>
    <t>PANCONVINCE MITRA INTERNATIONAL</t>
    <phoneticPr fontId="0" type="noConversion"/>
  </si>
  <si>
    <t>ASSETS</t>
    <phoneticPr fontId="0" type="noConversion"/>
  </si>
  <si>
    <t>Current Assets</t>
    <phoneticPr fontId="0" type="noConversion"/>
  </si>
  <si>
    <t>CASH</t>
  </si>
  <si>
    <t>Cash Other Currency</t>
  </si>
  <si>
    <t>BANK</t>
  </si>
  <si>
    <t>Mandiri IDR : 122-00-0487556-6</t>
    <phoneticPr fontId="0" type="noConversion"/>
  </si>
  <si>
    <t>BCA IDR : 575-048-9666</t>
    <phoneticPr fontId="0" type="noConversion"/>
  </si>
  <si>
    <t>DEPOSIT</t>
  </si>
  <si>
    <t>Deposit to vendor</t>
  </si>
  <si>
    <t>ACCOUNT RECEIVABLE</t>
  </si>
  <si>
    <t>AR Trade</t>
    <phoneticPr fontId="0" type="noConversion"/>
  </si>
  <si>
    <t>PREPAID TAX</t>
  </si>
  <si>
    <t>PPh-25 and PPh-29</t>
  </si>
  <si>
    <t>Total Current Assets</t>
    <phoneticPr fontId="0" type="noConversion"/>
  </si>
  <si>
    <t>Fixed Assets</t>
    <phoneticPr fontId="0" type="noConversion"/>
  </si>
  <si>
    <t>Office Equipment</t>
    <phoneticPr fontId="0" type="noConversion"/>
  </si>
  <si>
    <t>Vehicle</t>
    <phoneticPr fontId="0" type="noConversion"/>
  </si>
  <si>
    <t>Intangible property</t>
    <phoneticPr fontId="0" type="noConversion"/>
  </si>
  <si>
    <t>Depreciation &amp; Amortization</t>
    <phoneticPr fontId="0" type="noConversion"/>
  </si>
  <si>
    <t>Total Fixed Assets</t>
    <phoneticPr fontId="0" type="noConversion"/>
  </si>
  <si>
    <t>A S S E T S</t>
    <phoneticPr fontId="0" type="noConversion"/>
  </si>
  <si>
    <t>LIABILITIES</t>
    <phoneticPr fontId="0" type="noConversion"/>
  </si>
  <si>
    <t>Current Liabilities</t>
    <phoneticPr fontId="0" type="noConversion"/>
  </si>
  <si>
    <t>ACCOUNT PAYABLE</t>
  </si>
  <si>
    <t>AP Credit Cards</t>
  </si>
  <si>
    <t>AP Credit Notes</t>
  </si>
  <si>
    <t>AP Sales Discount</t>
  </si>
  <si>
    <t>Deposit from customer</t>
    <phoneticPr fontId="0" type="noConversion"/>
  </si>
  <si>
    <t>SHORT TERM LOAN</t>
  </si>
  <si>
    <t>Temporary Working Capital loan</t>
  </si>
  <si>
    <t>Total Liabilities</t>
    <phoneticPr fontId="0" type="noConversion"/>
  </si>
  <si>
    <t>EQUITY</t>
    <phoneticPr fontId="0" type="noConversion"/>
  </si>
  <si>
    <t>Shared Capital</t>
    <phoneticPr fontId="0" type="noConversion"/>
  </si>
  <si>
    <t>Retained Earnings</t>
    <phoneticPr fontId="0" type="noConversion"/>
  </si>
  <si>
    <t>Previous years</t>
    <phoneticPr fontId="0" type="noConversion"/>
  </si>
  <si>
    <t>Dividend</t>
  </si>
  <si>
    <t>Total Equity</t>
    <phoneticPr fontId="0" type="noConversion"/>
  </si>
  <si>
    <t>LIABILITIES &amp; EQUITY</t>
    <phoneticPr fontId="0" type="noConversion"/>
  </si>
  <si>
    <t>AC Daikin Ruang Meeting</t>
  </si>
  <si>
    <t>CASH IDR</t>
  </si>
  <si>
    <t>Post and stamps</t>
  </si>
  <si>
    <t>Bank Raya</t>
  </si>
  <si>
    <t>Telkomsel Sales Collaboration with EAM Team</t>
  </si>
  <si>
    <t>Telkomsel Recruitment and Assesment</t>
  </si>
  <si>
    <t>PC Streaming</t>
  </si>
  <si>
    <t>R2 COMP-HO Kenzo Computer : PC Fifi Hasanah</t>
  </si>
  <si>
    <t>Telkomsel Support Campaign Outlet Via My Ads</t>
  </si>
  <si>
    <t>BRI Corporate Card</t>
  </si>
  <si>
    <t>Telkomsel Pengadaan Sales Fee Indihome Halo</t>
  </si>
  <si>
    <t>Telkomsel Pengadaan Program Corporate Ambassador for customer</t>
  </si>
  <si>
    <t>Telkomsel Pick Up point by U Q3</t>
  </si>
  <si>
    <t>BPJS Kesehatan</t>
  </si>
  <si>
    <t>BPJS Tenaga Kerja</t>
  </si>
  <si>
    <t>Telkomsel Youth Battle School Visit Micro Cluster</t>
  </si>
  <si>
    <t xml:space="preserve">Telkomsel Program Talent Mobilty </t>
  </si>
  <si>
    <t>Seyna</t>
  </si>
  <si>
    <t>Helmi</t>
  </si>
  <si>
    <t>PCMI Team</t>
  </si>
  <si>
    <t>Whatsapp Yogi : Rabu, 8-Maret-2023 (approval dari Ibu Anne)</t>
  </si>
  <si>
    <t>Billing to</t>
  </si>
  <si>
    <t>Sales Code</t>
  </si>
  <si>
    <t>INVOICE  IDR</t>
  </si>
  <si>
    <t>P A Y M E N T</t>
  </si>
  <si>
    <t>AP PPn</t>
  </si>
  <si>
    <t>REMARKS</t>
  </si>
  <si>
    <t>I D R</t>
  </si>
  <si>
    <t>BJB</t>
  </si>
  <si>
    <t>NON CB</t>
  </si>
  <si>
    <t>Telkomsel Capex Paper Workshop</t>
  </si>
  <si>
    <t>Post and Stamps</t>
  </si>
  <si>
    <t>Rizky</t>
  </si>
  <si>
    <t>5350-285-999</t>
  </si>
  <si>
    <t>PAN CONVINCE MITRA INTERNATIONAL</t>
  </si>
  <si>
    <t>BCA Business</t>
  </si>
  <si>
    <t>WAPU</t>
  </si>
  <si>
    <t>Non WAPU</t>
  </si>
  <si>
    <t xml:space="preserve">Telkomsel Sharing Session SOP , Policy and Contracting </t>
  </si>
  <si>
    <t xml:space="preserve">  </t>
  </si>
  <si>
    <t>APPLE.COM : USD. 3.374,04 Mac Book Pro DH</t>
  </si>
  <si>
    <t>BCA Biz</t>
  </si>
  <si>
    <t>BTN to Non Cash Bank</t>
  </si>
  <si>
    <t>Telkomsel Digiads Solutions Updated</t>
  </si>
  <si>
    <t>Telkomsel EAM Team and Quarter 2 Cashback Program</t>
  </si>
  <si>
    <t>BTN to BJB</t>
  </si>
  <si>
    <t>Cash IDR to BJB</t>
  </si>
  <si>
    <t>Non Cash Bank to BJB</t>
  </si>
  <si>
    <t>BJB to BTN</t>
  </si>
  <si>
    <t>BJB to Cash IDR</t>
  </si>
  <si>
    <t>BJB to Non Cash Bank</t>
  </si>
  <si>
    <t xml:space="preserve">LaptopAcer Patrice RD HIDIANITJE DRA  </t>
  </si>
  <si>
    <t>Telkomsel Data Solutions x IT Alignment</t>
  </si>
  <si>
    <t>B114NNE</t>
  </si>
  <si>
    <t>Sutarno</t>
  </si>
  <si>
    <t>Telkomsel Field Research and Area Alignment Q3</t>
  </si>
  <si>
    <t>BTN to Bank Raya</t>
  </si>
  <si>
    <t>BJB to Bank Raya</t>
  </si>
  <si>
    <t>Cash IDR to Bank Raya</t>
  </si>
  <si>
    <t>Non Cash Bank to Bank Raya</t>
  </si>
  <si>
    <t>Bank Raya to BTN</t>
  </si>
  <si>
    <t>Bank Raya to BJB</t>
  </si>
  <si>
    <t>Bank Raya to Cash IDR</t>
  </si>
  <si>
    <t>Bank Raya to Non Cash Bank</t>
  </si>
  <si>
    <t>MID*Tokopedia - Pembelian digital signage magnustek 43 Inch Touch screen 4 unit</t>
  </si>
  <si>
    <t>001-001-001-907-409</t>
  </si>
  <si>
    <t>Bank Mandiri (Persero) Tbk, PT</t>
  </si>
  <si>
    <t>Pelabuhan Indonesia (Persero), PT</t>
  </si>
  <si>
    <t>Telkomsel Live Testing RoaMax Haji dan Umroh</t>
  </si>
  <si>
    <t>Bank Rakyat Indonesia (Persero) Tbk, PT</t>
  </si>
  <si>
    <t>AH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</si>
  <si>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</si>
  <si>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</si>
  <si>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</si>
  <si>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Alignment Tools and Program and Site Visit Q3</t>
  </si>
  <si>
    <t>Telkomsel IBOS 2023 - Pembiayaan Q3</t>
  </si>
  <si>
    <t>B2313BRN</t>
  </si>
  <si>
    <t>Laptop HP Victus  Rizky Designer</t>
  </si>
  <si>
    <t>DP BizOps Software 24407 ANDIKA MULIA</t>
  </si>
  <si>
    <t>Whatsapp Yogi : Minggu, 30-Des-2023 23:20 WIB</t>
  </si>
  <si>
    <t>Hector Dimpos Computer Jak Pus - Beli VGA RTS Asus u/ PC Desiner (Supriatno)</t>
  </si>
  <si>
    <t>Des-22</t>
  </si>
  <si>
    <t>Andro It Surabaya - Asus Rog X16 - Atno</t>
  </si>
  <si>
    <t>eMail Yogi : Sunday, 31-Dec-2023 at 10:44</t>
  </si>
  <si>
    <t>PV-Admin Web Application</t>
  </si>
  <si>
    <t>BCA IDR : 5350-285-999</t>
  </si>
  <si>
    <t>Sisa Budget : Dikoreksi Yogi 31-Des-23 waktu kasih daftar sisa budget 31-12-23</t>
  </si>
  <si>
    <t>PPh-21, PPH-23, PPh-4 Ayat 2</t>
  </si>
  <si>
    <t>Overtime Desember SUPRIYADI,</t>
  </si>
  <si>
    <t>BIAYA ADM ,</t>
  </si>
  <si>
    <t>Salary PCMI Jan   DAVID HARSAMTO,</t>
  </si>
  <si>
    <t>BUNGA ,</t>
  </si>
  <si>
    <t>PAJAK BUNGA ,</t>
  </si>
  <si>
    <t xml:space="preserve">Lunas Sys PCMI RD HIDIANITJE DRA  </t>
  </si>
  <si>
    <t xml:space="preserve">TSel YouthBatt VMC Rm+Bfast Prasidya  GRAHA SANTIKA DYAN </t>
  </si>
  <si>
    <t xml:space="preserve">BI-FAST CR TRANSFER   DR 008 PAN CONVINCE MITRA     </t>
  </si>
  <si>
    <t xml:space="preserve">BIAYA ADM       </t>
  </si>
  <si>
    <t>Biaya Adm 12206</t>
  </si>
  <si>
    <t>Bunga 12206</t>
  </si>
  <si>
    <t>Pajak 12206</t>
  </si>
  <si>
    <t>PT TELEKOMUNIKASI SELULAR - 031           12206</t>
  </si>
  <si>
    <t xml:space="preserve">UBP60212399902FFFFFF422150605000 </t>
  </si>
  <si>
    <t>Interest on Account</t>
  </si>
  <si>
    <t>Tax</t>
  </si>
  <si>
    <t>Monthly Fee ATM</t>
  </si>
  <si>
    <t>Overtime Jan      ADUN SOPANDI,</t>
  </si>
  <si>
    <t>Overtime Jan      MUHAMMAD UJER AWAL,</t>
  </si>
  <si>
    <t>Overtime Jan      SUKANDA,</t>
  </si>
  <si>
    <t>Overtime Jan      SUPRIYADI,</t>
  </si>
  <si>
    <t>BTN to BRI Tebet</t>
  </si>
  <si>
    <t>BRI Tebet to BRI Sahardjo</t>
  </si>
  <si>
    <t>BRI Tebet to BCA Juanda</t>
  </si>
  <si>
    <t>BCA Juanda to BRI Sahardjo</t>
  </si>
  <si>
    <t>BRI Sahardjo to BCA Juanda</t>
  </si>
  <si>
    <t>BRI Sahardjo to Non Cash Bank</t>
  </si>
  <si>
    <t>AR StaffLoan FridaDAVID HARSAMTO,</t>
  </si>
  <si>
    <t>Perum Jasa Tirta II</t>
  </si>
  <si>
    <t>Pertamina (Persero), PT</t>
  </si>
  <si>
    <t>Perum Percetakan Uang RI</t>
  </si>
  <si>
    <t>Pupuk Indonesia (Persero), PT</t>
  </si>
  <si>
    <t>Hutama Karya (Persero), PT</t>
  </si>
  <si>
    <t>Telkom Indonesia (Persero) Tbk, PT</t>
  </si>
  <si>
    <t>Perusahaan Listrik Negara (Persero), PT</t>
  </si>
  <si>
    <t>Bukit Asam Tbk, PT</t>
  </si>
  <si>
    <t>Danareksa (Persero), PT</t>
  </si>
  <si>
    <t>Freeport Indonesia, PT</t>
  </si>
  <si>
    <t>Perum Lembaga Penyelenggara Pelayanan Navigasi Penerbangan Indonesia</t>
  </si>
  <si>
    <t>ASDP Indonesia (Persero), PT</t>
  </si>
  <si>
    <t>Perum Perhutani</t>
  </si>
  <si>
    <t>Fixed Asset</t>
  </si>
  <si>
    <t>UOB Master</t>
  </si>
  <si>
    <t>BCA Sahardjo to Cash IDR</t>
  </si>
  <si>
    <t>B1290HFF</t>
  </si>
  <si>
    <t>BCA Juanda to BCA Sahardjo</t>
  </si>
  <si>
    <t xml:space="preserve">BI-FAST CR TRANSFER   DR 008 PAN CONVINCE MITRA    </t>
  </si>
  <si>
    <t>Pin Buk BCA Juanda   CENAIDJA/PAN CONVINCE MITRA INTER</t>
  </si>
  <si>
    <t>Pin Buk BCA Juanda  CENAIDJA/PAN CONVINCE MITRA INTER</t>
  </si>
  <si>
    <t>Pin Buk BCA Juanda CENAIDJA/PAN CONVINCE MITRA INTER</t>
  </si>
  <si>
    <t>BCA Juanda to Cash IDR</t>
  </si>
  <si>
    <t>Cash IDR to BCA Juanda</t>
  </si>
  <si>
    <t xml:space="preserve">Reimb Kas Kecil CLARA LIA RESTU SA   </t>
  </si>
  <si>
    <t xml:space="preserve">Pin Buk BCA Juanda CENAIDJA/PAN CONVINCE MITRA INTER </t>
  </si>
  <si>
    <t xml:space="preserve">Pin Buk BCA Juanda  CENAIDJA/PAN CONVINCE MITRA INTER </t>
  </si>
  <si>
    <t>BCA Sahardjo to BCA Juanda</t>
  </si>
  <si>
    <t xml:space="preserve">PT TELEKOMUNIKASI SELULAR - 031 </t>
  </si>
  <si>
    <t xml:space="preserve">Pajak </t>
  </si>
  <si>
    <t>AR StaffLoan PrajaDAVID HARSAMTO,</t>
  </si>
  <si>
    <t>Materai 50 pcs</t>
  </si>
  <si>
    <t>Heri</t>
  </si>
  <si>
    <t>Materai 50 Pcs</t>
  </si>
  <si>
    <t>Telekomunikasi Selular (Telkomsel), PT</t>
  </si>
  <si>
    <t>Trimegah Assets Management, PT</t>
  </si>
  <si>
    <t>Bank Negara Indonesia (Persero) Tbk, PT</t>
  </si>
  <si>
    <t>Trimegah Sekuritas Indonesia Tbk, PT</t>
  </si>
  <si>
    <t>Telkomsel Meeting Koordinasi GA Semester 1 2024</t>
  </si>
  <si>
    <t>Bank Tabungan Negara (Persero) Tbk, PT</t>
  </si>
  <si>
    <t>Telkomsel Meeting Agency Indihome Sumatera</t>
  </si>
  <si>
    <t>Telkomsel PON XXI - Sumut Aceh</t>
  </si>
  <si>
    <t>Parkir cash</t>
  </si>
  <si>
    <t>Parkir e-card</t>
  </si>
  <si>
    <t>Tol e-card</t>
  </si>
  <si>
    <t>Tol dan parkir e-card</t>
  </si>
  <si>
    <t>BCA Juanda to Non Cash Bank</t>
  </si>
  <si>
    <t>No</t>
  </si>
  <si>
    <t>Invoice No</t>
  </si>
  <si>
    <t>Bahana Pembinaan Usaha Indonesia (Persero), PT</t>
  </si>
  <si>
    <t>Pegadaian, PT</t>
  </si>
  <si>
    <t>Semen Indonesia (Persero) Tbk, PT</t>
  </si>
  <si>
    <t>Mineral Industri Indonesia ( Persero), PT</t>
  </si>
  <si>
    <t>Indonesia Asahan Alumunium, PT</t>
  </si>
  <si>
    <t>Taspen (Persero), PT</t>
  </si>
  <si>
    <t>Telkomsel FUT Singapura Malaysia</t>
  </si>
  <si>
    <t>Pelayaran Nasional Indonesia (Persero), PT</t>
  </si>
  <si>
    <t>Telkomsel Market Survey Modern Channel Q3 - 2024</t>
  </si>
  <si>
    <t>Professional Telekomunikasi Indonesia, PT</t>
  </si>
  <si>
    <t>Centratama Group</t>
  </si>
  <si>
    <t>Infrastruktur Telekomunikasi Indonesia, PT</t>
  </si>
  <si>
    <t xml:space="preserve">Reimb Kas Kecil CLARA LIA RESTU SA  </t>
  </si>
  <si>
    <t>Biaya SMS Notifikasi Sejumlah 1 Notifikasi</t>
  </si>
  <si>
    <t>Telkomsel Hari Koperasi Nasional Batam</t>
  </si>
  <si>
    <t>Telkomsel BillCo Kemerdekaan ke 79 Tahun</t>
  </si>
  <si>
    <t>Research,Training and Product Development</t>
  </si>
  <si>
    <t>Telkomsel PON XXI Aceh Sumut 2024 (Bang Hadi)</t>
  </si>
  <si>
    <t>Telkomsel Mentawai Merdeka Sinyal</t>
  </si>
  <si>
    <t>Telkomsel Backchecking Produk Halo+ Bold &amp; Supreme GraPARI A3</t>
  </si>
  <si>
    <t xml:space="preserve">PT TELEKOMUNIKASI SELULAR - 031  </t>
  </si>
  <si>
    <t>Telkomsel Signing PKS NGPP Vol.3 Sumatera</t>
  </si>
  <si>
    <t>Telkomsel JPP 2025 Sumatera Heart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</si>
  <si>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</si>
  <si>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</si>
  <si>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</si>
  <si>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</si>
  <si>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</si>
  <si>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Safari Ramadhan Sumbagteng</t>
  </si>
  <si>
    <t>Reimburse Petty Cash Clara Lia Restu</t>
  </si>
  <si>
    <t>FIT Air Ticket And Others</t>
  </si>
  <si>
    <t>Telkomsel Event Musik Sekolah A2</t>
  </si>
  <si>
    <t>Telkomsel Focus Action Sumatera</t>
  </si>
  <si>
    <t>Telkomsel API Sales Racing Program</t>
  </si>
  <si>
    <t>Telkomsel Lets Win Costumers Trust Batam</t>
  </si>
  <si>
    <t>Telkomsel Pembahasan Vandalisme Area Sumatera Bulan Juli 2024</t>
  </si>
  <si>
    <t>Telkomsel Support and Recovery Impact FMC Migrasi Sumatera</t>
  </si>
  <si>
    <t xml:space="preserve">PLN Indonesia Power Inpower Festival </t>
  </si>
  <si>
    <t>Telkomsel Aquabike Toba</t>
  </si>
  <si>
    <t>Telkomsel Hear Me at GraPARI</t>
  </si>
  <si>
    <t>DESCRIPTION</t>
    <phoneticPr fontId="0" type="noConversion"/>
  </si>
  <si>
    <t>MUTASI 2021</t>
  </si>
  <si>
    <t>Patricia</t>
  </si>
  <si>
    <t>AR Deposit to vendor</t>
  </si>
  <si>
    <t>PPn</t>
  </si>
  <si>
    <t>Adun Sopandi</t>
  </si>
  <si>
    <t>Atno</t>
  </si>
  <si>
    <t>Ujer</t>
  </si>
  <si>
    <t xml:space="preserve">   </t>
  </si>
  <si>
    <t xml:space="preserve">Telkomsel Market Visit Initiative Program Q3 </t>
  </si>
  <si>
    <t>BCA Sahardjo to BRI Sahardjo</t>
  </si>
  <si>
    <t>Minimum Balance Fee</t>
  </si>
  <si>
    <t>BRI Tebet</t>
  </si>
  <si>
    <t>BRI Sahardjo</t>
  </si>
  <si>
    <t>BCA Juanda</t>
  </si>
  <si>
    <t>BCA Juanda to BTN</t>
  </si>
  <si>
    <t>BCA Juanda to BJB</t>
  </si>
  <si>
    <t>BCA Juanda to Bank Raya</t>
  </si>
  <si>
    <t>BTN to BCA Juanda</t>
  </si>
  <si>
    <t>BJB to BCA Juanda</t>
  </si>
  <si>
    <t>Bank Raya to BCA Juanda</t>
  </si>
  <si>
    <t>Non Cash Bank to BCA Juanda</t>
  </si>
  <si>
    <t>BRI Sahardjo to BTN</t>
  </si>
  <si>
    <t>BRI Sahardjo to BJB</t>
  </si>
  <si>
    <t>BRI Sahardjo to Bank Raya</t>
  </si>
  <si>
    <t>BRI Sahardjo to Cash IDR</t>
  </si>
  <si>
    <t>BTN to BRI Sahardjo</t>
  </si>
  <si>
    <t>BJB to BRI Sahardjo</t>
  </si>
  <si>
    <t>Bank Raya to BRI Sahardjo</t>
  </si>
  <si>
    <t>Cash IDR to BRI Sahardjo</t>
  </si>
  <si>
    <t>Non Cash Bank to BRI Sahardjo</t>
  </si>
  <si>
    <t>BCA Juanda to BRI Tebet</t>
  </si>
  <si>
    <t>BRI Sahardjo to BRI Tebet</t>
  </si>
  <si>
    <t>BTN to Bank Kelapa Gading</t>
  </si>
  <si>
    <t>BJB to BRI Tebet</t>
  </si>
  <si>
    <t>Bank Raya to BRI Tebet</t>
  </si>
  <si>
    <t>BRI Tebet to BTN</t>
  </si>
  <si>
    <t>BRI Tebet to Bank Raya</t>
  </si>
  <si>
    <t>BRI Tebet to Cash IDR</t>
  </si>
  <si>
    <t>BRI Tebet to Non Cash Bank</t>
  </si>
  <si>
    <t>BRI Tebet to BJB</t>
  </si>
  <si>
    <t>Cash IDR to BRI Tebet</t>
  </si>
  <si>
    <t>Non Cash Bank to BRI Tebet</t>
  </si>
  <si>
    <t>BCA Sahardjo</t>
  </si>
  <si>
    <t>BCA Sahardjo to BTN</t>
  </si>
  <si>
    <t>BCA Sahardjo to BJB</t>
  </si>
  <si>
    <t>BCA Sahardjo to Bank Raya</t>
  </si>
  <si>
    <t>BCA Sahardjo to BRI Tebet</t>
  </si>
  <si>
    <t>BCA Sahardjo to Non Cash Bank</t>
  </si>
  <si>
    <t>BRI Sahardjo to BCA Sahardjo</t>
  </si>
  <si>
    <t>BTN to BCA Sahardjo</t>
  </si>
  <si>
    <t>BJB to BCA Sahardjo</t>
  </si>
  <si>
    <t>Bank Raya to BCA Sahardjo</t>
  </si>
  <si>
    <t>BRI Tebet to BCA Sahardjo</t>
  </si>
  <si>
    <t>Cash IDR to BCA Sahardjo</t>
  </si>
  <si>
    <t>Non Cash Bank to BCA Sahardjo</t>
  </si>
  <si>
    <t>Dayamitra Telekomunikasi, PT</t>
  </si>
  <si>
    <t>Telkomsel Meeting Koordinasi Channel Partnership Sumatera</t>
  </si>
  <si>
    <t>Biaya Pengiriman Dokument Invoicing  PLN IP Area Bali</t>
  </si>
  <si>
    <t>Tissue Roll n tissue tangan</t>
  </si>
  <si>
    <t>Kopi gula</t>
  </si>
  <si>
    <t>Biaya Pengiriman Dokument Invoicing  PLN IP Area Cilegon</t>
  </si>
  <si>
    <t>Telkomsel Alignment Revenue Sumatera</t>
  </si>
  <si>
    <t>Telkomsel Meeting Koordinasi GA Medan Desember 2024</t>
  </si>
  <si>
    <t>PLN Indonesia Power PIKK Bazaar Festival UMKM</t>
  </si>
  <si>
    <t>Bridgestone Indonesia Tomo Gathering</t>
  </si>
  <si>
    <t>Telkomsel Leadership Area Sumatera</t>
  </si>
  <si>
    <t>V A T</t>
  </si>
  <si>
    <t>Saldo Akhir Tahun 2024</t>
  </si>
  <si>
    <t>FRIDA ACHMADI,</t>
  </si>
  <si>
    <t>Retur 10-Jan      Salah transfer    FRIDA ACHMADI,</t>
  </si>
  <si>
    <t>Overtime Desember ADUN SOPANDI,</t>
  </si>
  <si>
    <t>Overtime Desember MUHAMMAD UJER AWAL,</t>
  </si>
  <si>
    <t>Overtime Desember SUKANDA,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</si>
  <si>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</si>
  <si>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</si>
  <si>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</si>
  <si>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</si>
  <si>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</si>
  <si>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</si>
  <si>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</si>
  <si>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</si>
  <si>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</si>
  <si>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</si>
  <si>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</si>
  <si>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</si>
  <si>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</si>
  <si>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</si>
  <si>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</si>
  <si>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</si>
  <si>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BTN Mini Olympic  SPJ 17Jan         MARIA PATRICIA SUG,</t>
  </si>
  <si>
    <t>BTN Mini Olympic  SPJ 17-Jan        MUHAMMAD FADLI AKB,</t>
  </si>
  <si>
    <t>BTN Mini Olympic  SPJ 17Jan         JANUAR CAHYO SURYA,</t>
  </si>
  <si>
    <t>KBUMN Natal 25    SPJ 18-19 20 Jan SUKANDA,</t>
  </si>
  <si>
    <t>BTN Mini Olympic  SPJ 16Jan         ADUN SOPANDI,</t>
  </si>
  <si>
    <t>BTN Mini Olympic  SPJ 16-17 Jan     SUPRIYADI,</t>
  </si>
  <si>
    <t>AR Staff Loan UjerDAVID HARSAMTO,</t>
  </si>
  <si>
    <t>AR Staff Loan Sukanda               DAVID HARSAMTO,</t>
  </si>
  <si>
    <t>KBUMN Natal 25    SPJ 18-20 Jan     M RIZKY AULIA,</t>
  </si>
  <si>
    <t>BTN Mini Olympic  SPJ 1D 17Jan      M RIZKY AULIA,</t>
  </si>
  <si>
    <t xml:space="preserve">BSIN Tomo Gather Produksi Stage Dll IBNU CHUZAYMAH  </t>
  </si>
  <si>
    <t xml:space="preserve">KBUMN Natal 25 DP MC Dave Hendrik BILLY ARIZONA  </t>
  </si>
  <si>
    <t xml:space="preserve">KBUMN Natal 6000 CetakGelang RITA SUSILOWATI  </t>
  </si>
  <si>
    <t xml:space="preserve">KBUMN Natal 20 Besek Bali LIA MELINTAN SIHOM  </t>
  </si>
  <si>
    <t xml:space="preserve">TSel FocusActSum Visit Posko Siaga ADITYA JAYA  </t>
  </si>
  <si>
    <t xml:space="preserve">KBUMN Natal Rotan+Bambu RD HIDIANITJE DRA  </t>
  </si>
  <si>
    <t xml:space="preserve">Pulsa HP Okt-Des FRIDA ACHMADI 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</si>
  <si>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</si>
  <si>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</si>
  <si>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</si>
  <si>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</si>
  <si>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</si>
  <si>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</si>
  <si>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</si>
  <si>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</si>
  <si>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</si>
  <si>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</si>
  <si>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</si>
  <si>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FRIDA ACHMADI    </t>
  </si>
  <si>
    <t xml:space="preserve">KBUMN Natal DP 20Dancer All-In HERNY NOVIANTI  </t>
  </si>
  <si>
    <t xml:space="preserve">KBUMN Natal 25 Lunas Lyodra DONI AGUSTANDI  </t>
  </si>
  <si>
    <t xml:space="preserve">KBUMN Natal Lunch Mtg JIExpo MARIA PATRICIA SUG  </t>
  </si>
  <si>
    <t xml:space="preserve">KBUMN Natal 33 SewaTabletRegis DWI SULISTYO  </t>
  </si>
  <si>
    <t xml:space="preserve">KBMUN Natal 25 Lunch Mtg 9Jan FRIDA ACHMADI  </t>
  </si>
  <si>
    <t xml:space="preserve">PLN IP PIKK FestBz 4 CrowdControl SANDI FITRIANSYAH  </t>
  </si>
  <si>
    <t xml:space="preserve">KBUMN Natal 25 24F+10M Ushers AMELIA STEPHANIE  </t>
  </si>
  <si>
    <t xml:space="preserve">KBUMN Natal 25 GensetSound+LED ARTHUR TEKNIK INDO  </t>
  </si>
  <si>
    <t xml:space="preserve">KBUMN Natal 25 DP KainHitam+Putih SUPRIYADI  </t>
  </si>
  <si>
    <t xml:space="preserve">KBUMN Natal 25 Dok Photo+Video GRENDY  </t>
  </si>
  <si>
    <t xml:space="preserve">KBUMN Natal 25 OngkirBesekBali LIA MELINTAN SIHOM  </t>
  </si>
  <si>
    <t xml:space="preserve">KBUMN Natal 25 DP Light,Sys,Prog, PT INDONESIA LENTE  </t>
  </si>
  <si>
    <t xml:space="preserve">PLN IP PIKK FestBz Stage,Gate,FOH,dll IBNU CHUZAYMAH  </t>
  </si>
  <si>
    <t xml:space="preserve">KBUMN Natal 25 DP Ridging+BomLift MASRUHIN  </t>
  </si>
  <si>
    <t xml:space="preserve">KBUMN Natal 25 MC Andrea Lee RIA PUSPITA SARI  </t>
  </si>
  <si>
    <t xml:space="preserve">KBUMN Natal 25 KeranjangBambu FELICIA ROSTANDY  </t>
  </si>
  <si>
    <t xml:space="preserve">KBUMN Natal 25 DP 60% produksi IBNU CHUZAYMAH  </t>
  </si>
  <si>
    <t xml:space="preserve">KBUMN Natal 25 DP PohonNatal Dll BAMBANG SUPRIYANTO  </t>
  </si>
  <si>
    <t xml:space="preserve">KBUMN Natal 25 DP 50% Furniture DIAZ MUBAROK  </t>
  </si>
  <si>
    <t xml:space="preserve">KBUMN Natal 25 Lilin Natal Besar ANALITA YULISTYA C  </t>
  </si>
  <si>
    <t xml:space="preserve">KBUMN Natal 25 Baby Grand Piano FIRMAN PARLUHUTAN  </t>
  </si>
  <si>
    <t xml:space="preserve">KBUMN Natal 25 Internet MUSLIMIN BOY  </t>
  </si>
  <si>
    <t xml:space="preserve">KBUMN Natal 25 MC Dave Hendrik BILLY ARIZONA  </t>
  </si>
  <si>
    <t xml:space="preserve">KBUMN Natal 25 Security+CrowdCon SANDI FITRIANSYAH  </t>
  </si>
  <si>
    <t xml:space="preserve">KBUMN Natal 25 DP 50% Snack Box MUSTIKA CITRA RASA  </t>
  </si>
  <si>
    <t xml:space="preserve">Bunga Duka Cita StafSus KBUMN SUGIYANTI  </t>
  </si>
  <si>
    <t xml:space="preserve">KBUMN Natal Permit PolSekResDa SANDI FITRIANSYAH  </t>
  </si>
  <si>
    <t xml:space="preserve">CA-055/24 Clara CLARA LIA RESTU SA   </t>
  </si>
  <si>
    <t xml:space="preserve">BTN Mini Olympic MarchBand+Mascot RENATHA LYDIA PANJ  </t>
  </si>
  <si>
    <t xml:space="preserve">KBUMN Natal 25 Add Dekor Natal FELICIA ROSTANDY  </t>
  </si>
  <si>
    <t xml:space="preserve">KBUMN Natal 25 Tumbler+Tas SB YULIANA  </t>
  </si>
  <si>
    <t xml:space="preserve">KR OTOMATIS LLG-BTN PAN CONVINCE MITRA Pin Buk BCA Juanda 250117001279852839   </t>
  </si>
  <si>
    <t xml:space="preserve">10102012406630 B11NNE Mercy JOBAKA JASAPRATAMA  </t>
  </si>
  <si>
    <t xml:space="preserve">CA-056/25 Yogi YOGI PURWO WIDODO   </t>
  </si>
  <si>
    <t xml:space="preserve">KBUMN Natal 25 4 Toilet Portable PAS ABADI SOLUSIND  </t>
  </si>
  <si>
    <t xml:space="preserve">KBUMN Natal 25 Dekor Natal Add 2 FELICIA ROSTANDY  </t>
  </si>
  <si>
    <t xml:space="preserve">TSel 1on1 SumHQ LO FD Mtg 21Jan WAHYU TRI HARYADI  </t>
  </si>
  <si>
    <t xml:space="preserve">KBUMN Natal 25 Lunas 6400 Box MUSTIKA CITRA RASA  </t>
  </si>
  <si>
    <t xml:space="preserve">KBUMN Natal 25 ManPwr Dekor Natal RUTH PRISCILLA HUT  </t>
  </si>
  <si>
    <t xml:space="preserve">KBUMN Natal 25 Lunas OpDancerAct HERNY NOVIANTI  </t>
  </si>
  <si>
    <t xml:space="preserve">BTN Mini Olympic Sewa Furniture DIAZ MUBAROK  </t>
  </si>
  <si>
    <t xml:space="preserve">KBUMN Natal 25 Bahan Dekor Natal RD HIDIANITJE DRA  </t>
  </si>
  <si>
    <t xml:space="preserve">KBUMN Natal 25 Ongkir EcengGondok SATRIA KOMUNIKA PR  </t>
  </si>
  <si>
    <t xml:space="preserve">KBUMN Natal 25 12 Hollyland 2D HAKIM  </t>
  </si>
  <si>
    <t xml:space="preserve">KBUMN Natal 25 5 Ushers 19/20Jan SAVIRA HASANAH  </t>
  </si>
  <si>
    <t xml:space="preserve">KBUMN Natal 25 CrewProd 17,18-20J ZULFAHMI  </t>
  </si>
  <si>
    <t xml:space="preserve">KBUMN Natal 25 HT 18-20Jan RINI INDRANTI  </t>
  </si>
  <si>
    <t xml:space="preserve">KBUMN Natal Prog Dir MULYONO  </t>
  </si>
  <si>
    <t xml:space="preserve">KBUMN Natal PIC Prod 7D HENDRI TUBAGUS ISM  </t>
  </si>
  <si>
    <t xml:space="preserve">KBUM Natal 25 Crew Prod 4D R DINAR KUSUMAYANT  </t>
  </si>
  <si>
    <t xml:space="preserve">KBUMN Natal 25 Crew Prod 4D YANA PRIYANA  </t>
  </si>
  <si>
    <t xml:space="preserve">KBUMN Natal 25 ShowMgt+Streaming TEUKU DONNYA SYAHP  </t>
  </si>
  <si>
    <t xml:space="preserve">KBUMN Natal 25 SelendangUshers MUHAMMAD ANGGARA D  </t>
  </si>
  <si>
    <t xml:space="preserve">KBUMN Natal 25 Crew Logistic AGUNG ROMADONI  </t>
  </si>
  <si>
    <t xml:space="preserve">KBUMN Natal 25 CrewLogPrepare REGA SATRIA FELANG  </t>
  </si>
  <si>
    <t xml:space="preserve">BTN Mini Olympic Crew Prod 2D R DINAR KUSUMAYANT  </t>
  </si>
  <si>
    <t xml:space="preserve">BTN Mini Olympic Runner RENALDO LU GIARTO  </t>
  </si>
  <si>
    <t xml:space="preserve">BTN Mini Olympic CrewLog 2D SABA PUTRA DRAJAT  </t>
  </si>
  <si>
    <t xml:space="preserve">KBUMN Natal 25 3 Ushers 20Jan KEZIA ELEANOR MANI  </t>
  </si>
  <si>
    <t xml:space="preserve">BTN Mini Olympic Team ShowD+VJ TEUKU DONNYA SYAHP  </t>
  </si>
  <si>
    <t xml:space="preserve">BTN Mini Olympic Alat Games BENNY CAPELLA  </t>
  </si>
  <si>
    <t xml:space="preserve">KBUMN Natal 25 Man Power DINA KARDIENA HAKI  </t>
  </si>
  <si>
    <t xml:space="preserve">KBUMN Natal Gendang+Suling ANALITA YULISTYA C  </t>
  </si>
  <si>
    <t xml:space="preserve">KBUMN Natal 25 Rain Master TEGUH SRI SUSENO  </t>
  </si>
  <si>
    <t xml:space="preserve">KBUMN Natal 25 Media+PressRelease FIRQHA ANDJANI  </t>
  </si>
  <si>
    <t xml:space="preserve">KBUMN Natal 25 LO Lyodra BAYU BAGUSURAHMAT  </t>
  </si>
  <si>
    <t xml:space="preserve">KBUMN Natal 25 LO Dancer SABA PUTRA DRAJAT  </t>
  </si>
  <si>
    <t xml:space="preserve">KBUMN Natal 25 LO MC RENALDO LU GIARTO  </t>
  </si>
  <si>
    <t xml:space="preserve">KBUMN Natal 25 LO PaduanSuara RAKA DRAJAT PUTRA  </t>
  </si>
  <si>
    <t xml:space="preserve">KBUMN Natal 25 Ambulance+Medic SANDI FITRIANSYAH  </t>
  </si>
  <si>
    <t xml:space="preserve">KBUMN Natal 25 LO PemukaAgama ELIEZER KRISTYADI  </t>
  </si>
  <si>
    <t xml:space="preserve">KBUMN Natal LO Talent VS Band ANGELA ZEFANYA TIU  </t>
  </si>
  <si>
    <t xml:space="preserve">KBUMN Natal 25 10 StageEffect WF TRIYANTO  </t>
  </si>
  <si>
    <t xml:space="preserve">BTN Mini Olympic Dok PhotoVideo KATHERIN VICENTIA  </t>
  </si>
  <si>
    <t xml:space="preserve">KBUMN Natal 25 Koord Booth UMKM AJENG PUTRI HARYAN  </t>
  </si>
  <si>
    <t xml:space="preserve">KBUMN Natal 25 Tiket Whoosh 9Jan HENDRI TUBAGUS ISM  </t>
  </si>
  <si>
    <t xml:space="preserve">KBUMN Natal 25 72 Kaos Crew MUHAMMAD ANGGARA D  </t>
  </si>
  <si>
    <t xml:space="preserve">KBUMN Natal 25 Kain Hall &amp; Roders SUPRIYADI  </t>
  </si>
  <si>
    <t xml:space="preserve">KBUMN Natal 25 Lunas Furniture DIAZ MUBAROK  </t>
  </si>
  <si>
    <t xml:space="preserve">KBUMN Natal 25 Security&amp;CrowdCon RIAN KARTIKA  </t>
  </si>
  <si>
    <t xml:space="preserve">BTN Mini Olympic Runner 1D RAGIL DWI SANTO  </t>
  </si>
  <si>
    <t xml:space="preserve">KBUMN Natal 25 Runner 2D MOCH SUPRIYADI  </t>
  </si>
  <si>
    <t xml:space="preserve">BTN Mini Olympic Crew Logistic 2D DWISETYO WICAKSONO  </t>
  </si>
  <si>
    <t xml:space="preserve">KBUMN Natal 25 Angel - LO talent ANALITA YULISTYA C  </t>
  </si>
  <si>
    <t xml:space="preserve">CA-057/25 Lita ANALITA YULISTYA C   </t>
  </si>
  <si>
    <t xml:space="preserve">KBUMN Natal 25 2 TempatSampah DIAZ MUBAROK  </t>
  </si>
  <si>
    <t xml:space="preserve">IPAD Air &amp; Pencil Investaris AH RD HIDIANITJE DRA  </t>
  </si>
  <si>
    <t xml:space="preserve">KBUMN Natal 25 Lns PohonNatal Dll BAMBANG SUPRIYANTO  </t>
  </si>
  <si>
    <t xml:space="preserve">CA-058/25 Lita ANALITA YULISTYA C   </t>
  </si>
  <si>
    <t>Mandiri Visa JT17Feb MCM InhouseTrf CS-CS  KE DAVID HARSAMTO</t>
  </si>
  <si>
    <t xml:space="preserve">TSel Campaign PP MyA03939 SSPIIDJA/ADE IRMA SARTIKA.T </t>
  </si>
  <si>
    <t>Refund Double Bayar  MCM InhouseTrf  DARI PANTRAVEL</t>
  </si>
  <si>
    <t xml:space="preserve">UOB Master JT-7Jan  BBIJIDJA/DAVID HARSAMTO </t>
  </si>
  <si>
    <t xml:space="preserve">20250106BMRIIDJA010O9937062479 </t>
  </si>
  <si>
    <t xml:space="preserve">20250103BMRIIDJA010O9936827703 </t>
  </si>
  <si>
    <t>03956 KBUMN Natal         KBUMN Natal  MCM InhouseTrf  KE WIWIT MANFAATI</t>
  </si>
  <si>
    <t>TSel BOS  03958  MCM InhouseTrf  KE SAFIIH</t>
  </si>
  <si>
    <t xml:space="preserve">TSel Aquabike Toba 03965 MCM InhouseTrf  KE JULIANTI HALIM </t>
  </si>
  <si>
    <t>PMT 634880 P MT 634880 PT PLN INDONESIA POWER12206</t>
  </si>
  <si>
    <t xml:space="preserve">UBP602123998028000008988890000030956      </t>
  </si>
  <si>
    <t>TSel FocusActSum    03964  BSMDIDJA/AULIA AYU ASYURA</t>
  </si>
  <si>
    <t xml:space="preserve">TSel DRM Meeting A1  03949  MCM InhouseTrf  KE PANTRAVEL </t>
  </si>
  <si>
    <t xml:space="preserve">20250110BMRIIDJA010O9937633758  </t>
  </si>
  <si>
    <t>TSel FocusActSum     03957 MCM InhouseTrf  KE PANTRAVEL</t>
  </si>
  <si>
    <t xml:space="preserve">TSel PON XII AS Hadi03971   BNINIDJA/HADI PRASTYA UTAMA </t>
  </si>
  <si>
    <t xml:space="preserve">20250110BMRIIDJA010O9937633759 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</si>
  <si>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</si>
  <si>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</si>
  <si>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</si>
  <si>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</si>
  <si>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20250110BMRIIDJA010O9937634827   </t>
  </si>
  <si>
    <t xml:space="preserve">TSel RAN NAS Q4     03936  BBIJIDJA/I PUTU EKA UDAYANA RUDITA,ST </t>
  </si>
  <si>
    <t>20250110BMRIIDJA010O9937634828</t>
  </si>
  <si>
    <t>TSel Aquabike Toba  03935   BNINIDJA/HADI PRASTYA UTAMA</t>
  </si>
  <si>
    <t xml:space="preserve">20250110BMRIIDJA010O9937634829  </t>
  </si>
  <si>
    <t>TSel API Sales RP   03934   BSMDIDJA/AMANDA LUGAS CAISARIO</t>
  </si>
  <si>
    <t xml:space="preserve">20250110BMRIIDJA010O9937634830  </t>
  </si>
  <si>
    <t xml:space="preserve">INDONESIA POWER PT - 009   </t>
  </si>
  <si>
    <t>KBUMN Natal 2025     03994  MCM InhouseTrf  KE WINDY FERDIANTO T</t>
  </si>
  <si>
    <t xml:space="preserve">KBUMN Natal 25  03996  MCM InhouseTrf  KE WIWIT MANFAATI </t>
  </si>
  <si>
    <t xml:space="preserve">KBUMN Natal 2025     04017  MCM InhouseTrf  KE ANDIKA MULIA </t>
  </si>
  <si>
    <t xml:space="preserve">Mandiri Visa JT17Jan  MCM InhouseTrf  KE DAVID HARSAMTO </t>
  </si>
  <si>
    <t xml:space="preserve">KBUMN Natal 25       04024 MCM InhouseTrf  KE SANITYANING IRAWATI </t>
  </si>
  <si>
    <t xml:space="preserve">KBUMN Natal   04045 MCM InhouseTrf  KE EXQUISE BOGA MULIA </t>
  </si>
  <si>
    <t xml:space="preserve">KBUMN Natal 25 04020   BRINIDJA/ENDRIK SUYANTO </t>
  </si>
  <si>
    <t xml:space="preserve">20250116BMRIIDJA010O9938200389  </t>
  </si>
  <si>
    <t>KBUMN Natal 25 04049 MCM InhouseTrf  KE BALI INDAH INTERNATIONAL</t>
  </si>
  <si>
    <t xml:space="preserve">20250116BMRIIDJA010O9938219956 </t>
  </si>
  <si>
    <t xml:space="preserve">20250116BMRIIDJA010O9938219957  </t>
  </si>
  <si>
    <t xml:space="preserve">PAN CONVINCE MITRA I - 200  </t>
  </si>
  <si>
    <t>KBUMN Natal 25       04057  MCM InhouseTrf  KE EXQUISE BOGA MULIA</t>
  </si>
  <si>
    <t xml:space="preserve">INDONESIA POWER UJP PLTGU BANTEN 4 CILEG </t>
  </si>
  <si>
    <t>KBUMN Natal 25      04051   BBBAIDJA/FIRDY FEBRIYANTI M</t>
  </si>
  <si>
    <t>20250122BMRIIDJA010O9938739831</t>
  </si>
  <si>
    <t>TSel FocusActSum    04002 BNINIDJA/JOSIA PRANANTA TARIGAN</t>
  </si>
  <si>
    <t>KBUMN Natal 25       03985 MCM InhouseTrf  KE PANTRAVEL</t>
  </si>
  <si>
    <t xml:space="preserve">20250124BMRIIDJA010O9938946589   </t>
  </si>
  <si>
    <t>Pin Buk BRI Sho  BRINIDJA/PAN CONVINCE MITRA I</t>
  </si>
  <si>
    <t xml:space="preserve">20250124BMRIIDJA010O9938946593 </t>
  </si>
  <si>
    <t xml:space="preserve">TSel AlignRevSum    04026    BSMDIDJA/AULIA AYU ASYURA </t>
  </si>
  <si>
    <t>20250124BMRIIDJA010O9930064903</t>
  </si>
  <si>
    <t xml:space="preserve">KBUMN Natal 25      04154 BRINIDJA/ENDRIK SUYANTO </t>
  </si>
  <si>
    <t xml:space="preserve">20250124BMRIIDJA010O9930064904   </t>
  </si>
  <si>
    <t xml:space="preserve">Salary PCMI Jan   CENAIDJA/DAVID HARSAMTO </t>
  </si>
  <si>
    <t xml:space="preserve">20250128BMRIIDJA010O9930256837 </t>
  </si>
  <si>
    <t>Listrik Januari      04192   MCM InhouseTrf  KE PANTRAVEL</t>
  </si>
  <si>
    <t xml:space="preserve">KBUMN Natal 25      04198  BRINIDJA/ENDRIK SUYANTO </t>
  </si>
  <si>
    <t>20250130BMRIIDJA010O9930492845</t>
  </si>
  <si>
    <t>UOB Master JT-5Feb  45,473,708   BBIJIDJA/DAVID HARSAMTO</t>
  </si>
  <si>
    <t xml:space="preserve">20250204BMRIIDJA010O9931069853 </t>
  </si>
  <si>
    <t xml:space="preserve">DBS VisaWhite JT4Feb   DBSBIDJA/DAVID HARSAMTO </t>
  </si>
  <si>
    <t xml:space="preserve">20250204BMRIIDJA010O9931069855 </t>
  </si>
  <si>
    <t xml:space="preserve">Sewa gedung Des      03793  MCM InhouseTrf  KE PANTRAVEL </t>
  </si>
  <si>
    <t>TSel 1on1 MtgSumHQ   04117   MCM InhouseTrf  KE PANTRAVEL</t>
  </si>
  <si>
    <t xml:space="preserve">20250206BMRIIDJA010O9931308501  </t>
  </si>
  <si>
    <t xml:space="preserve">20250206BMRIIDJA010O9931308504 </t>
  </si>
  <si>
    <t xml:space="preserve">DP Uniform All PCMI 04197   BNINIDJA/LUKMAN </t>
  </si>
  <si>
    <t xml:space="preserve">20250206BMRIIDJA010O9931374750 </t>
  </si>
  <si>
    <t>KBUMN Natal 25      04208 BRINIDJA/ENDRIK SUYANTO</t>
  </si>
  <si>
    <t xml:space="preserve">20250206BMRIIDJA010O9931374951 </t>
  </si>
  <si>
    <t xml:space="preserve">20250206BMRIIDJA010O9931374953 </t>
  </si>
  <si>
    <t xml:space="preserve">20250206BMRIIDJA010O9931374954 </t>
  </si>
  <si>
    <t xml:space="preserve">Pin Buk BRI Tebet  BRINIDJA/PAN CONVINCE MITRA I </t>
  </si>
  <si>
    <t xml:space="preserve">20250207BMRIIDJA010O9931479434 </t>
  </si>
  <si>
    <t xml:space="preserve">KBUMN Natal 2024    04128  BBBAIDJA/FIRDY FEBRIYANTI M </t>
  </si>
  <si>
    <t xml:space="preserve">20250211BMRIIDJA010O9931874016 </t>
  </si>
  <si>
    <t xml:space="preserve">TSel Align Rev Sum  04221  BNINIDJA/FATIMAH RIMA RAMADHANI </t>
  </si>
  <si>
    <t xml:space="preserve">20250214BMRIIDJA010O9932336611 </t>
  </si>
  <si>
    <t>TSel PCM Academy MPT 04279   MCM InhouseTrf  KE MAYA ROSWITA</t>
  </si>
  <si>
    <t xml:space="preserve">20250214BMRIIDJA010O9932336615  </t>
  </si>
  <si>
    <t xml:space="preserve">20250214BMRIIDJA010O9932336620 </t>
  </si>
  <si>
    <t>Abonemen 012025 CMS PAN CONVINCE MI T:0374891:CMS</t>
  </si>
  <si>
    <t>BFST112501000255301PAN CONVINCE:BMRIIDJA 20250124BMRIIDJA010O9938946593 ESB:BFST:0008N:20250124FASTIDJA010653113</t>
  </si>
  <si>
    <t>PLN IP PIKK Fest Bzr Sewa Ramp Cable IFT_TO_ENDRIK SUYANTO ESB:CMSX:000L700F:2501107347182</t>
  </si>
  <si>
    <t>Aqua 11 Galon x @20.000</t>
  </si>
  <si>
    <t>materai 1 pcs</t>
  </si>
  <si>
    <t xml:space="preserve">cover body motor supra (motor operational) </t>
  </si>
  <si>
    <t>Mama Lemon, Soklin Lantai, Baigon, Obat pembersih toilet, amplas, sabun tangan, kamper</t>
  </si>
  <si>
    <t>Sewa Motor Januari 2025</t>
  </si>
  <si>
    <t>Bensin Motor Sutarno Bulan Desember 2024</t>
  </si>
  <si>
    <t>Biaya Pengiriman Dokument Invoicing  PLN IP Area Semarang</t>
  </si>
  <si>
    <t>Proposal Event Mandiri Preneur</t>
  </si>
  <si>
    <t>Tinta HP 682 Colour (Printer bu YY)</t>
  </si>
  <si>
    <t>Tinta GT 52 Black (Printer bu FA)</t>
  </si>
  <si>
    <t>Pulpen joyko biru 1 pack + 5 pulpen zebra</t>
  </si>
  <si>
    <t>Stabilo 2 pcs</t>
  </si>
  <si>
    <t>Tipe x 2 pcs</t>
  </si>
  <si>
    <t>Lem kenko besar 2 pcs</t>
  </si>
  <si>
    <t>Medical a.n. Anak Yogi (Carissa)</t>
  </si>
  <si>
    <t xml:space="preserve">Data Internet 125 mbps Orbits untuk backup registrasi </t>
  </si>
  <si>
    <t>Print snapy proposal sponsorship Natal</t>
  </si>
  <si>
    <t>Pengiriman TIKI Bridgestone Karawang TIKI Bridgestone Karawang</t>
  </si>
  <si>
    <t>Print snapy Proposal sponsorship KAI Bandung</t>
  </si>
  <si>
    <t>Pengiriman Proposal sponsorship Perum Navigasi Tangerang</t>
  </si>
  <si>
    <t>Gocar Patricia Kosan - Menara BTN</t>
  </si>
  <si>
    <t>BTN Mini Olympic 2025</t>
  </si>
  <si>
    <t>Kuota Internet Praja - untuk Komunikasi WA pengantaran dokument ke JIEXPO</t>
  </si>
  <si>
    <t>Biaya Pengecekan Service Laptop Rizky</t>
  </si>
  <si>
    <t>Medical a.n. Anak Heri (Marcell)</t>
  </si>
  <si>
    <t>Medical a.n. Anak Heri (Farrell)</t>
  </si>
  <si>
    <t>Sewa Motor Februari 2025</t>
  </si>
  <si>
    <t>Bensin Motor Sutarno Bulan Januari 2024</t>
  </si>
  <si>
    <t>Straples 5 pcs</t>
  </si>
  <si>
    <t>Isi Straples 8 pax</t>
  </si>
  <si>
    <t>Fuel untuk survey laptop rizky, mangga dua + parkir</t>
  </si>
  <si>
    <t>Aqua 3 Galon x @20.000</t>
  </si>
  <si>
    <t>Sabun Cuci Tangan, Mama lemon, baygon, soklin</t>
  </si>
  <si>
    <t xml:space="preserve">ATK Bantex 1 pcs, paper klip, isi staples, klip </t>
  </si>
  <si>
    <t>Biaya Grabcar Survey n Meeting BTN Mini Olympic di menara BTN (PP Kantor-Menara BTN)</t>
  </si>
  <si>
    <t>Pembelian Tiket Masuk TMII Survey event Shell</t>
  </si>
  <si>
    <t>Tinta HP Ink 682 Black &amp; Tri Colour (printer bu YY)</t>
  </si>
  <si>
    <t>Tagihan Internet Telkomsel pascabayar AH Bulan Januari 2025</t>
  </si>
  <si>
    <t>Tagihan Internet XL pascabayar AH Bulan Januari 2025</t>
  </si>
  <si>
    <t>Tagihan Internet XL pascabayar AH Bulan Agustus 2024</t>
  </si>
  <si>
    <t>Tagihan Internet XL pascabayar AH Bulan Desember 2024</t>
  </si>
  <si>
    <t>Materai 100 pcs</t>
  </si>
  <si>
    <t xml:space="preserve">Pin Buk Mandiri 202501172057505042 </t>
  </si>
  <si>
    <t>Pin Buk BCA Juanda 20250117241499320</t>
  </si>
  <si>
    <t xml:space="preserve">Biaya Administrasi </t>
  </si>
  <si>
    <t xml:space="preserve">Bunga Rekening </t>
  </si>
  <si>
    <t>SPM 022/CSD/25_7/PCMI/AR/II/2025</t>
  </si>
  <si>
    <t>SPM 022/CSD/25_3/PCMI/AR</t>
  </si>
  <si>
    <t xml:space="preserve">TSel AlignRevSum OB&amp;Driver Batam  YOGI PURWO WIDODO </t>
  </si>
  <si>
    <t xml:space="preserve">Bunga Papan HUT Mandiri Taspen  SUGIYANTI </t>
  </si>
  <si>
    <t xml:space="preserve">KBUMN Natal 25 Gardening JIExpo  HARTONO </t>
  </si>
  <si>
    <t xml:space="preserve">KBUMN Natal 25 LiveCam+JimmyJib  SUTRISNO </t>
  </si>
  <si>
    <t xml:space="preserve">KBUMN Natal 25 Ai Photobooth  WIWIT INDRIYANA </t>
  </si>
  <si>
    <t xml:space="preserve">KBUMN Natal 25 Lunas Lighting  PT INDONESIA LENTE </t>
  </si>
  <si>
    <t xml:space="preserve">BTN Mini Olympic SoundSys&amp;Genset  TRIDAYA MEGA SWARA </t>
  </si>
  <si>
    <t xml:space="preserve">PLN IP PIKK FestBz LED+Switcher  WIDI SURYA BUDIANA </t>
  </si>
  <si>
    <t xml:space="preserve">AR StaffLoan Atno eMail AH 31-Jan  SUPRIATNO HENDRO B </t>
  </si>
  <si>
    <t xml:space="preserve">KBUMN Natal 25 LnsRidging+Bomlift  MASRUHIN </t>
  </si>
  <si>
    <t xml:space="preserve">KBUMN Natal 25 + KainHitamRemple  SUPRIYADI </t>
  </si>
  <si>
    <t xml:space="preserve">KBUMN Natal 24 WA Blast KBUMN  DAM KORPORINDO DIG </t>
  </si>
  <si>
    <t xml:space="preserve">ID Card+LuggTag PCMI  RD HIDIANITJE DRA </t>
  </si>
  <si>
    <t xml:space="preserve">ID Card PCMI YOGI PURWO WIDODO  </t>
  </si>
  <si>
    <t xml:space="preserve">T2 HRD System ANDIKA MULIA  </t>
  </si>
  <si>
    <t xml:space="preserve">Shell Net Persada 60 Jam Tangan  HENDRA REYNALDI TA </t>
  </si>
  <si>
    <t xml:space="preserve">TSel Polaris Plg 5Rms 12-14Feb  ULIMA BASELIO PT </t>
  </si>
  <si>
    <t xml:space="preserve">BTN Excellent Awd Fee Artist 19Feb  FABRIANTO </t>
  </si>
  <si>
    <t xml:space="preserve">CA-059/25 Clara CLARA LIA RESTU SA  </t>
  </si>
  <si>
    <t xml:space="preserve">CA-055/25 Clara CLARA LIA RESTU SA  </t>
  </si>
  <si>
    <t xml:space="preserve">Shell Network Pers DP Muh Saddad  RISSA NOOR FAUZIAH </t>
  </si>
  <si>
    <t xml:space="preserve">Shell Network Pers DP Dekor  ARJAYA </t>
  </si>
  <si>
    <t xml:space="preserve">Pajak STNK B114NNE WONG TJIN LAN  </t>
  </si>
  <si>
    <t xml:space="preserve">Shell Network Pers 2 Bus Besar 20Feb  FEBRINA DYAH PUTRI </t>
  </si>
  <si>
    <t xml:space="preserve">Shell Network Pers DP Obbie &amp; Friedds  ROBBY ALFINA </t>
  </si>
  <si>
    <t xml:space="preserve">BTN Dekor HUT 75 PIC Loading 5D  R DINAR KUSUMAYANT </t>
  </si>
  <si>
    <t xml:space="preserve">BTN Booth HUT 75 Runner 9Jan  MOCH SUPRIYADI </t>
  </si>
  <si>
    <t xml:space="preserve">BTN Booth HUT 75 PIC Loading 9Jan  R DINAR KUSUMAYANT </t>
  </si>
  <si>
    <t xml:space="preserve">BTN Booth HUT 75 Produksi  MUHAMMAD ARIF SYAH </t>
  </si>
  <si>
    <t xml:space="preserve">TSel Fiberisasi TS Fave PLG 12-14Feb  YOGI PURWO WIDODO </t>
  </si>
  <si>
    <t xml:space="preserve">KBUMN Natal 24 Undangan+Label  MUHAMMAD ANGGARA D </t>
  </si>
  <si>
    <t xml:space="preserve">KBUMN Natal 24 Signage,ID,Lanyard  RIFKI HIDAYAT </t>
  </si>
  <si>
    <t xml:space="preserve">TELKOM DIVRE2  02183700926     02 PAN CONVINCE MITRA  0232055350285999 </t>
  </si>
  <si>
    <t xml:space="preserve">TELKOM DIVRE2  02183700967     02 PAN CONVINCE MITRA  0232055350285999 </t>
  </si>
  <si>
    <t xml:space="preserve">TELKOM DIVRE2  02183700872     02 PAN CONVINCE MITRA  0232055350285999 </t>
  </si>
  <si>
    <t xml:space="preserve">TELKOM DIVRE2  02183700953     02 PAN CONVINCE MITRA  0232055350285999 </t>
  </si>
  <si>
    <t xml:space="preserve">TELKOM DIVRE2  02183700923     02 PAN CONVINCE MITRA  0232055350285999 </t>
  </si>
  <si>
    <t xml:space="preserve">TELKOM DIVRE2  02183700934     02 PAN CONVINCE MITRA  0232055350285999 </t>
  </si>
  <si>
    <t xml:space="preserve">TELKOM DIVRE2  02183700854     02 PAN CONVINCE MITRA  0232055350285999 </t>
  </si>
  <si>
    <t xml:space="preserve">TSel ANO Forum Transport 23-26Feb  YUNI KRISTANTI </t>
  </si>
  <si>
    <t xml:space="preserve">Shell Network Pers Lunas Obbie+Friend  ROBBY ALFINA </t>
  </si>
  <si>
    <t xml:space="preserve">Shell Network Pers UM Obbie&amp;Friends  ROBBY ALFINA </t>
  </si>
  <si>
    <t xml:space="preserve">BTN ExcellentAwd Internet 100Mbps  NIKMATUL CHASANAH </t>
  </si>
  <si>
    <t xml:space="preserve">BTN Excellent Awd MultiMed Contents  BUDI UTOMO </t>
  </si>
  <si>
    <t xml:space="preserve">BTN Excellent Awd MC BTNers  HENDRY RAHMAT SAUD </t>
  </si>
  <si>
    <t xml:space="preserve">BTN Excellent Awd Ribbon+Broadway D  RENATHA LYDIA PANJ </t>
  </si>
  <si>
    <t xml:space="preserve">Shell Network Pers Lunas MuhSaddad  RISSA NOOR FAUZIAH </t>
  </si>
  <si>
    <t xml:space="preserve">Shell Network Pers TalentDancers+Meal  RENATHA LYDIA PANJ </t>
  </si>
  <si>
    <t xml:space="preserve">BungaPapan Mertua RizkyAulia  SUGIYANTI </t>
  </si>
  <si>
    <t xml:space="preserve">CA-064 Lita ANALITA YULISTYA C  </t>
  </si>
  <si>
    <t xml:space="preserve">CA-062/25 Rizky M RIZKY AULIA  </t>
  </si>
  <si>
    <t xml:space="preserve">CA-061/25 Odhey DEDI PURWANTO SE  </t>
  </si>
  <si>
    <t xml:space="preserve">CA-060/25 Yogi YOGI PURWO WIDODO  </t>
  </si>
  <si>
    <t>Salary PCMI Jan   Second Batch      DAVID HARSAMTO,</t>
  </si>
  <si>
    <t>TSel 1on1 MtgSumHQSPJ 2D + 2 Meals  CLARA LIA RESTU SA,</t>
  </si>
  <si>
    <t>Appreciation      JANUAR CAHYO SURYA,</t>
  </si>
  <si>
    <t>BTN Dekor HUT-75  SPJ 2D            JANUAR CAHYO SURYA,</t>
  </si>
  <si>
    <t>BTN Excellent Awd SPJ 2D 18-19Feb   ADUN SOPANDI,</t>
  </si>
  <si>
    <t>BTN Excellent Awd SPJ 2D 18-19Feb   SUPRIYADI,</t>
  </si>
  <si>
    <t>Salary PCMI Feb   DAVID HARSAMTO,</t>
  </si>
  <si>
    <t>AR StafLoan Odhey DAVID HARSAMTO,</t>
  </si>
  <si>
    <t>AR StaffLoan FriedDAVID HARSAMTO,</t>
  </si>
  <si>
    <t>AR StafLoan Ujer  DAVID HARSAMTO,</t>
  </si>
  <si>
    <t>AR StafLoan Praja DAVID HARSAMTO,</t>
  </si>
  <si>
    <t>10D Unpaid Leave  Jan-25            DAVID HARSAMTO,</t>
  </si>
  <si>
    <t>AR StafLoanSukandaDAVID HARSAMTO,</t>
  </si>
  <si>
    <t>Salary PCMI Feb   Kekurangan Jan+FebDAVID HARSAMTO,</t>
  </si>
  <si>
    <t xml:space="preserve">CA-065/25 Alex ALEXADRUS NULIADY   </t>
  </si>
  <si>
    <t xml:space="preserve">Shell Network Pers LO Bus+FloorCrew REGA SATRIA FELANG  </t>
  </si>
  <si>
    <t xml:space="preserve">Shell Network Pers LO Bus+FloorCrew AGUNG ROMADONI  </t>
  </si>
  <si>
    <t xml:space="preserve">Shell Network Pers Runner+CrewProd MOCH SUPRIYADI  </t>
  </si>
  <si>
    <t xml:space="preserve">Shell Network Pers PIC Prod+loading YANA PRIYANA  </t>
  </si>
  <si>
    <t xml:space="preserve">BTN ExcellentAwd Editing On Venue BUDI UTOMO  </t>
  </si>
  <si>
    <t xml:space="preserve">BTN ExcellentAwd Runner 19Feb REGA SATRIA FELANG  </t>
  </si>
  <si>
    <t xml:space="preserve">BTN ExcellentAwd Prod Crew 2D R DINAR KUSUMAYANT  </t>
  </si>
  <si>
    <t xml:space="preserve">BTN ExecllentAwd Crew Logistik 2D AGUNG ROMADONI  </t>
  </si>
  <si>
    <t xml:space="preserve">TSel ANO Forum T-Shirt+PoloShirt YULIANA  </t>
  </si>
  <si>
    <t xml:space="preserve">TSel ANO Forum Plakat Event ALEXADRUS NULIADY  </t>
  </si>
  <si>
    <t xml:space="preserve">TSel ANO Forum Produksi Lampung RVOLT SUMBER BERKA  </t>
  </si>
  <si>
    <t xml:space="preserve">TSel IPTV PSI Q3 DP Goddie Bags MIRZA ANDRIAN  </t>
  </si>
  <si>
    <t xml:space="preserve">BTN Excellent Awd SoundSys+AlatBand ARIFIN  </t>
  </si>
  <si>
    <t xml:space="preserve">BTN Excellent Awd Gardening Stage HARTONO  </t>
  </si>
  <si>
    <t xml:space="preserve">Shell Network Pers Show Mgt TEUKU DONNYA SYAHP  </t>
  </si>
  <si>
    <t xml:space="preserve">Shell Network Pers Runner 20feb ARIANTO JOSUA  </t>
  </si>
  <si>
    <t xml:space="preserve">Shell Network Pers 2 Usher+Costum DEWI CAHYA WULAN T  </t>
  </si>
  <si>
    <t xml:space="preserve">BTN Booth HUT-75 PIC Produksi 8Feb R DINAR KUSUMAYANT  </t>
  </si>
  <si>
    <t xml:space="preserve">BTM Booth HUT-75 Runner Istora 8Feb MOCH SUPRIYADI  </t>
  </si>
  <si>
    <t xml:space="preserve">Shell Network Pers CrewLogistik 20feb SABA PUTRA DRAJAT  </t>
  </si>
  <si>
    <t xml:space="preserve">Shell Network Pers LO Talent 20feb RAKA DRAJAT PUTRA  </t>
  </si>
  <si>
    <t xml:space="preserve">BTN Excellent Awd Floor Crew 19feb SAMUEL JULLIO  </t>
  </si>
  <si>
    <t xml:space="preserve">BTN Excellent Awd Floor Crew 19Feb EKO ARI YUSANTO  </t>
  </si>
  <si>
    <t xml:space="preserve">Shell Network Pers Lns Prod Sterefoam ARJAYA  </t>
  </si>
  <si>
    <t xml:space="preserve">Shell Network Pers 60PoloShirt+Acrili ROBBY DHARMAWAN PU  </t>
  </si>
  <si>
    <t xml:space="preserve">BTN Excellent Awd Dok Photo+Video KATHERIN VICENTIA  </t>
  </si>
  <si>
    <t xml:space="preserve">BRI BTK Brimo Fest Anggi Marito BPW SAHADEWA BASUN  </t>
  </si>
  <si>
    <t xml:space="preserve">BRI BTK Brimo Fest Bath utilities BOD BPW SAHADEWA BASUN  </t>
  </si>
  <si>
    <t xml:space="preserve">Oleh2 Ibu Dewi DPR BPW SAHADEWA BASUN  </t>
  </si>
  <si>
    <t xml:space="preserve">AR StaffLoan Atno DAVID HARSAMTO   </t>
  </si>
  <si>
    <t xml:space="preserve">Shell Network Persad 04363  KE BERKAH UNTUNG SELALU </t>
  </si>
  <si>
    <t xml:space="preserve">TSel ANO Forum 04371    /PT KRAKATAU LAMPUNG TOURISM DEV </t>
  </si>
  <si>
    <t xml:space="preserve">20250221BMRIIDJA010O9933342064 </t>
  </si>
  <si>
    <t>TSel 1on1 Mtg SumHQ 04263 BSMDIDJA/AULIA AYU ASYURA</t>
  </si>
  <si>
    <t xml:space="preserve">TSel Polaris PLM     04243  Trf  KE PANTRAVEL </t>
  </si>
  <si>
    <t xml:space="preserve">Lunas Jahit Seragam 04384  BNINIDJA/LUKMAN </t>
  </si>
  <si>
    <t xml:space="preserve">TSel FiberasiTargetS 04273  Trf  KE PANTRAVEL </t>
  </si>
  <si>
    <t xml:space="preserve">TSel PCM Ac MPT Q1   04232  Trf  KE PANTRAVEL </t>
  </si>
  <si>
    <t>TSel Delight ExcelEx 04421  MCM InhouseTrf  KE BERASTAGI BINTANG ASIA</t>
  </si>
  <si>
    <t xml:space="preserve">20250225BMRIIDJA010O9933817731   </t>
  </si>
  <si>
    <t xml:space="preserve">20250225BMRIIDJA010O9933817732  </t>
  </si>
  <si>
    <t>Listrik Feb 2025     04288  Trf  KE PANTRAVEL</t>
  </si>
  <si>
    <t xml:space="preserve">TSel PCM Ac MPTQ1    04245   Trf  KE PANTRAVEL </t>
  </si>
  <si>
    <t xml:space="preserve">PCMI Survey    04244   Trf  KE PANTRAVEL </t>
  </si>
  <si>
    <t>Pin Buk BCA Juanda    CENAIDJA/PAN CONVINCE MITRA INTER ]</t>
  </si>
  <si>
    <t xml:space="preserve">20250227BMRIIDJA010O9934060433     </t>
  </si>
  <si>
    <t>Salary PCMI Feb    CENAIDJA/DAVID HARSAMTO</t>
  </si>
  <si>
    <t xml:space="preserve">20250227BMRIIDJA010O9934060436  </t>
  </si>
  <si>
    <t xml:space="preserve">20250227BMRIIDJA010O9934060438  </t>
  </si>
  <si>
    <t xml:space="preserve">Biaya Adm </t>
  </si>
  <si>
    <t xml:space="preserve">Bunga </t>
  </si>
  <si>
    <t>KK 5534790100867506CMSX 112501000255301</t>
  </si>
  <si>
    <t>KK 5534790180165003CMSX 112501000255301</t>
  </si>
  <si>
    <t>KK 5534790180132102CMSX 112501000255301</t>
  </si>
  <si>
    <t>00096073641F SAP1900375594 5/PCMI/AR/ 182 COM EVT SPS</t>
  </si>
  <si>
    <t>KK 320321 AUTOCORP 250218900007</t>
  </si>
  <si>
    <t>BTN Excellent Awd - 2Genset 60Kva+Podium IFT_TO_ENDRIK SUYANTO</t>
  </si>
  <si>
    <t>Abonemen 022025 CMS PAN CONVINCE MI</t>
  </si>
  <si>
    <t>NBMB SEKAR KINANTI TO PAN CONVINCE MITR</t>
  </si>
  <si>
    <t>Biaya Administrasi</t>
  </si>
  <si>
    <t>Bank charge</t>
  </si>
  <si>
    <t>BFST053401000736301PAN CONVINCE:BMRIIDJA</t>
  </si>
  <si>
    <t>KK 5534790100867506IBIZ5221844701667696</t>
  </si>
  <si>
    <t>KK 5534790180132102IBIZ5221844701667696</t>
  </si>
  <si>
    <t>KK 5534790180165003IBIZ5221844701667696</t>
  </si>
  <si>
    <t>Biaya SMS Notifikasi Sejumlah 5 Notifikasi</t>
  </si>
  <si>
    <t>UBP60215001202FFFFFF029605884375113 : PPh-21 Desember 2024</t>
  </si>
  <si>
    <t>Telkomsel Campaign Plgn Prestige MyAds SBT</t>
  </si>
  <si>
    <t>Inter Accounts</t>
  </si>
  <si>
    <t>AR Staff Loan Odhey  DAVID HARSAMTO,</t>
  </si>
  <si>
    <t xml:space="preserve">Shell Network Pers Gardening HARTONO  </t>
  </si>
  <si>
    <t xml:space="preserve">Shell Network Pers Dok Photo+Video AGUS WIJAYA  </t>
  </si>
  <si>
    <t xml:space="preserve">TSel ANO Lampung LO Reg+StageCrew GALUH DUHITA HAYUN  </t>
  </si>
  <si>
    <t xml:space="preserve">TrimegahPrestigeBj SurveyCarLulita MOGANA KOMODO FANT  </t>
  </si>
  <si>
    <t xml:space="preserve">BTN Excellent Awd 6 HT 1D 19Feb RINI INDRANTI  </t>
  </si>
  <si>
    <t xml:space="preserve">Shell Network Pers Lighting + Rigging MASRUHIN  </t>
  </si>
  <si>
    <t xml:space="preserve">Shell Network Pers 2LiveCam 1D SUTRISNO  </t>
  </si>
  <si>
    <t xml:space="preserve">Shell Network Pers PhotoBooth+Print GUNGGI GIANNASKAF  </t>
  </si>
  <si>
    <t xml:space="preserve">Shell Network Pers KainHitam+Starligh SUPRIYADI  </t>
  </si>
  <si>
    <t xml:space="preserve">BTN Excellent Awd Microsite+RegSys AGUS SHODIKIN  </t>
  </si>
  <si>
    <t xml:space="preserve">BTN ExcellentAwd 2 LiveCam 19Feb SUTRISNO  </t>
  </si>
  <si>
    <t xml:space="preserve">BTN Excellent Awd Lighting 19Feb MASRUHIN  </t>
  </si>
  <si>
    <t xml:space="preserve">BTN Excellent Awd Team Show Mgt TEUKU DONNYA SYAHP  </t>
  </si>
  <si>
    <t xml:space="preserve">BTN Excellent Awd LED Screen,TV,Swic WIDI SURYA BUDIANA  </t>
  </si>
  <si>
    <t xml:space="preserve">BTN Excellent Awd HologramPhotoBth WIWIT INDRIYANA  </t>
  </si>
  <si>
    <t xml:space="preserve">BTN Dekor HUT 75 Sticker+PhotoBooth BAMBANG SUPRIYANTO  </t>
  </si>
  <si>
    <t xml:space="preserve">BTN Mini Olympic Lighting MASRUHIN  </t>
  </si>
  <si>
    <t xml:space="preserve">CA-060 Yogi YOGI PURWO WIDODO   </t>
  </si>
  <si>
    <t xml:space="preserve">CA-059/25 Clara CLARA LIA RESTU SA   </t>
  </si>
  <si>
    <t xml:space="preserve">BI-FAST CR TRANSFER   DR 008 ORENS KREASI INDON     </t>
  </si>
  <si>
    <t xml:space="preserve">pengembalian CA000 57 ANALITA YULISTYA C  </t>
  </si>
  <si>
    <t xml:space="preserve">Trf kekurangan CA0 0057 ANALITA YULISTYA C  </t>
  </si>
  <si>
    <t xml:space="preserve">TSel ANO Lampung ATK,TV,Kits,Merch RVOLT SUMBER BERKA  </t>
  </si>
  <si>
    <t xml:space="preserve">TSel ANO Lampung Mobil + Meals YUNI KRISTANTI  </t>
  </si>
  <si>
    <t xml:space="preserve">BTN Excellent Awd Sign,Selendang,DLL MUHAMMAD ANGGARA D  </t>
  </si>
  <si>
    <t xml:space="preserve">Shell Network Pers LED,TV,Swicther WIDI SURYA BUDIANA  </t>
  </si>
  <si>
    <t xml:space="preserve">TELKOM DIVRE2 02183700953     03 PAN CONVINCE MITRA   </t>
  </si>
  <si>
    <t xml:space="preserve">TELKOM DIVRE2 02183700934     03 PAN CONVINCE MITRA   </t>
  </si>
  <si>
    <t xml:space="preserve">TELKOM DIVRE2 02183700967     03 PAN CONVINCE MITRA   </t>
  </si>
  <si>
    <t xml:space="preserve">TELKOM DIVRE2 02183700926     03 PAN CONVINCE MITRA   </t>
  </si>
  <si>
    <t xml:space="preserve">TELKOM DIVRE2 02183700872     03 PAN CONVINCE MITRA   </t>
  </si>
  <si>
    <t xml:space="preserve">TELKOM DIVRE2 02183700923     03 PAN CONVINCE MITRA   </t>
  </si>
  <si>
    <t xml:space="preserve">TELKOM DIVRE2 02183700854     03 PAN CONVINCE MITRA   </t>
  </si>
  <si>
    <t xml:space="preserve">CA-65/24 Alex ALEXADRUS NULIADY   </t>
  </si>
  <si>
    <t xml:space="preserve">SHL 29-Des-24 RD HIDIANITJE DRA   </t>
  </si>
  <si>
    <t xml:space="preserve">SHL 30-Des RD HIDIANITJE DRA   </t>
  </si>
  <si>
    <t xml:space="preserve">Deviden PCMI RD Hidianitje RD HIDIANITJE DRA  </t>
  </si>
  <si>
    <t xml:space="preserve">BI-FAST DB TRANSFER   KE 009 NURLAILA HUTABARAT KBB    </t>
  </si>
  <si>
    <t xml:space="preserve">BI-FAST DB BIAYA TXN  KE 009 NURLAILA HUTABARAT KBB    </t>
  </si>
  <si>
    <t xml:space="preserve">Deviden PCMI David Harsamto DAVID HARSAMTO  </t>
  </si>
  <si>
    <t xml:space="preserve">Trimegah TC Lombok Survey 27Feb/1Mar SUHAELI  </t>
  </si>
  <si>
    <t xml:space="preserve">Reimb KasKecil CLARA LIA RESTU SA   </t>
  </si>
  <si>
    <t xml:space="preserve">KBUMN Natal 24 Lunas Produksi IBNU CHUZAYMAH  </t>
  </si>
  <si>
    <t xml:space="preserve">Pmbyrn AR Staf FA CC BRI Bil Mar FRIDA ACHMADI  </t>
  </si>
  <si>
    <t xml:space="preserve">retur CA 00047 DEDI PURWANTO SE   </t>
  </si>
  <si>
    <t xml:space="preserve">Shell Network Pers CoverSlide,XBnr,Dl MUHAMMAD ANGGARA D  </t>
  </si>
  <si>
    <t xml:space="preserve">Laporan CA 056 202 5 Yogi YOGI PURWO WIDODO  </t>
  </si>
  <si>
    <t xml:space="preserve">BTN ExecellentAwd Produksi 19Feb IBNU CHUZAYMAH  </t>
  </si>
  <si>
    <t xml:space="preserve">Shell Network Pers Produksi IBNU CHUZAYMAH  </t>
  </si>
  <si>
    <t xml:space="preserve">BTN Mini Olympic Produksi 17Jan IBNU CHUZAYMAH  </t>
  </si>
  <si>
    <t xml:space="preserve">Shell Network Pers Gojek ANALITA YULISTYA C  </t>
  </si>
  <si>
    <t xml:space="preserve">CA-068 Odhey DEDI PURWANTO SE   </t>
  </si>
  <si>
    <t xml:space="preserve">CA-067 Odhey DEDI PURWANTO SE   </t>
  </si>
  <si>
    <t xml:space="preserve">CA 011 (convert ye n 109)  ANALITA YULISTYA C </t>
  </si>
  <si>
    <t xml:space="preserve">Trimegah TC Lombok Survey ke-2  SUHAELI </t>
  </si>
  <si>
    <t xml:space="preserve">BI-FAST CR TRANSFER   DR 009 HARIFF DAYA TUNGGA    </t>
  </si>
  <si>
    <t xml:space="preserve">TELKOM DIVRE2  02183700953     04 PAN CONVINCE MITRA  0232055350285999 </t>
  </si>
  <si>
    <t xml:space="preserve">TELKOM DIVRE2  02183700926     04 PAN CONVINCE MITRA  0232055350285999 </t>
  </si>
  <si>
    <t xml:space="preserve">TELKOM DIVRE2  02183700967     04 PAN CONVINCE MITRA  0232055350285999 </t>
  </si>
  <si>
    <t xml:space="preserve">TELKOM DIVRE2  02183700923     04 PAN CONVINCE MITRA  0232055350285999 </t>
  </si>
  <si>
    <t xml:space="preserve">TELKOM DIVRE2  02183700934     04 PAN CONVINCE MITRA  0232055350285999 </t>
  </si>
  <si>
    <t xml:space="preserve">TELKOM DIVRE2  02183700854     04 PAN CONVINCE MITRA  0232055350285999 </t>
  </si>
  <si>
    <t xml:space="preserve">TELKOM DIVRE2  02183700872     04 PAN CONVINCE MITRA  0232055350285999 </t>
  </si>
  <si>
    <t xml:space="preserve">Trimegah TC Lombok Deposit T1 CSR  LOVY EVELYN S MELI </t>
  </si>
  <si>
    <t xml:space="preserve">Kop Surat PCMI RIFKI HIDAYAT  </t>
  </si>
  <si>
    <t xml:space="preserve">Trimegah TC Lombok DP 50% Lunch 25May  ROYAL AVILA PT </t>
  </si>
  <si>
    <t xml:space="preserve">Trimegah TC Lombok DP 50% Land Arrg  SUHAELI </t>
  </si>
  <si>
    <t xml:space="preserve">Trimegah PrestigeB DP Le Bajo 19Jul  SALAM BAJO INDONES </t>
  </si>
  <si>
    <t xml:space="preserve">LLG-PERMATA PT. Abhimata Citra  Inv. 74   </t>
  </si>
  <si>
    <t xml:space="preserve">BRI CeremonySAR Dok Video+Photo  KATHERIN VICENTIA </t>
  </si>
  <si>
    <t xml:space="preserve">BRI CeremonySAR CoffeeTable+IBM  DIAZ MUBAROK </t>
  </si>
  <si>
    <t xml:space="preserve">BRI CeremonySAR Log Crew 14Apr  ERDIN BINTANG </t>
  </si>
  <si>
    <t xml:space="preserve">BRI CeremonySAR Log Crew 13-14Apr  AGUNG ROMADONI </t>
  </si>
  <si>
    <t xml:space="preserve">BRI CeremonySAR Prod Crew 13-14Apr  MOCH SUPRIYADI </t>
  </si>
  <si>
    <t xml:space="preserve">BRI HBH Developer DP MarcellSiahaan  RAYVINDIRA ATHENA </t>
  </si>
  <si>
    <t xml:space="preserve">BRI BHB Developer Lns MarcellSiahaan  RAYVINDIRA ATHENA </t>
  </si>
  <si>
    <t xml:space="preserve">BRI HBH Developer Pianis+Singer  AHMAD SYAH GAFFAR </t>
  </si>
  <si>
    <t xml:space="preserve">BRI HBH Developer Dancer OpeningAct  RENATHA LYDIA PANJ </t>
  </si>
  <si>
    <t xml:space="preserve">retur kekurangan C A 00029  DEDI PURWANTO SE </t>
  </si>
  <si>
    <t xml:space="preserve">KBUMN Natal 2024 Payment Multimedia  IBRAHIM SALADDIN </t>
  </si>
  <si>
    <t xml:space="preserve">BRI Ceremony SAR Team Show Mgt  TEUKU DONNYA SYAHP </t>
  </si>
  <si>
    <t xml:space="preserve">Bunga Duka Papan Ayah Randi BRI  SUGIYANTI </t>
  </si>
  <si>
    <t xml:space="preserve">CA-071/25 Odhey DEDI PURWANTO SE  </t>
  </si>
  <si>
    <t xml:space="preserve">LLG-BNI INFRASTRUKTUR TELE  INV 65/PCMI/AR/III /2025 - AREA NE|IN  V 65-PAN CON </t>
  </si>
  <si>
    <t xml:space="preserve">FTORF/YGKPP FEE TELEX OR  SIAM COMMERCIAL BA SATHIT KASIKAMPHIB  </t>
  </si>
  <si>
    <t xml:space="preserve">FTORF/YGKPP FEE FULL AMT OR  SIAM COMMERCIAL BA SATHIT KASIKAMPHIB  </t>
  </si>
  <si>
    <t>INDONESIA POWER UBOH PLTU BANTEN 1 SURAL  12206</t>
  </si>
  <si>
    <t>Trimegah TC LombokSPJ 4D + Meals    MARIA PATRICIA SUG,</t>
  </si>
  <si>
    <t>Shell Network PersSPJ 20Feb         M RIZKY AULIA,</t>
  </si>
  <si>
    <t>BTN Excellent And SPJ 19Feb         M RIZKY AULIA,</t>
  </si>
  <si>
    <t>TSel ANO Lampung  SPJ 4D + meals    YOGI PURWO WIDODO,</t>
  </si>
  <si>
    <t>Shell Network PersSPJ 1D + Meals    YOGI PURWO WIDODO,</t>
  </si>
  <si>
    <t>TSel ANO Lampung  SPJ 4D + meals    ANALITA YULISTYA C,</t>
  </si>
  <si>
    <t>Shell Network PersSPJ 3D + Meals    ANALITA YULISTYA C,</t>
  </si>
  <si>
    <t>Shell Network PersSPJ 2D            DEDI PURWANTO SE,</t>
  </si>
  <si>
    <t>Shell Network PersSPJ 20Feb         SUPRIYADI,</t>
  </si>
  <si>
    <t>Shell Network PersSPJ 19-20 Feb     MUHAMMAD UJER AWAL,</t>
  </si>
  <si>
    <t>Dokter+Obat Mata  YULI NURFIVA YAHYA,</t>
  </si>
  <si>
    <t>Shell Network PersSPJ 20Feb         MARIA PATRICIA SUG,</t>
  </si>
  <si>
    <t>BTN Excellent And SPJ 19Feb         MARIA PATRICIA SUG,</t>
  </si>
  <si>
    <t>TSel ANO Lampung  Survey Rafid+GaluhGALUH DUHITA HAYUN,</t>
  </si>
  <si>
    <t>Overtime Feb      SUPRIYADI,</t>
  </si>
  <si>
    <t>TSel ANO Lampung  ShowD SPJ3D+MealsM RIZKY AULIA,</t>
  </si>
  <si>
    <t>Trimegah TC LombokSPJ 4D + Meals    ALEXADRUS NULIADY,</t>
  </si>
  <si>
    <t>TSel ANO Lampung  MMOps+SPJ4D+Meals ALEXADRUS NULIADY,</t>
  </si>
  <si>
    <t>TSel ANO Lampung  SPJ ApoAsst+Meals PRAJA SAPUTRA S,</t>
  </si>
  <si>
    <t>SHL 29-Des-24     PAN CONVINCE MITRA,</t>
  </si>
  <si>
    <t>SHL 30-Des        PAN CONVINCE MITRA,</t>
  </si>
  <si>
    <t>THR PCMI 2025     DAVID HARSAMTO,</t>
  </si>
  <si>
    <t>Overtime          SUKANDA,</t>
  </si>
  <si>
    <t>Overtime          ADUN SOPANDI,</t>
  </si>
  <si>
    <t>Overtime Feb      MUHAMMAD UJER AWAL,</t>
  </si>
  <si>
    <t>Pelunasan AR StaffLoan              DAVID HARSAMTO,</t>
  </si>
  <si>
    <t>AR StaffLoan OdheyDAVID HARSAMTO,</t>
  </si>
  <si>
    <t>AR StaffLoanFriedaDAVID HARSAMTO,</t>
  </si>
  <si>
    <t>AR StaffLoanFriedaBRI CorpCard      DAVID HARSAMTO,</t>
  </si>
  <si>
    <t>AR StafLoan FriedaBRI CorpCard      DAVID HARSAMTO,</t>
  </si>
  <si>
    <t>AR StaffLoan Ujer DAVID HARSAMTO,</t>
  </si>
  <si>
    <t>AR StaffLoan KandaDAVID HARSAMTO,</t>
  </si>
  <si>
    <t>AR StaffLoan Yogi Pelunasan 2023    DAVID HARSAMTO,</t>
  </si>
  <si>
    <t>THR PCMI 2025     Kekurangan        DAVID HARSAMTO,</t>
  </si>
  <si>
    <t>Pmbyrn CC BRI FA 27 29Jan 2Feb      FRIDA ACHMADI,</t>
  </si>
  <si>
    <t>Pulsa HP Jan-Mar  FRIDA ACHMADI,</t>
  </si>
  <si>
    <t>Salary PCMI Mar   DAVID HARSAMTO,</t>
  </si>
  <si>
    <t>Kurang Gaji Jan   DAVID HARSAMTO,</t>
  </si>
  <si>
    <t>AR StafLoan FriedaDAVID HARSAMTO,</t>
  </si>
  <si>
    <t>Pot UnpaidLeave   Yulie             DAVID HARSAMTO,</t>
  </si>
  <si>
    <t>AR StaffLoan Atno DAVID HARSAMTO,</t>
  </si>
  <si>
    <t>Overtime Maret    SUKANDA,</t>
  </si>
  <si>
    <t>Overtime Maret    ADUN SOPANDI,</t>
  </si>
  <si>
    <t>Overtime Maret    SUPRIYADI,</t>
  </si>
  <si>
    <t>Overtime Maret    MUHAMMAD UJER AWAL,</t>
  </si>
  <si>
    <t>Trimegah TC LombokSPJ Survey 2D     ALEXADRUS NULIADY,</t>
  </si>
  <si>
    <t>Bonus PCMI 2024   DAVID HARSAMTO,</t>
  </si>
  <si>
    <t>Retur Bonus PCMI  15-Apr-25         DAVID HARSAMTO,</t>
  </si>
  <si>
    <t>BRI Ceremony SAR  SPJ 1D 13Apr      ADUN SOPANDI,</t>
  </si>
  <si>
    <t>Shell VisitFac BKKBeli Baht         TOM VALASINDO PT,</t>
  </si>
  <si>
    <t>BRI Ceremony SAR  SPJ 14Apr         MUHAMMAD FADLI AKB,</t>
  </si>
  <si>
    <t>Trimegah TC LombokSPJ Survey ke-2   MARIA PATRICIA SUG,</t>
  </si>
  <si>
    <t>Salary PCMI Apr   DAVID HARSAMTO,</t>
  </si>
  <si>
    <t>AR StafLoan Atno  DAVID HARSAMTO,</t>
  </si>
  <si>
    <t>PAN CONVINCE MITRA,</t>
  </si>
  <si>
    <t>Sheel VisitFac BKKSPJ 25Apr         SUPRIYADI,</t>
  </si>
  <si>
    <t>Shell VisitFac BKKSPJ Apo Hand 28AprPRAJA SAPUTRA S,</t>
  </si>
  <si>
    <t>BRI HBH Developer SPJ 1D 23Apr      MUHAMMAD FADLI AKB,</t>
  </si>
  <si>
    <t>BRI HBH Developer SPJ 23Apr         MARIA PATRICIA SUG,</t>
  </si>
  <si>
    <t>BRI Ceremony SAR  SPJ 14Apr         MUHAMMAD UJER AWAL,</t>
  </si>
  <si>
    <t>BRI Ceremony SAR  SPJ 14Apr         FRIDA ACHMADI,</t>
  </si>
  <si>
    <t>BRI Ceremony SAR  SPJ 14Apr         SUPRIYADI,</t>
  </si>
  <si>
    <t>BRI Ceremony SAR  SPJ 14Apr         M RIZKY AULIA,</t>
  </si>
  <si>
    <t>BRI Ceremony SAR  SPJ 14Apr         MARIA PATRICIA SUG,</t>
  </si>
  <si>
    <t xml:space="preserve">retur CA 00063 dep osit venue DEDI PURWANTO SE  </t>
  </si>
  <si>
    <t xml:space="preserve">RD HIDIANITJE DRA    </t>
  </si>
  <si>
    <t xml:space="preserve">Trimegah TC Lombok Suara Kayu Band LULITA  </t>
  </si>
  <si>
    <t xml:space="preserve">Trimegah TC Lombok Merchandise ROHYATUN  </t>
  </si>
  <si>
    <t xml:space="preserve">BRI HBH Developer CrewLogistik 23Apr SABA PUTRA DRAJAT  </t>
  </si>
  <si>
    <t xml:space="preserve">BRI HBH Developer Runner 23Apr MOH SUPRIYATNA  </t>
  </si>
  <si>
    <t xml:space="preserve">BRI HBH Developer PIC ProdKomeng 2D MOCH SUPRIYADI  </t>
  </si>
  <si>
    <t xml:space="preserve">BRI HBH Developer Show Management TEUKU DONNYA SYAHP  </t>
  </si>
  <si>
    <t xml:space="preserve">BRI HBH Developer MC Bunga BUNGA HARUM DANI D  </t>
  </si>
  <si>
    <t xml:space="preserve">KBUMN Natal 24 Kurang Byr PPh-23 BINTANG LANGIT MUL  </t>
  </si>
  <si>
    <t xml:space="preserve">TSel IPTV PSI Q3 Xtra IncentiveJITU MIRZA ANDRIAN  </t>
  </si>
  <si>
    <t>Trimegah TC Lombok   04356   MCM InhouseTrf  KE PANTRAVEL</t>
  </si>
  <si>
    <t>TSel DelightExceExe 04444  BSMDIDJA/AULIA AYU ASYURA</t>
  </si>
  <si>
    <t xml:space="preserve">20250304BMRIIDJA010O9934885629 </t>
  </si>
  <si>
    <t xml:space="preserve">Shell Network Persad04385  BRINIDJA/CV ANEKA BERSAMA MAK </t>
  </si>
  <si>
    <t xml:space="preserve">20250304BMRIIDJA010O9934885630  </t>
  </si>
  <si>
    <t xml:space="preserve">TSel Delight ExceExe 04355   MCM InhouseTrf  KE PANTRAVEL </t>
  </si>
  <si>
    <t>TSel ANO Lampung    04443 BRINIDJA/ERVANDO ZUNIKA RIAND</t>
  </si>
  <si>
    <t xml:space="preserve">20250304BMRIIDJA010O9934885631 </t>
  </si>
  <si>
    <t xml:space="preserve">TSel Delight ExceExe 04366  MCM InhouseTrf  KE PANTRAVEL </t>
  </si>
  <si>
    <t xml:space="preserve">TSel Delight ExceExe04445   BSMDIDJA/AULIA AYU ASYURA </t>
  </si>
  <si>
    <t xml:space="preserve">20250304BMRIIDJA010O9934885632 </t>
  </si>
  <si>
    <t xml:space="preserve">TSel ANO Forum Sum   04358   MCM InhouseTrf  KE PANTRAVEL </t>
  </si>
  <si>
    <t>Pin Buk Mandiri MidP MCM InhouseTrf  DARI PAN CONVINCE MITRA INTERNATIONAL</t>
  </si>
  <si>
    <t xml:space="preserve">TSel Polaris PLG  04351 BBIJIDJA/I PUTU EKA UDAYANA RUDITA,ST </t>
  </si>
  <si>
    <t xml:space="preserve">20250304BMRIIDJA010O9934885681 </t>
  </si>
  <si>
    <t>Trimegah TC Lmobok   04349  MCM InhouseTrf  KE PANTRAVEL</t>
  </si>
  <si>
    <t>BTN Mini Olympic 25 04050 BRINIDJA/CV ANEKA BERSAMA MAK</t>
  </si>
  <si>
    <t xml:space="preserve">20250304BMRIIDJA010O9934885682 </t>
  </si>
  <si>
    <t>TSel FiberTargetSum  04329  MCM InhouseTrf  KE PANTRAVEL</t>
  </si>
  <si>
    <t>Shell Network Persad 04348 MCM InhouseTrf  KE PANTRAVEL</t>
  </si>
  <si>
    <t>Shell Network Persad 04327 MCM InhouseTrf  KE PANTRAVEL</t>
  </si>
  <si>
    <t xml:space="preserve">TSel 1on1 MtgSumHQ   04290  MCM InhouseTrf  KE AKHDIAT SURYANA </t>
  </si>
  <si>
    <t>Shell Network Persad 04321 MCM InhouseTrf  KE PANTRAVEL</t>
  </si>
  <si>
    <t xml:space="preserve">TSel PCM Academy     04332 MCM InhouseTrf  KE PANTRAVEL </t>
  </si>
  <si>
    <t>TSel Delight ExceExe 04318  MCM InhouseTrf  KE PANTRAVEL</t>
  </si>
  <si>
    <t xml:space="preserve">100020000019972025  MCM InhouseTrf </t>
  </si>
  <si>
    <t xml:space="preserve">UOB Master JT-10Mar  BBIJIDJA/DAVID HARSAMTO </t>
  </si>
  <si>
    <t>Mandiri Visa JT20Mar   MCM InhouseTrf  KE DAVID HARSAMTO</t>
  </si>
  <si>
    <t xml:space="preserve">20250307BMRIIDJA010O9935238440  </t>
  </si>
  <si>
    <t xml:space="preserve">DBS VisaWhite JT7Mar   DBSBIDJA/DAVID HARSAMTO </t>
  </si>
  <si>
    <t xml:space="preserve">20250307BMRIIDJA010O9935238442  </t>
  </si>
  <si>
    <t>Shell Network Persad04495  SUNIIDJA/GIFTEE INTERNATIONAL INDONESIA</t>
  </si>
  <si>
    <t xml:space="preserve">20250311BMRIIDJA010O9935814387 </t>
  </si>
  <si>
    <t xml:space="preserve">TSel Delight ExceExe04496  BSMDIDJA/AULIA AYU ASYURA </t>
  </si>
  <si>
    <t xml:space="preserve">20250311BMRIIDJA010O9935814390  </t>
  </si>
  <si>
    <t>TSel 1on1 MtgSumHQ  04289  BNINIDJA/KINARYA SELARAS PIRANTI</t>
  </si>
  <si>
    <t xml:space="preserve">20250311BMRIIDJA010O9935814392  </t>
  </si>
  <si>
    <t>TSel Delight ExceExe04482  BSMDIDJA/AULIA AYU ASYURA</t>
  </si>
  <si>
    <t xml:space="preserve">20250311BMRIIDJA010O9935814394 </t>
  </si>
  <si>
    <t xml:space="preserve">TSel ANO Lampung    04481  BRINIDJA/NOVLI FELISIA SITUMO </t>
  </si>
  <si>
    <t xml:space="preserve">20250311BMRIIDJA010O9935814396 </t>
  </si>
  <si>
    <t>BTN Excellent Awd   04420  BRINIDJA/CV ANEKA BERSAMA MAK</t>
  </si>
  <si>
    <t xml:space="preserve">20250311BMRIIDJA010O9935814294  </t>
  </si>
  <si>
    <t>TSel Delight ExceExe 04457 MCM InhouseTrf  KE PANTRAVEL</t>
  </si>
  <si>
    <t xml:space="preserve">TSel Delight ExceExe 04417   MCM InhouseTrf  KE PANTRAVEL </t>
  </si>
  <si>
    <t>Shell Network Persad 04333  MCM InhouseTrf  KE PANTRAVEL</t>
  </si>
  <si>
    <t xml:space="preserve">TSel Polaris PLG     04435   MCM InhouseTrf  KE PANTRAVEL </t>
  </si>
  <si>
    <t xml:space="preserve">TSel Fiber TargetSum 04436  MCM InhouseTrf  KE PANTRAVEL </t>
  </si>
  <si>
    <t xml:space="preserve">TSel ANO Lampung     04416  MCM InhouseTrf  KE PANTRAVEL </t>
  </si>
  <si>
    <t>Shell Network Persad 04368 MCM InhouseTrf  KE PANTRAVEL</t>
  </si>
  <si>
    <t>TSel ANO Lampung     04422 MCM InhouseTrf  KE PANTRAVEL</t>
  </si>
  <si>
    <t>TSel Polaris PLG     04365 MCM InhouseTrf  KE PANTRAVEL</t>
  </si>
  <si>
    <t>TSel Delight ExceExe 04500 MCM InhouseTrf  KE PANTRAVEL</t>
  </si>
  <si>
    <t>TSel ANO Lampung     04434 MCM InhouseTrf  KE PANTRAVEL</t>
  </si>
  <si>
    <t>TSel PCM Aca MPT Q1  04437  MCM InhouseTrf  KE PANTRAVEL</t>
  </si>
  <si>
    <t xml:space="preserve">TSel ANO Lampung     04424 MCM InhouseTrf  KE PANTRAVEL </t>
  </si>
  <si>
    <t>Shell Network Persad 04370  MCM InhouseTrf  KE PANTRAVEL</t>
  </si>
  <si>
    <t xml:space="preserve">TSel ANO Lampung     04430 MCM InhouseTrf  KE PANTRAVEL </t>
  </si>
  <si>
    <t>TSel ANO Lampung     04423 MCM InhouseTrf  KE PANTRAVEL</t>
  </si>
  <si>
    <t>TSel Duta Budget     04418 MCM InhouseTrf  KE PANTRAVEL</t>
  </si>
  <si>
    <t xml:space="preserve">Shell Network Persad 04361 MCM InhouseTrf  KE PANTRAVEL </t>
  </si>
  <si>
    <t xml:space="preserve">TSel Fiber TargetSum 04367 MCM InhouseTrf  KE PANTRAVEL </t>
  </si>
  <si>
    <t xml:space="preserve">Lulita FIT 04317  MCM InhouseTrf  KE PANTRAVEL </t>
  </si>
  <si>
    <t xml:space="preserve">20250313BMRIIDJA010O9936056362 </t>
  </si>
  <si>
    <t xml:space="preserve">20250313BMRIIDJA010O9936056363 </t>
  </si>
  <si>
    <t>PinBuk MandiriMidPlz  MCM InhouseTrf  DARI PAN CONVINCE MITRA INTERNATIONAL</t>
  </si>
  <si>
    <t>THR PCMI 2025 CENAIDJA/DAVID HARSAMTO</t>
  </si>
  <si>
    <t xml:space="preserve">20250314BMRIIDJA010O9936233551 </t>
  </si>
  <si>
    <t>Listrik Maret   04541  MCM InhouseTrf  KE PANTRAVEL</t>
  </si>
  <si>
    <t xml:space="preserve">Seragam Hasan Driver04596  BNINIDJA/LUKMAN </t>
  </si>
  <si>
    <t xml:space="preserve">TSel Delight Excelle 04564 MCM InhouseTrf  KE PANTRAVEL </t>
  </si>
  <si>
    <t xml:space="preserve">TSel Safari Ramadhan 04529 MCM InhouseTrf  KE PANTRAVEL </t>
  </si>
  <si>
    <t xml:space="preserve">20250326BMRIIDJA010O9937427969  </t>
  </si>
  <si>
    <t>KBUMN Natal 24  04595 MCM InhouseTrf  KE BALI INDAH INTERNATIONAL</t>
  </si>
  <si>
    <t xml:space="preserve">TSel Secure RAFI SBP 04576  MCM InhouseTrf  KE PANTRAVEL </t>
  </si>
  <si>
    <t>TSel Safari Ramadhan 04545 MCM InhouseTrf  KE PANTRAVEL</t>
  </si>
  <si>
    <t xml:space="preserve">TSel Delight Excelle 04533  MCM InhouseTrf  KE PANTRAVEL </t>
  </si>
  <si>
    <t xml:space="preserve">TSel Safari Ramadhan 04519 MCM InhouseTrf  KE PANTRAVEL </t>
  </si>
  <si>
    <t>TSel Delight Excelle 04571 MCM InhouseTrf  KE PANTRAVEL</t>
  </si>
  <si>
    <t>Trimegah TC Lombok   04575 MCM InhouseTrf  KE PANTRAVEL</t>
  </si>
  <si>
    <t xml:space="preserve">Lulita FIT   04560  MCM InhouseTrf  KE PANTRAVEL </t>
  </si>
  <si>
    <t>Shell Network Persad 04574   MCM InhouseTrf  KE PANTRAVEL</t>
  </si>
  <si>
    <t xml:space="preserve">TSel Secure RAFI     04570  MCM InhouseTrf  KE PANTRAVEL </t>
  </si>
  <si>
    <t xml:space="preserve">TSel Safari Ramadhan 04552 MCM InhouseTrf  KE PANTRAVEL </t>
  </si>
  <si>
    <t xml:space="preserve">TSel PCM Academy MPT 04573 MCM InhouseTrf  KE PANTRAVEL </t>
  </si>
  <si>
    <t xml:space="preserve">Shell Network Persad04549  SUNIIDJA/GIFTEE INTERNATIONAL INDONESIA </t>
  </si>
  <si>
    <t>TSel DelightExcellen 04586  MCM InhouseTrf  KE PANTRAVEL</t>
  </si>
  <si>
    <t xml:space="preserve">Trimegah TC Lombok   04562 MCM InhouseTrf  KE PANTRAVEL </t>
  </si>
  <si>
    <t xml:space="preserve">20250326BMRIIDJA010O9937427399 </t>
  </si>
  <si>
    <t xml:space="preserve">PinBuk Mandiri MidPl   MCM InhouseTrf  DARI PAN CONVINCE MITRA INTERNATIONAL </t>
  </si>
  <si>
    <t xml:space="preserve">Salary PCMI Maret CENAIDJA/DAVID HARSAMTO </t>
  </si>
  <si>
    <t xml:space="preserve">20250327BMRIIDJA010O9937625901  </t>
  </si>
  <si>
    <t>UOB Master JT-9Apr  BBIJIDJA/DAVID HARSAMTO</t>
  </si>
  <si>
    <t xml:space="preserve">20250403BMRIIDJA010O9938018950   </t>
  </si>
  <si>
    <t xml:space="preserve">DBS VisaWhite JT8Apr  DBSBIDJA/DAVID HARSAMTO </t>
  </si>
  <si>
    <t xml:space="preserve">20250403BMRIIDJA010O9938019351 </t>
  </si>
  <si>
    <t>TSel PCM Academy MPT 04607  MCM InhouseTrf  KE PANTRAVEL</t>
  </si>
  <si>
    <t xml:space="preserve">Trimegah TC Lombok   04585 MCM InhouseTrf  KE PANTRAVEL </t>
  </si>
  <si>
    <t xml:space="preserve">Trimegah TC Lombok   04605  MCM InhouseTrf  KE PANTRAVEL </t>
  </si>
  <si>
    <t>Trimegah TC Lombok   04622 MCM InhouseTrf  KE BASK GILI MENO</t>
  </si>
  <si>
    <t xml:space="preserve">Trimegah Prestige Bj 04606  MCM InhouseTrf  KE PANTRAVEL </t>
  </si>
  <si>
    <t>PT TELEKOMUNIKASI SELULAR - 031</t>
  </si>
  <si>
    <t>Listrik April        04665 MCM InhouseTrf  KE PANTRAVEL</t>
  </si>
  <si>
    <t xml:space="preserve">Trimegah TC Lombok  04666  BNINIDJA/YANTO </t>
  </si>
  <si>
    <t xml:space="preserve">20250414BMRIIDJA010O9938772538 </t>
  </si>
  <si>
    <t xml:space="preserve">TSel Mtg Evaluasi S104687  SSPIIDJA/ADE IRMA SARTIKA.T </t>
  </si>
  <si>
    <t>TSel Harmoni Sumatra 04689  MCM InhouseTrf  KE HOTEL RAZ INDONESIA</t>
  </si>
  <si>
    <t xml:space="preserve">20250418BMRIIDJA010O9930179590  </t>
  </si>
  <si>
    <t xml:space="preserve">TSel Harmoni Sumatra04709  BSMDIDJA/MAJELIS TELKOMSEL TAQWA SUMBAGS </t>
  </si>
  <si>
    <t>TSel ANOForumLampung 04707 MCM InhouseTrf  KE ANDRIE TAMAMANY CHRISTY</t>
  </si>
  <si>
    <t xml:space="preserve">20250423BMRIIDJA010O9930504697 </t>
  </si>
  <si>
    <t>TSel DelightExceExe  04683  MCM InhouseTrf  KE PANTRAVEL</t>
  </si>
  <si>
    <t xml:space="preserve">Shell NetworkPersada 04682 MCM InhouseTrf  KE PANTRAVEL </t>
  </si>
  <si>
    <t xml:space="preserve">Salary PCMI April  CENAIDJA/DAVID HARSAMTO </t>
  </si>
  <si>
    <t xml:space="preserve">20250429BMRIIDJA010O9931082809  </t>
  </si>
  <si>
    <t xml:space="preserve">ShellVisitFactoryBKK04742 BDINIDJA/PT INDONESIA ASSIST </t>
  </si>
  <si>
    <t xml:space="preserve">20250429BMRIIDJA010O9931157638  </t>
  </si>
  <si>
    <t>Abonemen 032025 CMS PAN CONVINCE MI</t>
  </si>
  <si>
    <t>KK 320321 AUTOCORP 250415900079</t>
  </si>
  <si>
    <t>Abonemen 042025 CMS PAN CONVINCE MI</t>
  </si>
  <si>
    <t>NBMB MEYNAR EDY PRA TO PAN CONVINCE MITR</t>
  </si>
  <si>
    <t>00101321751F SAP1900971858 B.32/INT/I Pengunaan BOB B</t>
  </si>
  <si>
    <t xml:space="preserve">SPM 0062/MCD/25_53/PCMI/AR/III/2025 </t>
  </si>
  <si>
    <t xml:space="preserve">SPM 12/HCSD/25_PEMB PEKERJAAN JASA VENDO </t>
  </si>
  <si>
    <t xml:space="preserve">SPM 78/MCD/25_PEMB EO UNTUK PRODUKSI BO </t>
  </si>
  <si>
    <t>Other Income/Expense</t>
  </si>
  <si>
    <t xml:space="preserve"> Financial Expense </t>
  </si>
  <si>
    <t>Retained Earnings</t>
  </si>
  <si>
    <t>Expenditure</t>
  </si>
  <si>
    <t>TSel ANO Lampung 1Pcs Plakat +an   ALEXADRUS NULIADY</t>
  </si>
  <si>
    <t xml:space="preserve">Refund Tiket Pan DARI PANTRAVEL </t>
  </si>
  <si>
    <t>8/PCMI/AR/II/2025 - SPONSORSHIP KEGIATAN Kredit SAP 99999</t>
  </si>
  <si>
    <t>Bunga</t>
  </si>
  <si>
    <t>Biaya Adm</t>
  </si>
  <si>
    <t>Pajak</t>
  </si>
  <si>
    <t xml:space="preserve">payment booth  MCM InhouseTrf  DARI DIMENSI PRO KREASITAMA </t>
  </si>
  <si>
    <t>BNINIDJA/KAMILA NADAWIYAH 186911731299102</t>
  </si>
  <si>
    <t>S1JJPUR002/8409      /LNK-001000000000999105</t>
  </si>
  <si>
    <t>20302 askrindo M257 MCM InhouseTrf  DARI ASURANSI KREDIT INDONESIA</t>
  </si>
  <si>
    <t xml:space="preserve">Sponsor Natal KBUMN  20/PCMI/AR/II/2025 MCM InhouseTrf  DARI PUPUK INDONESIA (PERSERO) </t>
  </si>
  <si>
    <t>Perayaan Natal  InhouseTrf  DARI DANAREKSA</t>
  </si>
  <si>
    <t>PT JAMINAN KREDIT IN - 002  BRI PURWAKARTA 50603 PMB DUKUNGAN PADA NATAL BERSAMA K</t>
  </si>
  <si>
    <t xml:space="preserve">25/ND/MKT/II/2025 206 InhouseTrf  DARI ASURANSI JIWA IFG </t>
  </si>
  <si>
    <t>booth ukm natal brsma kbumn  MCM InhouseTrf  DARI RIZKA FADILAH booth ukm natal brsma kbumn</t>
  </si>
  <si>
    <t>SPONSORSHIP PJT II  Setor tunai  PAN CONVINCE MITRA I 01-0117364</t>
  </si>
  <si>
    <t>Booth KBUMN Natal  36/PCMI/AR/II/2025  36/PCMI/AR/II/2025  MCM InhouseTrf  DARI PUPUK INDONESIA (PERSERO)</t>
  </si>
  <si>
    <t>BUKIT ASAM (PERSERO) TBK  PT - 009 Trf Inw CN  BANK BNI BANDUNG JKT/43/PCMI/AR/II/2025</t>
  </si>
  <si>
    <t xml:space="preserve">ASDP INDONESIA FERRY - 002  Trf Inw CN  BRI PURWAKARTA </t>
  </si>
  <si>
    <t>1242353 0931 Cr many to many  OBManyToManyCr 12423</t>
  </si>
  <si>
    <t>0225SP-0169   OP MCM InhouseTrf  DARI JASA RAHARJA</t>
  </si>
  <si>
    <t xml:space="preserve">202502260000066378  MCM InhouseTrf </t>
  </si>
  <si>
    <t>CSR PT PEGADAIAN (PE - 002 Trf Inw CN  BRI PURWAKARTA UMP SPONSHORSHIP NATAL 2024 (OL)</t>
  </si>
  <si>
    <t xml:space="preserve">Sponsorship Kegiata  MCM InhouseTrf  DARI PELINDO PERSERO </t>
  </si>
  <si>
    <t>PT TASPEN 6100002333 MCM InhouseTrf  DARI TASPEN PUSAT (PERSERO) PT QQ</t>
  </si>
  <si>
    <t xml:space="preserve">20250304BMRIIDJA010O9934885628   </t>
  </si>
  <si>
    <t xml:space="preserve">Pin Buk Mandiri MidP  MCM InhouseTrf  KE PAN CONVINCE MITRA INTERNATIONAL </t>
  </si>
  <si>
    <t xml:space="preserve">NDPBY TJSL-Bazar Na MCM InhouseTrf  DARI PELINDO PERSERO </t>
  </si>
  <si>
    <t xml:space="preserve">PERUM LPPNPI 16317/726  MCM InhouseTrf  DARI LPPNPI </t>
  </si>
  <si>
    <t xml:space="preserve">JM00H2H JSMR32000031392025  MCM InhouseTrf </t>
  </si>
  <si>
    <t xml:space="preserve">CHASIDJX/PT FREEPORT INDONESIA </t>
  </si>
  <si>
    <t xml:space="preserve">Inalum Sponsor Natal KBUMN 2024  MCM InhouseTrf  DARI IFAN ABIYOGA </t>
  </si>
  <si>
    <t xml:space="preserve">PT VALE INDONESIA TBK - 031 Trf Inw CN  CITIBANK NA, JAKARTA </t>
  </si>
  <si>
    <t>CENAIDJA/PAN CONVINCE MITRA INTER Pin Buk BCA Juanda</t>
  </si>
  <si>
    <t xml:space="preserve">20250314BMRIIDJA010O9936218840 </t>
  </si>
  <si>
    <t>PinBuk MandiriMidPlz  MCM InhouseTrf  KE PAN CONVINCE MITRA INTERNATIONAL</t>
  </si>
  <si>
    <t xml:space="preserve">20250314BMRIIDJA010O9936218842  </t>
  </si>
  <si>
    <t>20250317 BNIAIDJA/BAHANA PEMBINAAN USA - 06401007 80002876740099102</t>
  </si>
  <si>
    <t>20250318 BNINIDJA/PT HUTAMA KARYA (PERSERO) 80008828299102</t>
  </si>
  <si>
    <t>PinBuk Mandiri MidPl   MCM InhouseTrf  KE PAN CONVINCE MITRA INTERNATIONAL</t>
  </si>
  <si>
    <t xml:space="preserve">Biaya Sponsorship Pe MCM InhouseTrf  DARI SEMEN INDONESIA </t>
  </si>
  <si>
    <t>AT10/2025/K10786-V  AT10/2025/K10786-V  MCM InhouseTrf  DARI ANEKA TAMBANG</t>
  </si>
  <si>
    <t>BRI HBH Developer SPJ 23Apr         MUHAMMAD UJER AWAL,</t>
  </si>
  <si>
    <t>BRI HBH Developer SPJ 23Apr         FRIDA ACHMADI,</t>
  </si>
  <si>
    <t>BRI HBH Developer SPJ 23-24Apr      DEDI PURWANTO SE,</t>
  </si>
  <si>
    <t>BRI HBH Developer SPJ 23Apr         SUPRIYADI,</t>
  </si>
  <si>
    <t>BRI Ceremony SAR  SPJ1D+Multimedia  ALEXADRUS NULIADY,</t>
  </si>
  <si>
    <t>AR StafLoan Lena  MARLENA NURHASANAH,</t>
  </si>
  <si>
    <t>Overtime April    ADUN SOPANDI,</t>
  </si>
  <si>
    <t>Overtime April    SUPRIYADI,</t>
  </si>
  <si>
    <t>Overtime April    SUKANDA,</t>
  </si>
  <si>
    <t>Overtime April    MUHAMMAD UJER AWAL,</t>
  </si>
  <si>
    <t>BI-FAST CR TRANSFER   DR 200 PAN CONVINCE MITRA,</t>
  </si>
  <si>
    <t>Retained Earning</t>
  </si>
  <si>
    <t>Feb - Mar</t>
  </si>
  <si>
    <t>Apr - May</t>
  </si>
  <si>
    <t>SETORAN TRSF DR 1062255336 Dana PCMI : Retur dana dari bu Frieda atas case "BRI Sponsorship", kronologi ada di email dari pak david tgl 05 Dec 2024</t>
  </si>
  <si>
    <t>PRLGNC2-4192  CONVEX  DWIDAYA NUSANTARA : INV 218/PCMI/AR/X/2024</t>
  </si>
  <si>
    <t>BI-FAST CR TRANSFER   DR 008 REZKY ELMAN PUTRA : INV 244/PCMI/AR/XII/2024</t>
  </si>
  <si>
    <t>BI-FAST CR TRANSFER   DR 008 REZKY ELMAN PUTRA : INV 245/PCMI/AR/XII/2024</t>
  </si>
  <si>
    <t>DEDI TRI HARTANTO : INV 050/PCMI/AR/II/2025</t>
  </si>
  <si>
    <t>BI-FAST CR TRANSFER   DR 008 FEBRIYANTI NASUTIO : INV 047/PCMI/AR/II/2025</t>
  </si>
  <si>
    <t>LLG-MAYBANK INDONEALIA VICTORIA LAUWCENAIDJAXXX : INV 226/PCMI/AR/XI/2024</t>
  </si>
  <si>
    <t>CR 1303/FTSCY/WS95011 ALFIA SASMITA : dana dari telkomsel untuk event Telkomsel Pengadaan Sales Fee Indiehome 2022, akan dibuatkan invoice menunggu PIC create BOQ</t>
  </si>
  <si>
    <t>BI-FAST CR TRANSFER   DR 451 AULIAAYUASYURA : dana dari telkomsel untuk event Telkomsel Delight &amp; Excellent Execution 2025, akan dibuatkan invoice menunggu PIC create BOQ</t>
  </si>
  <si>
    <t xml:space="preserve">Pengembalian lebih @AFR  Maya Roswita : INV 280/PCMI/AR/XII/2024 </t>
  </si>
  <si>
    <t>CR TRANSFER   DR 022 MAULYDIA TRIVANIA : dana dari telkomsel untuk event Telkomsel Leadership Area Sumatera, akan dibuatkan invoice menunggu PIC create BOQ</t>
  </si>
  <si>
    <t>pngemblian sisa meals allwc ICME    CLARA LIA RESTU SA : Pengembalian Sisah meal allowance event ICME, terrecord di Laporan Petty Cash tgl 21 Maret 2025</t>
  </si>
  <si>
    <t>LINKAJA202503211605120001FINTEK KARYA NUSAN : INV 284-070/PCMI/AR/III/2025</t>
  </si>
  <si>
    <t>CR TRANSFER   DR 009 HADI PRASTYA UTAMA : dana dari telkomsel untuk event Telkomsel Mentawai Merdeka Sinyal, akan dibuatkan invoice menunggu PIC create BOQ</t>
  </si>
  <si>
    <t>CR TRANSFER   DR 009 ANITA HERMAWATI : INV 279-73/PCMI/AR/III/2025</t>
  </si>
  <si>
    <t>CR TRANSFER   DR 009 ANITA HERMAWATI : INV 235-72/PCMI/AR/III/2025</t>
  </si>
  <si>
    <t>DWIDAYA           DWIDAYA WORLDWIDE : INV 054/PCMI/AR/II/2025</t>
  </si>
  <si>
    <t>BI-FAST CR TRANSFER   DR 002 TAUFIK RAHMAN : INV 051/PCMI/AR/II/2025</t>
  </si>
  <si>
    <t>TARIKAN PEMINDAHAN TRSF KE 5750270737,</t>
  </si>
  <si>
    <t>BI-FAST CR TRANSFER   DR 008 PAN CONVINCE MITRA,</t>
  </si>
  <si>
    <t>Trimegah TC LombokSPJ 23May         CLARA LIA RESTU SA,</t>
  </si>
  <si>
    <t>Trimegah TC LombokSPJ 23May         ALIF FAREZA,</t>
  </si>
  <si>
    <t>Tsel SalesTownHallSPJ 25May         ADUN SOPANDI,</t>
  </si>
  <si>
    <t>Lunch KyochonKokasAH-FA-MPS 19May   RD HIDIANITJE DRA,</t>
  </si>
  <si>
    <t>Trimegah TC LombokSPY 23May         SUPRIYADI,</t>
  </si>
  <si>
    <t>Trimegah TC LombokApo Handling 23MayPRAJA SAPUTRA S,</t>
  </si>
  <si>
    <t>Salary PCMI May   DAVID HARSAMTO,</t>
  </si>
  <si>
    <t>BI-FAST DB BIAYA TXN  KE 008 GNC               KBI,</t>
  </si>
  <si>
    <t>Equity</t>
  </si>
  <si>
    <t xml:space="preserve">BRI HBH Developer Garden+14 CPiece HARTONO  </t>
  </si>
  <si>
    <t xml:space="preserve">BRI HBH Developer Dok Photo+Video KATHERIN VICENTIA  </t>
  </si>
  <si>
    <t xml:space="preserve">BRI HBH Developer LO Talents HELMY YURI CHANDRA  </t>
  </si>
  <si>
    <t xml:space="preserve">BRI HBH Developer Black Curtain SUPRIYADI  </t>
  </si>
  <si>
    <t xml:space="preserve">BRI HBH Developer 2 LiveCam+Switcher SUTRISNO  </t>
  </si>
  <si>
    <t xml:space="preserve">BRI HBH Developer LO MarcellSiahaan RAKA DRAJAT PUTRA  </t>
  </si>
  <si>
    <t xml:space="preserve">TSel Harmoni Sum BackDrop+Dekor Pkb MAS DERU KURLI  </t>
  </si>
  <si>
    <t xml:space="preserve">TSel Harmoni Sum BackDropHalbil MES DEDDY SOFYAN  </t>
  </si>
  <si>
    <t xml:space="preserve">BRI Ceremony SAR Sign-CueCard-MockU MUHAMMAD ANGGARA D  </t>
  </si>
  <si>
    <t xml:space="preserve">BRI CeremonySAR Gerdening 14Apr HARTONO  </t>
  </si>
  <si>
    <t xml:space="preserve">TrimegahPrestigeBj DP 38 Innova 3D MOGANA KOMODO FANT  </t>
  </si>
  <si>
    <t xml:space="preserve">FEE TELEX OR SIAM COMMERCIAL BA SATHIT KASIKAMPHIB   </t>
  </si>
  <si>
    <t xml:space="preserve">FEE FULL AMT OR SIAM COMMERCIAL BA SATHIT KASIKAMPHIB   </t>
  </si>
  <si>
    <t xml:space="preserve">B2313BRN-May AUTORENT LANCAR SE   </t>
  </si>
  <si>
    <t xml:space="preserve">B1290HFF-May AUTORENT LANCAR SE   </t>
  </si>
  <si>
    <t xml:space="preserve">BRI HBH Developer Sewa lighting MASRUHIN  </t>
  </si>
  <si>
    <t xml:space="preserve">BRI Ceremony SAR Lighting 14Apr MASRUHIN  </t>
  </si>
  <si>
    <t xml:space="preserve">Trimegah TC Lombok Survey P Yanto LOVY EVELYN S MELI  </t>
  </si>
  <si>
    <t xml:space="preserve">KL104533 AUTORENT AUTORENT LANCAR SE  </t>
  </si>
  <si>
    <t xml:space="preserve">Trimegah TC Lombok DP Prod GiliTrawan MOHAMAD AWALUDIN I  </t>
  </si>
  <si>
    <t xml:space="preserve">Trimegah TC Lombok StartKit,LugTag,PB ROHYATUN  </t>
  </si>
  <si>
    <t xml:space="preserve">CA-071 Odhey DEDI PURWANTO SE   </t>
  </si>
  <si>
    <t xml:space="preserve">Med Allowance Biaya Lab Prodia RD HIDIANITJE DRA  </t>
  </si>
  <si>
    <t xml:space="preserve">Med Allowance Beli obat bulanan RD HIDIANITJE DRA  </t>
  </si>
  <si>
    <t xml:space="preserve">BRI HBH Developer LED,TV,Switcher WIDI SURYA BUDIANA  </t>
  </si>
  <si>
    <t xml:space="preserve">Trimegah TC Lombok DP Land Arrgmt SUHAELI  </t>
  </si>
  <si>
    <t xml:space="preserve">CA-72/25 Clara CLARA LIA RESTU SA   </t>
  </si>
  <si>
    <t xml:space="preserve">Trimegah TC Lombok Lunas Produksi GT MOHAMAD AWALUDIN I  </t>
  </si>
  <si>
    <t xml:space="preserve">Trimegah TC Lombok TL 3D + Tips HENDRO PRASETYO WI  </t>
  </si>
  <si>
    <t xml:space="preserve">Himbara KunKerBali DP 70 Delegate Mic ADI SUGIYANTO  </t>
  </si>
  <si>
    <t xml:space="preserve">Trimegah TC Lombok Pick Up Transport NOVA INDRI ASIH  </t>
  </si>
  <si>
    <t xml:space="preserve">FIF Group NMC ACT 100 AmplopUndangan IRANA NOVIANDARI  </t>
  </si>
  <si>
    <t xml:space="preserve">Trimegah TC Lombok TL 3D Tipps 30Pax ARIEL ABEDNEGO WIJ  </t>
  </si>
  <si>
    <t xml:space="preserve">TSel Implement NWW Santika 11Rms27Mei PESONA INDONESIA M  </t>
  </si>
  <si>
    <t xml:space="preserve">Himbara KunkerBajo DP LED &amp; TV RICHART FERNANDO  </t>
  </si>
  <si>
    <t xml:space="preserve">Himbara KunKerBajo DP Prod Htl Meru ROBERTUS BELLARMIN  </t>
  </si>
  <si>
    <t xml:space="preserve">Himbara KunKerBB Lunas TV+LED RICHART FERNANDO  </t>
  </si>
  <si>
    <t>LLG-CIMB NIAGA PT.CENTRATAMA MENA MIPV25-002042 2025 05141829310299</t>
  </si>
  <si>
    <t>Abonemen 052025 CMS PAN CONVINCE MI T</t>
  </si>
  <si>
    <t>KK 320321 AUTOCORP</t>
  </si>
  <si>
    <t xml:space="preserve">00103573271F SAP1901177817 89/PCMI/AR 89/PCMI/AR/V/25 </t>
  </si>
  <si>
    <t>00102425181F SAP1901093048 88/PCMI/AR MSD.PANCONVINCE</t>
  </si>
  <si>
    <t>TSel Securing Target SM1 - 29-30Mei IFT_TO_SENTRAL THETA JAYA</t>
  </si>
  <si>
    <t xml:space="preserve">BFST1220004875566     CMSX:BMRIIDJA 20250528BRINIDJA010O9922562301 </t>
  </si>
  <si>
    <t xml:space="preserve">TRF 00000000005750489666 RD HIDIANITJE D 001900254406 BCA </t>
  </si>
  <si>
    <t>SHL TRF 00000000005750489666 RD HIDIANITJE D 002110380906 BCA</t>
  </si>
  <si>
    <t xml:space="preserve">SHL TRF 00000000005750489666 RD HIDIANITJE D 002071066628 BCA </t>
  </si>
  <si>
    <t xml:space="preserve">SHL TRF 00000000005750489666 RD HIDIANITJE D 001222697427 BCA </t>
  </si>
  <si>
    <t xml:space="preserve">SPM 26/HCSD/25_164/PCMI/AH/V/25 </t>
  </si>
  <si>
    <t xml:space="preserve">booth umkm event natal 2024 MCM InhouseTrf  DARI UJANG SUPRIADI </t>
  </si>
  <si>
    <t xml:space="preserve">Sponsorship MCM InhouseTrf  DARI PELNI </t>
  </si>
  <si>
    <t>20250509BTANIDJA010O0200645512 BTANIDJA/PERUMNAS</t>
  </si>
  <si>
    <t xml:space="preserve">N_Sponsorship Natal 3808470 MCM InhouseTrf  DARI TELKOM </t>
  </si>
  <si>
    <t>Pembelian buah riders Lyodra dan snack kopi teh ruang panitia</t>
  </si>
  <si>
    <t>KBUMN Natal 2024</t>
  </si>
  <si>
    <t>Clara</t>
  </si>
  <si>
    <t>Medical a.n. Yogi Widodo</t>
  </si>
  <si>
    <t>Adun</t>
  </si>
  <si>
    <t xml:space="preserve">Kantong Putih dan Lakban Hitam </t>
  </si>
  <si>
    <t>BTN Booth HUT 75</t>
  </si>
  <si>
    <t>Socket, saklar, las selang</t>
  </si>
  <si>
    <t>ruang bu AH</t>
  </si>
  <si>
    <t>Aqua 9 Galon x @20.000</t>
  </si>
  <si>
    <t xml:space="preserve">Cuci Sajadah jan -feb </t>
  </si>
  <si>
    <t xml:space="preserve">Stella pewangi ruangan </t>
  </si>
  <si>
    <t xml:space="preserve">Lakban Hitam Besar </t>
  </si>
  <si>
    <t>BTN Excellence Award 2025</t>
  </si>
  <si>
    <t>Lakban Kertas Besar</t>
  </si>
  <si>
    <t>Transportasi Rumah - JS Luwansa - Rumah Patricia</t>
  </si>
  <si>
    <t>Transportasi Kantor - Rumah Patricia</t>
  </si>
  <si>
    <t>Shell Network Persada</t>
  </si>
  <si>
    <t>Sewa Motor Maret 2025</t>
  </si>
  <si>
    <t>Bensin Motor Sutarno Bulan Februari 2025</t>
  </si>
  <si>
    <t>Parkir Motor</t>
  </si>
  <si>
    <t>Proposal event RUPST BRI</t>
  </si>
  <si>
    <t>Proposal event Mandiri Berbagi + Safari Ramadhan</t>
  </si>
  <si>
    <t>Pengiriman dokument invoice TIKI ( 7 alamat)</t>
  </si>
  <si>
    <t>Gocar Patricia CGK - Kosan</t>
  </si>
  <si>
    <t>Trimegah Training Camp Lombok</t>
  </si>
  <si>
    <t>Ongkir Lalamove approval totebag dan parkir</t>
  </si>
  <si>
    <t>Telkomsel IPTV Product Sales Incentives Q3 2024</t>
  </si>
  <si>
    <t>Medical a.n. Praja</t>
  </si>
  <si>
    <t>Medical a.n. Anak Praja (Deevycha)</t>
  </si>
  <si>
    <t>Refill Stample Panconvince</t>
  </si>
  <si>
    <t>Print Snapy Revisi Compro</t>
  </si>
  <si>
    <t>Print Snapy Proposal event Mandiri Jogmar</t>
  </si>
  <si>
    <t>Medical a.n. Anak Supriyadi (Reifan)</t>
  </si>
  <si>
    <t>Biaya Tahunan Privy ID Bu AH</t>
  </si>
  <si>
    <t xml:space="preserve">Paperone kertas A4 75 gr 1 Box (5 Rim) </t>
  </si>
  <si>
    <t>Tinta HP Ink 682 Tri Colour (printer bu YY)</t>
  </si>
  <si>
    <t>Tagihan Internet Telkomsel pascabayar AH Bulan Februari 2025</t>
  </si>
  <si>
    <t>Tagihan Internet XL pascabayar AH Bulan Februari 2025</t>
  </si>
  <si>
    <t>USB Sub Splitter Coverter 11 in 1 tipe C (for laptop clara support coretax)</t>
  </si>
  <si>
    <t>Makan Siang Cenny, Lovy di Ayam Taliwang</t>
  </si>
  <si>
    <t xml:space="preserve">Biaya uang parkir inap di bandara </t>
  </si>
  <si>
    <t>Damri Soeta-Rumah Atno</t>
  </si>
  <si>
    <t>Survey Jogja Marathon 2025</t>
  </si>
  <si>
    <t>Makan Malam di bandara YIA - Solaria</t>
  </si>
  <si>
    <t xml:space="preserve">Makan di Bandara Soeta </t>
  </si>
  <si>
    <t>Gocar YIA - Monumen Jogja Kembali</t>
  </si>
  <si>
    <t xml:space="preserve">Grab Rumah Atno - Soeta </t>
  </si>
  <si>
    <t>Refund PV598 Tagihan Internet Telkomsel pascabayar AH Bulan Januari 2025 (bukan trx tagihan pascabayar bu anne, tetapi tagihan PV 586 Kuota inet Praja dan sudah di claim)</t>
  </si>
  <si>
    <t>Ayat Silang</t>
  </si>
  <si>
    <t xml:space="preserve">Aqua Galon </t>
  </si>
  <si>
    <t>Baterai ABC</t>
  </si>
  <si>
    <t>Sabun tangan , kamper, superpel, pewangi ruangan</t>
  </si>
  <si>
    <t>Lakban Hitam Besar dan bening</t>
  </si>
  <si>
    <t>Cuci AC dann isi freon all AC kantor PCMI</t>
  </si>
  <si>
    <t>Kanebo Jumbo</t>
  </si>
  <si>
    <t>Docking Hardisk Orico 6218053-C1 (User Atno)</t>
  </si>
  <si>
    <t>Tagihan Internet Telkomsel pascabayar AH Bulan Desember 2024</t>
  </si>
  <si>
    <t>Reimburse Fuel B1290HFF</t>
  </si>
  <si>
    <t xml:space="preserve">2 pax Makan malam nasi rames dan es teh manis </t>
  </si>
  <si>
    <t>BTN Booth Hut 75</t>
  </si>
  <si>
    <t>2 pax kopi lorong</t>
  </si>
  <si>
    <t>2 pax nasi uduk dan minum</t>
  </si>
  <si>
    <t>4 Lakban dan 1 cutter</t>
  </si>
  <si>
    <t>2 nasi ayam geprek dan kopi</t>
  </si>
  <si>
    <t>Meals Jakarta/ BOQ Duta budget</t>
  </si>
  <si>
    <t>Telkomsel Duta Budget 2025</t>
  </si>
  <si>
    <t>Pengiriman Goodie Bag dari vendor - PCMI</t>
  </si>
  <si>
    <t>Tips Driver</t>
  </si>
  <si>
    <t>Pengiriman Goodie Bag dari PCMI - vendor</t>
  </si>
  <si>
    <t>Penukaran sisa Meal Allowance ICME (30.000 yen x Rp 109)</t>
  </si>
  <si>
    <t>IDX  ICME Tokyo (Sisah uang Meals Allowance)</t>
  </si>
  <si>
    <t xml:space="preserve">Pembayaran add cost Taxi MS Tour/ Elgin </t>
  </si>
  <si>
    <t>Sisa uang meals allowance ICME 2024 Pengembalian ke BCA Harmoni PCMI</t>
  </si>
  <si>
    <t>Pembelian Makanan dan snack Lovy &amp; Lulita</t>
  </si>
  <si>
    <t>Pembelian Snack Lovy &amp; Lulita</t>
  </si>
  <si>
    <t>Gocar CGK - Kosan Patricia</t>
  </si>
  <si>
    <t>Reimburse Biaya Parkir Mobil Alex</t>
  </si>
  <si>
    <t>25 Tiket Masuk ancol dan 6 Tiket parkir mobil Panconvince (reserve by Yogi)</t>
  </si>
  <si>
    <t>DP restaurant Bandar Djakarta untuk Buka Puasa Panconvince 20 Maret 2025 (reserve by Lena)</t>
  </si>
  <si>
    <t>Tagihan Internet XL pascabayar AH Bulan Maret 2025</t>
  </si>
  <si>
    <t>Tagihan Internet Telkomsel pascabayar AH Bulan Maret 2025</t>
  </si>
  <si>
    <t>USB Sub Splitter Coverter 11 in 1 tipe C (for laptop bu YY)</t>
  </si>
  <si>
    <t>Fuel B1290HFF 27 Maret 2025</t>
  </si>
  <si>
    <t>Meals Bu Anne dan Bu Frieda selasa, 08 april 2025</t>
  </si>
  <si>
    <t>AH &amp; FA</t>
  </si>
  <si>
    <t>Bensin Motor Sutarno Bulan Maret 2025</t>
  </si>
  <si>
    <t>Biaya Pengiriman Dokument</t>
  </si>
  <si>
    <t>Medical a.n. Vera (Istri Praja)</t>
  </si>
  <si>
    <t>Medical Sabita (anak Praja)</t>
  </si>
  <si>
    <t>Pembelian LAN Hub untuk Laptop Yogi</t>
  </si>
  <si>
    <t>Aqua Dus 330 ml 5 dus</t>
  </si>
  <si>
    <t>Aqua Dus 330 ml 8 dus</t>
  </si>
  <si>
    <t>Beli Obat Bang Hadi + Biaya admin bank Rp 2.500</t>
  </si>
  <si>
    <t>Telkomsel ANO Forum 2024 (Lampung)</t>
  </si>
  <si>
    <t>Beli kertas HVS</t>
  </si>
  <si>
    <t>Meals Driver Avanza dan Innova</t>
  </si>
  <si>
    <t>Beli paperbag untuk sepatu/gift</t>
  </si>
  <si>
    <t>Tambahan Tipping Innova 26 feb</t>
  </si>
  <si>
    <t>Tambahan Tipping Avanza 26 feb</t>
  </si>
  <si>
    <t>Sisa penukaran uang Bath event Shell bangkok</t>
  </si>
  <si>
    <t>Shell Visit Factory Bangkok 2025</t>
  </si>
  <si>
    <t>Sabun tangan , kamper, superpel, pewangi ruangan, Lakban</t>
  </si>
  <si>
    <t>Bantex, Correction tipe</t>
  </si>
  <si>
    <t>Makan Siang bu anne dan pak david 24 april 2025</t>
  </si>
  <si>
    <t>AH &amp; DH</t>
  </si>
  <si>
    <t>Cuci Sajadah</t>
  </si>
  <si>
    <t>Sewa Motor April 2025</t>
  </si>
  <si>
    <t>Bensin Motor Sutarno Bulan April 2025</t>
  </si>
  <si>
    <t>Obat Bu Anne</t>
  </si>
  <si>
    <t>Telkomsel Implentasi New Ways of Working</t>
  </si>
  <si>
    <t>Snack Meeting 29 April 2025</t>
  </si>
  <si>
    <t>Parkir Valey 29 April 2025</t>
  </si>
  <si>
    <t>001/PCMI/AR/I/2025</t>
  </si>
  <si>
    <t>002/PCMI/AR/I/2025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</si>
  <si>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</si>
  <si>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</si>
  <si>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</si>
  <si>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</si>
  <si>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</si>
  <si>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</si>
  <si>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</si>
  <si>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</si>
  <si>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</si>
  <si>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</si>
  <si>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013/PCMI/AR/II/2025</t>
  </si>
  <si>
    <t>014/PCMI/AR/II/2025</t>
  </si>
  <si>
    <t>015/PCMI/AR/II/2025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</si>
  <si>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</si>
  <si>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</si>
  <si>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</si>
  <si>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</si>
  <si>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</si>
  <si>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</si>
  <si>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</si>
  <si>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</si>
  <si>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</si>
  <si>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</si>
  <si>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</si>
  <si>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</si>
  <si>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</si>
  <si>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</si>
  <si>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</si>
  <si>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</si>
  <si>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</si>
  <si>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</si>
  <si>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</si>
  <si>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</si>
  <si>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</si>
  <si>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</si>
  <si>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</si>
  <si>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</si>
  <si>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</si>
  <si>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</si>
  <si>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</si>
  <si>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</si>
  <si>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</si>
  <si>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046/PCMI/AR/II/2025</t>
  </si>
  <si>
    <t>047/PCMI/AR/II/2025</t>
  </si>
  <si>
    <t>048/PCMI/AR/II/2025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</si>
  <si>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</si>
  <si>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</si>
  <si>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</si>
  <si>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</si>
  <si>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</si>
  <si>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</si>
  <si>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</si>
  <si>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056/PCMI/AR/III/2025</t>
  </si>
  <si>
    <t>057/PCMI/AR/III/2025</t>
  </si>
  <si>
    <t>058/PCMI/AR/III/2025</t>
  </si>
  <si>
    <t>060/PCMI/AR/III/2025</t>
  </si>
  <si>
    <t>061/PCMI/AR/III/2025</t>
  </si>
  <si>
    <t>062/PCMI/AR/III/2025</t>
  </si>
  <si>
    <t>063/PCMI/AR/III/2025</t>
  </si>
  <si>
    <t>064/PCMI/AR/III/2025</t>
  </si>
  <si>
    <t>065/PCMI/AR/III/2025</t>
  </si>
  <si>
    <t>066/PCMI/AR/III/2025</t>
  </si>
  <si>
    <t>067/PCMI/AR/III/2025</t>
  </si>
  <si>
    <t>068/PCMI/AR/III/2025</t>
  </si>
  <si>
    <t>069/PCMI/AR/III/2025</t>
  </si>
  <si>
    <t>070/PCMI/AR/III/2025</t>
  </si>
  <si>
    <t>071/PCMI/AR/III/2025</t>
  </si>
  <si>
    <t>072/PCMI/AR/III/2025</t>
  </si>
  <si>
    <t>073/PCMI/AR/III/2025</t>
  </si>
  <si>
    <t>074/PCMI/AR/III/2025</t>
  </si>
  <si>
    <t>075/PCMI/AR/IV/2025</t>
  </si>
  <si>
    <t>076/PCMI/AR/IV/2025</t>
  </si>
  <si>
    <t>077/PCMI/AR/IV/2025</t>
  </si>
  <si>
    <t>078/PCMI/AR/IV/2025</t>
  </si>
  <si>
    <t>079/PCMI/AR/IV/2025</t>
  </si>
  <si>
    <t>080/PCMI/AR/IV/2025</t>
  </si>
  <si>
    <t>082/PCMI/AR/IV/2025</t>
  </si>
  <si>
    <t>084/PCMI/AR/IV/2025</t>
  </si>
  <si>
    <t>085/PCMI/AR/IV/2025</t>
  </si>
  <si>
    <t>086/PCMI/AR/V/2025</t>
  </si>
  <si>
    <t>087/PCMI/AR/IV/2025</t>
  </si>
  <si>
    <t>088/PCMI/AR/V/2025</t>
  </si>
  <si>
    <t>089/PCMI/AR/V/2025</t>
  </si>
  <si>
    <t>090/PCMI/AR/V/2025</t>
  </si>
  <si>
    <t>091/PCMI/AR/V/2025</t>
  </si>
  <si>
    <t>092/PCMI/AR/V/2025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</si>
  <si>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</si>
  <si>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</si>
  <si>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</si>
  <si>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</si>
  <si>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</si>
  <si>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</si>
  <si>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</si>
  <si>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</si>
  <si>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</si>
  <si>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</si>
  <si>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</si>
  <si>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</si>
  <si>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Pembayaran Kegiatan Ibadah dan Perayaan Natal Kementerian BUMN dan BUMN 2024</t>
  </si>
  <si>
    <t>Pembayaran Booth UMKM event Natal Bersama KBUMN dan BUMN 2024</t>
  </si>
  <si>
    <t>Asuransi Jiwa IFG (IFG Life), PT</t>
  </si>
  <si>
    <t>Aneka Tambang Tbk, PT</t>
  </si>
  <si>
    <t>Perum Pembangunan Perumahan Nasional</t>
  </si>
  <si>
    <t>Timah Tbk, PT</t>
  </si>
  <si>
    <t>Asuransi Kerugian Jasa Raharja, PT</t>
  </si>
  <si>
    <t>Jaminan Kredit Indonesia, PT</t>
  </si>
  <si>
    <t>Asuransi Kredit Indonesia, PT</t>
  </si>
  <si>
    <t>Asuransi Jasa Indonesia, PT</t>
  </si>
  <si>
    <t>Jasa Marga (Persero) Tbk, PT</t>
  </si>
  <si>
    <t>Vale Indonesia Tbk, PT</t>
  </si>
  <si>
    <t>Paket Meeting Network Operations Area Sumatera Forum 2025</t>
  </si>
  <si>
    <t>Sumber Baru Ban, PT</t>
  </si>
  <si>
    <t>Pembelian Tiket SOC-CGK-SOC 19-21Feb 2025 Batik Air Economy Class</t>
  </si>
  <si>
    <t>Prestasi Pelumasindo Unggul, PT</t>
  </si>
  <si>
    <t>Pembelian Tiket BDJ-CGK-BDJ 19-21Feb 2025 Super Jet Airlines Economy Class</t>
  </si>
  <si>
    <t>Shell Indonesia, PT</t>
  </si>
  <si>
    <t>Network Persada 2025</t>
  </si>
  <si>
    <t>BTN Dekorasi HUT 75</t>
  </si>
  <si>
    <t>Pemasangan dan Produksi Dekorasi HUT BTN ke 75 tahun</t>
  </si>
  <si>
    <t>Dwidaya Nusantara Convex PT</t>
  </si>
  <si>
    <t>ANO Sumatera Forum 2025</t>
  </si>
  <si>
    <t>Hariff Daya Tunggal Engineering PT</t>
  </si>
  <si>
    <t>Program Area Network Operations Sumatera Forum 2025</t>
  </si>
  <si>
    <t>Event organizer pengadaan booth activation BTN di Grand Launching BTN Super App (Bale by BTN)</t>
  </si>
  <si>
    <t>Shell Network Persada 2025 RTM</t>
  </si>
  <si>
    <t>Aulia Ayu Asyura</t>
  </si>
  <si>
    <t>Tiket Pelita Air CGK - KNO 17 Maret 2025 inc Resv Seats 3D</t>
  </si>
  <si>
    <t>Telkomsel Polaris Palembang</t>
  </si>
  <si>
    <t>Pengadaan untuk Design Thinking Polaris Sumatera</t>
  </si>
  <si>
    <t>Area Network Operation Forum Sumatera 2025 Golden Tulip Spring Hill Lampung, 24 - 25 Februari 2025</t>
  </si>
  <si>
    <t>Pengadaan Workshop Duta Budget 2025</t>
  </si>
  <si>
    <t>Abhimata Citra Abadi PT</t>
  </si>
  <si>
    <t>Full day package meeting Telkomsel ANO Forum 2025, 24-25 Feb 2025 (1 package) &amp; add Dinner 3 Paxs 2 times</t>
  </si>
  <si>
    <t>BRI Ceremony Penyerahan BN Sar Lv Haji Thn 2025</t>
  </si>
  <si>
    <t>Pembayaran untuk Kegiatan Ceremony Penyerahan Banknotes SAR Living Cost Haji Tahun 2025</t>
  </si>
  <si>
    <t>Ticket Jakarta Lombok Jakarta by Garuda Indonesia dan Batik Air Training Camp Trimegah 2025</t>
  </si>
  <si>
    <t>Ticket Tambahan Jakarta Lombok Jakarta MC dan CSR Training Camp Trimegah 2025</t>
  </si>
  <si>
    <t>Pengadaan Support Operation &amp; Maintenance</t>
  </si>
  <si>
    <t>Pengadaan Support Colocation Dept.</t>
  </si>
  <si>
    <t>Pengadaan Support Costumer Relation Property</t>
  </si>
  <si>
    <t>Land Arrangement 70% Trimegah Training Camp 2025</t>
  </si>
  <si>
    <t>Full day package meeting Telkomsel ANO Forum 2025, 24-26 Feb 2025</t>
  </si>
  <si>
    <t>Ticket Jakarta Lombok Jakarta untuk Suara Kayu - Band Training Camp Trimegah 2025</t>
  </si>
  <si>
    <t>BRI Halal Bihalal Bersama Developer</t>
  </si>
  <si>
    <t>Pembayaran Event Halal BRI Bersama Developer</t>
  </si>
  <si>
    <t>Pembayaran Jasa Pendukung Acara Halal BRI bersama Developer</t>
  </si>
  <si>
    <t>Pelunasan Land Arrangement 30% Trimegah Training Camp 2025</t>
  </si>
  <si>
    <t>Pembayaran event BTN Excellence Award 2025</t>
  </si>
  <si>
    <t>Pembayaran Layanan Live Sreaming event BTN Excellence Award 2025</t>
  </si>
  <si>
    <t>Telkomsel PCM Academy &amp; Meeting Pengamanan Target Q1 2025 Area</t>
  </si>
  <si>
    <t>Pengadaan Sosialisasi PCM Academy &amp; Meeting Pengamanan Target Q1 2025 Region Sumbagsel</t>
  </si>
  <si>
    <t>Pengadaan Sosialisasi PCM Academy &amp; Meeting Pengamanan Target Q1 2025 Sumbagut dan Sumbagteng</t>
  </si>
  <si>
    <t>Pengadaan Sosialisasi PCM Academy &amp; Meeting Target Q1 2025 Area</t>
  </si>
  <si>
    <t>Lunch at Royal Avilla "Olive" for 78 person @Rp 1.025.750 - 25 May // Trimegah Training Camp 2025</t>
  </si>
  <si>
    <t>Lunch at BASK for 80 person @Rp 880.000 - 24 May // Trimegah Training Camp 2025</t>
  </si>
  <si>
    <t>Additional Cost - Suara Kayu // Trimegah Training Camp 2025</t>
  </si>
  <si>
    <t>Trimegah Prestige Bajo</t>
  </si>
  <si>
    <t>Hotel Photographer 4 Rooms 2 Nights Trimegah Prestige Clients Appreciation Trip 2025 - Labuan Bajo</t>
  </si>
  <si>
    <t>Tiket Photographer 8 pax @ Rp. 1.438.100 Trimegah Prestige Clients Appreciation Trip 2025 - Labuan Bajo</t>
  </si>
  <si>
    <t>Tiket MC 3 pax @ Rp. 5.030.480 Trimegah Prestige Clients Appreciation Trip 2025 - Labuan Bajo</t>
  </si>
  <si>
    <t>Tiket Band 5 pax @ Rp. 2.412.360 Trimegah Prestige Clients Appreciation Trip 2025 - Labuan Bajo</t>
  </si>
  <si>
    <t>Telkomsel Gamification Q4 2024</t>
  </si>
  <si>
    <t>Penyediaan Support Gamification Q4 2024</t>
  </si>
  <si>
    <t>Telkomsel Fiberisasi Target Sumatera</t>
  </si>
  <si>
    <t>Pengadaan  IPTV Product Sales Incentives Q3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</si>
  <si>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</si>
  <si>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</si>
  <si>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</si>
  <si>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</si>
  <si>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Pengadaan Support Evaluasi Kinerja Mitra GraPARI TOMO Tahun Pertama</t>
  </si>
  <si>
    <t>Telkomsel Increase Fundamental Service to Improve Sales  Acquisition</t>
  </si>
  <si>
    <t>Pengadaan Support MICE Program Increase Fundamental Service to Improve Sales  Acquisition</t>
  </si>
  <si>
    <t>Telkomsel Piala byU Q2 2025</t>
  </si>
  <si>
    <t>Telkomsel Townhall Network Q2 2025</t>
  </si>
  <si>
    <t>Telkomsel Harmoni Sumatera</t>
  </si>
  <si>
    <t>Biaya Notifikasi</t>
  </si>
  <si>
    <t>Super Indo Pancoran -Pembelian Riders Talent Lyodra, MC Dave, Viky Sianipar</t>
  </si>
  <si>
    <t>Cost of Goods</t>
  </si>
  <si>
    <t>Grandlucky - Pembelian Snack untuk VIP Pocca Tea</t>
  </si>
  <si>
    <t>All Fresh - Pembelian Snack untuk VIP Kacang Poetri dll</t>
  </si>
  <si>
    <t xml:space="preserve">Doubletree Hilton - Pembayaran 10 kmr twin 2 malam utk panitia KBUMN BUMN </t>
  </si>
  <si>
    <t>Grand Mercure Mahacipt - Pembayaran kmr Lyodra 1 Suite dan 5 classic room</t>
  </si>
  <si>
    <t>Hhb 307 Prj - Meals Dinner Panitia 13 pax - GR 19 jan 2024</t>
  </si>
  <si>
    <t>Spbu 34-14413 Kemayoran - Fuel B2313BRN</t>
  </si>
  <si>
    <t>Bea Materai Lunas</t>
  </si>
  <si>
    <t>Garuda Dki Jakarta - Riders Talent Viky GR, Dave dan Snack Ruang Panitia</t>
  </si>
  <si>
    <t>Midi Sc45 Garuda Jakarta Pusat - Riders Talent Viky GR, Dave dan Snack Ruang Panitia</t>
  </si>
  <si>
    <t>Asus Exclusive Store Jakarta Selatan - Pembelian 1 unit Laptop NB  ASUSROG GU605MV +mcafee protection + asuransi (user Atno)</t>
  </si>
  <si>
    <t>Golden Tulip Hotel-Ho Bdr Lampung - DP room hotel group</t>
  </si>
  <si>
    <t>Golden Tulip Hotel-Ho Bdr Lampung - Pelunasan hotel room group</t>
  </si>
  <si>
    <t>Biaya Notifikasi Nov 2024</t>
  </si>
  <si>
    <t>Sate Celup Cinere - Pembelian Lunch Box 42 pax untuk Meeting crew KBUMN Natal 2024</t>
  </si>
  <si>
    <t>Hiex Jiexpo-Ho - Kamar MC Dave Hendrick 1 nite incld late check out jam 2pm</t>
  </si>
  <si>
    <t>Spbu 34-12805 Mbl - Fuel B2313BRN</t>
  </si>
  <si>
    <t>Snapy Tebet - Print Proposal Sponsorship Natal KBUMN 2025</t>
  </si>
  <si>
    <t>Stamp Duty/Biaya Materai</t>
  </si>
  <si>
    <t>Apotek Aji Waras - Konsul doctor &amp; medication</t>
  </si>
  <si>
    <t>Sbux Supomo-Sc1G - Refreshment during interview designer</t>
  </si>
  <si>
    <t>Blau Coffee &amp; Eatery - Survey resto 1 bareng klien</t>
  </si>
  <si>
    <t>Restoran Ombak Laut - Bukti pembayaran lunch bareng klien di resto ombak laut</t>
  </si>
  <si>
    <t>Taman Impian Jaya Ancol - Bukti pembelian tiket masuk Ancol</t>
  </si>
  <si>
    <t>Holland Bakery Caman Bekasi - Pembelian Snack Box (60 box)</t>
  </si>
  <si>
    <t>Restoran Ombak Laut - DP restaurant</t>
  </si>
  <si>
    <t>Doubletree Hilton Jkt - Pembelian kamar untuk Obie &amp; Friend Band</t>
  </si>
  <si>
    <t>Taman Impian Jaya Ancol - Tiket Masuk Ancol ke Ombak Laut Resto (Pembayaran DP)</t>
  </si>
  <si>
    <t>Holland Bakery Kemayoran - 12box Snack untuk Obie &amp; Friend Band</t>
  </si>
  <si>
    <t>Indomaret T55B Caman Boug bekasi - Pembelian minuman refreshment untuk kunjungan ke LOBP Marunda</t>
  </si>
  <si>
    <t>Restoran Ombak Laut - Pelunasan group lunch</t>
  </si>
  <si>
    <t>Grand Elty Krakatoa Lampung - Makan siang panitia (survey lokasi)</t>
  </si>
  <si>
    <t>Mayapada Hospital Jakarta - Emergency incl medication</t>
  </si>
  <si>
    <t>Mayapada Hospital Jakarta - Doctor consultation &amp; Medication</t>
  </si>
  <si>
    <t>Bakmi Gm - Makan Malam Team PCMI, Crew &amp; Team Show Management</t>
  </si>
  <si>
    <t>Hhb 131 Gajah Mada Plz - Makan Siang Team PCMI, Crew &amp; Team Show Management</t>
  </si>
  <si>
    <t>Indomaret - Beli Tambahan Mineral Water 330ml 2 Dos</t>
  </si>
  <si>
    <t>Grand Mercure Mahacipt - Bayar early check in Lyodra 3kmr</t>
  </si>
  <si>
    <t>Sushigan! Sunter Griya - Makan malam all team PCMI dengan Bu Anne</t>
  </si>
  <si>
    <t>Hiex Jiexpo-Ho - Pembayaran 2 extra bed (pat lita clara) dan (cindy dkk) 19-20 Jan 1 malam</t>
  </si>
  <si>
    <t>Tunggal Jaya Elektronik - Pembelian 1 unit Dispenser untuk Ruang Panitia Natal</t>
  </si>
  <si>
    <t>Merch Rendezvous Resta - Makan siang AH, FA, Pat</t>
  </si>
  <si>
    <t>Biaya Notifikasi Dec 2024</t>
  </si>
  <si>
    <t>Garuda Inesia - Block seat CGK-KUL-CGK</t>
  </si>
  <si>
    <t>Snapy Tebet - Print Laporan Kegiatan Natal KBUMN 2024</t>
  </si>
  <si>
    <t>Ftvl - Mr.D.I.Y Plaza - Beli kertas A4 - 2 rim</t>
  </si>
  <si>
    <t>Hhb 532 Pasar Festival - Beli makan malam 22 box</t>
  </si>
  <si>
    <t>Mako &amp; Cake Bakery - Beli snack sore Roti</t>
  </si>
  <si>
    <t>Biaya Notifikasi Jan 2025</t>
  </si>
  <si>
    <t>Solaria - Pembelian makanan crew</t>
  </si>
  <si>
    <t>Snapy Tebet - Print Compro Panconvince</t>
  </si>
  <si>
    <t>Spbu 34-12805 - Fuel B2313BRN</t>
  </si>
  <si>
    <t>Scallywags Resort Gt M Lombok - Ntb Id - Makan malam dengan lulita, lovy, pat , alex, suhaeli</t>
  </si>
  <si>
    <t>Rabbit Jump - Bayar minuman lovy, lulita, pat, alex, suhaeli , istirahat ke 2 bersepeda</t>
  </si>
  <si>
    <t>Gili Teak - Beli minuman cenny, lovy, pat, alex isitrahat 1 bersepeda di gili trawangan</t>
  </si>
  <si>
    <t>Royal Avila - Bayar test food cenny dan lovy di Royal Avilla</t>
  </si>
  <si>
    <t>Cocana Resorts - Bayar sarapan pagi lovy dan cerny di cocana</t>
  </si>
  <si>
    <t>El Bazar Cafe &amp; Restau - Makan malam di El Bazar sharing plate cenny, lovy , pat , alex</t>
  </si>
  <si>
    <t>Panfila Hotel - Hotel 1 malam pat dan alex di Panvila mandalika</t>
  </si>
  <si>
    <t>Mandalika Beach Club M - Makan siang di MBC</t>
  </si>
  <si>
    <t>1S78 Alfamart Arya Ban - Beli cemilan utk di mobil dr senggigi ke mandalika 1,5jam utk cenny dan lovy</t>
  </si>
  <si>
    <t>Annual Membership Fee</t>
  </si>
  <si>
    <t>Spbu 34-12805 Mbl - Fuel B 1290HFF, 6Jan 2025</t>
  </si>
  <si>
    <t>Spbu 34-12805 Mbl - Fuel B 1290HFF, 9Jan 2025</t>
  </si>
  <si>
    <t>Booking.Com - Pembayaran hotel crew utk 2 malam 2 kmr di Hol Inn Express Jiexpo 18-20 Jan</t>
  </si>
  <si>
    <t>Tokopedia</t>
  </si>
  <si>
    <t xml:space="preserve">Payment_Kliring_20250114001278606349 </t>
  </si>
  <si>
    <t>Spbu 31.12802,Mtharyon - Fuel B 2313BRN, 14Jan 2024</t>
  </si>
  <si>
    <t>Tokopedia - Pembelian lilin tangan 1pcs</t>
  </si>
  <si>
    <t>Spbu Pemuda 34 - 13206 - Fuel B 1290HFF, 15Jan 2025</t>
  </si>
  <si>
    <t>Tokopedia - Pembelian lilin gold spiral 5box</t>
  </si>
  <si>
    <t>Mandapa Apotik-Ho - Pembelian Vit C Enervon C, Ester C dan Enervon C Effervescent utk Team PCMI</t>
  </si>
  <si>
    <t>all team PCMI</t>
  </si>
  <si>
    <t>The Harvest - Pembelian 45 cookies kecil untuk refreshment VIP di holding dan hall B3</t>
  </si>
  <si>
    <t>Spbu 34.13809,Cipayung - Fuel B 1290HFF, 17Jan 2025</t>
  </si>
  <si>
    <t>Hotel At Booking.Com Amsterdam - Hotel alex rixky 2 malam (18-20 Jan)</t>
  </si>
  <si>
    <t>Booking.Com Amsterdam - Hotel 2 SM dan 2 PCMI (19-20Jan)</t>
  </si>
  <si>
    <t>Booking.Com Amsterdam - Hotel Cindy DKK 19-20 Jan (1 malam)</t>
  </si>
  <si>
    <t>All Fresh - Pembelian buah untuk talents dan MC Dave</t>
  </si>
  <si>
    <t>All Fresh - Pembelian 70 parcel buah personal dan 5 parcel buah ukuran sedang untuk VIP di holding dan hall B3</t>
  </si>
  <si>
    <t>Spbu Pemuda 34 - 13206 - Fuel B 1290HFF, 22Jan 2025</t>
  </si>
  <si>
    <t xml:space="preserve">Late Charges </t>
  </si>
  <si>
    <t>Zoom.Com 888-799-9666 - Monthly payment panconvince.streaming@gmail.com</t>
  </si>
  <si>
    <t xml:space="preserve">Gojek Recurring Non3Ds </t>
  </si>
  <si>
    <t>AR staff FA, Sudah di lunasi tgl 17 Mar 2025 ke BCA Saharjo total trf Rp 1.165.600,-</t>
  </si>
  <si>
    <t>Spbu 34-16102 - Fuel B 1290HFF, 30Jan 2025</t>
  </si>
  <si>
    <t>Spbu 31.12802,Mtharyon - Fuel B2313BRN</t>
  </si>
  <si>
    <t>Sss Tebet - Makan Siang Team PCMI Farewell Januar, 31Jan 2025</t>
  </si>
  <si>
    <t xml:space="preserve">Bea Materai Lunas </t>
  </si>
  <si>
    <t>Interest &amp; Service Charge Frida</t>
  </si>
  <si>
    <t>Spbu 34.12410,Kr.Tgh-H - Fuel B114NNE</t>
  </si>
  <si>
    <t>Spbu 34-12410 - Fuel B114NNE</t>
  </si>
  <si>
    <t>Late Charges</t>
  </si>
  <si>
    <t>Aji Waras Apotik,Kr.Tg - Pembelian obat</t>
  </si>
  <si>
    <t>Interest &amp; Service Charge CC Anne</t>
  </si>
  <si>
    <t>Tiket.Com - penginapan Vendor Enceng Gondog di Max One Hotel 12 - 21 Jan 2025 an Wiwit Manfaati</t>
  </si>
  <si>
    <t>Tokopedia - Pembelian SSD 2 TB untuk file dokumentasi event (Live Cam , Photo Raw, Video raw, Highlights))</t>
  </si>
  <si>
    <t>Tokopedia - invoice bola golf dummy</t>
  </si>
  <si>
    <t>Tokopedia - invoice sarung tangan golf</t>
  </si>
  <si>
    <t>Traveloka3Ds*1217754582 - Hotel Grand Mercure Kemayoran an talent Vicky Sianipar 19-20 Jan 2024 ( total 4 kamar)</t>
  </si>
  <si>
    <t>Shopee Id - pembelian standing cermin ukuran 45cmx97cm total 12 pcs@Rp.121.700,-</t>
  </si>
  <si>
    <t>Traveloka3Ds-1218097106 - inv. 1218097106 tiket an. Agra</t>
  </si>
  <si>
    <t>Traveloka3Ds-1218108159 - Inv 1218108159 tiket an. Rizal</t>
  </si>
  <si>
    <t>Traveloka3Ds-1218108411 - inv 1218108411 tiket an. Dheni</t>
  </si>
  <si>
    <t>Tiket.Com - Hotel Fave Gatsu 19-22 Jan 2025 an Agra Andhyka Chandra</t>
  </si>
  <si>
    <t>Tiket.Com - Hotel Fave Gatsu 20-23 Jan 2025 an Rizal Nur Andy</t>
  </si>
  <si>
    <t>Tiket.Com - Lion Air KNO CGK 21 Jan 2025 an Zefanya CH Saragih ( Proses refund )</t>
  </si>
  <si>
    <t>Tiket.Com- Lion Air KNO CGK 21 Jan 2025 an Zefanya CH Saragih ( refund )</t>
  </si>
  <si>
    <t>Traveloka3Ds-1219204701 - inv 1219204701 tiket an Rizal</t>
  </si>
  <si>
    <t>Tokopedia - Pembelian tinta printer untuk diruangan Bu AH</t>
  </si>
  <si>
    <t>Interest &amp; Service Charge CC Yogi</t>
  </si>
  <si>
    <t>Spbu 34.12806,Supomo-H - Fuel B 1290HFF, 3Feb 2025</t>
  </si>
  <si>
    <t>Spbu 34.13809,Cipayung  - Fuel B 1290HFF, 6Feb 2025</t>
  </si>
  <si>
    <t xml:space="preserve">Okeshop </t>
  </si>
  <si>
    <t>AR staff FA, Sudah di lunasi tgl 17 Mar 2025 ke BCA Harmoni total trf Rp 13.116.260,-</t>
  </si>
  <si>
    <t>Gojek Recurring Non3Ds - Pembelian Makan Siang Ibu AH, 10Feb 2025</t>
  </si>
  <si>
    <t>Spbu 34-12805 - Fuel B 2313BRN, 10Feb 2025</t>
  </si>
  <si>
    <t>Snapy Tebet - Print Legal Documents PCMI, 10Feb 2025</t>
  </si>
  <si>
    <t>Spbu Pemuda 34-13206 - Fuel B 1290HFF, 13Feb 2025</t>
  </si>
  <si>
    <t>Mandapa Farma - Biaya Medical Frida A, 13Feb 2025</t>
  </si>
  <si>
    <t>Spbu 34.13809 - Fuel B 1290HFF, 17Feb 2025</t>
  </si>
  <si>
    <t>Traveloka3Ds-1228569511 - Pembelian tiket CGK-TKG-CGK (Rizky)</t>
  </si>
  <si>
    <t>Traveloka3Ds-1228537729 - Pembelian tiket CGK-TKG-CGK (Analita, Alex, Yogi)</t>
  </si>
  <si>
    <t>Spbu 34-12805 - Fuel B 2313BRN, 18Feb 2025</t>
  </si>
  <si>
    <t>Gojek Recurring Non3Ds - Transportasi dari kantor ke hotel Double Tree Kemayoran, event Shell Network Persada 2025</t>
  </si>
  <si>
    <t>Spbu 34-16905 - Fuel B 1290HFF, 20Feb 2025</t>
  </si>
  <si>
    <t>Mayapada Hospital Bogor - Pengobatan &amp; Tindakan Frida A (Dokter Spesialis Orthopedi), 25Feb 2025</t>
  </si>
  <si>
    <t>Spbu Pemuda 34 - 13206 - Fuel B 1290HFF, 25Feb 2025</t>
  </si>
  <si>
    <t>Spbu 34-16905 - Fuel B 1290HFF, 27Feb 2025</t>
  </si>
  <si>
    <t xml:space="preserve">Pt Indonesia Air Asia </t>
  </si>
  <si>
    <t>Traveloka3Ds-1224349012 - inv 1224349012 tiket survey tim ke Jogja an. Supriatno</t>
  </si>
  <si>
    <t>Traveloka3Ds-1224883446 - Inv 1224883446 tiket an. Agus</t>
  </si>
  <si>
    <t>Traveloka3Ds-1224904536 - inv 1224904536 tiket an. Erric</t>
  </si>
  <si>
    <t>Traveloka3Ds-1224882239 - inv 1224882239 tiket an. Agus</t>
  </si>
  <si>
    <t>Traveloka3Ds-1224897124 - inv 1224897124 tiket an. Franky</t>
  </si>
  <si>
    <t>Traveloka3Ds-1224897064 - inv 1224897064 tiket an. Guntur</t>
  </si>
  <si>
    <t>Traveloka3Ds-1224912802 - inv 1224912802 tiket an. Ismail</t>
  </si>
  <si>
    <t>Traveloka3Ds-1224912761 - inv 1224912761 tiket an. Anta</t>
  </si>
  <si>
    <t>Spbu 31.10303,Cikini - Fuel B1290HFF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</si>
  <si>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</si>
  <si>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</si>
  <si>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</si>
  <si>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Tokopedia - Pembelian Panahan Hembusan AC ruangan kerja Team event total 2 unit</t>
  </si>
  <si>
    <t>Traveloka3Ds-1227267129 - Inv 1227267129 tiket an. Anta</t>
  </si>
  <si>
    <t>Traveloka3Ds-1227253219 - inv 1227253219 tiket an. M saleh</t>
  </si>
  <si>
    <t>Traveloka3Ds-1227263998 - Inv 1227263998 tiket an. Ismail</t>
  </si>
  <si>
    <t>Tokopedia - Pengadaan 1 unit Samsung Galaxy S25 Samsung Galaxy S25 12/512 GB (1of2) hadiah Best National</t>
  </si>
  <si>
    <t>Finpay*Kcic - inv GA05073667 tiket kereta whoosh an. Johan</t>
  </si>
  <si>
    <t>Traveloka3Ds-1227737896 - inv 1227737896 tiket kereta an. Dedi</t>
  </si>
  <si>
    <t>Tiket.Com- Room &amp; Bfast Hotel Avissa Suites Jakarta 16-19 Feb 2025 an Rizal Nur Andy</t>
  </si>
  <si>
    <t>Garmin Store Pim - Pengadaan Smartwatch Garmin Forerunner 165 3 pcs untuk Best Network</t>
  </si>
  <si>
    <t>Blibli.Com - Pengadaan 6 unit Souvenir TWS Soundcore A20I (6of50)</t>
  </si>
  <si>
    <t>Tokopedia - Pengadaan  Samsung Galaxy Tab A9+ 5G 8/128GB untuk Doorprize</t>
  </si>
  <si>
    <t>Tokopedia - Pengadaan  Souvenir TWS Anker  Soundcore A20i - A3948 42 Pcs ( 50 of 50 )</t>
  </si>
  <si>
    <t xml:space="preserve">Tokopedia </t>
  </si>
  <si>
    <t>Traveloka3Ds-1228099480 - Inv 1228099480 tiket kereta an. M ryan</t>
  </si>
  <si>
    <t>Tokopedia - Pengadaan Doorprize3 Logam Mulia Antam 2 gr Baru RM 2025</t>
  </si>
  <si>
    <t>Tokopedia - Pengadaan Voucher Fluxee total Rp.3.000.000,- untuk doorprice</t>
  </si>
  <si>
    <t>Tokopedia - Pengadaan 5 unit JBL Clip 4 untuk Doorprice</t>
  </si>
  <si>
    <t>Tokopedia - Pengadaan 1 unit Notebook LENOVO IDEAPAD SLIM 3 INTEL CORE I5 12450H untuk Grandprize 1</t>
  </si>
  <si>
    <t>Tokopedia - Pengadaan 1 unit Samsung Galaxy S25 12/512 GB Category Best National- Stockiest (2of2)</t>
  </si>
  <si>
    <t>Lion Air-Ipg - Perubahaan tiket an KHALIDIN</t>
  </si>
  <si>
    <t>Traveloka3Ds-1228666212 - inv 1228666212 tiket an. I Putu</t>
  </si>
  <si>
    <t>Pelita Air-Ipg - pembayaran block seat Pak Yuli</t>
  </si>
  <si>
    <t>Pelita Air-Ipg - inv 000183114 tiket an. Yuli</t>
  </si>
  <si>
    <t>Gojek Recurring Non3Ds - pembelian Meals driver and crew Bus</t>
  </si>
  <si>
    <t>Tiket.Com - Room &amp; Bfast Hotel Neo Tendean Jakarta 21-22 Feb 2025 an Wahyudi Prasetiyo &amp; Kemas</t>
  </si>
  <si>
    <t>Super Air Jet - Excess Bagagge CGK TKG 15 Kg ( seragam dan plakat )</t>
  </si>
  <si>
    <t>Tiket.Com - Hotel Axana Padang 26-28 Feb 2025 an Dony Arlian Nst</t>
  </si>
  <si>
    <t>Telkomsel Safari Ramadhan BOD Aceh - Pekanbaru 2025</t>
  </si>
  <si>
    <t>Traveloka3Ds-1230833308 - inv 1230833308 tiket an. Agus</t>
  </si>
  <si>
    <t>Grand Elty Krakatoa - Meals driver Hiace 6 unit tgl 24 Feb 2025</t>
  </si>
  <si>
    <t>Grand Elty Krakatoa - Pelunasan Dinner total 125 Paxs , Team building 81 paxs dan Snack Team building 81 Paxs</t>
  </si>
  <si>
    <t>Golden Tulip Hotel - Bran Bandar Lampung - Room &amp; Bfast 2 room (24-26 Feb 2025 ) an Agra Andhyka Chandra &amp; Zefanya CH Saragih</t>
  </si>
  <si>
    <t>Gojek Recurring Non3Ds - Gocar Yogi Airport - Rumah 26 Feb 2025</t>
  </si>
  <si>
    <t>Traveloka3Ds-1231965531 - inv 1231965531 tiket an. Erric</t>
  </si>
  <si>
    <t>Garuda Indonesia Web O - inv 5KAQJL tiket an. M Saleh</t>
  </si>
  <si>
    <t>Tiket.Com - Hotel Mercure Gatsu 03- 04 Mar 2025 an Fachrull Rizal</t>
  </si>
  <si>
    <t>Traveloka3Ds-1232415891 - inv 1232415891 tiket an Yuli</t>
  </si>
  <si>
    <t>Traveloka3Ds-1232499373 - inv 1232499373 tiket an. Hendri</t>
  </si>
  <si>
    <t>Tiket.Com - Hotel Grand Mercure Lampung 04-05 Mar 2025 an Fachrul Rizzal</t>
  </si>
  <si>
    <t>Tiket.Com - Hotel Excelton Palembang 05-07 Maret 2025 an Fachrul Rizzal</t>
  </si>
  <si>
    <t>Traveloka3Ds-1232758452 - inv 1232758452 tiket an. Fachrul</t>
  </si>
  <si>
    <t>Indomaret - Pembelian Alat Kebersihan Mobil B 1290HFF, 4Mar 2025</t>
  </si>
  <si>
    <t>Spbu 34-12805 - Fuel B 1290HFF, 4Mar 2025</t>
  </si>
  <si>
    <t>Spbu 34-16905 - Fuel B 1290HFF, 6Mar 2025</t>
  </si>
  <si>
    <t>Spbu 31.12802 - Fuel B 1290HFF, 11Mar 2025</t>
  </si>
  <si>
    <t>Spbu 34-16905 - Fuel B 1290HFF, 13 Mar 2025</t>
  </si>
  <si>
    <t>Spbu 34.13809 - Fuel B 1290 HFF, 20 Mar 2025</t>
  </si>
  <si>
    <t>Spbu 34.13809</t>
  </si>
  <si>
    <t>Spbu 34-12805 - Fuel B114NNE</t>
  </si>
  <si>
    <t>Aji Waras Karang Tengah - Pembelian obat</t>
  </si>
  <si>
    <t>Spbu 34.15425 - Fuel B114NNE</t>
  </si>
  <si>
    <t>Spbu 34.12410 - Fuel B114NNE</t>
  </si>
  <si>
    <t xml:space="preserve">Tiket.Com - Hotel Mercure Gatsu an Fachrul Rizzal 06-07 Maret 2025	</t>
  </si>
  <si>
    <t>Traveloka3Ds-1230833308 - refund inv 1230833308 tiket an. Agus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</si>
  <si>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</si>
  <si>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</si>
  <si>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</si>
  <si>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</si>
  <si>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Traveloka3Ds-1234347561 - inv 1234347561 tiket an. Ari</t>
  </si>
  <si>
    <t>Traveloka3Ds-1234342521 - inv 1234342521 tiket an. Ari tiket refund</t>
  </si>
  <si>
    <t>Tiket.Com</t>
  </si>
  <si>
    <t xml:space="preserve">Tiket.Com - Hotel Santika Premiere Padang 10-11 Maret 2025 an Ari Farizki	</t>
  </si>
  <si>
    <t>Traveloka3Ds-1234641689 - inv 1234641689 tiket an. Ari</t>
  </si>
  <si>
    <t>Traveloka3Ds-1235237028 - Inv 1235237028 tiket an. Nugroho</t>
  </si>
  <si>
    <t>Traveloka3Ds-1235874587 - inv 1235874587 tiket an. Mulya</t>
  </si>
  <si>
    <t>Traveloka3Ds-1235952525 - inv 1235952525 tiket an. Yuli</t>
  </si>
  <si>
    <t>Traveloka3Ds-1236628508 - inv 1236628508 tiket an. Hendri</t>
  </si>
  <si>
    <t>Tiket.Com - Hotel Santika Medan 18-19 Maret 2025 an Bangkit Indra Wicaksana</t>
  </si>
  <si>
    <t>Traveloka3Ds-1236628508 - refund inv 1236628508 tiket an. Hendri</t>
  </si>
  <si>
    <t>Pelita Air-Ipg - inv 000191742 tiket an. Bangkit</t>
  </si>
  <si>
    <t>Pelita Air-Ipg - inv 000191907 tiket an. Hendri</t>
  </si>
  <si>
    <t>Traveloka3Ds-1234641689 - refund inv 1234641689 tiket an. Ari</t>
  </si>
  <si>
    <t>Tiket.Com - Hotel Mercure Gatsu 19-21 Maret 2025 an Fachrul Rizzal</t>
  </si>
  <si>
    <t>Traveloka3Ds-1235874587 - refund inv 1235874587 tiket an. Mulya</t>
  </si>
  <si>
    <t>Traveloka3Ds*1237399199 - inv 1237399199 tiket an. Mulya</t>
  </si>
  <si>
    <t>Traveloka3Ds*1237399254 - inv 1237399254 tiket an. Mulya</t>
  </si>
  <si>
    <t>Pt Indonesia Air Asia Tangerang - inv U4MD2L tiket an. Mulya</t>
  </si>
  <si>
    <t>Artotel Mangkuluhur 1 - Room &amp; Bfast Artotel Hotel Mangkuluhur 20-21 Maret 2025</t>
  </si>
  <si>
    <t>Artotel Mangkuluhur 1 - Hotel Artotel Mangkuluhur Jakarta , 20-21 Maret 2025 an Mulya Budiman dan Dedfriyadi Masta</t>
  </si>
  <si>
    <t>Citilink Mobile Apps - inv T61884 tiket perubahaan an. Mulya</t>
  </si>
  <si>
    <t xml:space="preserve">Tiket.Com </t>
  </si>
  <si>
    <t>Tiket.Com - Hotel Grand Mercure Lampung , 25-27 Mar 2025 an Yuli Haryadi</t>
  </si>
  <si>
    <t>Artotel Mangkul*000034 - Hotel Artotel Mangkuluhur Jakarta upgrade Room to Asty Room , an Mulya Budiman &amp; Dedfriyadi Masta 20-21 Mar 2025</t>
  </si>
  <si>
    <t xml:space="preserve">Tiket.Com - Perubhan Schedule Grand Mercure Lampung 25-26 Mar 2025	</t>
  </si>
  <si>
    <t>Tiket.Com - Hotel Excelton Palembang 24-25 Maret 2025 an Mulya Budiman</t>
  </si>
  <si>
    <t>Tiket.Com - Hotel Grand Mercure Lampung, 25-27 Mar 2025 an Fachrul Rizzal</t>
  </si>
  <si>
    <t>Tiket.Com - Invoice 1 Hotel Mercure Gatsu  2 kamar 24-25 Mar 2025 an Fachrul Rizzal &amp; Mulya Budiman</t>
  </si>
  <si>
    <t>Tiket.Com - Invoice 2 Hotel Mercure Gatsu  2 kamar 24-25 Mar 2025 an Fachrul Rizzal &amp; Mulya Budiman</t>
  </si>
  <si>
    <t>Tiket.Com - Hotel Batiqa Lampung 25-27 Maret 2025 an Bachtiar Rifai &amp; Aditya Jaya</t>
  </si>
  <si>
    <t>Tiket.Com - hotel Batiqa Lampung 25 -27 Mar 2025 an Budi Ramizon &amp; Aziz Pratam</t>
  </si>
  <si>
    <t>Pelita Air-Ipg - inv 000193323 tiket an. Mulya</t>
  </si>
  <si>
    <t>Traveloka3Ds*1237399199 - refund inv 1237399199 tiket an. Mulya</t>
  </si>
  <si>
    <t>Tiket.Com - Hotel Grand Mercure Lampung 26-27 Mar 2025 an Mulya Budiman</t>
  </si>
  <si>
    <t>Pelita Air-Ipg - inv 000194285 tiket an. Yuli</t>
  </si>
  <si>
    <t xml:space="preserve">UBP602123998028000008988890000030956 </t>
  </si>
  <si>
    <t>UBP602123998028000008988890000030956 : BPJS Kesehatan Feb dan Mar</t>
  </si>
  <si>
    <t>Marlena</t>
  </si>
  <si>
    <t>Return loan - luna s RD HIDIANITJE DRA : BCA Juanda 6-Aug</t>
  </si>
  <si>
    <t>Apple store SIN - AH RD HIDIANITJE DRA : NCB 2024</t>
  </si>
  <si>
    <t>Traveloka tix JKTS IN AH RD HIDIANITJE DRA  : NCB 2024</t>
  </si>
  <si>
    <t>Kenjiro - AH RD HIDIANITJE DRA  : NCB 2024</t>
  </si>
  <si>
    <t>Aji waras Apotik - AH RD HIDIANITJE DRA  : NCB 2024</t>
  </si>
  <si>
    <t>IDM QRIS LIVIN - A H RD HIDIANITJE DRA  : NCB 2024</t>
  </si>
  <si>
    <t>DAVID HARSAMTO,</t>
  </si>
  <si>
    <t>BI-FAST CR TRANSFER   DR 008 LULITA,</t>
  </si>
  <si>
    <t>Pulsa Telp Apr-JunFRIDA ACHMADI,</t>
  </si>
  <si>
    <t>Himbara KunKer BB SPJ 29-30 May     FRIDA ACHMADI,</t>
  </si>
  <si>
    <t>TSel SalesTownHallSPJ 25-26 May     DEDI PURWANTO SE,</t>
  </si>
  <si>
    <t>TSel SalesTownHallSPJ 25-26 May     CLARA LIA RESTU SA,</t>
  </si>
  <si>
    <t>TSel Implement NWWSPJ 28-April      YOGI PURWO WIDODO,</t>
  </si>
  <si>
    <t>AR StafLoan Praja Lebih Potong 1X   PRAJA SAPUTRA S,</t>
  </si>
  <si>
    <t>AR StaffLoan Ujer Lebih Potong 1X   MUHAMMAD UJER AWAL,</t>
  </si>
  <si>
    <t>TSel SalesTownHallSPJ 25-26May      SUPRIYADI,</t>
  </si>
  <si>
    <t>Overtime May      ADUN SOPANDI,</t>
  </si>
  <si>
    <t>Overtime May      SUPRIYADI,</t>
  </si>
  <si>
    <t>Overtime May      SUKANDA,</t>
  </si>
  <si>
    <t>Overtime May      MUHAMMAD UJER AWAL,</t>
  </si>
  <si>
    <t>TSel SalesTownHallSPJ 25-26 May     YOGI PURWO WIDODO,</t>
  </si>
  <si>
    <t>BRI Journalist BC SPJ 12-14Jun 3D   DEDI PURWANTO SE,</t>
  </si>
  <si>
    <t>BRI Journalist BC SPJ 13-14 Jun     MUHAMMAD UJER AWAL,</t>
  </si>
  <si>
    <t>BRI Journalist BC SPJ2D 13-14Jun    FRIDA ACHMADI,</t>
  </si>
  <si>
    <t>Trimegah PrestigeBSPJ 3D + Meals    ANALITA YULISTYA C,</t>
  </si>
  <si>
    <t>BRI Journalist BC SPJ 2D 13-14Jun   M RIZKY AULIA,</t>
  </si>
  <si>
    <t>Trimegah TC LombokSPJ 4D + Meals    M RIZKY AULIA,</t>
  </si>
  <si>
    <t>BRI Journalist BC SPJ 3D 12-14Jun   MUHAMMAD FADLI AKB,</t>
  </si>
  <si>
    <t>Himbara KunKer BB SPJ 3D + MM Oprt  ALEXADRUS NULIADY,</t>
  </si>
  <si>
    <t>Himbara KunKer BB SPJ 3D + meals    ANALITA YULISTYA C,</t>
  </si>
  <si>
    <t>Trimegah TC LombokSPJ 4D + Meals    ANALITA YULISTYA C,</t>
  </si>
  <si>
    <t>Himbara KunKer BB SPJ 3D + Meals    MARIA PATRICIA SUG,</t>
  </si>
  <si>
    <t>F1138 ABU Juni    FRIDA ACHMADI,</t>
  </si>
  <si>
    <t>NY NURLAILA HUTABA,</t>
  </si>
  <si>
    <t>Sabic Broadcast VMSPJ 17Jun 1D      ALIF FAREZA,</t>
  </si>
  <si>
    <t>Sabic Broadcast VMSPJ 1D 17Jun      MARIA PATRICIA SUG,</t>
  </si>
  <si>
    <t>Salary PCMI Jun   DAVID HARSAMTO,</t>
  </si>
  <si>
    <t>BI-FAST CR TRANSFER   DR 009 YULI HARYADI,</t>
  </si>
  <si>
    <t xml:space="preserve">TSel SalesTownHall PIC Prod+Load 2D R DINAR KUSUMAYANT  </t>
  </si>
  <si>
    <t xml:space="preserve">HimbaraKunKerBB Lunas Partisi R8 DWI ASIH PRIYANTI  </t>
  </si>
  <si>
    <t xml:space="preserve">HimbaraKunKerBB Lunas Produksi ROBERTUS BELLARMIN  </t>
  </si>
  <si>
    <t xml:space="preserve">Himbara KunKerBB Lunas 63Mic Deleg ADI SUGIYANTO  </t>
  </si>
  <si>
    <t xml:space="preserve">TSel SalesTownHall CrewLog Komeng 2D MOCH SUPRIYADI  </t>
  </si>
  <si>
    <t xml:space="preserve">Bunga Papan HUT TSel MUH NURHIDAYAT TAU  </t>
  </si>
  <si>
    <t xml:space="preserve">TSel SaleTownHall Crew Runner 2D MOH SUPRIYATNA  </t>
  </si>
  <si>
    <t xml:space="preserve">IGD RS Binawaluyo RD HIDIANITJE DRA   </t>
  </si>
  <si>
    <t xml:space="preserve">TSel Orbit HH Q4 Passport CS Grapar FITRIANI  </t>
  </si>
  <si>
    <t xml:space="preserve">CA-074/25 Frieda FRIDA ACHMADI   </t>
  </si>
  <si>
    <t xml:space="preserve">CA-073/25 Frieda FRIDA ACHMADI   </t>
  </si>
  <si>
    <t xml:space="preserve">TELKOM DIVRE2 02183700872     06 PAN CONVINCE MITRA   </t>
  </si>
  <si>
    <t xml:space="preserve">TELKOM DIVRE2 02183700923     06 PAN CONVINCE MITRA   </t>
  </si>
  <si>
    <t xml:space="preserve">TELKOM DIVRE2 02183700967     06 PAN CONVINCE MITRA   </t>
  </si>
  <si>
    <t xml:space="preserve">TELKOM DIVRE2 02183700926     06 PAN CONVINCE MITRA   </t>
  </si>
  <si>
    <t xml:space="preserve">TELKOM DIVRE2 02183700953     06 PAN CONVINCE MITRA   </t>
  </si>
  <si>
    <t xml:space="preserve">TELKOM DIVRE2 02183700854     06 PAN CONVINCE MITRA   </t>
  </si>
  <si>
    <t xml:space="preserve">TELKOM DIVRE2 02183700934     06 PAN CONVINCE MITRA   </t>
  </si>
  <si>
    <t xml:space="preserve">Trimegah TC Lombok Reimb Hotel LULITA  </t>
  </si>
  <si>
    <t xml:space="preserve">Himbara KunKer BJ Add Mixer LED RICHART FERNANDO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</si>
  <si>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</si>
  <si>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</si>
  <si>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</si>
  <si>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Konsul+Obat AH RD HIDIANITJE DRA   </t>
  </si>
  <si>
    <t xml:space="preserve">CA-072/25 Clara CLARA LIA RESTU SA   </t>
  </si>
  <si>
    <t xml:space="preserve">BRI Jurnalis BC MC Ronny Urban RONI BUDIMAN  </t>
  </si>
  <si>
    <t xml:space="preserve">Himbara KunKer BB PIC Produksi 3D AHMAD WIDYA NUGRAH  </t>
  </si>
  <si>
    <t xml:space="preserve">Himbara KunKer BB Show D 29May TEUKU DONNYA SYAHP  </t>
  </si>
  <si>
    <t xml:space="preserve">CA-77/25 Yogi YOGI PURWO WIDODO   </t>
  </si>
  <si>
    <t xml:space="preserve">CA-76/25 Rizky M RIZKY AULIA   </t>
  </si>
  <si>
    <t xml:space="preserve">Himbara KunKer BB Cash Arie 12Jun CLARA LIA RESTU SA  </t>
  </si>
  <si>
    <t xml:space="preserve">BRI Jurnalist BC Sounds+BandSet SYARIFUDDIN SIREGA  </t>
  </si>
  <si>
    <t xml:space="preserve">BRI Jurnalist BC HomeBandVimalla DICKY APRILANI  </t>
  </si>
  <si>
    <t xml:space="preserve">lap CA 077 Yogi YOGI PURWO WIDODO   </t>
  </si>
  <si>
    <t xml:space="preserve">Refund Santika Bkt kelebihan pemby PESONA INDONESIA M  </t>
  </si>
  <si>
    <t xml:space="preserve">BRI Journalist BC Sup Prod+Runner R DINAR KUSUMAYANT  </t>
  </si>
  <si>
    <t xml:space="preserve">BRI Journalist BC SupProd+Runner MOCH SUPRIYADI  </t>
  </si>
  <si>
    <t xml:space="preserve">BRI Journalist BC CrewLog 13-14Jun MUHAMAD IYAN SURYA  </t>
  </si>
  <si>
    <t xml:space="preserve">BRI Journalist BC CoordLog 12-14Jun MOH SUPRIYATNA  </t>
  </si>
  <si>
    <t xml:space="preserve">BRI Journalist BC LO Bus 13-14Jun BAYU BAGUSURAHMAT  </t>
  </si>
  <si>
    <t xml:space="preserve">BRI Journalist BC LO Bus 13-14Jun RAKA DRAJAT PUTRA  </t>
  </si>
  <si>
    <t xml:space="preserve">BRI Journalist BC RB,Spanduk,Dll YOSRIZON  </t>
  </si>
  <si>
    <t xml:space="preserve">TSel IncreaseFSISA Innova RB Mksr 2D CITRA MAHARANI TRA  </t>
  </si>
  <si>
    <t xml:space="preserve">BRI Journalist BC Lighting,GardenDll ANDRIS JULIA RISWA  </t>
  </si>
  <si>
    <t xml:space="preserve">Trimegah TC Lombok Lunas LandArgmt SUHAELI  </t>
  </si>
  <si>
    <t xml:space="preserve">BRI Journalist BC AirBnB Crew 2N HERI HERMAWAN  </t>
  </si>
  <si>
    <t xml:space="preserve">LLG-CIMB NIAGA PT.PROFESIONAL TEL ayment LPP26-20250 617-PAN CONVINCE M 250618001334468861  </t>
  </si>
  <si>
    <t xml:space="preserve">Trimegah PrestigeB Souvenirs ROHYATUN  </t>
  </si>
  <si>
    <t xml:space="preserve">Himbara KunKerBB DP 75% Partisi R8 RD HIDIANITJE DRA  </t>
  </si>
  <si>
    <t xml:space="preserve">BRI Journalist BC Team Show Mgt TEUKU DONNYA SYAHP  </t>
  </si>
  <si>
    <t xml:space="preserve">BRI Journalist BC Stage Crew CSR AHMAD WIDYA NUGRAH  </t>
  </si>
  <si>
    <t xml:space="preserve">BRI Journalist BC Dokumentasi Video KATHERIN VICENTIA  </t>
  </si>
  <si>
    <t xml:space="preserve">TSel Fin SOP Full 8Rms FullBoard CAPITAL GRAHA INDO  </t>
  </si>
  <si>
    <t xml:space="preserve">CA-079/25 Patrice MARIA PATRICIA SUG   </t>
  </si>
  <si>
    <t xml:space="preserve">KSEI SeminarEmiten Prod GoodieBags FERDI GUNAWAN  </t>
  </si>
  <si>
    <t>04002500048710035 - PT SHELL INDONESIA12206</t>
  </si>
  <si>
    <t xml:space="preserve">TSel FaberisasiTarSu04532  BNINIDJA/HADI PRASTYA UTAMA </t>
  </si>
  <si>
    <t xml:space="preserve">20250508BMRIIDJA010O9932140271  </t>
  </si>
  <si>
    <t xml:space="preserve">TSel Harmoni Sum    04787   MAJELIS TELKOMSEL TAQWA R SUMBA </t>
  </si>
  <si>
    <t xml:space="preserve">TSel ANOForumLampung 04677  Trf  KE PANTRAVEL </t>
  </si>
  <si>
    <t xml:space="preserve">20250508BMRIIDJA010O9932140273  </t>
  </si>
  <si>
    <t xml:space="preserve">TSel Polaris PLM    04546   HADI PRASTYA UTAMA </t>
  </si>
  <si>
    <t xml:space="preserve">TSel EventKnowFest   04790  Trf  KE LINGKARAN EDUKASI KREATIF </t>
  </si>
  <si>
    <t xml:space="preserve">20250508BMRIIDJA010O9932140275  </t>
  </si>
  <si>
    <t xml:space="preserve">TSel IncreaseFundSvc04785  AGUS NUGRAHA </t>
  </si>
  <si>
    <t xml:space="preserve">20250508BMRIIDJA010O9932140277 </t>
  </si>
  <si>
    <t xml:space="preserve">TSel Secure RAFI 25  04558  Trf  KE MAYA ROSWITA </t>
  </si>
  <si>
    <t xml:space="preserve">TSel ANOForumLampung04609  HADI PRASTYA UTAMA </t>
  </si>
  <si>
    <t xml:space="preserve">Trimegah TC Lombok   04708   Trf  KE PANTRAVEL </t>
  </si>
  <si>
    <t xml:space="preserve">20250508BMRIIDJA010O9932140280  </t>
  </si>
  <si>
    <t xml:space="preserve">TSel DelightExcellen04659  AULIA AYU ASYURA </t>
  </si>
  <si>
    <t xml:space="preserve">20250508BMRIIDJA010O9932140282  </t>
  </si>
  <si>
    <t xml:space="preserve">Trimegah TC Lombok   04791  Trf  KE PANTRAVEL </t>
  </si>
  <si>
    <t xml:space="preserve">Tsel SafariRamadaBOD04559   I PUTU EKA UDAYANA RUDITA,ST </t>
  </si>
  <si>
    <t xml:space="preserve">20250508BMRIIDJA010O9932140283  </t>
  </si>
  <si>
    <t xml:space="preserve">TSel EventKnowFest   04789 Trf  KE LINGKARAN EDUKASI KREATIF </t>
  </si>
  <si>
    <t>TSel Harmoni Sum    04728  AULIA AYU ASYURA</t>
  </si>
  <si>
    <t xml:space="preserve">20250508BMRIIDJA010O9932140284   </t>
  </si>
  <si>
    <t xml:space="preserve">TSel ANOForumLampung 04705   Trf  KE PANTRAVEL </t>
  </si>
  <si>
    <t xml:space="preserve">KBUMN Natal 24       04792  Trf  KE JASA TIRTA LUHUR </t>
  </si>
  <si>
    <t xml:space="preserve">Tsel Townhall NW Q2  04730  Trf  KE PANTRAVEL </t>
  </si>
  <si>
    <t xml:space="preserve">TSel Harmoni Sum    04685   AULIA AYU ASYURA </t>
  </si>
  <si>
    <t xml:space="preserve">20250508BMRIIDJA010O9932144228   </t>
  </si>
  <si>
    <t xml:space="preserve">Pin Buk BCA Juanda    PAN CONVINCE MITRA INTER </t>
  </si>
  <si>
    <t xml:space="preserve">20250508BMRIIDJA010O9932177547  </t>
  </si>
  <si>
    <t xml:space="preserve">Pin Buk BCA Juanda PAN CONVINCE MITRA INTER </t>
  </si>
  <si>
    <t xml:space="preserve">20250508BMRIIDJA010O9932185414  </t>
  </si>
  <si>
    <t xml:space="preserve">TSel Harmoni Sum    04711   BESTAR SUMATERA </t>
  </si>
  <si>
    <t xml:space="preserve">20250508BMRIIDJA010O9932185416 </t>
  </si>
  <si>
    <t xml:space="preserve">SABIC ASIA PACIFIC IND REP OFF - 031 </t>
  </si>
  <si>
    <t xml:space="preserve">TSel Mkt Valid BP Q2 04821  Trf  KE BUKIT MULTI PROPERTI </t>
  </si>
  <si>
    <t xml:space="preserve">Trimegah TC Lombok  04817  YANTO </t>
  </si>
  <si>
    <t xml:space="preserve">20250514BMRIIDJA010O9932778017  </t>
  </si>
  <si>
    <t xml:space="preserve">DBS VisaWhite JT6May  DBSBIDJA/DAVID HARSAMTO </t>
  </si>
  <si>
    <t xml:space="preserve">20250514BMRIIDJA010O9932798982  </t>
  </si>
  <si>
    <t xml:space="preserve">Trimegah TC Lombok   04766   Trf  KE PANTRAVEL </t>
  </si>
  <si>
    <t xml:space="preserve">TSel TownHall NW Q2  04779  Trf  KE PANTRAVEL </t>
  </si>
  <si>
    <t>Trimegah Prestige Bj 04795  Trf  KE PANTRAVEL</t>
  </si>
  <si>
    <t xml:space="preserve">Trimegah TC Lombok   04783  Trf  KE PANTRAVEL </t>
  </si>
  <si>
    <t xml:space="preserve">Trimegah Prestige Bj 04748  Trf  KE PANTRAVEL </t>
  </si>
  <si>
    <t xml:space="preserve">Trimegah TC Lombok   04860  Trf  KE GUNAWAN </t>
  </si>
  <si>
    <t>TRIMEGAH SEKURITAS  Trf  DARI TRIMEGAH SEKURITAS INDONESIA</t>
  </si>
  <si>
    <t>Top Up UOB Master  BBIJIDJA/DAVID HARSAMTO</t>
  </si>
  <si>
    <t xml:space="preserve">20250527BMRIIDJA010O9934257103 </t>
  </si>
  <si>
    <t xml:space="preserve">20250527BMRIIDJA010O9934304928  </t>
  </si>
  <si>
    <t xml:space="preserve">20250527BMRIIDJA010O9934304930 </t>
  </si>
  <si>
    <t>Pin Buk BCA Sahardjo  CENAIDJA/RD HIDIANITJE DRA</t>
  </si>
  <si>
    <t xml:space="preserve">20250527BMRIIDJA010O9934327205  </t>
  </si>
  <si>
    <t xml:space="preserve">20250527BMRIIDJA010O9934327210  </t>
  </si>
  <si>
    <t>Listrik Mei  04889  Trf  KE PANTRAVEL</t>
  </si>
  <si>
    <t xml:space="preserve">Himbara KunKerBali  04923  BBBAIDJA/PT KATAMARAN SEJAHTERA ABADI </t>
  </si>
  <si>
    <t xml:space="preserve">20250527BMRIIDJA010O9934360793  </t>
  </si>
  <si>
    <t>Trimegah TC Lombok   04881  Trf  KE TITIAN JAYA</t>
  </si>
  <si>
    <t xml:space="preserve">Salary PCMI May   CENAIDJA/DAVID HARSAMTO </t>
  </si>
  <si>
    <t xml:space="preserve">20250528BMRIIDJA010O9934420729   </t>
  </si>
  <si>
    <t xml:space="preserve">20250528BMRIIDJA010O9934447797 </t>
  </si>
  <si>
    <t xml:space="preserve">Pin Buk BCA Sho  CENAIDJA/RD HIDIANITJE DRA </t>
  </si>
  <si>
    <t xml:space="preserve">20250528BMRIIDJA010O9934450935 </t>
  </si>
  <si>
    <t xml:space="preserve">TSel SalesTownHall  04927  BNINIDJA/JOHN APRYANTO </t>
  </si>
  <si>
    <t xml:space="preserve">20250528BMRIIDJA010O9934453860 </t>
  </si>
  <si>
    <t>20250528BRINIDJA010O9922562301  BRINIDJA/PAN CONVINCE MITRA I</t>
  </si>
  <si>
    <t xml:space="preserve">Top Up DBS Visa  DBSBIDJA/DAVID HARSAMTO </t>
  </si>
  <si>
    <t xml:space="preserve">20250528BMRIIDJA010O9934553778  </t>
  </si>
  <si>
    <t xml:space="preserve">DBS VisaWhite JT4Jun  DBSBIDJA/DAVID HARSAMTO </t>
  </si>
  <si>
    <t xml:space="preserve">20250603BMRIIDJA010O9935217971 </t>
  </si>
  <si>
    <t>UOB Master JT-5Jun  BBIJIDJA/DAVID HARSAMTO</t>
  </si>
  <si>
    <t xml:space="preserve">20250603BMRIIDJA010O9935217972 </t>
  </si>
  <si>
    <t xml:space="preserve">PT TELEKOMUNIKASI SELULAR - 031      </t>
  </si>
  <si>
    <t xml:space="preserve">TSel IncreaseFundSvc 04833 Trf  KE PANTRAVEL </t>
  </si>
  <si>
    <t xml:space="preserve">TSel Implement NWW  04804    BSMDIDJA/AULIA AYU ASYURA </t>
  </si>
  <si>
    <t xml:space="preserve">20250604BMRIIDJA010O9935417202  </t>
  </si>
  <si>
    <t>TSel Safari Ramadan 04825  BNINIDJA/HADI PRASTYA UTAMA</t>
  </si>
  <si>
    <t xml:space="preserve">Trimegah Prestige Bj 04842 Trf  KE PANTRAVEL </t>
  </si>
  <si>
    <t xml:space="preserve">20250604BMRIIDJA010O9935417204  </t>
  </si>
  <si>
    <t xml:space="preserve">TSel Implement NWW  04788  BSMDIDJA/AULIA AYU ASYURA </t>
  </si>
  <si>
    <t xml:space="preserve">20250604BMRIIDJA010O9935417207 </t>
  </si>
  <si>
    <t xml:space="preserve">TSel Mkt Valid BP Q2 04823  Trf  KE PANTRAVEL </t>
  </si>
  <si>
    <t xml:space="preserve">FIF Group NMC ACT   04955  BUSTIDJ1/CHELSY </t>
  </si>
  <si>
    <t xml:space="preserve">20250604BMRIIDJA010O9935417209  </t>
  </si>
  <si>
    <t>Trimegah TC Lombok   04836  Trf  KE PANTRAVEL</t>
  </si>
  <si>
    <t xml:space="preserve">TSel RAN Nas Q4     04826 BNINIDJA/HADI PRASTYA UTAMA </t>
  </si>
  <si>
    <t xml:space="preserve">20250604BMRIIDJA010O9935417210  </t>
  </si>
  <si>
    <t xml:space="preserve">TSel Mkt Valid BP Q2 04855 Trf  KE PANTRAVEL </t>
  </si>
  <si>
    <t xml:space="preserve">TSel Harmoni Sum    04743   BSMDIDJA/AULIA AYU ASYURA </t>
  </si>
  <si>
    <t xml:space="preserve">20250604BMRIIDJA010O9935417214  </t>
  </si>
  <si>
    <t xml:space="preserve">TSel Mkt Valid BP Q2 04837  Trf  KE PANTRAVEL </t>
  </si>
  <si>
    <t>TSel IncreaseFundSvc04784     BDINIDJA/RR GETHA FETY DIANAR</t>
  </si>
  <si>
    <t xml:space="preserve">20250604BMRIIDJA010O9935417215 </t>
  </si>
  <si>
    <t xml:space="preserve">Trimegah TC Lombok   04838  Trf  KE PANTRAVEL </t>
  </si>
  <si>
    <t xml:space="preserve">TSel Harmoni Sum     04807  Trf  KE YURIANDA SAPUTRA PANE </t>
  </si>
  <si>
    <t xml:space="preserve">TSel Mkt Valid BP Q2 04834  Trf  KE PANTRAVEL </t>
  </si>
  <si>
    <t>TRIMEGAH SEKURITAS   Trf  DARI TRIMEGAH SEKURITAS INDONESIA</t>
  </si>
  <si>
    <t>UBP602123998028000008988890000030956</t>
  </si>
  <si>
    <t xml:space="preserve">TSel Implement NWW  04948  BSMDIDJA/AULIA AYU ASYURA </t>
  </si>
  <si>
    <t>TSel YouthBattleSVMC 04857 Trf  KE EKA KUMALASARI</t>
  </si>
  <si>
    <t xml:space="preserve">20250610BMRIIDJA010O9936049594   </t>
  </si>
  <si>
    <t>TSel Implemet NWW   04879   BSMDIDJA/AULIA AYU ASYURA</t>
  </si>
  <si>
    <t xml:space="preserve">20250610BMRIIDJA010O9936049596 </t>
  </si>
  <si>
    <t xml:space="preserve">Himbara KunKer BB    04929  Trf  KE PANTRAVEL </t>
  </si>
  <si>
    <t xml:space="preserve">SABIC ASIA PACIFIC IND REP OFF - 031  </t>
  </si>
  <si>
    <t xml:space="preserve">TSel SalesTownHall   04920 Trf  KE PANTRAVEL </t>
  </si>
  <si>
    <t>TSel Piala byU Q2   04985  BNINIDJA/ZENY THAHIRA KRISMA SARI</t>
  </si>
  <si>
    <t xml:space="preserve">20250612BMRIIDJA010O9936354463   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</si>
  <si>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</si>
  <si>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</si>
  <si>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</si>
  <si>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Himbara KunKer BB    05056 Trf  KE GNC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</si>
  <si>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</si>
  <si>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</si>
  <si>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</si>
  <si>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Trimegah TC Lombok   04874 Trf  KE PANTRAVEL </t>
  </si>
  <si>
    <t xml:space="preserve">TSel Implement NWW   04883 Trf  KE PANTRAVEL </t>
  </si>
  <si>
    <t xml:space="preserve">Trimegah TC Lombok   04882  Trf  KE PANTRAVEL </t>
  </si>
  <si>
    <t>TSel SalesTownHall   04928   Trf  KE PANTRAVEL</t>
  </si>
  <si>
    <t xml:space="preserve">20250612BMRIIDJA010O9936355065  </t>
  </si>
  <si>
    <t>UOB Master JT-6May   BBIJIDJA/DAVID HARSAMTO</t>
  </si>
  <si>
    <t>20250614BMRIIDJA010O9936577042</t>
  </si>
  <si>
    <t xml:space="preserve">Mandiri Visa JT17Jun   Trf  KE DAVID HARSAMTO </t>
  </si>
  <si>
    <t xml:space="preserve">Mandiri Visa JT18May Trf  KE DAVID HARSAMTO </t>
  </si>
  <si>
    <t xml:space="preserve">20250618BMRIIDJA010O9936916177  </t>
  </si>
  <si>
    <t xml:space="preserve">TSel HUT 5G Batam   05062  BNINIDJA/KINARYA SELARAS PIRANTI </t>
  </si>
  <si>
    <t xml:space="preserve">20250618BMRIIDJA010O9936916603  </t>
  </si>
  <si>
    <t xml:space="preserve">Pin Buk BRI Sho    BRINIDJA/PAN CONVINCE MITRA I </t>
  </si>
  <si>
    <t xml:space="preserve">20250619BMRIIDJA010O9937065593   </t>
  </si>
  <si>
    <t xml:space="preserve">20250619BMRIIDJA010O9937169809   </t>
  </si>
  <si>
    <t xml:space="preserve">Listrik Jun  05121 Trf  KE PANTRAVEL </t>
  </si>
  <si>
    <t xml:space="preserve">PT TELEKOMUNIKASI SELULAR - 031   </t>
  </si>
  <si>
    <t xml:space="preserve">PT SHELL INDONESIA - 050     </t>
  </si>
  <si>
    <t>Hotel an Edwin M Ridwan an  Trf  DARI MOHAMAD RISKI ADITIRA</t>
  </si>
  <si>
    <t xml:space="preserve">TSel GraPARI TOMO   05134 BNINIDJA/BAYU GUSTIANTRI HARIYONO </t>
  </si>
  <si>
    <t xml:space="preserve">20250625BMRIIDJA010O9937895122   </t>
  </si>
  <si>
    <t xml:space="preserve">TSel GraPARI TOMO   05128   BNINIDJA/RAY DADANG ARIFIN </t>
  </si>
  <si>
    <t xml:space="preserve">20250625BMRIIDJA010O9937895123     </t>
  </si>
  <si>
    <t xml:space="preserve">Trimegah TC Lombok   05015   Trf  KE PANTRAVEL </t>
  </si>
  <si>
    <t>TSel HUT 5G Batam    05166-151-150  Trf  KE PANTRAVEL</t>
  </si>
  <si>
    <t xml:space="preserve">TSel Increase FS-ISA 05152  Trf  KE PANTRAVEL </t>
  </si>
  <si>
    <t xml:space="preserve">Trimegah Prestige Bj 05085   Trf  KE PANTRAVEL </t>
  </si>
  <si>
    <t xml:space="preserve">TSel Implement NWW   05169-127-061 Trf  KE PANTRAVEL </t>
  </si>
  <si>
    <t xml:space="preserve">TSel SecureTargetSM1 04976  Trf  KE PANTRAVEL </t>
  </si>
  <si>
    <t xml:space="preserve">Trimega Prestige Bj  05009  Trf  KE PANTRAVEL </t>
  </si>
  <si>
    <t xml:space="preserve">TSel VisitClusterAS  04988-04987  Trf  KE PANTRAVEL </t>
  </si>
  <si>
    <t xml:space="preserve">Salary PCMI Jun    CENAIDJA/DAVID HARSAMTO </t>
  </si>
  <si>
    <t xml:space="preserve">20250629BMRIIDJA010O9938261966  </t>
  </si>
  <si>
    <t>TSel SecureTargetSM105029  BSMDIDJA/AULIA AYU ASYURA</t>
  </si>
  <si>
    <t xml:space="preserve">TSel VisitClusterSum 05176   Trf  KE PANTRAVEL </t>
  </si>
  <si>
    <t xml:space="preserve">20250630BMRIIDJA010O9938493960   </t>
  </si>
  <si>
    <t xml:space="preserve">TSel Sales Townhall 04967  BSMDIDJA/AULIA AYU ASYURA </t>
  </si>
  <si>
    <t xml:space="preserve">20250630BMRIIDJA010O9938493961 </t>
  </si>
  <si>
    <t xml:space="preserve">TSel GraPARI TOMO    05182-05170 Trf  KE PANTRAVEL </t>
  </si>
  <si>
    <t xml:space="preserve">TSel Implement NWW  05210 BSMDIDJA/AULIA AYU ASYURA </t>
  </si>
  <si>
    <t>TSel PCM Academy MPT 05222   Trf  KE MAYA ROSWITA</t>
  </si>
  <si>
    <t xml:space="preserve">20250630BMRIIDJA010O9938493962  </t>
  </si>
  <si>
    <t xml:space="preserve">TSel Implent NWW    05047   JAGBIDJA/RAIHAN RAZAFUAD </t>
  </si>
  <si>
    <t xml:space="preserve">TSel HUT 5G Batam    05178 Trf  KE PANTRAVEL </t>
  </si>
  <si>
    <t xml:space="preserve">20250630BMRIIDJA010O9938493963  </t>
  </si>
  <si>
    <t xml:space="preserve">TSel Orbit HouseH Q405074  BNINIDJA/NURBANI YUSUF </t>
  </si>
  <si>
    <t xml:space="preserve">20250630BMRIIDJA010O9938493964  </t>
  </si>
  <si>
    <t xml:space="preserve">Trimega PrestigeBajo 05172-05168 Trf  KE PANTRAVEL </t>
  </si>
  <si>
    <t>CA-071 Odhey</t>
  </si>
  <si>
    <t>CA-072 Clara</t>
  </si>
  <si>
    <t>Sales</t>
  </si>
  <si>
    <t>Sales Invoice</t>
  </si>
  <si>
    <t>PT TELEKOMUNIKASI SELULAR - 031 : Rp. 241.001.566</t>
  </si>
  <si>
    <t>217/PCMI/AR/XII/2023</t>
  </si>
  <si>
    <t>150/PCMI/AR/XII/2024</t>
  </si>
  <si>
    <t>269/PCMI/AR/XII/2024</t>
  </si>
  <si>
    <t>270/PCMI/AR/XII/2024</t>
  </si>
  <si>
    <t>64/PCMI/AR/III/25</t>
  </si>
  <si>
    <t>66/PCMI/AR/III/25</t>
  </si>
  <si>
    <t>107/PCMI/AR/V/25</t>
  </si>
  <si>
    <t>244/PCMI/AR/XII/2024</t>
  </si>
  <si>
    <t>245/PCMI/AR/XII/2024</t>
  </si>
  <si>
    <t>218/PCMI/AR/X/2024</t>
  </si>
  <si>
    <t>226/PCMI/AR/XI/2024</t>
  </si>
  <si>
    <t>BRI Sho</t>
  </si>
  <si>
    <t>BRI Sponsorship</t>
  </si>
  <si>
    <t xml:space="preserve">BRI Sponsorship Biaya Produksi PANCA OCTAVIAN WIR  </t>
  </si>
  <si>
    <t xml:space="preserve">BRI Sponsorship Viking Anniv 24  RICKY EKA KUSUMAH </t>
  </si>
  <si>
    <t xml:space="preserve">BRI Sponsorship TShirt,ID,Roll Bnr MUHAMMAD ANGGARA D  </t>
  </si>
  <si>
    <t xml:space="preserve">BRI Sponsorship MP Supv 1D AHMAD WIDYA NUGRAH  </t>
  </si>
  <si>
    <t xml:space="preserve">BRI Sponsorship BekasiAmbyar 11Okt ANDRE NANLOHY  </t>
  </si>
  <si>
    <t>cetak proposal BRI - BRI Sponsorship Events 2024</t>
  </si>
  <si>
    <t>Cetak Banner BRI "Viking" - BRI Sponsorship</t>
  </si>
  <si>
    <t>Laporan Kegiatan BRI "Viking" - BRI Sponsorship - Sutarno</t>
  </si>
  <si>
    <t>KBUMN Ibadah Perayaan Natal 2024</t>
  </si>
  <si>
    <t xml:space="preserve">KBUMN Natal 25 T1 Deposit Lyodra DONI AGUSTANDI  </t>
  </si>
  <si>
    <t>KBUMN Natal 2025     03842  MCM InhouseTrf  KE ANDIKA MULIA</t>
  </si>
  <si>
    <t>DP Sampel pembuatan Goody Bag</t>
  </si>
  <si>
    <t>PPn Masukan - Masa 2025</t>
  </si>
  <si>
    <t>PPn Masukan - Yang Belum/Tidak di kreditkan</t>
  </si>
  <si>
    <t>PPh-4 Ayat 2</t>
  </si>
  <si>
    <t>PPh-23 Tahun 2022</t>
  </si>
  <si>
    <t>Yang sudah dipotong oleh pelanggan - Ada Bukti Potong</t>
  </si>
  <si>
    <t>PPh-23 Tahun 2023</t>
  </si>
  <si>
    <t xml:space="preserve">PPh-23 Tahun 2024 </t>
  </si>
  <si>
    <t>PPh-23 Tidak ditemukan Invoice nya</t>
  </si>
  <si>
    <t>Tidak ditemukan invoice nya</t>
  </si>
  <si>
    <t xml:space="preserve">PPh-4 Ayat 2 Tahun 2024 </t>
  </si>
  <si>
    <t>Yang sudah dipotong oleh pelanggan</t>
  </si>
  <si>
    <t>Pantravel</t>
  </si>
  <si>
    <t xml:space="preserve">TSel LWCT Batam  03642  MCM InhouseTrf  KE PANTRAVEL </t>
  </si>
  <si>
    <t>Yulie Yahya</t>
  </si>
  <si>
    <t>PPh-23 yang Dipungut tapi Belum/Tidak Disetor</t>
  </si>
  <si>
    <t>PPh-25 Pajak Badan</t>
  </si>
  <si>
    <t>PPh-21</t>
  </si>
  <si>
    <t>DH</t>
  </si>
  <si>
    <t>Kekurangan BCA 666 atas  Bonus BOD and Shareholder : Rp. 1.000.000.000 x 2</t>
  </si>
  <si>
    <t>Mutasi Mandiri 2025</t>
  </si>
  <si>
    <t>Photocopy Des OSC OFFICE MACHINE : Rp. 736.486</t>
  </si>
  <si>
    <t>WA AH 7-Mar-25 : Alokasi dana staff outing and training Rp. 250.000.000</t>
  </si>
  <si>
    <t>WA AH 7-Mar-25 : KPI - Bonus Staff Perfomance 2024</t>
  </si>
  <si>
    <t>Mutasi BCA Juanda 2025</t>
  </si>
  <si>
    <t>Mutasi Bank Mandiri 2025</t>
  </si>
  <si>
    <t>Mutasi BRI Sahardjo 2025</t>
  </si>
  <si>
    <t>Mutasi Cash IDR 2025</t>
  </si>
  <si>
    <t>Whatsapp Yogi : 27-feb-2025 18:03 (File Report Telkomsel 2024)</t>
  </si>
  <si>
    <t>Telkomsel Hear Me at GraPARI 2024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</si>
  <si>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</si>
  <si>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</si>
  <si>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</si>
  <si>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</si>
  <si>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</si>
  <si>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BCA Juanda - Mutasi 2025</t>
  </si>
  <si>
    <t>List of Invoices 2025</t>
  </si>
  <si>
    <t>031/PCMI/AR/VI/2025</t>
  </si>
  <si>
    <t>059/PCMI/AR/V/2025</t>
  </si>
  <si>
    <t>Pembayaran inv 76 + 77 +82 digabung dgn Total Rp 888,265,473,-</t>
  </si>
  <si>
    <t>Pembayaran inv 87 + 90 digabung dgn Total Rp 258.748.245,-</t>
  </si>
  <si>
    <t>Pembayaran inv 91 + 92 digabung dgn Total Rp 241.001.566,-, Paid 05-Jun-2025</t>
  </si>
  <si>
    <t>Pembayaran inv 95 + 96 + 97 digabung dgn Total Rp 53,654,552.00</t>
  </si>
  <si>
    <t>Pembayaran inv 98 + 99 + 100 digabung dgn Total Rp 163,365,677,-</t>
  </si>
  <si>
    <t>Pembayaran inv 101 s.d 104 digabung dgn Total Rp 47,090,390,-</t>
  </si>
  <si>
    <t>105/PCMI/AR/V/2025</t>
  </si>
  <si>
    <t>Additional Trip Visit Factory Bangkok 2025</t>
  </si>
  <si>
    <t>106/PCMI/AR/VI/2025</t>
  </si>
  <si>
    <t>107/PCMI/AR/V/2025</t>
  </si>
  <si>
    <t>Telkomsel 1 on 1 Meeting Sumatera &amp; HQ Jan 2025</t>
  </si>
  <si>
    <t>Pengadaan untuk MICE - 1on1 Meeting Target Sumatera &amp; HQ</t>
  </si>
  <si>
    <t>108/PCMI/AR/III/2025</t>
  </si>
  <si>
    <t>109/PCMI/AR/III/2025</t>
  </si>
  <si>
    <t>110/PCMI/AR/VI/2025</t>
  </si>
  <si>
    <t>Lulita Trimegah</t>
  </si>
  <si>
    <t>Pembayaran Tiket FIT Lulita Osaka - JKT by All Nippon</t>
  </si>
  <si>
    <t>111/PCMI/AR/VI/2025</t>
  </si>
  <si>
    <t>Land Arrangement 60% Trimegah Prestige Clients Appreciation Trip 2025</t>
  </si>
  <si>
    <t>112/PCMI/AR/VI/2025</t>
  </si>
  <si>
    <t>BP Jamsostek</t>
  </si>
  <si>
    <t>Lumi 2 Malam - 1 Cabin, 23 - 25 Mei 2025 Trimegah Training Camp 2025</t>
  </si>
  <si>
    <t>113/PCMI/AR/VI/2025</t>
  </si>
  <si>
    <t>Cocana 2 Malam - 1 Villa , 23 - 25 Mei 2025 Trimegah Training Camp 2025</t>
  </si>
  <si>
    <t>114/PCMI/AR/VI/2025</t>
  </si>
  <si>
    <t>115/PCMI/AR/VI/2025</t>
  </si>
  <si>
    <t>116/PCMI/AR/VI/2025</t>
  </si>
  <si>
    <t>Land Arrangement 30% Trimegah Prestige Clients Appreciation Trip 2025</t>
  </si>
  <si>
    <t>117/PCMI/AR/VI/2025</t>
  </si>
  <si>
    <t>BRI Journalist Bootcamp 2025</t>
  </si>
  <si>
    <t>Pembayaran Addcost Event BRI Journalist Bootcamp 2025</t>
  </si>
  <si>
    <t>118/PCMI/AR/VI/2025</t>
  </si>
  <si>
    <t>Telkomsel Orbit Household Q4 2024</t>
  </si>
  <si>
    <t>Pengadaan Untuk Support Sales Program Orbit Household Q4</t>
  </si>
  <si>
    <t>119/PCMI/AR/VI/2025</t>
  </si>
  <si>
    <t>Pengadaan Untuk Securing Performance RAFI 2025 Mitra SBP Area Sumatera</t>
  </si>
  <si>
    <t>120/PCMI/AR/VI/2025</t>
  </si>
  <si>
    <t>Pembayaran Event BRI Journalist Bootcamp 2025</t>
  </si>
  <si>
    <t>121/PCMI/AR/VI/2025</t>
  </si>
  <si>
    <t>Pelunasan Land Arrangement 10% Trimegah Prestige Clients Appreciation Trip 2025</t>
  </si>
  <si>
    <t>122/PCMI/AR/VII/2025</t>
  </si>
  <si>
    <t>123/PCMI/AR/VII/2025</t>
  </si>
  <si>
    <t>Additional Ticket In Favour Of Mr Thio Andrianto Mrs Joyce Dyan Indrasanty Ms Gillian Anabelle Lianto Trimegah Prestige Clients Appreciation Trip 2025</t>
  </si>
  <si>
    <t>Pembayaran inv 123 s.d 147 digabung dgn Total Rp 115.647.506,-</t>
  </si>
  <si>
    <t>124/PCMI/AR/VII/2025</t>
  </si>
  <si>
    <t>Additional Ticket In Favour Of Mrs Eliza Anggraini Mr Jaya Sejati Trimegah Prestige Clients Appreciation Trip 2025</t>
  </si>
  <si>
    <t>125/PCMI/AR/VII/2025</t>
  </si>
  <si>
    <t>Additional Ticket In Favour Of Mrs Veny Indrawati Trimegah Prestige Clients Appreciation Trip 2025</t>
  </si>
  <si>
    <t>126/PCMI/AR/VII/2025</t>
  </si>
  <si>
    <t>Additional Ticket In Favour Of Mr Johnny Hendrawan Trimegah Prestige Clients Appreciation Trip 2025</t>
  </si>
  <si>
    <t>127/PCMI/AR/VII/2025</t>
  </si>
  <si>
    <t>Additional Ticket In Favour Of Mr Adipura Sejati Mrs Daisy Putriana Santoso Trimegah Prestige Clients Appreciation Trip 2025</t>
  </si>
  <si>
    <t>128/PCMI/AR/VII/2025</t>
  </si>
  <si>
    <t>Additional Ticket In Favour Of Mrs DRA Maria Goretti Tinawati Trimegah Prestige Clients Appreciation Trip 2025</t>
  </si>
  <si>
    <t>129/PCMI/AR/VII/2025</t>
  </si>
  <si>
    <t>Additional Ticket In Favour Of Mr Yohan Kristianto Trimegah Prestige Clients Appreciation Trip 2025</t>
  </si>
  <si>
    <t>130/PCMI/AR/VII/2025</t>
  </si>
  <si>
    <t>Additional Ticket In Favour Of Mr Areey Susanto Trimegah Prestige Clients Appreciation Trip 2025</t>
  </si>
  <si>
    <t>131/PCMI/AR/VII/2025</t>
  </si>
  <si>
    <t>Additional Ticket In Favour Of Mrs Hanna Anggraini Trimegah Prestige Clients Appreciation Trip 2025</t>
  </si>
  <si>
    <t>132/PCMI/AR/VII/2025</t>
  </si>
  <si>
    <t>Additional Ticket In Favour Of Mrs Margaret Monika Tanoto Trimegah Prestige Clients Appreciation Trip 2025</t>
  </si>
  <si>
    <t>133/PCMI/AR/VII/2025</t>
  </si>
  <si>
    <t>Additional Ticket In Favour Of Mr Aditya Sejati Trimegah Prestige Clients Appreciation Trip 2025</t>
  </si>
  <si>
    <t>134/PCMI/AR/VII/2025</t>
  </si>
  <si>
    <t>Additional Ticket In Favour Of Mrs Ina Megahwati Sugihono , S.H Trimegah Prestige Clients Appreciation Trip 2025</t>
  </si>
  <si>
    <t>135/PCMI/AR/VII/2025</t>
  </si>
  <si>
    <t>Additional Ticket In Favour Of Mr Darmawan Saputro Trimegah Prestige Clients Appreciation Trip 2025</t>
  </si>
  <si>
    <t>136/PCMI/AR/VII/2025</t>
  </si>
  <si>
    <t>Additional Ticket In Favour Of Mr Sumardi Mrs Emy Tri Haryani Trimegah Prestige Clients Appreciation Trip 2025</t>
  </si>
  <si>
    <t>137/PCMI/AR/VII/2025</t>
  </si>
  <si>
    <t>Additional Ticket In Favour Of Mrs Natalia Dewi Goenadi Trimegah Prestige Clients Appreciation Trip 2025</t>
  </si>
  <si>
    <t>138/PCMI/AR/VII/2025</t>
  </si>
  <si>
    <t>Additional Ticket In Favour Of Mr Hee Renald Mamangkey Trimegah Prestige Clients Appreciation Trip 2025</t>
  </si>
  <si>
    <t>139/PCMI/AR/VII/2025</t>
  </si>
  <si>
    <t>Additional Ticket In Favour Of Mr Aloysius Primasyah Kristanto Trimegah Prestige Clients Appreciation Trip 2025</t>
  </si>
  <si>
    <t>140/PCMI/AR/VII/2025</t>
  </si>
  <si>
    <t>Additional Ticket In Favour Of Mrs Laili Ma'Muroh, SE, AK Trimegah Prestige Clients Appreciation Trip 2025</t>
  </si>
  <si>
    <t>141/PCMI/AR/VII/2025</t>
  </si>
  <si>
    <t>Additional Ticket In Favour Of Mr Benaya Kefas Kuntjoro Trimegah Prestige Clients Appreciation Trip 2025</t>
  </si>
  <si>
    <t>142/PCMI/AR/VII/2025</t>
  </si>
  <si>
    <t>Additional Ticket In Favour Of Mr Kuntjoro Handoko Mrs Sri Wahjuni Trimegah Prestige Clients Appreciation Trip 2025</t>
  </si>
  <si>
    <t>143/PCMI/AR/VII/2025</t>
  </si>
  <si>
    <t>Additional Ticket In Favour Of Mr IR.P.Sudarto - Business Class Mrs Tjhai Se Moi - Business Class Trimegah Prestige Clients Appreciation Trip 2025</t>
  </si>
  <si>
    <t>144/PCMI/AR/VII/2025</t>
  </si>
  <si>
    <t>Additional Ticket In Favour Of Ms Vincie Lim Trimegah Prestige Clients Appreciation Trip 2025</t>
  </si>
  <si>
    <t>145/PCMI/AR/VII/2025</t>
  </si>
  <si>
    <t>Additional Ticket In Favour Of Mr Joko Sutanto Fatah NG Trimegah Prestige Clients Appreciation Trip 2025</t>
  </si>
  <si>
    <t>146/PCMI/AR/VII/2025</t>
  </si>
  <si>
    <t>Additional Ticket In Favour Of Miss Gracelyn Riana Tang Trimegah Prestige Clients Appreciation Trip 2025</t>
  </si>
  <si>
    <t>147/PCMI/AR/VII/2025</t>
  </si>
  <si>
    <t>Additional Ticket In Favour Of Mr Hardi Sunjarni Trimegah Prestige Clients Appreciation Trip 2025</t>
  </si>
  <si>
    <t>148/PCMI/AR/VII/2025</t>
  </si>
  <si>
    <t>Bapak Hardy Sunjarni</t>
  </si>
  <si>
    <t>Tiket Labuan Bajo Trimegah Prestige Clients Appreciation Trip 2025</t>
  </si>
  <si>
    <t>149/PCMI/AR/VII/2025</t>
  </si>
  <si>
    <t>Bapak Michael Prasetyo</t>
  </si>
  <si>
    <t>150/PCMI/AR/VII/2025</t>
  </si>
  <si>
    <t>Bapak Joko Sutanto Fatah NG</t>
  </si>
  <si>
    <t>151/PCMI/AR/III/2025</t>
  </si>
  <si>
    <t>152/PCMI/AR/VII/2025</t>
  </si>
  <si>
    <t>Bapak Wirawan Sutiono</t>
  </si>
  <si>
    <t>153/PCMI/AR/VII/2025</t>
  </si>
  <si>
    <t>Ibu Hanna Anggraini</t>
  </si>
  <si>
    <t>154/PCMI/AR/VII/2025</t>
  </si>
  <si>
    <t>Bapak Adipura Sejati</t>
  </si>
  <si>
    <t>155/PCMI/AR/VII/2025</t>
  </si>
  <si>
    <t>Shell Shanghai Tech Private Trip 2025</t>
  </si>
  <si>
    <t>Telkomsel Visit Ringfence Mentawai dan Lampung 2025</t>
  </si>
  <si>
    <t>Insight Investments Management, PT</t>
  </si>
  <si>
    <t>Insight Goes To Vietnam</t>
  </si>
  <si>
    <t>Pembayaran Incentive Group Insight Goes to Vietnam</t>
  </si>
  <si>
    <t>Telkomsel Meeting Procurement Q2 2025</t>
  </si>
  <si>
    <t>Kustodian Sentral Efek Indonesia, PT</t>
  </si>
  <si>
    <t>KSEI Seminar Emiten 2025</t>
  </si>
  <si>
    <t>Telkomsel Percepatan Flush Out SA Reg. SBS</t>
  </si>
  <si>
    <t>Telkomsel Finalisasi SOP Fulfillment</t>
  </si>
  <si>
    <t>Telkomsel HUT Tsel dan 5G Relaunch Batam</t>
  </si>
  <si>
    <t>Telkomsel Sales Townhall 2025</t>
  </si>
  <si>
    <t>Telkomsel Securing Target SM 1 2025</t>
  </si>
  <si>
    <t>Himbara Kunker Bali Bajo</t>
  </si>
  <si>
    <t>Sabic Broadcast Video Maker</t>
  </si>
  <si>
    <t>Broadcast Camera With Edited Video</t>
  </si>
  <si>
    <t>KK 320321 AUTOCORP 250619900007</t>
  </si>
  <si>
    <t xml:space="preserve">BFST112501000255301PAN CONVINCE:BMRIIDJA 20250619BMRIIDJA010O9937065593 </t>
  </si>
  <si>
    <t>Abonemen 062025 CMS PAN CONVINCE MI T</t>
  </si>
  <si>
    <t>FIF Grp NMC ACT Handling Undangan dll IFT_TO_CV ANEKA BERSAMA MAK</t>
  </si>
  <si>
    <t>Pin Buk BCA Juanda TRF PAN CONVINCE MI 001851403198 BCA</t>
  </si>
  <si>
    <t>Pin Buk BCA TRF RD HIDIANITJE D 001025345735 BCA</t>
  </si>
  <si>
    <t xml:space="preserve">TRF 5750489666 RD HIDIANITJE D001660458875 BCA </t>
  </si>
  <si>
    <t xml:space="preserve">TRF 5750489666 RD HIDIANITJE D000767464700 BCA </t>
  </si>
  <si>
    <t xml:space="preserve">SPM 27/HCSD/25_163/PCMI </t>
  </si>
  <si>
    <t xml:space="preserve">Pin Buk BCA TRF 5750489666 RD HIDIANITJE D 000748686483 BCA </t>
  </si>
  <si>
    <t>Pin Buk BCA TRF 5750489666 RD HIDIANITJE D 000259249646 BCA</t>
  </si>
  <si>
    <t>PT TELEKOMUNIKASI SELULAR - 031 : Rp. 21.217.000</t>
  </si>
  <si>
    <t>48/PCMI/AR/II/25</t>
  </si>
  <si>
    <t>13/PCMI/AR/II/2025</t>
  </si>
  <si>
    <t>TRIMEGAH ASSET MANAGEMEN - 014 : Rp. 888.265.473</t>
  </si>
  <si>
    <t>TRIMEGAH ASSET MANAGEMEN - 014 : Rp. 258.748.245</t>
  </si>
  <si>
    <t>090/PCMI/AR/IV/2025</t>
  </si>
  <si>
    <t>TRIMEGAH ASSET MANAGEMEN - 014 : Rp. 163.365.677</t>
  </si>
  <si>
    <t>TRIMEGAH SEKURITAS  Trf  DARI TRIMEGAH SEKURITAS INDONESIA : Rp. 47.090.390</t>
  </si>
  <si>
    <t>PT TELEKOMUNIKASI SELULAR - 031 : Rrp. 53.654.552</t>
  </si>
  <si>
    <t>20250701BMRIIDJA010O9938541177            99102</t>
  </si>
  <si>
    <t>UOB Master JT-7Jul                       BBIJIDJA/DAVID HARSAMTO 20250702BMRIIDJA010O993883310099102</t>
  </si>
  <si>
    <t>20250702BMRIIDJA010O9938833100            99102</t>
  </si>
  <si>
    <t>20250704BMRIIDJA010O9930020337            99102</t>
  </si>
  <si>
    <t>20250706BMRIIDJA010O9930284561            99102</t>
  </si>
  <si>
    <t xml:space="preserve">TRIMEGAH SEKURITAS MCM Inhouse </t>
  </si>
  <si>
    <t>TRIMEGAH SEKURITAS  MCM InhouseTrf : Rp. 115.647.506</t>
  </si>
  <si>
    <t>Pin Buk BCA 666   PAN CONVINCE MITRA,</t>
  </si>
  <si>
    <t>Shell ShanghaiTechLandTourChina$3420TOM VALASINDO PT,</t>
  </si>
  <si>
    <t>Adjust Shared Cap RD HIDIANITJE DRA,</t>
  </si>
  <si>
    <t>Adjust Share Cap  DAVID HARSAMTO,</t>
  </si>
  <si>
    <t>Pin Buk BCA       PAN CONVINCE MITRA,</t>
  </si>
  <si>
    <t>Himbara KunKer BB Cash Helda 8-Jul  CLARA LIA RESTU SA,</t>
  </si>
  <si>
    <t>HARDY SUNJARNI,</t>
  </si>
  <si>
    <t>BI-FAST CR TRANSFER   DR 213 MICHAEL PRASETYO,</t>
  </si>
  <si>
    <t>BI-FAST CR TRANSFER   DR 022 LARIS ADINATA SEJA,</t>
  </si>
  <si>
    <t>Labuan Bajo tambahan                WIRAWAN SUTIONO,</t>
  </si>
  <si>
    <t>Himbara KunKerBajoTunai BTN Helda   CLARA LIA RESTU SA,</t>
  </si>
  <si>
    <t>Shell Shanghai TT SPJ Apo Handling  PRAJA SAPUTRA S,</t>
  </si>
  <si>
    <t>PENERIMAAN NEGARA 030210034026128,</t>
  </si>
  <si>
    <t xml:space="preserve">MCM InhouseTrf  DARI PERURI </t>
  </si>
  <si>
    <t>00106472671F SAP1901528770 117/PCMI/A 892 CSR.COM/ Ev</t>
  </si>
  <si>
    <t xml:space="preserve">00106559881F SAP1901558265 120/PCMI/A 905 COM EVT Jas </t>
  </si>
  <si>
    <t xml:space="preserve">KSEI Seminar Emiten DP Produksi IFT_TO_KREASI MILIMETER NUS </t>
  </si>
  <si>
    <t>KSEI Seminar Emiten Furniture Cabling IFT_TO_ENDRIK SUYANTO</t>
  </si>
  <si>
    <t>TSel Townhall NW Q2 Tix Citilink CGKPKU IFT_TO_NOVLI FELISIA SITUMO</t>
  </si>
  <si>
    <t xml:space="preserve">KSEI Seminar Emiten,TumblerPlakat IDCard IFT_TO_CV ANEKA BERSAMA MAK </t>
  </si>
  <si>
    <t>129/PCMI/AR/IV/2024</t>
  </si>
  <si>
    <t>130/PCMI/AR/IV/2024</t>
  </si>
  <si>
    <t>147/PCMI/AR/IX/2024</t>
  </si>
  <si>
    <t>149/PCMI/AR/X/2024</t>
  </si>
  <si>
    <t>150/PCMI/AR/IX/2024</t>
  </si>
  <si>
    <t>151/PCMI/AR/IX/2024</t>
  </si>
  <si>
    <t>152/PCMI/AR/IX/2024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</si>
  <si>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</si>
  <si>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</si>
  <si>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</si>
  <si>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</si>
  <si>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</si>
  <si>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</si>
  <si>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</si>
  <si>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</si>
  <si>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213/PCMI/AR/X/2024</t>
  </si>
  <si>
    <t>215/PCMI/AR/X/2024</t>
  </si>
  <si>
    <t>216/PCMI/AR/XI/2024</t>
  </si>
  <si>
    <t>219/PCMI/AR/XI/2024</t>
  </si>
  <si>
    <t>223/PCMI/AR/XI/2024</t>
  </si>
  <si>
    <t>224/PCMI/AR/XI/2024</t>
  </si>
  <si>
    <t>225/PCMI/AR/XI/2024</t>
  </si>
  <si>
    <t>229/PCMI/AR/XI/2024</t>
  </si>
  <si>
    <t>232/PCMI/AR/XI/2024</t>
  </si>
  <si>
    <t>233/PCMI/AR/XI/2024</t>
  </si>
  <si>
    <t>235/PCMI/AR/XI/2024</t>
  </si>
  <si>
    <t>236/PCMI/AR/XI/2024</t>
  </si>
  <si>
    <t>237/PCMI/AR/II/2024</t>
  </si>
  <si>
    <t>242/PCMI/AR/XII/2024</t>
  </si>
  <si>
    <t>247/PCMI/AR/XII/2024</t>
  </si>
  <si>
    <t>249/PCMI/AR/XII/2024</t>
  </si>
  <si>
    <t>252/PCMI/AR/XII/2024</t>
  </si>
  <si>
    <t>254/PCMI/AR/XII/2024</t>
  </si>
  <si>
    <t>255/PCMI/AR/XII/2024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</si>
  <si>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</si>
  <si>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</si>
  <si>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</si>
  <si>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</si>
  <si>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</si>
  <si>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</si>
  <si>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</si>
  <si>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</si>
  <si>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279/PCMI/AR/XII/2024</t>
  </si>
  <si>
    <t>280/PCMI/AR/XII/2024</t>
  </si>
  <si>
    <t>284/PCMI/AR/XII/2024</t>
  </si>
  <si>
    <t>KSEI Junior CSD 2024</t>
  </si>
  <si>
    <t>Telkomsel Rebound H2- 2024</t>
  </si>
  <si>
    <t>PLN Indonesia Power PIKK Festival Bazaar UMKM</t>
  </si>
  <si>
    <t>Telkomsel BM Recovery &amp; Fundamentals Q3</t>
  </si>
  <si>
    <t>Telkomsel Racing – Pinjam Paket 2024.</t>
  </si>
  <si>
    <t>Telkomsel Aquabike Toba 2024</t>
  </si>
  <si>
    <t>Telkomsel Meeting Evaluasi Sem I 2024</t>
  </si>
  <si>
    <t>Telkomsel Reward Prog Racing Sellout Goes To Bali</t>
  </si>
  <si>
    <t>Telkomsel Visit CSO Padang 2024</t>
  </si>
  <si>
    <t>PLN NP Up Teluk KalTim Capacity Building</t>
  </si>
  <si>
    <t>Telkomsel Hari Koperasi Nasional, Batam 2024</t>
  </si>
  <si>
    <t>Telkomsel Winning Strenghten Mobile &amp; Expand Fixed Penetration</t>
  </si>
  <si>
    <t>SABIC Brochures and Souvenirs</t>
  </si>
  <si>
    <t>PLN Indonesia Power Hakordia dan Compliance Award Tahun 2024</t>
  </si>
  <si>
    <t>Telkomsel Defend Our Dominance Socialization 2024</t>
  </si>
  <si>
    <t>Profit (Loss) 2025</t>
  </si>
  <si>
    <t>PT TELEKOMUNIKASI SELULAR - 031 : Rp. 510.246.281</t>
  </si>
  <si>
    <t>233/PCMI/AR/XII/2024</t>
  </si>
  <si>
    <t>PT TELEKOMUNIKASI SELULAR - 031 : Rp. 106.854.916</t>
  </si>
  <si>
    <t>219/PCMI/AR/XII/2024</t>
  </si>
  <si>
    <t>152/PCMI/AR/XII/2024</t>
  </si>
  <si>
    <t>PT TELEKOMUNIKASI SELULAR - 031 : Rp. 693.211.371</t>
  </si>
  <si>
    <t>LLG-BNI PT PLN NP UP KALTI Operasional 250325001305799099 : Rp. 240.667.460</t>
  </si>
  <si>
    <t>LLG-BNI PT PLN INDONESIA P PMT 655420 |PM : Rp. 628.239.321</t>
  </si>
  <si>
    <t>KR OTOMATIS LLG-BNI PT PLN INDONESIA P PMT 636091 |PM : RP. 26.947.100</t>
  </si>
  <si>
    <t>LLG-BNI PT PLN NP UP KALTI  Operasional : Rp. 17.875.240</t>
  </si>
  <si>
    <t>FA</t>
  </si>
  <si>
    <t>Bebek Tepi Sawah,Citos : Meeting Internal Sales Team</t>
  </si>
  <si>
    <t>BI-FAST CR TRANSFER   DR 009 KREASI TUNAS SEGAL,</t>
  </si>
  <si>
    <t>KSEI SeminarEmitenSPJ 1D 8 Jul      PRAJA SAPUTRA S,</t>
  </si>
  <si>
    <t>KSEI SeminarEmitenSPJ 1D 8 Jul      YOGI PURWO WIDODO,</t>
  </si>
  <si>
    <t>Lomba Dance PCMI  YOGI PURWO WIDODO,</t>
  </si>
  <si>
    <t>Lomba Dance PCMI  ALIF FAREZA,</t>
  </si>
  <si>
    <t>KSEI SeminarEmitenSPJ 2D 7-8Jul     MUHAMMAD UJER AWAL,</t>
  </si>
  <si>
    <t>KSEI SeminarEmitenSPJ 2D 7-8Jul     FRIDA ACHMADI,</t>
  </si>
  <si>
    <t>KSEI SeminarEmitenSPJ 2D 7-8Jul     DEDI PURWANTO SE,</t>
  </si>
  <si>
    <t>KSEI SeminarEmitenSPJ 2D 7-8Jul     MARIA PATRICIA SUG,</t>
  </si>
  <si>
    <t>KSEI SeminarEmitenSPJ 2D 7-8Jul     SUKANDA,</t>
  </si>
  <si>
    <t>KSEI SeminarEmitenSPJ 2D 7-8Jul     ALIF FAREZA,</t>
  </si>
  <si>
    <t>KSEI SeminarEmitenSPJ 2D 7-8Jul     MUHAMMAD FADLI AKB,</t>
  </si>
  <si>
    <t>KSEI SeminarEmitenSPJ 2D 7-8Jul     M RIZKY AULIA,</t>
  </si>
  <si>
    <t>KSEI SeminarEmitenSPJ 1D 6Jul       ADUN SOPANDI,</t>
  </si>
  <si>
    <t>KSEI SeminarEmitenSPJ 2D 7-8 Jul    SUPRIYADI,</t>
  </si>
  <si>
    <t>Overtime June     ADUN SOPANDI,</t>
  </si>
  <si>
    <t>Overtime June     MUHAMMAD UJER AWAL,</t>
  </si>
  <si>
    <t>Overtime June     SUPRIYADI,</t>
  </si>
  <si>
    <t>Overtime June     SUKANDA,</t>
  </si>
  <si>
    <t>Shell ShanghaiTechApo Handling 7Jul YOGI PURWO WIDODO,</t>
  </si>
  <si>
    <t>BI-FAST CR TRANSFER   DR 451 LINDAMORASIREGAR,</t>
  </si>
  <si>
    <t>BPJS TK           Reimbursement     MARLENA NURHASANAH,</t>
  </si>
  <si>
    <t>237/PCMI/AR/IX/2023</t>
  </si>
  <si>
    <t>Joko sutanto fatahng                JOGI  HUXANY FATAH,</t>
  </si>
  <si>
    <t>BTN Mini Olympic</t>
  </si>
  <si>
    <t>BRI Ceremony Penyerahan BN SAR Lv Haji Thn 2025</t>
  </si>
  <si>
    <t>Pin Buk BCA Sho   PAN CONVINCE MITRA,</t>
  </si>
  <si>
    <t>Himbara KunKer BB Tunai Andini BSI  CLARA LIA RESTU SA,</t>
  </si>
  <si>
    <t>KSEI SeminarEmitenSPJ 2D 7-8Jul     ALEXADRUS NULIADY,</t>
  </si>
  <si>
    <t>KSEI SeminarEmitenSPJ 2D 7-8 Jul    ANALITA YULISTYA C,</t>
  </si>
  <si>
    <t>inv. 158 trimegah YAMIN WIDJAJA,</t>
  </si>
  <si>
    <t>dp mercy sclas B114NNE              DODI DAULAY,</t>
  </si>
  <si>
    <t>pelunasan mercy B114NNE total380jt  DODI DAULAY,</t>
  </si>
  <si>
    <t>byr b114nne       DODI DAULAY,</t>
  </si>
  <si>
    <t>Tijet jkt lbj dps yia               ANTONY DIRGA/WINNY,</t>
  </si>
  <si>
    <t>Trimegah PrestigaBSPJ 1D 18Jul      ALIF FAREZA,</t>
  </si>
  <si>
    <t>Trimegah PrestigeBSPJ 3D 18-20Jul   PRAJA SAPUTRA S,</t>
  </si>
  <si>
    <t>Salary PCMI July  DAVID HARSAMTO,</t>
  </si>
  <si>
    <t>ARStaffLoan FriedaDAVID HARSAMTO,</t>
  </si>
  <si>
    <t>KSEI SeminarEmiteNSPJ 1D 5JUL       ADUN SOPANDI,</t>
  </si>
  <si>
    <t>TrimegahPrestigeBjSPJ 1D 18Jul      SUPRIYADI,</t>
  </si>
  <si>
    <t>TrimegahPrestigeBjSPJ 1D 18Jul      CLARA LIA RESTU SA,</t>
  </si>
  <si>
    <t>JasaPenjualanMobilMercy B114NNE     NURSYIRWAN YAHYA,</t>
  </si>
  <si>
    <t>AR StafLoan Atno  B 1240 ROO        NY NURLAILA HUTABA,</t>
  </si>
  <si>
    <t>PorsiPribadi MercyHargaJual 375Juta RD HIDIANITJE DRA,</t>
  </si>
  <si>
    <t xml:space="preserve">20250710BMRIIDJA010O9930922461  </t>
  </si>
  <si>
    <t xml:space="preserve">20250710BMRIIDJA010O9930922462  </t>
  </si>
  <si>
    <t>TSel GraPARI TOMO   05221 BNINIDJA/BAYU GUSTIANTRI HARIYONO</t>
  </si>
  <si>
    <t>20250710BMRIIDJA010O9930923049</t>
  </si>
  <si>
    <t xml:space="preserve">Trimegah Prestige Bj 05280 MCM InhouseTrf  KE SINLY ANFENY </t>
  </si>
  <si>
    <t xml:space="preserve">TSel Increase FS SA 05248 BDINIDJA/RR GETHA FETY DIANAR </t>
  </si>
  <si>
    <t xml:space="preserve">Listrik Juli 2025    05277 MCM InhouseTrf  KE PANTRAVEL </t>
  </si>
  <si>
    <t xml:space="preserve">20250710BMRIIDJA010O9930923050  </t>
  </si>
  <si>
    <t>TSel GraPARI TOMO    05242 MCM InhouseTrf  KE DIMITRI ERLANGGA</t>
  </si>
  <si>
    <t xml:space="preserve">TSel Mkt Valid BP Q205229  BNINIDJA/HADI PRASTYA UTAMA </t>
  </si>
  <si>
    <t>20250710BMRIIDJA010O9930923651</t>
  </si>
  <si>
    <t xml:space="preserve">TSel GraPARI TOMO   05245 BNINIDJA/BAYU GUSTIANTRI HARIYONO </t>
  </si>
  <si>
    <t xml:space="preserve">20250710BMRIIDJA010O9930923652  </t>
  </si>
  <si>
    <t>TSel Securing RAFI  05235 BNINIDJA/MAYA ROSWITA</t>
  </si>
  <si>
    <t>20250710BMRIIDJA010O9930923653</t>
  </si>
  <si>
    <t xml:space="preserve">Trimegah Prestige Bj05359 BNINIDJA/IAS HOSPITALITY INDONESIA </t>
  </si>
  <si>
    <t xml:space="preserve">TSel GraPARI TOMO   05198 BSMDIDJA/VIVI SUMANTI </t>
  </si>
  <si>
    <t>Trimegah Prestige Bj 05264  MCM InhouseTrf  KE PANTRAVEL</t>
  </si>
  <si>
    <t xml:space="preserve">TSel FinalisasiSOP F 05369   MCM InhouseTrf  KE EMIL SATRIA PUTRA </t>
  </si>
  <si>
    <t>TSel Implement NWW   05215 MCM InhouseTrf  KE PANTRAVEL</t>
  </si>
  <si>
    <t xml:space="preserve">Shell ShanghaiTechP  05260 MCM InhouseTrf  KE PANTRAVEL </t>
  </si>
  <si>
    <t xml:space="preserve">Insight Goes To Viet 05259  MCM InhouseTrf  KE PANTRAVEL </t>
  </si>
  <si>
    <t xml:space="preserve">Trimegah Prestige Bj 05360 MCM InhouseTrf  KE BUMI LIPUTAN ANGKASA </t>
  </si>
  <si>
    <t>LULITA FIT  05301  MCM InhouseTrf  KE PANTRAVEL</t>
  </si>
  <si>
    <t xml:space="preserve">20250714BMRIIDJA010O9931340833 </t>
  </si>
  <si>
    <t xml:space="preserve">20250714BMRIIDJA010O9931340834 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</si>
  <si>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</si>
  <si>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</si>
  <si>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</si>
  <si>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>Trimegah Prestige Bj 05309 MCM InhouseTrf  KE PANTRAVEL</t>
  </si>
  <si>
    <t>TSel FinalisasiSOP F 05214  MCM InhouseTrf  KE PANTRAVEL</t>
  </si>
  <si>
    <t>Trimegah Prestige Ba05395  BNINIDJA/I MADE ARYAWAN</t>
  </si>
  <si>
    <t xml:space="preserve">20250718BMRIIDJA010O9931846030 </t>
  </si>
  <si>
    <t xml:space="preserve">MCM InhouseTrf  Pembayaran KLM BPJS Ketenagakerjaan </t>
  </si>
  <si>
    <t xml:space="preserve">TSel Mini WS SumTeng05274   BNINIDJA/RADIATUL ADAWIYAH </t>
  </si>
  <si>
    <t xml:space="preserve">20250718BMRIIDJA010O9931856028  </t>
  </si>
  <si>
    <t xml:space="preserve">TSel GraPARI TOMO, S05289 BNINIDJA/IRMA ARDIYANTI </t>
  </si>
  <si>
    <t xml:space="preserve">20250718BMRIIDJA010O9931856029   </t>
  </si>
  <si>
    <t xml:space="preserve">TSel Mini WS SumTeng05383  BNINIDJA/AURORA PRITA AMALIA </t>
  </si>
  <si>
    <t xml:space="preserve">20250718BMRIIDJA010O9931856033   </t>
  </si>
  <si>
    <t xml:space="preserve">TSel HUT 5G RB, Ruma05209   BNINIDJA/KINARYA SELARAS PIRANTI </t>
  </si>
  <si>
    <t xml:space="preserve">20250718BMRIIDJA010O9931856036 </t>
  </si>
  <si>
    <t>TSel GraPARI TOMO, S05199  BNINIDJA/BAYU GUSTIANTRI HARIYONO</t>
  </si>
  <si>
    <t xml:space="preserve">20250718BMRIIDJA010O9931856039  </t>
  </si>
  <si>
    <t xml:space="preserve">Pin Buk BCA Juanda   CENAIDJA/PAN CONVINCE MITRA INTER </t>
  </si>
  <si>
    <t xml:space="preserve">20250718BMRIIDJA010O9931862992 </t>
  </si>
  <si>
    <t>DBS VisaWhite JT-5Aug  DBSBIDJA/DAVID HARSAMTO \</t>
  </si>
  <si>
    <t xml:space="preserve">20250722BMRIIDJA010O9932414543 </t>
  </si>
  <si>
    <t xml:space="preserve">Insight Goes Viet, A 05421 MCM InhouseTrf  KE TITIAN JAYA </t>
  </si>
  <si>
    <t>TSel Event Vandalism05407 BSMDIDJA/LINDA MORA SIREGAR</t>
  </si>
  <si>
    <t xml:space="preserve">20250722BMRIIDJA010O9932447509  </t>
  </si>
  <si>
    <t xml:space="preserve">20250722BMRIIDJA010O9932447510  </t>
  </si>
  <si>
    <t xml:space="preserve">Trimegah Prestige Bj 05431  MCM InhouseTrf  KE GUNAWAN </t>
  </si>
  <si>
    <t xml:space="preserve">BY REF BANK  Biaya rupa2 </t>
  </si>
  <si>
    <t xml:space="preserve">TRIMEGAH SEKURITAS  MCM InhouseTrf  DARI TRIMEGAH SEKURITAS INDONESIA </t>
  </si>
  <si>
    <t>TSel GraPARI TOMO   05406  BNINIDJA/BAYU GUSTIANTRI HARIYONO</t>
  </si>
  <si>
    <t xml:space="preserve">20250725BMRIIDJA010O9932936175 </t>
  </si>
  <si>
    <t xml:space="preserve">20250728BMRIIDJA010O9933216344 </t>
  </si>
  <si>
    <t>Pin Buk Mandiri Mid  MCM InhouseTrf  DARI PAN CONVINCE MITRA INTERNATIONAL</t>
  </si>
  <si>
    <t xml:space="preserve">Salary PCMI July   CENAIDJA/DAVID HARSAMTO </t>
  </si>
  <si>
    <t xml:space="preserve">20250728BMRIIDJA010O9933274349  </t>
  </si>
  <si>
    <t>Top Up DBS Visa 0262  DBSBIDJA/DAVID HARSAMTO</t>
  </si>
  <si>
    <t xml:space="preserve">20250729BMRIIDJA010O9933412522 </t>
  </si>
  <si>
    <t>TSel Implement NWW,  05275 MCM InhouseTrf  KE PANTRAVEL</t>
  </si>
  <si>
    <t>TSel Implement NWW, 05415 BSMDIDJA/AULIA AYU ASYURA</t>
  </si>
  <si>
    <t xml:space="preserve">20250729BMRIIDJA010O9933507184 </t>
  </si>
  <si>
    <t xml:space="preserve">TSel Percepatan Flus05435 BNINIDJA/NABILA ASY SYIFA </t>
  </si>
  <si>
    <t xml:space="preserve">20250729BMRIIDJA010O9933507187 </t>
  </si>
  <si>
    <t xml:space="preserve">Trimegah Presitige B 05262  MCM InhouseTrf  KE PANTRAVEL </t>
  </si>
  <si>
    <t xml:space="preserve">Trimegah Prestige Ba 05397 MCM InhouseTrf  KE PANTRAVEL </t>
  </si>
  <si>
    <t xml:space="preserve">Trimegah Prestige Ba 05420 MCM InhouseTrf  KE TITIAN JAYA </t>
  </si>
  <si>
    <t xml:space="preserve">Cirebon Power EG, Pa05488  BRINIDJA/CV RAJA VISI INDONES </t>
  </si>
  <si>
    <t xml:space="preserve">20250729BMRIIDJA010O9933508043 </t>
  </si>
  <si>
    <t xml:space="preserve">20250730BMRIIDJA010O9933550545  </t>
  </si>
  <si>
    <t xml:space="preserve">Plafon Rooftop Loung   MCM InhouseTrf  KE JUNAEDI SAPUTRA </t>
  </si>
  <si>
    <t xml:space="preserve">UOB Master JT-5Aug  BBIJIDJA/DAVID HARSAMTO </t>
  </si>
  <si>
    <t xml:space="preserve">20250730BMRIIDJA010O9933591415 </t>
  </si>
  <si>
    <t>BBIJIDJA/ORBITNESIA NIAGA MAS,PT 3883037934</t>
  </si>
  <si>
    <t>Insight GoesToVietApoHandling 24Jul PRAJA SAPUTRA S,</t>
  </si>
  <si>
    <t>Cirebon Power EG  SPJ 3D + Meals    PRAJA SAPUTRA S,</t>
  </si>
  <si>
    <t>BSIN Tomo Gath    SPJ 1D 4Aug       MUHAMMAD FADLI AKB,</t>
  </si>
  <si>
    <t>Overtime Jul      ADUN SOPANDI,</t>
  </si>
  <si>
    <t>Overtime Jul      SUPRIYADI,</t>
  </si>
  <si>
    <t>Overtime Jul      MUHAMMAD UJER AWAL,</t>
  </si>
  <si>
    <t>Overtime Jul      SUKANDA,</t>
  </si>
  <si>
    <t>BSIN Tomo Gath    SPJ1D 5Aug        ALEXADRUS NULIADY,</t>
  </si>
  <si>
    <t>TrimegahPrestigeBjSPJ4DMM OpsMealsALEXADRUS NULIADY,</t>
  </si>
  <si>
    <t>BSIN Tomo Gath    SPJ 2D 4-5Aug     ANALITA YULISTYA C,</t>
  </si>
  <si>
    <t>TrimegaPrestigeBj SPJ 4D + meals    ANALITA YULISTYA C,</t>
  </si>
  <si>
    <t>Cirebon Power EG  SPJ 3D + Meals    YOGI PURWO WIDODO,</t>
  </si>
  <si>
    <t>Cirebon Power EG  SPJ 1D Survey Bdg YOGI PURWO WIDODO,</t>
  </si>
  <si>
    <t>Insight GoesToVietSPJ 4D + Meals    ALEXADRUS NULIADY,</t>
  </si>
  <si>
    <t>Cirebon Power EG  SPJ 2D + Meals    CLARA LIA RESTU SA,</t>
  </si>
  <si>
    <t>Cirebon Power EG  SPJ 3D            MUHAMMAD UJER AWAL,</t>
  </si>
  <si>
    <t>Cirebon Power EG  SPJ 1D Survey Bdg MUHAMMAD UJER AWAL,</t>
  </si>
  <si>
    <t>Cirebon Power EG  SPJ 3D + Meals    FRIDA ACHMADI,</t>
  </si>
  <si>
    <t>Cirebon Power EG  SPJ 1D Survey Bdg FRIDA ACHMADI,</t>
  </si>
  <si>
    <t>AR StaffLoan PrajaKuliah Anak       PRAJA SAPUTRA S,</t>
  </si>
  <si>
    <t>BSIN Tomo Gath    SPJ 1D 4Aug       ALIF FAREZA,</t>
  </si>
  <si>
    <t>SPJ Survey BandungBRI Consumer Expo HERI HERMAWAN,</t>
  </si>
  <si>
    <t>TrimegahPrestigeBjMeals 19-20Jul    PRAJA SAPUTRA S,</t>
  </si>
  <si>
    <t>Cirebon Power EG  SPJ 3D + Meals    M RIZKY AULIA,</t>
  </si>
  <si>
    <t>Cirebon Power EG  Survey Bdg 17Jul  M RIZKY AULIA,</t>
  </si>
  <si>
    <t>BSIN Tomo Gath    SPJ 2D + Meals    M RIZKY AULIA,</t>
  </si>
  <si>
    <t>BSIN Tomo Gat     SPJ 2D            ADUN SOPANDI,</t>
  </si>
  <si>
    <t>BSIN Tomo Gath    SPJ 2D            SUPRIYADI,</t>
  </si>
  <si>
    <t>Himbara FGD BPN   SPJ Survey 1D     HERI HERMAWAN,</t>
  </si>
  <si>
    <t>Himbara FGD Bpn   SPJ Survey 1D     MARIA PATRICIA SUG,</t>
  </si>
  <si>
    <t>BSIN Tomo Gath    SPJ 2D + Meals    MARIA PATRICIA SUG,</t>
  </si>
  <si>
    <t>Cirebon Power EG  SPJ 3D + Meals    MARIA PATRICIA SUG,</t>
  </si>
  <si>
    <t>TrimegahPrestigeBjSPJ 5D + Meals    MARIA PATRICIA SUG,</t>
  </si>
  <si>
    <t>Med Allowance     Neurologist       RD HIDIANITJE DRA,</t>
  </si>
  <si>
    <t>BI-FAST CR TRANSFER   DR 008 ORENS KREASI INDON,</t>
  </si>
  <si>
    <t>Cirebon Power EG  SPJ 3D + meals    M RIZKY AULIA,</t>
  </si>
  <si>
    <t>Cirebon Power EG  SPJ 2Days         ADUN SOPANDI,</t>
  </si>
  <si>
    <t>Himbara FGD BPN   SPJ 4D + Meals    MARIA PATRICIA SUG,</t>
  </si>
  <si>
    <t>PYC IEC 2025      SPJ 2D 22-23Aug   FRIDA ACHMADI,</t>
  </si>
  <si>
    <t>PYC IEC 2025      SPJ 2D 22-23Aug   MUHAMMAD UJER AWAL,</t>
  </si>
  <si>
    <t>SPJ Survey        BRI Consumer Expo DEDI PURWANTO SE,</t>
  </si>
  <si>
    <t>PYC IEC 2025      SPJ 2D 22-23Aug   DEDI PURWANTO SE,</t>
  </si>
  <si>
    <t>PYC IEC 2025      SPJ 2D 22-23Aug   SUPRIYADI,</t>
  </si>
  <si>
    <t>PYC IEC 2025      SPJ 2D 21-22Aug   ADUN SOPANDI,</t>
  </si>
  <si>
    <t>Salary PCMI Aug   DAVID HARSAMTO,</t>
  </si>
  <si>
    <t>PYC IEC 2025      SPJ 1D 23Aug      YOGI PURWO WIDODO,</t>
  </si>
  <si>
    <t>Salary PCMI Aug   Kekurangan Dimas  DAVID HARSAMTO,</t>
  </si>
  <si>
    <t>MAG-1069 DBS VisaW008/VI/MAG/PF-PR/2NY NURLAILA HUTABA,</t>
  </si>
  <si>
    <t>7Jul8JUl</t>
  </si>
  <si>
    <t xml:space="preserve">KSEI SeminarEmiten DP 14 Usher STILETTO CV  </t>
  </si>
  <si>
    <t xml:space="preserve">Shell ShanghaiTech 3 Visa China OKI GLENN ARMADI  </t>
  </si>
  <si>
    <t xml:space="preserve">Refund BIGBIRD BC6 38321 RANA PRATIWI MENDR  </t>
  </si>
  <si>
    <t xml:space="preserve">FEE TELEX OR ASIA COMMERCIAL BA CTY CP DU LICH VIK   </t>
  </si>
  <si>
    <t xml:space="preserve">FEE FULL AMT OR ASIA COMMERCIAL BA CTY CP DU LICH VIK   </t>
  </si>
  <si>
    <t xml:space="preserve">BI-FAST CR TRANSFER   DR 200 PAN CONVINCE MITRA     </t>
  </si>
  <si>
    <t xml:space="preserve">Pin Buk BCA 666 RD HIDIANITJE DRA   </t>
  </si>
  <si>
    <t xml:space="preserve">CA-080/25 Odhey DEDI PURWANTO SE   </t>
  </si>
  <si>
    <t xml:space="preserve">CA-078/25 Patrice MARIA PATRICIA SUG   </t>
  </si>
  <si>
    <t xml:space="preserve">KSEI SeminarEmiten MC Bunga BUNGA HARUM DANI D  </t>
  </si>
  <si>
    <t xml:space="preserve">KSEI SeminarEmiten Genset 150 Kva CV INOVASI ENERGI  </t>
  </si>
  <si>
    <t xml:space="preserve">FreeLanceDesign TSel PressLaunchAI DIMAS DANANG JOYO  </t>
  </si>
  <si>
    <t xml:space="preserve">TrimegahPrestigeBj Kembang Api LULITA  </t>
  </si>
  <si>
    <t xml:space="preserve">Trimegah PrestigeB Htl+Meals Survey LULITA  </t>
  </si>
  <si>
    <t xml:space="preserve">BRI Journalist BC LED+TV 13Jun WIDI SURYA BUDIANA  </t>
  </si>
  <si>
    <t xml:space="preserve">CA-081/25 Odhey DEDI PURWANTO SE   </t>
  </si>
  <si>
    <t xml:space="preserve">TELKOM DIVRE2 02183700953     07 PAN CONVINCE MITRA   </t>
  </si>
  <si>
    <t xml:space="preserve">TELKOM DIVRE2 02183700923     07 PAN CONVINCE MITRA   </t>
  </si>
  <si>
    <t xml:space="preserve">TELKOM DIVRE2 02183700967     07 PAN CONVINCE MITRA   </t>
  </si>
  <si>
    <t xml:space="preserve">TELKOM DIVRE2 02183700926     07 PAN CONVINCE MITRA   </t>
  </si>
  <si>
    <t xml:space="preserve">TELKOM DIVRE2 02183700934     07 PAN CONVINCE MITRA   </t>
  </si>
  <si>
    <t xml:space="preserve">TELKOM DIVRE2 02183700872     07 PAN CONVINCE MITRA   </t>
  </si>
  <si>
    <t xml:space="preserve">TELKOM DIVRE2 02183700854     07 PAN CONVINCE MITRA   </t>
  </si>
  <si>
    <t xml:space="preserve">KSEI SeminarEmiten Usher+Uniform STILETTO CV  </t>
  </si>
  <si>
    <t xml:space="preserve">Pin Buk BCA RD HIDIANITJE DRA   </t>
  </si>
  <si>
    <t xml:space="preserve">KSEI SeminarEmiten DP 70% Dokumentasi RD HIDIANITJE DRA  </t>
  </si>
  <si>
    <t xml:space="preserve">KSEI SeminarEmiten Lunas SysReg ANDIKA MULIA  </t>
  </si>
  <si>
    <t xml:space="preserve">KSEI SeminarEmiten DP SysReg RD HIDIANITJE DRA  </t>
  </si>
  <si>
    <t xml:space="preserve">KSEI SeminarEmiten Perfect Que 2 Days JEFFRI ARDIAN M  </t>
  </si>
  <si>
    <t xml:space="preserve">TSel GraPARI TOMO KonsumsiVisitGrapa IRWANTO  </t>
  </si>
  <si>
    <t xml:space="preserve">Trimegah PrestigeB Htl Crew+TL 3N MAJU BAJO SENTOSA  </t>
  </si>
  <si>
    <t xml:space="preserve">Trimegah PrestigeB 1N Htl Laili TRIM PRIMAHOTEL MANAJEM  </t>
  </si>
  <si>
    <t xml:space="preserve">KSEI SeminarEmiten Lunas GoodieBags FERDI GUNAWAN  </t>
  </si>
  <si>
    <t xml:space="preserve">KSEI SeminarEmiten LiveCam+JimmyJib SUTRISNO  </t>
  </si>
  <si>
    <t xml:space="preserve">Trimegah PrestigeB Dry Bags+Souvenirs ROHYATUN  </t>
  </si>
  <si>
    <t xml:space="preserve">kekurangan CA 056 2025 YOGI PURWO WIDODO  </t>
  </si>
  <si>
    <t xml:space="preserve">CA-082/25 Patrice MARIA PATRICIA SUG   </t>
  </si>
  <si>
    <t xml:space="preserve">KSEI SeminarEmiten Show Mgt incl GR TEUKU DONNYA SYAHP  </t>
  </si>
  <si>
    <t xml:space="preserve">KSEI SeminarEmiten Ushers SAVIRA HASANAH  </t>
  </si>
  <si>
    <t xml:space="preserve">Vascular Clinic RD HIDIANITJE DRA   </t>
  </si>
  <si>
    <t xml:space="preserve">KSEI SeminarEmiten 20 Unit HT RINI INDRANTI  </t>
  </si>
  <si>
    <t xml:space="preserve">Lantai PCMI Lounge RD HIDIANITJE DRA   </t>
  </si>
  <si>
    <t xml:space="preserve">KSEI SeminarEmiten GardenEntranceGate HARTONO  </t>
  </si>
  <si>
    <t xml:space="preserve">KSEI SeminarEmiten Crew Logistic 2D AGUNG ROMADONI  </t>
  </si>
  <si>
    <t xml:space="preserve">KSEI SeminarEmiten Runner 1D EKO ARI YUSANTO  </t>
  </si>
  <si>
    <t xml:space="preserve">KSEI SeminarEmiten Runner 1D RENALDO LU GIARTO  </t>
  </si>
  <si>
    <t xml:space="preserve">KSEI SeminarEmiten Runner 2D SABA PUTRA DRAJAT  </t>
  </si>
  <si>
    <t xml:space="preserve">KSEI SeminarEmiten LO Talent RAKA DRAJAT PUTRA  </t>
  </si>
  <si>
    <t xml:space="preserve">KSEI SeminarEmiten PhotoBooth+Cetak GUNGGI GIANNASKAF  </t>
  </si>
  <si>
    <t xml:space="preserve">KSEI SeminarEmiten Crew Logistic 2D ERDIN BINTANG  </t>
  </si>
  <si>
    <t xml:space="preserve">KSEI SeminarEmiten Runner 1D MOCH SUPRIYADI  </t>
  </si>
  <si>
    <t xml:space="preserve">KSEI SeminarEmite Crew Prod 3D R DINAR KUSUMAYANT  </t>
  </si>
  <si>
    <t xml:space="preserve">KSEI SeminarEmiten Crew Produksi 3D YANA PRIYANA  </t>
  </si>
  <si>
    <t xml:space="preserve">KSEI SeminarEmiten Prod Mgr 4D HENDRI TUBAGUS ISM  </t>
  </si>
  <si>
    <t xml:space="preserve">Shell ShanghaiTech Travel Insurance SANDEEP BANGARA  </t>
  </si>
  <si>
    <t xml:space="preserve">KSEI SeminarEmiten Overtime Genset CV INOVASI ENERGI  </t>
  </si>
  <si>
    <t xml:space="preserve">Himbara KunKerBj Add cost Cover FOH ROBERTUS BELLARMIN  </t>
  </si>
  <si>
    <t xml:space="preserve">KSEI SeminarEmiten LunasDokumentasi MUHAMMAD IKBAL CLI  </t>
  </si>
  <si>
    <t xml:space="preserve">KSEI SeminarEmiten Mini Garden 36m HARTONO  </t>
  </si>
  <si>
    <t xml:space="preserve">Sabic Broadcast VM 2Set Cam+Vid 17Jun SUTRISNO  </t>
  </si>
  <si>
    <t xml:space="preserve">TrimegahPrestigeBj Pawang 18-19Jul OCTHAVIANUS EMBU E  </t>
  </si>
  <si>
    <t xml:space="preserve">DP Denza D9 B&amp;B RD Hidianitje ARISTA ELEKTRIKA I  </t>
  </si>
  <si>
    <t xml:space="preserve">TrimegahPrestigeBj Reimb Cargo LULITA  </t>
  </si>
  <si>
    <t xml:space="preserve">TrimegahPrestigeBj ApoAssist 22X Dps PUTU WAHYU ARI SUT  </t>
  </si>
  <si>
    <t xml:space="preserve">TSel GraPARI TOMO Konsumsi Wky Mtg IRWANTO  </t>
  </si>
  <si>
    <t xml:space="preserve">TSel Piala byU Q2 Region SumBagUt SINAR TELEKOM CV  </t>
  </si>
  <si>
    <t xml:space="preserve">Lns BhnRoofCanteen 1031/CV MPK/III/V SUHAIMI  </t>
  </si>
  <si>
    <t xml:space="preserve">Trimegah PrestigeB TL&amp;Tips ARIEL ABEDNEGO WIJ  </t>
  </si>
  <si>
    <t xml:space="preserve">Trimegah PrestigeB TL&amp;Tips HENDRO PRASETYO WI  </t>
  </si>
  <si>
    <t xml:space="preserve">Berobat Mata Odhey DEDI PURWANTO SE   </t>
  </si>
  <si>
    <t xml:space="preserve">KSEI SeminarEmiten Black Curtain SUPRIYADI  </t>
  </si>
  <si>
    <t xml:space="preserve">KSEI SeminarEmiten Lighting&amp;Rigging MASRUHIN  </t>
  </si>
  <si>
    <t xml:space="preserve">KSEI SeminarEmiten LED Curve + TV WIDI SURYA BUDIANA  </t>
  </si>
  <si>
    <t xml:space="preserve">Pin Buk BCA Sho RD HIDIANITJE DRA   </t>
  </si>
  <si>
    <t xml:space="preserve">PYC IEC 2025 DP Upgrade RegSys ANDIKA MULIA  </t>
  </si>
  <si>
    <t xml:space="preserve">CA084/25 Alex ALEXADRUS NULIADY   </t>
  </si>
  <si>
    <t xml:space="preserve">CA083/25 Yogi YOGI PURWO WIDODO   </t>
  </si>
  <si>
    <t xml:space="preserve">Lunas Denza D9 B&amp;B Pan Convince MI ARISTA ELEKTRIKA I  </t>
  </si>
  <si>
    <t xml:space="preserve">CirebonPower EG AngklungUjo+Merch SAUNG ANGKLUNG UDJ  </t>
  </si>
  <si>
    <t xml:space="preserve">BRI Cer BN SAR Prod Partisi FOH IBNU CHUZAYMAH  </t>
  </si>
  <si>
    <t xml:space="preserve">Cirebon Power EG AngklungUjo+Mercha SAUNG ANGKLUNG UDJ  </t>
  </si>
  <si>
    <t xml:space="preserve">Cirebon Power EG DP 50% Batch 1&amp;2 ANGGI GUNAWAN  </t>
  </si>
  <si>
    <t xml:space="preserve">Insight GoesToViet TL &amp; Tips 4D FARIZ LANA  </t>
  </si>
  <si>
    <t xml:space="preserve">Cirebon Power EG 143 BoluSusu B-1 JOHANES RINDANG KA  </t>
  </si>
  <si>
    <t xml:space="preserve">Cirebon Power EG 143 Kue+160 Snacks ALVIN THEARDY  </t>
  </si>
  <si>
    <t xml:space="preserve">Cirebon Power EG DP Golf 7Pax BANDUNG PAKAR PT  </t>
  </si>
  <si>
    <t xml:space="preserve">Cirebon Power EG 143Prasmanan+Lunch DEDE ABDUL HAKIM  </t>
  </si>
  <si>
    <t xml:space="preserve">Cirebon Power EG Talent+Merchand B2 SAUNG ANGKLUNG UDJ  </t>
  </si>
  <si>
    <t xml:space="preserve">CA-085/25 Rizky M RIZKY AULIA   </t>
  </si>
  <si>
    <t xml:space="preserve">Cirebon Power EG ShowDir B1 31Jul SUBAGJA  </t>
  </si>
  <si>
    <t xml:space="preserve">BSIN Tomo Gath Lns TeamBuild 5Aug BAMBANG NURDIANSYA  </t>
  </si>
  <si>
    <t xml:space="preserve">BSIN Tomo Gath 2 Ushers 4Aug DWITA SEPTIANA  </t>
  </si>
  <si>
    <t xml:space="preserve">Cirebon Power EG Dok PhotoVideo MARIA PATRICIA SUG  </t>
  </si>
  <si>
    <t xml:space="preserve">BSIN Tomo Gath DP Photobooth 4Aug GUNGGI GIANNASKAF  </t>
  </si>
  <si>
    <t xml:space="preserve">BSIN Tomo Gath MC 4Aug IKHE MUTIARA  </t>
  </si>
  <si>
    <t xml:space="preserve">TSel GraPARI TOMO Konsumsi KokasMKG IRWANTO  </t>
  </si>
  <si>
    <t xml:space="preserve">TrimegahPrestigeBj Stage Crew+Usher OCTHAVIANUS EMBU E  </t>
  </si>
  <si>
    <t xml:space="preserve">Cirebon Power EG LunasProd B1&amp;B2 ANGGI GUNAWAN  </t>
  </si>
  <si>
    <t xml:space="preserve">Insight GoesToViet Travel Insurance SANDEEP BANGARA  </t>
  </si>
  <si>
    <t xml:space="preserve">Bunga Meja Ultah Lulita SUGIYANTI  </t>
  </si>
  <si>
    <t xml:space="preserve">TrimegahPrestigeBj TransportPesertaDa NOVA INDRI ASIH  </t>
  </si>
  <si>
    <t xml:space="preserve">Trimegah TC Lombok 121 Insurance Mei CHUBB GENERAL INSU  </t>
  </si>
  <si>
    <t xml:space="preserve">CA-86/25 Lita ANALITA YULISTYA C   </t>
  </si>
  <si>
    <t xml:space="preserve">Lap CA yogi no 083 2025 YOGI PURWO WIDODO  </t>
  </si>
  <si>
    <t xml:space="preserve">BSIN Tomo Gath Lunas SoundSys SONJAYA ADIPUTRA  </t>
  </si>
  <si>
    <t xml:space="preserve">BSIN Tomo Gath 43Lunch+23Dinner MARIA PATRICIA SUG  </t>
  </si>
  <si>
    <t xml:space="preserve">Cirebon Power EG Crew Prod Batch1 YANA PRIYANA  </t>
  </si>
  <si>
    <t xml:space="preserve">BSIN Tomo Gath HomeBand+Tikets ANDRE NANLOHY  </t>
  </si>
  <si>
    <t xml:space="preserve">Car Insurance Denza B114NNE JOBAKA JASAPRATAMA  </t>
  </si>
  <si>
    <t xml:space="preserve">BRI Consumer Expo JaminanPenawaran MOH JAPAR RUMARUTA  </t>
  </si>
  <si>
    <t xml:space="preserve">PYC IEC 2025 UpgradeSysReg POS ANDIKA MULIA  </t>
  </si>
  <si>
    <t xml:space="preserve">Cirebon Power EG Runner 3D RATNAMETTHA SUGAMA  </t>
  </si>
  <si>
    <t xml:space="preserve">BSIN Tomo Gath Master Game 5Aug HADRYANSYAH  </t>
  </si>
  <si>
    <t xml:space="preserve">BSIN Tomo Gath StarLightBlackCurt SUPRIYADI  </t>
  </si>
  <si>
    <t xml:space="preserve">BSIN Tomo Gath Lunas Photobooth GUNGGI GIANNASKAF  </t>
  </si>
  <si>
    <t xml:space="preserve">TELKOM DIVRE2 02183700923     08 PAN CONVINCE MITRA   </t>
  </si>
  <si>
    <t xml:space="preserve">TELKOM DIVRE2 02183700953     08 PAN CONVINCE MITRA   </t>
  </si>
  <si>
    <t xml:space="preserve">TELKOM DIVRE2 02183700872     08 PAN CONVINCE MITRA   </t>
  </si>
  <si>
    <t xml:space="preserve">TELKOM DIVRE2 02183700934     08 PAN CONVINCE MITRA   </t>
  </si>
  <si>
    <t xml:space="preserve">TELKOM DIVRE2 02183700967     08 PAN CONVINCE MITRA   </t>
  </si>
  <si>
    <t xml:space="preserve">TELKOM DIVRE2 02183700854     08 PAN CONVINCE MITRA   </t>
  </si>
  <si>
    <t xml:space="preserve">TELKOM DIVRE2 02183700926     08 PAN CONVINCE MITRA   </t>
  </si>
  <si>
    <t xml:space="preserve">CA-82/25 Patrice MARIA PATRICIA SUG   </t>
  </si>
  <si>
    <t xml:space="preserve">Shell ShanghaiTech AddCostChinaImp TOM VALASINDO PT  </t>
  </si>
  <si>
    <t xml:space="preserve">DP KusenJendPintu Lounge RoofTop BUDI IRAWAN  </t>
  </si>
  <si>
    <t xml:space="preserve">pengembalian CA 00 076 M RIZKY AULIA  </t>
  </si>
  <si>
    <t xml:space="preserve">Retur CA 00062 Riz ky M RIZKY AULIA  </t>
  </si>
  <si>
    <t xml:space="preserve">Reture CA 00085 Ci rebon Power 1 M RIZKY AULIA  </t>
  </si>
  <si>
    <t xml:space="preserve">Cirebon Power EG Show Dir B2 14Aug SUBAGJA  </t>
  </si>
  <si>
    <t xml:space="preserve">BSIN Tomo Gath Dok PhotoVideo KATHERIN VICENTIA  </t>
  </si>
  <si>
    <t xml:space="preserve">Whoosh to Bdg Survey BRI Expo HERI HERMAWAN  </t>
  </si>
  <si>
    <t xml:space="preserve">Cirebon Power EG BackDrop,DigPrint ANGGI GUNAWAN  </t>
  </si>
  <si>
    <t xml:space="preserve">Cirebon Power EG 127Buffet+15Box B2 DEDE ABDUL HAKIM  </t>
  </si>
  <si>
    <t xml:space="preserve">Survey 1D Bdg BRI Expo DIMAS DANANG JOYO  </t>
  </si>
  <si>
    <t xml:space="preserve">PYC IEC 2025 DP 200 Mug Smatt ANDREAN LUMINARY J  </t>
  </si>
  <si>
    <t xml:space="preserve">Cirebon Power EG MC Batch2 14Aug GALIH GINANJAR  </t>
  </si>
  <si>
    <t xml:space="preserve">BSIN Tomo Gath Crew Reg 1D 4Aug IHSAN FADIL  </t>
  </si>
  <si>
    <t xml:space="preserve">BSIN Tomo Gath Crew Reg 1D 4Aug RENALDO LU GIARTO  </t>
  </si>
  <si>
    <t xml:space="preserve">BSIN Tomo Gath PIC GateAncol 4Aug BAYU BAGUSURAHMAT  </t>
  </si>
  <si>
    <t xml:space="preserve">BSIN Tomo Gath Crew Runner 2D SABA PUTRA DRAJAT  </t>
  </si>
  <si>
    <t xml:space="preserve">BSIN Tomo Gath Prod Crew 3D R DINAR KUSUMAYANT  </t>
  </si>
  <si>
    <t xml:space="preserve">BSIN Tomo Gath Crew Logistik 3D MOCH SUPRIYADI  </t>
  </si>
  <si>
    <t xml:space="preserve">Himbara FGD BPN Car Rent BNI Bpn NOVA INDRI ASIH  </t>
  </si>
  <si>
    <t xml:space="preserve">TrimegahPrestigeBj Show Mgt TEUKU DONNYA SYAHP  </t>
  </si>
  <si>
    <t xml:space="preserve">Cirebon Power EG 129 BoluSusu Lmb JOHANES RINDANG KA  </t>
  </si>
  <si>
    <t xml:space="preserve">Hand Dryer Toilet RD HIDIANITJE DRA   </t>
  </si>
  <si>
    <t xml:space="preserve">Cirebon Power EG Oleh2PrimaRasa B2 ALVIN THEARDY  </t>
  </si>
  <si>
    <t xml:space="preserve">BSIN Tomo Gath LED+TV 4Aug WIDI SURYA BUDIANA  </t>
  </si>
  <si>
    <t xml:space="preserve">Cirebon Power EG MC Batch-1 31Jul GALIH GINANJAR  </t>
  </si>
  <si>
    <t xml:space="preserve">TrimegahPrestigeBj 88 TravIns Dom 4D CHUBB GENERAL INSU  </t>
  </si>
  <si>
    <t xml:space="preserve">BSIN Tomo Gath 2 Live Cam 4Aug SUTRISNO  </t>
  </si>
  <si>
    <t xml:space="preserve">KSEI SeminarEmiten SoundSys Incl GR TRIDAYA MEGA SWARA  </t>
  </si>
  <si>
    <t xml:space="preserve">CA-088 Rizky M RIZKY AULIA   </t>
  </si>
  <si>
    <t xml:space="preserve">Lunas Kusen Kaca Lounge RoofTop BUDI IRAWAN  </t>
  </si>
  <si>
    <t xml:space="preserve">RF135 Ref Merc B 114 NNE JOBAKA JASAPRATAMA  </t>
  </si>
  <si>
    <t xml:space="preserve">RF135-Kurang Byr Ref Prem B 114 NNE JOBAKA JASAPRATAMA  </t>
  </si>
  <si>
    <t xml:space="preserve">Flooring Lounge Rooftop IIS NURHAENI  </t>
  </si>
  <si>
    <t xml:space="preserve">AC Daikin+Pasang Lounge Rooftop RONGGOLAWE TEKNIK  </t>
  </si>
  <si>
    <t xml:space="preserve">DP WashWall Mural Lounge RoofTop AMMAR SAKTI HIBATU  </t>
  </si>
  <si>
    <t xml:space="preserve">Pembayaran KSEI 162/PCMI/AR/VIII/2 KUSTODIAN SENTRAL  </t>
  </si>
  <si>
    <t xml:space="preserve">Pembayaran KSEI 163/PCMI/AR/VIII/2 KUSTODIAN SENTRAL  </t>
  </si>
  <si>
    <t xml:space="preserve">KR OTOMATIS LLG-HSBC INDONESIA UNIVERSITY OF WATE 250820001358734352    </t>
  </si>
  <si>
    <t xml:space="preserve">PYC IEC 2025 DP 50% Ushers STILETTO CV  </t>
  </si>
  <si>
    <t xml:space="preserve">PYC IEC 2025 DP Prod Bumper MM BUDI UTOMO  </t>
  </si>
  <si>
    <t xml:space="preserve">PYC IEC 2025 Lunas 200 Mugs ANDREAN LUMINARY J  </t>
  </si>
  <si>
    <t xml:space="preserve">Himbara FGD Bpn Survey Car 6Aug MARIA PATRICIA SUG  </t>
  </si>
  <si>
    <t xml:space="preserve">BSIN Tomo Gath Show Mgt &amp; VJ 4Aug TEUKU DONNYA SYAHP  </t>
  </si>
  <si>
    <t xml:space="preserve">Himbara FGD Bpn MC Crew 11Aug KENNY ASIKIN  </t>
  </si>
  <si>
    <t xml:space="preserve">TrimegahPrestigeB Tix Photographer MARIA PATRICIA SUG  </t>
  </si>
  <si>
    <t xml:space="preserve">Cirebon Power EG Runner 3D 13-15Aug RATNAMETTHA SUGAMA  </t>
  </si>
  <si>
    <t xml:space="preserve">JaminanPenawaran BRI Consumer EXPO MOH JAPAR RUMARUTA  </t>
  </si>
  <si>
    <t xml:space="preserve">Cirebon Power EG Crew Prod B2 YANA PRIYANA  </t>
  </si>
  <si>
    <t xml:space="preserve">Cirebon Power EG Dok B1 LiveCamB1-2 RADEN FAHMINDRA YA  </t>
  </si>
  <si>
    <t xml:space="preserve">PYC IEC 2025 Deposit venue GRAND INDONESIA PT  </t>
  </si>
  <si>
    <t xml:space="preserve">Cirebon Power EG LO+Meals 13-15Aug AGUNG ROMADONI  </t>
  </si>
  <si>
    <t xml:space="preserve">BSIN Tomo Gath 2 Tab Samsung RINI INDRANTI  </t>
  </si>
  <si>
    <t xml:space="preserve">CA-090/25 Frieda FRIDA ACHMADI   </t>
  </si>
  <si>
    <t xml:space="preserve">CA-084/25 Alex ALEXADRUS NULIADY   </t>
  </si>
  <si>
    <t xml:space="preserve">Himbara FGD BPN ShowD+StageCrew TEUKU DONNYA SYAHP  </t>
  </si>
  <si>
    <t xml:space="preserve">DP KitchenCabinet Lounge RoofTop KREASI INDO ALUMUN  </t>
  </si>
  <si>
    <t xml:space="preserve">DP Canopy Lounge Rooftop ENDIH SETIAWAN AMD  </t>
  </si>
  <si>
    <t xml:space="preserve">Pengembalian Sisa CA 00090 FA FRIDA ACHMADI  </t>
  </si>
  <si>
    <t xml:space="preserve">PYC IEC 2025 20 HT 1D 23Aug RINI INDRANTI  </t>
  </si>
  <si>
    <t xml:space="preserve">PYC IEC 2025 3 Perfect Clue 1D JEFFRI ARDIAN M  </t>
  </si>
  <si>
    <t xml:space="preserve">PYC IEC 2025 PIC VIP+BreakoutRm DINA KARDIENA HAKI  </t>
  </si>
  <si>
    <t xml:space="preserve">PYC IEC 2025 Lns Prod Bumper MM BUDI UTOMO  </t>
  </si>
  <si>
    <t xml:space="preserve">PYC IEC 2025 FloorCrew 1D 23Aug MUHAMMAD DAFFA ALM  </t>
  </si>
  <si>
    <t xml:space="preserve">PYC IEC 2025 ShowMgt+12Hollylan TEUKU DONNYA SYAHP  </t>
  </si>
  <si>
    <t xml:space="preserve">PYC IEC 2025 LO+Runner 22-23Aug PANJI MAHARDHIKA  </t>
  </si>
  <si>
    <t xml:space="preserve">PYC IEC 2025 LO+Runner 22-23Aug RENALDO LU GIARTO  </t>
  </si>
  <si>
    <t xml:space="preserve">PYC IEC 2025 LO+Runner 22-23Aug RAKA DRAJAT PUTRA  </t>
  </si>
  <si>
    <t xml:space="preserve">PYC IEC 2025 Runner 3D 21-23Aug MOCH SUPRIYADI  </t>
  </si>
  <si>
    <t xml:space="preserve">PYC IEC 2025 Crew Log 2D SABA PUTRA DRAJAT  </t>
  </si>
  <si>
    <t xml:space="preserve">PYC IEC 2025 Crew Log 2D AGUNG ROMADONI  </t>
  </si>
  <si>
    <t xml:space="preserve">PYC IEC 2025 Lunas Sys Reg ANDIKA MULIA  </t>
  </si>
  <si>
    <t xml:space="preserve">PYC IEC 2025 5 Hand Bouquets PRISKA YANTI WIDYA  </t>
  </si>
  <si>
    <t xml:space="preserve">PYC IEC 2025 Lunas 8 Ushers STILETTO CV  </t>
  </si>
  <si>
    <t xml:space="preserve">PYC IEC 2025 BungaPapan 23Aug DHEFFY KRISTANTO  </t>
  </si>
  <si>
    <t xml:space="preserve">Donasi Pesantren Riyadul Fallah MUHAMMAD UJER AWAL  </t>
  </si>
  <si>
    <t xml:space="preserve">Himbara FGD BPN Mobil SetKom IKN NOVA INDRI ASIH  </t>
  </si>
  <si>
    <t xml:space="preserve">TrimegahPrestigeBj Lunas Kend+TeamOps MOGANA KOMODO FANT  </t>
  </si>
  <si>
    <t xml:space="preserve">PYC IEC 2025 5 Security + Meals MUHAMMAD JURIALSYA  </t>
  </si>
  <si>
    <t xml:space="preserve">PYC IEC 2025 Gardening BallRoom HARTONO  </t>
  </si>
  <si>
    <t xml:space="preserve">PYC IEC 2025 1 Printer 22-23Aug RINI INDRANTI  </t>
  </si>
  <si>
    <t xml:space="preserve">PYC IEC 2025 2 Dok Photo+Video KATHERIN VICENTIA  </t>
  </si>
  <si>
    <t xml:space="preserve">PYC IEC 2025 400 PrintPhotoBoot GUNGGI GIANNASKAF  </t>
  </si>
  <si>
    <t xml:space="preserve">PYC IEC 2025 Sewa Black curtain SUPRIYADI  </t>
  </si>
  <si>
    <t xml:space="preserve">PYC IEC 2025 LED Light Saber GALIH SURYO NUGROH  </t>
  </si>
  <si>
    <t xml:space="preserve">PYC IEC 2025 10 unit Live Cam SUTRISNO  </t>
  </si>
  <si>
    <t xml:space="preserve">Trimegah TC Lombok WaterproofBag+Kits ROHYATUN  </t>
  </si>
  <si>
    <t xml:space="preserve">BSIN Tomo Gath Lighting 4Aug MASRUHIN  </t>
  </si>
  <si>
    <t xml:space="preserve">BI-FAST CR TRANSFER   DR 119 PT INSIGHT INVESTM     </t>
  </si>
  <si>
    <t xml:space="preserve">Lunas WWDeco+Mural Lounge RoofTop AMMAR SAKTI HIBATU  </t>
  </si>
  <si>
    <t>retur CA 00069 DEDI PURWANTO SE</t>
  </si>
  <si>
    <t xml:space="preserve">Pengembalian CA 00 088 Rizky CP M RIZKY AULIA </t>
  </si>
  <si>
    <t xml:space="preserve">retur CA 00081 DEDI PURWANTO SE </t>
  </si>
  <si>
    <t xml:space="preserve">Trimegah TC Lombok Xtra Kits peserta ROHYATUN </t>
  </si>
  <si>
    <t xml:space="preserve">PYC IEC 2025 Prod Team 3D FERI RUSDIYANTO </t>
  </si>
  <si>
    <t xml:space="preserve">PYC IEC 2025 Prod Team + Survey R DINAR KUSUMAYANT  </t>
  </si>
  <si>
    <t xml:space="preserve">PYC IEC 2025 Prod Team 3D YANA PRIYANA </t>
  </si>
  <si>
    <t>MAG-1070 DBS VisaW008/VI/MAG/PF-PR/2NY NURLAILA HUTABA,</t>
  </si>
  <si>
    <t>PDOT1080 DBS VisaW026/VII/PDOT/PR/25NY NURLAILA HUTABA,</t>
  </si>
  <si>
    <t>PDOT1075-6DBSVisaW026/VII/PDOT/PR/25NY NURLAILA HUTABA,</t>
  </si>
  <si>
    <t>PDOT-1079 DBSVisaW026/VII/PDOT/PR/25NY NURLAILA HUTABA,</t>
  </si>
  <si>
    <t>PDOT-1072 DBSVisaW008/VI/MAG/PF-PR/2NY NURLAILA HUTABA,</t>
  </si>
  <si>
    <t>PDOT-1074 DBSVisaW026/VII/PDOT/PR/25NY NURLAILA HUTABA,</t>
  </si>
  <si>
    <t>MAG-1094 DBSVisaW 008/VI/MAG/PF-PR/2NY NURLAILA HUTABA,</t>
  </si>
  <si>
    <t>PDOT1084 DBSVisaW 026/VII/PDOT/PR/25NY NURLAILA HUTABA,</t>
  </si>
  <si>
    <t>PDOT1085 DBS VisaW026/VII/PDOT/PR/25NY NURLAILA HUTABA,</t>
  </si>
  <si>
    <t>PDOT-1087 DBSVisaW026/VII/PDOT/PR/25NY NURLAILA HUTABA,</t>
  </si>
  <si>
    <t>PYC IEC 2025      SPJ 2D 22-23Aug   M RIZKY AULIA,</t>
  </si>
  <si>
    <t>PYC IEC 2025      SPJ 2D 22-23Aug   MARIA PATRICIA SUG,</t>
  </si>
  <si>
    <t>PYC IEC 2025      SPJ 2D 22-23Aug   MUHAMMAD FADLI AKB,</t>
  </si>
  <si>
    <t>PYC IEC 2025      SPJ 2D 22-23Aug   ALEXADRUS NULIADY,</t>
  </si>
  <si>
    <t>Cirebon Power EG  SPJ 2D + Meals    ALEXADRUS NULIADY,</t>
  </si>
  <si>
    <t>Cirebon Power EG  SPJ 2D 31Jul+MealsALEXADRUS NULIADY,</t>
  </si>
  <si>
    <t>Himbara FGD BPN   SPJ 3D+MM+Meals   ALEXADRUS NULIADY,</t>
  </si>
  <si>
    <t>PYC IEC 2025      SPJ 2D 22-23Aug   ANALITA YULISTYA C,</t>
  </si>
  <si>
    <t>Cirebon Power EG  SPJ 2D + Meals    ANALITA YULISTYA C,</t>
  </si>
  <si>
    <t>Cirebon Power EG  SPJ 2D 31Jul+MealsANALITA YULISTYA C,</t>
  </si>
  <si>
    <t>Himbara FGD BPN   SPJ 4D + Meals    ANALITA YULISTYA C,</t>
  </si>
  <si>
    <t>BI-FAST CR TRANSFER   DR 009 M WONO WIJAYA,</t>
  </si>
  <si>
    <t>Pulsa HP Jul-Sep  FRIDA ACHMADI,</t>
  </si>
  <si>
    <t xml:space="preserve">TSel Orbit HH Q4 Sup05500 BNINIDJA/NURBANI YUSUF </t>
  </si>
  <si>
    <t>Trimegah Prestige Ba 05479  MCM InhouseTrf  KE PANTRAVEL</t>
  </si>
  <si>
    <t xml:space="preserve">20250805BMRIIDJA010O9934725788 </t>
  </si>
  <si>
    <t xml:space="preserve">TSel Visit Ringfenc 05478 MCM InhouseTrf  KE PANTRAVEL </t>
  </si>
  <si>
    <t xml:space="preserve">TSel GraPARI TOMO Di05505   BNINIDJA/BAYU GUSTIANTRI HARIYONO </t>
  </si>
  <si>
    <t xml:space="preserve">20250805BMRIIDJA010O9934725789  </t>
  </si>
  <si>
    <t>TSel GraPARI TOMO Vi05504 BNINIDJA/BAYU GUSTIANTRI HARIYONO</t>
  </si>
  <si>
    <t xml:space="preserve">TSel Visit Cluster A 05460 MCM InhouseTrf  KE PANTRAVEL </t>
  </si>
  <si>
    <t xml:space="preserve">20250805BMRIIDJA010O9934725790 </t>
  </si>
  <si>
    <t xml:space="preserve">Trimegah Prestige Ba 05455  MCM InhouseTrf  KE PANTRAVEL </t>
  </si>
  <si>
    <t>Insight Goes To Viet 05484 MCM InhouseTrf  KE PANTRAVEL</t>
  </si>
  <si>
    <t>Himbara FGD Balikpap 05633 MCM InhouseTrf  KE LIMA RAYA SINERGI</t>
  </si>
  <si>
    <t xml:space="preserve">PT SHELL INDONESIA - 050 </t>
  </si>
  <si>
    <t xml:space="preserve">TSel Consolidate Pek 05528  MCM InhouseTrf  KE PANTRAVEL </t>
  </si>
  <si>
    <t xml:space="preserve">TSel GraPARI TOMO, 0 05497 MCM InhouseTrf  KE PANTRAVEL </t>
  </si>
  <si>
    <t xml:space="preserve">Trimegah Prestige Ba 05521  MCM InhouseTrf  KE PANTRAVEL </t>
  </si>
  <si>
    <t>Cirebon Power EG, Pa05635   BRINIDJA/CV RAJA VISI INDONES</t>
  </si>
  <si>
    <t xml:space="preserve">20250812BMRIIDJA010O9935758784  </t>
  </si>
  <si>
    <t xml:space="preserve">TopUp DBS VisaWhite  DBSBIDJA/DAVID HARSAMTO </t>
  </si>
  <si>
    <t xml:space="preserve">20250813BMRIIDJA010O9935915858  </t>
  </si>
  <si>
    <t xml:space="preserve">TSel Focus Act Pay U 05671 MCM InhouseTrf  KE SADAMINA LAOLI </t>
  </si>
  <si>
    <t xml:space="preserve">TSel Focus Act Pay U05679 BRINIDJA/LURUSKAN ZEBUA </t>
  </si>
  <si>
    <t xml:space="preserve">20250814BMRIIDJA010O9936092944  </t>
  </si>
  <si>
    <t xml:space="preserve">TSel Collab Pacu Jal 05672  MCM InhouseTrf  KE SADAMINA LAOLI </t>
  </si>
  <si>
    <t xml:space="preserve">20250814BMRIIDJA010O9936092945  </t>
  </si>
  <si>
    <t xml:space="preserve">PYC IEC 2025, Kurang  Online Trf  257251 0351262266 </t>
  </si>
  <si>
    <t xml:space="preserve">Transfer Fee  </t>
  </si>
  <si>
    <t xml:space="preserve">Tukang Junaedy req A  MCM InhouseTrf  KE DAVID HARSAMTO </t>
  </si>
  <si>
    <t xml:space="preserve">Pin Buk Mandiri Mid   MCM InhouseTrf  DARI PAN CONVINCE MITRA INTERNATIONAL </t>
  </si>
  <si>
    <t xml:space="preserve">Mandiri Visa JT-17Au  MCM InhouseTrf  KE DAVID HARSAMTO </t>
  </si>
  <si>
    <t>PBY SPON SMNR PRBNKN 495 CSGFK  A0019???27/2508130289-1/ID001000 PT PAN CONVINCE MITRA INTERNATIONAL12206</t>
  </si>
  <si>
    <t xml:space="preserve">TSel Focus Act Pay U 05701  MCM InhouseTrf  KE PANTRAVEL </t>
  </si>
  <si>
    <t xml:space="preserve">TSel Mini WS Sumbagt05476 BNINIDJA/EKA PUTRIANA </t>
  </si>
  <si>
    <t xml:space="preserve">20250821BMRIIDJA010O9936989946  </t>
  </si>
  <si>
    <t xml:space="preserve">TSel Dig Placement S 05686   MCM InhouseTrf  KE PANTRAVEL </t>
  </si>
  <si>
    <t xml:space="preserve">TSel Mini WS Sumbagt05477  BNINIDJA/SASNI BUDIARTI </t>
  </si>
  <si>
    <t xml:space="preserve">20250821BMRIIDJA010O9936989947  </t>
  </si>
  <si>
    <t xml:space="preserve">TSel Focus Act Pay U 05615  MCM InhouseTrf  KE PANTRAVEL </t>
  </si>
  <si>
    <t xml:space="preserve">PYC IEC 2025 DP prod  BRINIDJA/KREASI MILIMETER NUS </t>
  </si>
  <si>
    <t xml:space="preserve">20250821BMRIIDJA010O9936989949  </t>
  </si>
  <si>
    <t xml:space="preserve">TSel Implent NWW, Ti05532  BSMDIDJA/AULIA AYU ASYURA </t>
  </si>
  <si>
    <t xml:space="preserve">Listrik Agustus 2025 05687  MCM InhouseTrf  KE PANTRAVEL </t>
  </si>
  <si>
    <t xml:space="preserve">20250821BMRIIDJA010O9936989950 </t>
  </si>
  <si>
    <t>TSel Focus Act Pay U05604  BSMDIDJA/AULIA AYU ASYURA</t>
  </si>
  <si>
    <t xml:space="preserve">20250821BMRIIDJA010O9936990304  </t>
  </si>
  <si>
    <t xml:space="preserve">TSel Farewell Liweta 05626  MCM InhouseTrf  KE PANTRAVEL </t>
  </si>
  <si>
    <t xml:space="preserve">TSel TLP 2025, 01250 05676  MCM InhouseTrf  KE PANTRAVEL </t>
  </si>
  <si>
    <t xml:space="preserve">TSel Event Vandalism 05673  MCM InhouseTrf  KE PANTRAVEL </t>
  </si>
  <si>
    <t xml:space="preserve">Trimegah Prestige Ba 05646    MCM InhouseTrf  KE PANTRAVEL </t>
  </si>
  <si>
    <t>TSel Mini WS Sumbagt 05598 MCM InhouseTrf  KE ZIA ANNIZA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</si>
  <si>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</si>
  <si>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</si>
  <si>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</si>
  <si>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>TSel GraPARI TOMO, 0 05493 MCM InhouseTrf  KE PANTRAVEL</t>
  </si>
  <si>
    <t xml:space="preserve">Trimegah Prestige Ba 05728 MCM InhouseTrf  KE ANGELINA JEANRI MAKMUR </t>
  </si>
  <si>
    <t xml:space="preserve">TSel Event Vandalism 05674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</si>
  <si>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</si>
  <si>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</si>
  <si>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</si>
  <si>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 xml:space="preserve">TRIMEGAH ASSET MANAGEMEN - 014  </t>
  </si>
  <si>
    <t xml:space="preserve">PYC IEC 2025, Sewa 1 05772  MCM InhouseTrf  KE AHMAD SUYUTHI </t>
  </si>
  <si>
    <t xml:space="preserve">PYC IEC 2025, 10 Lap 05772  MCM InhouseTrf  KE AHMAD SUYUTHI </t>
  </si>
  <si>
    <t xml:space="preserve">TSel Batam Redesign 05806  BNINIDJA/KINARYA SELARAS PIRANTI </t>
  </si>
  <si>
    <t xml:space="preserve">20250827BMRIIDJA010O9937877567  </t>
  </si>
  <si>
    <t xml:space="preserve">20250827BMRIIDJA010O9937877569  </t>
  </si>
  <si>
    <t xml:space="preserve">PYC IEC 2025, Sofa,C05742  BRINIDJA/ENDRIK SUYANTO </t>
  </si>
  <si>
    <t xml:space="preserve">20250827BMRIIDJA010O9937877572  </t>
  </si>
  <si>
    <t xml:space="preserve">PYC IEC 2025, Rental05778   BRINIDJA/ENDRIK SUYANTO </t>
  </si>
  <si>
    <t xml:space="preserve">20250827BMRIIDJA010O9937877575 </t>
  </si>
  <si>
    <t xml:space="preserve">PYC IEC 2025, Mercha05794  BRINIDJA/CV ANEKA BERSAMA MAK </t>
  </si>
  <si>
    <t xml:space="preserve">20250827BMRIIDJA010O9937877577  </t>
  </si>
  <si>
    <t xml:space="preserve">Salary PCMI August  CENAIDJA/DAVID HARSAMTO </t>
  </si>
  <si>
    <t xml:space="preserve">20250828BMRIIDJA010O9937982588 </t>
  </si>
  <si>
    <t xml:space="preserve">TSel Focus Act Pay U05730  BSMDIDJA/AULIA AYU ASYURA </t>
  </si>
  <si>
    <t xml:space="preserve">Insight Goes To Viet 05403 MCM InhouseTrf  KE PANTRAVEL </t>
  </si>
  <si>
    <t xml:space="preserve">20250828BMRIIDJA010O9938093798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</si>
  <si>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</si>
  <si>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</si>
  <si>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</si>
  <si>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 xml:space="preserve">Himbara FGD BPN, Lun 05747 MCM InhouseTrf  KE LIMA RAYA SINERGI </t>
  </si>
  <si>
    <t xml:space="preserve">Himbara KunKer Bali  05743  MCM InhouseTrf  KE PANTRAVEL </t>
  </si>
  <si>
    <t xml:space="preserve">UOB Master JT-8Sep P  BBIJIDJA/DAVID HARSAMTO </t>
  </si>
  <si>
    <t xml:space="preserve">20250831BMRIIDJA010O9938506740  </t>
  </si>
  <si>
    <t xml:space="preserve">20250831BMRIIDJA010O9938506741  </t>
  </si>
  <si>
    <t>DBS Visa White JT-4S  DBSBIDJA/DAVID HARSAMTO</t>
  </si>
  <si>
    <t xml:space="preserve">20250831BMRIIDJA010O9938506743  </t>
  </si>
  <si>
    <t xml:space="preserve">TRANSFER DARI | PEMINDAHAN  DARI 753360289129006 | 760/00/2025/00000753/00/2025/01544 CN/CSE/1996 </t>
  </si>
  <si>
    <t>JASA GIRO/BUGA</t>
  </si>
  <si>
    <t>PPH</t>
  </si>
  <si>
    <t>BIAYA ADM REK</t>
  </si>
  <si>
    <t>TRANSFER DARI | PEMINDAHAN DARI 29339235 INTRAREPS | Retur Salah Transfer 010/PCMI/AR/II/2025</t>
  </si>
  <si>
    <t>TRF/PAY/TOP-UP ECHANNEL | 1220004875566 Pin Buk Mandiri MP | KARTU 0000000000000000 BIZID 20250911BNINIDJA010 O0151665741</t>
  </si>
  <si>
    <t>BY TRX BIFAST</t>
  </si>
  <si>
    <t>KOR TRF/PAY/TOP-UP ECHANNEL | 1220004875566 Pin Buk Mandiri MP | KARTU 0000000000000000 BIZID 20250911BNINIDJA010 O0151665741</t>
  </si>
  <si>
    <t>KOR BY TRX BIFAST</t>
  </si>
  <si>
    <t>TRF/PAY/TOP-UP ECHANNEL | 1220004875566Pin Buk Mandiri MP | KARTU 0000000000000000 BIZID 20250911BNINIDJA010 O0177470387 </t>
  </si>
  <si>
    <t>TRF/PAY/TOP-UP ECHANNEL | 5350285999 Pin Buk BCA PCMI | KARTU 0000000000000000 BIZID 20250911BNINIDJA010 O0140226324</t>
  </si>
  <si>
    <t>AUTODBT COR PAN CONVNCE MITRA INTERNTNAL</t>
  </si>
  <si>
    <t xml:space="preserve">KK  5534790100867506CMSX 112501000255301 </t>
  </si>
  <si>
    <t>BFST112501000255301PAN CONVINCE:BMRIIDJA</t>
  </si>
  <si>
    <t xml:space="preserve">KK  5534790180165003CMSX 112501000255301 </t>
  </si>
  <si>
    <t>BRI Journalist Bootcamp Lunas Produksi IFT_TO_KREASI MILIMETER NUS</t>
  </si>
  <si>
    <t>Abonemen 082025 CMS PAN CONVINCE MI T</t>
  </si>
  <si>
    <t>NBMB MARIA PATRICIA TO PAN CONVINCE MITR</t>
  </si>
  <si>
    <t xml:space="preserve">RETUR CASH ALLOWANCE HIMBARA TUNAI ; RETUR CASH ALLOWANCE HIMBARA </t>
  </si>
  <si>
    <t xml:space="preserve">Trimegah Prestige Bajo LoungeApoAssist IFT_TO_GALUH PRAMESTI REGIT </t>
  </si>
  <si>
    <t>Abonemen 072025 CMS PAN CONVINCE MI T</t>
  </si>
  <si>
    <t>SPM 234/CSD/25_166/PCMI/AR</t>
  </si>
  <si>
    <t>PRMA CR Transf  0700012084468       5221848890161216 OM36000200/696935    /PRM-IB BISNIS99105</t>
  </si>
  <si>
    <t xml:space="preserve">Mandiri Visa JT-18Ju MCM InhouseTrf  KE DAVID HARSAMTO </t>
  </si>
  <si>
    <t xml:space="preserve">DP Office Canteen 2n  MCM InhouseTrf  KE JUNAEDI SAPUTRA </t>
  </si>
  <si>
    <t>PRMA CR Transf  0700012084468       5221848890161216 OM36000200/700632    /PRM-IB BISNIS99105</t>
  </si>
  <si>
    <t>PRMA CR Transf  0700012084468       5221848890161216 OM36000200/706589    /PRM-IB BISNIS99105</t>
  </si>
  <si>
    <t>PRMA CR Transf  0700012084468       5221848890161216 OM36000200/710137    /PRM-IB BISNIS99105</t>
  </si>
  <si>
    <t>PRMA CR Transf  0700012084468       5221848890161216 OM36000200/714078    /PRM-IB BISNIS99105</t>
  </si>
  <si>
    <t>PRMA CR Transf  0700012084468       5221848890161216 OM36000200/719379    /PRM-IB BISNIS99105</t>
  </si>
  <si>
    <t>PRMA CR Transf  0700012084468       5221848890161216 OM36000200/724319    /PRM-IB BISNIS99105</t>
  </si>
  <si>
    <t>PRMA CR Transf  0700012084468       5221848890161216 OM36000200/728452    /PRM-IB BISNIS99105</t>
  </si>
  <si>
    <t>PRMA CR Transf  0700012084468       5221848890161216 OM36000200/732263    /PRM-IB BISNIS99105</t>
  </si>
  <si>
    <t>PRMA CR Transf  0700012084468       5221848890161216 OM36000200/737579    /PRM-IB BISNIS99105</t>
  </si>
  <si>
    <t>BRINIDJA/KREASI MILIMETER NUS KSEI Seminar Emiten</t>
  </si>
  <si>
    <t xml:space="preserve">20250723BMRIIDJA010O9932489544 </t>
  </si>
  <si>
    <t xml:space="preserve">20250725BMRIIDJA010O9932812646 </t>
  </si>
  <si>
    <t xml:space="preserve">20250725BMRIIDJA010O9932812648 </t>
  </si>
  <si>
    <t>20250725BMRIIDJA010O9932813002</t>
  </si>
  <si>
    <t>20250725BMRIIDJA010O9932813067</t>
  </si>
  <si>
    <t>PRMA CR Transf  0700012084468       5221848890161216 OM36000200/616548    /PRM-IB BISNIS99105</t>
  </si>
  <si>
    <t>PRMA CR Transf  0700012084468       5221848890161216 OM36000200/619247    /PRM-IB BISNIS99105</t>
  </si>
  <si>
    <t>PRMA CR Transf  0700012084468       5221848890161216 OM36000200/622022    /PRM-IB BISNIS99105</t>
  </si>
  <si>
    <t>PRMA CR Transf  0700012084468       5221848890161216 OM36000200/625906    /PRM-IB BISNIS99105</t>
  </si>
  <si>
    <t>PRMA CR Transf  0700012084468       5221848890161216 OM36000200/628574    /PRM-IB BISNIS99105</t>
  </si>
  <si>
    <t>PRMA CR Transf  0700012084468       5221848890161216 OM36000200/632635    /PRM-IB BISNIS99105</t>
  </si>
  <si>
    <t>PRMA CR Transf  0700012084468       5221848890161216 OM36000200/636020    /PRM-IB BISNIS99105</t>
  </si>
  <si>
    <t>PRMA CR Transf  0700012084468       5221848890161216 OM36000200/639239    /PRM-IB BISNIS99105</t>
  </si>
  <si>
    <t>PRMA CR Transf  0700012084468       5221848890161216 OM36000200/642265    /PRM-IB BISNIS99105</t>
  </si>
  <si>
    <t>PRMA CR Transf  0700012084468       5221848890161216 OM36000200/645502    /PRM-IB BISNIS99105</t>
  </si>
  <si>
    <t>BNINIDJA/RAY DADANG ARIFIN TSel GraPARI TOMO, V0540299102</t>
  </si>
  <si>
    <t xml:space="preserve">20250725BMRIIDJA010O9932936174 </t>
  </si>
  <si>
    <t>Pin Buk Mandiri Mid  MCM InhouseTrf  KE PAN CONVINCE MITRA INTERNATIONAL</t>
  </si>
  <si>
    <t>PRMA CR Transf  0700012084468       5221848890161216 OM36000200/148236    /PRM-IB BISNIS99105</t>
  </si>
  <si>
    <t>PRMA CR Transf  0700012084468       5221848890161216 OM36000200/153408    /PRM-IB BISNIS99105</t>
  </si>
  <si>
    <t>PRMA CR Transf  0700012084468       5221848890161216 OM36000200/157988    /PRM-IB BISNIS99105</t>
  </si>
  <si>
    <t>PRMA CR Transf  0700012084468       5221848890161216 OM36000200/161773    /PRM-IB BISNIS99105</t>
  </si>
  <si>
    <t>PRMA CR Transf  0700012084468       5221848890161216 OM36000200/169122    /PRM-IB BISNIS99105</t>
  </si>
  <si>
    <t>PRMA CR Transf  0700012084468       5221848890161216 OM36000200/173776    /PRM-IB BISNIS99105</t>
  </si>
  <si>
    <t>PRMA CR Transf  0700012084468       5221848890161216 OM36000200/183916    /PRM-IB BISNIS99105</t>
  </si>
  <si>
    <t>PRMA CR Transf  0700012084468       5221848890161216 OM36000200/193579    /PRM-IB BISNIS99105</t>
  </si>
  <si>
    <t>PRMA CR Transf  0700012084468       5221848890161216 OM36000200/197198    /PRM-IB BISNIS99105</t>
  </si>
  <si>
    <t>PRMA CR Transf  0700012084468       5221848890161216 OM36000200/203422    /PRM-IB BISNIS99105</t>
  </si>
  <si>
    <t xml:space="preserve">20250810BMRIIDJA010O9935391321  </t>
  </si>
  <si>
    <t>BRINIDJA/PAN CONVINCE MITRA I Pin Buk BRI Sho</t>
  </si>
  <si>
    <t>20250810BMRIIDJA010O9935391322</t>
  </si>
  <si>
    <t xml:space="preserve">20250812BMRIIDJA010O9935755437 </t>
  </si>
  <si>
    <t>Pin Buk Mandiri Mid MCM InhouseTrf  KE PAN CONVINCE MITRA INTERNATIONAL</t>
  </si>
  <si>
    <t>Baya Saldo Min</t>
  </si>
  <si>
    <t xml:space="preserve">PYC IEC 2025 PIC Prod HENDRI TUBAGUS ISM  </t>
  </si>
  <si>
    <t>Roof Top Lounge</t>
  </si>
  <si>
    <t>Denza</t>
  </si>
  <si>
    <t>MCM InhouseTrf  Pembayaran KLM BPJS Ketenagakerjaan 25062501837549 68A 36 R24A00004999102</t>
  </si>
  <si>
    <t>BFST1220004875566     CMSX:BMRIIDJA 20250528BRINIDJA010O9922562301</t>
  </si>
  <si>
    <t>Biaya Notifikasi Feb 2025</t>
  </si>
  <si>
    <t>Midtrans-Digiflora - Pemesanan Bunga Digital Utk Kel Bpk Endy Victory, 3 April 2025</t>
  </si>
  <si>
    <t>Spbu 34.12806,Supomo-H - Fuel B 1290HFF, 8Apr 2025</t>
  </si>
  <si>
    <t>Spbu 34.13809,Cipayung - Fuel B 1290HFF, 10Apr 2025</t>
  </si>
  <si>
    <t>Subway - Makan Siang Ibu AH dan FA, 11Apr 2025</t>
  </si>
  <si>
    <t>Tokopedia - Kabel Audio Jack Canon XLR Male to Mini Stereo 3.5m (streaming system)</t>
  </si>
  <si>
    <t>Tokopedia - Pembelian Kabel audio XLR Canon male to female</t>
  </si>
  <si>
    <t>Ikkudo Ichi Gading - Makan siang dengan Ibu AH &amp; FA, 14 Apr 2025</t>
  </si>
  <si>
    <t>Rm Sederhana Bendungan - Beli makan siang team PCMI</t>
  </si>
  <si>
    <t>Spbu 34.13809,Cipayung - Fuel B 1290HFF, 14 Apr 2025</t>
  </si>
  <si>
    <t>Sbux Menara Fif Sc3I - Kick Off Meeting ke 1 dengan Panitia FIF NMC ACT 2025 - Add</t>
  </si>
  <si>
    <t>Sbux Menara Fif Sc3I - Kick Off Meeting ke 1 dengan Panitia FIF NMC ACT 2025</t>
  </si>
  <si>
    <t>Spbu 34.13809,Cipayung - Fuel B 1290HFF, 17Apr 2025</t>
  </si>
  <si>
    <t>Sushi Tei - Makan siang Ibu AH &amp; FA, 21Apr 2025</t>
  </si>
  <si>
    <t>Tomoro Coffee - Ngopi bareng klien waktu teknikal meeting</t>
  </si>
  <si>
    <t>Spbu 31.12802,Mtharyon  - Fuel B2313BRN</t>
  </si>
  <si>
    <t>Zoom.Com 888-799-9666 San Jose - Monthly payment panconvince.streaming@gmail.com</t>
  </si>
  <si>
    <t>Alfamart - belanja snack team</t>
  </si>
  <si>
    <t>Indomaret - Beli mineral water 330ml 72 botol</t>
  </si>
  <si>
    <t>Kfc Tebet 0204 - Meals team</t>
  </si>
  <si>
    <t>Hhb 527 Ruko Tebet - Meals team</t>
  </si>
  <si>
    <t>Traveloka3Ds-1247346350 - Pembayaran Hotel Team PCMI</t>
  </si>
  <si>
    <t>Spbu 34- 13306 - Fuel B 1290HFF, 28April 2025</t>
  </si>
  <si>
    <t>Spbu 34.12806,Supomo-H - Fuel B2313BRN</t>
  </si>
  <si>
    <t>Spbu 34.13809,Cipayung - Fuel B 1290HFF, 30 Apr 2025</t>
  </si>
  <si>
    <t>Apotek Aji Waras - Pembelian obat</t>
  </si>
  <si>
    <t>Spbu 34.12410,Kr.Tgh-H</t>
  </si>
  <si>
    <t>Traveloka3Ds-1243639051 - inv 1243639051 tiket an. Ignasius, Rino, Yanyan</t>
  </si>
  <si>
    <t>Traveloka3Ds*1243640285 - inv 1243640285 tiket an. Ignasius, Rino, Yanyan</t>
  </si>
  <si>
    <t>The Gade Coffee &amp; Gold - Kopi bareng klien waktu survey</t>
  </si>
  <si>
    <t>Spbu 34.13809,Cipayung - Fuel B 1290HFF, 22 Apr 2025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</si>
  <si>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</si>
  <si>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</si>
  <si>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</si>
  <si>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</si>
  <si>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</si>
  <si>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</si>
  <si>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</si>
  <si>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</si>
  <si>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Mandapa Farma - Medical Frida A - Pembelian Obat Tensi Bulanan, 2 May 2025</t>
  </si>
  <si>
    <t>Spbu 34.12806,Supomo-H - Fuel B 1290HFF, 5 May 2025</t>
  </si>
  <si>
    <t>Spbu 34.13809,Cipayung - Fuel B 1290HFF, 8May 2025</t>
  </si>
  <si>
    <t>Spbu 34-12805 - Fuel B 1290HFF, 14 May 2025</t>
  </si>
  <si>
    <t>Qr-Code-Generator.Com - Monthly payment panconvince.streaming@gmail.com</t>
  </si>
  <si>
    <t>Alfamidi - Pembelian Alat Kebersihan Mobil B 1290 HFF dan B 2313 BRN, Kit, sabun ekonomi, 16 May 2025</t>
  </si>
  <si>
    <t>Burger King Kota Kasa - Makan siang ibu AH dan FA, 19 May 2025</t>
  </si>
  <si>
    <t>Spbu 34-12902 - Fuel B 1290 HFF, 16 May 2025</t>
  </si>
  <si>
    <t>Spbu 31.12802,Mtharyon - Fuel B 1290 HFF, 20 May 2025</t>
  </si>
  <si>
    <t>Starbucks - Slip CC &amp; Kwitansi Pembelian SB FIF, Dendy, Jo dan Vio</t>
  </si>
  <si>
    <t>Traveloka3Ds-1254384106 - Pembelian Hotel Swiss-Belcourt Lombok (Analita) ci/o: 22-23 Mei 2025</t>
  </si>
  <si>
    <t>Traveloka3Ds-1254385708 - Pembelian Hotel The Jayakarta (Alex) ci/o: 22-23 Mei 2025</t>
  </si>
  <si>
    <t>Sbux Menara Fif Sc3I - Slip CC &amp; Kwitansi Pembelian SB FIF, Rizky</t>
  </si>
  <si>
    <t>Sbux Menara Fif Sc3I - Slip CC &amp; Kwitansi Pembelian SB FIF, Ibu AH &amp; FA</t>
  </si>
  <si>
    <t>Papilion'S Cafe - Meeting koordinasi dg PIC Bank Mandiri, BRI, BTN, 22 May 2025</t>
  </si>
  <si>
    <t>Zoom.Com 888-799-9666 - Monthly payment 22-May-2025</t>
  </si>
  <si>
    <t>Spbu 34.13809,Cipayung - Fuel B 1290 HFF, 22 May 2025</t>
  </si>
  <si>
    <t>Starbucks - Slip CC &amp; Kwitansi Pembelian SB FIF Vio, 23 May 2025</t>
  </si>
  <si>
    <t>Starbucks - Slip CC &amp; Kwitansi Pembelian SB FIF Odhey, 23 May 2025</t>
  </si>
  <si>
    <t xml:space="preserve">Flights On Booking.Com - Pembelian TIx Batik Air a.n Frida Achmadi CGK-LBJ utk 29Mei 2025, oneway tix	</t>
  </si>
  <si>
    <t>Lancar Jaya Makmur - Pembelian RAM untuk Komputer Bu Frida</t>
  </si>
  <si>
    <t>Traveloka3Ds-1255980179 - Pembelian room untuk Bu Frieda, 29-30Mei 2025</t>
  </si>
  <si>
    <t>Spbu 34- 13306 - Fuel B 1290HFF, 27Mei 2025</t>
  </si>
  <si>
    <t>Hotel At Booking.Com - Pembayaran Hotel di Sanur utk 3 malam utk 5 pax</t>
  </si>
  <si>
    <t>Pondok Mai Ceng'Go - Makan malam FA &amp; driver, 29 Mei 2025</t>
  </si>
  <si>
    <t>Katamaran Bajo - Makan Malam Bank Mandiri &amp; Anggota Komisi XI, 29 Mei 2025</t>
  </si>
  <si>
    <t>Mayapada Hospital - Pembelian obat resep doc Manfaluthi</t>
  </si>
  <si>
    <t>Pelita Air-Ipg</t>
  </si>
  <si>
    <t>Traveloka3Ds*1252016134 - inv 1252016134 tiket an Raden</t>
  </si>
  <si>
    <t>Telkomsel Increase Fundamental Service to Improve Sales Acquisition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</si>
  <si>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</si>
  <si>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</si>
  <si>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</si>
  <si>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</si>
  <si>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</si>
  <si>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</si>
  <si>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Traveloka3Ds-1253157501 - inv 1253157501 tiket an. Erlina, Rr Getha</t>
  </si>
  <si>
    <t>Tiket.Com - Hotel Grand Jatra Balikpapan an Aria Bima Pertama Putera 22-23 Mei 2025</t>
  </si>
  <si>
    <t>Telkomsel Youth Battle - School Visit Micro Cluster</t>
  </si>
  <si>
    <t>Tiket.Com - Hotel Mercure Gatsu 19-22 Mei 2025 an Ari Pariski @Rp.1.523.273,-</t>
  </si>
  <si>
    <t>Tokopedia - Invoice 2 gelas redwine</t>
  </si>
  <si>
    <t>Tokopedia - invoice 4 - sendok garpu</t>
  </si>
  <si>
    <t>Tokopedia - soup bowl</t>
  </si>
  <si>
    <t>Tokopedia - invoice 3 Kotak tissue besar</t>
  </si>
  <si>
    <t>Tokopedia - Invoice 1 - Bannned spray</t>
  </si>
  <si>
    <t>Tokopedia - round plate dan sushi boat japannese</t>
  </si>
  <si>
    <t>Pelita Air-Ipg - Inv 000211606 tiket an. Andri</t>
  </si>
  <si>
    <t>Tokopedia - invoice Piring kertas Bulat</t>
  </si>
  <si>
    <t>Tokopedia - invoice snack bowl dan sendok kayu</t>
  </si>
  <si>
    <t>Tokopedia - Invoice Tas Thermal</t>
  </si>
  <si>
    <t>Tokopedia - Invoice coffee cup dan mangkok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</si>
  <si>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</si>
  <si>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</si>
  <si>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</si>
  <si>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</si>
  <si>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</si>
  <si>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</si>
  <si>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</si>
  <si>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</si>
  <si>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</si>
  <si>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</si>
  <si>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</si>
  <si>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</si>
  <si>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</si>
  <si>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</si>
  <si>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</si>
  <si>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</si>
  <si>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</si>
  <si>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</si>
  <si>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Shopee - pembelian sample kotak tissue ukuran kecil</t>
  </si>
  <si>
    <t>Tiket.Com - Hotel Santika Padang an Jackson Sihombing 29-30 Mei 2025</t>
  </si>
  <si>
    <t xml:space="preserve">Tiket.Com - Hotel Batiqa Palembang 02-04 Jun 2025 an Umar Munandar G Nasution	</t>
  </si>
  <si>
    <t>Telkomsel Visit Cluster Area Sumatera</t>
  </si>
  <si>
    <t>Spbu 34-12805 - Fuel F 1138 ABU, 2Jun 2025</t>
  </si>
  <si>
    <t>F1138ABU</t>
  </si>
  <si>
    <t>Shell Soepomo - Pembelian kopi waktu survey shell ke puncak</t>
  </si>
  <si>
    <t>Simpang Raya Km 38B - Makan siang team PCMI 4 orang survey shell ke puncak</t>
  </si>
  <si>
    <t>Spbu 34.13809,Cipayung - Fuel F 1138ABU, 4Jun 2025</t>
  </si>
  <si>
    <t>Indomaret - Beli Kopi Rizky, Odhey, Heri, Ableh, Pak Yadi di Indomaret Point Tebet Supomo</t>
  </si>
  <si>
    <t>Rm Simpang Rawi - Makan Siang Rizky, Odhey, Heri, Ableh, Pak Yadi, dan Client BRI di RM Simpang Rawi Bogor Kab. Jawa Barat</t>
  </si>
  <si>
    <t>Spbu 34-12805 - Fuel F 1138ABU, 10Jun 2025</t>
  </si>
  <si>
    <t>Sport Station - Pembelian 50 Vocher MAP @50.000 untuk acara Gala Dinner, 13 Jun 2025, Events</t>
  </si>
  <si>
    <t>Spbu 34.13809,Cipayung - Fuel F 1138 ABU, 12 Jun 2025</t>
  </si>
  <si>
    <t>All Fresh Bogor - Pembelian Buah Utk VIP di CSR, 5 paket, 12Jun 2025</t>
  </si>
  <si>
    <t>Holland Bakery Bogor - Pembelian 25 Snack Box utk Talents &amp; Crew, 13 Jun 2025</t>
  </si>
  <si>
    <t>Pullman Vimala Hills C - Pembayaran Hotel 1 malam c/i 13Jun 2025 - c/o 14Jun 2025, 1DBLB, Utk MC Ronny Urban</t>
  </si>
  <si>
    <t xml:space="preserve">Indomaret - Pembelian Piring &amp; Garpu Kecil utk snack VIP di CSR, 13Jun 2025	</t>
  </si>
  <si>
    <t>Indomaret - Pembelian tambahan Aqua utk CSR, 4 dus, 13Jun 2025</t>
  </si>
  <si>
    <t>Indomaret - Pembelian 6 Dus Aqua Utk Makan Siang, Crew FOH &amp; 2 Bus (kepulangan), 13Jun 2025</t>
  </si>
  <si>
    <t>Kfc Bogor Pajajaran - Pembelian Makan Siang Crew, 19 Box, 13Jun 2025</t>
  </si>
  <si>
    <t>Mandapa Farma - Pembelian Obat Tensi &amp; Jantung Bulanan a.n Frida A, 114 Jun 2025</t>
  </si>
  <si>
    <t>Traveloka3Ds-1261159461 - Pembelian 2prs International Ticket Garuda Indonesia (CGK-PVG-CGK)</t>
  </si>
  <si>
    <t>Shell Shanghai Tech Private Trip 2025</t>
  </si>
  <si>
    <t>Spbu 34.12902.G.Subrot - Fuel F 1138 ABU, 16 Jun 2025</t>
  </si>
  <si>
    <t>Spbu 34.13809,Cipayung - Fuel F 1138 ABU, 19Jun 2025</t>
  </si>
  <si>
    <t>Zoom.Com 888-799-9666 - Monthly payment 22-Jun-2025</t>
  </si>
  <si>
    <t>Mm Juice Rsup Fatmawati - Morning Meeting dg Ibu AH &amp; FA, 23 Jun 2025</t>
  </si>
  <si>
    <t>AH, FA &amp; Pat</t>
  </si>
  <si>
    <t>Nishi Izakaya - Makan siang dengan Ibu AH, FA &amp; Pat, 23Jun 2025</t>
  </si>
  <si>
    <t>Indomaret - Pembeiian Snack/ Kacang2an untuk Acara HUT Ibu Anne, 24 Jun 2025</t>
  </si>
  <si>
    <t>Spbu 34- 13306 - Fuel F 1138 ABU, 24Jun 2025</t>
  </si>
  <si>
    <t>Spbu 34-16102 - Fuel F 1138 ABU, 26Jun 2025</t>
  </si>
  <si>
    <t>Kopitiam-Bei - Meeting Team sblm Kick Off Meeting dg Panitia KSEI, 26 Jun 2025</t>
  </si>
  <si>
    <t>Codereadr App Usd 134.9 - Monthly payment for registration system (27-Jun-2025)</t>
  </si>
  <si>
    <t>Rajawali Ban - Spooring III + Balance R18-20 B114NNE</t>
  </si>
  <si>
    <t>Kimia Farma Apotek - Pembelian Obat bu AH</t>
  </si>
  <si>
    <t>Finpay*My Telkomsel - Pembelian paket data Modem orbit untuk presentasi SHELL online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</si>
  <si>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</si>
  <si>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</si>
  <si>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</si>
  <si>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</si>
  <si>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</si>
  <si>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</si>
  <si>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</si>
  <si>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</si>
  <si>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</si>
  <si>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</si>
  <si>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</si>
  <si>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</si>
  <si>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</si>
  <si>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</si>
  <si>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</si>
  <si>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</si>
  <si>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</si>
  <si>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Tokopedia - Pembelian Sarung anak total 5 Pcs untuk CSR</t>
  </si>
  <si>
    <t>Tokopedia - Pembelian Mukena anak total 5 pcs untuk CSR</t>
  </si>
  <si>
    <t>Tiket.Com - Hotel Aston Tanjung Pinang 14-15 Jun 2025 an Nugroho Adi Wibowo</t>
  </si>
  <si>
    <t>Tokopedia - Pembelian Meja Belajar Portable 10 Unit untuk CSR</t>
  </si>
  <si>
    <t>Tokopedia - Pembelian Kotak makan Lego total 10 Pcs untuk CSR</t>
  </si>
  <si>
    <t>Tokopedia - Pembelian JBL GO 2 total 5 unit</t>
  </si>
  <si>
    <t>Tokopedia - Pembelian Headset Bone Conduction total 5 unit</t>
  </si>
  <si>
    <t>Traveloka3Ds-1260254273 - inv 1260254273 tiket an. Maulydia</t>
  </si>
  <si>
    <t>Tiket.Com - Hotel Mercure Makassar Pettarani 16-17 Juni 2025 an Dedih Rasmadi</t>
  </si>
  <si>
    <t xml:space="preserve">Tiket.Com - Hotel Santika Medan 14-15 Jun 2025 an Wahyu Gunawan	</t>
  </si>
  <si>
    <t>Tiket.Com - Hotel Santika Medan 14-15 Jun 2025 an Maulydia Trivania</t>
  </si>
  <si>
    <t>Tiket.Com - Hotel ZHM Premiere Padang 17-18 Jun 2025 an Martha Hernita</t>
  </si>
  <si>
    <t>Tiket.Com - Hotel Balcon Suites 18 -19 Jun 2025 an Martha Hernita</t>
  </si>
  <si>
    <t>Tokopedia - Pengadaan QR MOBLE SCANNER ZEBRA TC26 WIFI GSM 4G LTE SCANNER 2D QR CODE ANDROID (3 Unit )</t>
  </si>
  <si>
    <t>Tiket.Com - Hotel Mercure Gatsu JKt 18-19 Jun 2025 an Fachrul Rizzal</t>
  </si>
  <si>
    <t>Tokopedia - Pengadaan QR MOBLE SCANNER ZEBRA TC 21 (total 5 unit )</t>
  </si>
  <si>
    <t>Tiket.Com - Deviasi an Fachrul Rizzal 19-20 jun 2025 ( Hotel Mercure Gatsu JKT)</t>
  </si>
  <si>
    <t>Traveloka3Ds-1262028821 - Pembelian 2prs International Ticket Garuda Indonesia (CGK-PVG-CGK)</t>
  </si>
  <si>
    <t>Tiket.Com - Hotel Mercure Gatsu JKT 22-25 Jun 2025 an Rizal Nur Andy &amp; Habyasa Perdana Putra</t>
  </si>
  <si>
    <t>Finpay*Kcic - inv GA02396757 tiket Whoosh an. Kuntjoro, Sri, Benaya</t>
  </si>
  <si>
    <t>Tiket.Com - Hotel Swiss bell Malang 24-25 Jun 2025 an Ray Dadang Arifin</t>
  </si>
  <si>
    <t>Traveloka3Ds-1262918425 - inv 1262918425 tiket an. Rizky dengan Pinalti atas pembatalan</t>
  </si>
  <si>
    <t>Traveloka3Ds-1262912522 - Telkomsel GraPARI TOMO</t>
  </si>
  <si>
    <t>Traveloka3Ds-1262931849 - inv 1262931849 tiket an. Rizky</t>
  </si>
  <si>
    <t>Traveloka3Ds-1262907645 - Telkomsel GraPARI TOMO</t>
  </si>
  <si>
    <t>Traveloka3Ds-1262909099 - Telkomsel GraPARI TOMO</t>
  </si>
  <si>
    <t xml:space="preserve">Tiket.Com - Hotel Kampi Surabaya 25 - 26 Jun2025 an Ray Dadang Arifin	</t>
  </si>
  <si>
    <t>Tiket.Com - Hotel Reiz Suites Medan 24 -25 Jun 2025 an Taufik Ihsan</t>
  </si>
  <si>
    <t>Tiket.Com - Hotel D Prima Airport Terminal 1A Jakarta , 25 - 26 Jun 2025 an Mustakim Wahyudi</t>
  </si>
  <si>
    <t>Traveloka3Ds-1262918425 - refund inv 1262918425 tiket an. Rizky dengan Pinalti atas pembatalan</t>
  </si>
  <si>
    <t>Finpay*Kcic - inv GA67641630 tiket an. Kuntjoro, Sri, Benaya</t>
  </si>
  <si>
    <t>Pelita Air-Ipg - inv 000223193 tiket an. Yuli</t>
  </si>
  <si>
    <t>Pelita Air-Ipg  - inv 000223377 tiket an. Mustakim</t>
  </si>
  <si>
    <t>Pelita Air-Ipg - Inv 000223276 tiket an. Mustakim</t>
  </si>
  <si>
    <t>Tokopedia - Pembelian Barcode / Label Printer XP 420B dan kertas Label 50mmx20mm 1 roll</t>
  </si>
  <si>
    <t>Spbu 34.13809,Cipayung - Fuel F 1138 ABU, 1Jul 2025</t>
  </si>
  <si>
    <t>Spbu 34.13809,Cipayung - Fuel F 1138ABU, 3Jul 2025</t>
  </si>
  <si>
    <t>Tokopedia - Pembelian Kopi oleh-oleh</t>
  </si>
  <si>
    <t>Sli Do - System QnA</t>
  </si>
  <si>
    <t>Ippudo - Pacific Place - Makan siang Ibu AH, FA dan Cindy, 7Jul 2025</t>
  </si>
  <si>
    <t>Holland Bakery - Tambahan 30 Snack Box, 8Jul 2025</t>
  </si>
  <si>
    <t>Spbu 34-10201 Mbl - Fuel F 1138ABU, 8Jul 2025</t>
  </si>
  <si>
    <t>Spbu 34.12806,Supomo-H - Fuel F 1138 ABU, 14Jul 2025</t>
  </si>
  <si>
    <t>Spbu 34.13809,Cipayung - Fuel F 1138 ABU, 16Jul 2025</t>
  </si>
  <si>
    <t>Cocorico Cafe &amp; Resto - Makan siang Panitia &amp; PCMI, 10 Pax, Survey Bandung, 17Jul 2025</t>
  </si>
  <si>
    <t>Cirebon Power Employee Gathering Bandung 2025</t>
  </si>
  <si>
    <t>Spbu 34.12806,Supomo-H - Fuel F 1138 ABU, 18Jul 2025</t>
  </si>
  <si>
    <t>Snapy Tebet - Print Legal Docs PCMI 4 set, 18 Jul 2025</t>
  </si>
  <si>
    <t>Tiket.Com - Tiket Air Asia CGK DPS 23 Jul 2025 an Irwanto req seats</t>
  </si>
  <si>
    <t>Tokopedia - Pembelian Drafting Tube V-Tec</t>
  </si>
  <si>
    <t>Spbu 34-12805 - Fuel F 1138 ABU, 22Jul 2025</t>
  </si>
  <si>
    <t>Spbu 34.12806,Supomo-H - Fuel F 1138 ABU, 24Jul 2025</t>
  </si>
  <si>
    <t>Codereadr App - Monthly Payment</t>
  </si>
  <si>
    <t>Akbar</t>
  </si>
  <si>
    <t>Alfamidi - Pembelian alat kebersihan mobil F 1138 ABU &amp; B 2313 BRN, 29Jul 2025</t>
  </si>
  <si>
    <t>F1138ABU &amp; B2313BRN</t>
  </si>
  <si>
    <t>Airbnb * Hmrwprrs9S - pembayaran villa utk 2 malam 4 kamar utk crew 9 pax 13-15 aug</t>
  </si>
  <si>
    <t>Spbu 34-12805 - Fuel F 1138 ABU, 29Jul 2025</t>
  </si>
  <si>
    <t>Bakmi Berdikari - Makan siang Ibu AH, Pak DH &amp; FA, 29 Jul 2025</t>
  </si>
  <si>
    <t>AH , DH &amp; FA</t>
  </si>
  <si>
    <t>Mountain View Golf - Pelunasan Pembayaran 7Pax VIP, 01 Aug 2025</t>
  </si>
  <si>
    <t>Spbu 34.401.22 Station - Fuel F 1138 ABU, 1 Aug 2025</t>
  </si>
  <si>
    <t>Tiket.Com - Hotel Santika Batam tgl 07 - 09 Juli 2025 an Umar Munandar G Nasution</t>
  </si>
  <si>
    <t>Tokopedia - Pembelian label printer untuk registrasi (5 roll)</t>
  </si>
  <si>
    <t>Sks T3 Bandara Soetta - Service Handling Private Group</t>
  </si>
  <si>
    <t xml:space="preserve">Tiket.Com - Hotel Asialink Easy Batam tgl 09 - 10 Jul 2025 an Umar Munandar G Nasution	</t>
  </si>
  <si>
    <t xml:space="preserve">Tiket.Com - Hotel Mercure Gatsu Jakarta an Akhdiat Suryana 17-18 Jul 2025	</t>
  </si>
  <si>
    <t>Garuda Indonesia Web O - Pembelian Tiket Garuda DPS CGK 25 Jul an Verdania Puri S &amp; Irwanto</t>
  </si>
  <si>
    <t>Tiket.Com - Tiket Air Asia 23 Jul 2025 an Verdania Puri Syafitri</t>
  </si>
  <si>
    <t>Tiket.Com - Invoice Citilink 23 Jul 2025 HLP DPS an Shelvy Ririy &amp; Meivita</t>
  </si>
  <si>
    <t>Tiket.Com - Invoice DPS HLP 25 Jul Vivi Sumanti &amp; Bulky</t>
  </si>
  <si>
    <t>Tiket.Com - Invoice Batik Air HLP DPS 23 Jul 2025 an Vivi Sumanti &amp; Bulky M Maharsa</t>
  </si>
  <si>
    <t>Tiket.Com - Sanur Resort Watujimbar 23-24 Jul 2025 an Irwanto dan Vivi Sumanti</t>
  </si>
  <si>
    <t>Tiket.Com - Invoice 1  Ade Firmansyah</t>
  </si>
  <si>
    <t>Tiket.Com - Inv 2 Andri Robiyana</t>
  </si>
  <si>
    <t>The Excelton Hotel-Ho - room and Bfast 7 kamar Deluxe 22-24 Jul 2025 Telkomsel Grp</t>
  </si>
  <si>
    <t>Telkomsel Event Vandalisme Palembang 2025</t>
  </si>
  <si>
    <t>Tiket.Com - Tiket Kereta Gambir - Cirebon - Gambir PP 2 orang ( 30 Jul - 01 Aug ) an Yogi dan Praja</t>
  </si>
  <si>
    <t>Www.Sanurresortwatuji - Pembayaran Telkomsel Grp 24-25 Jul 2025 ttl 7 kamar</t>
  </si>
  <si>
    <t>Tiket.Com - Hotel Neo Cirebon 30-31 Jul 2025 an Yogi &amp; Praja</t>
  </si>
  <si>
    <t>Tokopedia - Pembelian TV Xiaomi 43"</t>
  </si>
  <si>
    <t>Tiket.Com - Hotel Llyod's Inn Bali 25-26 Jul 2025 an Erlina Devi Rostita</t>
  </si>
  <si>
    <t>Traveloka3Ds-1272262882 - inv 1272262882 tiket an. Zulhelmi</t>
  </si>
  <si>
    <t>Telkomsel TLP 2025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</si>
  <si>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</si>
  <si>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</si>
  <si>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</si>
  <si>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</si>
  <si>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</si>
  <si>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Finpay*Kcic - inv GA08115094 tiket whoosh an. Filin</t>
  </si>
  <si>
    <t>Finpay*Kcic - inv GA38138005 tiket whoosh an. Filin</t>
  </si>
  <si>
    <t>Tiket.Com - Tiket Bus AKAP Cirebon - Pulo Gadung 01 Aug 2025 ( Yogi dan Praja )</t>
  </si>
  <si>
    <t>Tiket.Com - Tiket Citilink KNO PKU 05 Aug 2025 an Zulfahmi Cahyadi</t>
  </si>
  <si>
    <t>Telkomsel Farewell Liwetan Sumbagteng</t>
  </si>
  <si>
    <t>Tiket.Com - Tiket Lion Air BTH PKU 05 aug 2025 4 paxs ( Andri Tryansyah Putra , Jaya Rismanda , Adhi Sulistyanto , Ferdy Fajrin )</t>
  </si>
  <si>
    <t>Tiket.Com - Hotel The Premiere Pekanbaru 04-06 Aug 2025 an Mustakim Wahyudi type Executive Room</t>
  </si>
  <si>
    <t>Telkomsel Focus Action Paying User Sumatera Q3</t>
  </si>
  <si>
    <t>Tiket.Com - Tiket Pelita Air PKU - CGK - BPN 06 Aug 2025 an Fahmy Rojali ( req seats )</t>
  </si>
  <si>
    <t>Interest &amp; Service Charge Yogi</t>
  </si>
  <si>
    <t>Pembayaran JT-Sep 2025</t>
  </si>
  <si>
    <t>Bandar Djakarta Rest-H Jakarta Utara - Buka Puasa Panconvince 2025 - Pelunasan (DP Melalui Petty Cash Rp 1.650.000)</t>
  </si>
  <si>
    <t>Bdr Ap Lombok Cs Lombok Tengah - Beli Roti O dan kopi utk Lovy, Pak Yanto dan Lulita</t>
  </si>
  <si>
    <t>Cocana Resorts Lombok Utara - Bayar hotel Cocana 2 malam utk Lovy dan Lulita</t>
  </si>
  <si>
    <t>Frii Hotel Gili Trawa Lombok Utara - Bayar Hotel Pat dan Alex di Frii Gili 2 malam.</t>
  </si>
  <si>
    <t>Bask Lombok Utara - Test food di Bask Gili Meno Lovy dan Lulita</t>
  </si>
  <si>
    <t>Dante Coffee Bil Lombok Tengah - Byr kopi lovy dan lulita di airport - delay</t>
  </si>
  <si>
    <t>Royal Avila Lombok Utara - Test food di Royal Avilla utk makan grp</t>
  </si>
  <si>
    <t>Sbux Menara Fif/3I Jakarta - Starbucks Menara FIF JKT Meeting Koordinasi FIF, Rizky, Atno, Akbar dan Panitia FIF, 16 May 2025</t>
  </si>
  <si>
    <t>Oldtown Pakubuwono - Meals klien di bandara soeta terminal 3</t>
  </si>
  <si>
    <t>Koi Cafe T3 Depart Hal - Meals Klien KOI The Bandara SOETA Terminal 3</t>
  </si>
  <si>
    <t>Tlj-Bandara Ultimate T - Pembelian Roti Untuk Klien di CJFOODVILLE BAKERY and C Bandara SOETA terminal #</t>
  </si>
  <si>
    <t>Mayapada Hospital Jakarta - Konsul doctor &amp; medication</t>
  </si>
  <si>
    <t>Rscm Kencana Edc Payment Jakarta Id - Doctor consultation</t>
  </si>
  <si>
    <t>Adjustment</t>
  </si>
  <si>
    <t>Super Indo Pancoran - Belanja tissue basah 13 pax</t>
  </si>
  <si>
    <t>Ikkudo Ichi Gading - Lunch AH</t>
  </si>
  <si>
    <t>Sbux Adhyaksa Scb9 Jakarta Slt Id - Meeting HRIS system</t>
  </si>
  <si>
    <t>Sks Tebet - Dinner meeting with Pertamina Patra</t>
  </si>
  <si>
    <t>Interest</t>
  </si>
  <si>
    <t>Sbux Menara Fif Sc3I Jakarta Slt Id - Beli Kopi Mas Dendy, Reiner, Viona, Rizky, Patrice, Analita Meeting FIF Group NMC ACT Handling 2025</t>
  </si>
  <si>
    <t>The Orchard Imaging Ctr Singapore Sg (Sgd 1,177.20 X 12,877.90) - Brain MRI</t>
  </si>
  <si>
    <t>Psychiatric Care Clinic Singapore Sg (Sgd 813.00 X 12,805.75) - Doctor &amp; Medication for 3 months</t>
  </si>
  <si>
    <t>Rscm Kencana Jakarta Pusat - Doctor &amp; biaya sewa holter</t>
  </si>
  <si>
    <t>Bora Bora Ho Lombok Utara - Bayar minum pas survey di Bora dengan Lulita dan Lovy</t>
  </si>
  <si>
    <t>Taku Resto Bar Lombok Tengah</t>
  </si>
  <si>
    <t>Bora Bora Ho Lombok Utara - Pembayaran after party grp di Bora2</t>
  </si>
  <si>
    <t>Frii Hotel Gili Trawa Lombok Utara - Pembayaran kamar utk TL - 2 malam , 23 - 25 Mei</t>
  </si>
  <si>
    <t>Bask Lombok Utara</t>
  </si>
  <si>
    <t>Bask Lombok Utara - pembayaran makan siang grp di BASK</t>
  </si>
  <si>
    <t>Royal Avila Boutique Lombok Utara - pembayaran grp makan siang</t>
  </si>
  <si>
    <t>The Meru Hotel Sanur M Denpasar - Pembayaran Venue BBCC dan Loading 25jt</t>
  </si>
  <si>
    <t>Alfamrt Q767 Psks Pas Denpasar - beli Aqua 3 dus dan roti sobek</t>
  </si>
  <si>
    <t>Diamond Digital Ho Denpasar - Beli 1 bingkai dan print foto Burung GA</t>
  </si>
  <si>
    <t>Diamond Digital Ho Denpasar - Beli 2 bingkai dan print foto Ri 1 dan 2</t>
  </si>
  <si>
    <t>Tuniang Bali Denpasar - Beli makan siang team</t>
  </si>
  <si>
    <t>The Meru Hotel Sanur M Denpasar - bayar konsumsi di hotel utk UMKM</t>
  </si>
  <si>
    <t>Sss Pacific Place - Lunch meeting dengan Mandiri Pak Arie dan Bu Nina</t>
  </si>
  <si>
    <t>Flamingo Bajo Manggarai Brt</t>
  </si>
  <si>
    <t>L+ Labuan Bajo Manggarai Brt - Food Testing dengan Client</t>
  </si>
  <si>
    <t>Le Bajo Flores Manggarai Brt - Food Testing dengan Client</t>
  </si>
  <si>
    <t>Monsieur Spoon Pp - Lunch Meeting dg Bank Mandiri Delly, Michelle, Ari, FA &amp; Pat, Re Laporan Kegiatan Bajo, 10 Jun 2025</t>
  </si>
  <si>
    <t>Membership Fee</t>
  </si>
  <si>
    <t>Rscm Kencana - Doctor Consultation</t>
  </si>
  <si>
    <t>Burger King Kota Kasablanka - Lunch AH</t>
  </si>
  <si>
    <t>Edc Mhjs03 - Doctor &amp; Consultation</t>
  </si>
  <si>
    <t>Gerobak Betawi Pik - Makan Siang Rizky, Dimas, Akbar dan Pak Yadi, Survey Event BRI KPR EXPO di PIK</t>
  </si>
  <si>
    <t>Mercure Ancol Fo1 - DP 10% Hotel Mercure Convention Ancol &amp; Package Full Day Meeting Event Bridgestone Tomo Gathering 4 - 5 Agustus 2025</t>
  </si>
  <si>
    <t>BSIN Tomo Gathering 2025</t>
  </si>
  <si>
    <t>Okky Bakery - Pembelian Kue2 jajanan pasar untuk Bu Andini dan Bu Riska</t>
  </si>
  <si>
    <t>Agoda.Com Mk House S Internet Sg - Crew Accommodation</t>
  </si>
  <si>
    <t>Agoda.Com The Gunawa Internet Sg - Accommodation AH &amp; Frieda @ gunawarman hotel</t>
  </si>
  <si>
    <t>Miniso - Pembelian tempat ID event</t>
  </si>
  <si>
    <t>Aji Waras Karang Tengah Mjakarta Id - Pembelian obat</t>
  </si>
  <si>
    <t>Sushi Hiro Pasific Place - Lunch during event AH</t>
  </si>
  <si>
    <t>Kkb - Yoshinoya Kasablank - Lunch AH</t>
  </si>
  <si>
    <t>Optik Seis Mal Pondok Ind - Pembelian kaca mata (excl frame)</t>
  </si>
  <si>
    <t>Farrer Park Radiology Singapore Sg (Sgd 174.40 X 12,777.55) - X-Ray C- Spine bu AH</t>
  </si>
  <si>
    <t>Imperial Kitchen Kokas - Makan siang AH &amp; FA, 21Jul 2025</t>
  </si>
  <si>
    <t>Ikkudo Ichi Kokas - Lunch AH</t>
  </si>
  <si>
    <t>Malacca Toast - Breakfast + Registrasi Peserta Trimegah Training Camp Lombok</t>
  </si>
  <si>
    <t>Spbu 34.16708 - Fuel B2313BRN</t>
  </si>
  <si>
    <t>Sepeda Maju Mapan - Pembelian 2 unit Sepeda untuk Hadiah CSR (Harga termasuk charge 2,5%)</t>
  </si>
  <si>
    <t>Mr.D.I.Y - Xtjb Fs Ruk - Pembelian 20 pcs Sling Bag untuk Hadiah CSR</t>
  </si>
  <si>
    <t>Spbu 34.13101,A.Yani-H - Fuel B2313BRN</t>
  </si>
  <si>
    <t>Kipling Kokas/Kp22 - Pembelian Voucher MAP</t>
  </si>
  <si>
    <t>Kipling Kokas Kp22 - Pembelian Voucher MAP</t>
  </si>
  <si>
    <t>Doubletree By H*000022 - PDOT Sales Mission 2025 | DP 50% Doubletree Ballroom SUB - 16 Juli 2025</t>
  </si>
  <si>
    <t>PT Intrareps</t>
  </si>
  <si>
    <t>Xdt*The Orient Jakarta - MG Workshop | DP 50% Venue The Orient Hotel Jakarta for 40 pax | 9 Juli 2025</t>
  </si>
  <si>
    <t>Biaya Notifikasi May 2025</t>
  </si>
  <si>
    <t>Erafone - Kota Kasabla - Pembelian 1 unit laptop Intrareps | Macbook</t>
  </si>
  <si>
    <t>Park Hyatt Online - PDOT Sales Mission 2025 | DP 50% Park Hyatt - 15 Juli 2025</t>
  </si>
  <si>
    <t>L Occitane - MG Workshop | Souvenir - Loccitane</t>
  </si>
  <si>
    <t>Xdt*The Orient Jakarta - MG Workshop | Settlement Venue The Orient Hotel Jakarta for 40 pax | 9 Juli 2025</t>
  </si>
  <si>
    <t>Tiket.Com - PDOT Sales Mission 2025 | Flight CGK SUB Intrareps team 5 pax - 15 Juli 2025</t>
  </si>
  <si>
    <t>Tiket.Com - PDOT Sales Mission 2025 | Flight SUB DPS 7 pax - 17 Juli 2025 | TIKET.COM</t>
  </si>
  <si>
    <t>Agoda.Com - PDOT Sales Mission | Intrareps Team Accomodation | AGODA Jakarta | 3 rooms x 1 Night  IDR3,094,723</t>
  </si>
  <si>
    <t>Agoda.Com - PDOT Sales Mission | Intrareps Team Accomodation | AGODA
Surabaya | 3 rooms x 2 Nights IDR6,063,342</t>
  </si>
  <si>
    <t>Cafe California - MG Workshop | Additional Drinks</t>
  </si>
  <si>
    <t>Big Bird Pusaka-Ipg - PDOT Sales Mission 2025 | Full Payment Airport transfer from Park Hyatt to Soeta Medium bus dalam kota 6 jam  -15  Juli 2025</t>
  </si>
  <si>
    <t xml:space="preserve">Lion Air - Perubahaan tiket FIT kepulangan an. Emi, Sumardi, Natalia, Hee	</t>
  </si>
  <si>
    <t>Prima Utama Laptop - pembelian Ram ddr4 32GB dan deep cleaner, install windows, ganti thermal pasta laptop omen Alex</t>
  </si>
  <si>
    <t>Doubletree By H*000040 - PDOT Sales Mission 2025 | Settlement Doubletree Ballroom SUB - 16 Juli 2025</t>
  </si>
  <si>
    <t>Park Hyatt Online - MG Awards 2025 | DP 50% Venue Park Hyatt Salon 2 - 13 November 2025</t>
  </si>
  <si>
    <t>Spbu 34-10301 - Fuel B2313BRN</t>
  </si>
  <si>
    <t>BI-FAST CR TRANSFER   DR 046 DAVID HARSAMTO : Rp. 126.298.001</t>
  </si>
  <si>
    <t xml:space="preserve">Boost Juice-Pacific Pl - Beli Boost Juice as rqst MC </t>
  </si>
  <si>
    <t>Kemchiks - Beli kue dan buah utk MC dan Moderator</t>
  </si>
  <si>
    <t>The Ritz-Carlton,Pp-H - Bayar crew meals tgl 7 malam dan 8 siang</t>
  </si>
  <si>
    <t>Wendys Pacific Place D Jakarta - Beli makan siang utk MC dan Moderator</t>
  </si>
  <si>
    <t>Boost Juice Bars Jakarta - Beli boost juice utk MC</t>
  </si>
  <si>
    <t>Tanamera One Pp - Beli kopi utk MC dan Moderator di Tanamera</t>
  </si>
  <si>
    <t>Spbu 34.10301,Theresia Jakarta Pusat - Fuel B2313BRN</t>
  </si>
  <si>
    <t>Mercure Convention Cnt Jakarta Utara - Pembayaran DP 40% Hotel Mercure Ancol Event Bridgestone Tomo Gathering 2025</t>
  </si>
  <si>
    <t>Flamingo Bajo Manggarai Brt - Pembayaran hotel 1 malam 16-17 Jul</t>
  </si>
  <si>
    <t>156/PCMI/AR/VII/2025</t>
  </si>
  <si>
    <t>Pengadaan untuk Forum Finalisasi SOP Fulfillment</t>
  </si>
  <si>
    <t>157/PCMI/AR/VII/2025</t>
  </si>
  <si>
    <t>Fireworks Trimegah Prestige Clients Appreciation Trip 2025</t>
  </si>
  <si>
    <t>Pembayaran inv 157, 159, 160 digabung dgn Total Rp 122.487.600,-</t>
  </si>
  <si>
    <t>158/PCMI/AR/VII/2025</t>
  </si>
  <si>
    <t>Bapak Yamin Widjaya</t>
  </si>
  <si>
    <t>1 Room, 1 Night -Ta'Aktana Trimegah Prestige Clients Appreciation Trip 2025</t>
  </si>
  <si>
    <t>159/PCMI/AR/VII/2025</t>
  </si>
  <si>
    <t>Flower Signage Day #1, Day #2, Day #3, Photo Booth Trimegah Prestige Clients Appreciation Trip 2025</t>
  </si>
  <si>
    <t>160/PCMI/AR/VII/2025</t>
  </si>
  <si>
    <t>Flower Arangement Day #1 : Welcome Lunch - Ta'Aktana Flower Arangement Day #2 : Market Update - Le Bajo Flower Arangement Day #3 : Special Dinner - AYANA Flower Arangement Day #4 : Farewell Lunch - Ta'Aktana Trimegah Prestige Clients Appreciation Trip 2025</t>
  </si>
  <si>
    <t>161/PCMI/AR/VII/2025</t>
  </si>
  <si>
    <t>Bapak Antony Dirga</t>
  </si>
  <si>
    <t>1 Ticket JKT - LBJ - DPS - YIA Trimegah Prestige Clients Appreciation Trip 2025</t>
  </si>
  <si>
    <t>162/PCMI/AR/VIII/2025</t>
  </si>
  <si>
    <t>Tagihan Termin I (30%) untuk Kegiatan KSEI Seminar Emiten 2025</t>
  </si>
  <si>
    <t>163/PCMI/AR/VIII/2025</t>
  </si>
  <si>
    <t>Tagihan Termin II (40%) untuk Kegiatan KSEI Seminar Emiten 2025</t>
  </si>
  <si>
    <t>164/PCMI/AR/VII/2025</t>
  </si>
  <si>
    <t>Orbitnesia Niaga Mas</t>
  </si>
  <si>
    <t>Pembayaran Additional Cost Hexindo Shanghai Trip 2025</t>
  </si>
  <si>
    <t>165/PCMI/AR/VIII/2025</t>
  </si>
  <si>
    <t>Partisipasi Kegiatan Seminar Peran Industri Perbankan dalam Mendukung Pariwisata yang Inklusif dan Berkelanjutan</t>
  </si>
  <si>
    <t>166/PCMI/AR/VIII/2025</t>
  </si>
  <si>
    <t>Partisipasi Kegiatan Seminar Peran Industri Perbankan dalam Mendukung Pariwisata yang Inklusif dan Berkelanjutan</t>
  </si>
  <si>
    <t>167/PCMI/AR/VIII/2025</t>
  </si>
  <si>
    <t>Bank Syariah Indonesia Tbk, PT</t>
  </si>
  <si>
    <t>168/PCMI/AR/VIII/2025</t>
  </si>
  <si>
    <t>Pengiriman barang phase 2 Trimegah Prestige Clients Appreciation Trip 2025</t>
  </si>
  <si>
    <t>169/PCMI/AR/VIII/2025</t>
  </si>
  <si>
    <t>Pengiriman barang phase 1 Trimegah Prestige Clients Appreciation Trip 2025</t>
  </si>
  <si>
    <t>Pembayaran inv 169 s.d 175 digabung dgn Total Rp 222.704.468,-</t>
  </si>
  <si>
    <t>170/PCMI/AR/VIII/2025</t>
  </si>
  <si>
    <t>Others - Pawang Hujan, Snack on Boat, Imperial Kitchen Trimegah Prestige Clients Appreciation Trip 2025</t>
  </si>
  <si>
    <t>171/PCMI/AR/VIII/2025</t>
  </si>
  <si>
    <t>Overtime Kendaraan Day 17 Juli, 18 Juli dan 20 Juli 2025 Trimegah Prestige Clients Appreciation Trip 2025</t>
  </si>
  <si>
    <t>172/PCMI/AR/VIII/2025</t>
  </si>
  <si>
    <t>Additional Service - Hotel Trimegah Prestige Clients Appreciation Trip 2025</t>
  </si>
  <si>
    <t>173/PCMI/AR/VIII/2025</t>
  </si>
  <si>
    <t>Venue dan Lunch day #2: Market Update Trimegah Prestige Clients Appreciation Trip 2025</t>
  </si>
  <si>
    <t>174/PCMI/AR/VIII/2025</t>
  </si>
  <si>
    <t>Additional Service - Transportation Nasabah LuarJakarta Innova Trimegah Prestige Clients Appreciation Trip 2025</t>
  </si>
  <si>
    <t>175/PCMI/AR/VIII/2025</t>
  </si>
  <si>
    <t>Additional Services - Airlines Tickets Trimegah Prestige Clients Appreciation Trip 2025</t>
  </si>
  <si>
    <t>176/PCMI/AR/VIII/2025</t>
  </si>
  <si>
    <t xml:space="preserve">tbc apakah masuk ke sales 2025 atau 2023 </t>
  </si>
  <si>
    <t>177/PCMI/AR/VIII/2025</t>
  </si>
  <si>
    <t>Trimegah Training Camp 2025 Meeting and Dinner Production</t>
  </si>
  <si>
    <t>Pembayaran inv 177, 179, 180 digabung dgn Total Rp 497.292.284,-</t>
  </si>
  <si>
    <t>178/PCMI/AR/VIII/2025</t>
  </si>
  <si>
    <t>Trimegah Training Camp 2025 Additional Tickets</t>
  </si>
  <si>
    <t>179/PCMI/AR/VIII/2025</t>
  </si>
  <si>
    <t>Trimegah Training Camp 2025 CSR</t>
  </si>
  <si>
    <t>180/PCMI/AR/VIII/2025</t>
  </si>
  <si>
    <t>Trimegah Training Camp 2025 Additional Food and Services</t>
  </si>
  <si>
    <t>181/PCMI/AR/VIII/2025</t>
  </si>
  <si>
    <t>University of Waterloo</t>
  </si>
  <si>
    <t>PYC IEC 2025</t>
  </si>
  <si>
    <t>Pembayaran Produksi Plakat Juri</t>
  </si>
  <si>
    <t>182/PCMI/AR/VIII/2025</t>
  </si>
  <si>
    <t>Pengadaan untuk Event Percepatan Flush Out SA Regional Sumbagsel</t>
  </si>
  <si>
    <t>183/PCMI/AR/VIII/2025</t>
  </si>
  <si>
    <t>Mirae Asset Sekuritas Indonesia, PT</t>
  </si>
  <si>
    <t>184/PCMI/AR/VIII/2025</t>
  </si>
  <si>
    <t>185/PCMI/AR/VIII/2025</t>
  </si>
  <si>
    <t>Additional Pembayaran Incentive Group Insight Goes to Vietnam</t>
  </si>
  <si>
    <t>186/PCMI/AR/VIII/2025</t>
  </si>
  <si>
    <t>187/PCMI/AR/VIII/2025</t>
  </si>
  <si>
    <t>SABIC Asia Pacific Pte Ltd</t>
  </si>
  <si>
    <t>188/PCMI/AR/VIII/2025</t>
  </si>
  <si>
    <t>Cirebon Electric Power (CEP), PT</t>
  </si>
  <si>
    <t>Cirebon Power Employee Gathering Trip Bandung 2025</t>
  </si>
  <si>
    <t>190/PCMI/AR/IX/2025</t>
  </si>
  <si>
    <t>191/PCMI/AR/IX/2025</t>
  </si>
  <si>
    <t>Himbara FGD Balikpapan</t>
  </si>
  <si>
    <t>Pembayaran untuk Hospitality Kegiatan HIMBARA dengan DPR Komisi XI - Balikpapan 12 Agustus 2025</t>
  </si>
  <si>
    <t>192/PCMI/AR/IX/2025</t>
  </si>
  <si>
    <t>Telkomsel Mini WS Sumbagteng Q2 2025</t>
  </si>
  <si>
    <t>Pengadaan untuk Mini WS Sumbagteng Q2 2025 Reg. Sumbagteng</t>
  </si>
  <si>
    <t>193/PCMI/AR/IX/2025</t>
  </si>
  <si>
    <t>Tagihan Termin III (30%) untuk Kegiatan KSEI Seminar Emiten 2025</t>
  </si>
  <si>
    <t>Panitia Natal Kementerian BUMN</t>
  </si>
  <si>
    <t>DP Event KBUMN Natal 2024</t>
  </si>
  <si>
    <t>PYC (Purnomo Yusgiantoro Center)</t>
  </si>
  <si>
    <t>Bridgestone Tire Indonesia, PT</t>
  </si>
  <si>
    <t>Pengadaan untuk Event Vandalisme Palembang 2025</t>
  </si>
  <si>
    <t>Addcost  Telkomsel Delight &amp; Execution 2025</t>
  </si>
  <si>
    <t>Telkomsel Pisah Sambut VP Sales A1</t>
  </si>
  <si>
    <t>Telkomsel Batam Redesign Network Review</t>
  </si>
  <si>
    <t>Telkomsel Int.Event Leaders Meeting Q3 2025 PKU</t>
  </si>
  <si>
    <t>Telkomsel Digital Placement Support Area Sumatera</t>
  </si>
  <si>
    <t>Telkomsel Collaboration Pacu Jalur dan HUT Nias 2025</t>
  </si>
  <si>
    <t>Telkomsel Consolidate Pekanbaru</t>
  </si>
  <si>
    <t>Overtime Agustus  ADUN SOPANDI,</t>
  </si>
  <si>
    <t>Overtime Agustus  SUPRIYADI,</t>
  </si>
  <si>
    <t>Overtime Agustus  SUKANDA,</t>
  </si>
  <si>
    <t>Overtime Agustus  MUHAMMAD UJER AWAL,</t>
  </si>
  <si>
    <t>Lunch AH          RD HIDIANITJE DRA,</t>
  </si>
  <si>
    <t>Himbara KunKer BB TunaiSisaBudHelda CLARA LIA RESTU SA,</t>
  </si>
  <si>
    <t>TSel PisahSambut  SPJ 3D+meals      YOGI PURWO WIDODO,</t>
  </si>
  <si>
    <t>TSel PisSamVPSalesSPJ 3D + Meals    M RIZKY AULIA,</t>
  </si>
  <si>
    <t>Salary PCMI Sep   DAVID HARSAMTO,</t>
  </si>
  <si>
    <t>CR KOREKSI BUNGA ,</t>
  </si>
  <si>
    <t xml:space="preserve">CA-91/25 Yogi YOGI PURWO WIDODO   </t>
  </si>
  <si>
    <t xml:space="preserve">CA-61/25 Odhey DEDI PURWANTO SE   </t>
  </si>
  <si>
    <t xml:space="preserve">Himbara FGD BPN Prod 10-13 Aug AHMAD WIDYA NUGRAH  </t>
  </si>
  <si>
    <t xml:space="preserve">TSel EventKnowFest SoundWirelessGense TRIDAYA MEGA SWARA  </t>
  </si>
  <si>
    <t xml:space="preserve">Lunas Kitchen Set Lounge Rooftop KREASI INDO ALUMUN  </t>
  </si>
  <si>
    <t xml:space="preserve">TSel Pisah Sambut 11Sep 267Paxs ADIMULIA GOLDEN LE  </t>
  </si>
  <si>
    <t xml:space="preserve">Whoosh SMAN3 BDO Meeting RD HIDIANITJE DRA  </t>
  </si>
  <si>
    <t xml:space="preserve">SurveyRestoSancang DEDI PURWANTO SE   </t>
  </si>
  <si>
    <t xml:space="preserve">CA-092/25 Rizky M RIZKY AULIA   </t>
  </si>
  <si>
    <t xml:space="preserve">Kaca film Lounge Rooftop DESWITA MAHESWARI  </t>
  </si>
  <si>
    <t xml:space="preserve">Lunas Canopy Lounge Rooftop ENDIH SETIAWAN AMD  </t>
  </si>
  <si>
    <t xml:space="preserve">BI-FAST CR TRANSFER   DR 009 PAN CONVINCE MITRA     </t>
  </si>
  <si>
    <t xml:space="preserve">KR OTOMATIS RTGS-PT. BANK MIZU MHCCIDJA/006141 CIREBON ENERGI PRA INV 188   </t>
  </si>
  <si>
    <t xml:space="preserve">PPF+SarungSteer Denza RD HIDIANITJE DRA  </t>
  </si>
  <si>
    <t xml:space="preserve">Karpet Mobil Denza RD HIDIANITJE DRA   </t>
  </si>
  <si>
    <t xml:space="preserve">2Kaleng CatDinding Lounge Rooftop RD HIDIANITJE DRA  </t>
  </si>
  <si>
    <t xml:space="preserve">Sink &amp; Kran air Lounge Rooftop RD HIDIANITJE DRA  </t>
  </si>
  <si>
    <t xml:space="preserve">Psg Pipa Air Lounge Rooftop RD HIDIANITJE DRA  </t>
  </si>
  <si>
    <t xml:space="preserve">Orbitz PV Admin Notif Reject ANDIKA MULIA  </t>
  </si>
  <si>
    <t xml:space="preserve">PPF+Sarung KrgByr Denza RD HIDIANITJE DRA  </t>
  </si>
  <si>
    <t xml:space="preserve">TELKOM DIVRE2 02183700953     09 PAN CONVINCE MITRA   </t>
  </si>
  <si>
    <t xml:space="preserve">TELKOM DIVRE2 02183700872     09 PAN CONVINCE MITRA   </t>
  </si>
  <si>
    <t xml:space="preserve">TELKOM DIVRE2 02183700923     09 PAN CONVINCE MITRA   </t>
  </si>
  <si>
    <t xml:space="preserve">TELKOM DIVRE2 02183700967     09 PAN CONVINCE MITRA   </t>
  </si>
  <si>
    <t xml:space="preserve">TELKOM DIVRE2 02183700934     09 PAN CONVINCE MITRA   </t>
  </si>
  <si>
    <t xml:space="preserve">TELKOM DIVRE2 02183700854     09 PAN CONVINCE MITRA   </t>
  </si>
  <si>
    <t xml:space="preserve">TELKOM DIVRE2 02183700926     09 PAN CONVINCE MITRA   </t>
  </si>
  <si>
    <t xml:space="preserve">Shell MotoGpSepang 5 Tiket 26Oct DUA PILAR BERSAMA  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</si>
  <si>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</si>
  <si>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</si>
  <si>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</si>
  <si>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 xml:space="preserve">TSel Supp Renego 4Rms Gr Mercure YOGI PURWO WIDODO  </t>
  </si>
  <si>
    <t xml:space="preserve">TSel O&amp;M Consol T2 2Rm+BFast 1-3Oct DINAMIKA SENTOSA J  </t>
  </si>
  <si>
    <t xml:space="preserve">PLN IP Energy BizF DP 500 Cups+Logo SMATT OFFICIAL IND  </t>
  </si>
  <si>
    <t xml:space="preserve">TSel FBP West Area Support  A1 Sep YOGI PURWO WIDODO  </t>
  </si>
  <si>
    <t xml:space="preserve">TSel SuppRenegoBP Villa Zimzala 8Pax YOGI PURWO WIDODO  </t>
  </si>
  <si>
    <t xml:space="preserve">TSel Supp RenegoBP 4Rms GoldenTulip PESONA ALAM LAMPUN  </t>
  </si>
  <si>
    <t xml:space="preserve">CA-94/25 Rizky M RIZKY AULIA   </t>
  </si>
  <si>
    <t xml:space="preserve">CA-93/25 Frieda FRIDA ACHMADI   </t>
  </si>
  <si>
    <t>203/PCMI/AR/IX/2025 BY PARTISIPASI PELAK Kredit SAP 99999</t>
  </si>
  <si>
    <t xml:space="preserve">PYC IEC 2025 Tambaha 05835 BRINIDJA/CV ANEKA BERSAMA MAK </t>
  </si>
  <si>
    <t xml:space="preserve">20250903BMRIIDJA010O9930012039 </t>
  </si>
  <si>
    <t>TRIMEGAH SEKURITAS   MCM InhouseTrf  DARI TRIMEGAH SEKURITAS INDONESIA</t>
  </si>
  <si>
    <t xml:space="preserve">UBP602123998028000008988890000030956  </t>
  </si>
  <si>
    <t>TSel Farewell Liweta 05860  BNINIDJA/ANITA HERMAWATI</t>
  </si>
  <si>
    <t>20250910BMRIIDJA010O9931131805</t>
  </si>
  <si>
    <t xml:space="preserve">BNINIDJA/PAN CONVINCE MITRA INTERNATIONA </t>
  </si>
  <si>
    <t xml:space="preserve">PYC IEC 2025, Lunas 05918 BRINIDJA/KREASI MILIMETER NUS </t>
  </si>
  <si>
    <t xml:space="preserve">20250911BMRIIDJA010O9931177507 </t>
  </si>
  <si>
    <t>BY REF BANK Biaya rupa2</t>
  </si>
  <si>
    <t xml:space="preserve">TSel Batam Redesign  05862  MCM InhouseTrf  KE PANTRAVEL </t>
  </si>
  <si>
    <t xml:space="preserve">TSel Event Vandalism2.BSMDIDJA/LINDA MORA SIREGAR </t>
  </si>
  <si>
    <t xml:space="preserve">20250911BMRIIDJA010O9931298615 </t>
  </si>
  <si>
    <t>TSel Finalisasi SOP  05864 MCM InhouseTrf  KE PANTRAVEL</t>
  </si>
  <si>
    <t xml:space="preserve">TSel Focus Act Pay 05851  BNINIDJA/DELFIRA RAHMAN </t>
  </si>
  <si>
    <t xml:space="preserve">20250911BMRIIDJA010O9931298618 </t>
  </si>
  <si>
    <t xml:space="preserve">TSel Focus Act Pay S05815  BSMDIDJA/AULIA AYU ASYURA </t>
  </si>
  <si>
    <t xml:space="preserve">20250911BMRIIDJA010O9931298622 </t>
  </si>
  <si>
    <t xml:space="preserve">TSel Batam Redesign  05863  MCM InhouseTrf  KE PANTRAVEL </t>
  </si>
  <si>
    <t xml:space="preserve">Trimegah Prestige Ba 05861   MCM InhouseTrf  KE PANTRAVEL </t>
  </si>
  <si>
    <t>TSel Pisah Sambut, M05938 BRINIDJA/NAJEB MUBARAK</t>
  </si>
  <si>
    <t xml:space="preserve">20250911BMRIIDJA010O9931298624 </t>
  </si>
  <si>
    <t xml:space="preserve">TSel Focus Act Pay S05852  BSMDIDJA/AULIA AYU ASYURA </t>
  </si>
  <si>
    <t xml:space="preserve">20250911BMRIIDJA010O9931298626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</si>
  <si>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</si>
  <si>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</si>
  <si>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</si>
  <si>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</si>
  <si>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BNINIDJA/PAN CONVINCE MITRA INTERNATIONA</t>
  </si>
  <si>
    <t xml:space="preserve">Listrik September    05995  MCM InhouseTrf  KE PANTRAVEL </t>
  </si>
  <si>
    <t>TSel Int Event Leade 05971  BNINIDJA/DELFIRA RAHMAN</t>
  </si>
  <si>
    <t xml:space="preserve">20250917BMRIIDJA010O9932175185 </t>
  </si>
  <si>
    <t>TSel Pengamanan Targ 05946  BNINIDJA/NABILA ASY SYIFA</t>
  </si>
  <si>
    <t xml:space="preserve">20250917BMRIIDJA010O9932175186 </t>
  </si>
  <si>
    <t xml:space="preserve">pembayaran hotel tri megah MCM InhouseTrf  DARI MOHAMAD RISKI ADITIRA </t>
  </si>
  <si>
    <t>Mandiri Visa JT-17Se  MCM InhouseTrf  KE DAVID HARSAMTO</t>
  </si>
  <si>
    <t xml:space="preserve">TSel Foc Act Pay Use 05872  BSMDIDJA/AULIA AYU ASYURA </t>
  </si>
  <si>
    <t xml:space="preserve">TSel PisSam VPSales  05976 MCM InhouseTrf  KE PANTRAVEL </t>
  </si>
  <si>
    <t xml:space="preserve">20250923BMRIIDJA010O9933026358 </t>
  </si>
  <si>
    <t xml:space="preserve">TSEL TLP 2025, 01250 05954   MCM InhouseTrf  KE PANTRAVEL </t>
  </si>
  <si>
    <t>TSel Sales Academy,  06011-12  MCM InhouseTrf  KE PANTRAVEL</t>
  </si>
  <si>
    <t>Himbara FGD Balikpap 05955 MCM InhouseTrf  KE PANTRAVEL</t>
  </si>
  <si>
    <t xml:space="preserve">TSel Focus Act Pay U 06008  MCM InhouseTrf  KE NIRWANA TURISINDO </t>
  </si>
  <si>
    <t>TSel Farewel Liwetan 05869  MCM InhouseTrf  KE PANTRAVEL</t>
  </si>
  <si>
    <t>TSel Direksi Visit M 05951  MCM InhouseTrf  KE PANTRAVEL</t>
  </si>
  <si>
    <t>TSel Supp Renego Bac 06009 MCM InhouseTrf  KE PANTRAVEL Transfer Fee         0600999102</t>
  </si>
  <si>
    <t xml:space="preserve">Refund Double bayar   MCM InhouseTrf  DARI PANTRAVEL </t>
  </si>
  <si>
    <t>05002500201294949   - PT SHELL INDONESIA12206</t>
  </si>
  <si>
    <t xml:space="preserve">Salary PCMI Sep  CENAIDJA/DAVID HARSAMTO </t>
  </si>
  <si>
    <t xml:space="preserve">20250929BMRIIDJA010O9933996888  </t>
  </si>
  <si>
    <t xml:space="preserve">FIT,  0125009653 Lul 06006  MCM InhouseTrf  KE PANTRAVEL </t>
  </si>
  <si>
    <t xml:space="preserve">TSel Pengawalan Even 06051 BNINIDJA/FERNANDO PASARIBU </t>
  </si>
  <si>
    <t xml:space="preserve">20250930BMRIIDJA010O9934216470  </t>
  </si>
  <si>
    <t xml:space="preserve">TSel  Visit Ringfenc 06037 BNINIDJA/SULIDAIYA </t>
  </si>
  <si>
    <t xml:space="preserve">20250930BMRIIDJA010O9934216471 </t>
  </si>
  <si>
    <t>Telkomsel HUT Tsel d 06018 BRINIDJA/NOVLI FELISIA SITUMO</t>
  </si>
  <si>
    <t>20250930BMRIIDJA010O9934216475</t>
  </si>
  <si>
    <t xml:space="preserve">TSel Evaluasi GraPAR 06057 SSPIIDJA/ADE IRMA SARTIKA.T </t>
  </si>
  <si>
    <t xml:space="preserve">20250930BMRIIDJA010O9934216479   </t>
  </si>
  <si>
    <t>TSel Training TL Aca 06058 BNINIDJA/TARISYA FERINA FITRI</t>
  </si>
  <si>
    <t xml:space="preserve">20250930BMRIIDJA010O9934216481  </t>
  </si>
  <si>
    <t xml:space="preserve">Mandiri Pasar Murah, 06069   BRINIDJA/ENDRIK SUYANTO </t>
  </si>
  <si>
    <t xml:space="preserve">20250930BMRIIDJA010O9934216484  </t>
  </si>
  <si>
    <t>Himbara FGD Smg, DP  06071  MCM InhouseTrf  KE CAKRAWALA SAKTI KENCANA</t>
  </si>
  <si>
    <t>PERUM PERHUTANI - 002  Trf Inw CN  BRI PURWAKARTA Sponsor Ibadah dan Natal 2024 KBUMN07000</t>
  </si>
  <si>
    <t>Pin Buk Mandiri Mid   MCM InhouseTrf  KE PAN CONVINCE MITRA INTERNATIONAL</t>
  </si>
  <si>
    <t>Abonemen 092025 CMS PAN CONVINCE MI T:0374891:CMS</t>
  </si>
  <si>
    <t>AUTODEBET CORPORTE PT PAN CONV MTR INTER</t>
  </si>
  <si>
    <t>SPM 252/HCMD/25_PEMB BIAYA SPONSORSHIP E</t>
  </si>
  <si>
    <t>TRF/PAY/TOP-UP ECHANNEL | PEMINDAHAN KE   1220004875566 | 0000000000000000 | 1220004875566    Pin Buk Mandiri MP</t>
  </si>
  <si>
    <t>JASA GIRO/BUNGA</t>
  </si>
  <si>
    <t>SABIC ASIA PACIFIC IND REP OFF - 031     Trf Inw CN  CITIBANK NA, JAKARTA 27950RJGUX0 INVOICE 187PCMIARVIII20207000</t>
  </si>
  <si>
    <t>20251016BMRIIDJA010O9936965045           BRINIDJA/NATAL PERSEKUTUAN UM Retur 22-Jul-202599102</t>
  </si>
  <si>
    <t>20251016BMRIIDJA010O9936965045            99102</t>
  </si>
  <si>
    <t>20251016BMRIIDJA010O9936965046           BRINIDJA/NATAL PERSEKUTUAN UM Retur 22-Jul-202599102</t>
  </si>
  <si>
    <t>20251016BMRIIDJA010O9936965046            99102</t>
  </si>
  <si>
    <t>20251016BMRIIDJA010O9936965050           BRINIDJA/NATAL PERSEKUTUAN UM Retur 22-Jul-202599102</t>
  </si>
  <si>
    <t>20251016BMRIIDJA010O9936965050            99102</t>
  </si>
  <si>
    <t>20251016BMRIIDJA010O9936965403           BRINIDJA/NATAL PERSEKUTUAN UM Retur 22-Jul-202599102</t>
  </si>
  <si>
    <t>20251016BMRIIDJA010O9936965403            99102</t>
  </si>
  <si>
    <t>20251016BMRIIDJA010O9936965408           BRINIDJA/NATAL PERSEKUTUAN UM Retur 22-Jul-202599102</t>
  </si>
  <si>
    <t>20251016BMRIIDJA010O9936965408            99102</t>
  </si>
  <si>
    <t>20251016BMRIIDJA010O9936981007           BRINIDJA/NATAL PERSEKUTUAN UM Retur 22-Jul-202599102</t>
  </si>
  <si>
    <t>20251016BMRIIDJA010O9936981007            99102</t>
  </si>
  <si>
    <t>20251016BMRIIDJA010O9936981012           BRINIDJA/NATAL PERSEKUTUAN UM Retur 22-Jul-202599102</t>
  </si>
  <si>
    <t>20251016BMRIIDJA010O9936981012            99102</t>
  </si>
  <si>
    <t>20251016BMRIIDJA010O9936981014           BRINIDJA/NATAL PERSEKUTUAN UM Retur 22-Jul-202599102</t>
  </si>
  <si>
    <t>20251016BMRIIDJA010O9936981014            99102</t>
  </si>
  <si>
    <t>20251016BMRIIDJA010O9936981017           BRINIDJA/NATAL PERSEKUTUAN UM Retur 22-Jul-202599102</t>
  </si>
  <si>
    <t>20251016BMRIIDJA010O9936981017            99102</t>
  </si>
  <si>
    <t>20251016BMRIIDJA010O9936981022           BRINIDJA/NATAL PERSEKUTUAN UM Retur 22-Jul-202599102</t>
  </si>
  <si>
    <t>20251016BMRIIDJA010O9936981022            99102</t>
  </si>
  <si>
    <t>Pin Buk Mandiri PM MCM InhouseTrf CS-CS  DARI PAN CONVINCE MITRA INTERNATIONAL</t>
  </si>
  <si>
    <t>20251017BMRIIDJA010O9937096430 BIFAST Out CS-GL  BRINIDJA/NATAL PERSEKUTUAN UM</t>
  </si>
  <si>
    <t xml:space="preserve">20251017BMRIIDJA010O9937096430 BIFAST Out CS-GL  </t>
  </si>
  <si>
    <t>20251017BMRIIDJA010O9937096432 BIFAST Out CS-GL  BRINIDJA/NATAL PERSEKUTUAN UM</t>
  </si>
  <si>
    <t xml:space="preserve">20251017BMRIIDJA010O9937096432 BIFAST Out CS-GL  </t>
  </si>
  <si>
    <t>20251017BMRIIDJA010O9937096433 BIFAST Out CS-GL  BRINIDJA/NATAL PERSEKUTUAN UM</t>
  </si>
  <si>
    <t xml:space="preserve">20251017BMRIIDJA010O9937096433 BIFAST Out CS-GL  </t>
  </si>
  <si>
    <t>20251017BMRIIDJA010O9937096436 BIFAST Out CS-GL  BRINIDJA/NATAL PERSEKUTUAN UM</t>
  </si>
  <si>
    <t xml:space="preserve">20251017BMRIIDJA010O9937096436 BIFAST Out CS-GL  </t>
  </si>
  <si>
    <t>20251017BMRIIDJA010O9937096975 BIFAST Out CS-GL  BRINIDJA/NATAL PERSEKUTUAN UM</t>
  </si>
  <si>
    <t xml:space="preserve">20251017BMRIIDJA010O9937096975 BIFAST Out CS-GL  </t>
  </si>
  <si>
    <t>20251017BMRIIDJA010O9937096979 BIFAST Out CS-GL  BRINIDJA/NATAL PERSEKUTUAN UM</t>
  </si>
  <si>
    <t xml:space="preserve">20251017BMRIIDJA010O9937096979 BIFAST Out CS-GL  </t>
  </si>
  <si>
    <t>20251017BMRIIDJA010O9937096982 BIFAST Out CS-GL  BRINIDJA/NATAL PERSEKUTUAN UM</t>
  </si>
  <si>
    <t xml:space="preserve">20251017BMRIIDJA010O9937096982 BIFAST Out CS-GL  </t>
  </si>
  <si>
    <t>20251017BMRIIDJA010O9937097319 BIFAST Out CS-GL  BRINIDJA/NATAL PERSEKUTUAN UM</t>
  </si>
  <si>
    <t xml:space="preserve">20251017BMRIIDJA010O9937097319 BIFAST Out CS-GL  </t>
  </si>
  <si>
    <t>20251017BMRIIDJA010O9937097323 BIFAST Out CS-GL  BRINIDJA/NATAL PERSEKUTUAN UM</t>
  </si>
  <si>
    <t xml:space="preserve">20251017BMRIIDJA010O9937097323 BIFAST Out CS-GL  </t>
  </si>
  <si>
    <t>20251017BMRIIDJA010O9937097325 BIFAST Out CS-GL  BRINIDJA/NATAL PERSEKUTUAN UM</t>
  </si>
  <si>
    <t xml:space="preserve">20251017BMRIIDJA010O9937097325 BIFAST Out CS-GL  </t>
  </si>
  <si>
    <t>20251017BMRIIDJA010O9937098650 BIFAST Out CS-GL  BRINIDJA/NATAL PERSEKUTUAN UM</t>
  </si>
  <si>
    <t xml:space="preserve">20251017BMRIIDJA010O9937098650 BIFAST Out CS-GL  </t>
  </si>
  <si>
    <t>20251017BMRIIDJA010O9937099006 BIFAST Out CS-GL  BRINIDJA/NATAL PERSEKUTUAN UM</t>
  </si>
  <si>
    <t xml:space="preserve">20251017BMRIIDJA010O9937099006 BIFAST Out CS-GL  </t>
  </si>
  <si>
    <t>20251017BMRIIDJA010O9937099007 BIFAST Out CS-GL  BRINIDJA/NATAL PERSEKUTUAN UM</t>
  </si>
  <si>
    <t xml:space="preserve">20251017BMRIIDJA010O9937099007 BIFAST Out CS-GL  </t>
  </si>
  <si>
    <t>20251017BMRIIDJA010O9937099336 BIFAST Out CS-GL  BRINIDJA/NATAL PERSEKUTUAN UM</t>
  </si>
  <si>
    <t xml:space="preserve">20251017BMRIIDJA010O9937099336 BIFAST Out CS-GL  </t>
  </si>
  <si>
    <t>20251017BMRIIDJA010O9937099341 BIFAST Out CS-GL  BRINIDJA/NATAL PERSEKUTUAN UM</t>
  </si>
  <si>
    <t xml:space="preserve">20251017BMRIIDJA010O9937099341 BIFAST Out CS-GL  </t>
  </si>
  <si>
    <t>20251017BMRIIDJA010O9937104428 BIFAST Out CS-GL  BRINIDJA/NATAL PERSEKUTUAN UM</t>
  </si>
  <si>
    <t xml:space="preserve">20251017BMRIIDJA010O9937104428 BIFAST Out CS-GL  </t>
  </si>
  <si>
    <t>20251017BMRIIDJA010O9937104430 BIFAST Out CS-GL  BRINIDJA/NATAL PERSEKUTUAN UM</t>
  </si>
  <si>
    <t xml:space="preserve">20251017BMRIIDJA010O9937104430 BIFAST Out CS-GL  </t>
  </si>
  <si>
    <t>20251017BMRIIDJA010O9937104540 BIFAST Out CS-GL  BRINIDJA/NATAL PERSEKUTUAN UM</t>
  </si>
  <si>
    <t xml:space="preserve">20251017BMRIIDJA010O9937104540 BIFAST Out CS-GL  </t>
  </si>
  <si>
    <t>20251017BMRIIDJA010O9937104544 BIFAST Out CS-GL  BRINIDJA/NATAL PERSEKUTUAN UM</t>
  </si>
  <si>
    <t xml:space="preserve">20251017BMRIIDJA010O9937104544 BIFAST Out CS-GL  </t>
  </si>
  <si>
    <t>20251017BMRIIDJA010O9937104831 BIFAST Out CS-GL  BRINIDJA/NATAL PERSEKUTUAN UM</t>
  </si>
  <si>
    <t xml:space="preserve">20251017BMRIIDJA010O9937104831 BIFAST Out CS-GL  </t>
  </si>
  <si>
    <t>20251017BMRIIDJA010O9937104834 BIFAST Out CS-GL  BRINIDJA/NATAL PERSEKUTUAN UM</t>
  </si>
  <si>
    <t xml:space="preserve">20251017BMRIIDJA010O9937104834 BIFAST Out CS-GL  </t>
  </si>
  <si>
    <t>20251017BMRIIDJA010O9937105364 BIFAST Out CS-GL  BRINIDJA/NATAL PERSEKUTUAN UM</t>
  </si>
  <si>
    <t xml:space="preserve">20251017BMRIIDJA010O9937105364 BIFAST Out CS-GL  </t>
  </si>
  <si>
    <t>20251017BMRIIDJA010O9937105368 BIFAST Out CS-GL  BRINIDJA/NATAL PERSEKUTUAN UM</t>
  </si>
  <si>
    <t xml:space="preserve">20251017BMRIIDJA010O9937105368 BIFAST Out CS-GL  </t>
  </si>
  <si>
    <t>20251017BMRIIDJA010O9937105712 BIFAST Out CS-GL  BRINIDJA/NATAL PERSEKUTUAN UM</t>
  </si>
  <si>
    <t xml:space="preserve">20251017BMRIIDJA010O9937105712 BIFAST Out CS-GL  </t>
  </si>
  <si>
    <t>20251017BMRIIDJA010O9937105715 BIFAST Out CS-GL  BRINIDJA/NATAL PERSEKUTUAN UM</t>
  </si>
  <si>
    <t xml:space="preserve">20251017BMRIIDJA010O9937105715 BIFAST Out CS-GL  </t>
  </si>
  <si>
    <t>20251017BMRIIDJA010O9937116401 BIFAST Out CS-GL  BRINIDJA/NATAL PERSEKUTUAN UM</t>
  </si>
  <si>
    <t xml:space="preserve">20251017BMRIIDJA010O9937116401 BIFAST Out CS-GL  </t>
  </si>
  <si>
    <t>20251017BMRIIDJA010O9937116756 BIFAST Out CS-GL  BRINIDJA/NATAL PERSEKUTUAN UM</t>
  </si>
  <si>
    <t xml:space="preserve">20251017BMRIIDJA010O9937116756 BIFAST Out CS-GL  </t>
  </si>
  <si>
    <t>20251017BMRIIDJA010O9937116740 BIFAST Out CS-GL  BRINIDJA/NATAL PERSEKUTUAN UM</t>
  </si>
  <si>
    <t xml:space="preserve">20251017BMRIIDJA010O9937116740 BIFAST Out CS-GL  </t>
  </si>
  <si>
    <t>20251017BMRIIDJA010O9937117509 BIFAST Out CS-GL  BRINIDJA/NATAL PERSEKUTUAN UM</t>
  </si>
  <si>
    <t xml:space="preserve">20251017BMRIIDJA010O9937117509 BIFAST Out CS-GL  </t>
  </si>
  <si>
    <t xml:space="preserve">20251017BMRIIDJA010O9937097319 BIFAST Out CS-GL  BRINIDJA/NATAL  PERSEKUTUAN UM </t>
  </si>
  <si>
    <t>20251001BMRIIDJA010O9934473062            99102</t>
  </si>
  <si>
    <t>20251001BMRIIDJA010O9934473067            99102</t>
  </si>
  <si>
    <t>20251001BMRIIDJA010O9934473073            99102</t>
  </si>
  <si>
    <t>20251001BMRIIDJA010O9934518442            99102</t>
  </si>
  <si>
    <t>20251003BMRIIDJA010O9934786495            99102</t>
  </si>
  <si>
    <t>B.MANDIRI PASAR MURAH REGION JAYA PURA   Setor Tunai 12206</t>
  </si>
  <si>
    <t>B.MANDIRI PASAR MURAH REGION PALEMBANG   Setor Tunai 12206</t>
  </si>
  <si>
    <t>PT TELEKOMUNIKASI SELULAR - 031 INW.CN-SKN CR CA-MCS  PAN CONVINCE MITRA I</t>
  </si>
  <si>
    <t>Mandiri Visa JT-18Oc MCM InhouseTrf CS-CS  KE DAVID HARSAMTO</t>
  </si>
  <si>
    <t>Pin Buk Mandiri PM MCM InhouseTrf CS-CS  KE PAN CONVINCE MITRA INTERNATIONAL</t>
  </si>
  <si>
    <t xml:space="preserve">VOUCHER SEMBAKO PASAR  MURAH REGION CA Overbooking CA  </t>
  </si>
  <si>
    <t>PAN CONVINCE MITRA I - 200 INW.CN-SKN CR CA-MCS  PAN CONVINCE MITRA I</t>
  </si>
  <si>
    <t xml:space="preserve">20251030BMRIIDJA010O9930719157 BIFAST Out CS-GL  </t>
  </si>
  <si>
    <t>TSel Youth Battle Sc 06326 06326 MCM InhouseTrf CS-CS  KE PANTRAVEL</t>
  </si>
  <si>
    <t>TSel GraPARI TOMO, 0 06329 06329 MCM InhouseTrf CS-CS  KE PANTRAVEL</t>
  </si>
  <si>
    <t>TSel  O&amp;M Consolidat06365 BIFAST Out CS-GL  BRINIDJA/NOVLI FELISIA SITUMO</t>
  </si>
  <si>
    <t xml:space="preserve">20251030BMRIIDJA010O9930719160 BIFAST Out CS-GL  </t>
  </si>
  <si>
    <t>TSel O&amp;M Consolidati06364 BIFAST Out CS-GL  BBIJIDJA/I PUTU EKA UDAYANA RUDITA,ST</t>
  </si>
  <si>
    <t xml:space="preserve">20251030BMRIIDJA010O9930719165 BIFAST Out CS-GL  </t>
  </si>
  <si>
    <t>ISO 9001-2015, ISO 1 06409 06409 MCM InhouseTrf CS-CS  KE RIR SERTIFIKASI INDONESIA</t>
  </si>
  <si>
    <t>TSel GraPARI TOMO, S06361 BIFAST Out CS-GL  BNINIDJA/RAY DADANG ARIFIN</t>
  </si>
  <si>
    <t xml:space="preserve">20251030BMRIIDJA010O9930719169 BIFAST Out CS-GL  </t>
  </si>
  <si>
    <t xml:space="preserve">20251030BMRIIDJA010O9930719174 BIFAST Out CS-GL  </t>
  </si>
  <si>
    <t>TSel WS Sales A1 Pla MCM InhouseTrf CS-CS  KE PANTRAVEL</t>
  </si>
  <si>
    <t>Listrik Oktober 25   06419 06419 MCM InhouseTrf CS-CS  KE PANTRAVEL</t>
  </si>
  <si>
    <t>Pin Buk BRI Sahardjo BIFAST Out CS-GL  BRINIDJA/PAN CONVINCE MITRA I</t>
  </si>
  <si>
    <t xml:space="preserve">20251030BMRIIDJA010O9930743149 BIFAST Out CS-GL  </t>
  </si>
  <si>
    <t>UOB Master JT-5Nop  142,192,510 BIFAST Out CS-GL  BBIJIDJA/DAVID HARSAMTO</t>
  </si>
  <si>
    <t xml:space="preserve">20251030BMRIIDJA010O9930802388 BIFAST Out CS-GL  </t>
  </si>
  <si>
    <t>20251017BMRIIDJA010O9937184983           BRINIDJA/NATAL PERSEKUTUAN UM Retur 29-Jul-202599102</t>
  </si>
  <si>
    <t xml:space="preserve">Pin Buk Mandiri MP 202510021341316512 </t>
  </si>
  <si>
    <t xml:space="preserve">Pin Buk Mandiri MP 202510281387114872 </t>
  </si>
  <si>
    <t xml:space="preserve">Pin Buk Mandiri MP 20251030876836090 </t>
  </si>
  <si>
    <t>Pin Buk BCA Juanda 5350285999 PAN CONVINCE MI 001164432281 BCA</t>
  </si>
  <si>
    <t>Pin Buk BCA Juanda TRF 5350285999 PAN CONVINCE MI 001164432281 BCA</t>
  </si>
  <si>
    <t>Pin Buk BTN PCMI Retur 15May DR 5750489666 RD HIDIANITJE DR 000090439637 BCA</t>
  </si>
  <si>
    <t>Pin Buk BTN PCMI Retur 15May DR 5750489666 RD HIDIANITJE DR 000090447728 BCA</t>
  </si>
  <si>
    <t>Pin Buk BTN PCMI Retur 15May DR 5750489666 RD HIDIANITJE DR 000096906833 BCA</t>
  </si>
  <si>
    <t>Pin Buk BTN PCMI Retur 15May DR 5750489666 RD HIDIANITJE DR 000096916241 BCA</t>
  </si>
  <si>
    <t>BI FAST Transfer DR 1220004875566 PAN CONVINCE MIT 000030179803 BMRI MANDIRI</t>
  </si>
  <si>
    <t>Pin Buk BTN PCMI Retur 2-Jun DR 5750489666 RD HIDIANITJE DR 000010160347 BCA</t>
  </si>
  <si>
    <t>Pin Buk BTN PCMI Retur 2-Jun DR 5750489666 RD HIDIANITJE DR 000010167740 BCA</t>
  </si>
  <si>
    <t>Mandiri PasarMurahSPJ 1D 2Oct       PRAJA SAPUTRA S,</t>
  </si>
  <si>
    <t>Mandiri PasarMurahSPJ 1D Sembako    VERAWATI,</t>
  </si>
  <si>
    <t>Mandiri PasarMurahSPJ 1D 2Oct       ALIF FAREZA,</t>
  </si>
  <si>
    <t>Pin Buk BCA Juanda29-Apr-25         PAN CONVINCE MITRA,</t>
  </si>
  <si>
    <t>BI-FAST CR TRANSFER   DR 002 PAN CONVINCE MITRA,</t>
  </si>
  <si>
    <t>BI-FAST DB TRANSFER   KE 008 PAN CONVINCE MITRAKBI,</t>
  </si>
  <si>
    <t>BI-FAST DB BIAYA TXN  KE 008 PAN CONVINCE MITRAKBI,</t>
  </si>
  <si>
    <t>Mandiri PasarMurahSPJ 2Oct          DEDI PURWANTO SE,</t>
  </si>
  <si>
    <t>PLN IP Energy BF  SPJ 5-6 Oct       DEDI PURWANTO SE,</t>
  </si>
  <si>
    <t>Overtime Sep      ADUN SOPANDI,</t>
  </si>
  <si>
    <t>Overtime Sep      SUPRIYADI,</t>
  </si>
  <si>
    <t>Overtime Sep      MUHAMMAD UJER AWAL,</t>
  </si>
  <si>
    <t>Overtime Sep      SUKANDA,</t>
  </si>
  <si>
    <t>Mandiri PasarMurahSPJ 2-Oct         YOGI PURWO WIDODO,</t>
  </si>
  <si>
    <t>Mandiri PasarMurahSPJ 3D 30Sep-02OctDIMAS DANANG JOYO,</t>
  </si>
  <si>
    <t>PLN IP Energy BF  SPJ 7Oct          MUHAMMAD FADLI AKB,</t>
  </si>
  <si>
    <t>Dipinjam PCMI BCA 666               DAVID HARSAMTO,</t>
  </si>
  <si>
    <t>Mandiri PasarMurahSPJ 2-Oct         MUHAMMAD FADLI AKB,</t>
  </si>
  <si>
    <t>Mandiri PasarMurahSPJ 2D 1-2Oct     ADUN SOPANDI,</t>
  </si>
  <si>
    <t>Mandiri PasarMurahSPJ 1D 2Oct       ANALITA YULISTYA C,</t>
  </si>
  <si>
    <t>Mandiri PasarMurahSPJ 2D + meals    MUHAMMAD UJER AWAL,</t>
  </si>
  <si>
    <t>Mandiri PasarMurahSPJ 1D 2Oct       MUHAMMAD UJER AWAL,</t>
  </si>
  <si>
    <t>Mandiri PasarMurahSPJ 2D 1-2 Oct    SUPRIYADI,</t>
  </si>
  <si>
    <t>Mandiri PasarMurahSPJ 1D 2Oct       SUTARNO,</t>
  </si>
  <si>
    <t>Mandiri PasarMurahSPJ 2D Reg BandungFRIDA ACHMADI,</t>
  </si>
  <si>
    <t>Mandiri PasarMurahSPJ 1D 2Oct RegJKTFRIDA ACHMADI,</t>
  </si>
  <si>
    <t>Mandiri PasarMurahSPJ 4D + Meals    DIMAS DANANG JOYO,</t>
  </si>
  <si>
    <t>Mandiri PasarMurahSPJ 5D + Meals    M RIZKY AULIA,</t>
  </si>
  <si>
    <t>Mandiri PasarMurahSPJ 3D 30Sep-2Oct M RIZKY AULIA,</t>
  </si>
  <si>
    <t>Mandiri PasarMurahSPJ 1D 2Oct       HERI HERMAWAN,</t>
  </si>
  <si>
    <t>Mandiri PasarMurahSPJ 4D + Meals BDGHERI HERMAWAN,</t>
  </si>
  <si>
    <t>Mandiri PasarMurahSPJ 2D 1-2 Oct    ALEXADRUS NULIADY,</t>
  </si>
  <si>
    <t>PLN IP Energy BF  SPJ 1D 4Oct       PRAJA SAPUTRA S,</t>
  </si>
  <si>
    <t>Mtg TSel ProcMedanPerpanjang KontrakYOGI PURWO WIDODO,</t>
  </si>
  <si>
    <t>Mandiri PasarMurahSPJ 4D + Meals BDGREVIANA VERONICA P,</t>
  </si>
  <si>
    <t>CR TRF               NATAL PERSEKUTUAN 002  IB BISNIS,</t>
  </si>
  <si>
    <t>Mandiri PasarMurahSPJ3D+MealsMakasarDEDI PURWANTO SE,</t>
  </si>
  <si>
    <t>Mandiri PasarMurahSPJ1D KoordDokumenYOGI PURWO WIDODO,</t>
  </si>
  <si>
    <t>Mandiri PasarMurahSPJ 4D+Meals SEM  MARIA PATRICIA SUG,</t>
  </si>
  <si>
    <t>Mandiri PasarMurahSPJ 2D            MARIA PATRICIA SUG,</t>
  </si>
  <si>
    <t>Mandiri PasarMurahSPJ 5D Palembang  ALEXADRUS NULIADY,</t>
  </si>
  <si>
    <t>Mandiri PasarMurahSPJ 5D+Meals PLM  ANALITA YULISTYA C,</t>
  </si>
  <si>
    <t>Konsul+Obat AH    Singapore Clinic  RD HIDIANITJE DRA,</t>
  </si>
  <si>
    <t>BI-FAST DB TRANSFER   KE 200 PAN CONVINCE MITRAKBI,</t>
  </si>
  <si>
    <t>BI-FAST DB BIAYA TXN  KE 200 PAN CONVINCE MITRAKBI,</t>
  </si>
  <si>
    <t>SISA CA 00106     MARIA PATRICIA SUG,</t>
  </si>
  <si>
    <t>Salary PCMI Sep   Kurang Bayar      DAVID HARSAMTO,</t>
  </si>
  <si>
    <t>Salary PCMI Oct   DAVID HARSAMTO,</t>
  </si>
  <si>
    <t>Pers Loan WA 29OctRtn 10Jt/Mth+BonusRD HIDIANITJE DRA,</t>
  </si>
  <si>
    <t>FIT TIX lulita    RD HIDIANITJE DRA,</t>
  </si>
  <si>
    <t xml:space="preserve">KR OTOMATIS LLG-DBS INDONESIA PT TOWER BERSAMA  EXPN-TB-073951-25   </t>
  </si>
  <si>
    <t xml:space="preserve">Laporan CA 091 202 5 an Yogi  YOGI PURWO WIDODO </t>
  </si>
  <si>
    <t xml:space="preserve">Mandiri Psr Murah FunBounch&amp;Fishing  ANOOSHEH JIA RESTU </t>
  </si>
  <si>
    <t xml:space="preserve">CA-96/25 Frieda FRIDA ACHMADI  </t>
  </si>
  <si>
    <t xml:space="preserve">BI-FAST DB TRANSFER   KE 008 PAN CONVINCE MITRA  KBB  </t>
  </si>
  <si>
    <t xml:space="preserve">BI-FAST DB BIAYA TXN  KE 008 PAN CONVINCE MITRA  KBB  </t>
  </si>
  <si>
    <t xml:space="preserve">PLN IP Energy BF 22 Blazer JOBB  MIDO INDONESIA PT </t>
  </si>
  <si>
    <t xml:space="preserve">Mandiri PasarMurah Band Abel  ANDRE NANLOHY </t>
  </si>
  <si>
    <t xml:space="preserve">Mandiri PasarMurah MC Ikhe Mutiara  IKHE MUTIARA </t>
  </si>
  <si>
    <t xml:space="preserve">BI-FAST CR TRANSFER   DR 009 PAN CONVINCE MITRA    </t>
  </si>
  <si>
    <t xml:space="preserve">Mandiri PasarMurah DP EO Reg Kupang  OCTHAVIANUS EMBU E </t>
  </si>
  <si>
    <t xml:space="preserve">Mandiri PasarMurah PIC Reg Jayapura  RAMADHAN PUTRA </t>
  </si>
  <si>
    <t xml:space="preserve">Mandiri PasarMurah Koordinator UMKM  AJENG PUTRI HARYAN </t>
  </si>
  <si>
    <t xml:space="preserve">Mandiri PasarMurah PIC Reg Makasar 6D  DINA KARDIENA HAKI </t>
  </si>
  <si>
    <t xml:space="preserve">Mandiri PasarMurah PIC Reg Medan 6D  MOCH SUPRIYADI </t>
  </si>
  <si>
    <t xml:space="preserve">Mandiri PasarMurah PIC RegSurabaya 6D  AJENG PUTRI HARYAN </t>
  </si>
  <si>
    <t xml:space="preserve">Mandiri PasarMurah PIC Reg Surabaya  PRAFITRIA ARTHA LE </t>
  </si>
  <si>
    <t xml:space="preserve">Mandiri PasarMurah PIC Reg Kupang  BENARDI IRIAWAN </t>
  </si>
  <si>
    <t xml:space="preserve">Mandiri PasarMurah PIC Reg Samarinda  RIAN KARTIKA </t>
  </si>
  <si>
    <t xml:space="preserve">Mandiri PasarMurah PIC RegMedan 10Oct  AHMAD WIDYA NUGRAH </t>
  </si>
  <si>
    <t xml:space="preserve">Mandiri PasarMurah 2 Runner 2Oct  AJENG PUTRI HARYAN </t>
  </si>
  <si>
    <t xml:space="preserve">Bunga Papan HUT-30 PLN IP  DHEFFY KRISTANTO </t>
  </si>
  <si>
    <t xml:space="preserve">Mandiri PasarMurah Pawang hujan  TEGUH SRI SUSENO </t>
  </si>
  <si>
    <t xml:space="preserve">Bunga Papan Ultah BankMandiri  DHEFFY KRISTANTO </t>
  </si>
  <si>
    <t xml:space="preserve">PLN IP Energy BF Lunas 500 Tumbler  SMATT OFFICIAL IND </t>
  </si>
  <si>
    <t xml:space="preserve">BI-FAST CR TRANSFER   DR 011 I MADE ARYAWAN    </t>
  </si>
  <si>
    <t xml:space="preserve">BI-FAST CR TRANSFER   DR 013 MARGARETA YOVITA S    </t>
  </si>
  <si>
    <t xml:space="preserve">CA-098/25 Odhey DEDI PURWANTO SE  </t>
  </si>
  <si>
    <t xml:space="preserve">CA-097/25 Frieda FRIDA ACHMADI  </t>
  </si>
  <si>
    <t xml:space="preserve">CA-93/25 Frieda FRIDA ACHMADI  </t>
  </si>
  <si>
    <t xml:space="preserve">Mandiri PasarMurah LunasSewa Surabaya  JANUARI PUSPITARIN </t>
  </si>
  <si>
    <t xml:space="preserve">Mandiri PasarMurah DP Sewa Surabaya  JANUARI PUSPITARIN </t>
  </si>
  <si>
    <t xml:space="preserve">Mandiri PasarMurah TShirt,Polo,Kupon  MUHAMMAD ANGGARA D </t>
  </si>
  <si>
    <t xml:space="preserve">Mandiri PasarMurah DP Reg Palembang  DANDY FERDYANSYAH </t>
  </si>
  <si>
    <t xml:space="preserve">Mandiri PasarMurah 6 Registration 1D  ALIF FAREZA </t>
  </si>
  <si>
    <t xml:space="preserve">CA-104/25 Odhey DEDI PURWANTO SE  </t>
  </si>
  <si>
    <t xml:space="preserve">CA-102/25 Alex ALEXADRUS NULIADY  </t>
  </si>
  <si>
    <t xml:space="preserve">CA-101/25 Rizky M RIZKY AULIA  </t>
  </si>
  <si>
    <t xml:space="preserve">Mandiri PasarMurah Htl IdayuNatunaPLM  YOGI PURWO WIDODO </t>
  </si>
  <si>
    <t xml:space="preserve">Pin Buk BCA Juanda 29-Apr-25  RD HIDIANITJE DRA </t>
  </si>
  <si>
    <t xml:space="preserve">Mandiri PasarMurah Supp PIC Reg Smrd  GUTURI HUHUTU </t>
  </si>
  <si>
    <t xml:space="preserve">Mandiri PasarMurah 40 UMKM Reg SUB  AJENG PUTRI HARYAN </t>
  </si>
  <si>
    <t xml:space="preserve">Mandiri PasarMurah 5000Kupon Reg PLM  M MAULANA </t>
  </si>
  <si>
    <t xml:space="preserve">PT. Grand Indonesi GRAND INDONESIA PT  </t>
  </si>
  <si>
    <t xml:space="preserve">Mandiri PasarMurah 4Crew Sembako 2Oct  AUDREY DESQIA TJAN </t>
  </si>
  <si>
    <t xml:space="preserve">Mandiri PasarMurah DP Reg Bandung  MOHAMAD DIMAS TRIK </t>
  </si>
  <si>
    <t xml:space="preserve">Mandiri PasarMurah Keamanan,Ijin, Dll  SANDI FITRIANSYAH </t>
  </si>
  <si>
    <t xml:space="preserve">Mandiri PasarMurah Genset100KVA Smrd  ANSORI </t>
  </si>
  <si>
    <t xml:space="preserve">BI-FAST CR TRANSFER   DR 200 PAN CONVINCE MITRA    </t>
  </si>
  <si>
    <t xml:space="preserve">Dipinjam PCMI BCA Juanda  NY NURLAILA HUTABA </t>
  </si>
  <si>
    <t xml:space="preserve">Mandiri PasarMurah Kupon UMKM SUB  SATRIA KOMUNIKA PR </t>
  </si>
  <si>
    <t xml:space="preserve">Mandiri PasarMurah +an Biaya Surabaya  JANUARI PUSPITARIN </t>
  </si>
  <si>
    <t xml:space="preserve">Mandiri PasarMurah DP Reg Kupang  OCTHAVIANUS EMBU E </t>
  </si>
  <si>
    <t xml:space="preserve">BI-FAST CR TRANSFER   DR 028 DAVID HARSAMTO    </t>
  </si>
  <si>
    <t xml:space="preserve">LLG-DBS INDONESIA PT TOWER BERSAMA  EXPN-TB-074712-25   </t>
  </si>
  <si>
    <t xml:space="preserve">Mandiri PasarMurah 40 UMKM Samarinda  RIZKI ARI WIBOWO </t>
  </si>
  <si>
    <t xml:space="preserve">Bunga HUT Ibu Elly PRISKA YANTI WIDYA  </t>
  </si>
  <si>
    <t xml:space="preserve">PLN IP Energy BF Crew logistik 2D  REGA SATRIA FELANG </t>
  </si>
  <si>
    <t xml:space="preserve">PLN IP Energy BF Crew logistik 2D  AGUNG ROMADONI </t>
  </si>
  <si>
    <t xml:space="preserve">PLN IP Energy BF Runner 2D 5-6 Oct  MUHAMAD IYAN SURYA </t>
  </si>
  <si>
    <t xml:space="preserve">PLN IP Energy BF Runner 1D  RAKA DRAJAT PUTRA </t>
  </si>
  <si>
    <t xml:space="preserve">PLN IP Energy BF PIC Produksi 2D  R DINAR KUSUMAYANT </t>
  </si>
  <si>
    <t xml:space="preserve">Mandiri PasarMurah Reddoorz Samarinda  YOGI PURWO WIDODO </t>
  </si>
  <si>
    <t xml:space="preserve">Shell MotoGpSepang LA+CrownPlaza  MALVIN DESTRIADHI </t>
  </si>
  <si>
    <t xml:space="preserve">PLN IP Energy BF 3 LiveCam+switcher  SUTRISNO </t>
  </si>
  <si>
    <t xml:space="preserve">PLN IP Energy BF Show Mgt+Streaming  TEUKU DONNYA SYAHP </t>
  </si>
  <si>
    <t xml:space="preserve">PLN IP Energy BF HomeBand+SoundSys  STELLA NINDYA </t>
  </si>
  <si>
    <t xml:space="preserve">TSel WSSalesA1Play DP 52Rms+125Dnr  MULTI DAYA INVESTA </t>
  </si>
  <si>
    <t xml:space="preserve">Pin Buk BCA Sho RD HIDIANITJE DRA  </t>
  </si>
  <si>
    <t xml:space="preserve">PANCONVINCE INSIGH HT X MASI GOES TO  INSIGHT INVESTMENT </t>
  </si>
  <si>
    <t xml:space="preserve">CR TRANSFER   DR 008 PAN CONVINCE MITRA    </t>
  </si>
  <si>
    <t xml:space="preserve">TSEL WSSalesA1PHSH MotivatorJamesGwee  ACADEMIA CITRA ABA </t>
  </si>
  <si>
    <t xml:space="preserve">LLG-DBS INDONESIA PT TOWER BERSAMA  EXPN-TB-071053-25   </t>
  </si>
  <si>
    <t xml:space="preserve">TSel WSSalesA1PHSH Catering Batam  MANVIA MEGA SOLUSI </t>
  </si>
  <si>
    <t xml:space="preserve">PLN IP Energy BF Gardening  HARTONO </t>
  </si>
  <si>
    <t xml:space="preserve">TELKOM DIVRE2  02183700953     10 PAN CONVINCE MITRA  0232055350285999 </t>
  </si>
  <si>
    <t xml:space="preserve">TELKOM DIVRE2  02183700923     10 PAN CONVINCE MITRA  0232055350285999 </t>
  </si>
  <si>
    <t xml:space="preserve">TELKOM DIVRE2  02183700934     10 PAN CONVINCE MITRA  0232055350285999 </t>
  </si>
  <si>
    <t xml:space="preserve">TELKOM DIVRE2  02183700854     10 PAN CONVINCE MITRA  0232055350285999 </t>
  </si>
  <si>
    <t xml:space="preserve">TELKOM DIVRE2  02183700926     10 PAN CONVINCE MITRA  0232055350285999 </t>
  </si>
  <si>
    <t xml:space="preserve">TELKOM DIVRE2  02183700967     10 PAN CONVINCE MITRA  0232055350285999 </t>
  </si>
  <si>
    <t xml:space="preserve">TELKOM DIVRE2  02183700872     10 PAN CONVINCE MITRA  0232055350285999 </t>
  </si>
  <si>
    <t xml:space="preserve">CA-106/25 MARIA PATRICIA SUG  </t>
  </si>
  <si>
    <t xml:space="preserve">CA-105/25 Yogi YOGI PURWO WIDODO  </t>
  </si>
  <si>
    <t xml:space="preserve">LLG-DBS INDONESIA PT TOWER BERSAMA  EXPN-TB-077461-25   </t>
  </si>
  <si>
    <t xml:space="preserve">LLG-DBS INDONESIA PT TOWER BERSAMA  EXPN-TB-073888-25   </t>
  </si>
  <si>
    <t xml:space="preserve">Mandiri PasarMurah Transport Reg SUB  AJENG PUTRI HARYAN </t>
  </si>
  <si>
    <t xml:space="preserve">Mandiri PasarMurah Show Mgt Reg Jkt  TEUKU DONNYA SYAHP </t>
  </si>
  <si>
    <t xml:space="preserve">Mandiri PasarMurah Lunas Reg Kupang  OCTHAVIANUS EMBU E </t>
  </si>
  <si>
    <t xml:space="preserve">Mandiri PasarMurah Krg Byr UMKM JKT  AJENG PUTRI HARYAN </t>
  </si>
  <si>
    <t xml:space="preserve">Shell MotoGPSepang Land Arr 24-26Oct  DUA PILAR BERSAMA </t>
  </si>
  <si>
    <t xml:space="preserve">Mandiri PasarMurah T-shirt+KuponSmbk  MUHAMMAD ANGGARA D </t>
  </si>
  <si>
    <t xml:space="preserve">Meja+Ambalan PCMI LoungeRooftop  BAMBANG SUPRIYANTO </t>
  </si>
  <si>
    <t xml:space="preserve">Mandiri PasarMurah ProdCrew 3D JKT  FAJAR HAIRRULLAH </t>
  </si>
  <si>
    <t xml:space="preserve">Mandiri PasarMurah Crew Log 1D JKT  REGA SATRIA FELANG </t>
  </si>
  <si>
    <t xml:space="preserve">Mandiri PasarMurah ProdCrew 3D JKT  R DINAR KUSUMAYANT </t>
  </si>
  <si>
    <t xml:space="preserve">Mandiri PasarMurah Crew Log+Loading  AGUNG ROMADONI </t>
  </si>
  <si>
    <t xml:space="preserve">Mandiri PasarMurah AlatBerat+SenamJKT  ECKY MOHAMMAD RIDW </t>
  </si>
  <si>
    <t xml:space="preserve">BSIN Tomo Gath Produksi 4Aug  IBNU CHUZAYMAH </t>
  </si>
  <si>
    <t xml:space="preserve">Mandiri PasarMurah 10HT 2Oct Reg JKT  RINI INDRANTI </t>
  </si>
  <si>
    <t xml:space="preserve">Mandiri PasarMurah Dokumentasi RegJKT  KATHERIN VICENTIA </t>
  </si>
  <si>
    <t xml:space="preserve">Pembayaran EO IEC 2025  YAY PURNOMO YUSGIA </t>
  </si>
  <si>
    <t xml:space="preserve">retur CA 00104 odh ey  DEDI PURWANTO SE </t>
  </si>
  <si>
    <t xml:space="preserve">TSel Increase FS 2 InnovaReborn  NOVA INDRI ASIH </t>
  </si>
  <si>
    <t xml:space="preserve">Peralatan PCMI RoofTop Lounge  RD HIDIANITJE DRA </t>
  </si>
  <si>
    <t xml:space="preserve">Mandiri PasarMurah AddCost EO SUB  SATRIA KOMUNIKA PR </t>
  </si>
  <si>
    <t xml:space="preserve">PLN IP Energy BF Lighting  MASRUHIN </t>
  </si>
  <si>
    <t xml:space="preserve">retur CA 00098 DEDI PURWANTO SE  </t>
  </si>
  <si>
    <t xml:space="preserve">LLG-CITIBANK PT MIRAE ASSET SEK  TRAVELAGT   </t>
  </si>
  <si>
    <t xml:space="preserve">Mandiri PasarMurah AddCost Semarang  ROBERTUS BELLARMIN </t>
  </si>
  <si>
    <t xml:space="preserve">Shell MotoGpSepang UangSaku MYR  TOM VALASINDO PT </t>
  </si>
  <si>
    <t xml:space="preserve">Mandiri PasarMurah Lunas EO Kupang  OCTHAVIANUS EMBU E </t>
  </si>
  <si>
    <t xml:space="preserve">Mandiri PasarMurah Lunas Palembang  DANDY FERDYANSYAH </t>
  </si>
  <si>
    <t xml:space="preserve">BRI HBH Developer Produksi FOH Dll  IBNU CHUZAYMAH </t>
  </si>
  <si>
    <t xml:space="preserve">Mandiri PasarMurah Lunas Req Bandung  MOHAMAD DIMAS TRIK </t>
  </si>
  <si>
    <t xml:space="preserve">PLN IP Energy BF Dok 2Cam Video  AGUS WIJAYA </t>
  </si>
  <si>
    <t xml:space="preserve">Mandiri PasarMurah PIC Flow 2D  AHMAD WIDYA NUGRAH </t>
  </si>
  <si>
    <t xml:space="preserve">Mandiri PasarMurah Crew Sembako 1D  IIR IRMANSYAH </t>
  </si>
  <si>
    <t xml:space="preserve">Mandiri PasarMurah Crew Kids Area 1D  RAKA DRAJAT PUTRA </t>
  </si>
  <si>
    <t xml:space="preserve">Mandiri PasarMurah Crew Sembako 2D  MUHAMAD IYAN SURYA </t>
  </si>
  <si>
    <t xml:space="preserve">Mandiri PasarMurah Crew Sembako 2D  MOCH SUPRIYADI </t>
  </si>
  <si>
    <t xml:space="preserve">HIMBARA FGD SEM SM 2D  TEUKU DONNYA SYAHP </t>
  </si>
  <si>
    <t xml:space="preserve">LLG-DBS INDONESIA PT TOWER BERSAMA  EXPN-TB-081101-25   </t>
  </si>
  <si>
    <t xml:space="preserve">Mandiri PasarMurah PICRegistrasi 2Oct  RIAN KARTIKA </t>
  </si>
  <si>
    <t xml:space="preserve">Himbara FGD SEM PIC Produksi 2D  AHMAD WIDYA NUGRAH </t>
  </si>
  <si>
    <t xml:space="preserve">TSel WS Sales A1 Produksi All in  ZEHRA BALINA </t>
  </si>
  <si>
    <t xml:space="preserve">Lebih Bayar CA 000 92  M RIZKY AULIA </t>
  </si>
  <si>
    <t xml:space="preserve">CA-107/25 Frieda FRIDA ACHMADI  </t>
  </si>
  <si>
    <t xml:space="preserve">Himbara FGD Smg, DP  06085 MCM InhouseTrf  KE ROBERTUS BELLARMINO DHANY AS </t>
  </si>
  <si>
    <t xml:space="preserve">20251003BMRIIDJA010O9934786489   </t>
  </si>
  <si>
    <t xml:space="preserve">DBS Visa White JT-7O DBSBIDJA/DAVID HARSAMTO </t>
  </si>
  <si>
    <t>MCM InhouseTrf  DARI DAVID HARSAMTO 99101</t>
  </si>
  <si>
    <t xml:space="preserve">Mandiri Pasar Murah,06109  BBBAIDJA/FIRDY FEBRIYANTI M </t>
  </si>
  <si>
    <t xml:space="preserve">20251006BMRIIDJA010O9935175714  </t>
  </si>
  <si>
    <t xml:space="preserve">UBP60212399902FFFFFF422150605000  </t>
  </si>
  <si>
    <t xml:space="preserve">Mandiri Pasar Murah, 06146  MCM InhouseTrf  KE REVIANA VERONICA PESIK </t>
  </si>
  <si>
    <t xml:space="preserve">Mandiri Pasar Murah, 06157  MCM InhouseTrf  KE NUR ANNISA PUTRI </t>
  </si>
  <si>
    <t>CENAIDJA/RD HIDIANITJE DRA 5750489666</t>
  </si>
  <si>
    <t>CENAIDJA/PAN CONVINCE MITRA INTER 5350285999</t>
  </si>
  <si>
    <t xml:space="preserve">20251007BMRIIDJA010O9935401273  </t>
  </si>
  <si>
    <t xml:space="preserve">20251007BMRIIDJA010O9935401276   </t>
  </si>
  <si>
    <t xml:space="preserve">Mandiri Pasar Murah,06162   BRINIDJA/CV RAJA VISI INDONES </t>
  </si>
  <si>
    <t xml:space="preserve">20251007BMRIIDJA010O9935401281 </t>
  </si>
  <si>
    <t xml:space="preserve">Byr AP Loan DH 6-Oct   MCM InhouseTrf  KE DAVID HARSAMTO </t>
  </si>
  <si>
    <t>Pin Buk Mandiri MP  MCM InhouseTrf  DARI PAN CONVINCE MITRA INTERNATIONAL</t>
  </si>
  <si>
    <t xml:space="preserve">Mandiri Pasar Murah, 06180 MCM InhouseTrf  KE LIMA RAYA SINERGI </t>
  </si>
  <si>
    <t>Mandiri Pasar Murah, 06182  MCM InhouseTrf  KE NARITO AYUK PRIYATNA</t>
  </si>
  <si>
    <t>BRINIDJA/PAN CONVINCE MITRA I 112501000255301</t>
  </si>
  <si>
    <t>Mandiri Pasar Murah, 06192  MCM InhouseTrf  KE CUHENDAR FAIZAL RAMDANI</t>
  </si>
  <si>
    <t>MRS HUTABARAT NURLAILA12206</t>
  </si>
  <si>
    <t>TSel Focus Act Pay U 06048  MCM InhouseTrf  KE PANTRAVEL</t>
  </si>
  <si>
    <t xml:space="preserve">20251009BMRIIDJA010O9935802062  </t>
  </si>
  <si>
    <t xml:space="preserve">TSel Sales Academy S 06044   MCM InhouseTrf  KE PANTRAVEL </t>
  </si>
  <si>
    <t>PLN IP Energy Biz Fo06161   BRINIDJA/CV ANEKA BERSAMA MAK BMRIIDJA010O9935802066</t>
  </si>
  <si>
    <t xml:space="preserve">20251009BMRIIDJA010O9935802066   </t>
  </si>
  <si>
    <t xml:space="preserve">TSel HUT Tsel dan 5G 06040  MCM InhouseTrf  KE PANTRAVEL </t>
  </si>
  <si>
    <t xml:space="preserve">Mandiri Pasar Murah, 06217   MCM InhouseTrf  KE MATCH PRODUCTION </t>
  </si>
  <si>
    <t>TSel Focus Act Pay U 06039 MCM InhouseTrf  KE PANTRAVEL</t>
  </si>
  <si>
    <t xml:space="preserve">Mandiri Pasar Murah, 06204  MCM InhouseTrf  KE M RIZKY AULIA </t>
  </si>
  <si>
    <t xml:space="preserve">Mandiri Pasar Murah, 06203  MCM InhouseTrf  KE ANALITA YULISTYA C </t>
  </si>
  <si>
    <t xml:space="preserve">Mandiri Pasar Murah, 06205 MCM InhouseTrf  KE JEREMY DWI ALEXANDER </t>
  </si>
  <si>
    <t xml:space="preserve">TSel  WS Sales A1 Pl 06220 MCM InhouseTrf  KE RAHMAD RIVANDA DEWRO BANGUN </t>
  </si>
  <si>
    <t xml:space="preserve">TSel Supp Renego BP  06045 MCM InhouseTrf  KE PANTRAVEL </t>
  </si>
  <si>
    <t>TSel Pisah Sambut VP 06049 MCM InhouseTrf  KE PANTRAVEL</t>
  </si>
  <si>
    <t xml:space="preserve">Mandiri Pasar Murah, 06196  MCM InhouseTrf  KE RUMAH BUMN MEDAN </t>
  </si>
  <si>
    <t xml:space="preserve">Mandiri Pasar Murah,06221  BRINIDJA/CV RAJA VISI INDONES </t>
  </si>
  <si>
    <t xml:space="preserve">20251009BMRIIDJA010O9935875840 </t>
  </si>
  <si>
    <t>20251010BMRIIDJA010O9936068370</t>
  </si>
  <si>
    <t>Mandiri Pasar Murah,06234 BRINIDJA/ENDRIK SUYANTO</t>
  </si>
  <si>
    <t xml:space="preserve">20251010BMRIIDJA010O9936068372  </t>
  </si>
  <si>
    <t xml:space="preserve">B.MANDIRI PASAR MURAH REGION JAYAPURA    Setor Tunai </t>
  </si>
  <si>
    <t xml:space="preserve">Mandiri Pasar Murah, 06253 MCM InhouseTrf  KE ANALITA YULISTYA C </t>
  </si>
  <si>
    <t xml:space="preserve">TSel OM Consolidatio06176  BNINIDJA/KINARYA SELARAS PIRANTI </t>
  </si>
  <si>
    <t xml:space="preserve">20251013BMRIIDJA010O9936395715 </t>
  </si>
  <si>
    <t xml:space="preserve">TSel Focus Act Pay U06244  BSMDIDJA/AULIA AYU ASYURA </t>
  </si>
  <si>
    <t xml:space="preserve">20251013BMRIIDJA010O9936395720 </t>
  </si>
  <si>
    <t xml:space="preserve">TSel WS Sales A1 Pla06243  BNINIDJA/FERRY HERNAWAN </t>
  </si>
  <si>
    <t xml:space="preserve">20251013BMRIIDJA010O9936395723  </t>
  </si>
  <si>
    <t xml:space="preserve">Mandiri Pasar Murah,06249   BRINIDJA/ENDRIK SUYANTO </t>
  </si>
  <si>
    <t xml:space="preserve">20251013BMRIIDJA010O9936399552  </t>
  </si>
  <si>
    <t xml:space="preserve">MCM InhouseTrf  DARI NARITO AYUK PRIYATNA </t>
  </si>
  <si>
    <t xml:space="preserve">SEMBAKO PASAR MURAH HUT MDR  Overbooking  DARI HANIFAH FARRAS FADHILLAH </t>
  </si>
  <si>
    <t>TSel Sosialisasi Tra 06050  MCM InhouseTrf  KE PANTRAVEL</t>
  </si>
  <si>
    <t>TSel TLP 2025, Reimb06129  BNINIDJA/T SY AMANDA REFITA</t>
  </si>
  <si>
    <t xml:space="preserve">20251015BMRIIDJA010O9936767112  </t>
  </si>
  <si>
    <t>TSel Focus Act Pay U06128  BSMDIDJA/AULIA AYU ASYURA</t>
  </si>
  <si>
    <t xml:space="preserve">20251015BMRIIDJA010O9936767115  </t>
  </si>
  <si>
    <t xml:space="preserve">TSel Focus Act Pay U 06067 MCM InhouseTrf  KE PANTRAVEL </t>
  </si>
  <si>
    <t xml:space="preserve">TSel Support Outlet  06066-60  MCM InhouseTrf  KE PANTRAVEL </t>
  </si>
  <si>
    <t xml:space="preserve">20251015BMRIIDJA010O9936767117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</si>
  <si>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</si>
  <si>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</si>
  <si>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</si>
  <si>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 xml:space="preserve">Pin Buk Mandiri Plas  MCM InhouseTrf  KE PAN CONVINCE MITRA INTERNATIONAL </t>
  </si>
  <si>
    <t xml:space="preserve">Mandiri Pasar Murah, 06300 MCM InhouseTrf  KE NARITO AYUK PRIYATNA </t>
  </si>
  <si>
    <t>TSel WS Sales A1 Pla06304 SUNIIDJA/MATHIUS FELIX WATTIMENA</t>
  </si>
  <si>
    <t>20251016BMRIIDJA010O9936971279</t>
  </si>
  <si>
    <t xml:space="preserve">Pin Buk Mandiri MP  MCM InhouseTrf  DARI PAN CONVINCE MITRA INTERNATIONAL </t>
  </si>
  <si>
    <t xml:space="preserve">20251016BMRIIDJA010O9937000148 </t>
  </si>
  <si>
    <t>Inw RTGS Cr CASA TPS  -PAN CONVINCE MITRA I</t>
  </si>
  <si>
    <t xml:space="preserve">MCM InhouseTrf  DARI CUHENDAR FAIZAL RAMDANI </t>
  </si>
  <si>
    <t xml:space="preserve">PLN IP Energy BF, MC06280 MEGAIDJA/MAYFREE SYARI </t>
  </si>
  <si>
    <t xml:space="preserve">Shell MotoGp Sepang, 06269  MCM InhouseTrf  KE PANTRAVEL </t>
  </si>
  <si>
    <t xml:space="preserve">20251022BMRIIDJA010O9938096173 </t>
  </si>
  <si>
    <t xml:space="preserve">TSel O&amp;M Consolidati 06247 MCM InhouseTrf  KE PANTRAVEL </t>
  </si>
  <si>
    <t xml:space="preserve">HIMBARA FGD BPN, Req06342    RINIDJA/SUGENG HARIYANTO </t>
  </si>
  <si>
    <t xml:space="preserve">20251022BMRIIDJA010O9938096175 </t>
  </si>
  <si>
    <t xml:space="preserve">Mandiri Pasar Murah, 06319 MCM InhouseTrf  KE 06 PRODUCTION </t>
  </si>
  <si>
    <t xml:space="preserve">HIMBARA FGD Semarang 06137 MCM InhouseTrf  KE PANTRAVEL </t>
  </si>
  <si>
    <t>TSel WS Sales A1 Pla 06279  MCM InhouseTrf  KE PANTRAVEL</t>
  </si>
  <si>
    <t xml:space="preserve">TSel Focus Act Pay U 06138 MCM InhouseTrf  KE PANTRAVEL </t>
  </si>
  <si>
    <t xml:space="preserve">TSel GraPARI TOMO, 0 06139  MCM InhouseTrf  KE PANTRAVEL </t>
  </si>
  <si>
    <t>TSel FBP West Area,  06268 MCM InhouseTrf  KE PANTRAVEL</t>
  </si>
  <si>
    <t xml:space="preserve">Mandiri Pasar Murah, 06252  MCM InhouseTrf  KE PANTRAVEL </t>
  </si>
  <si>
    <t xml:space="preserve">Mandiri Pasar Murah,06311 BBLUIDJA/YOHANES CHRISTOPHER NULIADY </t>
  </si>
  <si>
    <t xml:space="preserve">20251022BMRIIDJA010O9938097405 </t>
  </si>
  <si>
    <t xml:space="preserve">Mandiri Pasar Murah,06391  BNINIDJA/DOUBLEJOB PRODUCTION </t>
  </si>
  <si>
    <t xml:space="preserve">20251023BMRIIDJA010O9938271573 </t>
  </si>
  <si>
    <t xml:space="preserve">TSel Orbit Household 05997  MCM InhouseTrf  KE ORENS KREASI INDONESIA </t>
  </si>
  <si>
    <t xml:space="preserve">20251023BMRIIDJA010O9938271576 </t>
  </si>
  <si>
    <t xml:space="preserve">Mandiri Pasar Murah, 06378  MCM InhouseTrf  KE LIMA RAYA SINERGI </t>
  </si>
  <si>
    <t xml:space="preserve">Mandiri Pasar Murah,06341   BRINIDJA/CV RAJA VISI INDONES </t>
  </si>
  <si>
    <t xml:space="preserve">20251023BMRIIDJA010O9938271578  </t>
  </si>
  <si>
    <t>AP Loan 9Oct25 Man  MRS HUTABARAT NURLAILA001358787086 MRS HUTABARAT NURLAILA</t>
  </si>
  <si>
    <t xml:space="preserve">RTGS Fee </t>
  </si>
  <si>
    <t xml:space="preserve">PT TELEKOMUNIKASI SELULAR - 031     </t>
  </si>
  <si>
    <t>Pin Buk BTN PCMI  BTANIDJA/PAN CONVINCE MITRA INTERNATIONA</t>
  </si>
  <si>
    <t xml:space="preserve">20251028BMRIIDJA010O9930179803  </t>
  </si>
  <si>
    <t>Pin Buk Mandiri MP  - PAN CONVINCE MITRA I</t>
  </si>
  <si>
    <t>AP Loan HSBC 17Oct   MRS HUTABARAT NURLAILA001358787086 MRS HUTABARAT NURLAILA</t>
  </si>
  <si>
    <t xml:space="preserve">4991 PAKET SEMBAKO MANDIRI AREA KUPANG   Setor Tunai </t>
  </si>
  <si>
    <t>Salary PCMI October   CENAIDJA/DAVID HARSAMTO</t>
  </si>
  <si>
    <t xml:space="preserve">20251029BMRIIDJA010O9930505889 </t>
  </si>
  <si>
    <t>PYC IEC 2025      Fee Proj Officer  DEDI PURWANTO SE,</t>
  </si>
  <si>
    <t>Shell Network PersFee Proj Officer  DEDI PURWANTO SE,</t>
  </si>
  <si>
    <t>BRI HBH Developer Fee Proj Officer  DEDI PURWANTO SE,</t>
  </si>
  <si>
    <t>TSel  WS Sales A1 SPJ 3D + Meals    MARIA PATRICIA SUG,</t>
  </si>
  <si>
    <t>TSel WSSalesA1PlaySPJ 5D +Meals     DEDI PURWANTO SE,</t>
  </si>
  <si>
    <t>TSelWSSalesA1Play SPJ 5D +Meals     YOGI PURWO WIDODO,</t>
  </si>
  <si>
    <t xml:space="preserve">CA-109/25 Odhey DEDI PURWANTO SE   </t>
  </si>
  <si>
    <t xml:space="preserve">CA-108/25 Patrice MARIA PATRICIA SUG   </t>
  </si>
  <si>
    <t xml:space="preserve">CA-105/25 Yogi YOGI PURWO WIDODO   </t>
  </si>
  <si>
    <t>BRIDGESTONE TIRE INDONESIA, PT - 042      12206</t>
  </si>
  <si>
    <t>20251017BMRIIDJA010O9937184983            99102</t>
  </si>
  <si>
    <t>BFST1220004875566 CMSX:BMRIIDJA 20251002BRINIDJA010O9933314699</t>
  </si>
  <si>
    <t>BFST1220004875566 CMSX:BMRIIDJA 20251002BRINIDJA010O9933318286</t>
  </si>
  <si>
    <t>BFST1220004875566 CMSX:BMRIIDJA 20251002BRINIDJA010O9958592227</t>
  </si>
  <si>
    <t>BFST1220004875566 CMSX:BMRIIDJA 20251008BRINIDJA010O9908578665</t>
  </si>
  <si>
    <t>BFST112501000255301PAN CONVINCE:BMRIIDJA 20251030BMRIIDJA010O9930743149</t>
  </si>
  <si>
    <t>KK  5534790180165003CMSX5534790180165003</t>
  </si>
  <si>
    <t>KK  5534790100867506CMSX5534790100867506</t>
  </si>
  <si>
    <t>KK  5534790180132102CMSX5534790180132102</t>
  </si>
  <si>
    <t>Pungutan denda saldo dibawah</t>
  </si>
  <si>
    <t>Bunga Rekening</t>
  </si>
  <si>
    <t>Pin Buk BTN PCMI Retur 23-Jun DR 00000000005750489666 RD HIDIANITJE</t>
  </si>
  <si>
    <t>TRANSFER DARI | PEMINDAHAN DARI 753360289129006 | 760/00/2025/00000 753/00/2025/1997 D63 CN/CSE/2412</t>
  </si>
  <si>
    <t>TRF/PAY/TOP-UP ECHANNEL | PEMINDAHAN KE   5350285999 Pin Buk BCA Juanda</t>
  </si>
  <si>
    <t>Biaya SMS Notifikasi Sejumlah 3 Notifikasi</t>
  </si>
  <si>
    <t>Transfer BI-Fast ke BANK CENTRAL ASIA - 5750489666 - Rd Hidianitje Dra</t>
  </si>
  <si>
    <t>BBBAIDJA/MARGARETA YOVITA SEPTIANA 9835955203</t>
  </si>
  <si>
    <t>BBIJIDJA/DAVID HARSAMTO 20251003BMRIIDJA010O9934786489</t>
  </si>
  <si>
    <t>HSBC EH</t>
  </si>
  <si>
    <t xml:space="preserve">00112798361F SAP1902206534 190/PCMI/A 1391 CSM SPS Ke </t>
  </si>
  <si>
    <t>Pin Buk Mandiri MP   MCM InhouseTrf  KE PAN CONVINCE MITRA INTERNATIONAL</t>
  </si>
  <si>
    <t>Pin Buk Mandiri Plas MCM InhouseTrf  DARI PAN CONVINCE MITRA INTERNATIONAL</t>
  </si>
  <si>
    <t>Pin Buk Mandiri MP MCM InhouseTrf  KE PAN CONVINCE MITRA INTERNATIONAL</t>
  </si>
  <si>
    <t>Pin Buk Mandiri PM MCM InhouseTrf  DARI PAN CONVINCE MITRA INTERNATIONAL</t>
  </si>
  <si>
    <t>081/PCMI/AR/X/2025</t>
  </si>
  <si>
    <t>083/PCMI/AR/X/2025</t>
  </si>
  <si>
    <t>Pembayaran Trip Shell Visit Factory Bangkok 2025</t>
  </si>
  <si>
    <t>189/PCMI/AR/X/2025</t>
  </si>
  <si>
    <t>194/PCMI/AR/IX/2025</t>
  </si>
  <si>
    <t>Tower Bersama Group, PT</t>
  </si>
  <si>
    <t>Support Event Tsel ANO Lampung 2025 - TBG Operation Regional Lampung</t>
  </si>
  <si>
    <t>195/PCMI/AR/IX/2025</t>
  </si>
  <si>
    <t>Support Event Tsel ANO Lampung 2025 - TBG Operation Regional Sumbagsel</t>
  </si>
  <si>
    <t>196/PCMI/AR/IX/2025</t>
  </si>
  <si>
    <t>Support Event Tsel ANO Lampung 2025 - TBG Operation Regional Sumbagteng</t>
  </si>
  <si>
    <t>197/PCMI/AR/IX/2025</t>
  </si>
  <si>
    <t>Support Event Tsel ANO Lampung 2025 - TBG Operation Regional Sumbagut</t>
  </si>
  <si>
    <t>198/PCMI/AR/IX/2025</t>
  </si>
  <si>
    <t>Support Event Tsel ANO Lampung 2025 - TBG Project Regional Sumbagsel</t>
  </si>
  <si>
    <t>199/PCMI/AR/IX/2025</t>
  </si>
  <si>
    <t>Support Event Tsel ANO Lampung 2025 - TBG Project Regional Sumbagteng</t>
  </si>
  <si>
    <t>200/PCMI/AR/IX/2025</t>
  </si>
  <si>
    <t>Support Event Tsel ANO Lampung 2025 - TBG Project Regional Sumbagut</t>
  </si>
  <si>
    <t>201/PCMI/AR/IX/2025</t>
  </si>
  <si>
    <t>Support Event Tsel ANO Lampung 2025 - TBG Marketing</t>
  </si>
  <si>
    <t>202/PCMI/AR/IX/2025</t>
  </si>
  <si>
    <t>Pembayaran Partisipasi Event Economic Outlook 2025 Global and Domestic</t>
  </si>
  <si>
    <t>203/PCMI/AR/IX/2025</t>
  </si>
  <si>
    <t>204/PCMI/AR/IX/2025</t>
  </si>
  <si>
    <t>Partisipasi Kegiatan Economic Outlook 2025: Global and Domestic</t>
  </si>
  <si>
    <t>205/PCMI/AR/IX/2025</t>
  </si>
  <si>
    <t>Pembayaran inv  205 &amp; 206 digabung dgn Total Rp 139.539.868,-</t>
  </si>
  <si>
    <t>206/PCMI/AR/IX/2025</t>
  </si>
  <si>
    <t>Telkomsel Farewel Liwetan Sumbagteng</t>
  </si>
  <si>
    <t>Pengadaan Untuk Farewel Liwetan Regional Sumbagteng Agustus 2025</t>
  </si>
  <si>
    <t>207/PCMI/AR/IX/2025</t>
  </si>
  <si>
    <t>208/PCMI/AR/IX/2025</t>
  </si>
  <si>
    <t>Pembayaran Event Bridgestone TOMO Gathering 2025</t>
  </si>
  <si>
    <t>209/PCMI/AR/X/2025</t>
  </si>
  <si>
    <t>210/PCMI/AR/X/2025</t>
  </si>
  <si>
    <t>Pembayaran Event PYC IEC 2025</t>
  </si>
  <si>
    <t>client 4x transfer (3x tgl 21-10-2025 dan 1x tgl 22-10-2025)</t>
  </si>
  <si>
    <t>211/PCMI/AR/X/2025</t>
  </si>
  <si>
    <t>Pengadaan Untuk Visit Cluster Area Sumatera</t>
  </si>
  <si>
    <t>Shell MotoGP Sepang 2025</t>
  </si>
  <si>
    <t>213/PCMI/AR/IV/2025</t>
  </si>
  <si>
    <t>214/PCMI/AR/XI/2025</t>
  </si>
  <si>
    <t>Himbara FGD Semarang</t>
  </si>
  <si>
    <t>Rapat Kerja Himbara dan BSI Economic Outlook 2025</t>
  </si>
  <si>
    <t>215/PCMI/AR/X/2025</t>
  </si>
  <si>
    <t>Pembayaran Tiket FIT lulita  CGK-DPS-CGK by GARUDA Indonesia</t>
  </si>
  <si>
    <t>Telkomsel Pengawalan Event Regional Sumbagut</t>
  </si>
  <si>
    <t>Telkomsel Support Outlet Visit &amp; Backcheck</t>
  </si>
  <si>
    <t>Telkomsel Sales Academy September 2025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</si>
  <si>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</si>
  <si>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</si>
  <si>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</si>
  <si>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</si>
  <si>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Training TL Academy Session 2</t>
  </si>
  <si>
    <t>Telkomsel Support Evaluasi GraPARI Optimalisasi Area 1</t>
  </si>
  <si>
    <t>Telkomsel O&amp;M Consolidation Tahap 2</t>
  </si>
  <si>
    <t>Telkomsel Program Market Visit (SBU &amp; SBS)</t>
  </si>
  <si>
    <t>Telkomsel WS Sales A1 Play Hard Serve Harder</t>
  </si>
  <si>
    <t>Telkomsel Reach Beyond Area Sumatera 2025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</si>
  <si>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</si>
  <si>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</si>
  <si>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</si>
  <si>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</si>
  <si>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Intrareps</t>
  </si>
  <si>
    <t>UBP60215001202FFFFFF041379357070027 : SPT PPN Masa September 2025</t>
  </si>
  <si>
    <t>189/PCMI/AR/X/2025 BY PARTISIPASI FOCUS  Kredit SAP 99999</t>
  </si>
  <si>
    <t>TSel Supp Evaluasi G 06450,06444 06450,06444 MCM InhouseTrf CS-CS  KE PANTRAVEL</t>
  </si>
  <si>
    <t>Shell MotoGp Sepang, 06438 06438 MCM InhouseTrf CS-CS  KE PANTRAVEL</t>
  </si>
  <si>
    <t>TSel Reach Beyond Ar 06479 06479 MCM InhouseTrf CS-CS  KE PANTRAVEL</t>
  </si>
  <si>
    <t>TSel GraPARI TOMO, 0 06441 06441 MCM InhouseTrf CS-CS  KE PANTRAVEL</t>
  </si>
  <si>
    <t>OCBC Visa JT-3Nop  NISPIDJA/DAVID HARSAMTO</t>
  </si>
  <si>
    <t xml:space="preserve">20251102BMRIIDJA010O9931547790 </t>
  </si>
  <si>
    <t xml:space="preserve">20251102BMRIIDJA010O9931551785 </t>
  </si>
  <si>
    <t>TSel Reach Beyond Ar06483  BNINIDJA/SINAR LAUT LAMPUNG PERMAI</t>
  </si>
  <si>
    <t xml:space="preserve">20251105BMRIIDJA010O9932165652  </t>
  </si>
  <si>
    <t>TSel Reach Beyond Ar06476  BNINIDJA/SINAR LAUT LAMPUNG PERMAI</t>
  </si>
  <si>
    <t>20251105BMRIIDJA010O9932165657</t>
  </si>
  <si>
    <t xml:space="preserve">Clearing Fee    </t>
  </si>
  <si>
    <t xml:space="preserve">20251105BMRIIDJA010O9932226391  </t>
  </si>
  <si>
    <t xml:space="preserve">TSel Event Mkt Recov06439  BNINIDJA/NABILA ASY SYIFA </t>
  </si>
  <si>
    <t>20251105BMRIIDJA010O9932342801</t>
  </si>
  <si>
    <t>Himbara FGD Semarang 06481  MCM InhouseTrf  KE ROBERTUS BELLARMINO DHANY AS</t>
  </si>
  <si>
    <t xml:space="preserve">20251105BMRIIDJA010O9932342806 </t>
  </si>
  <si>
    <t xml:space="preserve">TSel GraPARI TOMO, 0 06430 MCM InhouseTrf  KE PANTRAVEL </t>
  </si>
  <si>
    <t xml:space="preserve">TSel Focus Act Pay U06456 BSMDIDJA/AULIA AYU ASYURA </t>
  </si>
  <si>
    <t xml:space="preserve">20251105BMRIIDJA010O9932342809 </t>
  </si>
  <si>
    <t xml:space="preserve">TSel WS Sales A1 Pla 06411,349,324,315   MCM InhouseTrf  KE PANTRAVEL </t>
  </si>
  <si>
    <t xml:space="preserve">TSel Reach Beyond Ar 06432, 06421 MCM InhouseTrf  KE PANTRAVEL </t>
  </si>
  <si>
    <t>Pin Buk BCA Juanda  5350285999</t>
  </si>
  <si>
    <t xml:space="preserve">Pin Buk BCA Juanda  </t>
  </si>
  <si>
    <t xml:space="preserve">Transfer Fee         202511061227789899 </t>
  </si>
  <si>
    <t>BTANIDJA/PAN CONVINCE MITRA I 10130001293599102</t>
  </si>
  <si>
    <t>CA-111/25 Lita  MCM InhouseTrf  KE ANALITA YULISTYA C</t>
  </si>
  <si>
    <t xml:space="preserve">20251107BMRIIDJA010O9932921038 </t>
  </si>
  <si>
    <t>Mandiri Pasar Murah, 06516   MCM InhouseTrf  KE BENI HESLI SIMAELA</t>
  </si>
  <si>
    <t xml:space="preserve">AP Loan HSBC 17-Oct   MCM Outw CN  MRS HUTABARAT NURLAILA </t>
  </si>
  <si>
    <t xml:space="preserve">Bunga Pinjaman HSBC, HSBCIDJA/MRS HUTABARAT NURLAILA </t>
  </si>
  <si>
    <t xml:space="preserve">20251110BMRIIDJA010O9933369166  </t>
  </si>
  <si>
    <t xml:space="preserve">Bunga Pinjaman HSBC,HSBCIDJA/MRS HUTABARAT NURLAILA </t>
  </si>
  <si>
    <t xml:space="preserve">20251110BMRIIDJA010O9933369169  </t>
  </si>
  <si>
    <t xml:space="preserve">20251114BMRIIDJA010O9934193380 </t>
  </si>
  <si>
    <t>CENAIDJA/PAN CONVINCE MITRA INTER 535028599999102</t>
  </si>
  <si>
    <t xml:space="preserve">CA-116/25 Analita   MCM InhouseTrf  KE ANALITA YULISTYA C </t>
  </si>
  <si>
    <t xml:space="preserve">Shell MotoGp Sepang, 06508   MCM InhouseTrf  KE PANTRAVEL </t>
  </si>
  <si>
    <t xml:space="preserve">TSel ReachBeyondArea06448   BSMDIDJA/AULIA AYU ASYURA </t>
  </si>
  <si>
    <t xml:space="preserve">20251120BMRIIDJA010O9935484365  </t>
  </si>
  <si>
    <t xml:space="preserve">TSel Reach Beyond Ar 06538 MCM InhouseTrf  KE PANTRAVEL </t>
  </si>
  <si>
    <t>TSel Event Sec Targe06598 BNINIDJA/NABILA ASY SYIFA</t>
  </si>
  <si>
    <t xml:space="preserve">20251120BMRIIDJA010O9935484371 </t>
  </si>
  <si>
    <t>TSel Reach Beyond Ar06447  BSMDIDJA/AULIA AYU ASYURA</t>
  </si>
  <si>
    <t xml:space="preserve">20251120BMRIIDJA010O9935484374  </t>
  </si>
  <si>
    <t xml:space="preserve">TSel FBP West Area, 06539,24,07 MCM InhouseTrf  KE PANTRAVEL </t>
  </si>
  <si>
    <t xml:space="preserve">TSel Pengawalan Even06466  BNINIDJA/FERNANDO PASARIBU </t>
  </si>
  <si>
    <t xml:space="preserve">20251120BMRIIDJA010O9935484381 </t>
  </si>
  <si>
    <t xml:space="preserve">TSel Alignment SIFA  06470  MCM InhouseTrf  KE CRYSELLA </t>
  </si>
  <si>
    <t xml:space="preserve">TSel FocusActPayUser06486  BNINIDJA/YESSI NOPRIANI </t>
  </si>
  <si>
    <t xml:space="preserve">20251120BMRIIDJA010O9935484385 </t>
  </si>
  <si>
    <t>TSel Gamification Q406564   BNINIDJA/SAMUEL EP IROOTH</t>
  </si>
  <si>
    <t xml:space="preserve">20251120BMRIIDJA010O9935484387 </t>
  </si>
  <si>
    <t xml:space="preserve">TSel GraPARI TOMO, 0 06480 MCM InhouseTrf  KE PANTRAVEL </t>
  </si>
  <si>
    <t xml:space="preserve">BRI FGD Semarang, 01 06537,26,23  MCM InhouseTrf  KE PANTRAVEL </t>
  </si>
  <si>
    <t xml:space="preserve">Listrik Nopember     06597  MCM InhouseTrf  KE PANTRAVEL </t>
  </si>
  <si>
    <t xml:space="preserve">Tsel ReachBeyondArea 06525,20,06  MCM InhouseTrf  KE PANTRAVEL </t>
  </si>
  <si>
    <t>PT TELEKOMUNIKASI SELULAR - 031   12206</t>
  </si>
  <si>
    <t xml:space="preserve">Pin Buk BRI Sho   BRINIDJA/PAN CONVINCE MITRA I </t>
  </si>
  <si>
    <t xml:space="preserve">20251121BMRIIDJA010O9935903485    </t>
  </si>
  <si>
    <t xml:space="preserve">AP TempLoan IReps 8-Oct  NY NURLAILA HUTABA </t>
  </si>
  <si>
    <t xml:space="preserve">BA JASA E-BANKING 1105/FTORF/YNXV9 FEE TELEX OR  SUMITOMO MITSUI BA JCM CORPORATION LT  </t>
  </si>
  <si>
    <t xml:space="preserve">BA JASA E-BANKING 1105/FTORF/YNXV9 FEE FULL AMT OR  SUMITOMO MITSUI BA JCM CORPORATION LT  </t>
  </si>
  <si>
    <t xml:space="preserve">Kas Kecil IDR FRIDA ACHMADI  </t>
  </si>
  <si>
    <t xml:space="preserve">PYC Talks Perfect Cue 3Nop  ERIK W </t>
  </si>
  <si>
    <t xml:space="preserve">Shell MotoGpSepang 2VisaJpn Ana+Kukuh  OKI GLENN ARMADI </t>
  </si>
  <si>
    <t xml:space="preserve">TSel WSSalesA1P Kend Crew 13-17Okt  HARI SUSANTO </t>
  </si>
  <si>
    <t xml:space="preserve">PLN IP Energy BF 1 Seragam Panitia  CLARA LIA RESTU SA </t>
  </si>
  <si>
    <t xml:space="preserve">Bunga Papan Mbak Iie GIA  DHEFFY KRISTANTO </t>
  </si>
  <si>
    <t xml:space="preserve">CR TRF PAN CONVINCE MITRA  008  PLAZA MANDI  </t>
  </si>
  <si>
    <t xml:space="preserve">CA-113/25 Patrice MARIA PATRICIA SUG  </t>
  </si>
  <si>
    <t xml:space="preserve">Shell MotoGpSepang LuggageTag Akrilik  ANALITA YULISTYA C </t>
  </si>
  <si>
    <t xml:space="preserve">PYC Talks SoundSys+Mics  SONJAYA ADIPUTRA </t>
  </si>
  <si>
    <t xml:space="preserve">Stabilizer Denza RD HIDIANITJE DRA  </t>
  </si>
  <si>
    <t xml:space="preserve">PYC Talks Show Mgt  TEUKU DONNYA SYAHP </t>
  </si>
  <si>
    <t xml:space="preserve">PYC Talks Genset 40 kVA 1D  MUJIONO </t>
  </si>
  <si>
    <t xml:space="preserve">PYC Talks Crew Logistik 2D  AGUNG ROMADONI </t>
  </si>
  <si>
    <t xml:space="preserve">PYC Talks Crew Prod &amp; Runner  MUHAMAD IYAN SURYA </t>
  </si>
  <si>
    <t xml:space="preserve">PYC Talks PIC Produksi 2D  R DINAR KUSUMAYANT </t>
  </si>
  <si>
    <t xml:space="preserve">PYC Talks 2 Unit LiveCam  SUTRISNO </t>
  </si>
  <si>
    <t xml:space="preserve">TSel FocusActPay MtgSeniorLeaderJkt  ZULFAHMI </t>
  </si>
  <si>
    <t xml:space="preserve">Shell MotoGpSepang JPY100K+ SGD100  ANALITA YULISTYA C </t>
  </si>
  <si>
    <t xml:space="preserve">PYC Talks VIP handling 2Paxs  DINA KARDIENA HAKI </t>
  </si>
  <si>
    <t xml:space="preserve">Mandiri FGD Banten Courier 25Box 6Nop  ANALITA YULISTYA C </t>
  </si>
  <si>
    <t xml:space="preserve">Shell MotoGpSepang Visa Jepang Aldo  OKI GLENN ARMADI </t>
  </si>
  <si>
    <t xml:space="preserve">Pin Buk BCA Juanda RD HIDIANITJE DRA  </t>
  </si>
  <si>
    <t xml:space="preserve">Dipinjam PCMI NY NURLAILA HUTABA  </t>
  </si>
  <si>
    <t xml:space="preserve">CA-117 Patrice MARIA PATRICIA SUG  </t>
  </si>
  <si>
    <t xml:space="preserve">DB TRANSFER   KE 008 PAN CONVINCE MITRA  KBB  </t>
  </si>
  <si>
    <t xml:space="preserve">DB BIAYA TXN  KE 008 PAN CONVINCE MITRA  KBB  </t>
  </si>
  <si>
    <t xml:space="preserve">lebih bayar CA 000 94  M RIZKY AULIA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</si>
  <si>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</si>
  <si>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</si>
  <si>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</si>
  <si>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Shell MotoGpSepang Travel Ins JpnTrip  SANDEEP BANGARA </t>
  </si>
  <si>
    <t xml:space="preserve">PYC Talks Lighting  MASRUHIN </t>
  </si>
  <si>
    <t xml:space="preserve">TSel FBP West Area Reimb Div Fin  YOGI PURWO WIDODO </t>
  </si>
  <si>
    <t xml:space="preserve">BI-FAST DB TRANSFER   KE 002 PAN CONVINCE MITRA  KBB  </t>
  </si>
  <si>
    <t xml:space="preserve">BI-FAST DB BIAYA TXN  KE 002 PAN CONVINCE MITRA  KBB  </t>
  </si>
  <si>
    <t>Himbara FGD SEM   SPJ 3D+Meals+MMOpsALEXADRUS NULIADY,</t>
  </si>
  <si>
    <t>TSel Focus Act PaySPJ 1D+Meal       YOGI PURWO WIDODO,</t>
  </si>
  <si>
    <t>Himbara FGD SEM   SPJ 3D +Meals     ANALITA YULISTYA C,</t>
  </si>
  <si>
    <t>Shell MotoGpSepangSPJ 1D ApoHandlingPRAJA SAPUTRA S,</t>
  </si>
  <si>
    <t>Salary PCMI Oct   Kurang Bayar      DAVID HARSAMTO,</t>
  </si>
  <si>
    <t>PYC Talks         SPJ 1 Day 3Nop    FRIDA ACHMADI,</t>
  </si>
  <si>
    <t>PYC Talks         SPJ 1D 3Nop       MARIA PATRICIA SUG,</t>
  </si>
  <si>
    <t>Dipinjam PCMI     NY NURLAILA HUTABA,</t>
  </si>
  <si>
    <t>Overtime Oct      ADUN SOPANDI,</t>
  </si>
  <si>
    <t>Overtime Oct      SUPRIYADI,</t>
  </si>
  <si>
    <t>Overtime Okt      SUKANDA,</t>
  </si>
  <si>
    <t>Overtime Oct      MUHAMMAD UJER AWAL,</t>
  </si>
  <si>
    <t>Himbara FGD SEM   SPJ 3D + Meals    MARIA PATRICIA SUG,</t>
  </si>
  <si>
    <t>PLN NPTKT CapBuildFee PO            ALEXADRUS NULIADY,</t>
  </si>
  <si>
    <t>PYC Talks         SPJ 1D 3Nop       MUHAMMAD FADLI AKB,</t>
  </si>
  <si>
    <t>PYC Talks         SPJ 1D 3Nop       ALEXADRUS NULIADY,</t>
  </si>
  <si>
    <t>PYC Talks         SPJ 1D 3Nop       YOGI PURWO WIDODO,</t>
  </si>
  <si>
    <t>PYC Talks         SPJ 1D 3Nop       M RIZKY AULIA,</t>
  </si>
  <si>
    <t>PYC Talks         SPJ1D 3Nop        SUPRIYADI,</t>
  </si>
  <si>
    <t>Pin Buk BCA JuandaPAN CONVINCE MITRA,</t>
  </si>
  <si>
    <t>Shell MotoGpSepangSPJ Apo handling  PRAJA SAPUTRA S,</t>
  </si>
  <si>
    <t>UBP60212399902FFFFFF422150605000</t>
  </si>
  <si>
    <t xml:space="preserve">Shell MotoGp Sepang,  06578   MCM InhouseTrf  KE ANALITA YULISTYA C </t>
  </si>
  <si>
    <t>- IFT_TO_RETNO AMUNINGSIH C ESB:CMSX:000L700F:000000426593</t>
  </si>
  <si>
    <t>Abonemen 112025 CMS PAN CONVINCE MI T:0374891:CMS</t>
  </si>
  <si>
    <t>KK  5534790100867506CMSX5534790100867506  ESB:CMSX:0300Y00P:MP0015566309</t>
  </si>
  <si>
    <t>KK  5534790180165003CMSX5534790180165003  ESB:CMSX:0300Y00P:MP0015566311</t>
  </si>
  <si>
    <t>BFST 112501000255301 DAVID HARSAM:CENAIDJA 20251107CENAIDJA010O0271951394</t>
  </si>
  <si>
    <t>END OF 2024</t>
  </si>
  <si>
    <t xml:space="preserve">00113016301F SAP1902243611 191/PCMI/A 1427 CSM By Kon </t>
  </si>
  <si>
    <t>BFST112501000255301PAN CONVINCE:CENAIDJA 20251121CENAIDJA010O0157046651</t>
  </si>
  <si>
    <t>BFST112501000255301PAN CONVINCE:BMRIIDJA 20251121BMRIIDJA010O9935903485</t>
  </si>
  <si>
    <t>Mandiri Mid Plaza</t>
  </si>
  <si>
    <t>Mandiri Plasa Mandiri</t>
  </si>
  <si>
    <t>BNI to BCA Juanda</t>
  </si>
  <si>
    <t>Pin Buk Mandiri MP - PAN CONVINCE MITRA I12206</t>
  </si>
  <si>
    <t>BCA Sahardjo to Mandiri Mid Plaza</t>
  </si>
  <si>
    <t>Mandiri Mid Plaza to BCA Sahardjo</t>
  </si>
  <si>
    <t>BCA Juanda to Mandiri Mid Plaza</t>
  </si>
  <si>
    <t>Mandiri Mid Plaza to BCA Juanda</t>
  </si>
  <si>
    <t>Mandiri Plasa Mandiri to BCA Juanda</t>
  </si>
  <si>
    <t>BNI to Mandiri Mid Plaza</t>
  </si>
  <si>
    <t>BTN to Mandiri Mid Plaza</t>
  </si>
  <si>
    <t>Mandiri Mid Plaza to BRI Sahardjo</t>
  </si>
  <si>
    <t>Mandiri Mid Plaza to BRI Tebet</t>
  </si>
  <si>
    <t>Mandiri Mid Plaza to BTN</t>
  </si>
  <si>
    <t>Mandiri Mid Plaza to Mandiri Plasa Mandiri</t>
  </si>
  <si>
    <t>Mandiri Mid Plaza to Non Cash Bank</t>
  </si>
  <si>
    <t>Mandiri Plasa Mandiri to Mandiri Mid Plaza</t>
  </si>
  <si>
    <t>Mandiri Plasa Mandiri to BRI Sahardjo</t>
  </si>
  <si>
    <t>BRI Sahardjo to Mandiri Mid Plaza</t>
  </si>
  <si>
    <t>Mandiri Plasa Mandiri to Non Cash Bank</t>
  </si>
  <si>
    <t>BCA Sahardjo to Mandiri Plasa</t>
  </si>
  <si>
    <t>BCA Juanda to Mandiri Plasa</t>
  </si>
  <si>
    <t>Mandiri Mid Plaza to Mandiri Plasa</t>
  </si>
  <si>
    <t>Mandiri Mid Plaza to BJB</t>
  </si>
  <si>
    <t>Mandiri Mid Plaza to Bank Raya</t>
  </si>
  <si>
    <t>Mandiri Mid Plaza to Cash IDR</t>
  </si>
  <si>
    <t>BRI Sahardjo to Mandiri Plasa</t>
  </si>
  <si>
    <t>BTN to Mandiri Plasa</t>
  </si>
  <si>
    <t>BJB to Mandiri Mid Plaza</t>
  </si>
  <si>
    <t>BJB to Mandiri Plasa</t>
  </si>
  <si>
    <t>Bank Raya to Mandiri Mid Plaza</t>
  </si>
  <si>
    <t>Bank Raya to Mandiri Plasa</t>
  </si>
  <si>
    <t>BRI Tebet to Mandiri Mid Plaza</t>
  </si>
  <si>
    <t>BRI Tebet to Mandiri Plasa</t>
  </si>
  <si>
    <t>Cash IDR to Mandiri Mid Plaza</t>
  </si>
  <si>
    <t>Cash IDR to Mandiri Plasa</t>
  </si>
  <si>
    <t>Non Cash Bank to Mandiri Mid Plaza</t>
  </si>
  <si>
    <t>Non Cash Bank to Mandiri Plasa</t>
  </si>
  <si>
    <t>B N I</t>
  </si>
  <si>
    <t>BCA Sahardjo to BNI</t>
  </si>
  <si>
    <t>BCA Juanda to BNI</t>
  </si>
  <si>
    <t>Mandiri Mid Plaza to BNI</t>
  </si>
  <si>
    <t>BRI Sahardjo to BNI</t>
  </si>
  <si>
    <t>BJB to BNI</t>
  </si>
  <si>
    <t>Bank Raya to BNI</t>
  </si>
  <si>
    <t>BRI Tebet to BNI</t>
  </si>
  <si>
    <t>BNI to BCA Sahardjo</t>
  </si>
  <si>
    <t>BNI to BRI Sahardjo</t>
  </si>
  <si>
    <t>BNI to BTN</t>
  </si>
  <si>
    <t>BNI to BJB</t>
  </si>
  <si>
    <t>BNI to Bank Raya</t>
  </si>
  <si>
    <t>BNI to BRI Tebet</t>
  </si>
  <si>
    <t>BNI to Mandiri Plasa</t>
  </si>
  <si>
    <t>BNI to Cash IDR</t>
  </si>
  <si>
    <t>BNI to Non Cash Bank</t>
  </si>
  <si>
    <t>Cash IDR to BNI</t>
  </si>
  <si>
    <t>Non Cash Bank to BNI</t>
  </si>
  <si>
    <t>Mandiri Plasa to BCA Juanda</t>
  </si>
  <si>
    <t>Mandiri Plasa to Mandiri Mid Plaza</t>
  </si>
  <si>
    <t>Mandiri Plasa to BRI Sahardjo</t>
  </si>
  <si>
    <t>Mandiri Plasa to BTN</t>
  </si>
  <si>
    <t>Mandiri Plasa to BJB</t>
  </si>
  <si>
    <t>Mandiri Plasa to Bank Raya</t>
  </si>
  <si>
    <t>Mandiri Plasa to BRI Tebet</t>
  </si>
  <si>
    <t>Mandiri Plasa to Mandiri Plasa</t>
  </si>
  <si>
    <t>Mandiri Plasa to BNI</t>
  </si>
  <si>
    <t>Mandiri Plasa to Cash IDR</t>
  </si>
  <si>
    <t>Mandiri Plasa to Non Cash Bank</t>
  </si>
  <si>
    <t>Pulsa HP Jan FRIDA ACHMADI : Salah Transfer, Retur 10-Jan</t>
  </si>
  <si>
    <t>239/2023</t>
  </si>
  <si>
    <t>158/2022</t>
  </si>
  <si>
    <t>PT TELEKOMUNIKASI SELULAR - 031  12206 : RP. 82.745.145</t>
  </si>
  <si>
    <t>Telkomsel Pengadaan Sales Leadership Area Sumatera</t>
  </si>
  <si>
    <t>INV 129 &amp; 130  Setor Tunai 12408 : Rp. 39.775.000</t>
  </si>
  <si>
    <t>INDONESIA POWER UP SEMARANG  PT - 009     12206 : Rp. 59.383.042</t>
  </si>
  <si>
    <t>Medical Ardhan (anak Yogi)</t>
  </si>
  <si>
    <t>Pembayaran Upgrade Room Kamar a/n Muh Saleh Usman</t>
  </si>
  <si>
    <t>Pembelian Tiket Railink Bandara YIA -YOGYA 14 Mei 2025</t>
  </si>
  <si>
    <t>Sabun tangan , kamper, superpel, pewangi ruangan, Lem</t>
  </si>
  <si>
    <t>Service motor operational</t>
  </si>
  <si>
    <t>Inpepsa + lotte xyl</t>
  </si>
  <si>
    <t xml:space="preserve">Makan Siang Bu AH dan Pak DH dari Restaurant Pagi Sore </t>
  </si>
  <si>
    <t>Medical a.n. Sabita (Anak Praja)</t>
  </si>
  <si>
    <t>Biaya Parkir Mobil meeting event</t>
  </si>
  <si>
    <t xml:space="preserve">Paperbag Batik </t>
  </si>
  <si>
    <t>Starbucks Green Tea  1 cup</t>
  </si>
  <si>
    <t xml:space="preserve">Starbucks Mango Candy 1 cup </t>
  </si>
  <si>
    <t xml:space="preserve">Snack Meeting Koordinasi </t>
  </si>
  <si>
    <t>Beli keranjang untuk event</t>
  </si>
  <si>
    <t xml:space="preserve">Bensin 29 Mei 2025 </t>
  </si>
  <si>
    <t>Sewa Motor Mei 2025</t>
  </si>
  <si>
    <t>Amplop Coklat 1 pack</t>
  </si>
  <si>
    <t>Paper bag batik kiki 2 pack</t>
  </si>
  <si>
    <t>Bensin Motor Sutarno Bulan April  2025</t>
  </si>
  <si>
    <t>Medical a.n. Sutarno</t>
  </si>
  <si>
    <t>Lakban linen warna 2 pcs</t>
  </si>
  <si>
    <t xml:space="preserve">Panadol Merah, Panadol Hijau, Antimo Masing2 3 Strip </t>
  </si>
  <si>
    <t>Kardus</t>
  </si>
  <si>
    <t>Lakban</t>
  </si>
  <si>
    <t>Double Tape N Paku Payung</t>
  </si>
  <si>
    <t xml:space="preserve">Kap Risol </t>
  </si>
  <si>
    <t xml:space="preserve">Piring, Sendok, Garpu Plastik Dan Kertas Nasi </t>
  </si>
  <si>
    <t xml:space="preserve">Pembelian Pulsa untuk telp call center BPJS TK </t>
  </si>
  <si>
    <t>Tagihan Internet XL pascabayar AH Bulan April 2025</t>
  </si>
  <si>
    <t>Tagihan Internet Telkomsel pascabayar AH Bulan April 2025</t>
  </si>
  <si>
    <t>Tagihan Internet Telkomsel pascabayar AH Bulan Mei 2025</t>
  </si>
  <si>
    <t>Biaya Parkir Inap Bandara Soeta</t>
  </si>
  <si>
    <t>Wrapping Bandara</t>
  </si>
  <si>
    <t>Pembelian Nampan Kayu - Ps Mayestik</t>
  </si>
  <si>
    <t>Pembelian Kotak Kayu - Ps Mayestik</t>
  </si>
  <si>
    <t>Pembelian Rubber Glove - Ps Mayestik</t>
  </si>
  <si>
    <t>Gelas, Tisu, Sendok - Ps Mayestik</t>
  </si>
  <si>
    <t>Sarung tangan plastik, Kantong plastik, Piring - Tokopedia</t>
  </si>
  <si>
    <t>Sarung tangan latex - Tokopedia</t>
  </si>
  <si>
    <t>Apron Kitchen &amp; Waiters - Tokopedia</t>
  </si>
  <si>
    <t>Parkir Mayestik</t>
  </si>
  <si>
    <t>Bensin</t>
  </si>
  <si>
    <t>Lalamove pengiriman barang belanjaan FIF rumah mbak ajeng - kantor</t>
  </si>
  <si>
    <t xml:space="preserve">Gojek Rumah Clara - Kantor (jam 3 subuh) </t>
  </si>
  <si>
    <t>Pembelian ATK Request mba Ratu Trimegah</t>
  </si>
  <si>
    <t>Medical a.n. Supriatno HBS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</si>
  <si>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</si>
  <si>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</si>
  <si>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</si>
  <si>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</si>
  <si>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</si>
  <si>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</si>
  <si>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Tagihan Telephone kantor Mei 2025. 8370-0967/0953/0872/0934/0923/0926/0854</t>
  </si>
  <si>
    <t>Pembelian correction tape</t>
  </si>
  <si>
    <t xml:space="preserve">Materai 50 pcs </t>
  </si>
  <si>
    <t>Medical a.n. Praja Saputra</t>
  </si>
  <si>
    <t>Pewangi</t>
  </si>
  <si>
    <t>Cuci AC 6 Unit x Rp 80.000</t>
  </si>
  <si>
    <t>Makan Siang Bu AH dan Pak DH dari Ayam Tulang Lunak</t>
  </si>
  <si>
    <t>Makan Siang Bu AH dan Pak DH dari Ayam Mas Budi</t>
  </si>
  <si>
    <t>Makan Siang Bu AH dan Pak DH dari Gado Gado Boplo</t>
  </si>
  <si>
    <t>Pembelian Breakfast Lulita, Lovy dan Rivi survey Imperial Kitchen tgl 13 Juni 2025</t>
  </si>
  <si>
    <t>Reimbursement Transportasi Bandara - Rumah pulang pergi Patricia</t>
  </si>
  <si>
    <t>Tiket Kereta Yogya  - Bandara YIA 16 Mei 2025 an Getha dan Erlina</t>
  </si>
  <si>
    <t>Birthday Flower Bu Anne Fairy Acriylic</t>
  </si>
  <si>
    <t xml:space="preserve">Birthday Cake Bu Anne </t>
  </si>
  <si>
    <t>Birthday Meals Bu Anne Paket Nampah 15 Porsi Pipiti Bancakan</t>
  </si>
  <si>
    <t>Bensin Motor Sutarno Bulan Juni 2025</t>
  </si>
  <si>
    <t>Sewa Motor Juni 2025</t>
  </si>
  <si>
    <t>Medical a.n. Anak Yogi (Carissa) (BPJS Baru terdaftar Juli 2025, berobat tgl 23 juni 2025)</t>
  </si>
  <si>
    <t>Gosend Docking Zebra</t>
  </si>
  <si>
    <t>Pembayaran Airport Handling 4 pax 7 juli 2025 + admin bank Rp 2.500</t>
  </si>
  <si>
    <t xml:space="preserve">CV Titan Jaya </t>
  </si>
  <si>
    <t>Pembuatan ID Card Mbak Revi</t>
  </si>
  <si>
    <t>Gosend ID Card Mbak Revi</t>
  </si>
  <si>
    <t>Gocar Transport Dinas di Medan</t>
  </si>
  <si>
    <t>Reimburse Bensin Mobil Yogi (kantor- bandara)</t>
  </si>
  <si>
    <t>Kopi gula, Pewangi, Tissue, Kamper,, Sabun Tangan</t>
  </si>
  <si>
    <t>Amplop Coklat, Lem, Spridol</t>
  </si>
  <si>
    <t>Meals Bu AH dan Pak DH</t>
  </si>
  <si>
    <t>Cuci Sajadah Mei + Juni 2025</t>
  </si>
  <si>
    <t xml:space="preserve">Pembelian Lemineral dan Tipping OB Tsel </t>
  </si>
  <si>
    <t>Service Line Telephone Kantor</t>
  </si>
  <si>
    <t>Subardi</t>
  </si>
  <si>
    <t>Gocar PP Plaza Senayan - Office 8 Juli 2025, pengantaran cash ke Mbak Helda BTN</t>
  </si>
  <si>
    <t>Goride PP Office - BCA gedung gajah 11 Juli 2025, Penarikan Tunai Cash Mbak Helda Batch II</t>
  </si>
  <si>
    <t xml:space="preserve">Gocar team to Office after Technical Meeting Trimegah </t>
  </si>
  <si>
    <t>Tagihan Internet XL pascabayar AH Bulan Mei 2025</t>
  </si>
  <si>
    <t>Tagihan Internet XL pascabayar AH Bulan Juni 2025</t>
  </si>
  <si>
    <t>Tagihan Internet Telkomsel pascabayar AH Bulan Juni 2025</t>
  </si>
  <si>
    <t>Meals Pak DH gofood Greenly Tebet tgl 17 juli 2025</t>
  </si>
  <si>
    <t>Fuel B2313BRN - (CC DBS error saat payment)</t>
  </si>
  <si>
    <t>Pembelian Luggage Tag (bahan PVC glossy)  42 pcs</t>
  </si>
  <si>
    <t>Rita Susilowati</t>
  </si>
  <si>
    <t>Banner (bahan flexy280g)</t>
  </si>
  <si>
    <t>Kopi gula, Sabun Tangan, Map bening, Lem</t>
  </si>
  <si>
    <t>Meals Bu AH</t>
  </si>
  <si>
    <t>pembayaran teknisi untuk pemindahan outdoor AC dari PCMI Lounge</t>
  </si>
  <si>
    <t>Ongkos kirim Handdryer</t>
  </si>
  <si>
    <t>Wrapping Koper Peserta di Bandara Soetta</t>
  </si>
  <si>
    <t>Henhen</t>
  </si>
  <si>
    <t>Pembelian 1 unit Handdryer</t>
  </si>
  <si>
    <t>Print Snappy Proposal Mandiri Lalafest</t>
  </si>
  <si>
    <t>Mandiri Lalafest</t>
  </si>
  <si>
    <t xml:space="preserve">Meals Pak DH dan Bu AH at Nannys Pavillon </t>
  </si>
  <si>
    <t>David</t>
  </si>
  <si>
    <t>Parkir Inap Bandara 24-27 Juli 2025</t>
  </si>
  <si>
    <t>Parkir Inap Bandara 17-20 Juli 2025</t>
  </si>
  <si>
    <t>Sampling Mug Litten Cup White</t>
  </si>
  <si>
    <t>Andrean Luminaty</t>
  </si>
  <si>
    <t>Sampling Pebble Black Wallet Logo</t>
  </si>
  <si>
    <t>PT Nakra Bahagia</t>
  </si>
  <si>
    <t>Pembelian Luggage Tag &amp; Signage</t>
  </si>
  <si>
    <t>Print Snapy - Plakat</t>
  </si>
  <si>
    <t xml:space="preserve">Print Proposal dan LPJ </t>
  </si>
  <si>
    <t>Bensin Motor Sutarno Bulan Juli 2025</t>
  </si>
  <si>
    <t>Sewa Motor Juli 2025</t>
  </si>
  <si>
    <t xml:space="preserve">Parkir Motor </t>
  </si>
  <si>
    <t>Cetak Proposal Event</t>
  </si>
  <si>
    <t>Gocar transport Kantor - Stasiun - Vanue - Kantor (5 trx) Yogi dan Praja</t>
  </si>
  <si>
    <t>Biaya pengisian daya listrik mobil B994NNE</t>
  </si>
  <si>
    <t>B994NNE</t>
  </si>
  <si>
    <t>Parkir Terminal 3 Soeta Mobil Heri</t>
  </si>
  <si>
    <t>Parkir KCIC Halim Mobil Heri</t>
  </si>
  <si>
    <t>Survey BRI Consumer EXPO Bandung</t>
  </si>
  <si>
    <t>Meals Bu AH and Bu Frida at SSS Tebet 08 Agustus 2025</t>
  </si>
  <si>
    <t>Meals Lunch Dimas at Solaria Bandung 01 agustus 2025</t>
  </si>
  <si>
    <t xml:space="preserve">Dimas </t>
  </si>
  <si>
    <t>Parkir KCIC Halim Mobil Dimas</t>
  </si>
  <si>
    <t>Meals Breakfast, Lunch, Dinner Heri, Odhey, Dimas + 2 org PIC Vanue</t>
  </si>
  <si>
    <t>Meals Dinner Teams, MC, Photoghrapher 10 pax nasi goreng</t>
  </si>
  <si>
    <t>e-Materai 10 pcs untuk invoice</t>
  </si>
  <si>
    <t>Tiket Whoosh BDG - JKT clara batch I</t>
  </si>
  <si>
    <t>Tagihan Internet Telkomsel pascabayar AH Bulan Juli 2025</t>
  </si>
  <si>
    <t>Tagihan Internet XL pascabayar AH Bulan Juli 2025</t>
  </si>
  <si>
    <t>Print Snapy Proposal ke Mandiri</t>
  </si>
  <si>
    <t xml:space="preserve">Print Proposal BTN </t>
  </si>
  <si>
    <t>Medical a.n. Malikha Nadhira (Anak Sutarno)</t>
  </si>
  <si>
    <t xml:space="preserve">Paperbag dan Amplop Uang </t>
  </si>
  <si>
    <t>Fuel Motor Praja - antar barang ke rumah Bu Anne</t>
  </si>
  <si>
    <t xml:space="preserve">Pembelian Coffee Starbucks - Meeting dengan Team Randi BRI </t>
  </si>
  <si>
    <t>Oli dan Ban dalam motor operational</t>
  </si>
  <si>
    <t>Soklin Lantai, Tusuk Gigi</t>
  </si>
  <si>
    <t>Obat Inpepsa bu anne</t>
  </si>
  <si>
    <t>Rujak</t>
  </si>
  <si>
    <t xml:space="preserve">Gojek Kantor - Gambir </t>
  </si>
  <si>
    <t xml:space="preserve">Gojek Cirebon Power - Staisun Cirebon </t>
  </si>
  <si>
    <t>Parkir inap Stasiun Gambir mobil Yogi</t>
  </si>
  <si>
    <t>Pembelian Simcard Mifi Bu AH</t>
  </si>
  <si>
    <t xml:space="preserve">Pembelian Baterai Model Huawei </t>
  </si>
  <si>
    <t>Pembelian Kabel Charger Model USB Tipe C to Micro</t>
  </si>
  <si>
    <t>Pembelian Paket data 20 GB untuk Modem Bu AH</t>
  </si>
  <si>
    <t>Pembelian Sarapan Team &amp; Creaw tanggal 04 Agustus</t>
  </si>
  <si>
    <t>Gocar Soeta - Kosan Patrice</t>
  </si>
  <si>
    <t>penambahan pipa 1/4 x 3/8 caffe PCMI</t>
  </si>
  <si>
    <t>CV Ronggolawe</t>
  </si>
  <si>
    <t>penambahan kabel caffe PCMI</t>
  </si>
  <si>
    <t>Parkir Inap Bandara Mobil Alex</t>
  </si>
  <si>
    <t>Wrapping Bagasi</t>
  </si>
  <si>
    <t xml:space="preserve">Tipping Tukang pengantar Kulkas Cafe PCMI - cfm bu AH </t>
  </si>
  <si>
    <t>2 pcs tinta warna + 1 pcs  hitam canon PG 745 - req alex n praja</t>
  </si>
  <si>
    <t>2 pcs HP Tinta Hitam HP682 - req alex n praja</t>
  </si>
  <si>
    <t>Tiket Whoosh BDG - JKT clara batch II</t>
  </si>
  <si>
    <t>Tagihan Internet Telkomsel pascabayar AH Bulan Agustus 2025</t>
  </si>
  <si>
    <t>Cetak Proposal BRI Consumer Expo Include Gosend</t>
  </si>
  <si>
    <t>Materai 2 pcs</t>
  </si>
  <si>
    <t>Biaya pengisian daya listrik mobil B994NNE 09 August - 01 Sept 2025</t>
  </si>
  <si>
    <t>Print Proposal Ekonomi Outlook 2025</t>
  </si>
  <si>
    <t>Kertas Art Paper</t>
  </si>
  <si>
    <t>Ringkawat untuk Proposal Pertamina</t>
  </si>
  <si>
    <t>Sewa Motor Agustus 2025</t>
  </si>
  <si>
    <t>Bensin Motor Sutarno Bulan Agustus 2025</t>
  </si>
  <si>
    <t>Pembelian adaptor Monitor Yogi</t>
  </si>
  <si>
    <t xml:space="preserve">pembelian kabel HDMI TV VGA yogi </t>
  </si>
  <si>
    <t xml:space="preserve">Pembelian paket data MIFI bu anne </t>
  </si>
  <si>
    <t>Biaya reparasi dispenser lounge PCMI</t>
  </si>
  <si>
    <t>Laporan dan Proposal Kegiatan Mandiri</t>
  </si>
  <si>
    <t xml:space="preserve">CV Daud Abadi </t>
  </si>
  <si>
    <t>Laporan Kegiatan Mandiri dan BTN</t>
  </si>
  <si>
    <t>Biaya pengisian daya listrik mobil B994NNE 11 Sept 2025</t>
  </si>
  <si>
    <t>Biaya pengisian daya listrik mobil B994NNE 3 Sept 2025</t>
  </si>
  <si>
    <t xml:space="preserve">Meeting with vendor at coffee club - ip wellness the unlock </t>
  </si>
  <si>
    <t>Cetak Proposal Pertamina</t>
  </si>
  <si>
    <t>Cetak Proposal BRI EXPO</t>
  </si>
  <si>
    <t>Biaya pengisian daya listrik mobil B994NNE 16 Sept 2025</t>
  </si>
  <si>
    <t>Medical a.n.M.Diar (Anak Supriyadi)</t>
  </si>
  <si>
    <t xml:space="preserve">Proposal Pertamina </t>
  </si>
  <si>
    <t>Laporan Kegiatan economic outlook 2025</t>
  </si>
  <si>
    <t xml:space="preserve">Laporan Kegiatan Natal Bersama KBUMN - MIND ID </t>
  </si>
  <si>
    <t xml:space="preserve">Kirim dokument PT Tower bersama Medan </t>
  </si>
  <si>
    <t>Tagihan Internet XL pascabayar AH Bulan Agustus 2025</t>
  </si>
  <si>
    <t>Meals lunch Bu AH dan Pak DH gofood Nasi Tempong</t>
  </si>
  <si>
    <t>Print Proposal Sponsorship industri Perbankan Himbara - req Reza</t>
  </si>
  <si>
    <t>Meals survey venue The Unlock (puncak) at Popeyes Hankam</t>
  </si>
  <si>
    <t xml:space="preserve">Cuci Sajadah Juli Agutsus </t>
  </si>
  <si>
    <t>Meals lunch Bu AH dan Pak DH at Ojolali</t>
  </si>
  <si>
    <t>Meals lunch Bu AH at Gado2 Boplo</t>
  </si>
  <si>
    <t>Kopi n gula</t>
  </si>
  <si>
    <t>Baterai, Lampu, Kapur Barus, Sabun, Plastik, Pel an , Ganti Taligas motor ops</t>
  </si>
  <si>
    <t>Biaya pengisian daya listrik mobil B994NNE 19 Sept 2025</t>
  </si>
  <si>
    <t>Biaya pengisian daya listrik mobil B994NNE 23 Sept 2025</t>
  </si>
  <si>
    <t>Pembelian Exhaust dan alat pendukungnya - PCMI Lounge</t>
  </si>
  <si>
    <t>PCMI Lounge</t>
  </si>
  <si>
    <t>Paralon stop kran dll</t>
  </si>
  <si>
    <t>Plamir matex BTTC</t>
  </si>
  <si>
    <t>Plamir matex Koas</t>
  </si>
  <si>
    <t>Cetak ID Card Dimas (revisi)</t>
  </si>
  <si>
    <t xml:space="preserve">Print Proposal Pasar Murah Mandiri </t>
  </si>
  <si>
    <t xml:space="preserve">Print Laporan Kegiatan Mandiri Bajo </t>
  </si>
  <si>
    <t xml:space="preserve">Print proposal Mandiri Bajo </t>
  </si>
  <si>
    <t xml:space="preserve">Kirim dokument PT Timah </t>
  </si>
  <si>
    <t>Biaya pengisian daya listrik mobil B994NNE 26 Sept 2025</t>
  </si>
  <si>
    <t>Biaya Reschedule Tiket Pelita Air an I Wayan PKU - CGK</t>
  </si>
  <si>
    <t>Biaya pengisian daya listrik mobil B994NNE - pengisian gopay pak kanda</t>
  </si>
  <si>
    <t>Perjadin to Taman Safari Indonesia (bensin, tol, parking)  an Reviana</t>
  </si>
  <si>
    <t>Revi</t>
  </si>
  <si>
    <t xml:space="preserve">Tol dan parkir e-card mobil Reviana - sales call </t>
  </si>
  <si>
    <t>Pengiriman dokument melalui Tiki</t>
  </si>
  <si>
    <t>Sewa Motor September 2025</t>
  </si>
  <si>
    <t>Medical a.n.Sutarno</t>
  </si>
  <si>
    <t>Print laporan kegiatan tomo bridgestone</t>
  </si>
  <si>
    <t>Print dokument mandiri pasar murah</t>
  </si>
  <si>
    <t>Bensin Motor Sutarno Bulan September 2025</t>
  </si>
  <si>
    <t>parkir motor</t>
  </si>
  <si>
    <t>Parkir mobil Yogi di bandara Soetta 30 sept 2025</t>
  </si>
  <si>
    <t>Pembelian Paket data MIFI modem Bu AH</t>
  </si>
  <si>
    <t>Reimburse Fuel mobil Reviana</t>
  </si>
  <si>
    <t xml:space="preserve">Tol PP JKT - BDG mobil Reviana </t>
  </si>
  <si>
    <t xml:space="preserve">Tol PP JKT - BDG mobil Heri </t>
  </si>
  <si>
    <t>Reimburse Fuel mobil Heri</t>
  </si>
  <si>
    <t>Tinta HP Ink 682 Black 2 pcs (printer bu YY)</t>
  </si>
  <si>
    <t>Tagihan Internet Tsel pascabayar AH Bulan September 2025</t>
  </si>
  <si>
    <t>e-Materai 2 pcs untuk invoice n kwitansi</t>
  </si>
  <si>
    <t>Over Baggage an Dimas Danang</t>
  </si>
  <si>
    <t>Tol rumah - bandara Soetta</t>
  </si>
  <si>
    <t xml:space="preserve">Parkir Inap bandara 4 days </t>
  </si>
  <si>
    <t xml:space="preserve">Medical a.n.Ujer </t>
  </si>
  <si>
    <t>Pulsa Praja untuk Isi Wifi</t>
  </si>
  <si>
    <t xml:space="preserve">Kopi </t>
  </si>
  <si>
    <t>portex, Sabun, clear holder</t>
  </si>
  <si>
    <t>pengiriman dokument ke PT Timah</t>
  </si>
  <si>
    <t>Biaya Parkir Bandara Soeta</t>
  </si>
  <si>
    <t>Shell MotoGp Sepang 2025</t>
  </si>
  <si>
    <t>Fuel mobil Bandara Soeta</t>
  </si>
  <si>
    <t>Cetak 5 luggage tag twin digital</t>
  </si>
  <si>
    <t>Fuel Mobil FA  21 Oct 2025</t>
  </si>
  <si>
    <t xml:space="preserve">Print Laporan Kegiatan </t>
  </si>
  <si>
    <t xml:space="preserve">Rujak pembuburan panitia mandiri pasar murah </t>
  </si>
  <si>
    <t xml:space="preserve">Cetak Kartu Nama Revi </t>
  </si>
  <si>
    <t>BI-FAST CR TRANSFER DR ADE IRMA SARTIKA T, Retur Mandiri MP 30-Sep</t>
  </si>
  <si>
    <t>Jun</t>
  </si>
  <si>
    <t>Jul</t>
  </si>
  <si>
    <t>Aug</t>
  </si>
  <si>
    <t>Sep</t>
  </si>
  <si>
    <t>Oct</t>
  </si>
  <si>
    <t>Nov</t>
  </si>
  <si>
    <t>Mar - Apr - May</t>
  </si>
  <si>
    <t>Feb</t>
  </si>
  <si>
    <t>UBP60215001202FFFFFF041324045944845 : PPh 21 Masa September 2025</t>
  </si>
  <si>
    <t>UBP60215001202FFFFFF041236367413243 : PPh 21 Masa Agustus 2025</t>
  </si>
  <si>
    <t>UBP60215001202FFFFFF041423014239300 : PPh 21 Masa October 2025</t>
  </si>
  <si>
    <t>UBP60215001202FFFFFF041148500764988 : PPh 21 Masa Juli 2025</t>
  </si>
  <si>
    <t>UBP60215001202FFFFFF041116156521259 : Surat Tagihan Pajak PPH 21 Jan - Des 2024</t>
  </si>
  <si>
    <t>UBP60215001202FFFFFF041079584185297 : PPh 21 Masa Juni 2025</t>
  </si>
  <si>
    <t>UBP60215001202FFFFFF030209972868122 : PPH 23 Jasa Evaluasi Psikologi Kandidat Finance Masa Februari 2024</t>
  </si>
  <si>
    <t>UBP60215001202FFFFFF030209972641091 : PPH Jasa Kopegtel Mediatron masa Mei 2024</t>
  </si>
  <si>
    <t xml:space="preserve">UBP60215001202FFFFFF040923010598568 : Surat Tagihan Pajak PPH Unifikasi Jan - April 2025  </t>
  </si>
  <si>
    <t>UBP60215001202FFFFFF030109917832024 : PPH Pasal 4 ayat 2 (10%) Sewa Bangunan Juli 2024</t>
  </si>
  <si>
    <t>UBP60215001202FFFFFF030109917827148 : PPH Pasal 4 ayat 2 (10%) Sewa Bangunan Juni 2024</t>
  </si>
  <si>
    <t>UBP60215001202FFFFFF030109917811053 : PPH Pasal 4 ayat 2 (10%) Sewa Bangunan Mei 2024</t>
  </si>
  <si>
    <t>UBP60215001202FFFFFF030109917808091 : PPH Pasal 4 ayat 2 (10%) Sewa Bangunan April 2024</t>
  </si>
  <si>
    <t>UBP60215001202FFFFFF030109917589015 : PPH 23 Sewa Mobil Masa Desember 2024</t>
  </si>
  <si>
    <t>UBP60215001202FFFFFF030109917582082 : PPH 23 Sewa Mobil Masa Desember 2024</t>
  </si>
  <si>
    <t xml:space="preserve">UBP60215001202FFFFFF040976589086936 : PPh 21 Masa Mei 2025 </t>
  </si>
  <si>
    <t>UBP60215001202FFFFFF040859041625717 : PPh 21 Masa April 2025</t>
  </si>
  <si>
    <t>UBP60215001202FFFFFF040893945183101 : PPh 21 Masa Maret 2025</t>
  </si>
  <si>
    <t xml:space="preserve">UBP60215001202FFFFFF040875610086834 : PPh 21 Masa Februari 2025 </t>
  </si>
  <si>
    <t xml:space="preserve">UBP60215001202FFFFFF040854484665486 : PPh 21 Masa Februari 2025 </t>
  </si>
  <si>
    <t>UBP60215001202FFFFFF029908850824084 : PPH 23 Sewa Mobil Masa Februari 2024</t>
  </si>
  <si>
    <t>UBP60215001202FFFFFF029908850761002 : PPH 23 Sewa Mobil Masa Februari 2024</t>
  </si>
  <si>
    <t>UBP60215001202FFFFFF029707383164100 : PPH 23 Sewa Mobil Masa Agustus 2024</t>
  </si>
  <si>
    <t>UBP60215001202FFFFFF029707383145028 : PPH 23 Sewa Mobil Masa Agustus 2024</t>
  </si>
  <si>
    <t xml:space="preserve">UBP60215001202FFFFFF029606483637059 : SPT PPN MASA DESEMBER 2024 </t>
  </si>
  <si>
    <t>UBP60215001202FFFFFF029605864597157 : PPH 23 Jasa Penyedia Tenaga Kerja dan atau tenaga ahli (Viky sianipar n teams)</t>
  </si>
  <si>
    <t>UBP60215001202FFFFFF029605478532037 : PPH 23 Sewa Mesin Photocopy Masa Desember 2024</t>
  </si>
  <si>
    <t>STP</t>
  </si>
  <si>
    <t>Apr</t>
  </si>
  <si>
    <t>UBP60215001202FFFFFF040728367352976 : PPH Unifikasi Masa Maret 2025 : Rp. 2.303.065 : 411124-100</t>
  </si>
  <si>
    <t>UBP60215001202FFFFFF040755819954190 : PPH Unifikasi Masa Februari 2025 Rp. 14.396.616 : 411124-100</t>
  </si>
  <si>
    <t>UBP60215001202FFFFFF040760258789362 : PPH Unifikasi Masa Januari 2025: Rp. 119.158.316 : 411128-403</t>
  </si>
  <si>
    <t>UBP60215001202FFFFFF040760258789362 : PPH Unifikasi Masa Januari 2025 : Rp. 119.158.316 : 411124-100</t>
  </si>
  <si>
    <t>UBP60215001202FFFFFF041168743859239 : PPH Unifikasi Masa Juli 2025 : Rp. 2.103.667 : 411124-100</t>
  </si>
  <si>
    <t>UBP60215001202FFFFFF041255972119722 : PPH Unifikasi Masa Agustus 2025 : Rp. 3.672.366 : 411124-100</t>
  </si>
  <si>
    <t>UBP60215001202FFFFFF041376907637974 : PPH Unifikasi Masa September : Rp. 3.742.856 : 411124-100</t>
  </si>
  <si>
    <t xml:space="preserve">UBP60215001202FFFFFF040807318063781 : PPH Unifikasi Masa Maret 2025 : 411124-100 </t>
  </si>
  <si>
    <t xml:space="preserve">UBP60215001202FFFFFF041096342592895 : PPH Unifikasi Masa Juni 2025 : Rp. 2.602.071 : 411124-100 </t>
  </si>
  <si>
    <t>UBP60215001202FFFFFF030210009756151 : NTPN 0C1CA67PU1957SFN : Pajak Badan SPT PCMI 2024 Kurang Bayar</t>
  </si>
  <si>
    <t>UBP60215001202FFFFFF041428050167414 : Rp. 28.632.322 : PPH Unifikasi Masa Oktober 2025 : 411124-100</t>
  </si>
  <si>
    <t>UBP60215001202FFFFFF041494414897310 : 411211-100 : PPN Masa Oktober</t>
  </si>
  <si>
    <t>BI-FAST DB TRANSFER   KE 008 GNC : Pengadaan Dana 19Pax T-II</t>
  </si>
  <si>
    <t>BI-FAST DB TRANSFER   KE 008 GNC : Pengadaan Dana 19Pax T-I</t>
  </si>
  <si>
    <t>BRI Brimo Festival 2023</t>
  </si>
  <si>
    <t>Telkomsel Event Knowledge Festival</t>
  </si>
  <si>
    <t>SPM 328/CSD/25_PEMB BIAYA SPONSORSHIP RA</t>
  </si>
  <si>
    <t>Pin Buk Mandiri MP TRF 1220004875566 PAN CONVINCE MI BMRI MANDIRI</t>
  </si>
  <si>
    <t>Pin Buk BCA Juanda TRF 5350285999 PAN CONVINCE MI BCA</t>
  </si>
  <si>
    <t>Dipinjam PCMI     NY NURLAILA HUTABA,Mandiri Plasa</t>
  </si>
  <si>
    <t>Pembelian Obat    RD HIDIANITJE DRA,Mandiri Plasa</t>
  </si>
  <si>
    <t>BRI KunKer Bogor  SPJ 2D 16-17Nop   SUPRIYADI,Mandiri Plasa</t>
  </si>
  <si>
    <t>Dipinjam PCMI 666 NY NURLAILA HUTABA,Mandiri Plasa</t>
  </si>
  <si>
    <t>Mandiri FGD BantenSPJ 1D 7Nop       SUPRIYADI,Mandiri Plasa</t>
  </si>
  <si>
    <t>Salary PCMI Nov   DAVID HARSAMTO,Mandiri Plasa</t>
  </si>
  <si>
    <t>Retur Salah Transfer 28-Nop         DAVID HARSAMTO,Mandiri Plasa</t>
  </si>
  <si>
    <t>AR StaffLoan OdheyDAVID HARSAMTO,Mandiri Plasa</t>
  </si>
  <si>
    <t>AR StaffLoan FridaDAVID HARSAMTO,Mandiri Plasa</t>
  </si>
  <si>
    <t>AR StaffLoan PrajaDAVID HARSAMTO,Mandiri Plasa</t>
  </si>
  <si>
    <t>Salary PCMI Nov   Krg Bayar         DAVID HARSAMTO,Mandiri Plasa</t>
  </si>
  <si>
    <t>1st installent AH RD HIDIANITJE DRA,Mandiri Plasa</t>
  </si>
  <si>
    <t>RS HelsaJatirahayuRadiologi+TindakanREVIANA VERONICA P,Mandiri Plasa</t>
  </si>
  <si>
    <t>Pin Buk BCA JuandaPAN CONVINCE MITRA,Mandiri Plasa</t>
  </si>
  <si>
    <t>Retur             PAN CONVINCE MITRA,Mandiri Plasa</t>
  </si>
  <si>
    <t>Mandiri FGD Banten</t>
  </si>
  <si>
    <t>TELKOM DIVRE2  02183700953     11 PAN CONVINCE MITRA  0232055350285999 Mandiri Plasa</t>
  </si>
  <si>
    <t>TELKOM DIVRE2  02183700872     11 PAN CONVINCE MITRA  0232055350285999 Mandiri Plasa</t>
  </si>
  <si>
    <t>TELKOM DIVRE2  02183700967     11 PAN CONVINCE MITRA  0232055350285999 Mandiri Plasa</t>
  </si>
  <si>
    <t>TELKOM DIVRE2  02183700923     11 PAN CONVINCE MITRA  0232055350285999 Mandiri Plasa</t>
  </si>
  <si>
    <t>TELKOM DIVRE2  02183700934     11 PAN CONVINCE MITRA  0232055350285999 Mandiri Plasa</t>
  </si>
  <si>
    <t>TELKOM DIVRE2  02183700926     11 PAN CONVINCE MITRA  0232055350285999 Mandiri Plasa</t>
  </si>
  <si>
    <t>TELKOM DIVRE2  02183700854     11 PAN CONVINCE MITRA  0232055350285999 Mandiri Plasa</t>
  </si>
  <si>
    <t>BI-FAST CR TRANSFER   DR 008 PAN CONVINCE MITRA    Mandiri Plasa</t>
  </si>
  <si>
    <t>PYC Talks Stage+Frame LED  IBNU CHUZAYMAH Mandiri Plasa</t>
  </si>
  <si>
    <t>BSI Kunker BAKN PP DP Produksi  AFANDI Mandiri Plasa</t>
  </si>
  <si>
    <t>BRI FGD SEM KomXI Biaya Ops  ROBERTUS BELLARMIN Mandiri Plasa</t>
  </si>
  <si>
    <t>Jam Penawaran BRI RUPSLB 25  MOH JAPAR RUMARUTA Mandiri Plasa</t>
  </si>
  <si>
    <t>BRI KunKer Bogor LED &amp; Matador  WIDI SURYA BUDIANA Mandiri Plasa</t>
  </si>
  <si>
    <t>BRI KunKer Bogor PIC Produksi 2D  MOCH SUPRIYADI Mandiri Plasa</t>
  </si>
  <si>
    <t>BRI KunKer Bogor 35 Delegate Mic 1D  ADITYA CHANDRA KUS Mandiri Plasa</t>
  </si>
  <si>
    <t>BRI KunKer Bogor Doc Photo Video  KATHERIN VICENTIA Mandiri Plasa</t>
  </si>
  <si>
    <t>Mandiri FGD Banten Doc PhotoVideo 1D  KATHERIN VICENTIA Mandiri Plasa</t>
  </si>
  <si>
    <t>BRI KunKer Bogor SM+MC Crew 17Nop  TEUKU DONNYA SYAHP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</si>
  <si>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</si>
  <si>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</si>
  <si>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</si>
  <si>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CA-119/25 Titing SUTARNO  Mandiri Plasa</t>
  </si>
  <si>
    <t>CA-118/25 Patrice MARIA PATRICIA SUG  Mandiri Plasa</t>
  </si>
  <si>
    <t>Sisa CA Petty Cash FA No 00110  FRIDA ACHMADI Mandiri Plasa</t>
  </si>
  <si>
    <t>Pin Buk BCA Juanda RD HIDIANITJE DRA  Mandiri Plasa</t>
  </si>
  <si>
    <t>BTN FGDCirebon KXI DP Production  HARRY SUSANTO Mandiri Plasa</t>
  </si>
  <si>
    <t>TSel ReachBeyondSu LO Dinner SLM  RATNAMETTHA SUGAMA Mandiri Plasa</t>
  </si>
  <si>
    <t>TSel ReachBeyondSu Meals MtgSLM 19Nov  MARIA PATRICIA SUG Mandiri Plasa</t>
  </si>
  <si>
    <t>JaminanPenawaran BRI Reception  MOH JAPAR RUMARUTA Mandiri Plasa</t>
  </si>
  <si>
    <t>BI-FAST CR TRANSFER   DR 002 PAN CONVINCE MITRA    Mandiri Plasa</t>
  </si>
  <si>
    <t>BI-FAST CR TRANSFER   DR 200 PAN CONVINCE MITRA    Mandiri Plasa</t>
  </si>
  <si>
    <t>Retur RD HIDIANITJE DRA  Mandiri Plasa</t>
  </si>
  <si>
    <t>TSel FBP West Area Tunai Div Finance  YOGI PURWO WIDODO Mandiri Plasa</t>
  </si>
  <si>
    <t>BRI FGD Semarang SM, Mc Crew,Trans  TEUKU DONNYA SYAHP Mandiri Plasa</t>
  </si>
  <si>
    <t>BRI FGD Semarang Kom MCM InhouseTrf CS-CS  KE ROBERTUS BELLARMINO DHANY AS</t>
  </si>
  <si>
    <t>SRT-K25TBAO19  2000060764K25TB25   MCM InhouseTrf  DARI PERTAMINA PTMN-MDR-KTPS</t>
  </si>
  <si>
    <t xml:space="preserve">20251125BMRIIDJA010O9936572762 </t>
  </si>
  <si>
    <t xml:space="preserve">20251125BMRIIDJA010O9936572768  </t>
  </si>
  <si>
    <t>BRI FGD Semarang, Lu 06642  MCM InhouseTrf  KE ROBERTUS BELLARMINO DHANY AS</t>
  </si>
  <si>
    <t xml:space="preserve">TSel Alignment Sales06628   BNINIDJA/RADIATUL ADAWIYAH </t>
  </si>
  <si>
    <t xml:space="preserve">20251125BMRIIDJA010O9936678598 </t>
  </si>
  <si>
    <t>TSel Alignment Sales06629  BNINIDJA/ULFA SARTIKA</t>
  </si>
  <si>
    <t xml:space="preserve">TSel Alignment SIFA  06621  MCM InhouseTrf  KE CRYSELLA </t>
  </si>
  <si>
    <t xml:space="preserve">20251125BMRIIDJA010O9936679001 </t>
  </si>
  <si>
    <t xml:space="preserve">20251125BMRIIDJA010O9936679005  </t>
  </si>
  <si>
    <t>TSel Alignment Sales06631    BNINIDJA/RINO OKTABRILA</t>
  </si>
  <si>
    <t xml:space="preserve">20251125BMRIIDJA010O9936679012 </t>
  </si>
  <si>
    <t xml:space="preserve">20251125BMRIIDJA010O9936679016   </t>
  </si>
  <si>
    <t xml:space="preserve">TSel Alignment Sales06630  BNINIDJA/EKA PUTRIANA </t>
  </si>
  <si>
    <t xml:space="preserve">20251125BMRIIDJA010O9936679020  </t>
  </si>
  <si>
    <t xml:space="preserve">TSel Alignment Sales  BNINIDJA/DINA YULIANTARI </t>
  </si>
  <si>
    <t xml:space="preserve">20251125BMRIIDJA010O9936679024  </t>
  </si>
  <si>
    <t xml:space="preserve">Mandiri Pasar Murah,06663  BRINIDJA/KREASI MILIMETER NUS </t>
  </si>
  <si>
    <t xml:space="preserve">20251125BMRIIDJA010O9936700980 </t>
  </si>
  <si>
    <t>20251128BBBAIDJA010O0101668660 BBBAIDJA/MARGARETA YOVITA SEPTIANA 9835955203</t>
  </si>
  <si>
    <t>20251128CENAIDJA010O0103438602  CENAIDJA/NY NURLAILA HUTABARAT 575018387799102</t>
  </si>
  <si>
    <t xml:space="preserve">Salary PCMI November  CENAIDJA/DAVID HARSAMTO </t>
  </si>
  <si>
    <t xml:space="preserve">20251128BMRIIDJA010O9937602713   </t>
  </si>
  <si>
    <t>BTANIDJA010O9900466013 BIFAST Inc GL-CS  BTANIDJA/PAN CONVINCE MITRA I</t>
  </si>
  <si>
    <t>UBP60215001202FFFFFF041466297270229 : PPh-21 Masa Nopember</t>
  </si>
  <si>
    <t xml:space="preserve">KSEI Seminar Emiten  05249 MCM InhouseTrf  KE TJOKRO UTOMO </t>
  </si>
  <si>
    <t>KSEI Seminar Emiten 05251  BNINIDJA/PEGADAIAN GALERI DUA EMPAT</t>
  </si>
  <si>
    <t xml:space="preserve">TSel GraPARI TOMO   05202 BNINIDJA/BAYU GUSTIANTRI HARIYONO </t>
  </si>
  <si>
    <t>KSEI Seminar Emiten  05261  MCM InhouseTrf  KE TJOKRO UTOMO</t>
  </si>
  <si>
    <t>Telkomsel Event Direksi Visit Medan &amp; OM Consolidation</t>
  </si>
  <si>
    <t>TSel Prog Mkt Visit  06077 MCM InhouseTrf  KE EMIL SATRIA PUTRA</t>
  </si>
  <si>
    <t xml:space="preserve">TSel Supp Outlet Vis06056 SSPIIDJA/ADE IRMA SARTIKA.T </t>
  </si>
  <si>
    <t xml:space="preserve">TSel Prog Mkt Visit 06078 BNINIDJA/ZENY THAHIRA KRISMA SARI </t>
  </si>
  <si>
    <t xml:space="preserve">TSel Visit Cluster A06068  BNINIDJA/MAYA ROSWITA </t>
  </si>
  <si>
    <t>Mandiri Pasar Murah,06081  BRINIDJA/ENDRIK SUYANTO</t>
  </si>
  <si>
    <t xml:space="preserve">Himbara FGD Smg   06080 MCM InhouseTrf  KE ROBERTUS BELLARMINO DHANY AS </t>
  </si>
  <si>
    <t>Himbara FGD Smg  06080 MCM InhouseTrf  KE ROBERTUS BELLARMINO DHANY AS</t>
  </si>
  <si>
    <t>Mountain View Golf Clu - Pembelian beverages during golf, 6 Pax VIP, 01 Aug 2025</t>
  </si>
  <si>
    <t>Mountain View Golf Clu - Pembelian Kopi &amp; Teh utk Pak Sabar &amp; Pak Andhika dan Pembelian Bola Golf</t>
  </si>
  <si>
    <t>Bkg*Hotel At Booking.C - Pembayaran sewa Apt 1 malam tgl 4 ke 5 Aug utk Rizky, Komeng dan Kang Ableh</t>
  </si>
  <si>
    <t>Subway Plz Fstival-Wy9 - Makan Siang Ibu AH &amp; FA, 4Aug 2025</t>
  </si>
  <si>
    <t>Spbu 31.10303,Cikini - Fuel F 1138 ABU, 5 Aug 2025</t>
  </si>
  <si>
    <t>Mandapa Farma - Obat Hypentensi Bulanan &amp; Tulang a,n Frida Achmadi, 06 Aug 2025</t>
  </si>
  <si>
    <t>Simpang Raya Kramat - Makan siang Ibu AH &amp; FA, 07 Aug 2025</t>
  </si>
  <si>
    <t>Spbu 34.13809,Cipayung - Fuel F 1138 ABU, 7 Aug 2025</t>
  </si>
  <si>
    <t>Spbu 34.13414,Cipinang - Fuel B 2313 BRN, 8 Aug 2025</t>
  </si>
  <si>
    <t>Airbnb * Hmyqapnfjp - Pembayaran Villa utk 2 malam 13-15 Aug 9 pax</t>
  </si>
  <si>
    <t>Spbu 34-16102 - Fuel F 1138 ABU, 11 Aug 2025</t>
  </si>
  <si>
    <t>Linktree* Linktree - Pembayaran Tagihan Bulanan Linktree</t>
  </si>
  <si>
    <t>Spbu 34.40123 Pasteur - Fuel F 1138 ABU, 13 Aug 2025</t>
  </si>
  <si>
    <t>Mc Donalds Indonesia - Pembelian Makan Malam utk MC dan Show D, 5 PaNas, 14 Aug 2025</t>
  </si>
  <si>
    <t>Spbu 34.40527-Ho - Fuel F 1138 ABU, 15 Aug 2025</t>
  </si>
  <si>
    <t>Spbu 34-12805 - Fuel F 1138ABU, 19Aug 2025</t>
  </si>
  <si>
    <t>Roti Romi Tebet - Meeting w/ Personal Energy &amp; Life Guidance (Revi &amp; Dimas), 20 Aug 2025</t>
  </si>
  <si>
    <t>Bkg*Hotel At Booking.C - Bayar 1 kamar Pat dan Dina tanggal 22-23 Aug</t>
  </si>
  <si>
    <t>Spbu 34-10201 - Fuel F 1138ABU, 22 Aug 2025</t>
  </si>
  <si>
    <t>Spbu 34- 13306 - Fuel F 1138ABU, 26Aug 2025</t>
  </si>
  <si>
    <t>Codereadr App - Pembelian system scanner registrasi</t>
  </si>
  <si>
    <t>Apotek Aji Waras - Pembelian Obat</t>
  </si>
  <si>
    <t>Electronic City - Pembelian kompor induction PCMI Lounge</t>
  </si>
  <si>
    <t>Electronic City - Pembelian Kulkas &amp; microwive PCMI Lounge</t>
  </si>
  <si>
    <t>Tiket.Com - Hotel Whiz Prime Pekanbaru 05-06 Aug 2025 An Rizki M Toharudin</t>
  </si>
  <si>
    <t xml:space="preserve">Tiket.Com - Hotel Whiz Prime Pekanbaru 05-07 Aug 2025 ( Andr Tryansyah, Jaya Rismanda)	</t>
  </si>
  <si>
    <t>Tiket.Com - Room and Bfast Hotel Whiz Pekanbaru total 4 Kamar 04 - 06 Aug 2025 ( Ali Wardana, Farhan, Arif R, Al Asyari )</t>
  </si>
  <si>
    <t>Pelita Air-Ipg - inv 000250495 tiket an Hendri</t>
  </si>
  <si>
    <t>Tiket.Com - Hotel Amaris Cirebon 2 kamar/ 1malam ( 13-14 Aug 2025 ) an Yogi</t>
  </si>
  <si>
    <t>Tiket.Com - Hotel Amaris Cirebon 2 kamar/ 1malam ( 13-14 Aug 2025 ) an Analita</t>
  </si>
  <si>
    <t>Tiket.Com - Tiket Kereta Gambir - Cirebon PP (2 paxs) 13 &amp; 15 Aug 2025 an Yogi &amp; Agung</t>
  </si>
  <si>
    <t>Finpay*My Telkomsel - Pembelian paket data Orbit request Bu AH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</si>
  <si>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</si>
  <si>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</si>
  <si>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</si>
  <si>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</si>
  <si>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Tokopedia - Pembelian 1 unit Dispenser air dan 1 unit Cctv untuk Lounge PCMI</t>
  </si>
  <si>
    <t>Rs. Abdi Waluyo - Medical Moch Supriyadi ( Komeng) , Rontgen, Konsultasi &amp; medicine</t>
  </si>
  <si>
    <t>Spbu 34.10301 - Fuel B2313BRN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</si>
  <si>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</si>
  <si>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</si>
  <si>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</si>
  <si>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</si>
  <si>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</si>
  <si>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Finpay*Kcic - inv GA74508892, GA59570982 tiket an. Ray, Erlina, Filin</t>
  </si>
  <si>
    <t>Spbu 34-12805 - Fuel F 1138 ABU, 2Sep 2025</t>
  </si>
  <si>
    <t>Shop &amp; Drive-Ho - Pembelian Alat Kebersihan Mobil F 1138ABU &amp; B 2313BRN, 4Sep 2025</t>
  </si>
  <si>
    <t>Spbu 34.12806,Supomo-H - Fuel F 1138 ABU, 8Sep 2025</t>
  </si>
  <si>
    <t>Azko - Pembelian alat makan dan perlengkapan dapur Lounge PCMI, 9Sep 2025</t>
  </si>
  <si>
    <t>Spbu Pemuda 34 - 13206 - Fuel F 1138 ABU, 10Sep 2025</t>
  </si>
  <si>
    <t>Linktree* Linktree Collingwood Idr - Pembayaran Tagihan Bulanan Linktree</t>
  </si>
  <si>
    <t>Spbu 34-12805 - Fuel F 1138 ABU, 15Sep 2025</t>
  </si>
  <si>
    <t>Alfamidi - Pembelian Gula Kopi Minyak dan Kebutuhan Lounge PCMI, 17 Sep 2025</t>
  </si>
  <si>
    <t>Pt Sejahteraraya Anugr Bogor Idr - Biaya Pengobatan a,n Frida Achmadi, 17 Sep 2025</t>
  </si>
  <si>
    <t>Pt Sejahteraraya Anugr Bogor Idr - Biaya Pengobatan a.n Frida Achmadi, Dr Orthopedic, 18 Sep 2025</t>
  </si>
  <si>
    <t>Spbu 34-12805 - Fuel F 1138 ABU, 19 Sep 2025</t>
  </si>
  <si>
    <t>Zoom.Com 888-799-9666 San Jose Usd - Monthly payment panconvince.streaming@gmail.com</t>
  </si>
  <si>
    <t>Spbu 34.13809,Cipayung - Fuel F 1138 ABU, 23 Sep 2025</t>
  </si>
  <si>
    <t>Spbu 34.13809,Cipayung - Fuel F 1138 ABU, 25 Sep 2025</t>
  </si>
  <si>
    <t>Traveloka3Ds-1288332677 - Hotel Crew PCMI</t>
  </si>
  <si>
    <t>Spbu 34.13809,Cipayung - Fuel F 1138 ABU, 30 Sep 2025</t>
  </si>
  <si>
    <t>Tokopedia - Pembelian paper bag batik</t>
  </si>
  <si>
    <t>Indomaret - Penambahan Air Mineral, 2 Oct 2025</t>
  </si>
  <si>
    <t xml:space="preserve">Rm Sederhana Green Garden - Makan Siang Team Permitter 17 dan Pedagang UMKM 40, 2 Oct 2025	</t>
  </si>
  <si>
    <t>Solaria - Makan Malam Team PCMI, Crew dan Talents, 65 Paket, 2 Oct 2025</t>
  </si>
  <si>
    <t>Apotek Aji Waras - Pembelian obat canderin</t>
  </si>
  <si>
    <t>Interest &amp; Service Charge RD Hidianitje</t>
  </si>
  <si>
    <t>Tiket.Com - Hotel Mercure Gatsu Jakarta 03-04 Sept 2025 an Fachrul Rizzal</t>
  </si>
  <si>
    <t>Tokopedia - Pembelian 1 unit Router Internet merk TP Link untuk di Lounge PCMI</t>
  </si>
  <si>
    <t>Tiket.Com - Hotel Selecta Medan 10-12 Sept 2025 (2 malam) an Yogi &amp; Rizky Aulia</t>
  </si>
  <si>
    <t>Ruparupa.Com *Rupaod - Pembelian Kursi makan untuk PCMI Lounge 10 pcs</t>
  </si>
  <si>
    <t>Telkomsel Orbit - Pembelian Paket data 3 bulan Orbit bu anne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</si>
  <si>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</si>
  <si>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</si>
  <si>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</si>
  <si>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</si>
  <si>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Pelita Air-Ipg - inv 000263395 tiket an Wawan</t>
  </si>
  <si>
    <t>Gojek Recurring Non3Ds - pembelian meals pagi untuk Crew Show management , runner, driver dan Band</t>
  </si>
  <si>
    <t>Gojek Recurring Non3Ds - pembelian meals siang untuk Crew Show management , runner, driver dan Band</t>
  </si>
  <si>
    <t>Tiket.Com - Favehotel Medan 10-11 Sept 2025 2 kamar an Agus Sugiarto dan Wawan Kuswandono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</si>
  <si>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</si>
  <si>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</si>
  <si>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</si>
  <si>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</si>
  <si>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</si>
  <si>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</si>
  <si>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</si>
  <si>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</si>
  <si>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</si>
  <si>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</si>
  <si>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Tiket.Com - Hotel Mercure Gatsu Jakarta 22-24 Sept 2025 an Ardun &amp; Aldino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</si>
  <si>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</si>
  <si>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</si>
  <si>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</si>
  <si>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</si>
  <si>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Gojek Recurring Non3Ds - Pisang Goreng Bu Nanik untk Mas Dafa ( Corsec Bank Mandiri  )</t>
  </si>
  <si>
    <t>Gojek Recurring Non3Ds  - Kopi Calf untk Mas Dafa ( Corsec Bank Mandiri  )</t>
  </si>
  <si>
    <t>Tiket.Com - Hotel Amaris Palembang Deviasi / extend 25 -26 Sept 2025 an Randy , Mita, Irfan , Syafriadi total 4 kamar</t>
  </si>
  <si>
    <t>Pelita Air-Ipg - inv 000269549 tiket an Nurdianto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</si>
  <si>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</si>
  <si>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</si>
  <si>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</si>
  <si>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</si>
  <si>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Pelita Air-Ipg - inv 000270791 tiket an Yogi perpanjang kontrak Tsel</t>
  </si>
  <si>
    <t>Tokopedia - Pengadaan Maspion Maxim Neostone Frypan - ukuran 28 Cm total 8 unit @ Rp.156.657,- untuk hadiah Lomba Tumpeng dan Lomba Senam</t>
  </si>
  <si>
    <t>Tokopedia - Blender merk Miyako  8 Unit  @ Rp.214.493,-</t>
  </si>
  <si>
    <t>Tokopedia - Rice cooker Cosmos 8 unit  @ Rp 330.000,-</t>
  </si>
  <si>
    <t>Zara - nota zara plaza senayan 1 pcs + 2 bag</t>
  </si>
  <si>
    <t>Zara - Nota zara Kokas  3 pcs +1 bag</t>
  </si>
  <si>
    <t>Zara - nota zara senayan city 12 pcs +4 bag</t>
  </si>
  <si>
    <t>Zara - Pembelian Jaket perempuan ZARA 1 pcs dari PIM 2</t>
  </si>
  <si>
    <t xml:space="preserve">Tokopedia - Pengadaan Doorprice Power Bank Anker Zolo 10.000 MAH A 1680 Total 7 Pcs @Rp. 515.600,-	</t>
  </si>
  <si>
    <t>Tokopedia - Pengadaan Doorprice Air Purifier Merk Sharp FP F30YA/C/H total 3 unit</t>
  </si>
  <si>
    <t>OCBC Visa</t>
  </si>
  <si>
    <t>E-Billing Statement Chrge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</si>
  <si>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</si>
  <si>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</si>
  <si>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The Premiere Ho*000063707Pekanbaru Id - The Premiere Hotel Pekanbaru 05 - 06 Agustus 2025 an Fahmy Rojali</t>
  </si>
  <si>
    <t>Bakmi Golek Puncak Bogor Kab. Id - Makan Siang Rizky, Dimas, Alex, Pak Yadi untuk Project Survey Samsung Employee Gathering at Enchanting Valley Puncak</t>
  </si>
  <si>
    <t>Spbu 31.12702 - Fuel B2313BRN</t>
  </si>
  <si>
    <t>Bakerzin,Kokas - Lunch AH</t>
  </si>
  <si>
    <t>Prodia,Bona Indah Ii - Lab Test</t>
  </si>
  <si>
    <t>Imperial Kitchen Kokas - Lunch AH &amp; FA</t>
  </si>
  <si>
    <t>Agoda.Com Internet Sg - Accommodation AH &amp; FA</t>
  </si>
  <si>
    <t>Agoda.Com Internet Sg - Crew Accommodation in SICO htl</t>
  </si>
  <si>
    <t>Sks Pim 1 - Lunch meeting PT KISI securitas</t>
  </si>
  <si>
    <t>Prima Utama Laptop Jakarta Pusat - Pembelian Ram ddr5 32gb 4800 laptop ROG user Dimas</t>
  </si>
  <si>
    <t>Dimas Danang</t>
  </si>
  <si>
    <t>Bakmi Gm Mal Kota Kasabla - Lunch AH</t>
  </si>
  <si>
    <t>Comfort/Citycab Taxi Singapore Sg (Sgd 27.28 X 12,902.11) - pemakaian taxi to the airport</t>
  </si>
  <si>
    <t>Psychiatric Care Clinic Singapore Sg (Sgd 870.00 X 12,902.11) - Doc consultation &amp; medication for 3 months</t>
  </si>
  <si>
    <t>A348 Azko Bona Indah - Pembelian tempat sampah dan perlengkapannya PCMI lounge</t>
  </si>
  <si>
    <t>Apotek Aji Waras - Doc consultation &amp; Medication</t>
  </si>
  <si>
    <t>Suzanna Baby Shop Jakarta Slt - Baby gift Goldie - approved by pak DH</t>
  </si>
  <si>
    <t>Sks Tebet - Lunch AH</t>
  </si>
  <si>
    <t>Le Bajo Flores Manggarai Brt - Pembayaran makan di Le Bajo utk Grp</t>
  </si>
  <si>
    <t>A Fung Baso Sapi Asli Tangerang - Makan Pak Muhammad Arief Maulana, &amp; Mba Alifah</t>
  </si>
  <si>
    <t>Solaria-T3 Ultimate Ls Tangerang</t>
  </si>
  <si>
    <t>Grab* A-85Mxcqhw2Jmdav Ha Noi - Transportasi Pak Nurdin Kembali Ke Hotel</t>
  </si>
  <si>
    <t>Mpos Maison Mando Tp.Ho Chi Min - Tester Food &amp; Makan Mba Alifah</t>
  </si>
  <si>
    <t>7- Eleven 1127 Ho Chi Minh - Snack Bus Peserta Day 3</t>
  </si>
  <si>
    <t>7- Eleven 1127 Ho Chi Minh - Snack Bus Peserta Day 2</t>
  </si>
  <si>
    <t>Payoo-Familymart 0152A Hcm - Beli Gelas Plastik Wine - Mr Jisang Yoo</t>
  </si>
  <si>
    <t>Concung 687 Ho Chi Minh - Pembelian Pampers Mr Nurdin</t>
  </si>
  <si>
    <t>Dt Indochina Queen Hcm - Corckage Fee Wine Bottle (1 Bottle)</t>
  </si>
  <si>
    <t>Hoang Hai Long Ho Chi Minh - Charge Gelas Hotel (Pecah)</t>
  </si>
  <si>
    <t>Hoang Hai Long Ho Chi Minh - Charge Laundry Bag Hilang</t>
  </si>
  <si>
    <t>Tt Food Hochiminh - Breakfast Meals Peserta di Airport</t>
  </si>
  <si>
    <t>Mercure Convention Cnt Jakarta Utara - Pelunasan Hotel Mercure Ancol Event Bridgestone Tomo Gathering 2025</t>
  </si>
  <si>
    <t>Kfc Grand Ina 2 0383 Jakarta Pusat - Pembelian Makan GR Team Show Management</t>
  </si>
  <si>
    <t>Snapy Bekasi - Print Proposal Pertamina Trading &amp; Service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</si>
  <si>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</si>
  <si>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</si>
  <si>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</si>
  <si>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Penang Bistro Kota Kas - Lunch Meeting dengan Pak Handy - Mandom</t>
  </si>
  <si>
    <t>Agoda.Com Golden Tul - PDOT Sales Mission | Intrareps Team Accomodation | Bali | 1 rooms x 2 Nights</t>
  </si>
  <si>
    <t>Imperial T2E Soehat Tangerang - Registrasi + Breakfast Peserta event Trimegah Prestige Bajo</t>
  </si>
  <si>
    <t>Overlimit Fee</t>
  </si>
  <si>
    <t xml:space="preserve">Park Hyatt Online - PDOT Sales Mission 2025 | Settlement Park Hyatt Ballroom - 15 Juli 2025 </t>
  </si>
  <si>
    <t>Spbu 34 14413 Kemayora - Fuel B2313BRN</t>
  </si>
  <si>
    <t>Biaya Notifikasi Jun 2025</t>
  </si>
  <si>
    <t>Yomart, Dago Pojok Bandung - Pembelian Riders Hospitality Angklung Udjo, Perlengkapan Toiletries, dan Sarapan Team</t>
  </si>
  <si>
    <t>Swiss-Bel Resort Dago Bandung - Pembayaran Paket HD meeting dan Lunch Buffet 140 pax</t>
  </si>
  <si>
    <t>Torani Food - Bayar makan siang seafood dengan Mas Cholis, Mas Adit dan 2 org Kanwil BRI</t>
  </si>
  <si>
    <t>Novotel Balikpapan-Ho - Pembayaran Paket HD mtg tanggal 12 Aug</t>
  </si>
  <si>
    <t>Novotel Balikpapan-Ho - Pembayaran Mantau Novotel utk BRI dan Mandiri</t>
  </si>
  <si>
    <t>Swiss-Bel Resort Dago - Pembayaran Paket Makan siang dan Dinner</t>
  </si>
  <si>
    <t>Biaya Notifikasi Jul 2025</t>
  </si>
  <si>
    <t>Snapy Tebet 1 - Print proposal Mandiri Key Site Dekorasi HUT ke-27</t>
  </si>
  <si>
    <t>CA-055/25 Clara</t>
  </si>
  <si>
    <t>3 Dus Aqua untuk meeting di kantor</t>
  </si>
  <si>
    <t>2 pcs Oxycan Green 500 cc riders lyodra</t>
  </si>
  <si>
    <t>Martabak Pecenongan - snack malam team</t>
  </si>
  <si>
    <t xml:space="preserve">10 dus Pristine air mineral </t>
  </si>
  <si>
    <t>Pembelian Makan Malam Team PCMI (Alex, Patricia)</t>
  </si>
  <si>
    <t>Pembelian Makan Malam Team PCMI (Heri, Odhey, Iyan, Rizky, Ogut)</t>
  </si>
  <si>
    <t>Pembelian Makan Malam Team PCMI (Clara)</t>
  </si>
  <si>
    <t xml:space="preserve">1 Pcs Label </t>
  </si>
  <si>
    <t xml:space="preserve">2 Tissue Paseo </t>
  </si>
  <si>
    <t>2 Aqua galon</t>
  </si>
  <si>
    <t xml:space="preserve">15 pax Trashbag </t>
  </si>
  <si>
    <t>1 pax Sendok Plastik</t>
  </si>
  <si>
    <t>All Fresh buah untuk Lyodra dan Viky</t>
  </si>
  <si>
    <t>Pembelian Makan Malam Team PCMI ( Alex, Heri, Odhey, Iyan, Clara, Rizky, Ogut, Ableh, Praja, dll)</t>
  </si>
  <si>
    <t xml:space="preserve">Tip parkir Gojek Mcd - Cash </t>
  </si>
  <si>
    <t>13 dus Aqua Reflections (380 ml x 12 pcs) - VIP</t>
  </si>
  <si>
    <t>2 Dus Poca Kaleng 300 ml - VIP</t>
  </si>
  <si>
    <t xml:space="preserve">Snack Riders Viky dan MC dave </t>
  </si>
  <si>
    <t>2 dus Air Mineral Aqua untuk GR</t>
  </si>
  <si>
    <t>10 pcs Double tipe untuk team Logistik</t>
  </si>
  <si>
    <t>15 Cup Kopi Kenangan Mantan untuk WL dan Singer - GR malam</t>
  </si>
  <si>
    <t xml:space="preserve">Tip Gojek Kopi kenangan - Cash </t>
  </si>
  <si>
    <t xml:space="preserve">Air mineral Aqua 330 ml 10 Dus, Aqua 600 ml 2 dus, VIT 330 ml  95 dus ,VIT 600 ml  4 dus </t>
  </si>
  <si>
    <t>Biaya adm BI Fast transfer pembelian air mineral</t>
  </si>
  <si>
    <t>Per Diem Team Lyodra 17 prs x Rp 450.000</t>
  </si>
  <si>
    <t>50 Pax Mittu Tissue Basah - VIP</t>
  </si>
  <si>
    <t>40 pcs Handsinitizer Saniter 60 ml + Saniter gel 230 ml + Stella Reffil matic 2 pcs - VIP</t>
  </si>
  <si>
    <t>20 pcs handuk - riders viky</t>
  </si>
  <si>
    <t>Toner Catridge CE285A - tinta printer mas yogi untuk event hari H</t>
  </si>
  <si>
    <t>50 Box Tissue Paseo 200s - VIP</t>
  </si>
  <si>
    <t>Tipping 5 prsn team holland Bakery bantu packing logistik - cfm by mbak Pat</t>
  </si>
  <si>
    <t>Pizza Hut Limo - Riders Lyodra Team</t>
  </si>
  <si>
    <t>Ice Cube Refreshment talent</t>
  </si>
  <si>
    <t xml:space="preserve">50 Pax Hokben untuk meals lunch panitia </t>
  </si>
  <si>
    <t>5 pax Hokben tambahan meals lunch crew</t>
  </si>
  <si>
    <t>Hokben 130 pax untuk lunch paduan suara</t>
  </si>
  <si>
    <t>Pemantik Api 2 pcs - untuk perayaan</t>
  </si>
  <si>
    <t>Aqua 330 ml  8 dus</t>
  </si>
  <si>
    <t>Aqua 330 ml 1 Dus</t>
  </si>
  <si>
    <t>Lemineral 330 ml 4 Dus - titip pak yadi no bill</t>
  </si>
  <si>
    <t>Roti O - VIP</t>
  </si>
  <si>
    <t>Gojek Cibubur-Rumah clara cfm by bu frieda</t>
  </si>
  <si>
    <t>Lunch Latihan - Nasi Bogana</t>
  </si>
  <si>
    <t>Dinner Latihan - Solaria</t>
  </si>
  <si>
    <t>Lunch Latihan - Hoka Hoka Bento</t>
  </si>
  <si>
    <t>Dinner Latihan - Nasi Bu Sastro</t>
  </si>
  <si>
    <t xml:space="preserve">Bayar MUA Panitia As rqst Bu Rugun </t>
  </si>
  <si>
    <t xml:space="preserve">Bayar ongkir meals Bali Indah </t>
  </si>
  <si>
    <t>Beli maksi Hokben pat,clara, pak Yadi</t>
  </si>
  <si>
    <t>Bayar snack pagi dan sore tgl 19 Jan</t>
  </si>
  <si>
    <t>Bayar snack pagi dan sore tgl 20 jan Holbek</t>
  </si>
  <si>
    <t>Bayar 2 Extra Bed Hol Inn (rizky,odhey, heri)&amp;(praja+2anak+tintink)</t>
  </si>
  <si>
    <t>Bayar MUA Stileto 3 usher tambahan</t>
  </si>
  <si>
    <t>Bayar mobil box utk antar brg ke KBUMN (tf ke Agung )</t>
  </si>
  <si>
    <t>Gojek Patricia dari Jiexpo ke Kemang</t>
  </si>
  <si>
    <t xml:space="preserve">Tipping team kebersihan jiexpo </t>
  </si>
  <si>
    <t>Belanja ATK Team Loading (Lakban Hitam, Lakban Merah, Lakban Kuning, Tali Tis, Tali Rapiah, dll)</t>
  </si>
  <si>
    <t>Beli Roll Kawat</t>
  </si>
  <si>
    <t>Beli Mineral Water (Nestle 330ml &amp; Aqua Botol 600ml)</t>
  </si>
  <si>
    <t>Beli Tali Tis untuk Kang Ogut</t>
  </si>
  <si>
    <t>Beli Double Tape untuk Kang Odhey</t>
  </si>
  <si>
    <t>Beli Sapu</t>
  </si>
  <si>
    <t>Beli Kardus</t>
  </si>
  <si>
    <t>Beli Tutup Gelas Kertas Untuk Bu Frida</t>
  </si>
  <si>
    <t>Makan Siang PCMI (Rizky, Alex, Analita, Praja, Agung, Adun, Pak Yadi)</t>
  </si>
  <si>
    <t>Sewa Truck Box untuk Loading in ke Ji-Expo</t>
  </si>
  <si>
    <t>Beli Lakban Silver untuk Alex</t>
  </si>
  <si>
    <t>Belanja ATK untuk Bikin Box Kado (Lakban Kertas, Samson / Kertas Kado, Streples)</t>
  </si>
  <si>
    <t>Beli Samson / Kertas Kado</t>
  </si>
  <si>
    <t>Beli Kardus Polos 3 Ukuran</t>
  </si>
  <si>
    <t>Sewa Truck Box untuk Loading out ke Panconvince</t>
  </si>
  <si>
    <t>Sewa Truck Box untuk Loading out ke Kantor KBUMN &amp; Yayasan</t>
  </si>
  <si>
    <t>Operasioanal Meeting, survey, Marking Selasa 14 - Kamis 16 Jan  1 Orang 3 hari @100000</t>
  </si>
  <si>
    <t>Makan &amp; Operasional crew 3 org Jumat 17 Jan 3 Orang 1 hari @100000</t>
  </si>
  <si>
    <t>Makan &amp; Operasioanl PIC  1 Orang 1 hari @100000</t>
  </si>
  <si>
    <t>Kordinasi Security loading IN  1 Pack 1 time @150000</t>
  </si>
  <si>
    <t>Makan &amp; Operasional crew 3 org Sabtu 18 Jan 3 Orang 1 hari @100000</t>
  </si>
  <si>
    <t>Makan &amp; Operasional crew 3 org Minggu 19 Jan 3 Orang 1 hari @100000</t>
  </si>
  <si>
    <t>Makan &amp; Operasional crew 3 org, Loading out Senin 20 Jan 3 Orang 1 hari @50000</t>
  </si>
  <si>
    <t>Makan &amp; Operasioanl PIC, Loading out  1 Orang 1 hari @50000</t>
  </si>
  <si>
    <t>Kordinasi Security loading Out  1 Pack 1 time @150000</t>
  </si>
  <si>
    <t>Makan malam team (4 orang) setelah meeting dg venue Rabu, 15 jan 1 pckg 1 time @280000</t>
  </si>
  <si>
    <t>Ongkos Lalamove (sewa cooler box) Senin, 20 jan 1 pckg 1 time @100000</t>
  </si>
  <si>
    <t>Sewa cooler box Senin, 20 jan 2 unit 1 time @75000</t>
  </si>
  <si>
    <t>Ongkir cooler box Senin, 20 jan 1 pckg 1 time @75000</t>
  </si>
  <si>
    <t>Fotocopy partitur PADUS BUMN Senin, 20 jan 1 pckg 1 time @740000</t>
  </si>
  <si>
    <t>CA-056/25 Yogi</t>
  </si>
  <si>
    <t>Pembayaran Resto Padang Pagi Sore Lunch Box tgl 20 Jan &amp; 22 Jan  2025</t>
  </si>
  <si>
    <t xml:space="preserve">Biaya Transfer Padang Pagi sore </t>
  </si>
  <si>
    <t>Pembayaran Ayam Suharti  Lunch Box tgl 21 Jan 2025</t>
  </si>
  <si>
    <t xml:space="preserve">Pembayaran Snack Box Chiquita Pastry 20-22 Jan 2025 </t>
  </si>
  <si>
    <t>Aqua 8 dus 330 ml</t>
  </si>
  <si>
    <t>Tipping OB</t>
  </si>
  <si>
    <t>Biaya Adm tf ke Linkaja OB</t>
  </si>
  <si>
    <t>Grabbike dr TSO ke Panconvince</t>
  </si>
  <si>
    <t>5 Dus 330 ml HOB Mineral Water</t>
  </si>
  <si>
    <t>Biaya Adm tf ke Mandiri OB</t>
  </si>
  <si>
    <t xml:space="preserve">Meals Meeting Koordinasi Sales  (Ayu Aulia ) </t>
  </si>
  <si>
    <t xml:space="preserve">Biaya adm TF ke Ayu </t>
  </si>
  <si>
    <t>CA-057/25 Lita</t>
  </si>
  <si>
    <t xml:space="preserve">Pelatih Godlief Dominggus Soumokil </t>
  </si>
  <si>
    <t xml:space="preserve">Conductor Godlief Dominggus Soumokil </t>
  </si>
  <si>
    <t xml:space="preserve">Pianis Pierre Xaverius </t>
  </si>
  <si>
    <t xml:space="preserve">Pianis Pierre Xaverius (Baju Pianis) </t>
  </si>
  <si>
    <t>PT BANK MANDIRI (Persero) Tri Ulina Anastasia Sipangkar 81263022368</t>
  </si>
  <si>
    <t>PT BANK MANDIRI (Persero) Monauli Putri Pertama 82118078597</t>
  </si>
  <si>
    <t>PT BANK MANDIRI (Persero) Kris Eunike Jovangka 81211684836</t>
  </si>
  <si>
    <t>PT BANK MANDIRI (Persero) Friska Magdalena 85213226001</t>
  </si>
  <si>
    <t>PT BANK MANDIRI (Persero) Jesmymer Stephanie 8111995109</t>
  </si>
  <si>
    <t>PT BANK MANDIRI (Persero) Hernael Sihombing 82275961155</t>
  </si>
  <si>
    <t>PT BANK MANDIRI (Persero) Ruth Margaretha Millania 85779097743</t>
  </si>
  <si>
    <t>PT BANK MANDIRI (Persero) Marselina Justisia Lumolos 87840001050</t>
  </si>
  <si>
    <t>PT BANK MANDIRI (Persero) Yolenta Michelle Putri Perdana 81912061994</t>
  </si>
  <si>
    <t>PT BANK MANDIRI (Persero) Stefany Naomi Bertauli Simanjuntak 82179873853</t>
  </si>
  <si>
    <t>PT BANK MANDIRI (Persero) Maharanny Dewi 87774088325</t>
  </si>
  <si>
    <t>PT BANK MANDIRI (Persero) Andy Kristian 82114132846</t>
  </si>
  <si>
    <t>PT BANK MANDIRI (Persero) Patric Marbun 81292923821</t>
  </si>
  <si>
    <t>PT BANK MANDIRI (Persero) Bungaran Marbun 81375068173</t>
  </si>
  <si>
    <t>PT BANK MANDIRI (Persero) Michael Christanto 81288276000</t>
  </si>
  <si>
    <t>PT BANK MANDIRI (Persero) Fransiskus Aditya Dharma 81354064006</t>
  </si>
  <si>
    <t>PT BANK MANDIRI (Persero) Patrick Greg Lewerissa 81296032830</t>
  </si>
  <si>
    <t>PT BANK MANDIRI (Persero) Udhut Fermana Situmorang 81575298820</t>
  </si>
  <si>
    <t>PT BANK MANDIRI (Persero) Rivaldo Yulius Hutahaean 87828521840</t>
  </si>
  <si>
    <t>PT BANK BTN (Persero) Tbk Alexandra Renatha Malau 81234804938</t>
  </si>
  <si>
    <t>PT BANK BTN (Persero) Tbk Dela Syntia S. 81367611741</t>
  </si>
  <si>
    <t>PT BANK BTN (Persero) Tbk Hara Regina Oktavia Simamora 85369678286</t>
  </si>
  <si>
    <t>PT BANK BTN (Persero) Tbk Hana Wida M. 8157704461</t>
  </si>
  <si>
    <t>PT BANK BTN (Persero) Tbk Angela Artha Adventina Lubis 82171111818</t>
  </si>
  <si>
    <t>PT BANK BTN (Persero) Tbk Purnama Belinda Butarbutar 85275332831</t>
  </si>
  <si>
    <t>PT BANK BTN (Persero) Tbk Grace Sandra 85921860918</t>
  </si>
  <si>
    <t>PT BANK BTN (Persero) Tbk Stefani Ayunda Dian Pratiwi 85954436461</t>
  </si>
  <si>
    <t>PT BANK BTN (Persero) Tbk ⁠Yuni Chaterina 85778000245</t>
  </si>
  <si>
    <t>PT BANK BTN (Persero) Tbk Yoseva Susanti Saragih 82273101644</t>
  </si>
  <si>
    <t>PT BANK BTN (Persero) Tbk Budi Halomoan Manik 81396465766</t>
  </si>
  <si>
    <t>PT BANK BTN (Persero) Tbk Raymond Steven Ondroita Zebua 82282964792</t>
  </si>
  <si>
    <t>PT BANK BTN (Persero) Tbk Raja Polin Josep 8991515986</t>
  </si>
  <si>
    <t>PT BANK BTN (Persero) Tbk David Suganda Putra Manurung 82168967421</t>
  </si>
  <si>
    <t>PT BANK BTN (Persero) Tbk Tomi Adhiyudha Damanik 81808040418</t>
  </si>
  <si>
    <t>PT Bank Negara Indonesia (Persero) Tbk Cinthya Rotua 85697738078</t>
  </si>
  <si>
    <t>PT Bank Negara Indonesia (Persero) Tbk Audry Valentine Purba 82217408479</t>
  </si>
  <si>
    <t>PT Bank Negara Indonesia (Persero) Tbk Verawati Magdalena H. 85279190009</t>
  </si>
  <si>
    <t>PT Bank Negara Indonesia (Persero) Tbk Janeth Adinda 85332793788</t>
  </si>
  <si>
    <t>PT Bank Negara Indonesia (Persero) Tbk Agatha Primasari 811979148</t>
  </si>
  <si>
    <t>PT Bank Negara Indonesia (Persero) Tbk Rudy Rifaldo Ririmasse 82238245802</t>
  </si>
  <si>
    <t>PT Bank Negara Indonesia (Persero) Tbk Jeremias Andrew Desembrico 8113651226</t>
  </si>
  <si>
    <t>PT Bank Negara Indonesia (Persero) Tbk Simon Priambudi Dharmawan 81387383079</t>
  </si>
  <si>
    <t>PT Bank Negara Indonesia (Persero) Tbk Jefri Agus 8179938366</t>
  </si>
  <si>
    <t>PT Bank Negara Indonesia (Persero) Tbk Simson Padenggan Manjadi Pardede 81382233164</t>
  </si>
  <si>
    <t>PT TELKOM (Persero) Tbk Ferni Indasari Gulo 85320798290</t>
  </si>
  <si>
    <t>PT TELKOM (Persero) Tbk Sheren Marina Lawalata 81284743775</t>
  </si>
  <si>
    <t>PT TELKOM (Persero) Tbk Allesia Bayu Eureka 82210274767</t>
  </si>
  <si>
    <t>PT TELKOM (Persero) Tbk Monica Rosavina 811213125</t>
  </si>
  <si>
    <t>PT TELKOM (Persero) Tbk Niken Susilowati 811877616</t>
  </si>
  <si>
    <t>PT TELKOM (Persero) Tbk Maria Margrit 8111985388</t>
  </si>
  <si>
    <t>PT TELKOM (Persero) Tbk Humi Erma Pratiwi 811970881</t>
  </si>
  <si>
    <t>PT TELKOM (Persero) Tbk Theresia Endah Ayu Purwaningrum 8112798567</t>
  </si>
  <si>
    <t>PT TELKOM (Persero) Tbk Jappy Herman 81355219055</t>
  </si>
  <si>
    <t>PT TELKOM (Persero) Tbk Carolus Borromeus Widiyatmoko 8126026111</t>
  </si>
  <si>
    <t>PT TELKOM (Persero) Tbk Rio Armando Manik 81379710875</t>
  </si>
  <si>
    <t>PT TELKOM (Persero) Tbk Antonius Tomy P. Hendratmoko 811102131</t>
  </si>
  <si>
    <t>PT KAI (Persero) Group Erni Sylviane Purba 81315392889</t>
  </si>
  <si>
    <t>PT KAI (Persero) Group Deak Parujar Trecia Sertika 85161402381</t>
  </si>
  <si>
    <t>PT KAI (Persero) Group Abigail Irene Andaningrum 8161381723</t>
  </si>
  <si>
    <t>PT KAI (Persero) Group Frisilya Stevan Tarigan 87761373777</t>
  </si>
  <si>
    <t>PT KAI (Persero) Group Risha Meilinda Marpaung ‪082121555242‬</t>
  </si>
  <si>
    <t>PT KAI (Persero) Group Donda Naibaho 85161402381</t>
  </si>
  <si>
    <t>PT KAI (Persero) Group Talenta Rida 81283337442</t>
  </si>
  <si>
    <t>PT KAI (Persero) Group Merry Christy Warokka ‪082188357298‬</t>
  </si>
  <si>
    <t>PT KAI (Persero) Group Golden Harto Lumban Tobing 85262787446</t>
  </si>
  <si>
    <t>PT KAI (Persero) Group Bernando Harungguan Parluhutan 81229910305</t>
  </si>
  <si>
    <t>PT KAI (Persero) Group Andiko Pangaribuan 85658504186</t>
  </si>
  <si>
    <t>PT KAI (Persero) Group Rivan Maruli Pratama 81382036816</t>
  </si>
  <si>
    <t>PT KAI (Persero) Group Ganda 81311621124</t>
  </si>
  <si>
    <t>PT KAI (Persero) Group Oktavianus Theo Anggara 87758656171</t>
  </si>
  <si>
    <t>PT BRI Tbk Josefa Erry Hardini 081399933757</t>
  </si>
  <si>
    <t>PT BRI Tbk Santa Lucia Sitanggang 081297971929</t>
  </si>
  <si>
    <t>PT BRI Tbk Fenessa Limey Tatipang 081294744597</t>
  </si>
  <si>
    <t>PT BRI Tbk Novtalia Hutapea 08872590168</t>
  </si>
  <si>
    <t>PT BRI Tbk Sri Dewi 081293197697</t>
  </si>
  <si>
    <t>PT BRI Tbk Lany Anita Caroline S. 0818153716</t>
  </si>
  <si>
    <t>PT BRI Tbk Mega Simbolon 089630247469</t>
  </si>
  <si>
    <t>PT BRI Tbk Citra Biola Lumbantobing 081293938797</t>
  </si>
  <si>
    <t>PT BRI Tbk Rany Novita Tarigan 08119618419</t>
  </si>
  <si>
    <t>PT BRI Tbk Herlike Juni Enti Siburian 081288846250</t>
  </si>
  <si>
    <t>PT BRI Tbk Juli Magdalena Gultom 081375281016</t>
  </si>
  <si>
    <t>PT BRI Tbk Pebri Yanto Panataran Naiborhu 085362667321</t>
  </si>
  <si>
    <t>PT BRI Tbk Firman Nababan 85772867633</t>
  </si>
  <si>
    <t>PT BRI Tbk Ferdinan Otto Rumimpunu 085719301933</t>
  </si>
  <si>
    <t>PT BRI Tbk Timotius Anggerdito Wicaksono 082122451483</t>
  </si>
  <si>
    <t>PT BRI Tbk Juli Parningotan Sinaga 081284210812</t>
  </si>
  <si>
    <t>PT BRI Tbk Nelson Panjaitan 082260761509</t>
  </si>
  <si>
    <t>PT PERTAMINA (Persero) Riris Idawaty Siregar 081381062788</t>
  </si>
  <si>
    <t>PT PERTAMINA (Persero) Hedline Marintan Sitompul 081310231814</t>
  </si>
  <si>
    <t>PT PERTAMINA (Persero) Erni Rinawati 082124934039</t>
  </si>
  <si>
    <t>PT PERTAMINA (Persero) Yosephi D. A. Natalia 081283492006</t>
  </si>
  <si>
    <t>PT PERTAMINA (Persero) Laura Paula 081234602226</t>
  </si>
  <si>
    <t>PT PERTAMINA (Persero) Florida Angkasa 08161133957</t>
  </si>
  <si>
    <t>PT PERTAMINA (Persero) Carolline Silka Wibowo 811544001</t>
  </si>
  <si>
    <t>PT PERTAMINA (Persero) Margareth N. 081213911284</t>
  </si>
  <si>
    <t>PT PERTAMINA (Persero) Maria S. 081398337779</t>
  </si>
  <si>
    <t>PT PERTAMINA (Persero) Sanni Herlina Hutagalung 08129771110</t>
  </si>
  <si>
    <t>PT PERTAMINA (Persero) Jernih Deborah Sinaga 081295367384</t>
  </si>
  <si>
    <t>PT PERTAMINA (Persero) Evaliana M. Akay 082346773503</t>
  </si>
  <si>
    <t>PT PERTAMINA (Persero) Tridarty Rame Tambunan 081282169620</t>
  </si>
  <si>
    <t>PT PERTAMINA (Persero) Rosaline Octavianti 08118899820</t>
  </si>
  <si>
    <t>PT PERTAMINA (Persero) Vernando T. Glorius 081119651602</t>
  </si>
  <si>
    <t>PT PERTAMINA (Persero) Jeffry U. M. Simanjuntak 081398361287</t>
  </si>
  <si>
    <t>PT PERTAMINA (Persero) Iwan Setiawan 081317641672</t>
  </si>
  <si>
    <t>PT PERTAMINA (Persero) Jone Matkusa 81322424457</t>
  </si>
  <si>
    <t>PT PERTAMINA (Persero) Johanes Bremamana 081952218939</t>
  </si>
  <si>
    <t>PT PERTAMINA (Persero) Reinhard Tumbur 081216625056</t>
  </si>
  <si>
    <t>PERUM PERUMNAS Yosita Catrine Mangunsong 08118453505</t>
  </si>
  <si>
    <t>PERUM PERUMNAS Andes Manogutua Tambunan 81296349090</t>
  </si>
  <si>
    <t>PERUM PERUMNAS Simson Frima Simanjuntak 081283308695</t>
  </si>
  <si>
    <t>PERUM PERUMNAS Freddy Marbun 85275506196</t>
  </si>
  <si>
    <t>WORSHIP LEADER Sonny Saragih +62 812-9554-8723</t>
  </si>
  <si>
    <t>WORSHIP LEADER Daniel Roudolf +62 812-1393-2824</t>
  </si>
  <si>
    <t>PT BRI Tbk Citra Biola Lumbantobing +62 812-9393-8797</t>
  </si>
  <si>
    <t>PT BRI Tbk Juli Parningotan +62 812-8421-0812</t>
  </si>
  <si>
    <t>PT BRI Tbk Maria Pinkan Elionora +62 858-8561-3314</t>
  </si>
  <si>
    <t>PT BRI Tbk Firman Nababan +62 859-1069-64798</t>
  </si>
  <si>
    <t>PT BANK MANDIRI (Persero) Sheila Siregar +62 821-1438-8788</t>
  </si>
  <si>
    <t>PT BANK MANDIRI (Persero) Jessica Ester M +62 811-6328-080</t>
  </si>
  <si>
    <t>Air Mineral 3 dus</t>
  </si>
  <si>
    <t>Rice Bowl Merconampol 120 pcs</t>
  </si>
  <si>
    <t>Lava Cake Merdu Café 120 pcs</t>
  </si>
  <si>
    <t>Air Mineral 10 dus</t>
  </si>
  <si>
    <t>Mataraja Catering 120 pcs</t>
  </si>
  <si>
    <t>Ongkir 1 times</t>
  </si>
  <si>
    <t>Sop Durian DureNampol 120 pcs</t>
  </si>
  <si>
    <t>Snack Box - Majestyk 1 pckg</t>
  </si>
  <si>
    <t>Cetak Partitur 1 times</t>
  </si>
  <si>
    <t>Map Hitam 1 pckg</t>
  </si>
  <si>
    <t>Fee Banquet, Moving, Sound (4-Day) 10 prs</t>
  </si>
  <si>
    <t>Hadiah Pre-Event 1 event</t>
  </si>
  <si>
    <t>Bensin Mobil Operasional 2 times</t>
  </si>
  <si>
    <t>Biaya administrasi transfer bank</t>
  </si>
  <si>
    <t>CA-058/25 Lita</t>
  </si>
  <si>
    <t>PT BRI Tbk Juli Parnington +62 812-8421-0812</t>
  </si>
  <si>
    <t>PT BANK MANDIRI (Persero) Humi Erma Pratiwi 811970881</t>
  </si>
  <si>
    <t>PT TELKOM (Persero) Tbk Ferni Indasari Gulo 85320789290</t>
  </si>
  <si>
    <t>Pemuka Agama Renungan PS Steve Marcel</t>
  </si>
  <si>
    <t>Pemuka Agama Doa Romo Frans Kristi Adi</t>
  </si>
  <si>
    <t>CA-059/25 Clara</t>
  </si>
  <si>
    <t>Belanja Linen Merah, Linen Kuning, Linen Silver, Masking Tape, Cutter &amp; Spidol</t>
  </si>
  <si>
    <t>Belanja Obat P3K (Mylanta, Panadol Caplet, Antangin)</t>
  </si>
  <si>
    <t>Beli Trash Bag &amp; Sendok Makan</t>
  </si>
  <si>
    <t>Makan Malam Crew Logistik BTN Mini Olympic (Saba &amp; Tyo)</t>
  </si>
  <si>
    <t>Beli Lakban Bening &amp; Lakban Kuning</t>
  </si>
  <si>
    <t>Parkir Motor @ Duta Merlin</t>
  </si>
  <si>
    <t>Parkir Motor @ Menara BTN</t>
  </si>
  <si>
    <t>Beli Sarapan Pagi Team (Aneka Kue Basah) @ Kopeg BTN</t>
  </si>
  <si>
    <t>Beli Jus (Riders Artis Disko Pantera) @ MM Juice</t>
  </si>
  <si>
    <t>Beli Tiang Semapur &amp; Tali Kur</t>
  </si>
  <si>
    <t>Parkir Motor @ Pasar Senen</t>
  </si>
  <si>
    <t>Beli Kopi Team BTN Mini Olympic @ Tomoro Coffee</t>
  </si>
  <si>
    <t>Top Up Flash untuk Parkir Mobil Rizky</t>
  </si>
  <si>
    <t>CA-060/25 Yogi</t>
  </si>
  <si>
    <t>Voucher Tokopedia Rp 1,000,000</t>
  </si>
  <si>
    <t xml:space="preserve">Handling fee 3% </t>
  </si>
  <si>
    <t>Biaya Admin Bank</t>
  </si>
  <si>
    <t>CA-061/25 Odhey</t>
  </si>
  <si>
    <t>Transfer ke analita 1 (penggantian uang transport peserta)</t>
  </si>
  <si>
    <t>Transfer ke analita 2 (penggantian uang transport peserta)</t>
  </si>
  <si>
    <t>Transfer ke analita 3 (penggantian uang transport peserta)</t>
  </si>
  <si>
    <t>Crew meals standby</t>
  </si>
  <si>
    <t>Cetak mockup voucher</t>
  </si>
  <si>
    <t>Snack dan sarapan team (Jco)</t>
  </si>
  <si>
    <t>Cetak printingan dan mockup</t>
  </si>
  <si>
    <t>Lunch team (Rice Bowl)</t>
  </si>
  <si>
    <t xml:space="preserve">Cetak mockup hadiah </t>
  </si>
  <si>
    <t>Ongkir gojek printingan</t>
  </si>
  <si>
    <t>Dinner team (RM. Sederhana)</t>
  </si>
  <si>
    <t>Belanja logistik (sanitizer, tissue, aqua 1 karton, tolak angin)</t>
  </si>
  <si>
    <t>Belanja Indomaret pembelian baterai A3 di Indomaret</t>
  </si>
  <si>
    <t>Beli lakban warna bazic</t>
  </si>
  <si>
    <t>Beli trashbag</t>
  </si>
  <si>
    <t>Beli lakban warna bazic &amp; daimaru</t>
  </si>
  <si>
    <t>Beli amplop paperline 1 pack</t>
  </si>
  <si>
    <t>Parkir 1</t>
  </si>
  <si>
    <t>Parkir 2</t>
  </si>
  <si>
    <t>Parkir 3</t>
  </si>
  <si>
    <t>Tiket masuk TMII (survey venue)</t>
  </si>
  <si>
    <t>Meals team</t>
  </si>
  <si>
    <t>Kopi kenangan klien</t>
  </si>
  <si>
    <t>meals adut</t>
  </si>
  <si>
    <t>meals komeng</t>
  </si>
  <si>
    <t>tipping security tgl 19 feb (4 org)</t>
  </si>
  <si>
    <t xml:space="preserve">tipping security tgl 20 feb (1 org) </t>
  </si>
  <si>
    <t>grab hotel kantor</t>
  </si>
  <si>
    <t>Parkir</t>
  </si>
  <si>
    <t>CA-062/25 Rizky</t>
  </si>
  <si>
    <t>Ganti Transport &amp; Bensin Syamsul MAP (Survey Lokasi)</t>
  </si>
  <si>
    <t>Deposit Js Luwansa</t>
  </si>
  <si>
    <t>Beli Makanan Lembur Team PCMI (Rizky, Heri, Akbar, Odhey, Adun, Pak Yadi)</t>
  </si>
  <si>
    <t>Kordinasi Security Loading In</t>
  </si>
  <si>
    <t>Makan Malam Ableh</t>
  </si>
  <si>
    <t>Makan Siang Ableh</t>
  </si>
  <si>
    <t>Kordinasi Security Loading Out</t>
  </si>
  <si>
    <t>Pengembalian Deposit Js. Luwansa</t>
  </si>
  <si>
    <t>Gocar Rumah ke Airport Soeta</t>
  </si>
  <si>
    <t>Beli Kopi Kenangan at Airport</t>
  </si>
  <si>
    <t>Beli Sarapan Rizky at Subway Airport</t>
  </si>
  <si>
    <t>Kereta Bandara Rizky</t>
  </si>
  <si>
    <t>Kereta Bandara Alex</t>
  </si>
  <si>
    <t>Kereta Bandara Analita</t>
  </si>
  <si>
    <t>Beli Lakban Hitam, Lakban Kuning, Lakban Kertas &amp; Double Tape</t>
  </si>
  <si>
    <t>Beli Hand Sanitizer Antis Spray</t>
  </si>
  <si>
    <t>Bensin Adun</t>
  </si>
  <si>
    <t>Beli Makan Rizky, Agung, Adun (Nasi Padang)</t>
  </si>
  <si>
    <t>Beli Makan Alex (Roti Bakar)</t>
  </si>
  <si>
    <t>Print Warna at Benhil</t>
  </si>
  <si>
    <t>Beli Batrai</t>
  </si>
  <si>
    <t>Beli Kopi Family Mart (Rizky, Patrice &amp; Team Show Management)</t>
  </si>
  <si>
    <t>Beli Sarapan Team Nasi Uduk Ibu Mar</t>
  </si>
  <si>
    <t>CA-064/25 Lita</t>
  </si>
  <si>
    <t>Request pembayaran SPG booth BTN Riyanti</t>
  </si>
  <si>
    <t>Request pembayaran SPG booth BTN Wulan Suci Fitriyana</t>
  </si>
  <si>
    <t>Reimburse batik</t>
  </si>
  <si>
    <t>CA-065/25 Alex</t>
  </si>
  <si>
    <t>Ongkos Kirim Grab Plakat</t>
  </si>
  <si>
    <t>Uang Tunai Buat Awarding Telkomsel</t>
  </si>
  <si>
    <t>Wrapping Bagasi (6 Dus)</t>
  </si>
  <si>
    <t>Telkomsel Team Dinner Sambal Seruit Buk Lin</t>
  </si>
  <si>
    <t>Pembelian T-shirt (untuk peserta telkomsel)</t>
  </si>
  <si>
    <t>Tipping Hi-Ace 6 Unit (2 Hari) - Rp 100,000/hari</t>
  </si>
  <si>
    <t>Tipping Innova 1 Unit (3 Hari) - Rp 100,000/hari</t>
  </si>
  <si>
    <t>Tipping Avanza Operational 1 Unit (4 Hari) - Rp 100,000/hari</t>
  </si>
  <si>
    <t>Ongkos Kirim Grab Plakat Tambahan</t>
  </si>
  <si>
    <t>VOID tapi dana belum dikembalikan</t>
  </si>
  <si>
    <t>CA-068/25 Odhey</t>
  </si>
  <si>
    <t>Belanja masking 2 inch 15 roll, lakban kain 2 inchi 14 roll, DT linchi 2 lusin</t>
  </si>
  <si>
    <t>Telkomsel Event Knowledge Festival 2024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</si>
  <si>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</si>
  <si>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</si>
  <si>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</si>
  <si>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</si>
  <si>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</si>
  <si>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</si>
  <si>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</si>
  <si>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</si>
  <si>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</si>
  <si>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</si>
  <si>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</si>
  <si>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</si>
  <si>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</si>
  <si>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</si>
  <si>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</si>
  <si>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</si>
  <si>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</si>
  <si>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CA-069/25 Odhey DEDI PURWANTO SE  : Retur 28-Aug-25</t>
  </si>
  <si>
    <t>CA-063/25 Odhey DEDI PURWANTO SE : Retur 29-April-25</t>
  </si>
  <si>
    <t>Sarapan (15 gorengan + 10 kopi renceng)</t>
  </si>
  <si>
    <t>Belanja 5 pcs lakban hitam &amp; 1 lakban kertas</t>
  </si>
  <si>
    <t>1 nasi padang &amp; 1 teh manis</t>
  </si>
  <si>
    <t>1 nasi goreng dadar &amp; 1 aqua botol</t>
  </si>
  <si>
    <t>1 nasi ayam bakar &amp; 1 teh manis</t>
  </si>
  <si>
    <t>Tipping security (2 shift x 3 orang)</t>
  </si>
  <si>
    <t xml:space="preserve">Beli tissue basah </t>
  </si>
  <si>
    <t>Beli 7 pcs lakban besar</t>
  </si>
  <si>
    <t>Cetak card menu, based que card dan nama peserta 1</t>
  </si>
  <si>
    <t>Cetak nama peserta 2</t>
  </si>
  <si>
    <t>Cetak nama peserta 3</t>
  </si>
  <si>
    <t>Tipping cleaning service &amp; banquet (as info klien)</t>
  </si>
  <si>
    <t>Beli tisu paseo 7 pax via tokped</t>
  </si>
  <si>
    <t>Beli hand sanitizer 6 pax via tokped</t>
  </si>
  <si>
    <t>Sarapan team nasi uduk ibu mar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</si>
  <si>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</si>
  <si>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</si>
  <si>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</si>
  <si>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</si>
  <si>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</si>
  <si>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</si>
  <si>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</si>
  <si>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</si>
  <si>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</si>
  <si>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</si>
  <si>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</si>
  <si>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</si>
  <si>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</si>
  <si>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</si>
  <si>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</si>
  <si>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</si>
  <si>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</si>
  <si>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</si>
  <si>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</si>
  <si>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</si>
  <si>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</si>
  <si>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</si>
  <si>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</si>
  <si>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</si>
  <si>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</si>
  <si>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</si>
  <si>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</si>
  <si>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</si>
  <si>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</si>
  <si>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</si>
  <si>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</si>
  <si>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</si>
  <si>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</si>
  <si>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</si>
  <si>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</si>
  <si>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</si>
  <si>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</si>
  <si>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</si>
  <si>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</si>
  <si>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</si>
  <si>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</si>
  <si>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</si>
  <si>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</si>
  <si>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</si>
  <si>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</si>
  <si>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</si>
  <si>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</si>
  <si>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</si>
  <si>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</si>
  <si>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</si>
  <si>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</si>
  <si>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</si>
  <si>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</si>
  <si>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CA-073 Frieda</t>
  </si>
  <si>
    <t>Wrapping bagasi di Airport Soetta T2 CGK-LBJ</t>
  </si>
  <si>
    <t>Snack di Airport - Makan siang</t>
  </si>
  <si>
    <t>Pembelian Oleh2 Pia Bajo 15pcs utk Anggota Dewan</t>
  </si>
  <si>
    <t>Bayar Sewa Mobil - Ignas</t>
  </si>
  <si>
    <t>Damri Airport - Bogor</t>
  </si>
  <si>
    <t>Makan Malam Anggota (Req by Bank BTN)</t>
  </si>
  <si>
    <t>CA-074 Frieda</t>
  </si>
  <si>
    <t>Le Bajo - Dinner Team Bank Mandiri</t>
  </si>
  <si>
    <t>Le Bajo Pagi - Tambahan Breakfast no bill</t>
  </si>
  <si>
    <t xml:space="preserve">Katamaran - Tipping Hotel </t>
  </si>
  <si>
    <t>Atlantis On The Rock (Plataran)</t>
  </si>
  <si>
    <t>Kado Bajo - oleh-oleh Team Bank Mandiri</t>
  </si>
  <si>
    <t>Katamaran Lt.1 - Room Sevice Team Bank Mandiri</t>
  </si>
  <si>
    <t>Sei Ba - Lunch Team Bank Mandiri</t>
  </si>
  <si>
    <t>Tipping driver</t>
  </si>
  <si>
    <t>CA-076 Rizky</t>
  </si>
  <si>
    <t>Deposit Hotel - cash</t>
  </si>
  <si>
    <t>Beli Frame untuk Piagam</t>
  </si>
  <si>
    <t>Beli Pengharum Ruangan (VIP Holding)</t>
  </si>
  <si>
    <t>Belanja Kebutuhan Progam Cat Bersama CSR</t>
  </si>
  <si>
    <t>Beli Aqua 330ml 12 Dos</t>
  </si>
  <si>
    <t>Belanja ATK</t>
  </si>
  <si>
    <t xml:space="preserve">Beli Lakban </t>
  </si>
  <si>
    <t>Beli Sampul untuk Kertas Kado</t>
  </si>
  <si>
    <t>Top up Flazz (Tol &amp; Parkir) Rizky</t>
  </si>
  <si>
    <t>Bensin Rizky PP (Jakarta - Ciawi)</t>
  </si>
  <si>
    <t>Beli Refreshment (VIP Holding)</t>
  </si>
  <si>
    <t>Tambahan Cetak Based Cue Card</t>
  </si>
  <si>
    <t>Makan Team Loading (Odhey, Akbar, Komeng &amp; Ableh)</t>
  </si>
  <si>
    <t>Reimburse Tol &amp; Bensin Mobil Ableh</t>
  </si>
  <si>
    <t>Makan Team Logistik (Yatna, Rizky &amp; Adun)</t>
  </si>
  <si>
    <t>Gosend Printingan dari Rawamangun - Kantor</t>
  </si>
  <si>
    <t>Susulan Gosend Printingan dari Rawamangun - Kantor</t>
  </si>
  <si>
    <t>Beli Obat-Obatan P3K untuk Bus</t>
  </si>
  <si>
    <t>Pembelian Snack Box Tambahan Roti O</t>
  </si>
  <si>
    <t>Pembelian 16 Box Makan Malam di Resto Alam Sunda</t>
  </si>
  <si>
    <t>Pembelian tamb Makan Malam di Resto Alam Sunda</t>
  </si>
  <si>
    <t>Uang Makan Local Band @Rp. 50.000 x 10 Pax</t>
  </si>
  <si>
    <t>Makan Yatna &amp; Bang Lonte</t>
  </si>
  <si>
    <t>Tambahan Roll Banner 6 pcs</t>
  </si>
  <si>
    <t>Beli Amplop &amp; Refreshment</t>
  </si>
  <si>
    <t>Tip, Parkir &amp; Tol Bus 1</t>
  </si>
  <si>
    <t>Tip, Parkir &amp; Tol Bus 2</t>
  </si>
  <si>
    <t>Gosend Printingan dari Gadog Puncak - Hotel</t>
  </si>
  <si>
    <t>Beli Bungkus Kado + Solasi Ban + ATK</t>
  </si>
  <si>
    <t>Kue Tampah 2 Paket untuk VIP at CSR</t>
  </si>
  <si>
    <t>Biaya Linmas, Kebersihan, Loss Listrik &amp; Sewa Kostum Tari SD Sukamahi 02 - CSR</t>
  </si>
  <si>
    <t>Makan Siang Team PCMI 10 Pax</t>
  </si>
  <si>
    <t>Pengembalian Deposit Hotel Pullman Ciawi - cash</t>
  </si>
  <si>
    <t>Beli Nampah untuk ID Card KSEI Seminar Emiten</t>
  </si>
  <si>
    <t>Parkir Full Day at Pacific Place - GR KSEI Seminar Emiten</t>
  </si>
  <si>
    <t>Parkir Full Day at Pacific Place - Event KSEI Seminar Emiten</t>
  </si>
  <si>
    <t>Masuk Ancol - Survey Hotel Mercure Ancol (Rizky, Alex, Heri &amp; Pak Yadi + Mobil)</t>
  </si>
  <si>
    <t>Masuk Ancol - Bayar DP Hotel Mercure Ancol</t>
  </si>
  <si>
    <t>Survey &amp; Techmeet Tomo - Makan Odhey, Ableh &amp; Pak Yadi</t>
  </si>
  <si>
    <t>Survey &amp; Techmeet Tomo - Beli Kopi Kenangan Odhey, Ableh</t>
  </si>
  <si>
    <t>Printing 63 pcs Mockup Awarding &amp; Signage</t>
  </si>
  <si>
    <t>Gojek Printinganke Kantor</t>
  </si>
  <si>
    <t>Lalamove - Kirim Logistik dari Kantor ke Mercure Ancol</t>
  </si>
  <si>
    <t>Gocar Loading Komeng - Mercure Ancol ke Kantor</t>
  </si>
  <si>
    <t>Top up Flazz - Parkir &amp; Tol Rizky</t>
  </si>
  <si>
    <t>Beli Mineral Cleo 4 Dos (Event Day 1)</t>
  </si>
  <si>
    <t>Beli Mineral Cleo 4 Dos (Tambahan untuk Event Day 2)</t>
  </si>
  <si>
    <t>Beli ATK &amp; Lakban</t>
  </si>
  <si>
    <t>Reimburse - Makan Ableh (Loading)</t>
  </si>
  <si>
    <t>Reimburse - Tiket Masuk Ancol Ruhin</t>
  </si>
  <si>
    <t>Kordinasi Security &amp; Bunquet Loading</t>
  </si>
  <si>
    <t>Beli Tissue Kering &amp; Tissue Basah untuk Holding VIP</t>
  </si>
  <si>
    <t>Beli Kopi Cup untuk team Show Management</t>
  </si>
  <si>
    <t>Reimburse - Tiket Masuk Ancol Bayu (PIC Gerbang Masuk Ancol)</t>
  </si>
  <si>
    <t>Reimburse - Parkir Mobil Ableh at Apartemen Ancol Mension</t>
  </si>
  <si>
    <t>Reimbuse - Sarapan Day 2 Komeng &amp; Ableh</t>
  </si>
  <si>
    <t>Beli Tali Tambang 3 pcs</t>
  </si>
  <si>
    <t>LINKAJA 9903883534 : Telkomsel Sales Academy September 2025 : Tiket Woosh Jakarta Bandung PP 20</t>
  </si>
  <si>
    <t xml:space="preserve">GOPAY TOPUP  08118876727 : Telkomsel Gamification Q4 2024 : Kuis Always Kamis 2 oct , Kuis AON Halo Oct, Kuis Twitter Halo 1 Oct 2025	</t>
  </si>
  <si>
    <t>Shell MotoGp Sepang 2025 DB 1105/FTORT/YNXV9 TRANSFER OR VIA IB  SUMITOMO MITSUI BA JPY  JCM CORPORATION LT : Shell MotoGp Sepang 2025 - Payment Reservasi Akomodasi sebesar JPY 468,000 (rate per 30-Okt 2025 Rp 108)</t>
  </si>
  <si>
    <t>LINKAJA 08122020294 : Telkomsel WS Sales A1 Play Hard Serve Harder -Reimburse Meals dan pembelian spidol di Batam</t>
  </si>
  <si>
    <t>GOPAY TOPUP 08118876727 : Telkomsel Gamification Q4 2024 - Inject Pemenang Kuis AON Halo - Hari Pelanggan, Halo flexy Sep dan Kuis VAS Transfer Pulsa bulan Oktober 2025</t>
  </si>
  <si>
    <t>LINKAJA 08111991665 : Telkomsel Sales Academy September 2025 - tambahan Reimburse Tiket Woosh PP an Agra Andhyka Chandra</t>
  </si>
  <si>
    <t>LINKAJA 081190090578 : Telkomsel Orbit Household Q4 2024 - reimburse program bundling Telkomsel orbit Z2 IMOU</t>
  </si>
  <si>
    <t>LINKAJA 081212869048 : Telkomsel GraPARI TOMO - Penugasan BAUT Grapari TOMO Fase 1 Surabaya &amp; Probolinggo bulan AGustus 2025</t>
  </si>
  <si>
    <t>LINKAJA 0811221126 : Telkomsel GraPARI TOMO - Penugasan BAUT GraPari TOMO Fase 1 , Maumere dan Medan bulan Agustus 2025</t>
  </si>
  <si>
    <t xml:space="preserve">Insight goes to Vietnam : ASIA COMMERCIAL BA USD        1327.00 CTY CP DU LICH VIK  </t>
  </si>
  <si>
    <t xml:space="preserve">Insight goes to Vietnam : ASIA COMMERCIAL BA USD        5235.00 CTY CP DU LICH VIK  </t>
  </si>
  <si>
    <t xml:space="preserve">Entertaiment : Tour lombok Antony Ent Trimegah SILKE DIMITRI  </t>
  </si>
  <si>
    <t>LINKAJA 08118876727 : Telkomsel GraPARI TOMO - Penugasan Visit GRAPARI Malang, Surabaya dan Lampung 24-26 Jun 2025</t>
  </si>
  <si>
    <t>WS95051 09110/LINKAJA 08118876727 : Telkomsel GraPARI TOMO - Support Mice visit GraPARI Padang, Palembang , Jogja</t>
  </si>
  <si>
    <t>LINKAJA 9903883534 : Telkomsel IPTV Product Sales Incentives Q3 2024 - JITU 1 TV SOBI Desember 2024</t>
  </si>
  <si>
    <t>LINKAJA 081190090578 : Telkomsel Orbit Household Q4 2024 - support activation Orbit program</t>
  </si>
  <si>
    <t xml:space="preserve">Shell Visit Factory Bangkok : FTORT/YGKPP TRANSFER OR VIA IB  SIAM COMMERCIAL BA USD        1629.00  SATHIT KASIKAMPHIB </t>
  </si>
  <si>
    <t>LINKAJA 9903883534 : Telkomsel IPTV Product Sales Incentives Q3 2024 - Extra Incentives JITU 1 2P &amp; 3P TV - IPTV Desember 2024</t>
  </si>
  <si>
    <t>LINKAJA 9903883534 : Telkomsel Hear Me at GraPARI 2024 - Reimburse Program Hear Me - Nov Dec 2024</t>
  </si>
  <si>
    <t>LINKAJA 9903883534 : Telkomsel IPTV Product Sales Incentives Q3 2024 - Extra Incentives JITU 1 2P &amp; 3P TV</t>
  </si>
  <si>
    <t>LINKAJA 0811690590 : Telkomsel PCM Academy &amp; Meeting Pengamanan Target Q1 2025 Area - Pembayaran Penginapan Rumah Asset Batam 12-14 Feb 2025 (8 kamar) an Umar Munandar , Ahmad N Nasution , Ibrahim A Agasti</t>
  </si>
  <si>
    <t xml:space="preserve">Shell Visit Factory Bangkok : TRANSFER OR VIA IB SIAM COMMERCIAL BA USD 138.00 SATHIT KASIKAMPHIB  </t>
  </si>
  <si>
    <t>LINKAJA 08111166494 : Telkomsel Increase Fundamental Service to Improve Sales Acquisition - Reimburse WS Postpaid &amp; Fundamental Service AREA 3 Yogyakarta, 14 Mei 2025 s/d 16 Mei 2025</t>
  </si>
  <si>
    <t>LINKAJA 08118876727 : Telkomsel GraPARI TOMO - Penugasan BAUT Grapari TOMO Fase 1 Juli 2025</t>
  </si>
  <si>
    <t>LINKAJA 9903883534 : Telkomsel IPTV Product Sales Incentives Q3 2024 - Extra Incentives IH Movie Complete IP IPTV Maret 2025</t>
  </si>
  <si>
    <t>LINKAJA 08118876727 : Telkomsel GraPARI TOMO : Support Penugasan Evaluasi kemitraan Grapari Mitra A1, A3 dan A4 29 okt-06 Nov 2025</t>
  </si>
  <si>
    <t>LINKAJA 9903883534 : Telkomsel IPTV Product Sales Incentives Q3 2024 - Inject LinkAja IH Movie IPTV Feb 2025</t>
  </si>
  <si>
    <t>LINKAJA 081190090096 : Telkomsel Orbit Household Q4 2024 - Reimburse support program Household</t>
  </si>
  <si>
    <t>CA-078/25 Patrice : Himbara KunKerBaliMEGAWATY,</t>
  </si>
  <si>
    <t xml:space="preserve">CA-078/25 Patrice : Himbara KunKer Bali  BNINIDJA/HASAN ABDILLAH </t>
  </si>
  <si>
    <t xml:space="preserve">CA-078/25 Patrice : Himbara KunKer Bali IFT_TO_MEGAWATY </t>
  </si>
  <si>
    <t>CA-078/25 Patrice</t>
  </si>
  <si>
    <t>Beli sarapan pagi di bandara. Pat, alex, lita, age, ipon</t>
  </si>
  <si>
    <t>Cetak Fushia Booth dan printingan - Age</t>
  </si>
  <si>
    <t>Beli makan Malam team Pat, alex, lita, age, ipon pecel lele tendaan</t>
  </si>
  <si>
    <t>Bayar kopi Revolver peserta 40 Bkgs</t>
  </si>
  <si>
    <t xml:space="preserve">Amplop semua peserta </t>
  </si>
  <si>
    <t>Bayar peserta Golf as rqst pak Felik BRI</t>
  </si>
  <si>
    <t>Tipping Banquet Hotel</t>
  </si>
  <si>
    <t>Bayar MC FGD</t>
  </si>
  <si>
    <t xml:space="preserve">Bayar Menega makan malam anggota </t>
  </si>
  <si>
    <t>Tipping Menega - VIP Room</t>
  </si>
  <si>
    <t>Beli Nasi utk age dan ipon</t>
  </si>
  <si>
    <t>Bayar wrapping akrilik kantor</t>
  </si>
  <si>
    <t>Beli makan siang team Pat, alex, lita, age, ipon di airport</t>
  </si>
  <si>
    <t>Bayar Foto Video</t>
  </si>
  <si>
    <t>Bayar 2 LO tgl 29 Mei, Booth dan Regis</t>
  </si>
  <si>
    <t>Bayar MC Crew tgl 29 Mei</t>
  </si>
  <si>
    <t>Bayar Oleh2 utk BRI Mas Cholis Rqst</t>
  </si>
  <si>
    <t>Bayar tipping driver 27-30 Mei</t>
  </si>
  <si>
    <t>CA-079/25 Patrice</t>
  </si>
  <si>
    <t>Wrapping dus di bandara</t>
  </si>
  <si>
    <t xml:space="preserve">Makan siang dengan Lulita, Lovy, Alex, Rizky, Pat dan Analita </t>
  </si>
  <si>
    <t>Tipping Hotel drop of bagasi 60 rms</t>
  </si>
  <si>
    <t>Block Venue utk Bora2 and extra hours as rqst lulita - cash ke dedi pic bora2</t>
  </si>
  <si>
    <t>Bayar Fire dance di Bora2 as per approval Lulita - cash ke fire dance</t>
  </si>
  <si>
    <t>Tipping Royal Avilla</t>
  </si>
  <si>
    <t>retur CA 00080 DEDI PURWANTO SE : Retur CA-80/25 Tgl 4-Jul</t>
  </si>
  <si>
    <t>Bensin mobil operasional ogut (bdg - jkt - bdg)</t>
  </si>
  <si>
    <t>E-Toll mobil operasional ogut (bdg - jkt - bdg)</t>
  </si>
  <si>
    <t>Belanja alfamart</t>
  </si>
  <si>
    <t>Makan malam team loading (3 orang)</t>
  </si>
  <si>
    <t xml:space="preserve">Koordinasi security loading dock </t>
  </si>
  <si>
    <t>Makan pagi team loading (3 orang)</t>
  </si>
  <si>
    <t>Makan siang team loading (3 orang)</t>
  </si>
  <si>
    <t>Snack dan kopi</t>
  </si>
  <si>
    <t>Tips tim cleaning service</t>
  </si>
  <si>
    <t>Koordinasi security loading out</t>
  </si>
  <si>
    <t>Cetak ID card PVC 167 pcs</t>
  </si>
  <si>
    <t>Pembelian jajanan pasar untuk panitia</t>
  </si>
  <si>
    <t>Pembelian kue tampah mini untuk syukuran dg panitia</t>
  </si>
  <si>
    <t>Beli mineral water cleo 16 carton</t>
  </si>
  <si>
    <t>Kertas HVS A4 &amp; 4 lakban</t>
  </si>
  <si>
    <t>Beli mineral water cleo 10 carton</t>
  </si>
  <si>
    <t>Cetak based que card</t>
  </si>
  <si>
    <t>Produksi lanyard &amp; polyfoam</t>
  </si>
  <si>
    <t>Cetak ID card &amp; polyfoam</t>
  </si>
  <si>
    <t>Lalamove (Ritz Carlton - kantor)</t>
  </si>
  <si>
    <t>Lalamove (kantor - Ritz Carlton)</t>
  </si>
  <si>
    <t>Cetak art carton</t>
  </si>
  <si>
    <t>Beli double tape 5 pcs</t>
  </si>
  <si>
    <t>Beli duct tape rubber</t>
  </si>
  <si>
    <t>Lakban merah 2 pcs</t>
  </si>
  <si>
    <t>Beli lakban kertas 3 pcs, lakban bening 1 pcs, label nama 2 pax</t>
  </si>
  <si>
    <t>Beli lakban hitam 2 pcs</t>
  </si>
  <si>
    <t>Gosend</t>
  </si>
  <si>
    <t>Meals team PCMI di kantin Pacific Place</t>
  </si>
  <si>
    <t>Makan siang dengan Lulita di Imperial Kitchen</t>
  </si>
  <si>
    <t>Bayar DP ke Imperial Kitchen by Qris</t>
  </si>
  <si>
    <t xml:space="preserve">Bayar kopi Lovy dan Rivi di Ayana </t>
  </si>
  <si>
    <t>Bayar Concordia Lounge SRG 5 pax</t>
  </si>
  <si>
    <t>Tipping Hotel Room drop 50 Rms</t>
  </si>
  <si>
    <t>Bayar Security dan AL di Le Bajo</t>
  </si>
  <si>
    <t>Apt Assistant Batik Semarang 5 pax</t>
  </si>
  <si>
    <t>Bayar Lounge 6 Pax di Lounge Atas Jan Ora</t>
  </si>
  <si>
    <t>Wrapping 6 Bagasi Trimegah  @70.000</t>
  </si>
  <si>
    <t xml:space="preserve">Bayar Komodo Lounge </t>
  </si>
  <si>
    <t xml:space="preserve">Apt Assistant Arrv dan Dept + Fast track </t>
  </si>
  <si>
    <t xml:space="preserve">Makan siang Pat, Praja @50.000 tanpa minum + Ivone dan Pak Sensi (Apt Asst) dengan minum 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</si>
  <si>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</si>
  <si>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</si>
  <si>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</si>
  <si>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</si>
  <si>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</si>
  <si>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</si>
  <si>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</si>
  <si>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</si>
  <si>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</si>
  <si>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</si>
  <si>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</si>
  <si>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</si>
  <si>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</si>
  <si>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</si>
  <si>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</si>
  <si>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</si>
  <si>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</si>
  <si>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</si>
  <si>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</si>
  <si>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</si>
  <si>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</si>
  <si>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</si>
  <si>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</si>
  <si>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</si>
  <si>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</si>
  <si>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</si>
  <si>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</si>
  <si>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</si>
  <si>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</si>
  <si>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</si>
  <si>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</si>
  <si>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</si>
  <si>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</si>
  <si>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</si>
  <si>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</si>
  <si>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</si>
  <si>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Transfer Pembayaran Mobil di Vietnam 1 Hari (USD 125)</t>
  </si>
  <si>
    <t>Transfer Pembayaran Additional Room Mr Jisang Yoo (USD 95.00)</t>
  </si>
  <si>
    <t>Biaya Komunikasi Roaming Alex</t>
  </si>
  <si>
    <t>Mallaca toast airport (Mba Alifah, Pak Camar Remoa)</t>
  </si>
  <si>
    <t>Tipping Boat (5 Boat MyTho) @50,000 vnd (50,000 x 5)</t>
  </si>
  <si>
    <t>Pembelian Kue Ultah (Mr Camar Remoa) - 430,000 vnd</t>
  </si>
  <si>
    <t>Pembelian Obat Ambeyen Mr Nurdin - 143,000 vnd</t>
  </si>
  <si>
    <t>Pembelian Pampers Adult Mr Nurdin - 175,000 vnd</t>
  </si>
  <si>
    <t>Pembelian Sandwich Sevel (Dinner Mr Nurdin) - 41,000 vnd</t>
  </si>
  <si>
    <t>Pembelian Gelas Plastik Family Mart - 15,000 vnd</t>
  </si>
  <si>
    <t>Makan Pho Pak Camar Remoa &amp; Mba Alifah - 226,000 vnd</t>
  </si>
  <si>
    <t>Laundry Bag Charge (200,000 vnd)</t>
  </si>
  <si>
    <t>Parkir Inap Bandara (24 - 27 July 2025)</t>
  </si>
  <si>
    <t>Cetak Luggage Tag 143 pcs</t>
  </si>
  <si>
    <t>Cetak Signage &amp; Mockup</t>
  </si>
  <si>
    <t>Gojek Printingan</t>
  </si>
  <si>
    <t>Gojek Luggage Tag</t>
  </si>
  <si>
    <t>Beli Snack Box Bus Peserta</t>
  </si>
  <si>
    <t>Beli Mineral Cleo 2 Dos</t>
  </si>
  <si>
    <t>Beli Kertas A4 1 Rim</t>
  </si>
  <si>
    <t>Beli Lakban</t>
  </si>
  <si>
    <t>Beli Tambahan Lakban</t>
  </si>
  <si>
    <t>Beli Roti O di Rest Area (Sarapan Team PCMI)</t>
  </si>
  <si>
    <t>Beli Gembok untuk Drop Box &amp; Tali Raphia 1 Roll</t>
  </si>
  <si>
    <t>Beli Kopi Loading (Rizky, Adut, Kang Ari &amp; Kang Anggi)</t>
  </si>
  <si>
    <t>Beli Tolak Angin untuk Bus</t>
  </si>
  <si>
    <t>Printing Spanduk 3 pcs</t>
  </si>
  <si>
    <t>Bubble Stereofoam Doorprize (Ukuran Kecil 4 pack)</t>
  </si>
  <si>
    <t>Parkir Mobil Adut at Hotel Swiss-Bell</t>
  </si>
  <si>
    <t>Print Sticker Drop Box</t>
  </si>
  <si>
    <t>Parkir Mobil Adut at Baltos (Printingan)</t>
  </si>
  <si>
    <t>Parkir Mobil Kantor at Swiss-Bell</t>
  </si>
  <si>
    <t>Tambahan Cetak Mock Up Best Group Team Building</t>
  </si>
  <si>
    <t>Bubble Stereofoam Doorprize (1 Bal Besar)</t>
  </si>
  <si>
    <t>Parkir Liar Mobil Kantor (Tahura, Indomaret, dll)</t>
  </si>
  <si>
    <t>Ambil cash untuk Allowance/ Transportasi Peserta (Kekurangan)</t>
  </si>
  <si>
    <t>Crew Meals</t>
  </si>
  <si>
    <t>Beli tiket Ancol 25 orang + kendaraan</t>
  </si>
  <si>
    <t>CA-087/25 Patrice</t>
  </si>
  <si>
    <t>CA-087/25 Patrice : Himbara FGD Balikpapan Operation Expense IFT_TO_MARIA PATRICIA SUGAM</t>
  </si>
  <si>
    <t>Bayar kain bordir 15 buah</t>
  </si>
  <si>
    <t>Absensi Goodybag - Untuk Anggota DPR Komisi XI</t>
  </si>
  <si>
    <t>Tipping Banquet 2 ballroom - Pak Markus</t>
  </si>
  <si>
    <t>Bayar jasa buat PPT as per rqst BNI Chris</t>
  </si>
  <si>
    <t>Bayar cetak print proposal as per rqst BNI Chris</t>
  </si>
  <si>
    <t>Bayar wrapping 2 dus Akrilik dan Kabel</t>
  </si>
  <si>
    <t>Beli Oleh2 BRI 7 Paker as Per Mas Cholis Rqst</t>
  </si>
  <si>
    <t>Meals allowance Age dan Ivone , @50.000 per meals</t>
  </si>
  <si>
    <t>Cetak Luggage Tag 125 pcs</t>
  </si>
  <si>
    <t>Cetak Mockup Awarding &amp; Signage</t>
  </si>
  <si>
    <t>Gojek Mockup Awarding dari Mahkota Print ke Kantor</t>
  </si>
  <si>
    <t>Beli Kertas HVS &amp; Lakban</t>
  </si>
  <si>
    <t>Beli Trash Bag &amp; Tali Rapiah</t>
  </si>
  <si>
    <t>Beli Lakban Bening &amp; Double Tape</t>
  </si>
  <si>
    <t>Beli Air Minum Cleo 2 Pack</t>
  </si>
  <si>
    <t xml:space="preserve">Top up Flazz - Tol </t>
  </si>
  <si>
    <t>Beli Kopi Fore</t>
  </si>
  <si>
    <t>Beli Riders Hospitality Angklung Udjo &amp; Toiletries Tahura</t>
  </si>
  <si>
    <t>Parkir Liar (Tahura, Borma, Fore, Makan, dll)</t>
  </si>
  <si>
    <t>Reimburse Uang Kebersihan Tahura</t>
  </si>
  <si>
    <t>Reimburse Uang Tip Bunquet Batch 1 &amp; Batch 2</t>
  </si>
  <si>
    <t>Top up Flazz - Parkir Kempinski</t>
  </si>
  <si>
    <t>Pembelian Makan Siang tgl 22 @22Box &amp; 23 Agt 2025 @59Box</t>
  </si>
  <si>
    <t xml:space="preserve">Pembelian Makan Malam tgl 22 Agt 2025 @22Box </t>
  </si>
  <si>
    <t>Pembelian Makan Malam tgl 23 Agt 2025 @59Box</t>
  </si>
  <si>
    <t>Pembelian Snack Box Tgl 23Agt 2025 @59Box</t>
  </si>
  <si>
    <t>Pembelian roti utk crew backstage</t>
  </si>
  <si>
    <t>Pembayaran Cetakan Polyfoam dan Cuecard</t>
  </si>
  <si>
    <t>Belanja air minum cleo 10 karton</t>
  </si>
  <si>
    <t>Beli tissue paseo 3 pax</t>
  </si>
  <si>
    <t xml:space="preserve">Beli kertas HVS, Lakban linen, masking tape </t>
  </si>
  <si>
    <t>Beli air minum cleo 5 karton</t>
  </si>
  <si>
    <t>Bayar polyfoam 2</t>
  </si>
  <si>
    <t>Bayar cetakan PYC</t>
  </si>
  <si>
    <t>Gosend 1</t>
  </si>
  <si>
    <t>Gosend 2</t>
  </si>
  <si>
    <t>Gosend 3</t>
  </si>
  <si>
    <t>Gosend 4</t>
  </si>
  <si>
    <t>Gosend 5</t>
  </si>
  <si>
    <t>Lalamove 1 + parkir (kantor ke kempinski)</t>
  </si>
  <si>
    <t>Lalamove 2 + parkir (kempinski ke kantor)</t>
  </si>
  <si>
    <t>makan crew komeng (persiapan event di kantor)</t>
  </si>
  <si>
    <t>makan crew saba dan agung (persiapan event di kantor)</t>
  </si>
  <si>
    <t>parkir motor kempinski</t>
  </si>
  <si>
    <t>bayar polyfoam 3</t>
  </si>
  <si>
    <t>Bensin D 1477OLT (Mobil Ops BDG - Ogut)</t>
  </si>
  <si>
    <t>E Toll (Ops BDG - Ogut)</t>
  </si>
  <si>
    <t>Makan siang (Team Produksi BDG)</t>
  </si>
  <si>
    <t>Kordinasi Scurity loading in</t>
  </si>
  <si>
    <t>Makan Pagi (team Produksi)</t>
  </si>
  <si>
    <t>Snack indomaret</t>
  </si>
  <si>
    <t>Snack indomaret (minuman)</t>
  </si>
  <si>
    <t>Makan Siang (team produksi)</t>
  </si>
  <si>
    <t>Makan Malam (team produksi)</t>
  </si>
  <si>
    <t>Makan Pagi (team produksi)</t>
  </si>
  <si>
    <t>Kordinasi Scurity loading Out</t>
  </si>
  <si>
    <t>Beli air minum cleo 8 karton</t>
  </si>
  <si>
    <t>CA-081/25 Odhey</t>
  </si>
  <si>
    <t>CA-082/25 Patrice</t>
  </si>
  <si>
    <t>CA-084/25 Alex</t>
  </si>
  <si>
    <t>CA-083/25 Yogi</t>
  </si>
  <si>
    <t>CA-085/25 Rizky</t>
  </si>
  <si>
    <t>CA-086/25 Lita</t>
  </si>
  <si>
    <t>CA-088/25 Rizky</t>
  </si>
  <si>
    <t>CA-090/25 Frieda</t>
  </si>
  <si>
    <t>CA-091/25 Yogi</t>
  </si>
  <si>
    <t>CA-076/25 Rizky</t>
  </si>
  <si>
    <t>CA-073/25 Frieda</t>
  </si>
  <si>
    <t>CA-072/25 Clara</t>
  </si>
  <si>
    <t>CA-071/25 Odhey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</si>
  <si>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</si>
  <si>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</si>
  <si>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</si>
  <si>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</si>
  <si>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</si>
  <si>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</si>
  <si>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</si>
  <si>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CA-092/25 Rizky</t>
  </si>
  <si>
    <t>Isi Flazz Rizky (Toll Airport)</t>
  </si>
  <si>
    <t>Wraping Bandara</t>
  </si>
  <si>
    <t>Beli Air Mineral 5 Dos</t>
  </si>
  <si>
    <t>Beli kertas A4 &amp; Kertas Photo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</si>
  <si>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</si>
  <si>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</si>
  <si>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</si>
  <si>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</si>
  <si>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</si>
  <si>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</si>
  <si>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</si>
  <si>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</si>
  <si>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</si>
  <si>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</si>
  <si>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</si>
  <si>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>CA-093/25 Frieda</t>
  </si>
  <si>
    <t>Pembayaran DP 50 % 40 UMKM 5300 Porsi</t>
  </si>
  <si>
    <t>Pembayaran Tambahan DP 50% UMKM Sate</t>
  </si>
  <si>
    <t>Pembelian tempat makan kertas, Gelas Kertas dan Apron + Sablon</t>
  </si>
  <si>
    <t>Pelunasan 40 UMKM 5300 Porsi</t>
  </si>
  <si>
    <t>CA-094/25 Rizky</t>
  </si>
  <si>
    <t>CA-95/25 Patrice MARIA PATRICIA SUG : Retur 21-Oct BCA Juanda</t>
  </si>
  <si>
    <t>retur uang kembali an  MARIA PATRICIA SUG : Retur CA-095 30-Sep BCA Juanda</t>
  </si>
  <si>
    <t>CA-096/25 Frieda</t>
  </si>
  <si>
    <t>Uang Logistik Agung</t>
  </si>
  <si>
    <t>Snack Box 75 Box</t>
  </si>
  <si>
    <t>Pembelian 5 Tumpeng utk Lomba Tumpeng</t>
  </si>
  <si>
    <t>Print Signage UMKM 28 UMKM</t>
  </si>
  <si>
    <t>Permintaan Cash dari Mandiri utk tamb hadiah Lomba Hias Tumpeng</t>
  </si>
  <si>
    <t xml:space="preserve">Biaya Kirim Kaos dan Kupon Ke Region Bandung </t>
  </si>
  <si>
    <t>Tambahan Uang Logistik Agung</t>
  </si>
  <si>
    <t>CA-097/25 Frieda</t>
  </si>
  <si>
    <t>CA-098/25 Odhey</t>
  </si>
  <si>
    <t>Transfer fee MC internal klien</t>
  </si>
  <si>
    <t>Beli frame sertifikat 6 pcs</t>
  </si>
  <si>
    <t>Beli kertas HVS 1 rim</t>
  </si>
  <si>
    <t>Beli lakban OPP YATTA 2 roll</t>
  </si>
  <si>
    <t>Beli Masking tape subaru 4 roll</t>
  </si>
  <si>
    <t>Beli lem 2 pcs</t>
  </si>
  <si>
    <t>Beli cutter 1 pcs</t>
  </si>
  <si>
    <t>Beli lakban hitam 2 roll</t>
  </si>
  <si>
    <t>Beli obat-obatan</t>
  </si>
  <si>
    <t>Mineral cleo 4 dus</t>
  </si>
  <si>
    <t>Minuman dingin</t>
  </si>
  <si>
    <t>Bensin motor adun</t>
  </si>
  <si>
    <t>Lakban hitam 8 roll</t>
  </si>
  <si>
    <t>Tissue basah dan kering</t>
  </si>
  <si>
    <t>Lalamove antar based que card</t>
  </si>
  <si>
    <t>Makan sore Agung, Acong &amp; Iyan</t>
  </si>
  <si>
    <t>Lalamove loading in</t>
  </si>
  <si>
    <t>Makan malam tim logistik (loading out)</t>
  </si>
  <si>
    <t>Lalamove loading out</t>
  </si>
  <si>
    <t>Lalamove antar sisa merchandise ke kantor PLN IP</t>
  </si>
  <si>
    <t>Sarapan nasi uduk team</t>
  </si>
  <si>
    <t>Gocar kantor - hotel bidakara (venue)</t>
  </si>
  <si>
    <t>Tipping security venue</t>
  </si>
  <si>
    <t>CA-101/25 Rizky</t>
  </si>
  <si>
    <t>CA-102/25 Alex</t>
  </si>
  <si>
    <t>CA-104/25 Odhey</t>
  </si>
  <si>
    <t>Grab Dina (Rumah - Bandara Soetta)</t>
  </si>
  <si>
    <t>Grab Sultan Alauddin Hotel - Double Helix</t>
  </si>
  <si>
    <t>Grab Double Helix - Fore Sultan Alauddin</t>
  </si>
  <si>
    <t>Gocar Bandara Sultan Hasanudin - Hotel Alaudin</t>
  </si>
  <si>
    <t>Kopi di bandara</t>
  </si>
  <si>
    <t>Grab Sultan Alauddin Hotel - Starbucks Pettarani</t>
  </si>
  <si>
    <t>Koordinasi Meeting @Starbucks Pettarani</t>
  </si>
  <si>
    <t>Grab Starbucks Pettarni - Double Helix</t>
  </si>
  <si>
    <t>Grab Museum Balla Lompoa - Sultan Alauddin Hotel</t>
  </si>
  <si>
    <t>Grab Sultan Alauddin Hotel - Fore Sultan Alauddin</t>
  </si>
  <si>
    <t xml:space="preserve">Koordinasi Meeting @Fore </t>
  </si>
  <si>
    <t>Grab Jl. Sultan Hasanuddin - Museum Balla Lompoa</t>
  </si>
  <si>
    <t>Entertaint Region &amp; Corsec Mandiri @Mie Titi</t>
  </si>
  <si>
    <t>Gocar Fore Coffee - Cititex</t>
  </si>
  <si>
    <t>Grab Sultan Alauddin Hotel - Museum Balla Lompoa</t>
  </si>
  <si>
    <t>Gocar Alaudin Hotel - Claro Hotel</t>
  </si>
  <si>
    <t>Hotel Claro Makassar 10 - 11 Oktober 2025</t>
  </si>
  <si>
    <t>Grab Hotel Claro - Bandara Sultan Hasanuddin</t>
  </si>
  <si>
    <t>Meals Bangi Coffee Bandara Sultan Hasanuddin</t>
  </si>
  <si>
    <t>Blue Bird Bandara Soetta - Rumah Dina</t>
  </si>
  <si>
    <t>Makan malam Odhey, Age, Komeng (pulang bareng dari CGK - Kantor)</t>
  </si>
  <si>
    <t>CA-105/25 Yogi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</si>
  <si>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</si>
  <si>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</si>
  <si>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</si>
  <si>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</si>
  <si>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</si>
  <si>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</si>
  <si>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</si>
  <si>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</si>
  <si>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</si>
  <si>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</si>
  <si>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</si>
  <si>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</si>
  <si>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</si>
  <si>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</si>
  <si>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CA-106/25 Patrice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</si>
  <si>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</si>
  <si>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</si>
  <si>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</si>
  <si>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</si>
  <si>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</si>
  <si>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</si>
  <si>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</si>
  <si>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</si>
  <si>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</si>
  <si>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</si>
  <si>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</si>
  <si>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</si>
  <si>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</si>
  <si>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</si>
  <si>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</si>
  <si>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</si>
  <si>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</si>
  <si>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</si>
  <si>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</si>
  <si>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</si>
  <si>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</si>
  <si>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CA-107/25 Frieda</t>
  </si>
  <si>
    <t>CA-108/25 Patrice</t>
  </si>
  <si>
    <t>CA-109/25 Odhey</t>
  </si>
  <si>
    <t>CA-113/25 Patrice</t>
  </si>
  <si>
    <t>CA-117/25 Patrice</t>
  </si>
  <si>
    <t>CA-119/25 Patrice</t>
  </si>
  <si>
    <t>CA-118/25 Patrice</t>
  </si>
  <si>
    <t>CA-047/24 Odhey</t>
  </si>
  <si>
    <t>refund tiket KAI 2 px CN GMR YOGI PURWO WIDODO : WA Yogi 30Nop - Cirebon Power Employee Gathering Bandung 2025</t>
  </si>
  <si>
    <t>Refund Ongkir Corp PT Panconvince SITI NURHAYATI : WA Yogi 30Nop Telkomsel Focus Paying Auction Sumatera pak</t>
  </si>
  <si>
    <t>PYC Talks</t>
  </si>
  <si>
    <t>BSI KukKer BAKN Pangkalpinang</t>
  </si>
  <si>
    <t>BRI KunKer Bogor DPR Komisi XI</t>
  </si>
  <si>
    <t>BRI FGD Semarang Komisi XI</t>
  </si>
  <si>
    <t>BTN FGD Cirebon Komisi XI</t>
  </si>
  <si>
    <t xml:space="preserve">TSel PCM Ac MtgPT Q1 04272  Trf  KE PANTRAVEL </t>
  </si>
  <si>
    <t>No Invoice</t>
  </si>
  <si>
    <t>Telkomsel Event securing Target Regional sumbagsel</t>
  </si>
  <si>
    <t>Telkomsel Alignment Sales Strategy All Branch Sumbagteng Q4 2025</t>
  </si>
  <si>
    <t>PLN National Power Up Teluk KalTim Capacity Building</t>
  </si>
  <si>
    <t>Sewa Motor Sutarno Bulan Oktober 2025</t>
  </si>
  <si>
    <t>Bensin Motor Sutarno Bulan Oktober 2025</t>
  </si>
  <si>
    <t>Meals ibu Anne 21 Oct 2025</t>
  </si>
  <si>
    <t>Cuci Sejadah</t>
  </si>
  <si>
    <t>Kopi, Gula, Pewangi, Sabun Tangan</t>
  </si>
  <si>
    <t>Biaya Ongkir Bajaj - Pengiriman 25 pcs Keranjang Anyaman dari Mayestik</t>
  </si>
  <si>
    <t>Tol &amp; Parkir E-Tol</t>
  </si>
  <si>
    <t>Kanda</t>
  </si>
  <si>
    <t>Cetak Kartu Nama Revi 1 Box</t>
  </si>
  <si>
    <t>Cetak Proposal Event BRI Reception 2025</t>
  </si>
  <si>
    <t>Pembelian Goody Bag</t>
  </si>
  <si>
    <t>Cetak Proposal Event BRI Reception 2025 - Copy</t>
  </si>
  <si>
    <t>Pembelian Minuman during Survey Natal Nasional</t>
  </si>
  <si>
    <t>AH FA OD HR TR</t>
  </si>
  <si>
    <t>Own Risk Mobil F 1138 ABU, ganti kerusakan body mobil (asuransi)</t>
  </si>
  <si>
    <t>Tagihan Telkomsel Pascabayar AH Bulan Oktober 2025</t>
  </si>
  <si>
    <t>Pembelian Nestle di TSO dan Biaya Manpower</t>
  </si>
  <si>
    <t>Cetak Laporan Himbara Semarang 2025 (BNI)</t>
  </si>
  <si>
    <t>Cetak Laporan Himbara Semarang 2025 (BTN)</t>
  </si>
  <si>
    <t>Pembelian Kue Okky Bakery utk Bank BNI (Pak Chris)</t>
  </si>
  <si>
    <t>Pembelian Contoh Oleh2, Macaroni Panggang &amp; Lasagna Gulung</t>
  </si>
  <si>
    <t>BRI Kunker Bogor DPR XI</t>
  </si>
  <si>
    <t>Aqua Galon 4</t>
  </si>
  <si>
    <t>Air Mineral 330ml</t>
  </si>
  <si>
    <t>Makan Siang ibu Anne &amp; Team (Ketoprak 6bks), 14 Nov 2025</t>
  </si>
  <si>
    <t>AH &amp; Team</t>
  </si>
  <si>
    <t>Amplop Coklat</t>
  </si>
  <si>
    <t>Biaya Bensin, Parkir dan makan Pak Ableh - Produksian</t>
  </si>
  <si>
    <t>Parkir Inap Bandara CGK - Alex, 7-9Nov 2025</t>
  </si>
  <si>
    <t>Bensin mobil Alex, 5Nov 2025</t>
  </si>
  <si>
    <t>Parkir Inap Bandara CGK - Alex, 6-7Nov 2025</t>
  </si>
  <si>
    <t>Makan siang ibu Anne &amp; FA, Ojolali, 18 Nov 2025</t>
  </si>
  <si>
    <t>Materai 50 lembar</t>
  </si>
  <si>
    <t>Amplop coklat 2 pack</t>
  </si>
  <si>
    <t>Parkir Cash</t>
  </si>
  <si>
    <t>Tagihan Internet Telkomsel pascabayar AH Bulan November 2025</t>
  </si>
  <si>
    <t xml:space="preserve">BSIN TOMOGat DP Team Building BAMBANG NURDIANSYA  </t>
  </si>
  <si>
    <t xml:space="preserve">BSIN TomoGat DP 30% SoundSys SONJAYA ADIPUTRA  </t>
  </si>
  <si>
    <t>279/PCMI/AR/XI/2025</t>
  </si>
  <si>
    <t>Payment Event PYC Talks</t>
  </si>
  <si>
    <t>BIAYA ADM</t>
  </si>
  <si>
    <t>Pay AP Loan 28Nop MaBBBAIDJA/MARGARETA YOVITA SEPTIANA</t>
  </si>
  <si>
    <t>20251129BMRIIDJA010O9937818612</t>
  </si>
  <si>
    <t>BFST5350285999 CMSX:CENAIDJA 20251129BRINIDJA010O9938192143</t>
  </si>
  <si>
    <t>Perpanjangan Kontrak Payung dengan Tsel Sumatera 0125010069, Tix Yogi 06431 MCM InhouseTrf  KE PANTRAVEL</t>
  </si>
  <si>
    <t>283/PCMI/AR/XI/2025</t>
  </si>
  <si>
    <t>286/PCMI/AR/XI/2025</t>
  </si>
  <si>
    <t>281/PCMI/AR/XI/2025</t>
  </si>
  <si>
    <t>289/PCMI/AR/XI/2025</t>
  </si>
  <si>
    <t>240/2023</t>
  </si>
  <si>
    <t>Byr AP Loan DH OCBC  NISPIDJA/DAVID HARSAMTO - BCA Juanda 8-Oct</t>
  </si>
  <si>
    <t>Dipinjam PCMI  - MARGARETA YOVITA SEP</t>
  </si>
  <si>
    <t>Ttelkomsel PRAYITNO : Larissa Entertainment : 285/PCMI/AR/XI/2025 : Telkomsel Program Workshop SubDir Sales Strategy Group - Add Cost 2021</t>
  </si>
  <si>
    <t>SPM NO 0469930 Transfer  DARI TIMAH TBK 16900</t>
  </si>
  <si>
    <t>276/2025 : KBUMN NATAL 2024 Tanggal 7-Nop-2025</t>
  </si>
  <si>
    <t xml:space="preserve">249/2024 : PLN Indonesia Power Inpower Festival </t>
  </si>
  <si>
    <t>192/2024 : Telkomsel Racing – Pinjam Paket 2024.</t>
  </si>
  <si>
    <t>268/2024 : Telkomsel Pembahasan Vandalisme Area Sumatera Bulan Juli 2024</t>
  </si>
  <si>
    <t>216/2024 : Telkomsel Reward Prog Racing Sellout Goes To Bali</t>
  </si>
  <si>
    <t>236/2024 : Telkomsel Event Musik Sekolah A2</t>
  </si>
  <si>
    <t>280/2024 : Telkomsel Signing PKS NGPP Vol.3 Sumatera</t>
  </si>
  <si>
    <t>207/2024 : Telkomsel Lets Win Costumers Trust Batam</t>
  </si>
  <si>
    <t>277/2024 : Telkomsel Defend Our Dominance Socialization 2024</t>
  </si>
  <si>
    <t>284/2024 : Telkomsel Meeting Koordinasi GA Semester 1 2024</t>
  </si>
  <si>
    <t>283/2024 : Telkomsel Mentawai Merdeka Sinyal</t>
  </si>
  <si>
    <t>235/2024 : Telkomsel Winning Strenghten Mobile &amp; Expand Fixed Penetration</t>
  </si>
  <si>
    <t>279/2024 : Telkomsel Safari Ramadhan Sumbagteng</t>
  </si>
  <si>
    <t>209/2024 : Telkomsel Meeting Evaluasi Sem I 2024</t>
  </si>
  <si>
    <t>194/2024 : Telkomsel CGBA Last Quartal 2024</t>
  </si>
  <si>
    <t>276/2024 : Telkomsel Leadership Area Sumatera</t>
  </si>
  <si>
    <t xml:space="preserve">217/2023 : Telkomsel Market Visit Initiative Program Q3 </t>
  </si>
  <si>
    <t>202/2024 : Telkomsel Aquabike Toba 2024</t>
  </si>
  <si>
    <t>201/2024 : Telkomsel JPP 2025 Sumatera Heart</t>
  </si>
  <si>
    <t>224/2024 : Telkomsel Leadership Area Sumatera</t>
  </si>
  <si>
    <t>237/2024 : Telkomsel Mentawai Merdeka Sinyal</t>
  </si>
  <si>
    <t>229/2024 : Telkomsel Hari Koperasi Nasional, Batam 2024</t>
  </si>
  <si>
    <t>151/2024 : PLN Indonesia Power PIKK Festival Bazaar UMKM</t>
  </si>
  <si>
    <t>153/2024 : Telkomsel BM Recovery &amp; Fundamentals Q3</t>
  </si>
  <si>
    <t>275/2024 : Telkomsel Alignment Revenue Sumatera</t>
  </si>
  <si>
    <t>232/2024 : Telkomsel API Sales Racing Program</t>
  </si>
  <si>
    <t>213/2024 : Telkomsel Lets Win Costumers Trust Batam</t>
  </si>
  <si>
    <t>276/PCMI/AR/XI/2025</t>
  </si>
  <si>
    <t>277/PCMI/AR/XI/2025</t>
  </si>
  <si>
    <t>124/2024 : Telkomsel Town Hall Sales 2024</t>
  </si>
  <si>
    <t>278/PCMI/AR/XI/2025</t>
  </si>
  <si>
    <t>280/PCMI/AR/XI/2025</t>
  </si>
  <si>
    <t>Bank Tabungan Negara (Persero) Tbk PT</t>
  </si>
  <si>
    <t>BTN Rapat Kerja Himbara dan BSI Economic Outlook 2025</t>
  </si>
  <si>
    <t>282/PCMI/AR/XI/2025</t>
  </si>
  <si>
    <t>Bank Negara Indonesia (Persero) Tbk PT</t>
  </si>
  <si>
    <t>BNI Rapat Kerja Himbara dan BSI Economic Outlook 2025</t>
  </si>
  <si>
    <t>284/PCMI/AR/XI/2025</t>
  </si>
  <si>
    <t>285/PCMI/AR/XI/2025</t>
  </si>
  <si>
    <t>Other Income : Add Cost Proyek 2021 : Telkomsel Program Workshop SubDir Sales Strategy Group</t>
  </si>
  <si>
    <t>287/PCMI/AR/XI/2025</t>
  </si>
  <si>
    <t>231/2024 : Telkomsel Hear Me at GraPARI</t>
  </si>
  <si>
    <t>288/PCMI/AR/XI/2025</t>
  </si>
  <si>
    <t>290/PCMI/AR/XI/2025</t>
  </si>
  <si>
    <t>141/2024 : Telkomsel PON XXI Aceh Sumut 2024 (Bang Hadi)</t>
  </si>
  <si>
    <t>Bank Syariah Indonesia</t>
  </si>
  <si>
    <t>BSI Rapat Kerja Himbara dan BSI Economic Outlook 2025</t>
  </si>
  <si>
    <t>294/PCMI/AR/XI/2025</t>
  </si>
  <si>
    <t>203/2024 : Telkomsel Support and Recovery Impact FMC Migrasi Sumatera</t>
  </si>
  <si>
    <t>295/PCMI/AR/XI/2025</t>
  </si>
  <si>
    <t>238/2024 : Telkomsel Focus Action Sumatera</t>
  </si>
  <si>
    <t>296/PCMI/AR/XI/2025</t>
  </si>
  <si>
    <t>142/2024 : Telkomsel PON XXI - Sumut Aceh</t>
  </si>
  <si>
    <t>297/PCMI/AR/XI/2025</t>
  </si>
  <si>
    <t>143/2024 : Telkomsel Prestige Batam 2024</t>
  </si>
  <si>
    <t>PPh-23 Bukti Potong 2025</t>
  </si>
  <si>
    <t>214/PCMI/AR/XI/2025 BY PARTISIPASI RAPAT Kredit SAP 99999</t>
  </si>
  <si>
    <t xml:space="preserve">TSel Reach Beyond Ar 06594  MCM InhouseTrf  KE PANTRAVEL </t>
  </si>
  <si>
    <t xml:space="preserve">TSel Gamification Q406684  BNINIDJA/SAMUEL EP IROOTH </t>
  </si>
  <si>
    <t xml:space="preserve">20251201BMRIIDJA010O9938356239 </t>
  </si>
  <si>
    <t>TSel Reach Beyond Ar06449  BSMDIDJA/AULIA AYU ASYURA</t>
  </si>
  <si>
    <t xml:space="preserve">TSel Reach Beyond Ar 06623  MCM InhouseTrf  KE PANTRAVEL </t>
  </si>
  <si>
    <t xml:space="preserve">20251201BMRIIDJA010O9938356241  </t>
  </si>
  <si>
    <t xml:space="preserve">TSel Reach Beyond Ar06558  BSMDIDJA/AULIA AYU ASYURA </t>
  </si>
  <si>
    <t xml:space="preserve">20251201BMRIIDJA010O9938356243  </t>
  </si>
  <si>
    <t xml:space="preserve">TSel Reach Beyond Ar06601 BSMDIDJA/AULIA AYU ASYURA </t>
  </si>
  <si>
    <t xml:space="preserve">20251201BMRIIDJA010O9938356245 </t>
  </si>
  <si>
    <t>OCBC Visa JT-4Dec NISPIDJA/DAVID HARSAMTO</t>
  </si>
  <si>
    <t>20251202BMRIIDJA010O9938426939</t>
  </si>
  <si>
    <t>20251202CENAIDJA010O0130248914  CENAIDJA/PAN CONVINCE MITRA INTER 5350285999</t>
  </si>
  <si>
    <t xml:space="preserve">UOB Master JT-8Dec  BBIJIDJA/DAVID HARSAMTO </t>
  </si>
  <si>
    <t xml:space="preserve">20251202BMRIIDJA010O9938433841 </t>
  </si>
  <si>
    <t xml:space="preserve">DBS Visa White JT-5D  DBSBIDJA/DAVID HARSAMTO </t>
  </si>
  <si>
    <t xml:space="preserve">20251202BMRIIDJA010O9938434001  </t>
  </si>
  <si>
    <t>20251202CENAIDJA010O0132370814  CENAIDJA/PAN CONVINCE MITRA INTER 5350285999</t>
  </si>
  <si>
    <t>Mandiri Visa JT-11De  MCM InhouseTrf  KE DAVID HARSAMTO</t>
  </si>
  <si>
    <t xml:space="preserve">Byr AP Loan 2Oct Man  BBBAIDJA/MARGARETA YOVITA SEPTIANA </t>
  </si>
  <si>
    <t xml:space="preserve">20251203BMRIIDJA010O9938751827  </t>
  </si>
  <si>
    <t xml:space="preserve">Byr AP Loan 1OCT Man   BBBAIDJA/MARGARETA YOVITA SEPTIANA </t>
  </si>
  <si>
    <t xml:space="preserve">20251203BMRIIDJA010O9938751836  </t>
  </si>
  <si>
    <t xml:space="preserve">L48Sxq PD 539695104  MCM InhouseTrf  DARI SINAR DIGITAL TERDEP </t>
  </si>
  <si>
    <t xml:space="preserve">20251204BMRIIDJA010O9930083636  </t>
  </si>
  <si>
    <t xml:space="preserve">Byr AP Loan 10Nop M MARGARETA YOVITA SEPTIANA 9835955203 </t>
  </si>
  <si>
    <t>RTGS Fee  202512041204998594  PAN CONVINCE MITRA I</t>
  </si>
  <si>
    <t xml:space="preserve">20251204BMRIIDJA010O9930083644  </t>
  </si>
  <si>
    <t>PBY SPON OUTLOKBSIFKA/0082A/CS G???27/2512020213-1/ID0010001-80 PT PAN CONVINCE MITRA INTERNATIONAL</t>
  </si>
  <si>
    <t>238/PCMI/AR/XII/2025</t>
  </si>
  <si>
    <t>DBS Visa</t>
  </si>
  <si>
    <t>Linda Mora Siregar, Telkomsel Medan</t>
  </si>
  <si>
    <t>Add Cost Pengadaan untuk Meeting Vandalism Area Sumatera</t>
  </si>
  <si>
    <t>291/PCMI/AR/XI/2025</t>
  </si>
  <si>
    <t>291/PCMI/AR/XI/2-25</t>
  </si>
  <si>
    <t xml:space="preserve">Reimb Kas Kecil FRIDA ACHMADI  </t>
  </si>
  <si>
    <t xml:space="preserve">BI-FAST DB TRANSFER   KE 011 I MADE ARYAWAN  KBB  </t>
  </si>
  <si>
    <t xml:space="preserve">BI-FAST DB BIAYA TXN  KE 011 I MADE ARYAWAN  KBB  </t>
  </si>
  <si>
    <t xml:space="preserve">Pembayaran KSEI 193/PCMI/AR/XI/202  KUSTODIAN SENTRAL </t>
  </si>
  <si>
    <t xml:space="preserve">BRI Kunker Bogor Genset 40Kva  HERMAWAN </t>
  </si>
  <si>
    <t xml:space="preserve">BRI KunKer Bogor Gardening Pullman  HARTONO </t>
  </si>
  <si>
    <t xml:space="preserve">PYC Talks Switcher+Kabel  WIDI SURYA BUDIANA </t>
  </si>
  <si>
    <t xml:space="preserve">Mandiri FGD Banten Gardening JHL 7Nop  HARTONO </t>
  </si>
  <si>
    <t>237/2023</t>
  </si>
  <si>
    <t>217/2023</t>
  </si>
  <si>
    <t>MANDIRI MP</t>
  </si>
  <si>
    <t>240/2023 : Telkomsel Pembiayaan IBOS Q3 2023</t>
  </si>
  <si>
    <t>penyewaan ruangan fullday meeting TLT Lt 7 tgl 29 April 2025 : Indofood Court</t>
  </si>
  <si>
    <t xml:space="preserve">Transport PIC (Rumah-Bandara Juanda) </t>
  </si>
  <si>
    <t>Cetak Kupon Pasar Murah</t>
  </si>
  <si>
    <t>Transport PIC (John Hotel Kupang-Venue)</t>
  </si>
  <si>
    <t>Over bagasi 14Kg</t>
  </si>
  <si>
    <t>Plastic wrapped</t>
  </si>
  <si>
    <t>Transport PIC (Venue-Mandiri Area Kupang)</t>
  </si>
  <si>
    <t>Transport PIC (Mandiri Area Kupang-Venue)</t>
  </si>
  <si>
    <t>Transport PIC (Venue-John Hotel)</t>
  </si>
  <si>
    <t>Transport PIC (John Hotel-Venue)</t>
  </si>
  <si>
    <t>Transport PIC (Venue-Mandiri Area)</t>
  </si>
  <si>
    <t>Transport PIC (Mandiri Area-Venue)</t>
  </si>
  <si>
    <t>Beli trash bag untuk tambahan</t>
  </si>
  <si>
    <t>Payment MC rekomendasi area (MC Hilmy Mokhsi)</t>
  </si>
  <si>
    <t>Beli 10 tambahan hadiah rekomendasi Corsec (Mas Vinno)</t>
  </si>
  <si>
    <t>Transport PIC (Bandara Juanda-Stasiun Gubeng)</t>
  </si>
  <si>
    <t>SISA CA-106     MARIA PATRICIA SUG,</t>
  </si>
  <si>
    <t>Transport Bandara termasuk tol</t>
  </si>
  <si>
    <t>Transport Hotel - Warkop</t>
  </si>
  <si>
    <t>Transport  Warkop - Hotel</t>
  </si>
  <si>
    <t>Transport Hotel - Kantor Bank Mandiri</t>
  </si>
  <si>
    <t>Transport Kantor Bank Mandiri - Hotel</t>
  </si>
  <si>
    <t>Transport Hotel - Venue</t>
  </si>
  <si>
    <t>Plastik Zipper UMKM</t>
  </si>
  <si>
    <t>Lakban Biru</t>
  </si>
  <si>
    <t>Lakban Silver</t>
  </si>
  <si>
    <t>Lakban Hitam</t>
  </si>
  <si>
    <t>Lakban Kertas</t>
  </si>
  <si>
    <t>Police Line</t>
  </si>
  <si>
    <t>Tom &amp; Jerry 121</t>
  </si>
  <si>
    <t>Kertas A4</t>
  </si>
  <si>
    <t>Trash Bag</t>
  </si>
  <si>
    <t>Transport Hotel Bandara</t>
  </si>
  <si>
    <t>Tol Bandara</t>
  </si>
  <si>
    <t>Parkir Bandara</t>
  </si>
  <si>
    <t>Pembayaran Band Local Pasar Murah Semarang</t>
  </si>
  <si>
    <t>Pembayaran MC</t>
  </si>
  <si>
    <t>CA-116/25 Lita</t>
  </si>
  <si>
    <t>Pembayaran service transport Hiace &amp; extra hours di Fukuoka Japan (10-Nov-2025</t>
  </si>
  <si>
    <t xml:space="preserve">BRI FGD Semarang </t>
  </si>
  <si>
    <t>BRI FGD Semarang</t>
  </si>
  <si>
    <t>Mutasi BCA Sahardjo 2025</t>
  </si>
  <si>
    <t>AP Expense         DAVID HARSAMTO,</t>
  </si>
  <si>
    <t>KBUMN Perayaan Natal Bersama 2023</t>
  </si>
  <si>
    <t xml:space="preserve">KSEI StakeholderSeminar 2020 Ongkir GoodieBags BPW SAHADEWA BASUN  </t>
  </si>
  <si>
    <t xml:space="preserve">Honorarium Design Bids BRI RUPST 25 HARRY PRAMBUDIO  </t>
  </si>
  <si>
    <t>BRI FGD komisi XI, 0 MCM InhouseTrf  KE PANTRAVEL --&gt; WA Praja 7-Dec-25 salah sales code, seharusnya BRI FGD Semarang</t>
  </si>
  <si>
    <t>KBUMN Natal DP VS Band VIKY SIANIPAR PT : Rp, 133.200.000 : PPn Masukan</t>
  </si>
  <si>
    <t>212/PCMI/AR/X/2025</t>
  </si>
  <si>
    <t>PT. Shell Indonesia</t>
  </si>
  <si>
    <t>Private Trip Shell MotoGP Sepang (24 - 26 Oct 2025) &amp; Shell Jepang - Fukuoka (09 - 13 Nov 2025)</t>
  </si>
  <si>
    <t>223/PCMI/AR/III/2025</t>
  </si>
  <si>
    <t>225/PCMI/AR/IV/2025</t>
  </si>
  <si>
    <t>269/PCMI/AR/XII/2025</t>
  </si>
  <si>
    <t>Pengadaan Program Alignment SIFA Mobile &amp; Fixed</t>
  </si>
  <si>
    <t>292/PCMI/AR/XI/2-26</t>
  </si>
  <si>
    <t>293/PCMI/AR/XI/2-27</t>
  </si>
  <si>
    <t>MANDIRI Mid Plaza</t>
  </si>
  <si>
    <t>IDX ICME Tokyo</t>
  </si>
  <si>
    <t>CA-097/25 Frieda - Kurang Bayar</t>
  </si>
  <si>
    <t>Non Cash Bank 2025</t>
  </si>
  <si>
    <t>CA-94/25 Rizky</t>
  </si>
  <si>
    <t>CA-111/25 Analita</t>
  </si>
  <si>
    <t>PPh-25 Pajak Badan SPT Th 2024</t>
  </si>
  <si>
    <t>PPh-25</t>
  </si>
  <si>
    <t>Pelunasan Pajak Badan SPT 2024</t>
  </si>
  <si>
    <t>PPh-23 Tahun 2025</t>
  </si>
  <si>
    <t>Previous years</t>
  </si>
  <si>
    <t>TARIKAN TUNAI : Pajak Deviden</t>
  </si>
  <si>
    <t>BRI Kunker Bogor DPR KOM XI</t>
  </si>
  <si>
    <t>BNINIDJA010O0240350233 BNINIDJA/HADI PRASTYA UTAMA 227848114 : Retur Tsel Market Validation BKL-MRE (WA Yogi 29Nop)</t>
  </si>
  <si>
    <t xml:space="preserve">pasar murah region 2   MCM InhouseTrf  DARI HENDRA WAHYUDI </t>
  </si>
  <si>
    <t>setor tunai uang sembako plm  ako plm MCM InhouseTrf  DARI ANALITA YULISTYA C</t>
  </si>
  <si>
    <t xml:space="preserve">SembakoPasarMurahSurabayaRegVIII  bayaRegVIII  MCM InhouseTrf  DARI BILLY GAUTAMA </t>
  </si>
  <si>
    <t xml:space="preserve">Uang sembako Mandiri jakarta  MCM InhouseTrf  DARI RIAN KARTIKA </t>
  </si>
  <si>
    <t xml:space="preserve">Pasar Murah Mandiri Bdg Rajavisi MCM InhouseTrf  DARI HASNA MEGAWATY AGUSTINA </t>
  </si>
  <si>
    <t xml:space="preserve">Sembako pasar murah MCM InhouseTrf  DARI NELFI OKMITA </t>
  </si>
  <si>
    <t xml:space="preserve">uang sembako mandiri medan   MCM InhouseTrf  DARI FERA NELFIANTI </t>
  </si>
  <si>
    <t>286/2024 : PLN Indonesia Power PIKK Festival Bazaar UMKM</t>
  </si>
  <si>
    <t>288/2024 : PLN Indonesia Power PIKK Festival Bazaar UMKM</t>
  </si>
  <si>
    <t>223/2024 : PLN NP Up Teluk KalTim Capacity Building</t>
  </si>
  <si>
    <t>225/2024 : PLN NP Up Teluk KalTim Capacity Building</t>
  </si>
  <si>
    <t>BRI Kunjungan Kerja Bogor DPR Komisi XI</t>
  </si>
  <si>
    <t>BSI Kunjungan Kerja BAKN Pangkal Pinang</t>
  </si>
  <si>
    <t>Himbara Kunjungan Kerja Bali Bajo</t>
  </si>
  <si>
    <t>HIMBARA Kunjungan Kerja Batam BRI dan BTN</t>
  </si>
  <si>
    <t>HIMBARA Kunjungan Kerja Bali Bajo</t>
  </si>
  <si>
    <t>HIMBARA FGD Semarang</t>
  </si>
  <si>
    <t>HIMBARA FGD Balikpapan</t>
  </si>
  <si>
    <t>Telkomsel Campaign Pelanggan Prestige MyAds SBT</t>
  </si>
  <si>
    <t>Support Campaign Pelanggan Prestige MyAds SBT</t>
  </si>
  <si>
    <t>BUNGA</t>
  </si>
  <si>
    <t>PAJAK BUNGA</t>
  </si>
  <si>
    <t>BTN FGD CirebonKXISPJ 3D +Meals     MARIA PATRICIA SUG,</t>
  </si>
  <si>
    <t>BSI KunKer BAKN PPSPJ 3D + Meals    MARIA PATRICIA SUG,</t>
  </si>
  <si>
    <t>BRI KunKerBogorDPRSPJ 2D +Meals     MARIA PATRICIA SUG,</t>
  </si>
  <si>
    <t>BRI FGD Semarang  SPJ 3D + Meals    MARIA PATRICIA SUG,</t>
  </si>
  <si>
    <t>MANDIRI FGD BantenSPJ 2D + Meals    MARIA PATRICIA SUG,</t>
  </si>
  <si>
    <t>BRI FGD Smg Kom XISPJ 2D+Meals      M RIZKY AULIA,</t>
  </si>
  <si>
    <t>BRI KunKerBogorDPRSPJ 2D+Meals      ALEXADRUS NULIADY,</t>
  </si>
  <si>
    <t>BRI FGD Semarang  SPJ 3+Meals       ALEXADRUS NULIADY,</t>
  </si>
  <si>
    <t>MANDIRI FGD BantenSPJ 2D+Meals      ALEXADRUS NULIADY,</t>
  </si>
  <si>
    <t>BRI KunKerBogorDPRSPJ 2D + Meals    ANALITA YULISTYA C,</t>
  </si>
  <si>
    <t>BRI FGD Smg KomXI SPJ 2D + Meals    ANALITA YULISTYA C,</t>
  </si>
  <si>
    <t>BSI KunKer BAKN PPSPJ 2D+Meals      ANALITA YULISTYA C,</t>
  </si>
  <si>
    <t>BRI FGD Semarang  SPJ 3D + Meals    ANALITA YULISTYA C,</t>
  </si>
  <si>
    <t>MANDIRI FGD BantenSPJ 2D + Meals    ANALITA YULISTYA C,</t>
  </si>
  <si>
    <t>MANDIRI FGD BantenSPJ 1D 6Nop       SUPRIYADI,</t>
  </si>
  <si>
    <t>BI-FAST CR TRANSFER   DR 008 PAN CONVINCE MITRA, 17-Oct Sembako Makasar</t>
  </si>
  <si>
    <t>Sembako Mandiri Pasar Murah</t>
  </si>
  <si>
    <t>Makasar</t>
  </si>
  <si>
    <t>BI-FAST CR TRANSFER   DR 008 PAN CONVINCE MITRA, 15-Oct Sembako Samarinda</t>
  </si>
  <si>
    <t>Samarinda</t>
  </si>
  <si>
    <t>BI-FAST CR TRANSFER   DR 008 PAN CONVINCE MITRA, Sembako Medan</t>
  </si>
  <si>
    <t>Medan</t>
  </si>
  <si>
    <t>BI-FAST CR TRANSFER   DR 008 PAN CONVINCE MITRA, 14-Oct Sembako Semarang</t>
  </si>
  <si>
    <t>BI-FAST CR TRANSFER   DR 008 PAN CONVINCE MITRA, 14-Oct Sembako Surabaya</t>
  </si>
  <si>
    <t>Surabaya</t>
  </si>
  <si>
    <t>Semarang</t>
  </si>
  <si>
    <t>BI-FAST CR TRANSFER   DR 008 PAN CONVINCE MITRA, Sembako Palembang</t>
  </si>
  <si>
    <t>Palembang</t>
  </si>
  <si>
    <t>BI-FAST CR TRANSFER   DR 008 PAN CONVINCE MITRA, Sembako Bandung</t>
  </si>
  <si>
    <t>Bandung</t>
  </si>
  <si>
    <t>BI-FAST CR TRANSFER   DR 008 PAN CONVINCE MITRA, Sembako Jayapura</t>
  </si>
  <si>
    <t>Jayapura</t>
  </si>
  <si>
    <t>Kupang</t>
  </si>
  <si>
    <t>Jakarta</t>
  </si>
  <si>
    <t>BI-FAST CR TRANSFER   DR 008 PAN CONVINCE MITRA, 14-Oct Sembako Jakarta</t>
  </si>
  <si>
    <t>TSel Reach Beyond Ar 06603   BSMDIDJA/AULIA AYU ASYURA</t>
  </si>
  <si>
    <t xml:space="preserve">20251205BMRIIDJA010O9930605466  </t>
  </si>
  <si>
    <t xml:space="preserve">Yogi sewa Avansa Per 06672  MCM InhouseTrf  KE RAHMAD RIVANDA DEWRO BANGUN </t>
  </si>
  <si>
    <t>TSel Gamification Q406685  BNINIDJA/NISA FATIMAH ALAWIYAH</t>
  </si>
  <si>
    <t xml:space="preserve">20251205BMRIIDJA010O9930605468 </t>
  </si>
  <si>
    <t xml:space="preserve">TSel Reach Beyond Ar 06602  BSMDIDJA/AULIA AYU ASYURA </t>
  </si>
  <si>
    <t xml:space="preserve">20251205BMRIIDJA010O9930605470  </t>
  </si>
  <si>
    <t>AP Retur Sembako Man BIFAST Out CS-GL  CENAIDJA/RD HIDIANITJE DRA</t>
  </si>
  <si>
    <t xml:space="preserve">20251211BMRIIDJA010O9931814261 BIFAST Out CS-GL  </t>
  </si>
  <si>
    <t>Retur AP Sembako Man BIFAST Out CS-GL  CENAIDJA/RD HIDIANITJE DRA</t>
  </si>
  <si>
    <t xml:space="preserve">20251211BMRIIDJA010O9931815541 BIFAST Out CS-GL  </t>
  </si>
  <si>
    <t xml:space="preserve">20251211BMRIIDJA010O9931815545 BIFAST Out CS-GL  </t>
  </si>
  <si>
    <t xml:space="preserve">20251211BMRIIDJA010O9931820148 BIFAST Out CS-GL  </t>
  </si>
  <si>
    <t xml:space="preserve">20251211BMRIIDJA010O9931820307 BIFAST Out CS-GL  </t>
  </si>
  <si>
    <t xml:space="preserve">20251211BMRIIDJA010O9931822872 BIFAST Out CS-GL  </t>
  </si>
  <si>
    <t xml:space="preserve">20251211BMRIIDJA010O9931822874 BIFAST Out CS-GL  </t>
  </si>
  <si>
    <t xml:space="preserve">20251211BMRIIDJA010O9931824843 BIFAST Out CS-GL  </t>
  </si>
  <si>
    <t xml:space="preserve">20251211BMRIIDJA010O9931824850 BIFAST Out CS-GL  </t>
  </si>
  <si>
    <t xml:space="preserve">20251211BMRIIDJA010O9931828955 BIFAST Out CS-GL  </t>
  </si>
  <si>
    <t xml:space="preserve">20251211BMRIIDJA010O9931828961 BIFAST Out CS-GL  </t>
  </si>
  <si>
    <t xml:space="preserve">20251211BMRIIDJA010O9931850164 BIFAST Out CS-GL  </t>
  </si>
  <si>
    <t xml:space="preserve">TSel Ground Check Im 06690  MCM InhouseTrf  KE PANTRAVEL </t>
  </si>
  <si>
    <t xml:space="preserve">20251210BMRIIDJA010O9931498320 </t>
  </si>
  <si>
    <t>TSel Focus Act Pay U 06674  BSMDIDJA/AULIA AYU ASYURA</t>
  </si>
  <si>
    <t xml:space="preserve">TSel Reach Beyond Ar 06643 MCM InhouseTrf  KE PANTRAVEL </t>
  </si>
  <si>
    <t xml:space="preserve">20251210BMRIIDJA010O9931498327  </t>
  </si>
  <si>
    <t>TSel Sosialisasi Tra 06686 MCM InhouseTrf  KE FAUZAN ZAMZAMI</t>
  </si>
  <si>
    <t>20251210BMRIIDJA010O9931498333</t>
  </si>
  <si>
    <t xml:space="preserve">TSel Reach Beyond Ar 06673  BSMDIDJA/AULIA AYU ASYURA </t>
  </si>
  <si>
    <t xml:space="preserve">20251210BMRIIDJA010O9931498337 </t>
  </si>
  <si>
    <t xml:space="preserve">TSel Ground Check Im 06645  MCM InhouseTrf  KE PANTRAVEL </t>
  </si>
  <si>
    <t>TSel Reach Beyond Ar 06692 MCM InhouseTrf  KE PANTRAVEL</t>
  </si>
  <si>
    <t xml:space="preserve">20251210BMRIIDJA010O9931498339  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</si>
  <si>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</si>
  <si>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</si>
  <si>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</si>
  <si>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</si>
  <si>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 xml:space="preserve">Retur AP Sembako Man  CENAIDJA/RD HIDIANITJE DRA </t>
  </si>
  <si>
    <t xml:space="preserve">20251210BMRIIDJA010O9931668875   </t>
  </si>
  <si>
    <t>Retur AP Sembako Man    CENAIDJA/RD HIDIANITJE DRA</t>
  </si>
  <si>
    <t xml:space="preserve">20251210BMRIIDJA010O9931668879    </t>
  </si>
  <si>
    <t xml:space="preserve">20251210BMRIIDJA010O9931668891   </t>
  </si>
  <si>
    <t>Retur AP Sembako Man CENAIDJA/RD HIDIANITJE DRA</t>
  </si>
  <si>
    <t xml:space="preserve">20251210BMRIIDJA010O9931668897 </t>
  </si>
  <si>
    <t>Overtime Nop SUPRIYADI</t>
  </si>
  <si>
    <t>Overtime Nop MUHAMMAD UJER AWAL</t>
  </si>
  <si>
    <t>Overtime Nop SUKANDA</t>
  </si>
  <si>
    <t>Overtime Nop DUN SOPANDI</t>
  </si>
  <si>
    <t>Byr AP Loan 9-Oct DAVID HARSAMTO,</t>
  </si>
  <si>
    <t>Byr AP Loan 12-NopNY NURLAILA HUTABA,</t>
  </si>
  <si>
    <t>Byr AP Loan 20-NopNY NURLAILA HUTABA,</t>
  </si>
  <si>
    <t>Byr AP Loan 25-NopNY NURLAILA HUTABA,</t>
  </si>
  <si>
    <t>Byr AP Loan 28-NopNY NURLAILA HUTABA,</t>
  </si>
  <si>
    <t>LunasAPLoan Dec24 DAVID HARSAMTO,</t>
  </si>
  <si>
    <t>Digibank Payment : DH Double payment from DBS Personal Bank Account</t>
  </si>
  <si>
    <t>Paymt Thru E-Bank/Homeb/Cyberb (Ep25) : DH Double Payment from UOB Personal Account</t>
  </si>
  <si>
    <t xml:space="preserve">    </t>
  </si>
  <si>
    <t>Telkomsel Ground Check Implementasi Program HH GTM</t>
  </si>
  <si>
    <t>TSel Singtel Forum-S06648  BNINIDJA/AZHIRA SALZABILLA MAHESWARI</t>
  </si>
  <si>
    <t>Telkomsel SIngtel Forum - Store in Grapari Singapura Nov 2025</t>
  </si>
  <si>
    <t xml:space="preserve">Bridgestone SupMtg MC FD 10Dec  IKHE MUTIARA 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</si>
  <si>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</si>
  <si>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</si>
  <si>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</si>
  <si>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</si>
  <si>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BRI KunKer Bogor Sounds VimallaHill  ANDRIS JULIA RISWA </t>
  </si>
  <si>
    <t xml:space="preserve">Mandiri FGD Banten LED dan Matador  WIDI SURYA BUDIANA </t>
  </si>
  <si>
    <t xml:space="preserve">CA/122/25 Rizky M RIZKY AULIA  </t>
  </si>
  <si>
    <t xml:space="preserve">Pulsa HP Oct-Dec FRIDA ACHMADI  </t>
  </si>
  <si>
    <t xml:space="preserve">BTN FGD CirebonKXI 35 MicDel 28Nop  ADITYA CHANDRA KUS </t>
  </si>
  <si>
    <t xml:space="preserve">BSIN Supp Mtg Team ShowMgt+VJ  TEUKU DONNYA SYAHP </t>
  </si>
  <si>
    <t xml:space="preserve">BSIN Supp Mtg 2 Ushers 10Dec  DWITA SEPTIANA </t>
  </si>
  <si>
    <t xml:space="preserve">CA-119/25 Patrice MARIA PATRICIA SUG  </t>
  </si>
  <si>
    <t xml:space="preserve">BI-FAST DB TRANSFER   KE 013 MARGARETA YOVITA S  KBB  </t>
  </si>
  <si>
    <t xml:space="preserve">BI-FAST DB BIAYA TXN  KE 013 MARGARETA YOVITA S  KBB  </t>
  </si>
  <si>
    <t xml:space="preserve">279/PCMI/AR/XI/25 PYC Talks x KAMNAS  YAY PURNOMO YUSGIA </t>
  </si>
  <si>
    <t>CA-122 Rizky</t>
  </si>
  <si>
    <t>CA-119 Rizky</t>
  </si>
  <si>
    <t>279/PCMI/AR/XI/25</t>
  </si>
  <si>
    <t>BSIN Supplier Meeting</t>
  </si>
  <si>
    <t xml:space="preserve">Byr AP Loan, NCB 22- CENAIDJA/DAVID HARSAMTO </t>
  </si>
  <si>
    <t xml:space="preserve">20251211BMRIIDJA010O9931985876 </t>
  </si>
  <si>
    <t>Byr AP Loan, NCB 2-J CENAIDJA/DAVID HARSAMTO</t>
  </si>
  <si>
    <t xml:space="preserve">20251211BMRIIDJA010O9931985881 </t>
  </si>
  <si>
    <t>Retur PV 06644 MARIA PATRICIA SUG : WA Pat 13-Dec BRI FGD Semarang Komisi XI</t>
  </si>
  <si>
    <t>Mandiri Plasa M</t>
  </si>
  <si>
    <t>Merch Bm Motor : WA AH 9-Dec - DP Perbaikan kompresor AC  Mercy B 114NNE</t>
  </si>
  <si>
    <t>Chung Gi Wa Restaurant : WA AH 9-Dec - AR Loan AH</t>
  </si>
  <si>
    <t>Paramount Restoran : WA AH 9-Dec - PV 5914 KBUMN Natal 2024</t>
  </si>
  <si>
    <t>Social Affair Jakarta : WA AH 9-Dec - PV 4643 Meals Allowance Meeting System HRIS</t>
  </si>
  <si>
    <t>Merch Bm Motor : WA AH 9-Dec - PV 5916 Pelunasan Perbaikan kompresor AC  Mercy B 114NNE</t>
  </si>
  <si>
    <t>Groovy Clinic : WA AH 9-Dec - AR Loan AH</t>
  </si>
  <si>
    <t>Tokopedia : WA AH 9-Dec - Fraud, No Transaction</t>
  </si>
  <si>
    <t>Yuki Japanes Resto : WA AH 9-Dec - AR Loan AH</t>
  </si>
  <si>
    <t>Agoda.Com Internet Sg : WA AH 9-Dec - PV 5888 PYC IEC 2025 Hotel SICO buat Crew</t>
  </si>
  <si>
    <t xml:space="preserve">CA-097/25 Frieda </t>
  </si>
  <si>
    <t>CA-067 Odhey</t>
  </si>
  <si>
    <t>Grand Indonesia</t>
  </si>
  <si>
    <t>2 0 2 5</t>
  </si>
  <si>
    <t>HRD System</t>
  </si>
  <si>
    <t>iPad</t>
  </si>
  <si>
    <t>Laptop Asus Atno</t>
  </si>
  <si>
    <t>Laptop HP Frieda</t>
  </si>
  <si>
    <t>Laptop HP Reviana</t>
  </si>
  <si>
    <t>Laptop Asus : Atno</t>
  </si>
  <si>
    <t>Laptop HP : Frieda</t>
  </si>
  <si>
    <t>Laptop HP : Reviana</t>
  </si>
  <si>
    <t>Pt. Global Digital Nia Jakarta Pusat : WA AH 15-Dec-25 : PV 04227 : 2 laptop HP Victus incl virus protection : Rp. 24.510.070</t>
  </si>
  <si>
    <t>Laptop Odhey</t>
  </si>
  <si>
    <t>Laptop Rizky</t>
  </si>
  <si>
    <t>Laptop HP : Odhey</t>
  </si>
  <si>
    <t>Laptop HP : Rizky</t>
  </si>
  <si>
    <t>Snapy Tebet : WA FA 15-Dec-25 - PV 04471/ 03Mar 2025 – BTN Mini Olympic</t>
  </si>
  <si>
    <t>Sh1G Midi Menteng Wada : WA FA 15-Dec-25 – PV 04472/ 03 Mar 2025 – BTN Mini Olympic</t>
  </si>
  <si>
    <t>Kd43 Alfamart Sawah Lu : WA FA 15-Dec-25 – PV 04473/ 03Mar 2025 – BTN Mini Olympic</t>
  </si>
  <si>
    <t>Pelita Air-Ipg - FOFRCF tiket an. Wawan, Alya : WA FA 15-Dec-25 – PV 04543/ 13Mar 2025 – Telkomsel Safari Ramadhan BOD Aceh – Pekanbaru 2025</t>
  </si>
  <si>
    <t>Tiket.Com : WA FA 15-Dec-25– PV 05763/ 19Mar 2025 – Telkomsel Delight &amp; Excellent Execution 2025</t>
  </si>
  <si>
    <t>Linktree* Linktree : WA FA 15-Dec-25 – PV 05990/ 16Sep 2025 – KSEI Seminar Emiten</t>
  </si>
  <si>
    <t>Google One : WA FA 15-Dec-25 – PV 05940/ 09Sep 2025 – Pembayaran Google One Panconvince Creative untuk save dan share data creative Akbar</t>
  </si>
  <si>
    <t>Me-Qr.Com-Pembayaran Subscription QR Code ID Card Panconvince - Alex</t>
  </si>
  <si>
    <t>Monitor Samsung 24" + LG 24"</t>
  </si>
  <si>
    <t>QR MOBLE SCANNER ZEBRA TC26 (3 Unit)</t>
  </si>
  <si>
    <t>QR MOBLE SCANNER ZEBRA TC26 (5 Unit)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</si>
  <si>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</si>
  <si>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</si>
  <si>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</si>
  <si>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</si>
  <si>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</si>
  <si>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</si>
  <si>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</si>
  <si>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</si>
  <si>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</si>
  <si>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</si>
  <si>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</si>
  <si>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</si>
  <si>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</si>
  <si>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</si>
  <si>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</si>
  <si>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</si>
  <si>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</si>
  <si>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</si>
  <si>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</si>
  <si>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</si>
  <si>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</si>
  <si>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</si>
  <si>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</si>
  <si>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</si>
  <si>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</si>
  <si>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</si>
  <si>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CA-111/25 Lita  Kurang Bayar</t>
  </si>
  <si>
    <t>Permintaan dari Bapak Adnan</t>
  </si>
  <si>
    <t>Pembayaran Ketua  (1 orang @Rp. 20.000.000)</t>
  </si>
  <si>
    <t>Pembayaran Wakil Ketua (3 orang @Rp. 15.000.000)</t>
  </si>
  <si>
    <t>Pembayaran Anggota (10 orang @Rp. 10.000.000)</t>
  </si>
  <si>
    <t>Pembayaran Setkom, Kasubag (1 orang @Rp. 3.000.000)</t>
  </si>
  <si>
    <t>Pembayaran Setkom, Staff (4 orang @Rp. 2.000.000)</t>
  </si>
  <si>
    <t>Fee MC</t>
  </si>
  <si>
    <t>Souvenir - Macaroni Panggang</t>
  </si>
  <si>
    <t>Souvenir - Roti Unyil (Roti Venus)</t>
  </si>
  <si>
    <t>Print Dokumen (Laporan Komeng)</t>
  </si>
  <si>
    <t>Tipping Hotel</t>
  </si>
  <si>
    <t>Telekomunikasi Team</t>
  </si>
  <si>
    <t>CA-117 Patrice MARIA PATRICIA SUG : Lebih Bayar</t>
  </si>
  <si>
    <t>Pembayaran Pimpinan Rapat (1 orang @Rp. 20.000.000)</t>
  </si>
  <si>
    <t>Permintaan Ibu Helda</t>
  </si>
  <si>
    <t>Pembelian Oleh Oleh Cirebon</t>
  </si>
  <si>
    <t>Reimburs Biaya Bensin dan Tol Alex</t>
  </si>
  <si>
    <t>Beli Makan Loading Day 1 : Rizky, Dimas &amp; Ableh</t>
  </si>
  <si>
    <t>Ganti Uang Makan &amp; Minum Loading Day 1 : Fajar</t>
  </si>
  <si>
    <t>Beli Aqua Galon 10 botol untuk Water Station &amp; 20 Dos Mineral Team</t>
  </si>
  <si>
    <t>Beli Tissue Makan &amp; Trash Bag</t>
  </si>
  <si>
    <t>Beli Amplop, Lakban dan ATK</t>
  </si>
  <si>
    <t>Beli Bensin Motor Adun untuk Belanja</t>
  </si>
  <si>
    <t>Beli Tissue Basah</t>
  </si>
  <si>
    <t>Beli Tambahan Tissue Basah</t>
  </si>
  <si>
    <t>Beli E-money untuk Gimmick Games 1</t>
  </si>
  <si>
    <t>Beli E-money untuk Gimmick Games 2</t>
  </si>
  <si>
    <t>Beli E-money untuk Gimmick Games 3</t>
  </si>
  <si>
    <t>Beli E-money untuk Gimmick Games 4</t>
  </si>
  <si>
    <t>Beli E-money untuk Gimmick Games 5</t>
  </si>
  <si>
    <t>Beli E-money untuk Gimmick Games 6</t>
  </si>
  <si>
    <t>Beli E-money untuk Gimmick Games 7</t>
  </si>
  <si>
    <t>Beli E-money untuk Gimmick Games 8</t>
  </si>
  <si>
    <t>Beli E-money untuk Gimmick Games 9</t>
  </si>
  <si>
    <t>Beli E-money untuk Gimmick Games 10</t>
  </si>
  <si>
    <t>Beli E-money untuk Gimmick Games 11</t>
  </si>
  <si>
    <t>Beli E-money untuk Gimmick Games 12</t>
  </si>
  <si>
    <t>Beli E-money untuk Gimmick Games 13</t>
  </si>
  <si>
    <t>Beli E-money untuk Gimmick Games 14</t>
  </si>
  <si>
    <t>Beli E-money untuk Gimmick Games 15</t>
  </si>
  <si>
    <t>Beli E-money untuk Gimmick Games 16</t>
  </si>
  <si>
    <t>Beli E-money untuk Gimmick Games 17</t>
  </si>
  <si>
    <t>Beli E-money untuk Gimmick Games 18</t>
  </si>
  <si>
    <t>Beli E-money untuk Gimmick Games 19</t>
  </si>
  <si>
    <t>Beli E-money untuk Gimmick Games 20</t>
  </si>
  <si>
    <t>Print Art Paper &amp; Signage Polyfoam</t>
  </si>
  <si>
    <t>Print Signage Banner &amp; Flag Chain</t>
  </si>
  <si>
    <t>Lalamove Loading Barang</t>
  </si>
  <si>
    <t>Bayar Transport untuk Pengankutan Tanah / Puing Lapangan</t>
  </si>
  <si>
    <t>Beli Air Minum dan Makan Team Kuli Angkut Loading Sembako</t>
  </si>
  <si>
    <t xml:space="preserve">Beli Mineral, Kopi &amp; Gorengan Team Loading </t>
  </si>
  <si>
    <t>Beli Makan Team Loading Day 2</t>
  </si>
  <si>
    <t xml:space="preserve">Go Food Makan Loading Day 2 : Rizky, Dimas, Alex &amp; Age </t>
  </si>
  <si>
    <t>Gosend Mahkota Printing</t>
  </si>
  <si>
    <t>Beli Tambahan 5 Dos Mineral</t>
  </si>
  <si>
    <t>Beli Karet Gelang untuk Ikat Uang Cashier</t>
  </si>
  <si>
    <t>Beli Minum / Refreshment untuk Settlement Cashier</t>
  </si>
  <si>
    <t>Beli Tambahan Ikan untuk Kolam Pancing Kids Corner</t>
  </si>
  <si>
    <t>Biaya Kebersihan &amp; Keamanan Venue Mandiri Nawasena</t>
  </si>
  <si>
    <t>Top Up Flazz untuk tol dan Parkir Rizky</t>
  </si>
  <si>
    <t>CA-94/25 Rizky M RIZKY AULIA : Lebih Bayar</t>
  </si>
  <si>
    <t>226/PCMI/AR/XII/2025</t>
  </si>
  <si>
    <t>BRI Support Event DWP BKN</t>
  </si>
  <si>
    <t>268/PCMI/AR/XII/2025</t>
  </si>
  <si>
    <t>Pengadaan untuk Telkomsel Event Market Recovery &amp; City Fokus Q3</t>
  </si>
  <si>
    <t>228/PCMI/AR/XII/2025</t>
  </si>
  <si>
    <t>Pengadaan untuk MICE Piala byU Q2 2025</t>
  </si>
  <si>
    <t>Telkomsel MICE Piala byU Q2 2025</t>
  </si>
  <si>
    <t>253/PCMI/AR/XII/2025</t>
  </si>
  <si>
    <t>231/PCMI/AR/XI/2024 = 287/PCMI/AR/XI/2025</t>
  </si>
  <si>
    <t>141/PCMI/AR/IX/2024 = 290/PCMI/AR/XI/2025</t>
  </si>
  <si>
    <t>203/PCMI/AR/IX/2024 = 294/PCMI/AR/XI/2025</t>
  </si>
  <si>
    <t>238/PCMI/AR/XI/2024 = 295/PCMI/AR/XI/2025</t>
  </si>
  <si>
    <t>142/PCMI/AR/IX/2024 = 296/PCMI/AR/XI/2025</t>
  </si>
  <si>
    <t>143/PCMI/AR/IX/2024 = 297/PCMI/AR/XI/2025</t>
  </si>
  <si>
    <t>124/PCMI/AR/VI/2024 = 277/PCMI/AR/XI/2025</t>
  </si>
  <si>
    <t>286/PCMI/AR/XII/2024 : 292/PCMI/AR/XI/2-26</t>
  </si>
  <si>
    <t>288/PCMI/AR/XII/2024 = 293/PCMI/AR/XI/2-27</t>
  </si>
  <si>
    <t>BSIN Supplier Mtg SPJ 1D 10Des      FRIDA ACHMADI,</t>
  </si>
  <si>
    <t>BSIN Supplier Mtg SPJ 1D 10Des      MUHAMMAD UJER AWAL,</t>
  </si>
  <si>
    <t>BSIN Supplier Mtg SPJ 1D 10 Des     ADUN SOPANDI,</t>
  </si>
  <si>
    <t>BSIN Supplier Mtg SPJ 2D 10Des      SUPRIYADI,</t>
  </si>
  <si>
    <t xml:space="preserve">Retour Sisa CA 001 17  MARIA PATRICIA SUG </t>
  </si>
  <si>
    <t xml:space="preserve">Retur sisa CA 0012 3  MARIA PATRICIA SUG </t>
  </si>
  <si>
    <t xml:space="preserve">BI-FAST CR TRANSFER   DR 501 Alexadrus Nuliady    </t>
  </si>
  <si>
    <t xml:space="preserve">Gudang PCMI 2026 DWI SARYANTO  </t>
  </si>
  <si>
    <t xml:space="preserve">BSIN Supplier Mtg Dokumentasi 10Des  KATHERIN VICENTIA </t>
  </si>
  <si>
    <t xml:space="preserve">BRI HUT DWP NarasumberAyahEdy  EDY WIYONO </t>
  </si>
  <si>
    <t xml:space="preserve">BSIN Supplier Mtg Crew 1D 10Des  IIR IRMANSYAH </t>
  </si>
  <si>
    <t xml:space="preserve">BSIN  Supplier Mtg Crew 1D 10Des  RAKA DRAJAT PUTRA </t>
  </si>
  <si>
    <t xml:space="preserve">BSIN Supplier Mtg ProdCrew 2D  R DINAR KUSUMAYANT </t>
  </si>
  <si>
    <t xml:space="preserve">BSIN Supplier Mtg CrewLogistik 2D  MOCH SUPRIYADI </t>
  </si>
  <si>
    <t xml:space="preserve">CA-111/25 Patrice Krg Byr  MARIA PATRICIA SUG </t>
  </si>
  <si>
    <t>Listrik Desember     06768 06768 MCM InhouseTrf CS-CS  KE PANTRAVEL</t>
  </si>
  <si>
    <t>TSel GraPARI TOMO, S06769 BIFAST Out CS-GL  BNINIDJA/BAYU GUSTIANTRI HARIYONO</t>
  </si>
  <si>
    <t xml:space="preserve">20251217BMRIIDJA010O9933212190 BIFAST Out CS-GL  </t>
  </si>
  <si>
    <t>BRI FGD Smg Kom XI,  06778 06778 MCM InhouseTrf CS-CS  KE ROBERTUS BELLARMINO DHANY AS</t>
  </si>
  <si>
    <t>BI-FAST CR TRANSFER  DR 008 PAN CONVINCE MITRA, Sembako Kupang : Rp. 134.757.000</t>
  </si>
  <si>
    <t>Sisa sembako mandiri papua  M RIZKY AULIA : Rp. 4.000.000</t>
  </si>
  <si>
    <t>BRI Peringatan Puncak HUT ke-26 DWP and Hari Ibu ke-97</t>
  </si>
  <si>
    <t>CA-111/25 Lita</t>
  </si>
  <si>
    <t>Sembako Palembang</t>
  </si>
  <si>
    <t>Sembako Jakarta</t>
  </si>
  <si>
    <t>Sembako Jayapura</t>
  </si>
  <si>
    <t>Sembako Kupang : Rp. 134.757.000</t>
  </si>
  <si>
    <t>Sembako Semarang</t>
  </si>
  <si>
    <t>Sembako Medan</t>
  </si>
  <si>
    <t>Sembako Bandung</t>
  </si>
  <si>
    <t>Sembako Samarinda</t>
  </si>
  <si>
    <t>Sembako Surabaya</t>
  </si>
  <si>
    <t>Sembako Makasar</t>
  </si>
  <si>
    <t>Sisa sembako Jayapura</t>
  </si>
  <si>
    <t>Sisa sembako mandiri papua  M RIZKY AULIA : Rp. 4.000.000, Sembako Jayapura</t>
  </si>
  <si>
    <t>CA-123/25 Patrice</t>
  </si>
  <si>
    <t>CA-123/25 BRINIDJA/MARIA PATRICIA SUGAM</t>
  </si>
  <si>
    <t>CA-123/25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</si>
  <si>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</si>
  <si>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</si>
  <si>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</si>
  <si>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</si>
  <si>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</si>
  <si>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</si>
  <si>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</si>
  <si>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</si>
  <si>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</si>
  <si>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</si>
  <si>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Pimpinan Rapat (3 orang) @15,000,000 x 2</t>
  </si>
  <si>
    <t>Anggota (17 orang) @10,000,000 x 2</t>
  </si>
  <si>
    <t>Setkom, Kabag (1 orang)</t>
  </si>
  <si>
    <t>Setkom, Staff (4 orang) @2,000,000</t>
  </si>
  <si>
    <t>Pembayaran Excess Baggage | CGK - PLM | Super Air Jet</t>
  </si>
  <si>
    <t>Pembayaran Enter Kost Analita | 06 - 07 Oct 2025</t>
  </si>
  <si>
    <t>Pembayaran Enter Kost Alex | 06 - 07 Oct 2025</t>
  </si>
  <si>
    <t>Snack Cemilan Alfamart</t>
  </si>
  <si>
    <t>Enter Kost - Bank Mandiri Kanwil Palembang</t>
  </si>
  <si>
    <t>Bank Mandiri Kanwil Palembang - Fow Roastery - 30 Ilir</t>
  </si>
  <si>
    <t>Fow Roastery - 30 Ilir - Enter Kost</t>
  </si>
  <si>
    <t>Enter Kost - Bank Mandiri Kanwil Palembang (Alex &amp; Analita)</t>
  </si>
  <si>
    <t>Bank Mandiri Kanwil Palembang - Enter Kost (Analita)</t>
  </si>
  <si>
    <t>Bank Mandiri Kanwil Palembang - Enter Kost (Alex)</t>
  </si>
  <si>
    <t>Sewa Orbit 2 Unit (@100GB)</t>
  </si>
  <si>
    <t>Bank Mandiri Kanwil Palembang - Enter Kost (Alex &amp; Analita)</t>
  </si>
  <si>
    <t>Enter Kost - Airport Palembang</t>
  </si>
  <si>
    <t>PT TELEKOMUNIKASI SELULAR - 031 INW.CN-SKN CR CA-MCS PAN CONVINCE MITRA I : Rp. 315.016.688</t>
  </si>
  <si>
    <t xml:space="preserve">231/PCMI/AR/XI/2024 </t>
  </si>
  <si>
    <t>Pembayaran Pimpinan Rapat (1 orang)</t>
  </si>
  <si>
    <t>Pembayaran Anggota (6 orang)</t>
  </si>
  <si>
    <t>Pembayaran Setkom, Kasubag (1 orang)</t>
  </si>
  <si>
    <t>Pembayaran Setkom, Staff (6 orang)</t>
  </si>
  <si>
    <t>Permintaan Cash BRI - Bpk Adnan</t>
  </si>
  <si>
    <t>Bayar MC (Pria)</t>
  </si>
  <si>
    <t xml:space="preserve">Bayar MC (Wanita) </t>
  </si>
  <si>
    <t>Tipping Driver Shuttle Inap 2 Soetta (FGD Semarang)</t>
  </si>
  <si>
    <t>Wrapping Soetta (FGD Semarang)</t>
  </si>
  <si>
    <t>Tipping Hotel Gumaya Semarang</t>
  </si>
  <si>
    <t>Makan Nasi Gandul (9-Nov)</t>
  </si>
  <si>
    <t xml:space="preserve">Tipping Driver Semarang </t>
  </si>
  <si>
    <t>Makanan Crew</t>
  </si>
  <si>
    <t>Air Mineral (Sekretariat)</t>
  </si>
  <si>
    <t>Aqua Reflection</t>
  </si>
  <si>
    <t>Pembayaran utk stakeholder diberikan ke Pak Arie oleh Bu Frida</t>
  </si>
  <si>
    <t>Tipping Driver 2 hari</t>
  </si>
  <si>
    <t>CA-113/25 Patrice Lebih Bayar</t>
  </si>
  <si>
    <t xml:space="preserve">Daftar AP Trade Sisa Budget yang di write off ke Other Income oleh Yogi/AH dalam rapat 9-Des-2025 </t>
  </si>
  <si>
    <t>Pelita Air-Ipg : Info Praja 18-Dec - Telkomsel Safari Ramadhan BOD Aceh - Pekanbaru  2025</t>
  </si>
  <si>
    <t>Pelita Air-Ipg : Info Praja 18-Dec - Telkomsel O&amp;M Consolidation Tahap 2</t>
  </si>
  <si>
    <t>Pelita Air-Ipg : Info Praja 18-Dec - Refund Telkomsel O&amp;M Consolidation Tahap 2</t>
  </si>
  <si>
    <t>230/PCMI/AR/XII/2025</t>
  </si>
  <si>
    <t>Otoritas Jasa Keuangan (OJK), Kantor Pusat</t>
  </si>
  <si>
    <t xml:space="preserve">OJK KunKer Komisi XI DPR RI </t>
  </si>
  <si>
    <t>Pembayaran Produksi Kegiatan KunKer Komisi XI DPR RI ke Propinsi Banten</t>
  </si>
  <si>
    <t>231/PCMI/AR/XII/2025</t>
  </si>
  <si>
    <t>Optimalisasi Penyaluran KUR melalui Tata Kelola yang efektif dan berorientasi dampak</t>
  </si>
  <si>
    <t>232/PCMI/AR/XII/2025</t>
  </si>
  <si>
    <t>Event Sponsorship Economic Outlook 2025 dengan tema Pertumbuhan, Stabilitas dan Ketahanan Ekonomi</t>
  </si>
  <si>
    <t>234/PCMI/AR/XII/2025</t>
  </si>
  <si>
    <t>Event Sponsorship Economic Outlook 2025 dengan tema Memperkuat Ketahanan Ekonomi Domestik di Tengah Tantangan Global</t>
  </si>
  <si>
    <t>229/PCMI/AR/XII/2025</t>
  </si>
  <si>
    <t>BSIN Supplier Meeting 2025 Karawang</t>
  </si>
  <si>
    <t xml:space="preserve">SETOR OPERASIONAL KEGIATAN  Setor Tunai 13703 : WA Patrice 19-Dec-25 : Sisa 2-Oct Himbara FGD Smg  06080 - ke KE ROBERTUS BELLARMINO DHANY AS </t>
  </si>
  <si>
    <t>Tiket.Com : Info Yogi : WA Yogi 19-Dec-25 - refund untuk project Telkomsel Delight &amp; Excellent Execution 2025</t>
  </si>
  <si>
    <t>AR Deposit to vendor : BRI Sponsorship 2024 : Mengurangi Other Income 2025</t>
  </si>
  <si>
    <t>CENAIDJA/PANTRAVEL PT ( S ) 5750049305 : WA Praja 22-Dec-25 Double Payment : Tsel Implementasi New Ways of Working (PV05236 dan 05215)</t>
  </si>
  <si>
    <t>TSel Implement NWW   05236  MCM InhouseTrf  KE PANTRAVEL : WA Praja 22-Dec-25 Double Payment : Tsel Implementasi New Ways of Working (PV05236 dan 05215)</t>
  </si>
  <si>
    <t>Mutasi 2025</t>
  </si>
  <si>
    <t xml:space="preserve">Refund Pantravel : Sesuai Rincian via WA Praja 22-Dec-25 </t>
  </si>
  <si>
    <t>0240768607   BNINIDJA/YANTO : WA FA 27-Dec-25 - Pengembalian dana CSR Trimegah Training Camp Lombok</t>
  </si>
  <si>
    <t>0151089127 BNINIDJA/HOTEL INTERNASIONAL SANUR INDON : WA FA 27-Dec-25 - Pengembalian / Refund Deposit dr The Meru Event Himbara Kunker Bali Bajo</t>
  </si>
  <si>
    <t>CENAIDJA/SALAM BAJO INDONESIA PT : WA FA 27-Dec-25 - EO Comm dr hotel Event Trimegah Prestige Bajo</t>
  </si>
  <si>
    <t>REFUND DEPT KORP  MCM InhouseTrf  DARI PEGADAIAN GALERI DUA EMPAT : WA FA 27-Dec-25 - kemungkinan refund KSEI Seminar Emiten</t>
  </si>
  <si>
    <t>MCM InhouseTrf  DARI NUR ANNISA PUTRI 99101 : WA FA 27-Dec-25 - Mandiri Pasar Murah Makasar, Odhey</t>
  </si>
  <si>
    <t>KR OTOMATIS LLG-DBS INDONESIA PT TOWER BERSAMA  EXPN-TB-089934-25 : WA Tika 30-Dec-25 untuk Invoice 200/2025</t>
  </si>
  <si>
    <t>UBP602123998028000008988890000030956  : BPJS Kesehatan Apr dan May</t>
  </si>
  <si>
    <t>BSIN Supplier Mtg SPJ 2D 9-10Dec    PRAJA SAPUTRA S,</t>
  </si>
  <si>
    <t>BRI HUT KE-26 DWP SPJ 2D            PRAJA SAPUTRA S,</t>
  </si>
  <si>
    <t>AR StafLoan Praja Pot Gaji Des 1X   PRAJA SAPUTRA S,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</si>
  <si>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</si>
  <si>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</si>
  <si>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</si>
  <si>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</si>
  <si>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</si>
  <si>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</si>
  <si>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BSIN Supplier Mtg SPJ 2D 9-10Dec    M RIZKY AULIA,</t>
  </si>
  <si>
    <t>BTN FGD CirebonKXISPJ 4D + Meals    ALEXADRUS NULIADY,</t>
  </si>
  <si>
    <t>Retur CA 00118    MARIA PATRICIA SUG,</t>
  </si>
  <si>
    <t>Salary PCMI Dec   DAVID HARSAMTO,</t>
  </si>
  <si>
    <t>MANDIRI FGD IKN   SPJ 2D + Meals    FRIDA ACHMADI,</t>
  </si>
  <si>
    <t>HimbaraKunKerBatamSPJ 4D+MMOps+MealsALEXADRUS NULIADY,</t>
  </si>
  <si>
    <t>HimbaraKunKerBatamSPJ 4D + Meals    ANALITA YULISTYA C,</t>
  </si>
  <si>
    <t>BRI HUT KE-26 DWP SPJ 2D+VMix Ops   ANALITA YULISTYA C,</t>
  </si>
  <si>
    <t>BRI HUT KE-26 DWP SPJ 2D + MM Ops   ALEXADRUS NULIADY,</t>
  </si>
  <si>
    <t>BRI HUT KE-26 DWP SPJ 1D 18Dec      MARIA PATRICIA SUG,</t>
  </si>
  <si>
    <t>HimbaraKunKerBatamSPJ 4D + Meals    MARIA PATRICIA SUG,</t>
  </si>
  <si>
    <t>BRI HUT KE-26 DWP SPJ 2D 17-18Dec   DEDI PURWANTO SE,</t>
  </si>
  <si>
    <t>BRI HUT KE-26 DWP SPJ 1D 18-Dec     SUPRIYADI,</t>
  </si>
  <si>
    <t>AR StaffLoan Praja22-Dec            DAVID HARSAMTO,</t>
  </si>
  <si>
    <t>AH - loan2        RD HIDIANITJE DRA,</t>
  </si>
  <si>
    <t>AR StafLoan Atno  Aug-Des 25 a4Jt   DAVID HARSAMTO,</t>
  </si>
  <si>
    <t>NewYearEnd Dinner PCMI+Intrareps    DAVID HARSAMTO,</t>
  </si>
  <si>
    <t>YOHAN KRISTANTO,</t>
  </si>
  <si>
    <t>CIMB NIAGA TRANSFER VIA RTGS REF NO PPU :0Q4Q  Antonius Nicolaas,</t>
  </si>
  <si>
    <t>BIAYA TRANSFER KU,</t>
  </si>
  <si>
    <t>TARIKAN TUNAI ,</t>
  </si>
  <si>
    <t>TSel Ground Check Im 06786  MCM InhouseTrf  KE TJAHAYA</t>
  </si>
  <si>
    <t xml:space="preserve">Salary PCMI Dec  CENAIDJA/DAVID HARSAMTO </t>
  </si>
  <si>
    <t xml:space="preserve">20251228BMRIIDJA010O9935747999  </t>
  </si>
  <si>
    <t xml:space="preserve">20251228BMRIIDJA010O9935748862  </t>
  </si>
  <si>
    <t xml:space="preserve">20251228BMRIIDJA010O9935748864 </t>
  </si>
  <si>
    <t xml:space="preserve">20251228BMRIIDJA010O9935748866 </t>
  </si>
  <si>
    <t xml:space="preserve">15002218122025 MCM InhouseTrf  DARI OTORITAS JASA KEUANGAN </t>
  </si>
  <si>
    <t xml:space="preserve">BRI FGD Smg Kom XI,  06736    MCM InhouseTrf  KE PANTRAVEL </t>
  </si>
  <si>
    <t xml:space="preserve">TSel Reach Beyond Ar06700  BSMDIDJA/AULIA AYU ASYURA </t>
  </si>
  <si>
    <t xml:space="preserve">20251231BMRIIDJA010O9936694999 </t>
  </si>
  <si>
    <t>TSel Reach Beyond Ar06804   BSMDIDJA/AULIA AYU ASYURA</t>
  </si>
  <si>
    <t xml:space="preserve">20251231BMRIIDJA010O9936695402  </t>
  </si>
  <si>
    <t xml:space="preserve">TSel Orbit HH Q4, MeTSel Orbit HH Q4 Me  BNINIDJA/UMI HABIBAH MANSYUR </t>
  </si>
  <si>
    <t xml:space="preserve">20251231BMRIIDJA010O9936695405   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</si>
  <si>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</si>
  <si>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</si>
  <si>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</si>
  <si>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</si>
  <si>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</si>
  <si>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 xml:space="preserve">BRI HUT KE-26 DWP Co06893  BRINIDJA/KREASI MILIMETER NUS </t>
  </si>
  <si>
    <t xml:space="preserve">20251231BMRIIDJA010O9936699842 </t>
  </si>
  <si>
    <t>231/PCMI/A 2190 CSM SPS Op</t>
  </si>
  <si>
    <t>232/PCMI/A 2215 CSM SPS Ec</t>
  </si>
  <si>
    <t>234/PCMI/A 2189 CSM SPS Ec</t>
  </si>
  <si>
    <t xml:space="preserve">Retur Sisa CA 0011 3 MARIA PATRICIA SUG  </t>
  </si>
  <si>
    <t xml:space="preserve"> Lap CA 121  yogi t hn 2025 YOGI PURWO WIDODO  </t>
  </si>
  <si>
    <t xml:space="preserve">BRI FGD Smg KomXI Stage+MC Crew AHMAD WIDYA NUGRAH  </t>
  </si>
  <si>
    <t xml:space="preserve">BSI KunKer BAKN PP Prod 25-27Nop AHMAD WIDYA NUGRAH  </t>
  </si>
  <si>
    <t xml:space="preserve">BRI HUT-26 DPW Puspa Catering MARIA PATRICIA SUG  </t>
  </si>
  <si>
    <t xml:space="preserve">TSel LeadersMtg Q4 Santika Rm+BFast MULTI DAYA INVESTA  </t>
  </si>
  <si>
    <t xml:space="preserve">BRI HUT KE-26 DWP SoundSys+6Mics SONJAYA ADIPUTRA  </t>
  </si>
  <si>
    <t xml:space="preserve">BRI HUT KE-26 DWP 2 MultiCam SUTRISNO  </t>
  </si>
  <si>
    <t xml:space="preserve">BRI HUT KE-26 DWP Show Mgt 18Dec TEUKU DONNYA SYAHP  </t>
  </si>
  <si>
    <t xml:space="preserve">HimbaranKunKerBata Show Mgt+GR TEUKU DONNYA SYAHP  </t>
  </si>
  <si>
    <t xml:space="preserve">TSel LeadersMtgQ4 4Rms BatiqaLampung SURYA INTERNUSA HO  </t>
  </si>
  <si>
    <t xml:space="preserve">Pulsa HP Jul-Dec REVIANA VERONICA P   </t>
  </si>
  <si>
    <t xml:space="preserve">Himbara FGD Smg Cash Andini BSI MARIA PATRICIA SUG  </t>
  </si>
  <si>
    <t xml:space="preserve">TSel  LeadersMtgQ4 AriFarizki+AyuAuli MULTI DAYA INVESTA  </t>
  </si>
  <si>
    <t xml:space="preserve">HimbaraKunKerBatam 35Mic11DecMarriott MARIA PATRICIA SUG  </t>
  </si>
  <si>
    <t xml:space="preserve">BSIN Supplier Mtg Genset 10Dec DIAZ MUBAROK  </t>
  </si>
  <si>
    <t xml:space="preserve">BSIN Supplier Mtg Furniture 10Dec DIAZ MUBAROK  </t>
  </si>
  <si>
    <t xml:space="preserve">TSel LeadersMtg Q4 Devisiasi Kamar MULTI DAYA INVESTA  </t>
  </si>
  <si>
    <t xml:space="preserve">HimbaraKunKerBatam Produksi 11Dec ZEHRA BALINA  </t>
  </si>
  <si>
    <t xml:space="preserve">BRI HUT KE-26 DWP Runner Komeng 2D MOCH SUPRIYADI  </t>
  </si>
  <si>
    <t xml:space="preserve">NewYear End Dinner PCMI MARIA PATRICIA SUG  </t>
  </si>
  <si>
    <t xml:space="preserve">Lebih bayar CA 001 01 Mand Papua M RIZKY AULIA  </t>
  </si>
  <si>
    <t xml:space="preserve">BRI HUT KE-26 DWP Lighting MASRUHIN  </t>
  </si>
  <si>
    <t xml:space="preserve">TSel HearMeGrapari INV-GM10003 SULISTIYO TRI RAHA  </t>
  </si>
  <si>
    <t xml:space="preserve">RS+Dr Mata KMN Eye Care RD HIDIANITJE DRA  </t>
  </si>
  <si>
    <t xml:space="preserve">Donasi Isra Miraj Pesantren Bogor MUHAMMAD UJER AWAL  </t>
  </si>
  <si>
    <t xml:space="preserve">TSel LeadersMtg Q4 Deviasi kamar MULTI DAYA INVESTA  </t>
  </si>
  <si>
    <t xml:space="preserve">BSIN Supplier Mtg Lighting 10Dec MASRUHIN  </t>
  </si>
  <si>
    <t xml:space="preserve">BSIN Supplier Mtg Sound Sys 10Dec ANDRIS JULIA RISWA  </t>
  </si>
  <si>
    <t xml:space="preserve">Service Rutin GLE250D B1486 DAVID HARSAMTO  </t>
  </si>
  <si>
    <t>BRI Corp Card</t>
  </si>
  <si>
    <t>Telkomsel Leaders Meeting Q4 Area 1</t>
  </si>
  <si>
    <t xml:space="preserve">CA-121/25 Yogi YOGI PURWO WIDODO  </t>
  </si>
  <si>
    <t>CA-121/25 Yogi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</si>
  <si>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</si>
  <si>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</si>
  <si>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</si>
  <si>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</si>
  <si>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</si>
  <si>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</si>
  <si>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</si>
  <si>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</si>
  <si>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</si>
  <si>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</si>
  <si>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Beli Siku</t>
  </si>
  <si>
    <t>Beli Lakban Hitam</t>
  </si>
  <si>
    <t>Beli Lakban Hitam, Spidol &amp; Lakban Kertas</t>
  </si>
  <si>
    <t>Beli Lakban Kertas &amp; Lakban Bening</t>
  </si>
  <si>
    <t>Beli Meteran Roll &amp; Benang</t>
  </si>
  <si>
    <t>Beli Sumpit untuk Pasak Marking</t>
  </si>
  <si>
    <t>Top up flazz</t>
  </si>
  <si>
    <t>Wraping Bagasi Soeta</t>
  </si>
  <si>
    <t>Beli kopi transit Makassar</t>
  </si>
  <si>
    <t>Transport Mobil dari Airport Sentani - Hotel</t>
  </si>
  <si>
    <t>Early Check-in</t>
  </si>
  <si>
    <t>Maxim dari Hotel - Venue PTC Entrop (Check Venue)</t>
  </si>
  <si>
    <t>Maxim dari Mandiri Region - Venue PTC Entrop (Survey bareng region setelah meeting)</t>
  </si>
  <si>
    <t>Beli kopi meeting dengan EO Lokal</t>
  </si>
  <si>
    <t>Maxim dari Meeting dengan EO Lokal - Hotel</t>
  </si>
  <si>
    <t>Beli kopi sacet untuk di hotel</t>
  </si>
  <si>
    <t>Maxim dari Tempat makan (dekat hotel) - Ibiza coffeeshop</t>
  </si>
  <si>
    <t>WFA at ibiza coffeshop</t>
  </si>
  <si>
    <t xml:space="preserve">Maxim dari Tempat makan (dekat hotel) - Mandiri Region </t>
  </si>
  <si>
    <t>WFA at Teras Sehati (Samping Mandiri Region)</t>
  </si>
  <si>
    <t>Maxim dari Hotel - Venue PTC Entrop (Loading Day 1)</t>
  </si>
  <si>
    <t>Maxim dari PTC Entrop - Swiss Bell (Internal Meeting dengan Team Mandiri Pusat)</t>
  </si>
  <si>
    <t>Maxim dari Teras Sehati (Mandiri Region) - Hotel  (Rizky - Pisah Badan Assist Meeting Client)</t>
  </si>
  <si>
    <t>Maxim dari Hotel - Venue PTC Entrop (Rambo - Pisah Badan Gawangin Loadingan)</t>
  </si>
  <si>
    <t>Beli Kopi untuk Client &amp; Region saat Techmeet di Venue (Loading Day 1)</t>
  </si>
  <si>
    <t>Belanja Alfa Midi (Beli Air minum, dll)</t>
  </si>
  <si>
    <t>Beli Kantong Belanja di Alfa Midi</t>
  </si>
  <si>
    <t>Beli Air Minum untuk Loading di Bintang Mas Supermarket</t>
  </si>
  <si>
    <t>Print Signage UMKM 40 Lembar</t>
  </si>
  <si>
    <t>Maxim dari Hotel - Venue PTC Entrop (Event)</t>
  </si>
  <si>
    <t>Maxim dari Hotel - Venue PTC Entrop (Habis Solat Jumat)</t>
  </si>
  <si>
    <t>Makan Malam Dengan Team Mandiri Pusat</t>
  </si>
  <si>
    <t>Bayar Pawang Hujan</t>
  </si>
  <si>
    <t>Parkir Inap Mobil at Bandara Soeta</t>
  </si>
  <si>
    <t>Parkir Drop Off Damri Bandara Soeta (Drop Off Rambo)</t>
  </si>
  <si>
    <t>- Pimpinan Rapat (1 orang)</t>
  </si>
  <si>
    <t>- Anggota (5 orang)</t>
  </si>
  <si>
    <t>- Setkom</t>
  </si>
  <si>
    <t>Tipping Driver (2 Hari)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</si>
  <si>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</si>
  <si>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</si>
  <si>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</si>
  <si>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</si>
  <si>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</si>
  <si>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</si>
  <si>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</si>
  <si>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SETORAN TUNAI PEMBAYARAN MANDIRI FGD IKN,</t>
  </si>
  <si>
    <t>Mandiri FGD IKN</t>
  </si>
  <si>
    <t>Pemindahan Sementara Akhir Tahun</t>
  </si>
  <si>
    <t>CR 12/23 ZTR51 PRAJA SAPUTRA S : Retur kelebihan transfer 23-Des SPJ BRI HUT ke-26 DWP</t>
  </si>
  <si>
    <t>PT TELEKOMUNIKASI SELULAR - 031  : RP. 351.692.852</t>
  </si>
  <si>
    <t>PT TELEKOMUNIKASI SELULAR - 031 : Rp. 424.784.017</t>
  </si>
  <si>
    <t>Dec</t>
  </si>
  <si>
    <t>CR 12/22 Z27J1  TIKA RISKI ASTARI : WA Tika 2-Jan-26 - Mandiri FGD IKN dari Patrice</t>
  </si>
  <si>
    <t>Telkomsel Market Validationn Backpacker BKL - MRE Q2 - 2025</t>
  </si>
  <si>
    <t>Telkomsel Singtel Forum - Store in Grapari Singapura Nov 2025</t>
  </si>
  <si>
    <t>BRI Peringatan Puncak HUT ke-26 DWP dan Hari Ibu ke-97 DWP BKN</t>
  </si>
  <si>
    <t>Aqua 8 Galon @Rp. 20.000</t>
  </si>
  <si>
    <t>Kopi, Gula, Kamper, Baygon, Sabun Cuci tangan, Mama Lemon</t>
  </si>
  <si>
    <t>Papper Cutter</t>
  </si>
  <si>
    <t>Gorengan &amp; Molen (Ibu Maya)</t>
  </si>
  <si>
    <t>Natal Nasional 2025</t>
  </si>
  <si>
    <t>Sewa Motor Sutarno Bulan November 2025</t>
  </si>
  <si>
    <t>Bensin Motor Sutarno Bulan November 2025</t>
  </si>
  <si>
    <t>Print Proposal Bank Mandiri Taspen RKAP 2025</t>
  </si>
  <si>
    <t>Cetak Laporan Himbara Semarang 2025 (BSI)</t>
  </si>
  <si>
    <t>Cetak Laporan Mandiri FGD Banten</t>
  </si>
  <si>
    <t>Cetak Laporan Mandiri Pasar Murah 2025</t>
  </si>
  <si>
    <t>Tol &amp; Parkir E-Money</t>
  </si>
  <si>
    <t>Print Proposal Mandiri RUPSLB</t>
  </si>
  <si>
    <t>Penggantian Pompa Dispenser</t>
  </si>
  <si>
    <t>Ruang Lounge PCMI</t>
  </si>
  <si>
    <t>Makan siang Ibu AH dan pak DH (11Dec 2025)</t>
  </si>
  <si>
    <t>Aqua Galon 7 @Rp. 20.000</t>
  </si>
  <si>
    <t>Pembelian Obeng</t>
  </si>
  <si>
    <t>Reimburs Biaya Parkir dan Fuel utk Sales Call - Reviana (Periode Nov 2025)</t>
  </si>
  <si>
    <t>Reviana</t>
  </si>
  <si>
    <t>Pembelian Obat Ibu Anne - 16Des 2025</t>
  </si>
  <si>
    <t>Pembelian Baterai req by Patricia</t>
  </si>
  <si>
    <t>Tol &amp; Parkir E-Money 25Nov - 10Dec 2025</t>
  </si>
  <si>
    <t>Tol &amp; Parkir E-Money periode 1-18Dec 2025</t>
  </si>
  <si>
    <t>Pembelian Post it</t>
  </si>
  <si>
    <t>Tol &amp; Parkir E-Money 08Dec - 21Dec 2025</t>
  </si>
  <si>
    <t>Tagihan Telkomsel Pascabayar AH Bulan November 2025</t>
  </si>
  <si>
    <t>Biaya pengisian daya listrik mobil B994NNE - pengisian gopay pak Kanda (0858 7551 8209), 27Dec 2025</t>
  </si>
  <si>
    <t>Pengiriman Lap Kegiatan ke BSIN Re Event BSIN Supplier Gathering 2025</t>
  </si>
  <si>
    <t>Reza</t>
  </si>
  <si>
    <t>Medical M Ujer A - 29Dec 2025</t>
  </si>
  <si>
    <t xml:space="preserve">Makan siang Ibu AH </t>
  </si>
  <si>
    <t>Reimburs Biaya Parkir dan Fuel utk Sales Call - Reviana (Periode Des 2025)</t>
  </si>
  <si>
    <t xml:space="preserve">OJK Kunjungan Kerja Komisi XI DPR RI </t>
  </si>
  <si>
    <t>Mandiri Pasar Murah</t>
  </si>
  <si>
    <t>Pengadaan untuk Delight &amp; Excellent Execution 2025</t>
  </si>
  <si>
    <t>219/PCMI/AR/XII/2025</t>
  </si>
  <si>
    <t>254/PCMI/AR/XII/2025</t>
  </si>
  <si>
    <t>272/PCMI/AR/XII/2025</t>
  </si>
  <si>
    <t>BRI Ceremony Penyerahan BN Sar Lv Haji</t>
  </si>
  <si>
    <t>BRI Journalist Bootcamp</t>
  </si>
  <si>
    <t>BSIN Tomo Gathering</t>
  </si>
  <si>
    <t>BTN Excellence Award</t>
  </si>
  <si>
    <t>Cirebon Power Employee Gathering Bandung</t>
  </si>
  <si>
    <t>KSEI Seminar Emiten</t>
  </si>
  <si>
    <t>PLN IP Energy Business Forum</t>
  </si>
  <si>
    <t>PYC IEC</t>
  </si>
  <si>
    <t>Shell MotoGP Sepang</t>
  </si>
  <si>
    <t>Shell Shanghai Tech Private Trip</t>
  </si>
  <si>
    <t>Shell Visit Factory Bangkok</t>
  </si>
  <si>
    <t>Telkomsel 1 on 1 Meeting Sumatera &amp; HQ</t>
  </si>
  <si>
    <t>Telkomsel Delight and Excellent Execution</t>
  </si>
  <si>
    <t>Telkomsel Duta Budget</t>
  </si>
  <si>
    <t>Telkomsel Event Direksi Visit Medan and OM Consolidation</t>
  </si>
  <si>
    <t>Telkomsel Event Market Recovery and City Fokus Q3</t>
  </si>
  <si>
    <t>Telkomsel Event Vandalisme Palembang</t>
  </si>
  <si>
    <t>Telkomsel PCM Academy and Meeting Pengamanan Target Q1 2025 Area</t>
  </si>
  <si>
    <t>Telkomsel Percepatan Flush Out SA Reg SBS</t>
  </si>
  <si>
    <t>Telkomsel Delight and Excellent Execution 2025</t>
  </si>
  <si>
    <t xml:space="preserve">Retail IDN JAKARTA BARAT TIKET.COM </t>
  </si>
  <si>
    <t>BEA MATERAI LUNAS</t>
  </si>
  <si>
    <t xml:space="preserve">BEA MATERAI LUNAS </t>
  </si>
  <si>
    <t>Financial charge</t>
  </si>
  <si>
    <t>TIKET.COM Jakarta PusatID</t>
  </si>
  <si>
    <t xml:space="preserve">TIKET.COM Jakarta PusatID </t>
  </si>
  <si>
    <t>SOLITAIRE HOTEL INDONE TANGERANG </t>
  </si>
  <si>
    <t>GUMAYA TOWER HOTEL-HO SEMARANG</t>
  </si>
  <si>
    <t>BIAYA NOTIFIKASI </t>
  </si>
  <si>
    <t>BEA MATERAI LUNAS </t>
  </si>
  <si>
    <t>PUSAKA PRIMA TRANSPORT</t>
  </si>
  <si>
    <t>E-BILLING STATEMENT CHRGE : Tragihan Bulan lalu</t>
  </si>
  <si>
    <t>STAMP DUTY/BIAYA MATERAI : Tragihan Bulan lalu</t>
  </si>
  <si>
    <t xml:space="preserve">SHOPEE JAKSEL ID </t>
  </si>
  <si>
    <t>LOUNGE DOM DEPARTURE DPS BADUNG KAB. ID</t>
  </si>
  <si>
    <t>CHARGE BILLING E-STATEMENT FEE</t>
  </si>
  <si>
    <t>BIAYA NOTIFIKASI</t>
  </si>
  <si>
    <t>STAMP DUTY</t>
  </si>
  <si>
    <t>Tokopedia Jakarta ID : Tokopedia - Pengadaan Doorprize Ipad Air 7 - 128 GB ( 1 unit)</t>
  </si>
  <si>
    <t>Tokopedia Jakarta ID : Pengadaan Doorprize portable speaker merk Bose Soundlink Flex 2 total 3 unit</t>
  </si>
  <si>
    <t>TIKET.COM JAKARTA BARATID IDR : Hotel Ibis Style Jakarta Airport 02 -03 Okt 2025 an Maria Patricia</t>
  </si>
  <si>
    <t>Tokopedia Jakarta ID : Pengadaan Doorprice Slow Juicer Merk Sharp Cookwear EJ C20Y RD total 3 unit</t>
  </si>
  <si>
    <t>Tokopedia Jakarta ID : Pengadaan Doorprize Shokz Open Run Pro Mini total 3 Unit</t>
  </si>
  <si>
    <t>Tokopedia Jakarta ID - Pengadaan Doorprize jam Tangan Garmin Forerunner 165 total 3 unit</t>
  </si>
  <si>
    <t>TIKET.COM JAKARTA BARATID - Jhons Hotel Kupang 07-11 Okt 2025 an Benardi Iriawan</t>
  </si>
  <si>
    <t>PELITA AIR-IPG JAKARTA ID -Pelita Air inv 000272338, 000272346, 000272361, 000272390, 000272447, 000272450, 000927249 tiket 7 pax</t>
  </si>
  <si>
    <t>TIKET.COM JAKARTA BARATID - Tiket Citilink CGK KNO CGK 06 - 11 Oktober 2025 an Ahmad Widya Nugraha ( Age )</t>
  </si>
  <si>
    <t>Traveloka3DS-1289661947 JAKARTA ID - Hotel Reddoorz plus @Uno Samarinda an Rian Kartika (Seyna) 06-11 Oct 2025</t>
  </si>
  <si>
    <t>Traveloka3DS-1289664073 JAKARTA ID - Hotel Saka Medan 06 - 11 Oct 2025 an Ahmad Widya Nugraha (Age)</t>
  </si>
  <si>
    <t>TIKET.COM JAKARTA BARATID - Tiket Batik Air HLP SRG HLP 07 -11 Okt 2025 PP an Maria Patricia Sugama</t>
  </si>
  <si>
    <t>TIKET.COM JAKARTA BARATID - Tiket Batik Air CGK DJJ 05 Okt 2025 dan Tiket 11 Okt 2025 an M Rizky Aulia &amp; Ramadhan Putra ( 2 orang PP )</t>
  </si>
  <si>
    <t>PELITA AIR-IPG JAKARTA ID - Pelita Air inv 000272338, 000272346, 000272361, 000272390, 000272447, 000272450, 000927249 tiket 7 pax</t>
  </si>
  <si>
    <t>BLIBLI.COM *121838 JAKARTA BARATID - Blibli - Pengadaan Tumbler CorkCicle 16 Oz Ceramic Slate 7 pcs</t>
  </si>
  <si>
    <t>Traveloka3DS-1289774240 JAKARTA ID - inv 1289774240, 1289767939 tiket kereta an. Benardi</t>
  </si>
  <si>
    <t>Traveloka3DS-1289767939 JAKARTA ID - inv 1289774240, 1289767939 tiket kereta an. Benardi</t>
  </si>
  <si>
    <t>TIKET.COM JAKARTA BARATID - Hotel Whiz Pemuda Semarang 06-11 Okt 2025 an Maria Patricia</t>
  </si>
  <si>
    <t>TIKET.COM JAKARTA BARATID - Tiket Batik Air CGK - SRI - CGK tgl 06 - 11 Okt 2025 an Guturi Huhutu</t>
  </si>
  <si>
    <t>TIKET.COM JAKARTA BARATID - batal</t>
  </si>
  <si>
    <t>TIKET.COM JAKARTA BARATID - refund</t>
  </si>
  <si>
    <t>ANNUAL MEMBERSHIP FEE - batal</t>
  </si>
  <si>
    <t>REV ANNUAL MEMBERSHIP FEE - refund</t>
  </si>
  <si>
    <t>ALFAMRT KC90 DM11 DAAN JAKARTA BARATID - Alfamart Daan Mogot Jakbar, Penambahan Air Mineral, 2 Oct 2025</t>
  </si>
  <si>
    <t>HHB C42 KITCHEN GREEN Jakarta Bara ID - Hoka Hoka Bento Green Garden Jakarta Barat - Makan siang Team PCMI, Crew dan Talents, 70 Paket, 2 Oct 2025</t>
  </si>
  <si>
    <t>SPBU 34-12805 Jakarta Sela ID - SPBU 3412805 Casablanca - Fuel F 1138 ABU, 3 Oct 2025</t>
  </si>
  <si>
    <t>KFC TEBET 0204 JAKARTA SLT ID - KFC tebet Meals team</t>
  </si>
  <si>
    <t>SPBU 34-12805 Jakarta Sela ID - SPBU 3412805 Casablanca JKT - Fuel F 1138 ABU, 7 Oct 2025</t>
  </si>
  <si>
    <t xml:space="preserve">SPBU 34.40258-HO BANDUNG ID - SPBU 3440258 Cibolerang BDG - Fuel F 1138 ABU, 9 Oct 2025 </t>
  </si>
  <si>
    <t>MANDAPA FARMA Bogor (Kota) ID - Apotik Mandapa Farma - Pembelian Obat Hypertensi dan Tulang bulanan. Bln Oct 2025</t>
  </si>
  <si>
    <t>GADO GADO BOPLO TEBET JAKARTA SLT ID - Gado Gado Boplo Tebet JKT - Makan siang ibu AH dan Pak DH, 14 Oct 2025</t>
  </si>
  <si>
    <t>SPBU 34-12805 Jakarta Sela ID - SPBU 3412805 Cablanca JKT - Fuel F 1138 ABU, 14 Oct 2025</t>
  </si>
  <si>
    <t>TABUR RASA JAKARTA PUSATID - Tabur Rasa Cafe BRI JKT Morning meeting dengan Divisi Ionstitusional Kampus - Riza, 17 oct 2025</t>
  </si>
  <si>
    <t>SPBU 34-10206 Jakarta Pusa ID - "SPBU 3410206 Hang Lekir JKT SPBU 3410206
Fuel B 2313 BRN, 15 Oct 2025"</t>
  </si>
  <si>
    <t>SPBU 34.13809CIPAYUNG JAKARTA TIMURID - SPBU 3413809 Casablanca JKT - Fuel F 1138 ABU, 16 Oct 2025</t>
  </si>
  <si>
    <t>SUSHI TEI JAKARTA SELATID - Sushi Tei Kokas JKT - Makan siang AH dan FA, 17 Oct 2025</t>
  </si>
  <si>
    <t>BREW &amp; BARREL JAKARTA PUSATID - Brew &amp; Barrel Cafe Senayan City JKT - Meeting w/ EMTEK Group (RV, FA, Emtek) re: The Unlock, 15 Oct 2025</t>
  </si>
  <si>
    <t>ANNUAL MEMBERSHIP FEE - Batal</t>
  </si>
  <si>
    <t>Retail IDN JAKARTA PUSAT MIDI SC46 MINAN - Alfamidi Minangkabau JKT -Alat Kebersihan mobil F 1138 ABU, Kit dan Sabun, 23 Oct 2025</t>
  </si>
  <si>
    <t>Retail IDN BOGOR KAB. LITTLE MINANG REST - Resto Padang Little Minang Sentul Bogor- Makan siang team PCMI, survey trekking Bank Mandiri</t>
  </si>
  <si>
    <t>Retail IDN Jakarta Sela SPBU 34-12805 - SPBU 3412805 Casablanca JKT - Fuel F 1138 ABU, 23 Oct 2025</t>
  </si>
  <si>
    <t>REV ANNUAL MEMBERSHIP FEE - Refund</t>
  </si>
  <si>
    <t>Retail IDN Bogor (Kab) AEON MALL - SENTUL - Aeon Sentul - Refreshment Meeting Team PCMI</t>
  </si>
  <si>
    <t>Retail IDN BOGOR JAYA MAKMUR VILLA DUTA - Jaya Makmur Bogor - Pembelian Peralatan lounge PCMI</t>
  </si>
  <si>
    <t>Retail IDN Bogor (Kota) SPBU 34-16102 - SPBU 3416102 Pajajaran BGR - Fuel F 1138 ABU, 28 Oct 2025</t>
  </si>
  <si>
    <t>Retail IDN JAKARTA SLT SPBU 34.12806SUP - SPBU 3412806 Supomo JKT - Fuel F 1138 ABU, 30 Oct 2025</t>
  </si>
  <si>
    <t>Transportation 2025</t>
  </si>
  <si>
    <t>Inventaris 2025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</si>
  <si>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</si>
  <si>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</si>
  <si>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</si>
  <si>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Jakarta Tokopedia - Pembatalan</t>
  </si>
  <si>
    <t>Retail IDN Tangerang (K PT INDONESIA AIR - Airasia 350919240607 - Telkomsel Reach Beyond Area Sumatera 2025</t>
  </si>
  <si>
    <t>Credit IDN Jakarta Tokopedia - Refund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</si>
  <si>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</si>
  <si>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</si>
  <si>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</si>
  <si>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Semarang (Ko GUMAYA TOWER HOT - Gumaya Hotel - Pembayaran Deposit Hotel Paket Meeting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</si>
  <si>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</si>
  <si>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</si>
  <si>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FINPAY*KCIC - Whoosh - inv GA29432490 tiket an. Vivi, Sri, Dedih</t>
  </si>
  <si>
    <t>Retail IDN Jakarta Sela SPBU 34-12805 - SPBU 3412805 Casablanca - Fuel B 2313 BRN, 12 Nov 2025</t>
  </si>
  <si>
    <t>Retail GBR LONDON AIRBNB * HMTA54FD3R - HOTEL DI MEGAMENDUNG - Pembayaran hotel utk team 16-17 Nov</t>
  </si>
  <si>
    <t>Retail IDN JAKARTA PELITA AIR-IPG - HOTEL DI MEGAMENDUNG - Pembayaran hotel utk team 16-17 Nov</t>
  </si>
  <si>
    <t>Retail IDN JAKARTA TIMUR SPBU 34.13809,C - SPBU 3413809 Jagorawi JKT - Fuel F 1138 ABU, 3Nov 2025</t>
  </si>
  <si>
    <t>Retail IDN JAKARTA TIMUR SPBU 34.13809,C - SPBU 34-13809 Jagorawi JKT - Fuel F 1138 ABU, 4Nov 2025</t>
  </si>
  <si>
    <t>Retail IDN BOGOR PT SEJAHTERARAYA ANUGR - RS Mayapada Bogor - Medical Frida Achmadi, Dr Nugroho - Orthopedic, 5Nov 2025</t>
  </si>
  <si>
    <t>Retail IDN JAKARTA SELAT SBUX SUPOMOSC1G - Starbucks Supomo JKT - Pembelian Minuman Kopi, Kick Off Meeting, 10Nov 2025</t>
  </si>
  <si>
    <t>Retail IDN JAKARTA SELAT SBUX SUPOMOSC1G - Starbucks Supomo JKT - Pembelian Tambahan Minumn, Kick Off Meeting, 10 Nov 2025</t>
  </si>
  <si>
    <t>Retail IDN JAKARTA SELATAN PAGI SORE SAH - RM Pagi Sore Sahardjo JKT - Pembelian Tambahan Makan Siang, Meeting Koordinasi, 12 Nov 2025</t>
  </si>
  <si>
    <t>Retail IDN JAKARTA SELATAN PAGI SORE SAH - RM Pagi Sore Sahardjo, JKT - Pembelian Makan Siang, Meeting Koordinasi, 12 Nov 2025</t>
  </si>
  <si>
    <t>Retail IDN JAKARTA SELAT IDM TSKMDR SAHA - Indomaret Sahardjo JKT - Pembelian Air Mineral, Meeting Koordinasi, 12Nov 2025</t>
  </si>
  <si>
    <t>Retail IDN JAKARTA SLT SPBU 34.12806,SUP - SPBU 3412806 Supomo JKT - Fuel F 1138 ABU, 10 Nov 2025</t>
  </si>
  <si>
    <t>Retail IDN Jakarta Sela OKKY BAKERY - Okky Bakery JKT - Pembelian Snack, Kick Off Meeting, 10 nov 2025</t>
  </si>
  <si>
    <t>Retail IDN JAKARTA PUSAT RM SEDERHANA BE - RM Sederhana Benhil JKT - Pembelian Makan siang Team, Survey Venue Tennis Indoor, 13Nov 2025</t>
  </si>
  <si>
    <t>Retail IDN JAKARTA SLT ALL FRESH-HO IDR - All Fresh Gatsu JKT Pembelian Jeruk dan Snack (Kacang, kue Kering &amp; Permen), 10 Nov 2025</t>
  </si>
  <si>
    <t>Retail IDN Bogor (Kota) SPBU 34-16102 - Pajajaran Bogor - Fuel F 1138 ABU, 13 Nov 2025</t>
  </si>
  <si>
    <t>Retail IDN BOGOR KOT. BGR BOTANI TEA HOU - Botani Tea House - Entertain Makan Siang Ibu Weni Bank Mandiri HQ, 16Nov 2025</t>
  </si>
  <si>
    <t>Retail IDN BOGOR ROTI UNYIL VENUS - Roti Unyil Bogor - Pembelian Snack, Meeting Koordinasi, 14Nov 2025</t>
  </si>
  <si>
    <t>Retail IDN Bogor (Kota) MANDAPA FARMA - Apotik Mandapa Farma Bogor - Medical Frida Achmadi, 16 Nov 2025</t>
  </si>
  <si>
    <t>Retail IDN Bogor (Kota) SPBU 34-16102 - Pajajaran BOG - Fuel F 1138 ABU, 17 Nov 2025</t>
  </si>
  <si>
    <t>Retail IDN Jakarta Sela SPBU 34-12805 - SPBU 3412805 Casablanca JKT - Fuel F 1138 ABU, 20 Nov 2025</t>
  </si>
  <si>
    <t>Retail IDN JAKARTA SELAT GOJEK RECURRING - Pizza Hut Delivery - Gofood - Entertain HUT Praja, 24 Oct 2025</t>
  </si>
  <si>
    <t>Retail USA SAN JOSE ZOOM.COM 888-799-966 USD 18.86 x 17,151 - zoom.us - Monthly payment panconvince.streaming@gmail.com</t>
  </si>
  <si>
    <t>Retail IDN JAKARTA TIMUR SPBU 34.13809,C - Jagorawi JKT - Fuel F 1138 ABU, 24 Nov 2025</t>
  </si>
  <si>
    <t>Retail IDN JAKARTA SELAT GOJEK RECURRING - Krispy Kreme Kokas JKT - Refreshment during preparation, 27 Nov 2025</t>
  </si>
  <si>
    <t>Retail IDN JAKARTA TIMUR SPBU 34.13809,C - Jagorawi JKT - Fuel F 1138 ABU, 27Nov 2025</t>
  </si>
  <si>
    <t>Retail IDN JAKARTA PUSAT DI MARI - Resto Di Mari Jakarta - Meeting Lunch dengan PIC BRI Mas Riza &amp; Odhey, 1Dec 2025</t>
  </si>
  <si>
    <t>TIKET.COM Jakarta PusatID - Tiket Lion Air CGK SUB 06 Okt dan Tiket Batik Air SUB CGK 11 Okt an Ajeng Putri Haryany"</t>
  </si>
  <si>
    <t>TIKET.COM Jakarta PusatID - Hotel Sultan Alauddin Makassar 16-11 Okt 2025 an Dina Kardiena Hakim"</t>
  </si>
  <si>
    <t>TIKET.COM Jakarta PusatID - Tiket NAM Air CGK UPG 07 Okt dan Tiket Citilink UPG CGK 11 Okt an Dedi Purwanto"</t>
  </si>
  <si>
    <t>TIKET.COM Jakarta PusatID - Hotel Sultan Alauddin Makassar 07 -11 Okt 2025 an Dedi Purwanto</t>
  </si>
  <si>
    <t>TIKET.COM Jakarta PusatID - Tiket NAM Air CGK UPG 07 Okt dan Tiket Citilink UPG CGK 11 Okt an Dedi Purwanto</t>
  </si>
  <si>
    <t>TIKET.COM Jakarta PusatID - Tiket Batik Air AAP CGK 11 Okt an Rian Kartika ( Seyna)</t>
  </si>
  <si>
    <t>TIKET.COM Jakarta PusatID - Tiket Batik Air CGK UPG 06 Okt 2025 an Dina Kardiena Hakim</t>
  </si>
  <si>
    <t>TIKET.COM Jakarta PusatID - Tiket Superjet CGK PLM 06 Okt 2025 an Alex &amp; Analita</t>
  </si>
  <si>
    <t>TIKET.COM Jakarta PusatID - Tiket Superjet PLM CGK 11 Okt an Alexadrus &amp; Tiket Batik Air PLM HLP an Analita</t>
  </si>
  <si>
    <t>TIKET.COM Jakarta PusatID - Hotel BW Sagita Jayapura 06 - 11 Okt 2025 an Rizky Aulia</t>
  </si>
  <si>
    <t>TIKET.COM Jakarta PusatID - Hotel 88 kopo Bandung 08 - 11 Okt 2025 totl 2 kamar an Reviana Persik &amp; Heri Hermawan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</si>
  <si>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</si>
  <si>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</si>
  <si>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Traveloka3DS*1290188614 Jakarta ID - Hotel Enterkost Palembang 07 -11 Okt 2025 an Analita dan Alex</t>
  </si>
  <si>
    <t>TIKET.COM Jakarta PusatID - Hotel 88 Kopo Bandung 09 - 10 Okt an Frida Achmadi</t>
  </si>
  <si>
    <t>TIKET.COM Jakarta PusatID - Favehotel Olo Padang 13-14 Okt 2025 an Muhammad Ridho Simatupang</t>
  </si>
  <si>
    <t>XDT*PALAM MANSION https://wwwxeID - Apartemen One Residence Batam 13-17 Okt 2025 an Wahyu Gunawan</t>
  </si>
  <si>
    <t>TIKET.COM Jakarta PusatID - Hotel Desatu Medan 19-20 Okt 2025 an Zulhelmi</t>
  </si>
  <si>
    <t>HARRIS HOTEL BATAM CTR -HBATAM ID - Room and Bfast Hotel Harris Batam Centre 15 -16 Okt 2025 an Erlina Devi Rosita</t>
  </si>
  <si>
    <t>BATAMIA-HO BATAM ID - Pembelian Luti Gendang 3 Kotak isi 20 Pcs ( Tambahan Mbak Ayu )</t>
  </si>
  <si>
    <t>LAPIS MULIA GB BATAM KOT. ID - Pembelian LapisNo 1 Batam Bang Ican dan Pak Saki</t>
  </si>
  <si>
    <t>MORNING BAKERY GREENLAND Batam (Kota) ID - Pembelian Kopi Susu 50 cup untuk meeting lantai 3 breakout TSO Batam tgl 15 Okt 2025</t>
  </si>
  <si>
    <t>Traveloka3DS-1294318370 Jakarta ID - Tiket Citilink KNO CGK tgl 22 Oct an Henny Purweni &amp; Duma Sianipar</t>
  </si>
  <si>
    <t>SS KOKAS/SSCA JKT SELATAN ID - Sport station Kokas - Pembelian Voucher MAP</t>
  </si>
  <si>
    <t>TIKET.COM Jakarta PusatID - Hotel Mercure Makassar Nexa Pettarani 29-31 Okt 2025 2 kamar an Dedih Rasmadi &amp; Vivi Sumanti</t>
  </si>
  <si>
    <t>SS KOKASSSCA JAKARTA SELATID - Sport station Kokas - Pembelian Voucher MAP</t>
  </si>
  <si>
    <t>HARRIS HOTEL BA*000044804BATAM ID - Harris Batam Centre Pembayaran 7 Kamar Tsel Grp 29 -31 Oct 2025</t>
  </si>
  <si>
    <t>HARRIS HOTEL BA*000044815BATAM ID - Harris Batam Centre Room and Bfast 2 kamar 29-31 Okt 2025 an Getha Fety Dianari &amp; Erik Mahendra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</si>
  <si>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</si>
  <si>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</si>
  <si>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Swiss belinn Manyar Surabaya 3 kamar , 4-6Nov an RR Getha &amp; Sri Hartati (2kamar) , 4-5 Nov an Dedih Rasmadi (1 kamar)</t>
  </si>
  <si>
    <t>TIKET.COM Jakarta PusatID -  Hotel Swiss belinn Manyar Surabaya 3 kamar , 4-6Nov an RR Getha &amp; Sri Hartati (2kamar) , 4-5 Nov an Dedih Rasmadi (1 kamar)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</si>
  <si>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</si>
  <si>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</si>
  <si>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</si>
  <si>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</si>
  <si>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TIKET.COM Jakarta PusatID - Hotel Ibis Trans Studio Bandung 11-14 Nov 2025 an (2 kamar) Getha RR Getha &amp; Vivi Sumanti</t>
  </si>
  <si>
    <t>TIKET.COM Jakarta PusatID - Hotel Ibis Trans Studio Bandung 12-14 Nov 2025 an (2 kamar) Sri Hartati &amp; Rully Amal Putra</t>
  </si>
  <si>
    <t>TIKET.COM Jakarta PusatID - Hotel Artotel Gelora Senayan Jakarta , Shell Grp ( 4 Kamar ) periode checkin 17 -19 Nov 2025</t>
  </si>
  <si>
    <t>MERCURE JAKARTA*000060296JAKARTA SLT ID - Hotel Mercure Gatot Subroto Jakarta Room and Bfast 17-19 Nov 2025 an Fachrul Rizzal</t>
  </si>
  <si>
    <t>SUBWAY KOKAS WY36 JAKARTA SLT ID - LUNCH AH</t>
  </si>
  <si>
    <t xml:space="preserve">SUSHI TEI CILANDAK TOWN JAKARTA SLT ID - Lunch meeting	</t>
  </si>
  <si>
    <t>ERF XPLOR PIM2 JAKARTA SLT ID - XL Pondok Indah Pembayaran paket setahun</t>
  </si>
  <si>
    <t>SOCIAL AFFAIR CITOS JAKARTA SELATID - Refreshment on preparation proposal for meeting</t>
  </si>
  <si>
    <t>Telkomsel Undian Jelajah Nusantara 2021</t>
  </si>
  <si>
    <t>SBUX WISMA BNISC16 JAKARTA PUSAT - Beli sarapan Team dgn Ibu Anne after presentasi Mandom</t>
  </si>
  <si>
    <t>SNAPY TEBET 1 JAKARTA SLT - Print Proposal Mandom, 21 Oct 2025</t>
  </si>
  <si>
    <t>NAISY LAPTOP JAKARTA PUSAT - Pembelian Ram untuk laptop Bu Fa dan SSD untuk PC Ticketing</t>
  </si>
  <si>
    <t>OKKY TOKO KUE &amp; ROTI JAKARTA SLT - Beli kue jajanan pasar utk Helda BTN</t>
  </si>
  <si>
    <t>SPBU 34.16813, BOGOR T BOGOR - Fuel B 2313 BRN, 22 Oct 2025</t>
  </si>
  <si>
    <t>SPBU 31.10303,CIKINI JAKARTA PUSAT - BBM B 2313 BRN, 29 Oct 2025</t>
  </si>
  <si>
    <t>BAKMI GM STASIUN GAMB JAKARTA PUSAT - BBM B 2313 BRN, 29 Oct 2025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</si>
  <si>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</si>
  <si>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</si>
  <si>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</si>
  <si>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</si>
  <si>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</si>
  <si>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</si>
  <si>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SPBU 34-12805 Jakarta Sela -  Casablanca JKT - Fuel B 2313 BRN, 7 Nov 2025</t>
  </si>
  <si>
    <t>BANDENG JUWANA PANDAN Semarang (Ko Pembelian Bandeng untuk souvenir</t>
  </si>
  <si>
    <t>MG SUITE HOTEL - HO SEMARANG - Bayar 2 kmr untuk 2 malam 8-10 Nov</t>
  </si>
  <si>
    <t>A FUNG BASO SAPI ASLI Tangerang (K - Bakerzin, Afung, Fore - Airport Handling Service Jakarta</t>
  </si>
  <si>
    <t>BAKERZIN TERMINAL ULT Tangerang (K - Bakerzin, Afung, Fore - Airport Handling Service Jakarta</t>
  </si>
  <si>
    <t>FORE SOEKARNO HATTA T3 TANGERANG - Bakerzin, Afung, Fore - Airport Handling Service Jakarta</t>
  </si>
  <si>
    <t>MULIA SENAYAN HOTEL-HO JAKARTA PUSAT - Pembayaran Hotel Shell | 16 - 18 November 2025</t>
  </si>
  <si>
    <t>SNAPY TIBET 1 - Print Compro PCMI 5 pcs Utk Keperluan Sales, 4 Nov 2025</t>
  </si>
  <si>
    <t>PHO24 CITY WALK-HO - Makan Siang Ibu AH dan FA, 07 Nov 2025</t>
  </si>
  <si>
    <t>PARK HYATT ONLINE -MAG Welcome Dinner on 13 November 2025</t>
  </si>
  <si>
    <t>SECOND FLOOR COFFEE DW - DHARMAWANGSA - Meeting dengan Pak Arie Mandiri dan byr in Kopi nya untuk dibawa pulang</t>
  </si>
  <si>
    <t>PULLMAN CIAWI VIMALA H BOGOR - Pembayaran 2 kamar hotel atas nama Atuy dan Adnan</t>
  </si>
  <si>
    <t>BAKERZIN TERMINAL ULTIMATTangerang (KoID - Daily Parking Terminal 3 - Meals Peserta Airport Handling | 24 October 2025</t>
  </si>
  <si>
    <t>ROTI UNYIL VENUS - PAJAJABogor (Kab) - Pembayaran roti unyil untuk BRI sample</t>
  </si>
  <si>
    <t>PULLMAN CIAWI VIMALA HI BOGOR ID - Pembayaran HD meeting tgl 17 Nov</t>
  </si>
  <si>
    <t>SBUX SUPOMO 1G Jakarta SelatID - Refreshing Meeting Koordinasi PCMI, 18Nov 2025</t>
  </si>
  <si>
    <t>SPBU 34-12805 Jakarta SelatID - Casablanca JKT - Fuel B 2313 BRN, 18 Nov 2025</t>
  </si>
  <si>
    <t>OCBC Visa JT-3Jan NISPIDJA/DAVID HARSAMTO</t>
  </si>
  <si>
    <t>UOB Master JT-6Jan BBIJIDJA/DAVID HARSAMTO</t>
  </si>
  <si>
    <t>Biaya Notifikasi Oct 2025</t>
  </si>
  <si>
    <t>FINPAY*MY TELKOMSEL JAKARTA ID - Pembelian kuota internet modem untuk event Mandiri Pasar Murah 2025</t>
  </si>
  <si>
    <t>CANVA* I04661-13433314 CAMDEN US - Pembayaran Canva Periode 2026</t>
  </si>
  <si>
    <t>PELITA AIR-IPG JAKARTA ID - inv 000269010, 000269006 tiket an Franky, Freddy</t>
  </si>
  <si>
    <t>Retail IDN JAKARTA UTARA MERCURE JAKARTA - Meeting Private Senior Leader PIK tgl 20 Oct 2025</t>
  </si>
  <si>
    <t>Retail IDN JAKARTA SELAT GOJEK RECURRING - McDonalds Makan Malam Team</t>
  </si>
  <si>
    <t>Retail IDN JAKARTA SELAT GOJEK RECURRING - Tips Gofood Mcdonalds Sentul 24 Oct 2025 (mengacu ke PV no 6468)</t>
  </si>
  <si>
    <t>Retail IDN TANGERANG KOT ESPAY*CITILINK - Pembayaran block seat citilink an Ahson, franky</t>
  </si>
  <si>
    <t>Retail USA SAN JOSE ZOOM.COM 888-799-966 USD 18.86 x 17.065 : Monthly payment panconvince.streaming@gmail.com</t>
  </si>
  <si>
    <t>SANTHAI KOKAS JAKARTA SLT - Lunch meeting dengan Pak Andre dan Pak Handy Mandom</t>
  </si>
  <si>
    <t>KAFE BETAWI Jakarta Sela - Lunch Meeting dengan Pak Arie dan Bu Delly Mandiri utk HIMBARA SRG</t>
  </si>
  <si>
    <t>SPBU 34-12113 Jakarta Sela - Fuel B 2313 BRN, 1 Oct 2025</t>
  </si>
  <si>
    <t>PO HOTEL Semarang (Ka - Pembayaran Sisa DP 50% Paket Meeting tgl 4 Okt</t>
  </si>
  <si>
    <t>SPBU 34-12113 Jakarta Sela - Fuel B 2313 BRN, 6 Oct 2025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</si>
  <si>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</si>
  <si>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</si>
  <si>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</si>
  <si>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</si>
  <si>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OMBE KOFIE SMS Tangerang (K - Meeting dengan Pak Handi Mandom , alex dan rizky di Serpong</t>
  </si>
  <si>
    <t>ZARA ST MORITZZR16 JAKARTA BARATID - Pembelian 2 Pcs blazer Zara untuk seragam pantita event PLN IP Energy Business Forum 2025</t>
  </si>
  <si>
    <t>TIKET.COM Jakarta PusatID - Tiket Super jet CGK KOE tgl 07 Oct 2025 CGK KOE an Dimas Soesilo</t>
  </si>
  <si>
    <t>TIKET.COM Jakarta PusatID - Tiket Citilink KNO CGK 11 Okt 2025 an Moch Supriyadi ( Komeng)</t>
  </si>
  <si>
    <t>TIKET.COM Jakarta PusatID - Cost of Goods	COGS	Mandiri Pasar Murah 2025</t>
  </si>
  <si>
    <t>TIKET.COM Jakarta PusatID - Hotel Cleo Surabaya 06-11 Oct 2025 an Ajeng ( LO )</t>
  </si>
  <si>
    <t>HARRIS HOTEL BA*000031944BATAM ID - Room adn Bfast 3 Kamar Speaker James Gwee dan asistant tgl 13-15 Oct 2025</t>
  </si>
  <si>
    <t>HARRIS HOTEL BA*000045245BATAM ID - Telkomsel Dinner 29 Oct 2025 40 Paxs</t>
  </si>
  <si>
    <t>BANDENG JUWANA PANDAN Semarang (Ko - Pembelian bandeng untuk souvenir</t>
  </si>
  <si>
    <t>Traveloka*1308275473 Jakarta ID - inv 1308275473, 1308277910 tiket an frida</t>
  </si>
  <si>
    <t>Traveloka-1308277910 Jakarta ID - inv 1308275473, 1308277910 tiket an frida</t>
  </si>
  <si>
    <t>2CO.COM]WWW.VMIX.COM AMSTERDAM NL - Update software vmix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</si>
  <si>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</si>
  <si>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</si>
  <si>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</si>
  <si>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</si>
  <si>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</si>
  <si>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</si>
  <si>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</si>
  <si>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</si>
  <si>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</si>
  <si>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</si>
  <si>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Tokopedia Jakarta ID - Pembelian Logitech Spotlight Wireless Presentation Remote (utk Kebutuhan FGD)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</si>
  <si>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</si>
  <si>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</si>
  <si>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Tokopedia Jakarta ID - Pengadaaan Iphone 16 (basic) kapasitas 128 GB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</si>
  <si>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</si>
  <si>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</si>
  <si>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SPBU 34-12805 Jakarta SelatID - Casablanca JKT Fuel B 2313 BRN, 26 Nov 2025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</si>
  <si>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</si>
  <si>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</si>
  <si>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</si>
  <si>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Tokopedia Jakarta ID - Pengadaan 1 unit Microwave merk Krisbow untuk Doorprice</t>
  </si>
  <si>
    <t>Traveloka-1306896343 Jakarta ID - Pembayaran kamar hotel untuk team dan crew</t>
  </si>
  <si>
    <t>Traveloka-1306894649 Jakarta ID - Pembayaran kamar hotel untuk team dan crew</t>
  </si>
  <si>
    <t>Tokopedia Jakarta ID - Pengadaan 3 unit Tumbler lock n lock srew 450 ML LHC4212</t>
  </si>
  <si>
    <t>BLIBLI.COM Jakarta PusatID - Pengadaan Jam Tangan Garmin Forrunner 55 warna Hitam ( 1 unit ) untuk doorprice</t>
  </si>
  <si>
    <t>RAILINK.CO.ID *H25120817JAKARTA PUSATID - inv 3468366792553, 1650333884427 tiket kereta an Fachrul</t>
  </si>
  <si>
    <t>RAILINK.CO.ID-IPG2 JAKARTA ID - inv 3468366792553, 1650333884427 tiket kereta an Fachrul</t>
  </si>
  <si>
    <t>SHOPEE JAKSEL ID - Pembelian 1 unit sepeda lipat Pacific splendid 300 , uk ban 20 inch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</si>
  <si>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</si>
  <si>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</si>
  <si>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MANDIRI CELLULAR Jakarta PusatID - Hanggar Com pembelian kable HDMI BAFO 50 meter V2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</si>
  <si>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</si>
  <si>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</si>
  <si>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</si>
  <si>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</si>
  <si>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</si>
  <si>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</si>
  <si>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</si>
  <si>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</si>
  <si>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</si>
  <si>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</si>
  <si>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Tokopedia Jakarta ID - Pembelian Captured card 1 unit dan HDMI 4 unit</t>
  </si>
  <si>
    <t>SNAPY TEBET 1 JAKARTA SLT ID - Cetak Laporan Kegiatan BRI FGD Print laporan kegiatan BRI Outlook Ekonomi, Optimalisasi penyaluran KUR, Economic Outlook 2026</t>
  </si>
  <si>
    <t>Tokopedia Jakarta ID - Pembelian 1 unit Captured Card</t>
  </si>
  <si>
    <t>LION AIR-IPG KOTA JAKARTA ID - Pembelian ekstra bagasi 10 Kg an Saki KNOPDG</t>
  </si>
  <si>
    <t>TIKET.COM Jakarta PusatID - Hotel Ibis Padang 17-19 Dec 2025 an Wahyu Gunawan</t>
  </si>
  <si>
    <t>PRODIA KP.MELAYU JAKARTA SLT - Pemeriksaan laboratorium</t>
  </si>
  <si>
    <t>SUSHI TEI THE BREEZE TANGERANG KOTID - Lunch Meeting AH</t>
  </si>
  <si>
    <t>PRODIA,BONA INDAH JAKARTA SLT ID - Check Lab AH</t>
  </si>
  <si>
    <t>AJI WARAS APOTIK,KR.TGH JAKARTA SLT ID - Pembelian Obat AH</t>
  </si>
  <si>
    <t>TA WAN KOTA KASABLANKA JAKARTA SLT ID - lunch AH</t>
  </si>
  <si>
    <t>BALIMAS OPTIKAL-HO JAKARTA SLT ID - Lensa kacamata AH</t>
  </si>
  <si>
    <t>GODAI SEJIWA-HO BANGKA TENGAH ID - Pembayaran oleh2 BSI</t>
  </si>
  <si>
    <t xml:space="preserve">SWISS-BELHOTEL PANGKAL PGKL PINANG ID - Pembayaran paket meeting Halfday tanggal 27Nov	</t>
  </si>
  <si>
    <t>RESTO SEAFOOD MR ADOX Pangkal Pinan ID - Adox resto Bayar makan siang team BSI 6 pax di Bangka</t>
  </si>
  <si>
    <t>SPBU 34-12805 Jakarta Selat ID - Casablanca JKT Fuel B 2313 BRN, 5Dec 2025</t>
  </si>
  <si>
    <t>SPBU 34.12806,SUPOMO-H JAKARTA SLT ID - Fuel B 2313 BRN, 10 Dec 2025</t>
  </si>
  <si>
    <t>INDOMARET T7JJ KOSAMBI Karawang (Kab ID - Beli Air Mineral 2 Dos</t>
  </si>
  <si>
    <t>MCDONALD'S41801 KARAWANG ID - Beli Meals Team &amp; Tas</t>
  </si>
  <si>
    <t>SPBU 34.12806,SUPOMO-H JAKARTA SLT ID - Fuel B 2313 BRN, 17Dec 2025</t>
  </si>
  <si>
    <t>ALL FRESH-HO JAKARTA SLT ID - Beli buah2 an utk di holding VIP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</si>
  <si>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</si>
  <si>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</si>
  <si>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</si>
  <si>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</si>
  <si>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</si>
  <si>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LOVE SEAFOOD BTC BATAM - Makan malam dengan Adnan, Atuy, Helda, Sugeng</t>
  </si>
  <si>
    <t>TOP 100 GRAND BATAM - Bayar oleh2 untuk kantor BRI sesuai request Adnan dan Atuy</t>
  </si>
  <si>
    <t>MARRIOTT HOTEL BATAM-H BATAM - Bayar minuman di rooftop Marriot dengan Adnan, Atuy , Helda dan Sugeng</t>
  </si>
  <si>
    <t xml:space="preserve">E-BILLING STATEMENT CHRGE </t>
  </si>
  <si>
    <t>STAMP DUTY/BIAYA MATERAI</t>
  </si>
  <si>
    <t>Mandiri Visa JT-16 Jan</t>
  </si>
  <si>
    <t>DBS Visa White JT-6Jan DBSBIDJA/DAVID HARSAMTO</t>
  </si>
  <si>
    <t>LUXTON HOTEL CIREBON CIREBON KOT. ID - Pembayaran paket meeting HD dan kamar Pak Hekal</t>
  </si>
  <si>
    <t>THE LUXTON CRB HOTEL MBL CIREBON ID - Pembayaran penambahan makanan dan kamar as per rqst Helda</t>
  </si>
  <si>
    <t>License 2026</t>
  </si>
  <si>
    <t>Refund Supriatno HBS CGK-JOG-CGK</t>
  </si>
  <si>
    <t>Refund Arifiansyah/Erric Mr CGK-BTH</t>
  </si>
  <si>
    <t>Refund MR Perdana C Desusetyo PKU-CGK-TKG</t>
  </si>
  <si>
    <t>Refund I Wayan Purnawinata TKG-PKU</t>
  </si>
  <si>
    <t>Refund Dony A Nst TKG-KNO</t>
  </si>
  <si>
    <t>Refund Ibrahim Abim Agasti BTH-KNO</t>
  </si>
  <si>
    <t>Refund Zulfadli BTH-KNO</t>
  </si>
  <si>
    <t>Refund Ibrahim Abim Agasti KNO-BTH</t>
  </si>
  <si>
    <t>Refund Zulfadli KNO-BTH</t>
  </si>
  <si>
    <t>Refund Dasrial BTH-PLM</t>
  </si>
  <si>
    <t>Refund JAMES mr CGK-LOP-CGK</t>
  </si>
  <si>
    <t>Refund IRAWAN/YULIES KANTI SH MR CGK-LOP-CGK</t>
  </si>
  <si>
    <t>Refund Erlina Devi Rostita JOG-HLP</t>
  </si>
  <si>
    <t>Refund Rr Getha Fety Dianari JOG-HLP</t>
  </si>
  <si>
    <t>Refund Pangayoman/Alan Mr SRG-PLM</t>
  </si>
  <si>
    <t>Refund Setyobudi/Agung Erwan Mr PDG-KNO</t>
  </si>
  <si>
    <t>Refund Nasution/Umar Munandar G Mr TKG-KNO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</si>
  <si>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</si>
  <si>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</si>
  <si>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</si>
  <si>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</si>
  <si>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Rostita/Erlina Devi Mrs UPG-CGK</t>
  </si>
  <si>
    <t>Refund NOVLI FELISIA SITUMORANG ms BTH-KNO</t>
  </si>
  <si>
    <t>Refund IR. P. SUDARTO mr CGK-LBJ</t>
  </si>
  <si>
    <t>Refund TJHAI SE MOI mrs CGK-LBJ</t>
  </si>
  <si>
    <t>Refund IR. P. SUDARTO mr LBJ-CGK</t>
  </si>
  <si>
    <t>Refund TJHAI SE MOI mrs LBJ-CGK</t>
  </si>
  <si>
    <t>Refund Mustakim Wahyudi mr PKU-CGK</t>
  </si>
  <si>
    <t>Refund FRIDA  ACHMADI CGK-LBJ</t>
  </si>
  <si>
    <t>Refund DEDI  PURWANTO CGK-LBJ</t>
  </si>
  <si>
    <t>Refund M RIZKY  AULIA CGK-LBJ</t>
  </si>
  <si>
    <t>Refund HERI HERMAWAN CGK-LBJ</t>
  </si>
  <si>
    <t>Refund YOGI PURWO WIDODO CGK-LBJ</t>
  </si>
  <si>
    <t>Refund CLARA LIA RESTU SAMOSIR CGK-LBJ</t>
  </si>
  <si>
    <t>Refund DEDI PURWANTO LBJ-CGK</t>
  </si>
  <si>
    <t>Refund M RIZKY AULIA LBJ-CGK</t>
  </si>
  <si>
    <t>Refund HERI HERMAWAN LBJ-CGK</t>
  </si>
  <si>
    <t>Refund YOGI PURWO WIDODO LBJ-CGK</t>
  </si>
  <si>
    <t>Refund CLARA LIA RESTU SAMOSIR LBJ-CGK</t>
  </si>
  <si>
    <t>Refund AHMAD WIDYA NUGRAHA LBJ-CGK</t>
  </si>
  <si>
    <t>Refund DEKA BAHANA LBJ-CGK</t>
  </si>
  <si>
    <t>Refund JANUAR CAHYO SURYADI LBJ-CGK</t>
  </si>
  <si>
    <t>Refund RIMEYKA WIRZA LBJ-CGK</t>
  </si>
  <si>
    <t>Refund SUPRIATNO HENDRO LBJ-CGK</t>
  </si>
  <si>
    <t>Refund VERAWATI LBJ-CGK</t>
  </si>
  <si>
    <t>Refund DEEVYKA MANSYHA SAPUTRA SITUMORANG LBJ-CGK</t>
  </si>
  <si>
    <t>Refund RAMADHAN SITUMORANG LBJ-CGK</t>
  </si>
  <si>
    <t>Refund MARLENA NURHASANAH LBJ-CGK</t>
  </si>
  <si>
    <t>Refund MARIA VIANNEY OSELAGA LBJ-CGK</t>
  </si>
  <si>
    <t>Refund MUHAMMAD ASSUURA BROTOATMODJO LBJ-CGK</t>
  </si>
  <si>
    <t>Refund I GST AYU ADISA CHARAWISTA LBJ-CGK</t>
  </si>
  <si>
    <t>Refund ADINDA PUTERI W LBJ-CGK</t>
  </si>
  <si>
    <t>Refund SABITA ABIGAIL SAPUTRA LBJ-CGK</t>
  </si>
  <si>
    <t>Refund BRIANNE GENEVIEVE LBJ-CGK</t>
  </si>
  <si>
    <t>Refund BEN GASENDRA RAFAEL LBJ-CGK</t>
  </si>
  <si>
    <t>Refund IRENE INTAN PERMATAMURTI LBJ-CGK</t>
  </si>
  <si>
    <t>Refund ELSY NURHAYATI SAMOSIR LBJ-CGK</t>
  </si>
  <si>
    <t>Refund CRISTINA AYU RUMONDANG LBJ-CGK</t>
  </si>
  <si>
    <t>Refund DAVID HARSAMTO LBJ-CGK</t>
  </si>
  <si>
    <t>Refund RD HIDIANITJE LBJ-CGK</t>
  </si>
  <si>
    <t>Refund PHILMON SAMUEL TANURI CGK-LBJ-CGK</t>
  </si>
  <si>
    <t>Refund GEORGE OETOMO SUB-LBJ</t>
  </si>
  <si>
    <t>Refund ALOYSIUS PRIMASYAH KRISTANTO PUTRA LBJ-SRG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</si>
  <si>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</si>
  <si>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</si>
  <si>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</si>
  <si>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</si>
  <si>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</si>
  <si>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</si>
  <si>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</si>
  <si>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</si>
  <si>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</si>
  <si>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</si>
  <si>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</si>
  <si>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</si>
  <si>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</si>
  <si>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</si>
  <si>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</si>
  <si>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</si>
  <si>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</si>
  <si>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</si>
  <si>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</si>
  <si>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</si>
  <si>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</si>
  <si>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</si>
  <si>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</si>
  <si>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</si>
  <si>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</si>
  <si>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</si>
  <si>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</si>
  <si>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</si>
  <si>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</si>
  <si>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</si>
  <si>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</si>
  <si>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</si>
  <si>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</si>
  <si>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</si>
  <si>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</si>
  <si>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</si>
  <si>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</si>
  <si>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Filin Yulia CGK-BTH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</si>
  <si>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</si>
  <si>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</si>
  <si>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</si>
  <si>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</si>
  <si>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</si>
  <si>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</si>
  <si>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</si>
  <si>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</si>
  <si>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</si>
  <si>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</si>
  <si>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</si>
  <si>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</si>
  <si>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</si>
  <si>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</si>
  <si>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</si>
  <si>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</si>
  <si>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</si>
  <si>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</si>
  <si>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</si>
  <si>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</si>
  <si>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ARIFIN/RAY DADANG MR HLP-SUB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</si>
  <si>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</si>
  <si>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</si>
  <si>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</si>
  <si>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</si>
  <si>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</si>
  <si>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</si>
  <si>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</si>
  <si>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Piutang Refund Pan Travel, dibayarkan di bulan Januari 2026</t>
  </si>
  <si>
    <t>Refund Wawan kuswandono CGK-KNO : WA Yogi 9-Jan-25 = Telkomsel Pisah Sambut VP Sales A1</t>
  </si>
  <si>
    <t>Refund LIOE/LULITA MS CGK-KNO-CGK : WA Praja 9-Jan-26 - Waktu beli Sales Code FIT Air Ticket And Others karena Training Camp 2026 belum ada</t>
  </si>
  <si>
    <t>Refund MELIALA/LOVY EVELYN S MRS CGK-KNO-CGK : WA Praja 9-Jan-26 - Waktu beli Sales Code FIT Air Ticket And Others karena Training Camp 2026 belum ada</t>
  </si>
  <si>
    <t>Refund SUGIARTO/AGUS MR BTH-CGK : WA Praja 9-Jan-26 - kata Yogi untuk Telkomsel O&amp;M Consolidation Tahap 2</t>
  </si>
  <si>
    <t>Mutasi 2026</t>
  </si>
  <si>
    <t>File via WA dari AH dan Praja 8-Jan-2026 : REFUND PCMI recons 2025</t>
  </si>
  <si>
    <t>Tokopedia Jakarta ID : WA Yogi 11-Jan-26 : kalau tokped itu refund BRI BKN HUT DWP pak</t>
  </si>
  <si>
    <t>Retur Pph Pasal   Trf  DARI PANTRAVEL : WA Tuti 28-Dec-25 - Lebih Bayar PPh-4 Ayat 2 Office Rent Apr-Jul 2024 : Rp. 7.207.208</t>
  </si>
  <si>
    <t>0207511866 CENAIDJA/TATYANA MANVIASARI : WA FA 11-Jan-26 - tyt komisi Catering event Tsel Batam nya yg Yogi</t>
  </si>
  <si>
    <t>Profit and Loss Statement : 2025</t>
  </si>
  <si>
    <t>PELITA AIR-IPG JAKARTA ID : WA Praja Tgl 11-Jan-26 - Untuk refund pelita Telkomsel O&amp;M Consolidation tahap 2 Pak</t>
  </si>
  <si>
    <t>Sewa gedung Januari    Trf  KE PANTRAVEL : Rp. 18.198.200</t>
  </si>
  <si>
    <t>PPn Masukan</t>
  </si>
  <si>
    <t>KBUMN Natal 25  04047  MCM InhouseTrf  KE JASA TIRTA LUHUR : Rp. 11.889.658</t>
  </si>
  <si>
    <t>Photocopy Jan OSC OFFICE MACHINE : Rp. 736.486</t>
  </si>
  <si>
    <t>KBUMN Natal 2025     03995  MCM InhouseTrf  KE JAKARTA INTERNATIONAL EXPO : Rp. 1.158.217.500</t>
  </si>
  <si>
    <t>B1290HFF Jan AUTORENT LANCAR SE : Rp. 5.777.000</t>
  </si>
  <si>
    <t>B2313BRN Jan AUTORENT LANCAR SE : Rp. 5.014.000</t>
  </si>
  <si>
    <t>KBUMN Natal DP VS Band VIKY SIANIPAR PT : Rp. 133.200.000</t>
  </si>
  <si>
    <t>Sewa Gedung Februari 04295  MCM InhouseTrf  KE PANTRAVEL : Rp. 18.198.200</t>
  </si>
  <si>
    <t>B1290HFF Feb AUTORENT LANCAR SE  : Rp. 5.777.000</t>
  </si>
  <si>
    <t>B2313BRN Feb AUTORENT LANCAR SE  : Rp. 5.014.000</t>
  </si>
  <si>
    <t>KBUMN Natal 24       04278 Trf  KE JAKARTA INTERNATIONAL EXPO : Rp. 13.915.275</t>
  </si>
  <si>
    <t>KBUMN Natal 24       04280    Trf  KE JAKARTA INTERNATIONAL EXPO : Rp. 62.771.500</t>
  </si>
  <si>
    <t>Shell Network Pers SoundSys+Genset TRIDAYA MEGA SWARA : Rp. 23.489.500</t>
  </si>
  <si>
    <t>Photocopy Feb OSC OFFICE MACHINE : Rp. 736.486</t>
  </si>
  <si>
    <t>KBUMN Natal 25 LED Rent  WIDI SURYA BUDIANA : Rp. 225.630.000</t>
  </si>
  <si>
    <t>KBUMN Natal 25 20 DoorPrize SM  JUARA BIKE PT : Rp. 89.000.000</t>
  </si>
  <si>
    <t>Internet January MORA TELEMATIKA IN : Rp. 3.815.000</t>
  </si>
  <si>
    <t>Internet Feb MORA TELEMATIKA IN  : Rp. 3.815.000</t>
  </si>
  <si>
    <t>TSel Orbit HH Q4 MktSupp VchrVal  ENERSINDO PRIMA JA : Rp. 8.150.450</t>
  </si>
  <si>
    <t>KBUMN Natal 24 SoundSys BINTANG LANGIT MUL  : Rp. 210.370.000</t>
  </si>
  <si>
    <t>Mar</t>
  </si>
  <si>
    <t>Internet Maret MORA TELEMATIKA IN : Rp. 3.815.000</t>
  </si>
  <si>
    <t>B1290HFF-Mar AUTORENT LANCAR SE : Rp. 5.777.000</t>
  </si>
  <si>
    <t>B2313BRN 1-31 Mar  AUTORENT LANCAR SE : RP. 5.014.000</t>
  </si>
  <si>
    <t>Sewa gedung Maret 25 04540 MCM InhouseTrf  KE PANTRAVEL : Rp. 18.198.200</t>
  </si>
  <si>
    <t>Eksekutif B-PLESK April 2024/25 EXABYTES NETWORK I : RP. 2.594.200</t>
  </si>
  <si>
    <t>Photocopy Maret OSC OFFICE MACHINE : Rp. 736.486</t>
  </si>
  <si>
    <t>Shell NetworkPersada 05012 Trf  KE SUPRIMA MITRA ADIHUSADA : RP. 6.242.212</t>
  </si>
  <si>
    <t>Tsel Orbit HH Q4 Mkt Supp Maret ENERSINDO PRIMA JA : RP. 32.832.799</t>
  </si>
  <si>
    <t>B1290HFF April  AUTORENT LANCAR SE : Rp. 5.777.000</t>
  </si>
  <si>
    <t>B2313BRN April  AUTORENT LANCAR SE : Rp. 5.014.000</t>
  </si>
  <si>
    <t>Internet April MORA TELEMATIKA IN : Rp. 3.815.000</t>
  </si>
  <si>
    <t>Sewa gedung April 25 04688  Trf  KE PANTRAVEL : Rp. 18.198.200</t>
  </si>
  <si>
    <t>Photocopy April OSC OFFICE MACHINE : Rp. 736.486</t>
  </si>
  <si>
    <t>BRI HBH Developer Sound System TRIDAYA MEGA SWARA : Rp. 21.909.000</t>
  </si>
  <si>
    <t>B2313BRN May AUTORENT LANCAR SE : Rp. 5.014.000</t>
  </si>
  <si>
    <t>B1290HFF May AUTORENT LANCAR SE : Rp. 5.777.000</t>
  </si>
  <si>
    <t>May</t>
  </si>
  <si>
    <t>Sewa gedung Mei 2025 04890 Trf  KE PANTRAVEL : Rp. 18.198.199</t>
  </si>
  <si>
    <t>TSel Orbit HH Q4 Mkt Supp April ENERSINDO PRIMA JA : Rp. 12.978.845</t>
  </si>
  <si>
    <t>Photocopy Mei OSC OFFICE MACHINE : Rp. 736.486</t>
  </si>
  <si>
    <t>TSel Orbit HH Q4 Voucher Ramadhan ENERSINDO PRIMA JA : Rp. 88.378.378</t>
  </si>
  <si>
    <t>Internet Mei MORA TELEMATIKA IN : Rp. 3.815.000</t>
  </si>
  <si>
    <t>KBUMN Natal 24 10Selis, Regional JUARA BIKE PT  : Rp. 61.000.000</t>
  </si>
  <si>
    <t>HimbaraKunKerBB Mobil+Oleh2Peserta  BPW SAHADEWA BASUN : Rp. 6.107.038</t>
  </si>
  <si>
    <t>Photocopy Jun OSC OFFICE MACHINE : Rp. 736.486</t>
  </si>
  <si>
    <t>Sewa Gedung  Juni 25 05125 MCM InhouseTrf  KE PANTRAVEL : Rp. 18.198.199</t>
  </si>
  <si>
    <t>Own Risk B1290HFF AUTORENT LANCAR SE : Rp. 589.190</t>
  </si>
  <si>
    <t>Hp Store By It Galeri - Pembelian Laptop HP utk FA incldg anti virus McAfee &amp; Mouse bluetooth, 23Jun 2025 : Rp. 11.179.000</t>
  </si>
  <si>
    <t>WA Official PCMI     05129  Trf  KE QONTAK TUMBUH MAKMUR : Rp. 9.990.000</t>
  </si>
  <si>
    <t>B2313BRN Jun AUTORENT LANCAR SE : Rp. 5.014.000</t>
  </si>
  <si>
    <t>TSel Orbit HH Q4 Mkt Supp Vchr May ENERSINDO PRIMA JA : Rp. 18.026.132</t>
  </si>
  <si>
    <t>Internet June MORA TELEMATIKA IN : Rp. 3.815.000</t>
  </si>
  <si>
    <t>PT ASIA UTAM PsychoTest Reviana 000472 : RP. 940.125</t>
  </si>
  <si>
    <t>Office Rent July     05276  MCM InhouseTrf  KE PANTRAVEL : Rp. 18.198.198</t>
  </si>
  <si>
    <t>B2313BRN Juli AUTORENT LANCAR SE : Rp. 5.014.000</t>
  </si>
  <si>
    <t>Hp Store By It Galeri - Laptop HP for Reviana : Rp. 10.279.000</t>
  </si>
  <si>
    <t>Photocopy Jul OSC OFFICE MACHINE : Rp. 736.486</t>
  </si>
  <si>
    <t>Photocopy Aug OSC OFFICE MACHINE : Rp. 736.486</t>
  </si>
  <si>
    <t>Sewa gedung Agustus  05704  MCM InhouseTrf  KE PANTRAVEL : Rp. 18.198.198</t>
  </si>
  <si>
    <t>PYC IEC 2025, Tambah05804 SYCAIDJ1/CV DOMPET GLOBAL INDONESIA : Rp. 11.211.000</t>
  </si>
  <si>
    <t>PYC IEC, 400 Pebble 05655   SYCAIDJ1/CV DOMPET GLOBAL INDONESIA : Rp. 43.344.000</t>
  </si>
  <si>
    <t>B2313BRN Aug AUTORENT LANCAR SE : Rp. 5.014.000</t>
  </si>
  <si>
    <t>Internet July MORA TELEMATIKA IN : Rp. 3.815.000</t>
  </si>
  <si>
    <t>Internet Aug MORA TELEMATIKA IN : Rp. 3.815.000</t>
  </si>
  <si>
    <t>Office Rent Sep      05996  MCM InhouseTrf  KE PANTRAVEL : Rp. 18.198.198</t>
  </si>
  <si>
    <t>B2313BRN Sep AUTORENT LANCAR SE : Rp. 5.014.000</t>
  </si>
  <si>
    <t>Photocopy Sep OSC OFFICE MACHINE : Rp. 736.486</t>
  </si>
  <si>
    <t>Internet September MORA TELEMATIKA IN : Rp. 3.815.000</t>
  </si>
  <si>
    <t>Mandiri PasarMurah DP Reg Makasar  LINGKARAN  GANDA B : Rp. 84.828.975</t>
  </si>
  <si>
    <t>Mandiri PasarMurah AddCost EO Makasar  LINGKARAN  GANDA B : Rp. 20.562.850</t>
  </si>
  <si>
    <t>Mandiri PasarMurah Lunas EO Makasar  LINGKARAN  GANDA B : Rp. 81.772.075</t>
  </si>
  <si>
    <t>Office Rent October  06420 MCM InhouseTrf  KE PANTRAVEL : Rp. 18.198.198</t>
  </si>
  <si>
    <t>TSEL WSSalesA1PHSH MotivatorJamesGwee  ACADEMIA CITRA ABA : Rp. 74.665.000</t>
  </si>
  <si>
    <t>B2313BRN Oktober AUTORENT LANCAR SE  Mandiri Plasa : Rp. 5.014.000</t>
  </si>
  <si>
    <t>PT ASIA UTAM  Psiko test Tika Kandidat FinAcc  000472 : Rp. 940.125</t>
  </si>
  <si>
    <t>PLN IP Energy BF LCD,TV,Genset,Curt  FERRY PATTA SUMBUN : Rp. 43.600.000</t>
  </si>
  <si>
    <t>Photocopy Oct OSC OFFICE MACHINE : Rp. 736.486</t>
  </si>
  <si>
    <t>Mandiri Pasar Murah, 06148 MCM InhouseTrf  KE 06 PRODUCTION = Rp. 109.375.000 (plus 22-Oct Rp. 129.062.500)</t>
  </si>
  <si>
    <t>Photocopy Nopember OSC OFFICE MACHINE : Rp. 736.486</t>
  </si>
  <si>
    <t>Domain 2025/26 panconvince.com  EXABYTES NETWORK I : Rp. 217.451</t>
  </si>
  <si>
    <t>Sewa Gedung Desember 06766  MCM InhouseTrf  KE PANTRAVEL : Rp. 18.198.198</t>
  </si>
  <si>
    <t>B2313BRN Nop AUTORENT LANCAR SE : Rp. 5.014.000</t>
  </si>
  <si>
    <t>Internet Oktober MORA TELEMATIKA IN  : Rp. 3.815.000</t>
  </si>
  <si>
    <t>TSel Orbit HH Q4 Mkt Supp Jan-Feb ENERSINDO PRIMA JA : Rp. 9.382.114</t>
  </si>
  <si>
    <t>UBP60215001202FFFFFF040934869240020 : PPH Unifikasi Masa Mei 2025 : Rp. 3.943.082</t>
  </si>
  <si>
    <t>UBP60215001202FFFFFF040852737903506 : PPh Unifikasi Masa April 2025 : Rp. 3.202.289</t>
  </si>
  <si>
    <t>UBP60215001202FFFFFF041385340110572 : PPH Unifikasi Masa Agustus 2025 : 411124-100 : Rp. 185.540</t>
  </si>
  <si>
    <t>Sebelum 2025</t>
  </si>
  <si>
    <t>Office Rent Nov 2025 06596  MCM InhouseTrf  KE PANTRAVEL : Rp. 18.198.200</t>
  </si>
  <si>
    <t>Sewa gedung Des      03793  MCM InhouseTrf  KE PANTRAVEL : Rp. 18.198.200</t>
  </si>
  <si>
    <t>Mandiri Pasar Murah, 06151  DP  KE MATCH PRODUCTION = 71.325.000 X 2 = Rp. 142.650.000</t>
  </si>
  <si>
    <t>Mandiri Pasar Murah, 06320 Pelunasan KE MATCH PRODUCTION = 71.325.000 X 2 = Rp. 142.650.000</t>
  </si>
  <si>
    <t>PPh-23 : Disetor di 23-Jan-2026</t>
  </si>
  <si>
    <t>PPh-4 Ayat 2 : Disetor di 23-Jan-2026</t>
  </si>
  <si>
    <t>Mandiri PasarMurah DP Reg Surabaya  SATRIA KOMUNIKA PR : RP. 96.140.000 x 2</t>
  </si>
  <si>
    <t>Mandiri PasarMurah Lunas Local EO SUB  SATRIA KOMUNIKA PR : Rp. 96.140.000 x 2</t>
  </si>
  <si>
    <t>Himbara FGD Semarang06464  BNINIDJA/PACTO : Rp. 26.411.000</t>
  </si>
  <si>
    <t>Mandiri PasarMurah SoundSys+BandGear  SONJAYA ADIPUTRA : Rp. 9.800.000</t>
  </si>
  <si>
    <t>TSel WSSalesA1P Kend Crew 13-17Okt  HARI SUSANTO : Rp. 28.175.000</t>
  </si>
  <si>
    <t>Photo Copy Des OSC OFFICE MACHINE : Rp. 736.486</t>
  </si>
  <si>
    <t>B2313BRN Des AUTORENT LANCAR SE : Rp. 5.014.000</t>
  </si>
  <si>
    <t>L48Sxq PD 539695104 DARI SINAR DIGITAL TERDEP (Biaya Transaksi Penjual PADi ) : Rp. 30.336.244</t>
  </si>
  <si>
    <t>PADI Telkom</t>
  </si>
  <si>
    <t/>
  </si>
  <si>
    <t>F 1138 ABU July FRIDA ACHMADI  : Rp. 5.777.000 : No PPN, PPh-23 ditanggung PCMI</t>
  </si>
  <si>
    <t>F 1138 ABU - Aug FRIDA ACHMADI : Rp. 5.777.000 : No PPN, PPh-23 ditanggung PCMI</t>
  </si>
  <si>
    <t>F 1138 ABU,Sep FRIDA ACHMADI : RP. 5.777.000 : No PPN, PPh-23 ditanggung PCMI</t>
  </si>
  <si>
    <t>F 1138 ABU October  FRIDA ACHMADI : Rp. 5.777.000 : No PPN, PPh-23 ditanggung PCMI</t>
  </si>
  <si>
    <t>F 1138 ABU Nop FRIDA ACHMADI  : RP. 5.777.000 : No PPN, PPh-23 ditanggung PCMI</t>
  </si>
  <si>
    <t>F1138 ABU Des FRIDA ACHMADI : Rp. 5.777.000 : No PPN, PPh-23 ditanggung PCMI</t>
  </si>
  <si>
    <t>Refund Double Payment</t>
  </si>
  <si>
    <t>PLN Indonesia Power, PT</t>
  </si>
  <si>
    <t>PLN Indonesia Power</t>
  </si>
  <si>
    <t>Kurang Bayar</t>
  </si>
  <si>
    <t>PPn Kurang Bayar</t>
  </si>
  <si>
    <t>215/2024 : Telkomsel JPP RAN Nasional Q4 2024</t>
  </si>
  <si>
    <t>261/PCMI/AR/XII/2025</t>
  </si>
  <si>
    <t>Telkomsel Pengadaan untuk visit Cluster Area Sumatera Q3</t>
  </si>
  <si>
    <t>PPh-23 Belum/Tidak Disetor</t>
  </si>
  <si>
    <t>BCA Sahardjo to AP PPN</t>
  </si>
  <si>
    <t>BRI Sahardjo to AP PPN</t>
  </si>
  <si>
    <t>BTN to AP PPN</t>
  </si>
  <si>
    <t>BJB to AP PPN</t>
  </si>
  <si>
    <t>Bank Raya to AP PPN</t>
  </si>
  <si>
    <t>BRI Tebet to AP PPN</t>
  </si>
  <si>
    <t>Mandiri Plasa to AP PPN</t>
  </si>
  <si>
    <t>BNI to AP PPN</t>
  </si>
  <si>
    <t>Cash IDR to AP PPN</t>
  </si>
  <si>
    <t>UBP60215001202FFFFFF030009486967044 : 411121-100 Masa Maret 2024 (Kurang Bayar)</t>
  </si>
  <si>
    <t>UBP60215001202FFFFFF030009487465137 : 411121-100 Masa Juli 2024 (Kurang Bayar)</t>
  </si>
  <si>
    <t>UBP60215001202FFFFFF030009487567037 : 411121-100 Masa Agustus 2024 (Kurang Bayar)</t>
  </si>
  <si>
    <t>UBP60215001202FFFFFF030009487576020 : 411121-100 Masa Oktober 2024 (Kurang Bayar)</t>
  </si>
  <si>
    <t>UBP60215001202FFFFFF030009487579151 : 411121-100 Masa Nopember 2024 (Kurang Bayar)</t>
  </si>
  <si>
    <t>UBP60215001202FFFFFF030009487570046 : 411121-100 Masa September 2024 (Kurang Bayar)</t>
  </si>
  <si>
    <t>PPh-21 2024 Karyawan - Kurang Bayar</t>
  </si>
  <si>
    <t>Kurang Bayar PPh-21 Karyawan Th 2024</t>
  </si>
  <si>
    <t>PPh-23 Th 2025</t>
  </si>
  <si>
    <t>PPh-23 Tahun 2025 : Disetor di 23-Jan-2026</t>
  </si>
  <si>
    <t>PPh-4 Ayat 2 Tahun 2025 : Disetor di 23-Jan-2026</t>
  </si>
  <si>
    <t>PPh-4 Ayat 2 yang Dipungut tapi Belum/Tidak Disetor</t>
  </si>
  <si>
    <t>Masa Desember</t>
  </si>
  <si>
    <t>PPN Kurang Bayar</t>
  </si>
  <si>
    <t>PAYMENT IN 2025</t>
  </si>
  <si>
    <t>BALANCE SHEET AS OF 31-DEC-2025</t>
  </si>
  <si>
    <t>BRI Sahardjo : 1125-01000-255-301</t>
  </si>
  <si>
    <t>BTN : 0000-1013-0001-2935</t>
  </si>
  <si>
    <t>Bank Raya : 0010-01-001907-40-9</t>
  </si>
  <si>
    <t>BNI : 1956-157-549</t>
  </si>
  <si>
    <t xml:space="preserve">PV Admin Apps +an Menu CA ANDIKA MULIA  </t>
  </si>
  <si>
    <t xml:space="preserve">8 Clear Comm Fixed Asset DEKA BAHANA  </t>
  </si>
  <si>
    <t xml:space="preserve">DP HR System ANDIKA MULIA  </t>
  </si>
  <si>
    <t>DP Apps Reg+DoorP    00274 MCM InhouseTrf  KE ANDIKA MULIA - Internal Needs</t>
  </si>
  <si>
    <t>Lunas SysReg-DoorPrz 01108 MCM InhouseTrf  KE ANDIKA MULIA</t>
  </si>
  <si>
    <t>Add Cost Orbits Syst 01311 MCM InhouseTrf  KE ANDIKA MULIA</t>
  </si>
  <si>
    <t>Orbits System        01922  MCM InhouseTrf  KE ANDIKA MULIA</t>
  </si>
  <si>
    <t>APPLE STORE R736 SINGAPORE SG : MacBook Pro AH</t>
  </si>
  <si>
    <t>BLIBLI - pembelian ASUS ROG STRIX SCAR 15 G533ZX</t>
  </si>
  <si>
    <t>R2 Comp-Ho - Pembelian Laptop Untuk Clara</t>
  </si>
  <si>
    <t>Tokopedia.Com Jakarta Baratid - Pembelian air purifier ruangan AH</t>
  </si>
  <si>
    <t>R2 Comp-Ho Jakarta Pusatid - Pembelian NVME SSD 2TB, SSD 512GB utk PC PV admin dan Keyboard untuk sales</t>
  </si>
  <si>
    <t>s/d 2024</t>
  </si>
  <si>
    <t>S/D 2025</t>
  </si>
  <si>
    <t>KBUMN Natal Lunas VikySianipar VIKY SIANIPAR PT  : Rp. 136.400.000</t>
  </si>
  <si>
    <t>PYC IEC 2025 Lunas LED+TV WIDI SURYA BUDIANA : Rp. 80.850.000</t>
  </si>
  <si>
    <t>PYC IEC 2025 Lunas Lighting MASRUHIN  : Rp. 51.940.000</t>
  </si>
  <si>
    <t>Mandiri PasarMurah DP 60% T1-10Oct  ROBERTUS BELLARMIN : Rp. 132.000.000</t>
  </si>
  <si>
    <t>Mandiri PasarMurah Lunas RegSamarinda  ANSORI : Rp. 72.045.000</t>
  </si>
  <si>
    <t>Mandiri Pasar Murah,06348  BRINIDJA/RDP ABADI NUSANTARA : Rp. 20.812.000</t>
  </si>
  <si>
    <t>Mandiri Pasar Murah,06163 BRINIDJA/RDP ABADI NUSANTARA : Rp. 92.815.250</t>
  </si>
  <si>
    <t>KBUMN Natal Lunas VikySianipar VIKY SIANIPAR PT (+Meals Team Rp. 8.000.000)  : Rp. 136.400.000</t>
  </si>
  <si>
    <t>BRI Jurnalist BC Lns 2 Mid Bus 2D BIG BIRD PUSAKA PT : Rp. 11.760.000 (Plus DP 2.940.000 10Jun)</t>
  </si>
  <si>
    <t>BRI Journalist BC DP 2MidBus 2Days BIG BIRD PUSAKA PT  (Lunas 12-Jun-25)</t>
  </si>
  <si>
    <t>PYC IEC 2025 DP 30% SoundSys SONJAYA ADIPUTRA (Lunas 28-Aug)</t>
  </si>
  <si>
    <t>PYC IEC 2025 Lns SoundSys+Gense SONJAYA ADIPUTRA : Rp. 62.125.200 (DP 21-Aug Rp. 23.517.000)</t>
  </si>
  <si>
    <t>Mandiri Pasar Murah,06407 BIFAST Out CS-GL  BNINIDJA/DOUBLEJOB PRODUCTION : Rp. 84.950.250 (DP 7-Oct)</t>
  </si>
  <si>
    <t>Mandiri Pasar Murah,06158   BNINIDJA/DOUBLEJOB PRODUCTION : Rp. 84.950.250 (Lunas 30-Oct)</t>
  </si>
  <si>
    <t>Mandiri PasarMurah DP 60% T1-10Oct  ROBERTUS BELLARMIN : Rp. 132.000.000 (Lunas 23-Oct)</t>
  </si>
  <si>
    <t>Mandiri PasarMurah Lunas EO Semarang  ROBERTUS BELLARMIN : Rp. 83.600.000 (DP 6-Oct)</t>
  </si>
  <si>
    <t>Mandiri PasarMurah DP Sewa Samarinda  ANSORI : Rp. 72.045.000 (Lunas 15-Oct)</t>
  </si>
  <si>
    <t>Mandiri PasarMurah Lunas RegSamarinda  ANSORI : Rp. 72.045.000 (DP 6-Oct)</t>
  </si>
  <si>
    <t>TSel  WS Sales A1 Pl 06220 RAHMAD RIVANDA DEWRO BANGUN : Rp. 66.790.000 Lebih bayar Rp. 1.885.000 dikompensasikan saat pelunasan (Lunas 23-Oct)</t>
  </si>
  <si>
    <t>Mandiri Pasar Murah, 06374  MCM InhouseTrf  KE RAHMAD RIVANDA DEWRO BANGUN : Rp. 63.020.000 (DP 9-Oct)</t>
  </si>
  <si>
    <t>Mandiri Pasar Murah,06163 BRINIDJA/RDP ABADI NUSANTARA : Rp. 92.815.250 (Lunas 30-Oct)</t>
  </si>
  <si>
    <t>Mandiri Pasar Murah,06408 BIFAST Out CS-GL  BRINIDJA/RDP ABADI NUSANTARA : Rp. 92.815.250 (DP 7-Oct)</t>
  </si>
  <si>
    <t>PPn WAPU - 2023</t>
  </si>
  <si>
    <t>PPn WAPU - 2025</t>
  </si>
  <si>
    <t>PPn WAPU - 2024</t>
  </si>
  <si>
    <t>Masa</t>
  </si>
  <si>
    <t>No Faktur</t>
  </si>
  <si>
    <t>Client / Supplier</t>
  </si>
  <si>
    <t>AP PPN WAPU</t>
  </si>
  <si>
    <t>03002500122943847</t>
  </si>
  <si>
    <t>085/91/PCMI/AR/V/2025</t>
  </si>
  <si>
    <t>03002500381561870</t>
  </si>
  <si>
    <t>206/290/PCMI/AR/XI/2025</t>
  </si>
  <si>
    <t>03002500385149558</t>
  </si>
  <si>
    <t>210/296/PCMI/AR/XI/2025</t>
  </si>
  <si>
    <t>03002500384749398</t>
  </si>
  <si>
    <t>208/294/PCMI/AR/XI/2025</t>
  </si>
  <si>
    <t>203/287/PCMI/AR/XI/2025</t>
  </si>
  <si>
    <t>PT Pantravel</t>
  </si>
  <si>
    <t>PT Jasa Tirta Luhur</t>
  </si>
  <si>
    <t>PT OSC Office Machinery</t>
  </si>
  <si>
    <t>PT Jakarta International Expo</t>
  </si>
  <si>
    <t>PT Autorent Lancar Sejahtera</t>
  </si>
  <si>
    <t>Viky Sianipar</t>
  </si>
  <si>
    <t>Lebih bayar PPN April'24 pemindahan ke masa Jan'25 - pembetulan SPT</t>
  </si>
  <si>
    <t>04022500005534614</t>
  </si>
  <si>
    <t>PT Mineral Industri Indonesia</t>
  </si>
  <si>
    <t>04002500011163048</t>
  </si>
  <si>
    <t xml:space="preserve">PT Bank Rakyat Indonesia </t>
  </si>
  <si>
    <t>03002500011162409</t>
  </si>
  <si>
    <t>PT Tridaya Mega Swara</t>
  </si>
  <si>
    <t>PT Enersindo Prima Jaya</t>
  </si>
  <si>
    <t>PT Auvi Delapan Sembilan</t>
  </si>
  <si>
    <t>PT Juara Bike</t>
  </si>
  <si>
    <t>PT Mora Telematika Indonesia Tbk</t>
  </si>
  <si>
    <t>03002500014653112</t>
  </si>
  <si>
    <t>PT Bank Mandiri (Persero)</t>
  </si>
  <si>
    <t>03002500014653802</t>
  </si>
  <si>
    <t>PT Danareksa (Persero)</t>
  </si>
  <si>
    <t>009/9/PCMI/AR/II/2025</t>
  </si>
  <si>
    <t>03002500014653800</t>
  </si>
  <si>
    <t>PT Bank Tabungan Negara</t>
  </si>
  <si>
    <t>007/7/PCMI/AR/II/2025</t>
  </si>
  <si>
    <t>03002500014653801</t>
  </si>
  <si>
    <t>PT Asuransi Jiwa IFG</t>
  </si>
  <si>
    <t>03002500014654394</t>
  </si>
  <si>
    <t>PT Semen Indonesia (Persero) Tbk</t>
  </si>
  <si>
    <t>004/PCMI/AR/II/2025</t>
  </si>
  <si>
    <t>03002500017792281</t>
  </si>
  <si>
    <t>03002500017816620</t>
  </si>
  <si>
    <t>017/17/PCMI/AR/II/2025</t>
  </si>
  <si>
    <t>03002500017823012</t>
  </si>
  <si>
    <t>PT Aneka Tambang Tbk</t>
  </si>
  <si>
    <t>018/18/PCMI/AR/II/2025</t>
  </si>
  <si>
    <t>03002500017828416</t>
  </si>
  <si>
    <t>PT Pupuk Indonesia (Persero)</t>
  </si>
  <si>
    <t>020/20/PCMI/AR/II/2025</t>
  </si>
  <si>
    <t>03002500017831920</t>
  </si>
  <si>
    <t>022/22/PCMI/AR/II/2025</t>
  </si>
  <si>
    <t>03002500017834940</t>
  </si>
  <si>
    <t>PT Asuransi Kredit Indonesia</t>
  </si>
  <si>
    <t>028/28/PCMI/AR/II/2025</t>
  </si>
  <si>
    <t>03002500017838105</t>
  </si>
  <si>
    <t>PT Jasamarga</t>
  </si>
  <si>
    <t>030/30/PCMI/AR/II/2025</t>
  </si>
  <si>
    <t>03002500017841815</t>
  </si>
  <si>
    <t>031/31/PCMI/AR/II/2025</t>
  </si>
  <si>
    <t>03002500017848362</t>
  </si>
  <si>
    <t>PT Vale Indonesia Tbk</t>
  </si>
  <si>
    <t>041/41/PCMI/AR/II/2025</t>
  </si>
  <si>
    <t>03002500017851244</t>
  </si>
  <si>
    <t>032/32/PCMI/AR/II/2025</t>
  </si>
  <si>
    <t>03002500017852923</t>
  </si>
  <si>
    <t>PT Hutama Karya (Persero)</t>
  </si>
  <si>
    <t>034/34/PCMI/AR/II/2025</t>
  </si>
  <si>
    <t>03002500017853709</t>
  </si>
  <si>
    <t>PT Asdp Indonesia Ferry</t>
  </si>
  <si>
    <t>035/35/PCMI/AR/II/2025</t>
  </si>
  <si>
    <t>03002500019298792</t>
  </si>
  <si>
    <t>PT Pelayaran Nasional Indonesia (Persero)</t>
  </si>
  <si>
    <t>033/33/PCMI/AR/II/2025</t>
  </si>
  <si>
    <t>03002500025903117</t>
  </si>
  <si>
    <t>PT Freeport Indonesia</t>
  </si>
  <si>
    <t>045/45/PCMI/AR/II/2025</t>
  </si>
  <si>
    <t>03002500025908592</t>
  </si>
  <si>
    <t>PT Indonesia Asahan Aluminium (Persero)</t>
  </si>
  <si>
    <t>044/44/PCMI/AR/II/2025</t>
  </si>
  <si>
    <t>03002500025913559</t>
  </si>
  <si>
    <t>PT Bukit Asam Tbk</t>
  </si>
  <si>
    <t>043/43/PCMI/AR/II/2025</t>
  </si>
  <si>
    <t>03002500025924487</t>
  </si>
  <si>
    <t>PT Asuransi Jasa Indonesia</t>
  </si>
  <si>
    <t>029/29/PCMI/AR/II/2025</t>
  </si>
  <si>
    <t>03002500025932772</t>
  </si>
  <si>
    <t>PT Jaminan Kredit Indonesia</t>
  </si>
  <si>
    <t>027/27/PCMI/AR/II/2025</t>
  </si>
  <si>
    <t>03002500025938707</t>
  </si>
  <si>
    <t>PT Timah Tbk</t>
  </si>
  <si>
    <t>025/25/PCMI/AR/II/2025</t>
  </si>
  <si>
    <t>03002500025946291</t>
  </si>
  <si>
    <t>PT Perusahaan Listrik Negara (Persero)</t>
  </si>
  <si>
    <t>024//24/PCMI/AR/II/2025</t>
  </si>
  <si>
    <t>03002500025952899</t>
  </si>
  <si>
    <t>PT Pembangunan Perumahan (Persero) Tbk</t>
  </si>
  <si>
    <t>023/23/PCMI/AR/II/2025</t>
  </si>
  <si>
    <t>PT Bank Negara Indonesia (Persero)</t>
  </si>
  <si>
    <t>03002500025973889</t>
  </si>
  <si>
    <t>PT Bahana Pembinaan Usaha Indonesia (Persero)</t>
  </si>
  <si>
    <t>042/42/PCMI/AR/II/2025</t>
  </si>
  <si>
    <t>03002500039062485</t>
  </si>
  <si>
    <t>PT Pelabuhan Indonesia (Persero)</t>
  </si>
  <si>
    <t>021/21/PCMI/AR/II/2025</t>
  </si>
  <si>
    <t>03002500039064622</t>
  </si>
  <si>
    <t>PT Asuransi Kerugian Jasa Raharja</t>
  </si>
  <si>
    <t>026/26/PCMI/AR/II/2025</t>
  </si>
  <si>
    <t>03002500039209950</t>
  </si>
  <si>
    <t>PT Telekomunikasi Selular (Telkomsel)</t>
  </si>
  <si>
    <t>048/48/PCMI/AR/II/2025</t>
  </si>
  <si>
    <t>03002500039210226</t>
  </si>
  <si>
    <t>013/13/PCMI/AR/II/2025</t>
  </si>
  <si>
    <t>03002500044252913</t>
  </si>
  <si>
    <t>PT PLN Indonesia Power</t>
  </si>
  <si>
    <t>050/46/PCMI/AR/II/2025</t>
  </si>
  <si>
    <t>03002500047274067</t>
  </si>
  <si>
    <t>001/1/PCMI/AR/II/2025</t>
  </si>
  <si>
    <t>04002500017787987</t>
  </si>
  <si>
    <t>PT Pertamina (Persero)</t>
  </si>
  <si>
    <t>04002500017797319</t>
  </si>
  <si>
    <t>04002500019294469</t>
  </si>
  <si>
    <t>04002500025991282</t>
  </si>
  <si>
    <t>PT Telkom Indonesia (Persero) Tbk</t>
  </si>
  <si>
    <t>04002500039210369</t>
  </si>
  <si>
    <t>04002500048710035</t>
  </si>
  <si>
    <t>PT Shell Indonesia</t>
  </si>
  <si>
    <t>04002500049895468</t>
  </si>
  <si>
    <t>PT Hariff Daya Tunggal Engineering</t>
  </si>
  <si>
    <t>04012500017780802</t>
  </si>
  <si>
    <t>PT Bintang Langit Multimedia</t>
  </si>
  <si>
    <t>PT Exabytes Network Indonesia</t>
  </si>
  <si>
    <t>03002500051976677</t>
  </si>
  <si>
    <t>054/53/PCMI/AR/III/2025</t>
  </si>
  <si>
    <t>03002500051981633</t>
  </si>
  <si>
    <t>PT Pegadaian</t>
  </si>
  <si>
    <t>014/14/PCMI/AR/III/2025</t>
  </si>
  <si>
    <t>03002500052936857</t>
  </si>
  <si>
    <t>PT Taspen (Persero)</t>
  </si>
  <si>
    <t>016/16/PCMI/AR/II/2025</t>
  </si>
  <si>
    <t>03002500054908612</t>
  </si>
  <si>
    <t>051/151/PCMI/AR/III/2025</t>
  </si>
  <si>
    <t>03002500057769164</t>
  </si>
  <si>
    <t>055/56/PCMI/AR/III/2025</t>
  </si>
  <si>
    <t>03002500062293586</t>
  </si>
  <si>
    <t>057/58/PCMI/AR/III/2025</t>
  </si>
  <si>
    <t>03002500062207923</t>
  </si>
  <si>
    <t xml:space="preserve"> 056/57/PCMI/AR/III/2025</t>
  </si>
  <si>
    <t>03002500062099793</t>
  </si>
  <si>
    <t>019/19/PCMI/AR/III/2025</t>
  </si>
  <si>
    <t>03002500062956755</t>
  </si>
  <si>
    <t>058/60/PCMI/AR/III/2025</t>
  </si>
  <si>
    <t>03002500066353796</t>
  </si>
  <si>
    <t>059/61/PCMI/AR/III/2025</t>
  </si>
  <si>
    <t>03002500067812094</t>
  </si>
  <si>
    <t>PT PLN Nusantara Power</t>
  </si>
  <si>
    <t>046/223/PCMI/AR/III/2025</t>
  </si>
  <si>
    <t>03002500070373069</t>
  </si>
  <si>
    <t>062/64/PCMI/AR/III/2025</t>
  </si>
  <si>
    <t>03002500070725297</t>
  </si>
  <si>
    <t>PT Infrastruktur Telekomunikasi Indonesia</t>
  </si>
  <si>
    <t>063/65/PCMI/AR/III/2025</t>
  </si>
  <si>
    <t>03002500079126607</t>
  </si>
  <si>
    <t>065/68/PCMI/AR/III/2025</t>
  </si>
  <si>
    <t>03002500079408521</t>
  </si>
  <si>
    <t>066/69/PCMI/AR/III/2025</t>
  </si>
  <si>
    <t>03002500079853504</t>
  </si>
  <si>
    <t>049/49/PCMI/AR/III/2025</t>
  </si>
  <si>
    <t>061/62/PCMI/AR/III/2025</t>
  </si>
  <si>
    <t>064/66/PCMI/AR/III/2025</t>
  </si>
  <si>
    <t>PT Abhimata Citra Abadi</t>
  </si>
  <si>
    <t>067/74/PCMI/AR/III/2025</t>
  </si>
  <si>
    <t>PT Suprima Mitra Adihusada</t>
  </si>
  <si>
    <t>03002500091823428</t>
  </si>
  <si>
    <t>047/225/PCMI/AR/IV/2025</t>
  </si>
  <si>
    <t>03002500104735631</t>
  </si>
  <si>
    <t>068/75/PCMI/AR/IV/2025</t>
  </si>
  <si>
    <t>03002500105277353</t>
  </si>
  <si>
    <t>010/10/PCMI/AR/IV/2025</t>
  </si>
  <si>
    <t>03002500106932541</t>
  </si>
  <si>
    <t>071/81/PCMI/AR/IV/2025</t>
  </si>
  <si>
    <t>04002500108452904</t>
  </si>
  <si>
    <t xml:space="preserve"> 075/213/PCMI/AR/IV/2025</t>
  </si>
  <si>
    <t>04002500108886660</t>
  </si>
  <si>
    <t>PT Profesional Telekomunikasi Indonesia</t>
  </si>
  <si>
    <t>072/78/PCMI/AR/IV/2025</t>
  </si>
  <si>
    <t>04002500108886659</t>
  </si>
  <si>
    <t>073/79/PCMI/AR/IV/2025</t>
  </si>
  <si>
    <t>04002500108886658</t>
  </si>
  <si>
    <t>074/80/PCMI/AR/IV/2025</t>
  </si>
  <si>
    <t>04002500109823706</t>
  </si>
  <si>
    <t>PT Centratama Menara Indonesia</t>
  </si>
  <si>
    <t>079/85/PCMI/AR/IV/2025</t>
  </si>
  <si>
    <t>05002500106162723</t>
  </si>
  <si>
    <t>PT Trimegah Asset Management</t>
  </si>
  <si>
    <t>069/76/PCMI/AR/IV/2025</t>
  </si>
  <si>
    <t>05002500106158606</t>
  </si>
  <si>
    <t>070/77/PCMI/AR/IV/2025</t>
  </si>
  <si>
    <t>05002500108523292</t>
  </si>
  <si>
    <t>076/82/PCMI/AR/IV/2025</t>
  </si>
  <si>
    <t>05012500108615047</t>
  </si>
  <si>
    <t>077/83/PCMI/AR/IV/2025</t>
  </si>
  <si>
    <t>05002500112428211</t>
  </si>
  <si>
    <t>081/87/PCMI/AR/IV/2025</t>
  </si>
  <si>
    <t>Juara Bike</t>
  </si>
  <si>
    <t>03002500126595376</t>
  </si>
  <si>
    <t>087/93/PCMI/AR/V/2025</t>
  </si>
  <si>
    <t>03002500126597689</t>
  </si>
  <si>
    <t>088/94/PCMI/AR/V/2025</t>
  </si>
  <si>
    <t>03002500120225847</t>
  </si>
  <si>
    <t>082/88/PCMI/AR/V/2025</t>
  </si>
  <si>
    <t>03002500120307357</t>
  </si>
  <si>
    <t>083/89/PCMI/AR/V/2025</t>
  </si>
  <si>
    <t>05002500138170215</t>
  </si>
  <si>
    <t>097/103/PCMI/AR/V/2025</t>
  </si>
  <si>
    <t>05002500136071556</t>
  </si>
  <si>
    <t>093/99/PCMI/AR/V/2025</t>
  </si>
  <si>
    <t>03002500125523081</t>
  </si>
  <si>
    <t>086/92/PCMI/AR/V/2025</t>
  </si>
  <si>
    <t>05002500139577894</t>
  </si>
  <si>
    <t>099/105/PCMI/AR/V/2025</t>
  </si>
  <si>
    <t>03002500128418310</t>
  </si>
  <si>
    <t>089/95/PCMI/AR/V/2025</t>
  </si>
  <si>
    <t>05002500136068692</t>
  </si>
  <si>
    <t>092/98/PCMI/AR/V/2025</t>
  </si>
  <si>
    <t>03002500128421026</t>
  </si>
  <si>
    <t>090/96/PCMI/AR/V/2025</t>
  </si>
  <si>
    <t>05002500136074134</t>
  </si>
  <si>
    <t>094/100/PCMI/AR/V/2025</t>
  </si>
  <si>
    <t>03002500128422871</t>
  </si>
  <si>
    <t>091/97/PCMI/AR/V/2025</t>
  </si>
  <si>
    <t>03002500119750219</t>
  </si>
  <si>
    <t>080/86/PCMI/AR/V/2025</t>
  </si>
  <si>
    <t>03002500145203454</t>
  </si>
  <si>
    <t>101/107/PCMI/AR/V/2025</t>
  </si>
  <si>
    <t>05002500138107125</t>
  </si>
  <si>
    <t>095/101/PCMI/AR/V/2025</t>
  </si>
  <si>
    <t>05002500138184177</t>
  </si>
  <si>
    <t>098/104/PCMI/AR/V/2025</t>
  </si>
  <si>
    <t>05002500138143574</t>
  </si>
  <si>
    <t>096/102/PCMI/AR/V/2025</t>
  </si>
  <si>
    <t>03002500119725961</t>
  </si>
  <si>
    <t>078/84/PCMI/AR/V/2025</t>
  </si>
  <si>
    <t>03002500144269650</t>
  </si>
  <si>
    <t>060/59/PCMI/AR/V/2025</t>
  </si>
  <si>
    <t>05002500121530182</t>
  </si>
  <si>
    <t>084/90/PCMI/AR/V/2025</t>
  </si>
  <si>
    <t>Juni 2025</t>
  </si>
  <si>
    <t>PT Biro Perjalanan Wisata Sahadewa Basundari Bali</t>
  </si>
  <si>
    <t>PT Sumber Mulia Hasil Guna</t>
  </si>
  <si>
    <t>PT Qontak Tumbuh Makmur</t>
  </si>
  <si>
    <t>03002500178789737</t>
  </si>
  <si>
    <t>108/117/PCMI/AR/VI/2025</t>
  </si>
  <si>
    <t>03002500184506428</t>
  </si>
  <si>
    <t>111/120/PCMI/AR/VI/2025</t>
  </si>
  <si>
    <t>03002500155179228</t>
  </si>
  <si>
    <t>031/31/PCMI/AR/VI/2025</t>
  </si>
  <si>
    <t>DOUBLE ????</t>
  </si>
  <si>
    <t>05012500154738426</t>
  </si>
  <si>
    <t>BPJS Ketenagakerjaan</t>
  </si>
  <si>
    <t>104/113/PCMI/AR/VI/2025</t>
  </si>
  <si>
    <t>05002500154732973</t>
  </si>
  <si>
    <t>103/112/PCMI/AR/VI/2025</t>
  </si>
  <si>
    <t>05012500154740458</t>
  </si>
  <si>
    <t>105/114/PCMI/AR/VI/2025</t>
  </si>
  <si>
    <t>05002500173810752</t>
  </si>
  <si>
    <t>107/116/PCMI/AR/VI/2025</t>
  </si>
  <si>
    <t>05002500153629003</t>
  </si>
  <si>
    <t>102/111/PCMI/AR/VI/2025</t>
  </si>
  <si>
    <t>05002500186995670</t>
  </si>
  <si>
    <t>112/121/PCMI/AR/VI/2025</t>
  </si>
  <si>
    <t>05012500154744444</t>
  </si>
  <si>
    <t>106/115/PCMI/AR/VI/2025</t>
  </si>
  <si>
    <t>03002500179285948</t>
  </si>
  <si>
    <t>109/118/PCMI/AR/VI/2025</t>
  </si>
  <si>
    <t>03002500180731339</t>
  </si>
  <si>
    <t>110/119/PCMI/AR/VI/2025</t>
  </si>
  <si>
    <t>03002500176308882</t>
  </si>
  <si>
    <t>100/106/PCMI/AR/VI/2025</t>
  </si>
  <si>
    <t>PT Asia Utama Konsultan</t>
  </si>
  <si>
    <t>PT Arista Elektrika Indonesia</t>
  </si>
  <si>
    <t>05002500219206642</t>
  </si>
  <si>
    <t>141/157/PCMI/AR/VII/2025</t>
  </si>
  <si>
    <t>05002500219351702</t>
  </si>
  <si>
    <t>143/160/PCMI/AR/VII/2025</t>
  </si>
  <si>
    <t>05002500201294949</t>
  </si>
  <si>
    <t>139/155/PCMI/AR/VII/2025</t>
  </si>
  <si>
    <t>04002500228443308</t>
  </si>
  <si>
    <t>144/162/PCMI/AR/VIII/2025</t>
  </si>
  <si>
    <t>04002500228445254</t>
  </si>
  <si>
    <t>145/163/PCMI/AR/VIII/2025</t>
  </si>
  <si>
    <t>05002500219342648</t>
  </si>
  <si>
    <t>142/159/PCMI/AR/VII/2025</t>
  </si>
  <si>
    <t>05002500225158754</t>
  </si>
  <si>
    <t>146/164/PCMI/AR/VII/2025</t>
  </si>
  <si>
    <t>05002500196077062</t>
  </si>
  <si>
    <t>116/125/PCMI/AR/VII/2025</t>
  </si>
  <si>
    <t>05002500196066239</t>
  </si>
  <si>
    <t>115/124/PCMI/AR/VII/2025</t>
  </si>
  <si>
    <t>05002500196048777</t>
  </si>
  <si>
    <t>114/123/PCMI/AR/VII/2025</t>
  </si>
  <si>
    <t>05002500196225842</t>
  </si>
  <si>
    <t>137/146/PCMI/AR/VII/2025</t>
  </si>
  <si>
    <t>05002500196215680</t>
  </si>
  <si>
    <t>135/144/PCMI/AR/VII/2025</t>
  </si>
  <si>
    <t>05002500196231564</t>
  </si>
  <si>
    <t>138/147/PCMI/AR/VII/2025</t>
  </si>
  <si>
    <t>05002500196220601</t>
  </si>
  <si>
    <t>136/145/PCMI/AR/VII/2025</t>
  </si>
  <si>
    <t>05002500196210570</t>
  </si>
  <si>
    <t>134/143/PCMI/AR/VII/2025</t>
  </si>
  <si>
    <t>05002500196205966</t>
  </si>
  <si>
    <t>133/142/PCMI/AR/VII/2025</t>
  </si>
  <si>
    <t>05002500196201091</t>
  </si>
  <si>
    <t>132/141/PCMI/AR/VII/2025</t>
  </si>
  <si>
    <t>05002500196194846</t>
  </si>
  <si>
    <t>131/140/PCMI/AR/VII/2025</t>
  </si>
  <si>
    <t>05002500196189693</t>
  </si>
  <si>
    <t>130/139/PCMI/AR/VII/2025</t>
  </si>
  <si>
    <t>05002500196183235</t>
  </si>
  <si>
    <t>129/138/PCMI/AR/VII/2025</t>
  </si>
  <si>
    <t>05002500196177449</t>
  </si>
  <si>
    <t>128/137/PCMI/AR/VII/2025</t>
  </si>
  <si>
    <t>05002500196173842</t>
  </si>
  <si>
    <t>127/136/PCMI/AR/VII/2025</t>
  </si>
  <si>
    <t>05002500196156437</t>
  </si>
  <si>
    <t>126/135/PCMI/AR/VII/2025</t>
  </si>
  <si>
    <t>05002500196150762</t>
  </si>
  <si>
    <t>125/134/PCMI/AR/VII/2025</t>
  </si>
  <si>
    <t>05002500196145990</t>
  </si>
  <si>
    <t>124/133/PCMI/AR/VII/2025</t>
  </si>
  <si>
    <t>05002500196141601</t>
  </si>
  <si>
    <t>123/132/PCMI/AR/VII/2025</t>
  </si>
  <si>
    <t>05002500196085835</t>
  </si>
  <si>
    <t>117/126/PCMI/AR/VII/2025</t>
  </si>
  <si>
    <t>05002500196113487</t>
  </si>
  <si>
    <t>120/129/PCMI/AR/VII/2025</t>
  </si>
  <si>
    <t>05002500196103068</t>
  </si>
  <si>
    <t>119/128/PCMI/AR/VII/2025</t>
  </si>
  <si>
    <t>05002500196091892</t>
  </si>
  <si>
    <t>118/127/PCMI/AR/VII/2025</t>
  </si>
  <si>
    <t>05002500196132683</t>
  </si>
  <si>
    <t>122/131/PCMI/AR/VII/2025</t>
  </si>
  <si>
    <t>05002500196124614</t>
  </si>
  <si>
    <t>121/130/PCMI/AR/VII/2025</t>
  </si>
  <si>
    <t>03002500218441600</t>
  </si>
  <si>
    <t>140/156/PCMI/AR/VII/2025</t>
  </si>
  <si>
    <t>03002500194138765</t>
  </si>
  <si>
    <t>113/122/PCMI/AR/VII/2025</t>
  </si>
  <si>
    <t>Dompet Global Indonesia</t>
  </si>
  <si>
    <t>03012500228951308</t>
  </si>
  <si>
    <t>148/166/PCMI/AR/VIII/2025</t>
  </si>
  <si>
    <t>05012500262951772</t>
  </si>
  <si>
    <t>164/183/PCMI/AR/VIII/2025</t>
  </si>
  <si>
    <t>05002500260277566</t>
  </si>
  <si>
    <t>166/185/PCMI/AR/VIII/2025</t>
  </si>
  <si>
    <t>03012500228951307</t>
  </si>
  <si>
    <t>149/167/PCMI/AR/VIII/2025</t>
  </si>
  <si>
    <t>05002500237139972</t>
  </si>
  <si>
    <t>152/170/PCMI/AR/VIII/2025</t>
  </si>
  <si>
    <t>05002500260277105</t>
  </si>
  <si>
    <t>165/184/PCMI/AR/VIII/2025</t>
  </si>
  <si>
    <t>05002500237146628</t>
  </si>
  <si>
    <t>153/171/PCMI/AR/VIII/2025</t>
  </si>
  <si>
    <t>05002500250251745</t>
  </si>
  <si>
    <t>160/179/PCMI/AR/VIII/2025</t>
  </si>
  <si>
    <t>05002500250238412</t>
  </si>
  <si>
    <t>158/177/PCMI/AR/VIII/2025</t>
  </si>
  <si>
    <t>05002500237153316</t>
  </si>
  <si>
    <t>154/172/PCMI/AR/VIII/2025</t>
  </si>
  <si>
    <t>05002500237159848</t>
  </si>
  <si>
    <t>155/173/PCMI/AR/VIII/2025</t>
  </si>
  <si>
    <t>05002500240453997</t>
  </si>
  <si>
    <t>157/175/PCMI/AR/VIII/2025</t>
  </si>
  <si>
    <t>05002500250253375</t>
  </si>
  <si>
    <t>161/180/PCMI/AR/VIII/2025</t>
  </si>
  <si>
    <t>05002500237165248</t>
  </si>
  <si>
    <t>156/174/PCMI/AR/VIII/2025</t>
  </si>
  <si>
    <t>05002500237132383</t>
  </si>
  <si>
    <t>151/169/PCMI/AR/VIII/2025</t>
  </si>
  <si>
    <t>05002500264207999</t>
  </si>
  <si>
    <t>Cirebon Energi Prasarana</t>
  </si>
  <si>
    <t>169/188/PCMI/AR/VIII/2025</t>
  </si>
  <si>
    <t>05002500237125667</t>
  </si>
  <si>
    <t>150/168/PCMI/AR/VIII/2025</t>
  </si>
  <si>
    <t>03012500228951309</t>
  </si>
  <si>
    <t>147/165/PCMI/AR/VIII/2025</t>
  </si>
  <si>
    <t>03002500260562802</t>
  </si>
  <si>
    <t>167/186/PCMI/AR/VIII/2025</t>
  </si>
  <si>
    <t>03002500254161718</t>
  </si>
  <si>
    <t>163/182/PCMI/AR/VIII/2025</t>
  </si>
  <si>
    <t>04012500260465555</t>
  </si>
  <si>
    <t>168/187/PCMI/AR/VIII/2025</t>
  </si>
  <si>
    <t>04002500250614210</t>
  </si>
  <si>
    <t>162/181/PCMI/AR/VIII/2025</t>
  </si>
  <si>
    <t>05002500250249092</t>
  </si>
  <si>
    <t>159/178/PCMI/AR/VIII/2025</t>
  </si>
  <si>
    <t>03002500269448012</t>
  </si>
  <si>
    <t>172/191/PCMI/AR/IX/2025</t>
  </si>
  <si>
    <t>03002500268305676</t>
  </si>
  <si>
    <t>171/190/PCMI/AR/IX/2025</t>
  </si>
  <si>
    <t>03002500281810540</t>
  </si>
  <si>
    <t>183/202/PCMI/AR/IX/2025</t>
  </si>
  <si>
    <t>04002500271209845</t>
  </si>
  <si>
    <t>174/193/PCMI/AR/IX/2025</t>
  </si>
  <si>
    <t>03002500299526387</t>
  </si>
  <si>
    <t>188/207/PCMI/AR/IX/2025</t>
  </si>
  <si>
    <t>03002500296813440</t>
  </si>
  <si>
    <t>187/206/PCMI/AR/IX/2025</t>
  </si>
  <si>
    <t>03002500296787683</t>
  </si>
  <si>
    <t>186/205/PCMI/AR/IX/2025</t>
  </si>
  <si>
    <t>03002500269873665</t>
  </si>
  <si>
    <t>173/192/PCMI/AR/IX/2025</t>
  </si>
  <si>
    <t>03002500281821744</t>
  </si>
  <si>
    <t>184/203/PCMI/AR/IX/2025</t>
  </si>
  <si>
    <t>03002500290730362</t>
  </si>
  <si>
    <t>185/204/PCMI/AR/IX/2025</t>
  </si>
  <si>
    <t>04002500305345953</t>
  </si>
  <si>
    <t>189/208/PCMI/AR/IX/2025</t>
  </si>
  <si>
    <t>04002500273017124</t>
  </si>
  <si>
    <t>182/201/PCMI/AR/IX/2025</t>
  </si>
  <si>
    <t>04002500273009434</t>
  </si>
  <si>
    <t>181/200/PCMI/AR/IX/2025</t>
  </si>
  <si>
    <t>04002500272987465</t>
  </si>
  <si>
    <t>180/199/PCMI/AR/IX/2025</t>
  </si>
  <si>
    <t>04002500272982773</t>
  </si>
  <si>
    <t>179/198/PCMI/AR/IX/2025</t>
  </si>
  <si>
    <t>04002500272978650</t>
  </si>
  <si>
    <t>178/197/PCMI/AR/IX/2025</t>
  </si>
  <si>
    <t>04002500272975896</t>
  </si>
  <si>
    <t>177/196/PCMI/AR/IX/2025</t>
  </si>
  <si>
    <t>04002500272971726</t>
  </si>
  <si>
    <t>176/195/PCMI/AR/IX/2025</t>
  </si>
  <si>
    <t>04002500272967769</t>
  </si>
  <si>
    <t>175/194/PCMI/AR/IX/2025</t>
  </si>
  <si>
    <t>041379357070027</t>
  </si>
  <si>
    <t>Kas Negara</t>
  </si>
  <si>
    <t>411211-100 : PPN Masa September</t>
  </si>
  <si>
    <t>PT Lingkaran Ganda Berkarya</t>
  </si>
  <si>
    <t>PT Academia Citra Abadi</t>
  </si>
  <si>
    <t>PT Sama Prodiction</t>
  </si>
  <si>
    <t>06 Production</t>
  </si>
  <si>
    <t>05002500349443159</t>
  </si>
  <si>
    <t>077/83/PCMI/AR/X/2025</t>
  </si>
  <si>
    <t>03002500313172242</t>
  </si>
  <si>
    <t>170/189/PCMI/AR/X/2025</t>
  </si>
  <si>
    <t>03002500323729046</t>
  </si>
  <si>
    <t>071/81/PCMI/AR/X/2025</t>
  </si>
  <si>
    <t>03002500327203588</t>
  </si>
  <si>
    <t>190/209/PCMI/AR/X/2025</t>
  </si>
  <si>
    <t>03002500331093445</t>
  </si>
  <si>
    <t>192/211/PCMI/AR/X/2025</t>
  </si>
  <si>
    <t>04002500327207761</t>
  </si>
  <si>
    <t>191/210/PCMI/AR/X/2025</t>
  </si>
  <si>
    <t>041494414897310</t>
  </si>
  <si>
    <t>411211-100 : PPN Masa Oktober</t>
  </si>
  <si>
    <t>Exabytes Network Indonesia</t>
  </si>
  <si>
    <t>Pacto</t>
  </si>
  <si>
    <t>03002500382311059</t>
  </si>
  <si>
    <t>207/291/PCMI/AR/XI/2025)</t>
  </si>
  <si>
    <t>03002500370779004</t>
  </si>
  <si>
    <t>200/283/PCMI/AR/XI/2025</t>
  </si>
  <si>
    <t>03002500378845923</t>
  </si>
  <si>
    <t>202/286/PCMI/AR/XI/2025</t>
  </si>
  <si>
    <t>03002500365532527</t>
  </si>
  <si>
    <t>198/281/PCMI/AR/XI/2025</t>
  </si>
  <si>
    <t>03002500381536626</t>
  </si>
  <si>
    <t>205/289//PCMI/AR/XI/2025</t>
  </si>
  <si>
    <t>03002500385155055</t>
  </si>
  <si>
    <t>211/297/PCMI/AR/XI/2025</t>
  </si>
  <si>
    <t>03012500384797188</t>
  </si>
  <si>
    <t>209/295/PCMI/AR/XI/2025</t>
  </si>
  <si>
    <t>03002500379523402</t>
  </si>
  <si>
    <t>204/288//PCMI/AR/XI/2025</t>
  </si>
  <si>
    <t>03002500365385514</t>
  </si>
  <si>
    <t>198/280/PCMI/AR/XI/2025</t>
  </si>
  <si>
    <t>03002500371860259</t>
  </si>
  <si>
    <t>201/284/PCMI/AR/XI/2025</t>
  </si>
  <si>
    <t>03002500366107257</t>
  </si>
  <si>
    <t>199/282/PCMI/AR/XI/2025</t>
  </si>
  <si>
    <t>04002500364997489</t>
  </si>
  <si>
    <t>196/279/PCMI/AR/XI/2025</t>
  </si>
  <si>
    <t>03002500365104422</t>
  </si>
  <si>
    <t>197/214/PCMI/AR/XI/2025</t>
  </si>
  <si>
    <t>03002500360067239</t>
  </si>
  <si>
    <t>193/276/PCMI/AR/XI/2025</t>
  </si>
  <si>
    <t>Telkom Indonesia (Persero) PT</t>
  </si>
  <si>
    <t>03002500427597670</t>
  </si>
  <si>
    <t>194/261/PCMI/AR/XII/2025</t>
  </si>
  <si>
    <t>03002500427549257</t>
  </si>
  <si>
    <t>192/254/PCMI/AR/XII/2025</t>
  </si>
  <si>
    <t>03002500427569061</t>
  </si>
  <si>
    <t>193/219/PCMI/AR/XII/2025</t>
  </si>
  <si>
    <t>04012500422143117</t>
  </si>
  <si>
    <t>187/229/PCMI/AR/XII/2025</t>
  </si>
  <si>
    <t>03002500409254361</t>
  </si>
  <si>
    <t>184/277-1/PCMI/AR/XII/2025</t>
  </si>
  <si>
    <t>03002500407653333</t>
  </si>
  <si>
    <t>182/253/PCMI/AR/XII/2025</t>
  </si>
  <si>
    <t>03002500409262858</t>
  </si>
  <si>
    <t xml:space="preserve"> 183/228/PCMI/AR/XII/2025</t>
  </si>
  <si>
    <t>03002500406699544</t>
  </si>
  <si>
    <t>180/268/PCMI/AR/XII/2025</t>
  </si>
  <si>
    <t>03002500434377582</t>
  </si>
  <si>
    <t>196/278/PCMI/AR/XII//2025</t>
  </si>
  <si>
    <t>04002500432274099</t>
  </si>
  <si>
    <t>195/235/PCMI/AR/XII/2025</t>
  </si>
  <si>
    <t>03012500423274525</t>
  </si>
  <si>
    <t>189/231/PCMI/AR/XII/2025</t>
  </si>
  <si>
    <t>03012500423280109</t>
  </si>
  <si>
    <t>191/ 234/PCMI/AR/XII/2025</t>
  </si>
  <si>
    <t>03022500423276527</t>
  </si>
  <si>
    <t>190/232/PCMI/AR/XII/2025</t>
  </si>
  <si>
    <t>04002500423247859</t>
  </si>
  <si>
    <t>Kantor Pusat Otoritas Jasa Keuangan</t>
  </si>
  <si>
    <t>188/230/PCMI/AR/XII/2025</t>
  </si>
  <si>
    <t>05012500402136452</t>
  </si>
  <si>
    <t>178/212/PCMI/AR/XII/2025</t>
  </si>
  <si>
    <t>03002500415619829</t>
  </si>
  <si>
    <t>185/226/PCMI/AR/XII/2025</t>
  </si>
  <si>
    <t>03002500396102232</t>
  </si>
  <si>
    <t>175/269/PCMI/AR/XII/2025</t>
  </si>
  <si>
    <t>03002500402167406</t>
  </si>
  <si>
    <t>179/292/PCMI/AR/XI/2025</t>
  </si>
  <si>
    <t>03002500402097230</t>
  </si>
  <si>
    <t>177/293/PCMI/AR/XI/2025</t>
  </si>
  <si>
    <t>Data di Rincian AP PPN 23-25</t>
  </si>
  <si>
    <t>Tidak ada di daftar Invoice 2025</t>
  </si>
  <si>
    <t>PT Orens Kreasi Indonesia (Irven Harahap)</t>
  </si>
  <si>
    <t>PPn Masa Nopember</t>
  </si>
  <si>
    <t>PPn Masa Desember</t>
  </si>
  <si>
    <t>PPn Masa - Nopember</t>
  </si>
  <si>
    <t>PPn Masa - Desenber</t>
  </si>
  <si>
    <t>Padi Telkom</t>
  </si>
  <si>
    <t>PPn Keluaran - PPn Masukan</t>
  </si>
  <si>
    <t>PPn Kurang (Lebih) Bayar</t>
  </si>
  <si>
    <t>UBP60215001202FFFFFF030209972429102 : PPH 23 Internet PCMI : Masa Desember 2023</t>
  </si>
  <si>
    <t>PPh-23 sebelum tahun 2025</t>
  </si>
  <si>
    <t>PPh-23 tahun 2025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</si>
  <si>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</si>
  <si>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</si>
  <si>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</si>
  <si>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</si>
  <si>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Mandiri FGD Pasar Murah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</si>
  <si>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</si>
  <si>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</si>
  <si>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</si>
  <si>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</si>
  <si>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</si>
  <si>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 Des 2025 MORA TELEMATIKA IN : Rp. 3.815.000</t>
  </si>
  <si>
    <t>Internet</t>
  </si>
  <si>
    <t xml:space="preserve">Internet Nov 2025 MORA TELEMATIKA IN  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</si>
  <si>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</si>
  <si>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</si>
  <si>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</si>
  <si>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</si>
  <si>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</si>
  <si>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</si>
  <si>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UBP60215001202FFFFFF041656438860744 : Pembayaran Surat Tagihan Denda PPN Masa Agustus 2025</t>
  </si>
  <si>
    <t>UBP60215001202FFFFFF041636826958565 : Pembayaran Surat Tagihan Denda dan bunga PPH Badan 2024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</si>
  <si>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</si>
  <si>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</si>
  <si>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</si>
  <si>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>Overtime Des      ADUN SOPANDI</t>
  </si>
  <si>
    <t>Overtime Des      SUKANDA</t>
  </si>
  <si>
    <t>Overtime Des      MUHAMMAD UJER AWAL</t>
  </si>
  <si>
    <t>Overtime Des      SUPRIYADI</t>
  </si>
  <si>
    <t xml:space="preserve"> Pembayaran Surat Tagihan Denda PPN Masa Agustus 2025 dan PPH Badan 2024</t>
  </si>
  <si>
    <t>Mutasi BCA Sahardjo 2026</t>
  </si>
  <si>
    <t>Mutasi BCA Juanda 2026</t>
  </si>
  <si>
    <t>Mutasi Mandiri MP 2026</t>
  </si>
  <si>
    <t>Mutasi Bank Mandiri MP 2026</t>
  </si>
  <si>
    <t>STATUS</t>
  </si>
  <si>
    <t>PPN Keluaran</t>
  </si>
  <si>
    <t>Masukan</t>
  </si>
  <si>
    <t>ADBT 0000000000320321 45193834 AUTOCORP</t>
  </si>
  <si>
    <t>Retail IDN JAKARTA SELATAN APOTEK AJI WA</t>
  </si>
  <si>
    <t>LATE CHARGES</t>
  </si>
  <si>
    <t>Retail IDN Jakarta Sela SPBU 34-12805</t>
  </si>
  <si>
    <t>Retail IDN BOGOR KOT. SPBU 3416102 PADJA</t>
  </si>
  <si>
    <t>Retail IDN JAKARTA SELAT GOJEK RECURRING</t>
  </si>
  <si>
    <t>Retail IDN JAKARTA TIMUR SPBU 34.13809,C</t>
  </si>
  <si>
    <t>BEA MATERAI LUNA</t>
  </si>
  <si>
    <t>Finance Charge</t>
  </si>
  <si>
    <t>Lebih bayar PPN April'25 pemindahan ke masa Sept'25 - pembetulan SPT I</t>
  </si>
  <si>
    <t>Lebih bayar PPN April'25 pemindahan ke masa Sept'25 - pembetulan SPT II</t>
  </si>
  <si>
    <t>235/PCMI/AR/XII/2025</t>
  </si>
  <si>
    <t xml:space="preserve">Add Cost </t>
  </si>
  <si>
    <t>Dibatalkan dan Pembetulan Sep</t>
  </si>
  <si>
    <t>PPn Masukan 2025 dilaporkan 2026</t>
  </si>
  <si>
    <t>217/PCMI/AR/XII/2025</t>
  </si>
  <si>
    <t>FIF Group</t>
  </si>
  <si>
    <t>FIF NMC ACT Handling</t>
  </si>
  <si>
    <t>Cancellation Event FIF Group Hajatan Akbar NMC ACT Handling</t>
  </si>
  <si>
    <t>Retail IDN JAKARTA SELATAN NASI TEMPONG : Makan siang Ibu AH dan FA, 8Dec 2025</t>
  </si>
  <si>
    <t>AH FA</t>
  </si>
  <si>
    <t xml:space="preserve">Retail IDN JAKARTA TIMUR HOLLAND BAKERY : Pembelian Snack Box untuk Team, Crew dan Talents, 9Dec 2025		550.900	0	</t>
  </si>
  <si>
    <t>Retail USA SAN JOSE ZOOM.COM 888-799-966 : Monthly payment panconvince.streaming@gmail.com</t>
  </si>
  <si>
    <t>Retail IDN Gianyar (Kab BALI SUPERHOST B : Pembayaran 1 unit Villa Arroyo Ubud (10-12 Januari 2026)</t>
  </si>
  <si>
    <t>Shell Bali Private Trip 2026</t>
  </si>
  <si>
    <t>Retail IDN Gianyar (Kab BALI SUPERHOST B : Balinese Spa 90mnt (11-Jan) dan Breakfast (12-Jan)</t>
  </si>
  <si>
    <t>Retail IDN JAKARTA SLT SNAPY TEBET 1 : Snapy Tebet - Print Proporsal Mandiri Taspen</t>
  </si>
  <si>
    <t>PPn Masukan April 2024 yang BELUM DILAPORKAN</t>
  </si>
  <si>
    <t>WA Tika 8-Feb-26 : Yang benar TANPA PPN, Faktur 04002500108452904 Rp. 2.200.000 harus dibatalkan</t>
  </si>
  <si>
    <t>Pindah Buku Non Tax - Paket Sembako Mandiri Pasar Murah</t>
  </si>
  <si>
    <t>Salah Transfer</t>
  </si>
  <si>
    <t>Pembayaran</t>
  </si>
  <si>
    <t>WA AH : 2025 PL Check as per 13-March - Pengembalian dana ke panitia</t>
  </si>
  <si>
    <t>Penghapusan AP Others Lama (dibawah 2023)</t>
  </si>
  <si>
    <t>298/PCMI/AR/XI/2025</t>
  </si>
  <si>
    <t>Money Bucket Farewell Bu Henny</t>
  </si>
  <si>
    <t xml:space="preserve">TSel Orbit HH Q4 MealsMba Umi H  UMI HABIBAH MANSYU </t>
  </si>
  <si>
    <t xml:space="preserve">TSel Orbit HH Q4 Add Meals BakuSay  UMI HABIBAH MANSYU </t>
  </si>
  <si>
    <t>UBP60215001202FFFFFF042082495394940 MCM CASA UBP Pym 1L  : STP Denda Pajak PPN Masa Nop</t>
  </si>
  <si>
    <t xml:space="preserve">BRI FGD SEMARANG KOM00044   CENAIDJA/TIKA RISKI ASTARI </t>
  </si>
  <si>
    <t>BRI PERINGATAN PUNCA00051  020601052431504/OI36000807492341</t>
  </si>
  <si>
    <t xml:space="preserve">Mandiri Pasar Murah, 27084 MCM InhouseTrf  KE GNC </t>
  </si>
  <si>
    <t>BSIN Supplier Mtg, P BRINIDJA/KREASI MILIMETER NUS</t>
  </si>
  <si>
    <t>Cash IDR - Mutasi 2026</t>
  </si>
  <si>
    <t>Tol dan Parkir</t>
  </si>
  <si>
    <t>Pembelian meals</t>
  </si>
  <si>
    <t>UBP60215001202FFFFFF042000088846803 : Kurang Bayar PPh-21 Tahun 2025</t>
  </si>
  <si>
    <t>PPn Non WAPU - 2025</t>
  </si>
  <si>
    <t>PPn Non WAPU end of 2024</t>
  </si>
  <si>
    <t xml:space="preserve"> Faktur 04002500108452904 belum dibatalkan Tika</t>
  </si>
  <si>
    <t>PAID</t>
  </si>
  <si>
    <t>AP PPN NON WAPU</t>
  </si>
  <si>
    <t>LEDGER</t>
  </si>
  <si>
    <t>SUB-LEDGER 1</t>
  </si>
  <si>
    <t>SUB-LEDGER 2</t>
  </si>
  <si>
    <t>SUB-LEDGER 3</t>
  </si>
  <si>
    <t>Seharusnya Rp. 38.375.697</t>
  </si>
  <si>
    <t>BCA Juanda to PPn In and Out</t>
  </si>
  <si>
    <t>BCA Juanda to AP In and Out</t>
  </si>
  <si>
    <t>Mandiri Mid Plaza to PPn In and Out</t>
  </si>
  <si>
    <t>PPn In and Out to Non Cash Bank</t>
  </si>
  <si>
    <t>Non Cash Bank to PPn In and Out</t>
  </si>
  <si>
    <t>AP In and Out</t>
  </si>
  <si>
    <t>PPn Masa - Desenber 2024</t>
  </si>
  <si>
    <t>041608795642306 Pembayaran PPN Masa Nopember 2025</t>
  </si>
  <si>
    <t>041675165816265 Pembayaran PPN Masa Desember 2025</t>
  </si>
  <si>
    <t>PPn In and Out</t>
  </si>
  <si>
    <t>BCA Juanda to AP PPN In and Out</t>
  </si>
  <si>
    <t>Mandiri Mid Plaza to PPN In and Out</t>
  </si>
  <si>
    <t>Non Cash Bank to PPN In and Out</t>
  </si>
  <si>
    <t>PPN In and Out to BCA Sahardjo</t>
  </si>
  <si>
    <t>PPn In and Out to BCA Juanda</t>
  </si>
  <si>
    <t>PPn In and Out to Mandiri Mid Plaza</t>
  </si>
  <si>
    <t>PPn In and Out to BRI Sahardjo</t>
  </si>
  <si>
    <t>PPn In and Out to BTN</t>
  </si>
  <si>
    <t>PPn In and Out to BJB</t>
  </si>
  <si>
    <t>PPn In and Out to Bank Raya</t>
  </si>
  <si>
    <t>PPn In and Out to BRI Tebet</t>
  </si>
  <si>
    <t>PPn In and Out to Mandiri Plasa</t>
  </si>
  <si>
    <t>PPn In and Out to BNI</t>
  </si>
  <si>
    <t>PPn In and Out to Cash IDR</t>
  </si>
  <si>
    <t>AP PPn WAPU - 2023</t>
  </si>
  <si>
    <t>AP PPn WAPU - 2024</t>
  </si>
  <si>
    <t>AP PPn WAPU - 2025</t>
  </si>
  <si>
    <t>AP PPn 2025</t>
  </si>
  <si>
    <t>PPN Masukan</t>
  </si>
  <si>
    <t>Lapor Rp.49.595.169 Seharusnya Rp. 38.375.697</t>
  </si>
  <si>
    <t>Lebih Bayar PPn Keluaran</t>
  </si>
  <si>
    <t>Selisih Lebih Bayar PPn Keluaran dan PPn Masukan</t>
  </si>
  <si>
    <t>216/PCMI/AR/X/2025</t>
  </si>
  <si>
    <t>Pengadaan untuk ANO Sumatera Forum 2025</t>
  </si>
  <si>
    <t>044/97/PCMI/AR/II/2026</t>
  </si>
  <si>
    <t>WA Yogi 5-Jun-26 : Inv 044/227/PCMI/AR/II/2026 Telkomsel ANO Forum 2024 (Lampung, 24-26 Feb2025) : Rp. 221.286.887 MASUK SALES 2025</t>
  </si>
  <si>
    <t>PPn WAPU - 2026</t>
  </si>
  <si>
    <t>SNAPY TEBET I</t>
  </si>
  <si>
    <t>SERIBU RASA GATOT SUBROTO</t>
  </si>
  <si>
    <t>SUPERINDO PCA PANCORAN JAKARTA</t>
  </si>
  <si>
    <t>APOTEK ALPRO TEBET BRT JAKARTA SLT</t>
  </si>
  <si>
    <t>2271 ST EG TEBET Jakarta Selat</t>
  </si>
  <si>
    <t>RUMAH SEAFOOD-HO</t>
  </si>
  <si>
    <t>ALFAMRT 2JS5 NUSAPUTRA SUKABUMI</t>
  </si>
  <si>
    <t>Cetak signage dan based que card</t>
  </si>
  <si>
    <t>Lalamove dari percetakan ke kantor</t>
  </si>
  <si>
    <t>Lalamove dari kantor ke venue</t>
  </si>
  <si>
    <t>Makan malam Rizky, Ableh, Iyan, Agung</t>
  </si>
  <si>
    <t xml:space="preserve">Beli amplop </t>
  </si>
  <si>
    <t>Beli lakban hitam 3 pcs</t>
  </si>
  <si>
    <t>Beli trashbag &amp; tissue</t>
  </si>
  <si>
    <t>Beli lakban hitam 1 pcs</t>
  </si>
  <si>
    <t>Makan Malam Loading Ableh &amp; Lonte</t>
  </si>
  <si>
    <t>Beli Snack Box Team</t>
  </si>
  <si>
    <t>Gosend Snack Box Team</t>
  </si>
  <si>
    <t>Makan Sarapan Ableh &amp; Lonte</t>
  </si>
  <si>
    <t>Parkir Motor Lonte</t>
  </si>
  <si>
    <t>Belanja Lakban &amp; Kertas HVS</t>
  </si>
  <si>
    <t>Belanja Air Mineral 330ml</t>
  </si>
  <si>
    <t>Belanja Label &amp; Tambahan Lakban</t>
  </si>
  <si>
    <t>Top Up Flazz (Tol Rizky)</t>
  </si>
  <si>
    <t>Print Cetakan Signage at Mahkota Print</t>
  </si>
  <si>
    <t xml:space="preserve">Gosend Cetakan </t>
  </si>
  <si>
    <t>Gosend Revisi Cetakan</t>
  </si>
  <si>
    <t>Makan Malam Loading : Rizky, Ableh, Praja, Komeng, Raka, Bokir &amp; Pak Yadi</t>
  </si>
  <si>
    <t>Beli Paket Internet Orbit</t>
  </si>
  <si>
    <t>Beli Kopi Kenangan untuk 4 Team Show Management &amp; 3 Team PCMI</t>
  </si>
  <si>
    <t>Reimburse Bensin Mobil Ableh</t>
  </si>
  <si>
    <t>Reimburse Tol Ableh (Pintu Tol Bambu Apus)</t>
  </si>
  <si>
    <t>Reimburse Tol Ableh (Pintu Tol Cikampek - Karawang Timur 2)</t>
  </si>
  <si>
    <t>Reimburse Tol Ableh (Tol Cikampek - Jakarta : Kertas Habis)</t>
  </si>
  <si>
    <t>Penukaran uang 1000 Real, 20 lembar pecahan 50</t>
  </si>
  <si>
    <t>Bucket Uang Real</t>
  </si>
  <si>
    <t>Laporan CA oleh Tika 10-Jun-2026</t>
  </si>
  <si>
    <t>WA Message AH</t>
  </si>
  <si>
    <t>2025 PL Check as per 13-March by AH - Pengembalian dana ke panitia</t>
  </si>
  <si>
    <t>Laporan CA</t>
  </si>
  <si>
    <t>Mandiri FGD Banten (ex Mandiri FGD IKN)</t>
  </si>
  <si>
    <t>072/271/PCMI/AR/V/2026</t>
  </si>
  <si>
    <t xml:space="preserve">Souvenirs Eksklusif Korporat </t>
  </si>
  <si>
    <t>Faktur PPN WAPU masuk dalam laporan tahun 2026</t>
  </si>
  <si>
    <t>Karyawan PCMI</t>
  </si>
  <si>
    <t xml:space="preserve">Hutang pada AH </t>
  </si>
  <si>
    <t>Hutang pada AH dan DH</t>
  </si>
  <si>
    <t>Bonus Karyawan- 2025</t>
  </si>
  <si>
    <t xml:space="preserve">Hutang pada DH </t>
  </si>
  <si>
    <t>Bonus Karyawan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</si>
</sst>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.00_);_(&quot;Rp&quot;* \(#,##0.00\);_(&quot;Rp&quot;* &quot;-&quot;??_);_(@_)"/>
    <numFmt numFmtId="166" formatCode="_(* #,##0.00_);_(* \(#,##0.00\);_(* &quot;-&quot;??_);_(@_)"/>
    <numFmt numFmtId="167" formatCode="_(* #,##0.00_);_(* \(#,##0.00\);_(* &quot;-&quot;_);_(@_)"/>
    <numFmt numFmtId="168" formatCode="[$-409]d\-mmm\-yy;@"/>
    <numFmt numFmtId="169" formatCode="_(* #,##0_);_(* \(#,##0\);_(* &quot;-&quot;??_);_(@_)"/>
    <numFmt numFmtId="170" formatCode="[$-409]mmm\-yy;@"/>
  </numFmts>
  <fonts count="46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0070C0"/>
      <name val="TimesNewRomanPSMT"/>
    </font>
    <font>
      <sz val="12"/>
      <name val="Verdana"/>
      <family val="2"/>
    </font>
    <font>
      <b/>
      <sz val="14"/>
      <color theme="1"/>
      <name val="TimesNewRomanPSMT"/>
    </font>
    <font>
      <b/>
      <sz val="12"/>
      <name val="TimesNewRomanPSMT"/>
    </font>
    <font>
      <b/>
      <sz val="12"/>
      <color rgb="FF000000"/>
      <name val="TimesNewRomanPSMT"/>
    </font>
    <font>
      <b/>
      <sz val="14"/>
      <name val="Verdana"/>
      <family val="2"/>
    </font>
    <font>
      <b/>
      <sz val="12"/>
      <name val="Verdana"/>
      <family val="2"/>
    </font>
    <font>
      <i/>
      <sz val="12"/>
      <name val="Verdana"/>
      <family val="2"/>
    </font>
    <font>
      <sz val="12"/>
      <name val="Times New Roman"/>
      <family val="2"/>
    </font>
    <font>
      <sz val="12"/>
      <color theme="1"/>
      <name val="Calibri"/>
      <family val="2"/>
      <scheme val="minor"/>
    </font>
    <font>
      <sz val="8"/>
      <name val="TimesNewRomanPSMT"/>
      <family val="2"/>
    </font>
    <font>
      <sz val="12"/>
      <color rgb="FF000000"/>
      <name val="Times New Roman"/>
      <family val="1"/>
    </font>
    <font>
      <b/>
      <sz val="12"/>
      <color rgb="FFFF0000"/>
      <name val="TimesNewRomanPSMT"/>
    </font>
    <font>
      <b/>
      <sz val="14"/>
      <color rgb="FF0070C0"/>
      <name val="Verdana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NewRomanPSMT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Comic Sans MS"/>
      <family val="4"/>
    </font>
    <font>
      <b/>
      <sz val="12"/>
      <name val="TimesNewRomanPSMT"/>
      <family val="2"/>
    </font>
    <font>
      <sz val="12"/>
      <color rgb="FF0070C0"/>
      <name val="TimesNewRomanPSMT"/>
    </font>
    <font>
      <sz val="12"/>
      <color rgb="FFFF0000"/>
      <name val="TimesNewRomanPSMT"/>
    </font>
    <font>
      <sz val="12"/>
      <color rgb="FF0070C0"/>
      <name val="TimesNewRomanPSMT"/>
      <family val="2"/>
    </font>
    <font>
      <sz val="12"/>
      <color rgb="FF000000"/>
      <name val="TimesNewRomanPSMT"/>
    </font>
    <font>
      <i/>
      <sz val="12"/>
      <color rgb="FFFF0000"/>
      <name val="TimesNewRomanPSMT"/>
    </font>
    <font>
      <sz val="12"/>
      <color theme="7" tint="-0.499984740745262"/>
      <name val="TimesNewRomanPSMT"/>
      <family val="2"/>
    </font>
    <font>
      <i/>
      <sz val="12"/>
      <name val="TimesNewRomanPSMT"/>
    </font>
    <font>
      <i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26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  <xf numFmtId="166" fontId="1" fillId="0" borderId="0" applyFont="0" applyFill="0" applyBorder="0" applyAlignment="0" applyProtection="0"/>
  </cellStyleXfs>
  <cellXfs count="384">
    <xf numFmtId="0" fontId="0" fillId="0" borderId="0" xfId="0"/>
    <xf numFmtId="167" fontId="0" fillId="0" borderId="0" xfId="1" applyNumberFormat="1" applyFont="1"/>
    <xf numFmtId="167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left"/>
    </xf>
    <xf numFmtId="0" fontId="0" fillId="0" borderId="0" xfId="0" quotePrefix="1"/>
    <xf numFmtId="0" fontId="4" fillId="0" borderId="0" xfId="0" applyFont="1"/>
    <xf numFmtId="0" fontId="2" fillId="0" borderId="0" xfId="0" applyFont="1"/>
    <xf numFmtId="167" fontId="2" fillId="0" borderId="0" xfId="1" applyNumberFormat="1" applyFont="1"/>
    <xf numFmtId="167" fontId="0" fillId="0" borderId="0" xfId="1" applyNumberFormat="1" applyFont="1" applyFill="1"/>
    <xf numFmtId="0" fontId="5" fillId="0" borderId="0" xfId="0" quotePrefix="1" applyFont="1"/>
    <xf numFmtId="168" fontId="4" fillId="0" borderId="0" xfId="0" applyNumberFormat="1" applyFont="1" applyAlignment="1">
      <alignment horizontal="center"/>
    </xf>
    <xf numFmtId="167" fontId="4" fillId="0" borderId="0" xfId="1" applyNumberFormat="1" applyFont="1"/>
    <xf numFmtId="0" fontId="7" fillId="0" borderId="0" xfId="0" applyFont="1"/>
    <xf numFmtId="0" fontId="9" fillId="0" borderId="0" xfId="2" quotePrefix="1" applyFont="1" applyAlignment="1">
      <alignment horizontal="center"/>
    </xf>
    <xf numFmtId="0" fontId="9" fillId="0" borderId="0" xfId="3"/>
    <xf numFmtId="167" fontId="9" fillId="0" borderId="0" xfId="4" applyNumberFormat="1" applyFont="1" applyFill="1"/>
    <xf numFmtId="0" fontId="10" fillId="0" borderId="0" xfId="2" applyFont="1"/>
    <xf numFmtId="0" fontId="9" fillId="0" borderId="0" xfId="2" applyFont="1"/>
    <xf numFmtId="167" fontId="9" fillId="0" borderId="0" xfId="4" applyNumberFormat="1" applyFont="1" applyFill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3" applyFont="1" applyAlignment="1">
      <alignment horizontal="center"/>
    </xf>
    <xf numFmtId="0" fontId="12" fillId="0" borderId="0" xfId="2" applyFont="1" applyAlignment="1">
      <alignment horizontal="center"/>
    </xf>
    <xf numFmtId="167" fontId="9" fillId="0" borderId="0" xfId="4" applyNumberFormat="1" applyFont="1" applyFill="1" applyAlignment="1">
      <alignment horizontal="center"/>
    </xf>
    <xf numFmtId="0" fontId="9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7" fontId="9" fillId="0" borderId="0" xfId="4" applyNumberFormat="1" applyFont="1" applyFill="1" applyBorder="1"/>
    <xf numFmtId="0" fontId="10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43" fontId="9" fillId="0" borderId="0" xfId="2" applyNumberFormat="1" applyFont="1" applyAlignment="1">
      <alignment horizontal="left"/>
    </xf>
    <xf numFmtId="167" fontId="9" fillId="0" borderId="0" xfId="4" applyNumberFormat="1" applyFont="1" applyFill="1" applyBorder="1" applyAlignment="1">
      <alignment horizontal="left"/>
    </xf>
    <xf numFmtId="166" fontId="9" fillId="0" borderId="0" xfId="2" applyNumberFormat="1" applyFont="1" applyAlignment="1">
      <alignment horizontal="left"/>
    </xf>
    <xf numFmtId="0" fontId="0" fillId="0" borderId="0" xfId="2" quotePrefix="1" applyFont="1" applyAlignment="1">
      <alignment horizontal="center"/>
    </xf>
    <xf numFmtId="0" fontId="9" fillId="0" borderId="0" xfId="3" applyAlignment="1">
      <alignment horizontal="center"/>
    </xf>
    <xf numFmtId="0" fontId="5" fillId="0" borderId="0" xfId="2" applyFont="1" applyAlignment="1">
      <alignment horizontal="center"/>
    </xf>
    <xf numFmtId="0" fontId="9" fillId="0" borderId="0" xfId="3" applyAlignment="1">
      <alignment horizontal="left"/>
    </xf>
    <xf numFmtId="0" fontId="14" fillId="0" borderId="0" xfId="2" applyFont="1"/>
    <xf numFmtId="167" fontId="5" fillId="0" borderId="0" xfId="1" applyNumberFormat="1" applyFont="1" applyFill="1"/>
    <xf numFmtId="0" fontId="5" fillId="0" borderId="0" xfId="0" applyFont="1"/>
    <xf numFmtId="167" fontId="5" fillId="0" borderId="0" xfId="1" applyNumberFormat="1" applyFont="1"/>
    <xf numFmtId="0" fontId="15" fillId="0" borderId="0" xfId="3" applyFont="1"/>
    <xf numFmtId="0" fontId="9" fillId="0" borderId="0" xfId="0" applyFont="1"/>
    <xf numFmtId="167" fontId="3" fillId="0" borderId="0" xfId="0" applyNumberFormat="1" applyFont="1"/>
    <xf numFmtId="167" fontId="11" fillId="0" borderId="0" xfId="4" applyNumberFormat="1" applyFont="1" applyFill="1"/>
    <xf numFmtId="164" fontId="2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5" fillId="0" borderId="0" xfId="0" applyNumberFormat="1" applyFont="1"/>
    <xf numFmtId="164" fontId="5" fillId="0" borderId="0" xfId="1" applyFont="1" applyFill="1"/>
    <xf numFmtId="166" fontId="0" fillId="0" borderId="0" xfId="0" applyNumberFormat="1"/>
    <xf numFmtId="164" fontId="5" fillId="0" borderId="0" xfId="1" applyFont="1"/>
    <xf numFmtId="167" fontId="4" fillId="0" borderId="0" xfId="1" applyNumberFormat="1" applyFont="1" applyFill="1"/>
    <xf numFmtId="167" fontId="4" fillId="0" borderId="0" xfId="0" applyNumberFormat="1" applyFont="1"/>
    <xf numFmtId="167" fontId="0" fillId="0" borderId="0" xfId="4" applyNumberFormat="1" applyFont="1"/>
    <xf numFmtId="166" fontId="9" fillId="0" borderId="0" xfId="3" applyNumberFormat="1"/>
    <xf numFmtId="164" fontId="0" fillId="0" borderId="0" xfId="4" applyFont="1" applyAlignment="1">
      <alignment horizontal="center"/>
    </xf>
    <xf numFmtId="166" fontId="9" fillId="0" borderId="0" xfId="8" applyFont="1" applyFill="1" applyBorder="1" applyAlignment="1">
      <alignment horizontal="center"/>
    </xf>
    <xf numFmtId="0" fontId="11" fillId="0" borderId="0" xfId="3" applyFont="1" applyAlignment="1">
      <alignment horizontal="left"/>
    </xf>
    <xf numFmtId="17" fontId="9" fillId="0" borderId="0" xfId="3" applyNumberFormat="1" applyAlignment="1">
      <alignment horizontal="center"/>
    </xf>
    <xf numFmtId="17" fontId="9" fillId="0" borderId="0" xfId="3" applyNumberFormat="1"/>
    <xf numFmtId="17" fontId="18" fillId="0" borderId="0" xfId="3" applyNumberFormat="1" applyFont="1" applyAlignment="1">
      <alignment horizontal="center"/>
    </xf>
    <xf numFmtId="0" fontId="11" fillId="0" borderId="0" xfId="3" applyFont="1"/>
    <xf numFmtId="169" fontId="9" fillId="0" borderId="0" xfId="4" applyNumberFormat="1" applyFont="1"/>
    <xf numFmtId="164" fontId="9" fillId="0" borderId="0" xfId="4" applyFont="1" applyAlignment="1">
      <alignment horizontal="center"/>
    </xf>
    <xf numFmtId="164" fontId="0" fillId="0" borderId="0" xfId="4" applyFont="1"/>
    <xf numFmtId="164" fontId="9" fillId="0" borderId="0" xfId="3" applyNumberFormat="1"/>
    <xf numFmtId="169" fontId="9" fillId="0" borderId="0" xfId="3" applyNumberFormat="1"/>
    <xf numFmtId="15" fontId="9" fillId="0" borderId="0" xfId="3" applyNumberFormat="1" applyAlignment="1">
      <alignment horizontal="center"/>
    </xf>
    <xf numFmtId="169" fontId="0" fillId="0" borderId="0" xfId="4" applyNumberFormat="1" applyFont="1"/>
    <xf numFmtId="15" fontId="9" fillId="0" borderId="0" xfId="3" applyNumberFormat="1"/>
    <xf numFmtId="169" fontId="11" fillId="0" borderId="0" xfId="4" applyNumberFormat="1" applyFont="1"/>
    <xf numFmtId="164" fontId="9" fillId="0" borderId="0" xfId="4" applyFont="1"/>
    <xf numFmtId="164" fontId="11" fillId="0" borderId="0" xfId="4" applyFont="1"/>
    <xf numFmtId="169" fontId="11" fillId="0" borderId="0" xfId="3" applyNumberFormat="1" applyFont="1"/>
    <xf numFmtId="164" fontId="11" fillId="0" borderId="0" xfId="3" applyNumberFormat="1" applyFont="1"/>
    <xf numFmtId="0" fontId="6" fillId="0" borderId="0" xfId="0" applyFont="1"/>
    <xf numFmtId="164" fontId="6" fillId="0" borderId="0" xfId="0" applyNumberFormat="1" applyFont="1"/>
    <xf numFmtId="0" fontId="3" fillId="0" borderId="0" xfId="0" applyFont="1"/>
    <xf numFmtId="0" fontId="19" fillId="0" borderId="0" xfId="0" applyFont="1"/>
    <xf numFmtId="167" fontId="0" fillId="0" borderId="0" xfId="0" applyNumberFormat="1"/>
    <xf numFmtId="167" fontId="20" fillId="0" borderId="0" xfId="1" applyNumberFormat="1" applyFont="1"/>
    <xf numFmtId="9" fontId="0" fillId="0" borderId="0" xfId="0" applyNumberFormat="1"/>
    <xf numFmtId="167" fontId="21" fillId="0" borderId="0" xfId="0" applyNumberFormat="1" applyFont="1" applyAlignment="1">
      <alignment horizontal="center"/>
    </xf>
    <xf numFmtId="10" fontId="0" fillId="0" borderId="0" xfId="5" applyNumberFormat="1" applyFont="1"/>
    <xf numFmtId="10" fontId="2" fillId="0" borderId="0" xfId="5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 indent="2"/>
    </xf>
    <xf numFmtId="0" fontId="11" fillId="0" borderId="0" xfId="0" applyFont="1" applyAlignment="1">
      <alignment horizontal="center"/>
    </xf>
    <xf numFmtId="167" fontId="17" fillId="0" borderId="0" xfId="1" applyNumberFormat="1" applyFont="1"/>
    <xf numFmtId="9" fontId="0" fillId="0" borderId="0" xfId="5" applyFont="1"/>
    <xf numFmtId="0" fontId="18" fillId="0" borderId="0" xfId="3" applyFont="1"/>
    <xf numFmtId="0" fontId="23" fillId="0" borderId="0" xfId="3" applyFont="1"/>
    <xf numFmtId="0" fontId="23" fillId="0" borderId="0" xfId="3" applyFont="1" applyAlignment="1">
      <alignment horizontal="center"/>
    </xf>
    <xf numFmtId="167" fontId="24" fillId="0" borderId="0" xfId="4" applyNumberFormat="1" applyFont="1"/>
    <xf numFmtId="0" fontId="23" fillId="0" borderId="0" xfId="3" applyFont="1" applyAlignment="1">
      <alignment horizontal="left"/>
    </xf>
    <xf numFmtId="165" fontId="18" fillId="0" borderId="0" xfId="4" applyNumberFormat="1" applyFont="1"/>
    <xf numFmtId="0" fontId="18" fillId="0" borderId="0" xfId="3" applyFont="1" applyAlignment="1">
      <alignment horizontal="left" indent="2"/>
    </xf>
    <xf numFmtId="0" fontId="18" fillId="0" borderId="0" xfId="3" applyFont="1" applyAlignment="1">
      <alignment horizontal="left" indent="4"/>
    </xf>
    <xf numFmtId="167" fontId="18" fillId="0" borderId="0" xfId="4" applyNumberFormat="1" applyFont="1"/>
    <xf numFmtId="165" fontId="9" fillId="0" borderId="0" xfId="3" applyNumberFormat="1"/>
    <xf numFmtId="0" fontId="18" fillId="0" borderId="0" xfId="3" applyFont="1" applyAlignment="1">
      <alignment horizontal="left" indent="6"/>
    </xf>
    <xf numFmtId="0" fontId="23" fillId="0" borderId="0" xfId="3" applyFont="1" applyAlignment="1">
      <alignment horizontal="right"/>
    </xf>
    <xf numFmtId="165" fontId="23" fillId="0" borderId="0" xfId="4" applyNumberFormat="1" applyFont="1"/>
    <xf numFmtId="0" fontId="18" fillId="0" borderId="0" xfId="3" applyFont="1" applyAlignment="1">
      <alignment horizontal="left" indent="1"/>
    </xf>
    <xf numFmtId="167" fontId="23" fillId="0" borderId="0" xfId="4" applyNumberFormat="1" applyFont="1"/>
    <xf numFmtId="0" fontId="23" fillId="3" borderId="0" xfId="3" applyFont="1" applyFill="1" applyAlignment="1">
      <alignment horizontal="center"/>
    </xf>
    <xf numFmtId="165" fontId="23" fillId="3" borderId="0" xfId="4" applyNumberFormat="1" applyFont="1" applyFill="1"/>
    <xf numFmtId="165" fontId="23" fillId="0" borderId="0" xfId="3" applyNumberFormat="1" applyFont="1"/>
    <xf numFmtId="9" fontId="9" fillId="0" borderId="0" xfId="3" applyNumberFormat="1"/>
    <xf numFmtId="168" fontId="3" fillId="0" borderId="0" xfId="0" applyNumberFormat="1" applyFont="1" applyAlignment="1">
      <alignment horizontal="center"/>
    </xf>
    <xf numFmtId="167" fontId="15" fillId="0" borderId="0" xfId="4" applyNumberFormat="1" applyFont="1" applyFill="1"/>
    <xf numFmtId="0" fontId="15" fillId="0" borderId="0" xfId="3" applyFont="1" applyAlignment="1">
      <alignment horizontal="left"/>
    </xf>
    <xf numFmtId="164" fontId="4" fillId="0" borderId="0" xfId="1" applyFont="1"/>
    <xf numFmtId="0" fontId="5" fillId="0" borderId="0" xfId="2" quotePrefix="1" applyFont="1" applyAlignment="1">
      <alignment horizontal="center"/>
    </xf>
    <xf numFmtId="164" fontId="5" fillId="0" borderId="0" xfId="4" quotePrefix="1" applyFont="1" applyFill="1"/>
    <xf numFmtId="167" fontId="9" fillId="0" borderId="0" xfId="1" applyNumberFormat="1" applyFont="1" applyFill="1"/>
    <xf numFmtId="0" fontId="9" fillId="0" borderId="0" xfId="0" applyFont="1" applyAlignment="1">
      <alignment horizontal="left"/>
    </xf>
    <xf numFmtId="167" fontId="11" fillId="0" borderId="0" xfId="4" applyNumberFormat="1" applyFont="1" applyFill="1" applyAlignment="1">
      <alignment horizontal="center"/>
    </xf>
    <xf numFmtId="0" fontId="5" fillId="0" borderId="0" xfId="3" applyFont="1"/>
    <xf numFmtId="0" fontId="11" fillId="0" borderId="2" xfId="3" applyFont="1" applyBorder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1" applyFont="1"/>
    <xf numFmtId="0" fontId="0" fillId="4" borderId="0" xfId="0" applyFill="1"/>
    <xf numFmtId="164" fontId="6" fillId="4" borderId="0" xfId="0" applyNumberFormat="1" applyFont="1" applyFill="1"/>
    <xf numFmtId="0" fontId="3" fillId="4" borderId="0" xfId="0" applyFont="1" applyFill="1"/>
    <xf numFmtId="0" fontId="28" fillId="0" borderId="0" xfId="0" applyFont="1"/>
    <xf numFmtId="164" fontId="4" fillId="0" borderId="0" xfId="1" applyFont="1" applyFill="1"/>
    <xf numFmtId="167" fontId="9" fillId="0" borderId="0" xfId="1" applyNumberFormat="1" applyFont="1" applyFill="1" applyBorder="1"/>
    <xf numFmtId="167" fontId="9" fillId="0" borderId="0" xfId="1" applyNumberFormat="1" applyFont="1" applyFill="1" applyBorder="1" applyAlignment="1">
      <alignment horizontal="center"/>
    </xf>
    <xf numFmtId="167" fontId="11" fillId="0" borderId="0" xfId="1" applyNumberFormat="1" applyFont="1" applyFill="1" applyBorder="1" applyAlignment="1">
      <alignment horizontal="center"/>
    </xf>
    <xf numFmtId="167" fontId="25" fillId="0" borderId="0" xfId="1" applyNumberFormat="1" applyFont="1" applyFill="1"/>
    <xf numFmtId="0" fontId="11" fillId="0" borderId="1" xfId="3" applyFont="1" applyBorder="1" applyAlignment="1">
      <alignment horizontal="center"/>
    </xf>
    <xf numFmtId="164" fontId="0" fillId="0" borderId="0" xfId="1" applyFont="1"/>
    <xf numFmtId="164" fontId="9" fillId="0" borderId="0" xfId="1" applyFont="1"/>
    <xf numFmtId="164" fontId="29" fillId="0" borderId="0" xfId="1" applyFont="1"/>
    <xf numFmtId="167" fontId="7" fillId="0" borderId="0" xfId="1" applyNumberFormat="1" applyFont="1"/>
    <xf numFmtId="167" fontId="11" fillId="0" borderId="0" xfId="1" applyNumberFormat="1" applyFont="1" applyFill="1" applyBorder="1"/>
    <xf numFmtId="164" fontId="6" fillId="0" borderId="0" xfId="1" applyFont="1"/>
    <xf numFmtId="167" fontId="7" fillId="0" borderId="0" xfId="1" applyNumberFormat="1" applyFont="1" applyAlignment="1">
      <alignment horizontal="center"/>
    </xf>
    <xf numFmtId="167" fontId="7" fillId="0" borderId="0" xfId="1" applyNumberFormat="1" applyFont="1" applyFill="1" applyAlignment="1">
      <alignment horizontal="center"/>
    </xf>
    <xf numFmtId="167" fontId="7" fillId="0" borderId="0" xfId="1" applyNumberFormat="1" applyFont="1" applyFill="1"/>
    <xf numFmtId="0" fontId="11" fillId="0" borderId="0" xfId="9" applyFont="1" applyAlignment="1">
      <alignment horizontal="left" vertical="center"/>
    </xf>
    <xf numFmtId="0" fontId="16" fillId="0" borderId="0" xfId="15" applyFont="1"/>
    <xf numFmtId="0" fontId="16" fillId="0" borderId="0" xfId="15" applyFont="1" applyAlignment="1">
      <alignment horizontal="center"/>
    </xf>
    <xf numFmtId="15" fontId="11" fillId="0" borderId="2" xfId="3" applyNumberFormat="1" applyFont="1" applyBorder="1" applyAlignment="1">
      <alignment horizontal="center"/>
    </xf>
    <xf numFmtId="0" fontId="11" fillId="0" borderId="2" xfId="3" applyFont="1" applyBorder="1" applyAlignment="1">
      <alignment horizontal="centerContinuous"/>
    </xf>
    <xf numFmtId="0" fontId="11" fillId="0" borderId="10" xfId="3" applyFont="1" applyBorder="1" applyAlignment="1">
      <alignment horizontal="center"/>
    </xf>
    <xf numFmtId="0" fontId="11" fillId="0" borderId="12" xfId="3" applyFont="1" applyBorder="1" applyAlignment="1">
      <alignment horizontal="center"/>
    </xf>
    <xf numFmtId="0" fontId="9" fillId="0" borderId="0" xfId="15" applyFont="1" applyAlignment="1">
      <alignment horizontal="center"/>
    </xf>
    <xf numFmtId="0" fontId="9" fillId="0" borderId="0" xfId="15" applyFont="1" applyAlignment="1">
      <alignment horizontal="left" vertical="center"/>
    </xf>
    <xf numFmtId="0" fontId="9" fillId="0" borderId="0" xfId="15" applyFont="1"/>
    <xf numFmtId="0" fontId="9" fillId="0" borderId="0" xfId="15" applyFont="1" applyAlignment="1">
      <alignment horizontal="left"/>
    </xf>
    <xf numFmtId="0" fontId="15" fillId="0" borderId="0" xfId="15" applyFont="1"/>
    <xf numFmtId="164" fontId="9" fillId="0" borderId="0" xfId="1" applyFont="1" applyBorder="1" applyAlignment="1">
      <alignment horizontal="center"/>
    </xf>
    <xf numFmtId="167" fontId="9" fillId="0" borderId="0" xfId="1" applyNumberFormat="1" applyFont="1"/>
    <xf numFmtId="164" fontId="9" fillId="0" borderId="0" xfId="1" applyFont="1" applyBorder="1"/>
    <xf numFmtId="169" fontId="0" fillId="0" borderId="0" xfId="7" applyNumberFormat="1" applyFont="1" applyBorder="1"/>
    <xf numFmtId="0" fontId="10" fillId="0" borderId="0" xfId="3" applyFont="1"/>
    <xf numFmtId="167" fontId="0" fillId="0" borderId="0" xfId="4" applyNumberFormat="1" applyFont="1" applyBorder="1"/>
    <xf numFmtId="0" fontId="34" fillId="0" borderId="0" xfId="3" applyFont="1"/>
    <xf numFmtId="0" fontId="35" fillId="0" borderId="0" xfId="3" applyFont="1"/>
    <xf numFmtId="167" fontId="11" fillId="0" borderId="0" xfId="4" applyNumberFormat="1" applyFont="1" applyBorder="1" applyAlignment="1">
      <alignment horizontal="center"/>
    </xf>
    <xf numFmtId="2" fontId="11" fillId="0" borderId="0" xfId="3" applyNumberFormat="1" applyFont="1" applyAlignment="1">
      <alignment horizontal="center"/>
    </xf>
    <xf numFmtId="167" fontId="11" fillId="0" borderId="0" xfId="1" applyNumberFormat="1" applyFont="1" applyFill="1" applyAlignment="1">
      <alignment horizontal="center"/>
    </xf>
    <xf numFmtId="0" fontId="36" fillId="0" borderId="0" xfId="3" applyFont="1" applyAlignment="1">
      <alignment horizontal="center"/>
    </xf>
    <xf numFmtId="167" fontId="0" fillId="0" borderId="0" xfId="4" applyNumberFormat="1" applyFont="1" applyFill="1" applyAlignment="1">
      <alignment horizontal="center"/>
    </xf>
    <xf numFmtId="2" fontId="9" fillId="0" borderId="0" xfId="3" applyNumberFormat="1" applyAlignment="1">
      <alignment horizontal="center"/>
    </xf>
    <xf numFmtId="167" fontId="5" fillId="0" borderId="0" xfId="4" applyNumberFormat="1" applyFont="1" applyFill="1" applyBorder="1"/>
    <xf numFmtId="167" fontId="5" fillId="0" borderId="0" xfId="1" applyNumberFormat="1" applyFont="1" applyFill="1" applyBorder="1"/>
    <xf numFmtId="167" fontId="9" fillId="0" borderId="0" xfId="3" applyNumberFormat="1"/>
    <xf numFmtId="167" fontId="5" fillId="0" borderId="0" xfId="4" applyNumberFormat="1" applyFont="1" applyFill="1" applyAlignment="1">
      <alignment horizontal="center"/>
    </xf>
    <xf numFmtId="164" fontId="9" fillId="0" borderId="0" xfId="1" applyFont="1" applyFill="1" applyAlignment="1">
      <alignment horizontal="center"/>
    </xf>
    <xf numFmtId="0" fontId="3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4" fillId="0" borderId="0" xfId="0" applyFont="1"/>
    <xf numFmtId="167" fontId="9" fillId="0" borderId="0" xfId="4" applyNumberFormat="1" applyFont="1" applyAlignment="1">
      <alignment horizontal="center"/>
    </xf>
    <xf numFmtId="167" fontId="5" fillId="0" borderId="0" xfId="4" applyNumberFormat="1" applyFont="1" applyAlignment="1">
      <alignment horizontal="center"/>
    </xf>
    <xf numFmtId="164" fontId="9" fillId="0" borderId="0" xfId="1" applyFont="1" applyAlignment="1">
      <alignment horizontal="center"/>
    </xf>
    <xf numFmtId="167" fontId="0" fillId="0" borderId="0" xfId="4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7" fontId="9" fillId="0" borderId="0" xfId="1" applyNumberFormat="1" applyFont="1" applyAlignment="1">
      <alignment horizontal="center"/>
    </xf>
    <xf numFmtId="169" fontId="0" fillId="0" borderId="0" xfId="7" applyNumberFormat="1" applyFont="1"/>
    <xf numFmtId="167" fontId="33" fillId="0" borderId="0" xfId="4" applyNumberFormat="1" applyFont="1" applyAlignment="1">
      <alignment horizontal="center"/>
    </xf>
    <xf numFmtId="167" fontId="33" fillId="0" borderId="0" xfId="1" applyNumberFormat="1" applyFont="1" applyAlignment="1">
      <alignment horizontal="center"/>
    </xf>
    <xf numFmtId="167" fontId="37" fillId="0" borderId="0" xfId="4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36" fillId="2" borderId="0" xfId="3" applyFont="1" applyFill="1" applyAlignment="1">
      <alignment horizontal="center"/>
    </xf>
    <xf numFmtId="0" fontId="9" fillId="2" borderId="0" xfId="3" applyFill="1" applyAlignment="1">
      <alignment horizontal="center"/>
    </xf>
    <xf numFmtId="0" fontId="9" fillId="2" borderId="0" xfId="3" applyFill="1"/>
    <xf numFmtId="167" fontId="0" fillId="2" borderId="0" xfId="4" applyNumberFormat="1" applyFont="1" applyFill="1" applyAlignment="1">
      <alignment horizontal="center"/>
    </xf>
    <xf numFmtId="2" fontId="9" fillId="2" borderId="0" xfId="3" applyNumberFormat="1" applyFill="1" applyAlignment="1">
      <alignment horizontal="center"/>
    </xf>
    <xf numFmtId="167" fontId="9" fillId="2" borderId="0" xfId="1" applyNumberFormat="1" applyFont="1" applyFill="1" applyAlignment="1">
      <alignment horizontal="center"/>
    </xf>
    <xf numFmtId="169" fontId="0" fillId="2" borderId="0" xfId="7" applyNumberFormat="1" applyFont="1" applyFill="1"/>
    <xf numFmtId="0" fontId="34" fillId="2" borderId="0" xfId="3" applyFont="1" applyFill="1"/>
    <xf numFmtId="0" fontId="35" fillId="2" borderId="0" xfId="3" applyFont="1" applyFill="1"/>
    <xf numFmtId="164" fontId="38" fillId="0" borderId="0" xfId="1" applyFont="1"/>
    <xf numFmtId="0" fontId="4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16" fillId="0" borderId="0" xfId="0" applyFont="1"/>
    <xf numFmtId="0" fontId="15" fillId="0" borderId="0" xfId="3" applyFont="1" applyAlignment="1">
      <alignment horizontal="center"/>
    </xf>
    <xf numFmtId="166" fontId="9" fillId="0" borderId="0" xfId="2" applyNumberFormat="1" applyFont="1"/>
    <xf numFmtId="0" fontId="14" fillId="0" borderId="0" xfId="3" applyFont="1" applyAlignment="1">
      <alignment horizontal="left"/>
    </xf>
    <xf numFmtId="166" fontId="9" fillId="0" borderId="0" xfId="16" applyFont="1" applyFill="1" applyAlignment="1"/>
    <xf numFmtId="166" fontId="9" fillId="0" borderId="0" xfId="16" applyFont="1" applyFill="1" applyBorder="1" applyAlignment="1"/>
    <xf numFmtId="0" fontId="9" fillId="0" borderId="0" xfId="9" applyFont="1"/>
    <xf numFmtId="0" fontId="15" fillId="0" borderId="0" xfId="15" applyFont="1" applyAlignment="1">
      <alignment horizontal="center"/>
    </xf>
    <xf numFmtId="166" fontId="15" fillId="0" borderId="0" xfId="16" applyFont="1" applyFill="1" applyAlignment="1"/>
    <xf numFmtId="14" fontId="9" fillId="0" borderId="0" xfId="3" applyNumberFormat="1" applyAlignment="1">
      <alignment horizontal="left"/>
    </xf>
    <xf numFmtId="0" fontId="15" fillId="0" borderId="0" xfId="15" applyFont="1" applyAlignment="1">
      <alignment horizontal="left"/>
    </xf>
    <xf numFmtId="166" fontId="31" fillId="0" borderId="0" xfId="16" applyFont="1" applyFill="1" applyAlignment="1"/>
    <xf numFmtId="167" fontId="9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9" fillId="0" borderId="0" xfId="9" applyFont="1" applyAlignment="1">
      <alignment horizontal="left"/>
    </xf>
    <xf numFmtId="15" fontId="11" fillId="0" borderId="0" xfId="3" applyNumberFormat="1" applyFont="1" applyAlignment="1">
      <alignment horizontal="center"/>
    </xf>
    <xf numFmtId="15" fontId="9" fillId="0" borderId="0" xfId="15" applyNumberFormat="1" applyFont="1" applyAlignment="1">
      <alignment horizontal="center" vertical="center"/>
    </xf>
    <xf numFmtId="167" fontId="41" fillId="0" borderId="0" xfId="0" applyNumberFormat="1" applyFont="1"/>
    <xf numFmtId="16" fontId="0" fillId="0" borderId="0" xfId="0" applyNumberFormat="1"/>
    <xf numFmtId="16" fontId="16" fillId="0" borderId="0" xfId="15" applyNumberFormat="1" applyFont="1"/>
    <xf numFmtId="0" fontId="14" fillId="0" borderId="0" xfId="15" applyFont="1"/>
    <xf numFmtId="0" fontId="4" fillId="0" borderId="0" xfId="0" quotePrefix="1" applyFont="1"/>
    <xf numFmtId="167" fontId="16" fillId="0" borderId="0" xfId="1" applyNumberFormat="1" applyFont="1" applyFill="1" applyAlignment="1"/>
    <xf numFmtId="167" fontId="31" fillId="0" borderId="3" xfId="1" applyNumberFormat="1" applyFont="1" applyFill="1" applyBorder="1" applyAlignment="1">
      <alignment horizontal="centerContinuous"/>
    </xf>
    <xf numFmtId="167" fontId="11" fillId="0" borderId="8" xfId="1" applyNumberFormat="1" applyFont="1" applyFill="1" applyBorder="1" applyAlignment="1">
      <alignment horizontal="center"/>
    </xf>
    <xf numFmtId="167" fontId="9" fillId="0" borderId="0" xfId="1" applyNumberFormat="1" applyFont="1" applyFill="1" applyBorder="1" applyAlignment="1">
      <alignment horizontal="left"/>
    </xf>
    <xf numFmtId="167" fontId="9" fillId="0" borderId="0" xfId="1" applyNumberFormat="1" applyFont="1" applyFill="1" applyAlignment="1"/>
    <xf numFmtId="167" fontId="15" fillId="0" borderId="0" xfId="1" applyNumberFormat="1" applyFont="1" applyFill="1" applyAlignment="1"/>
    <xf numFmtId="167" fontId="15" fillId="0" borderId="0" xfId="1" applyNumberFormat="1" applyFont="1" applyFill="1" applyBorder="1" applyAlignment="1">
      <alignment horizontal="left"/>
    </xf>
    <xf numFmtId="167" fontId="16" fillId="0" borderId="0" xfId="1" applyNumberFormat="1" applyFont="1"/>
    <xf numFmtId="167" fontId="16" fillId="0" borderId="0" xfId="1" applyNumberFormat="1" applyFont="1" applyFill="1"/>
    <xf numFmtId="167" fontId="11" fillId="0" borderId="6" xfId="1" applyNumberFormat="1" applyFont="1" applyFill="1" applyBorder="1" applyAlignment="1">
      <alignment horizontal="center"/>
    </xf>
    <xf numFmtId="167" fontId="11" fillId="0" borderId="4" xfId="1" applyNumberFormat="1" applyFont="1" applyBorder="1" applyAlignment="1">
      <alignment horizontal="center"/>
    </xf>
    <xf numFmtId="167" fontId="11" fillId="0" borderId="5" xfId="1" applyNumberFormat="1" applyFont="1" applyFill="1" applyBorder="1" applyAlignment="1">
      <alignment horizontal="center"/>
    </xf>
    <xf numFmtId="167" fontId="11" fillId="0" borderId="4" xfId="1" applyNumberFormat="1" applyFont="1" applyFill="1" applyBorder="1" applyAlignment="1">
      <alignment horizontal="center"/>
    </xf>
    <xf numFmtId="167" fontId="11" fillId="0" borderId="10" xfId="1" applyNumberFormat="1" applyFont="1" applyFill="1" applyBorder="1" applyAlignment="1">
      <alignment horizontal="center"/>
    </xf>
    <xf numFmtId="167" fontId="11" fillId="0" borderId="9" xfId="1" applyNumberFormat="1" applyFont="1" applyFill="1" applyBorder="1" applyAlignment="1">
      <alignment horizontal="center"/>
    </xf>
    <xf numFmtId="167" fontId="11" fillId="0" borderId="7" xfId="1" applyNumberFormat="1" applyFont="1" applyBorder="1" applyAlignment="1">
      <alignment horizontal="center"/>
    </xf>
    <xf numFmtId="167" fontId="11" fillId="0" borderId="7" xfId="1" applyNumberFormat="1" applyFont="1" applyFill="1" applyBorder="1" applyAlignment="1">
      <alignment horizontal="center"/>
    </xf>
    <xf numFmtId="167" fontId="11" fillId="0" borderId="12" xfId="1" applyNumberFormat="1" applyFont="1" applyFill="1" applyBorder="1" applyAlignment="1">
      <alignment horizontal="center"/>
    </xf>
    <xf numFmtId="167" fontId="9" fillId="0" borderId="0" xfId="1" applyNumberFormat="1" applyFont="1" applyFill="1" applyAlignment="1">
      <alignment horizontal="left"/>
    </xf>
    <xf numFmtId="167" fontId="9" fillId="0" borderId="0" xfId="1" applyNumberFormat="1" applyFont="1" applyFill="1" applyBorder="1" applyAlignment="1"/>
    <xf numFmtId="167" fontId="15" fillId="0" borderId="0" xfId="1" applyNumberFormat="1" applyFont="1"/>
    <xf numFmtId="167" fontId="15" fillId="0" borderId="0" xfId="1" applyNumberFormat="1" applyFont="1" applyFill="1" applyAlignment="1">
      <alignment horizontal="left"/>
    </xf>
    <xf numFmtId="167" fontId="15" fillId="0" borderId="0" xfId="1" applyNumberFormat="1" applyFont="1" applyFill="1" applyBorder="1" applyAlignment="1"/>
    <xf numFmtId="167" fontId="31" fillId="0" borderId="1" xfId="1" applyNumberFormat="1" applyFont="1" applyFill="1" applyBorder="1" applyAlignment="1">
      <alignment horizontal="centerContinuous"/>
    </xf>
    <xf numFmtId="167" fontId="31" fillId="0" borderId="2" xfId="1" applyNumberFormat="1" applyFont="1" applyFill="1" applyBorder="1" applyAlignment="1">
      <alignment horizontal="centerContinuous"/>
    </xf>
    <xf numFmtId="167" fontId="31" fillId="0" borderId="11" xfId="1" applyNumberFormat="1" applyFont="1" applyFill="1" applyBorder="1" applyAlignment="1">
      <alignment horizontal="centerContinuous"/>
    </xf>
    <xf numFmtId="167" fontId="14" fillId="0" borderId="0" xfId="1" applyNumberFormat="1" applyFont="1" applyFill="1" applyBorder="1" applyAlignment="1">
      <alignment horizontal="left"/>
    </xf>
    <xf numFmtId="167" fontId="15" fillId="0" borderId="0" xfId="1" applyNumberFormat="1" applyFont="1" applyFill="1"/>
    <xf numFmtId="0" fontId="14" fillId="0" borderId="0" xfId="15" applyFont="1" applyAlignment="1">
      <alignment horizontal="center"/>
    </xf>
    <xf numFmtId="166" fontId="14" fillId="0" borderId="0" xfId="16" applyFont="1" applyFill="1" applyAlignment="1"/>
    <xf numFmtId="167" fontId="14" fillId="0" borderId="0" xfId="1" applyNumberFormat="1" applyFont="1"/>
    <xf numFmtId="15" fontId="9" fillId="0" borderId="0" xfId="15" applyNumberFormat="1" applyFont="1" applyAlignment="1">
      <alignment horizontal="center"/>
    </xf>
    <xf numFmtId="15" fontId="15" fillId="0" borderId="0" xfId="15" applyNumberFormat="1" applyFont="1" applyAlignment="1">
      <alignment horizontal="center" vertical="center"/>
    </xf>
    <xf numFmtId="15" fontId="15" fillId="0" borderId="0" xfId="15" applyNumberFormat="1" applyFont="1" applyAlignment="1">
      <alignment horizontal="center"/>
    </xf>
    <xf numFmtId="15" fontId="14" fillId="0" borderId="0" xfId="15" applyNumberFormat="1" applyFont="1" applyAlignment="1">
      <alignment horizontal="center"/>
    </xf>
    <xf numFmtId="15" fontId="14" fillId="0" borderId="0" xfId="15" applyNumberFormat="1" applyFont="1" applyAlignment="1">
      <alignment horizontal="center" vertical="center"/>
    </xf>
    <xf numFmtId="167" fontId="14" fillId="0" borderId="0" xfId="1" applyNumberFormat="1" applyFont="1" applyFill="1" applyAlignment="1"/>
    <xf numFmtId="167" fontId="14" fillId="0" borderId="0" xfId="1" applyNumberFormat="1" applyFont="1" applyFill="1"/>
    <xf numFmtId="167" fontId="14" fillId="0" borderId="0" xfId="1" applyNumberFormat="1" applyFont="1" applyFill="1" applyAlignment="1">
      <alignment horizontal="left"/>
    </xf>
    <xf numFmtId="167" fontId="14" fillId="0" borderId="0" xfId="1" applyNumberFormat="1" applyFont="1" applyFill="1" applyBorder="1" applyAlignment="1"/>
    <xf numFmtId="0" fontId="14" fillId="0" borderId="0" xfId="15" applyFont="1" applyAlignment="1">
      <alignment horizontal="left"/>
    </xf>
    <xf numFmtId="0" fontId="14" fillId="0" borderId="0" xfId="3" quotePrefix="1" applyFont="1" applyAlignment="1">
      <alignment horizontal="left"/>
    </xf>
    <xf numFmtId="0" fontId="14" fillId="0" borderId="0" xfId="20" applyFont="1"/>
    <xf numFmtId="167" fontId="15" fillId="0" borderId="0" xfId="3" applyNumberFormat="1" applyFont="1"/>
    <xf numFmtId="0" fontId="4" fillId="0" borderId="0" xfId="0" applyFont="1" applyAlignment="1">
      <alignment horizontal="left"/>
    </xf>
    <xf numFmtId="167" fontId="4" fillId="0" borderId="0" xfId="1" applyNumberFormat="1" applyFont="1" applyFill="1" applyAlignment="1">
      <alignment horizontal="center"/>
    </xf>
    <xf numFmtId="15" fontId="14" fillId="0" borderId="0" xfId="3" applyNumberFormat="1" applyFont="1" applyAlignment="1">
      <alignment horizontal="center"/>
    </xf>
    <xf numFmtId="15" fontId="15" fillId="0" borderId="0" xfId="3" applyNumberFormat="1" applyFont="1" applyAlignment="1">
      <alignment horizontal="center"/>
    </xf>
    <xf numFmtId="15" fontId="16" fillId="0" borderId="0" xfId="15" applyNumberFormat="1" applyFont="1" applyAlignment="1">
      <alignment horizontal="center"/>
    </xf>
    <xf numFmtId="0" fontId="0" fillId="5" borderId="0" xfId="0" applyFill="1"/>
    <xf numFmtId="0" fontId="15" fillId="0" borderId="0" xfId="0" applyFont="1" applyAlignment="1">
      <alignment horizontal="center"/>
    </xf>
    <xf numFmtId="14" fontId="15" fillId="0" borderId="0" xfId="3" applyNumberFormat="1" applyFont="1" applyAlignment="1">
      <alignment horizontal="center"/>
    </xf>
    <xf numFmtId="168" fontId="39" fillId="5" borderId="0" xfId="0" applyNumberFormat="1" applyFont="1" applyFill="1" applyAlignment="1">
      <alignment horizontal="center"/>
    </xf>
    <xf numFmtId="0" fontId="39" fillId="5" borderId="0" xfId="0" applyFont="1" applyFill="1"/>
    <xf numFmtId="167" fontId="39" fillId="5" borderId="0" xfId="1" applyNumberFormat="1" applyFont="1" applyFill="1"/>
    <xf numFmtId="0" fontId="4" fillId="0" borderId="0" xfId="0" applyFont="1" applyAlignment="1">
      <alignment wrapText="1"/>
    </xf>
    <xf numFmtId="167" fontId="0" fillId="0" borderId="0" xfId="1" applyNumberFormat="1" applyFont="1" applyAlignment="1"/>
    <xf numFmtId="167" fontId="4" fillId="0" borderId="0" xfId="1" applyNumberFormat="1" applyFont="1" applyAlignment="1"/>
    <xf numFmtId="167" fontId="2" fillId="0" borderId="0" xfId="1" applyNumberFormat="1" applyFont="1" applyAlignment="1"/>
    <xf numFmtId="167" fontId="20" fillId="0" borderId="0" xfId="1" applyNumberFormat="1" applyFont="1" applyAlignment="1"/>
    <xf numFmtId="167" fontId="7" fillId="0" borderId="0" xfId="1" applyNumberFormat="1" applyFont="1" applyAlignment="1"/>
    <xf numFmtId="167" fontId="0" fillId="0" borderId="0" xfId="1" applyNumberFormat="1" applyFont="1" applyFill="1" applyAlignment="1"/>
    <xf numFmtId="167" fontId="7" fillId="0" borderId="0" xfId="1" applyNumberFormat="1" applyFont="1" applyFill="1" applyAlignment="1"/>
    <xf numFmtId="167" fontId="4" fillId="0" borderId="0" xfId="1" applyNumberFormat="1" applyFont="1" applyFill="1" applyAlignment="1"/>
    <xf numFmtId="0" fontId="41" fillId="0" borderId="0" xfId="0" applyFont="1"/>
    <xf numFmtId="164" fontId="4" fillId="0" borderId="0" xfId="1" applyFont="1" applyAlignment="1"/>
    <xf numFmtId="166" fontId="16" fillId="0" borderId="0" xfId="16" applyFont="1" applyAlignment="1"/>
    <xf numFmtId="0" fontId="9" fillId="0" borderId="0" xfId="20" applyFont="1"/>
    <xf numFmtId="164" fontId="4" fillId="0" borderId="0" xfId="1" applyFont="1" applyFill="1" applyAlignment="1"/>
    <xf numFmtId="167" fontId="5" fillId="0" borderId="0" xfId="1" applyNumberFormat="1" applyFont="1" applyFill="1" applyAlignment="1"/>
    <xf numFmtId="167" fontId="5" fillId="0" borderId="0" xfId="1" applyNumberFormat="1" applyFont="1" applyAlignment="1"/>
    <xf numFmtId="167" fontId="6" fillId="0" borderId="0" xfId="1" applyNumberFormat="1" applyFont="1"/>
    <xf numFmtId="9" fontId="6" fillId="0" borderId="0" xfId="5" applyFont="1"/>
    <xf numFmtId="9" fontId="40" fillId="0" borderId="0" xfId="5" applyFont="1"/>
    <xf numFmtId="168" fontId="0" fillId="6" borderId="0" xfId="0" applyNumberFormat="1" applyFill="1" applyAlignment="1">
      <alignment horizontal="center"/>
    </xf>
    <xf numFmtId="0" fontId="0" fillId="6" borderId="0" xfId="0" applyFill="1"/>
    <xf numFmtId="167" fontId="0" fillId="6" borderId="0" xfId="1" applyNumberFormat="1" applyFont="1" applyFill="1"/>
    <xf numFmtId="0" fontId="5" fillId="6" borderId="0" xfId="0" applyFont="1" applyFill="1"/>
    <xf numFmtId="0" fontId="3" fillId="6" borderId="0" xfId="0" applyFont="1" applyFill="1"/>
    <xf numFmtId="168" fontId="6" fillId="5" borderId="0" xfId="0" applyNumberFormat="1" applyFont="1" applyFill="1" applyAlignment="1">
      <alignment horizontal="center"/>
    </xf>
    <xf numFmtId="0" fontId="6" fillId="5" borderId="0" xfId="0" applyFont="1" applyFill="1"/>
    <xf numFmtId="167" fontId="6" fillId="5" borderId="0" xfId="1" applyNumberFormat="1" applyFont="1" applyFill="1"/>
    <xf numFmtId="167" fontId="6" fillId="0" borderId="0" xfId="1" applyNumberFormat="1" applyFont="1" applyFill="1"/>
    <xf numFmtId="17" fontId="4" fillId="0" borderId="0" xfId="0" applyNumberFormat="1" applyFont="1"/>
    <xf numFmtId="167" fontId="7" fillId="0" borderId="0" xfId="1" quotePrefix="1" applyNumberFormat="1" applyFont="1"/>
    <xf numFmtId="164" fontId="2" fillId="0" borderId="0" xfId="1" applyFont="1" applyAlignment="1">
      <alignment horizontal="center"/>
    </xf>
    <xf numFmtId="164" fontId="7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40" fillId="0" borderId="0" xfId="1" applyFont="1"/>
    <xf numFmtId="17" fontId="5" fillId="0" borderId="0" xfId="0" applyNumberFormat="1" applyFont="1"/>
    <xf numFmtId="0" fontId="15" fillId="5" borderId="0" xfId="3" applyFont="1" applyFill="1"/>
    <xf numFmtId="168" fontId="6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0" fontId="5" fillId="0" borderId="0" xfId="0" applyNumberFormat="1" applyFont="1" applyAlignment="1">
      <alignment horizontal="center"/>
    </xf>
    <xf numFmtId="164" fontId="38" fillId="0" borderId="0" xfId="1" applyFont="1" applyAlignment="1">
      <alignment horizontal="center"/>
    </xf>
    <xf numFmtId="0" fontId="0" fillId="0" borderId="0" xfId="0" applyAlignment="1">
      <alignment horizontal="left"/>
    </xf>
    <xf numFmtId="170" fontId="6" fillId="0" borderId="0" xfId="0" applyNumberFormat="1" applyFont="1" applyAlignment="1">
      <alignment horizontal="center"/>
    </xf>
    <xf numFmtId="169" fontId="14" fillId="0" borderId="0" xfId="21" applyNumberFormat="1" applyFont="1" applyFill="1"/>
    <xf numFmtId="164" fontId="40" fillId="0" borderId="0" xfId="1" applyFont="1" applyFill="1"/>
    <xf numFmtId="164" fontId="43" fillId="0" borderId="0" xfId="1" applyFont="1"/>
    <xf numFmtId="170" fontId="3" fillId="0" borderId="0" xfId="0" applyNumberFormat="1" applyFont="1" applyAlignment="1">
      <alignment horizontal="center"/>
    </xf>
    <xf numFmtId="170" fontId="39" fillId="0" borderId="0" xfId="0" applyNumberFormat="1" applyFont="1" applyAlignment="1">
      <alignment horizontal="center"/>
    </xf>
    <xf numFmtId="164" fontId="39" fillId="0" borderId="0" xfId="1" applyFont="1" applyAlignment="1">
      <alignment horizontal="center"/>
    </xf>
    <xf numFmtId="164" fontId="39" fillId="0" borderId="0" xfId="1" applyFont="1"/>
    <xf numFmtId="170" fontId="4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64" fontId="7" fillId="0" borderId="0" xfId="1" applyFont="1"/>
    <xf numFmtId="164" fontId="7" fillId="0" borderId="0" xfId="1" applyFont="1" applyFill="1"/>
    <xf numFmtId="164" fontId="38" fillId="0" borderId="0" xfId="1" applyFont="1" applyFill="1"/>
    <xf numFmtId="17" fontId="39" fillId="5" borderId="0" xfId="0" applyNumberFormat="1" applyFont="1" applyFill="1"/>
    <xf numFmtId="17" fontId="6" fillId="5" borderId="0" xfId="0" applyNumberFormat="1" applyFont="1" applyFill="1"/>
    <xf numFmtId="164" fontId="4" fillId="0" borderId="0" xfId="1" applyFont="1" applyFill="1" applyAlignment="1">
      <alignment horizontal="center"/>
    </xf>
    <xf numFmtId="164" fontId="39" fillId="0" borderId="0" xfId="1" applyFont="1" applyFill="1"/>
    <xf numFmtId="164" fontId="7" fillId="0" borderId="0" xfId="1" applyFont="1" applyFill="1" applyAlignment="1">
      <alignment horizontal="center"/>
    </xf>
    <xf numFmtId="9" fontId="4" fillId="0" borderId="0" xfId="5" applyFont="1"/>
    <xf numFmtId="167" fontId="40" fillId="0" borderId="0" xfId="1" applyNumberFormat="1" applyFont="1"/>
    <xf numFmtId="0" fontId="42" fillId="0" borderId="0" xfId="0" applyFont="1"/>
    <xf numFmtId="167" fontId="6" fillId="2" borderId="0" xfId="1" applyNumberFormat="1" applyFont="1" applyFill="1"/>
    <xf numFmtId="164" fontId="20" fillId="0" borderId="0" xfId="1" applyFont="1" applyAlignment="1">
      <alignment horizontal="center"/>
    </xf>
    <xf numFmtId="166" fontId="9" fillId="0" borderId="0" xfId="3" applyNumberFormat="1" applyAlignment="1">
      <alignment horizontal="left"/>
    </xf>
    <xf numFmtId="166" fontId="9" fillId="0" borderId="0" xfId="15" applyNumberFormat="1" applyFont="1" applyAlignment="1">
      <alignment horizontal="center"/>
    </xf>
    <xf numFmtId="164" fontId="31" fillId="0" borderId="0" xfId="1" applyFont="1" applyFill="1" applyAlignment="1"/>
    <xf numFmtId="167" fontId="11" fillId="0" borderId="4" xfId="1" applyNumberFormat="1" applyFont="1" applyFill="1" applyBorder="1" applyAlignment="1">
      <alignment horizontal="centerContinuous"/>
    </xf>
    <xf numFmtId="167" fontId="11" fillId="0" borderId="5" xfId="1" applyNumberFormat="1" applyFont="1" applyFill="1" applyBorder="1" applyAlignment="1">
      <alignment horizontal="centerContinuous"/>
    </xf>
    <xf numFmtId="167" fontId="11" fillId="0" borderId="10" xfId="1" applyNumberFormat="1" applyFont="1" applyFill="1" applyBorder="1" applyAlignment="1">
      <alignment horizontal="centerContinuous"/>
    </xf>
    <xf numFmtId="167" fontId="11" fillId="0" borderId="11" xfId="1" applyNumberFormat="1" applyFont="1" applyFill="1" applyBorder="1" applyAlignment="1">
      <alignment horizontal="centerContinuous"/>
    </xf>
    <xf numFmtId="167" fontId="11" fillId="0" borderId="7" xfId="1" applyNumberFormat="1" applyFont="1" applyFill="1" applyBorder="1" applyAlignment="1">
      <alignment horizontal="center" vertical="center"/>
    </xf>
    <xf numFmtId="167" fontId="11" fillId="0" borderId="8" xfId="1" applyNumberFormat="1" applyFont="1" applyFill="1" applyBorder="1" applyAlignment="1">
      <alignment horizontal="center" vertical="center"/>
    </xf>
    <xf numFmtId="167" fontId="11" fillId="0" borderId="12" xfId="1" applyNumberFormat="1" applyFont="1" applyFill="1" applyBorder="1" applyAlignment="1">
      <alignment horizontal="center" vertical="center"/>
    </xf>
    <xf numFmtId="167" fontId="11" fillId="0" borderId="9" xfId="1" applyNumberFormat="1" applyFont="1" applyFill="1" applyBorder="1" applyAlignment="1">
      <alignment horizontal="center" vertical="center"/>
    </xf>
    <xf numFmtId="167" fontId="31" fillId="0" borderId="0" xfId="1" applyNumberFormat="1" applyFont="1" applyFill="1" applyAlignment="1"/>
    <xf numFmtId="164" fontId="29" fillId="8" borderId="0" xfId="1" applyFont="1" applyFill="1" applyAlignment="1">
      <alignment horizontal="center"/>
    </xf>
    <xf numFmtId="164" fontId="0" fillId="0" borderId="0" xfId="1" applyFont="1" applyFill="1"/>
    <xf numFmtId="164" fontId="42" fillId="0" borderId="0" xfId="1" applyFont="1" applyFill="1"/>
    <xf numFmtId="164" fontId="39" fillId="0" borderId="0" xfId="0" applyNumberFormat="1" applyFont="1"/>
    <xf numFmtId="0" fontId="44" fillId="0" borderId="0" xfId="0" applyFont="1"/>
    <xf numFmtId="164" fontId="0" fillId="0" borderId="0" xfId="0" applyNumberFormat="1" applyAlignment="1">
      <alignment horizontal="center"/>
    </xf>
    <xf numFmtId="170" fontId="4" fillId="7" borderId="0" xfId="0" applyNumberFormat="1" applyFon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164" fontId="4" fillId="7" borderId="0" xfId="1" applyFont="1" applyFill="1"/>
    <xf numFmtId="164" fontId="4" fillId="7" borderId="0" xfId="1" applyFont="1" applyFill="1" applyAlignment="1">
      <alignment horizontal="center"/>
    </xf>
    <xf numFmtId="0" fontId="4" fillId="7" borderId="0" xfId="0" applyFont="1" applyFill="1" applyAlignment="1">
      <alignment horizontal="left"/>
    </xf>
    <xf numFmtId="170" fontId="4" fillId="5" borderId="0" xfId="0" applyNumberFormat="1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164" fontId="39" fillId="5" borderId="0" xfId="1" applyFont="1" applyFill="1"/>
    <xf numFmtId="164" fontId="7" fillId="5" borderId="0" xfId="1" applyFont="1" applyFill="1" applyAlignment="1">
      <alignment horizontal="center"/>
    </xf>
    <xf numFmtId="164" fontId="4" fillId="5" borderId="0" xfId="1" applyFont="1" applyFill="1"/>
    <xf numFmtId="9" fontId="5" fillId="0" borderId="0" xfId="5" applyFont="1"/>
    <xf numFmtId="0" fontId="45" fillId="0" borderId="0" xfId="3" applyFont="1" applyAlignment="1">
      <alignment horizontal="left"/>
    </xf>
    <xf numFmtId="167" fontId="11" fillId="0" borderId="0" xfId="4" applyNumberFormat="1" applyFont="1" applyFill="1" applyAlignment="1">
      <alignment horizontal="center"/>
    </xf>
    <xf numFmtId="0" fontId="11" fillId="0" borderId="0" xfId="3" applyFont="1" applyAlignment="1">
      <alignment horizontal="center"/>
    </xf>
    <xf numFmtId="167" fontId="11" fillId="0" borderId="0" xfId="3" applyNumberFormat="1" applyFont="1" applyAlignment="1">
      <alignment horizontal="center"/>
    </xf>
    <xf numFmtId="0" fontId="22" fillId="0" borderId="0" xfId="3" applyFont="1" applyAlignment="1">
      <alignment horizontal="center"/>
    </xf>
    <xf numFmtId="0" fontId="30" fillId="0" borderId="0" xfId="3" applyFont="1" applyAlignment="1">
      <alignment horizontal="center"/>
    </xf>
  </cellXfs>
  <cellStyles count="22">
    <cellStyle name="Comma" xfId="21" builtinId="3"/>
    <cellStyle name="Comma [0]" xfId="1" builtinId="6"/>
    <cellStyle name="Comma [0] 2" xfId="4"/>
    <cellStyle name="Comma [0] 2 2" xfId="13"/>
    <cellStyle name="Comma [0] 2 3" xfId="6"/>
    <cellStyle name="Comma [0] 2 3 2" xfId="11"/>
    <cellStyle name="Comma [0] 2 3 2 2" xfId="18"/>
    <cellStyle name="Comma [0] 3" xfId="10"/>
    <cellStyle name="Comma [0] 4" xfId="17"/>
    <cellStyle name="Comma 2" xfId="7"/>
    <cellStyle name="Comma 2 2" xfId="8"/>
    <cellStyle name="Comma 3" xfId="14"/>
    <cellStyle name="Comma 4" xfId="16"/>
    <cellStyle name="Normal" xfId="0" builtinId="0"/>
    <cellStyle name="Normal 2" xfId="2"/>
    <cellStyle name="Normal 2 2" xfId="9"/>
    <cellStyle name="Normal 2 3" xfId="20"/>
    <cellStyle name="Normal 3" xfId="15"/>
    <cellStyle name="Normal 3 4 2" xfId="12"/>
    <cellStyle name="Normal 3 6" xfId="3"/>
    <cellStyle name="Normal 3 6 2" xfId="19"/>
    <cellStyle name="Percent" xfId="5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3"/>
  <sheetViews>
    <sheetView topLeftCell="A649" zoomScaleNormal="87" workbookViewId="0">
      <selection activeCell="E660" sqref="E660"/>
    </sheetView>
  </sheetViews>
  <sheetFormatPr defaultColWidth="11.5546875" defaultRowHeight="15.75"/>
  <cols>
    <col min="1" max="1" width="11.33203125" style="5" customWidth="1"/>
    <col min="2" max="2" width="76.6640625" customWidth="1"/>
    <col min="3" max="4" width="19.6640625" style="139" customWidth="1"/>
    <col min="5" max="5" width="20.6640625" style="1" customWidth="1"/>
    <col min="6" max="6" width="23" customWidth="1"/>
    <col min="7" max="7" width="43.109375" customWidth="1"/>
    <col min="8" max="8" width="59.6640625" customWidth="1"/>
    <col min="9" max="9" width="56.77734375" customWidth="1"/>
    <col min="10" max="10" width="68" customWidth="1"/>
  </cols>
  <sheetData>
    <row r="1" spans="1:9">
      <c r="A1" s="6" t="s">
        <v>0</v>
      </c>
      <c r="B1" t="s">
        <v>1</v>
      </c>
      <c r="C1" s="139" t="s">
        <v>26</v>
      </c>
      <c r="D1" s="139" t="s">
        <v>26</v>
      </c>
      <c r="E1" s="1" t="s">
        <v>26</v>
      </c>
      <c r="F1" t="s">
        <v>26</v>
      </c>
      <c r="G1" s="52" t="s">
        <v>26</v>
      </c>
    </row>
    <row r="2" spans="1:9">
      <c r="A2" s="6" t="s">
        <v>2</v>
      </c>
    </row>
    <row r="4" spans="1:9">
      <c r="A4" s="4" t="s">
        <v>3</v>
      </c>
      <c r="B4" s="3" t="s">
        <v>511</v>
      </c>
      <c r="C4" s="142"/>
      <c r="D4" s="142"/>
      <c r="E4" s="1">
        <v>39994324.360000037</v>
      </c>
    </row>
    <row r="5" spans="1:9">
      <c r="A5" s="5">
        <v>45659</v>
      </c>
      <c r="B5" s="7" t="s">
        <v>1269</v>
      </c>
      <c r="C5" s="1">
        <v>0</v>
      </c>
      <c r="D5" s="1">
        <v>239000000</v>
      </c>
      <c r="E5" s="14">
        <f t="shared" ref="E5:E17" si="0">E4-C5+D5</f>
        <v>278994324.36000001</v>
      </c>
      <c r="F5" t="s">
        <v>1209</v>
      </c>
      <c r="G5" s="8" t="s">
        <v>192</v>
      </c>
      <c r="H5" s="146"/>
    </row>
    <row r="6" spans="1:9">
      <c r="A6" s="5">
        <v>45665</v>
      </c>
      <c r="B6" s="7" t="s">
        <v>1270</v>
      </c>
      <c r="C6" s="1">
        <v>0</v>
      </c>
      <c r="D6" s="1">
        <v>50900000</v>
      </c>
      <c r="E6" s="14">
        <f t="shared" si="0"/>
        <v>329894324.36000001</v>
      </c>
      <c r="F6" t="s">
        <v>10</v>
      </c>
      <c r="G6" s="8" t="s">
        <v>18</v>
      </c>
      <c r="H6" s="154" t="s">
        <v>425</v>
      </c>
      <c r="I6" s="154" t="s">
        <v>2152</v>
      </c>
    </row>
    <row r="7" spans="1:9">
      <c r="A7" s="5">
        <v>45667</v>
      </c>
      <c r="B7" s="7" t="s">
        <v>512</v>
      </c>
      <c r="C7" s="1">
        <v>0</v>
      </c>
      <c r="D7" s="1">
        <v>3000000</v>
      </c>
      <c r="E7" s="14">
        <f t="shared" si="0"/>
        <v>332894324.36000001</v>
      </c>
      <c r="F7" t="s">
        <v>1400</v>
      </c>
      <c r="G7" t="s">
        <v>1400</v>
      </c>
      <c r="H7" s="146"/>
    </row>
    <row r="8" spans="1:9">
      <c r="A8" s="5">
        <v>45671</v>
      </c>
      <c r="B8" s="7" t="s">
        <v>513</v>
      </c>
      <c r="C8" s="1">
        <v>3000000</v>
      </c>
      <c r="D8" s="1">
        <v>0</v>
      </c>
      <c r="E8" s="14">
        <f t="shared" si="0"/>
        <v>329894324.36000001</v>
      </c>
      <c r="F8" t="s">
        <v>1400</v>
      </c>
      <c r="G8" t="s">
        <v>1400</v>
      </c>
      <c r="H8" s="146"/>
    </row>
    <row r="9" spans="1:9">
      <c r="A9" s="5">
        <v>45671</v>
      </c>
      <c r="B9" s="7" t="s">
        <v>514</v>
      </c>
      <c r="C9" s="1">
        <v>640000</v>
      </c>
      <c r="D9" s="1">
        <v>0</v>
      </c>
      <c r="E9" s="14">
        <f t="shared" si="0"/>
        <v>329254324.36000001</v>
      </c>
      <c r="F9" s="8" t="s">
        <v>6</v>
      </c>
      <c r="G9" s="8" t="s">
        <v>13</v>
      </c>
      <c r="H9" s="146" t="s">
        <v>30</v>
      </c>
    </row>
    <row r="10" spans="1:9">
      <c r="A10" s="5">
        <v>45671</v>
      </c>
      <c r="B10" s="7" t="s">
        <v>326</v>
      </c>
      <c r="C10" s="1">
        <v>480000</v>
      </c>
      <c r="D10" s="1">
        <v>0</v>
      </c>
      <c r="E10" s="14">
        <f t="shared" si="0"/>
        <v>328774324.36000001</v>
      </c>
      <c r="F10" s="8" t="s">
        <v>6</v>
      </c>
      <c r="G10" s="8" t="s">
        <v>13</v>
      </c>
      <c r="H10" s="146" t="s">
        <v>30</v>
      </c>
    </row>
    <row r="11" spans="1:9">
      <c r="A11" s="5">
        <v>45671</v>
      </c>
      <c r="B11" s="7" t="s">
        <v>515</v>
      </c>
      <c r="C11" s="1">
        <v>820000</v>
      </c>
      <c r="D11" s="1">
        <v>0</v>
      </c>
      <c r="E11" s="14">
        <f t="shared" si="0"/>
        <v>327954324.36000001</v>
      </c>
      <c r="F11" s="8" t="s">
        <v>6</v>
      </c>
      <c r="G11" s="8" t="s">
        <v>13</v>
      </c>
      <c r="H11" s="146" t="s">
        <v>30</v>
      </c>
    </row>
    <row r="12" spans="1:9">
      <c r="A12" s="5">
        <v>45671</v>
      </c>
      <c r="B12" s="7" t="s">
        <v>516</v>
      </c>
      <c r="C12" s="1">
        <v>2025000</v>
      </c>
      <c r="D12" s="1">
        <v>0</v>
      </c>
      <c r="E12" s="14">
        <f t="shared" si="0"/>
        <v>325929324.36000001</v>
      </c>
      <c r="F12" s="8" t="s">
        <v>6</v>
      </c>
      <c r="G12" s="8" t="s">
        <v>13</v>
      </c>
      <c r="H12" s="129" t="s">
        <v>30</v>
      </c>
    </row>
    <row r="13" spans="1:9">
      <c r="A13" s="5">
        <v>45674</v>
      </c>
      <c r="B13" s="7" t="s">
        <v>327</v>
      </c>
      <c r="C13" s="1">
        <v>20000</v>
      </c>
      <c r="D13" s="1">
        <v>0</v>
      </c>
      <c r="E13" s="14">
        <f t="shared" si="0"/>
        <v>325909324.36000001</v>
      </c>
      <c r="F13" s="8" t="s">
        <v>19</v>
      </c>
      <c r="G13" s="8" t="s">
        <v>189</v>
      </c>
      <c r="H13" s="146"/>
    </row>
    <row r="14" spans="1:9">
      <c r="A14" s="5">
        <v>45677</v>
      </c>
      <c r="B14" s="7" t="s">
        <v>1271</v>
      </c>
      <c r="C14" s="1">
        <v>0</v>
      </c>
      <c r="D14" s="1">
        <v>32962116</v>
      </c>
      <c r="E14" s="14">
        <f t="shared" si="0"/>
        <v>358871440.36000001</v>
      </c>
      <c r="F14" t="s">
        <v>10</v>
      </c>
      <c r="G14" s="8" t="s">
        <v>18</v>
      </c>
      <c r="H14" s="154" t="s">
        <v>440</v>
      </c>
      <c r="I14" s="154" t="s">
        <v>2150</v>
      </c>
    </row>
    <row r="15" spans="1:9">
      <c r="A15" s="5">
        <v>45680</v>
      </c>
      <c r="B15" s="7" t="s">
        <v>1272</v>
      </c>
      <c r="C15" s="1">
        <v>0</v>
      </c>
      <c r="D15" s="1">
        <v>1609520</v>
      </c>
      <c r="E15" s="14">
        <f t="shared" si="0"/>
        <v>360480960.36000001</v>
      </c>
      <c r="F15" t="s">
        <v>10</v>
      </c>
      <c r="G15" s="8" t="s">
        <v>18</v>
      </c>
      <c r="H15" s="154" t="s">
        <v>440</v>
      </c>
      <c r="I15" s="154" t="s">
        <v>2151</v>
      </c>
    </row>
    <row r="16" spans="1:9">
      <c r="A16" s="5">
        <v>45680</v>
      </c>
      <c r="B16" s="7" t="s">
        <v>1272</v>
      </c>
      <c r="C16" s="1">
        <v>0</v>
      </c>
      <c r="D16" s="1">
        <v>14410000</v>
      </c>
      <c r="E16" s="14">
        <f t="shared" si="0"/>
        <v>374890960.36000001</v>
      </c>
      <c r="F16" t="s">
        <v>10</v>
      </c>
      <c r="G16" s="8" t="s">
        <v>18</v>
      </c>
      <c r="H16" s="154" t="s">
        <v>440</v>
      </c>
      <c r="I16" s="154" t="s">
        <v>2151</v>
      </c>
    </row>
    <row r="17" spans="1:8">
      <c r="A17" s="5">
        <v>45681</v>
      </c>
      <c r="B17" s="7" t="s">
        <v>517</v>
      </c>
      <c r="C17" s="1">
        <v>1200000</v>
      </c>
      <c r="D17" s="1">
        <v>0</v>
      </c>
      <c r="E17" s="14">
        <f t="shared" si="0"/>
        <v>373690960.36000001</v>
      </c>
      <c r="F17" s="8" t="s">
        <v>4</v>
      </c>
      <c r="G17" s="8" t="s">
        <v>5</v>
      </c>
      <c r="H17" s="154" t="s">
        <v>1352</v>
      </c>
    </row>
    <row r="18" spans="1:8">
      <c r="A18" s="5">
        <v>45681</v>
      </c>
      <c r="B18" s="7" t="s">
        <v>518</v>
      </c>
      <c r="C18" s="1">
        <v>1200000</v>
      </c>
      <c r="D18" s="1">
        <v>0</v>
      </c>
      <c r="E18" s="14">
        <f t="shared" ref="E18:E81" si="1">E17-C18+D18</f>
        <v>372490960.36000001</v>
      </c>
      <c r="F18" s="8" t="s">
        <v>4</v>
      </c>
      <c r="G18" s="8" t="s">
        <v>5</v>
      </c>
      <c r="H18" s="154" t="s">
        <v>1352</v>
      </c>
    </row>
    <row r="19" spans="1:8">
      <c r="A19" s="5">
        <v>45681</v>
      </c>
      <c r="B19" s="7" t="s">
        <v>519</v>
      </c>
      <c r="C19" s="1">
        <v>1200000</v>
      </c>
      <c r="D19" s="1">
        <v>0</v>
      </c>
      <c r="E19" s="14">
        <f t="shared" si="1"/>
        <v>371290960.36000001</v>
      </c>
      <c r="F19" s="8" t="s">
        <v>4</v>
      </c>
      <c r="G19" s="8" t="s">
        <v>5</v>
      </c>
      <c r="H19" s="154" t="s">
        <v>1352</v>
      </c>
    </row>
    <row r="20" spans="1:8">
      <c r="A20" s="5">
        <v>45681</v>
      </c>
      <c r="B20" s="7" t="s">
        <v>520</v>
      </c>
      <c r="C20" s="1">
        <v>1200000</v>
      </c>
      <c r="D20" s="1">
        <v>0</v>
      </c>
      <c r="E20" s="14">
        <f t="shared" si="1"/>
        <v>370090960.36000001</v>
      </c>
      <c r="F20" s="8" t="s">
        <v>4</v>
      </c>
      <c r="G20" s="8" t="s">
        <v>5</v>
      </c>
      <c r="H20" s="154" t="s">
        <v>1352</v>
      </c>
    </row>
    <row r="21" spans="1:8">
      <c r="A21" s="5">
        <v>45681</v>
      </c>
      <c r="B21" s="7" t="s">
        <v>521</v>
      </c>
      <c r="C21" s="1">
        <v>1200000</v>
      </c>
      <c r="D21" s="1">
        <v>0</v>
      </c>
      <c r="E21" s="14">
        <f t="shared" si="1"/>
        <v>368890960.36000001</v>
      </c>
      <c r="F21" s="8" t="s">
        <v>4</v>
      </c>
      <c r="G21" s="8" t="s">
        <v>5</v>
      </c>
      <c r="H21" s="154" t="s">
        <v>1352</v>
      </c>
    </row>
    <row r="22" spans="1:8">
      <c r="A22" s="5">
        <v>45681</v>
      </c>
      <c r="B22" s="7" t="s">
        <v>522</v>
      </c>
      <c r="C22" s="1">
        <v>1200000</v>
      </c>
      <c r="D22" s="1">
        <v>0</v>
      </c>
      <c r="E22" s="14">
        <f t="shared" si="1"/>
        <v>367690960.36000001</v>
      </c>
      <c r="F22" s="8" t="s">
        <v>4</v>
      </c>
      <c r="G22" s="8" t="s">
        <v>5</v>
      </c>
      <c r="H22" s="154" t="s">
        <v>1352</v>
      </c>
    </row>
    <row r="23" spans="1:8">
      <c r="A23" s="5">
        <v>45681</v>
      </c>
      <c r="B23" s="7" t="s">
        <v>523</v>
      </c>
      <c r="C23" s="1">
        <v>800000</v>
      </c>
      <c r="D23" s="1">
        <v>0</v>
      </c>
      <c r="E23" s="14">
        <f t="shared" si="1"/>
        <v>366890960.36000001</v>
      </c>
      <c r="F23" s="8" t="s">
        <v>4</v>
      </c>
      <c r="G23" s="8" t="s">
        <v>5</v>
      </c>
      <c r="H23" s="154" t="s">
        <v>1352</v>
      </c>
    </row>
    <row r="24" spans="1:8">
      <c r="A24" s="5">
        <v>45681</v>
      </c>
      <c r="B24" s="7" t="s">
        <v>524</v>
      </c>
      <c r="C24" s="1">
        <v>800000</v>
      </c>
      <c r="D24" s="1">
        <v>0</v>
      </c>
      <c r="E24" s="14">
        <f t="shared" si="1"/>
        <v>366090960.36000001</v>
      </c>
      <c r="F24" s="8" t="s">
        <v>4</v>
      </c>
      <c r="G24" s="8" t="s">
        <v>5</v>
      </c>
      <c r="H24" s="154" t="s">
        <v>1352</v>
      </c>
    </row>
    <row r="25" spans="1:8">
      <c r="A25" s="5">
        <v>45681</v>
      </c>
      <c r="B25" s="7" t="s">
        <v>525</v>
      </c>
      <c r="C25" s="1">
        <v>1200000</v>
      </c>
      <c r="D25" s="1">
        <v>0</v>
      </c>
      <c r="E25" s="14">
        <f t="shared" si="1"/>
        <v>364890960.36000001</v>
      </c>
      <c r="F25" s="8" t="s">
        <v>4</v>
      </c>
      <c r="G25" s="8" t="s">
        <v>5</v>
      </c>
      <c r="H25" s="154" t="s">
        <v>1352</v>
      </c>
    </row>
    <row r="26" spans="1:8">
      <c r="A26" s="5">
        <v>45681</v>
      </c>
      <c r="B26" s="7" t="s">
        <v>526</v>
      </c>
      <c r="C26" s="1">
        <v>1200000</v>
      </c>
      <c r="D26" s="1">
        <v>0</v>
      </c>
      <c r="E26" s="14">
        <f t="shared" si="1"/>
        <v>363690960.36000001</v>
      </c>
      <c r="F26" s="8" t="s">
        <v>4</v>
      </c>
      <c r="G26" s="8" t="s">
        <v>5</v>
      </c>
      <c r="H26" s="154" t="s">
        <v>1352</v>
      </c>
    </row>
    <row r="27" spans="1:8">
      <c r="A27" s="5">
        <v>45681</v>
      </c>
      <c r="B27" s="7" t="s">
        <v>527</v>
      </c>
      <c r="C27" s="1">
        <v>1600000</v>
      </c>
      <c r="D27" s="1">
        <v>0</v>
      </c>
      <c r="E27" s="14">
        <f t="shared" si="1"/>
        <v>362090960.36000001</v>
      </c>
      <c r="F27" s="8" t="s">
        <v>4</v>
      </c>
      <c r="G27" s="8" t="s">
        <v>5</v>
      </c>
      <c r="H27" s="154" t="s">
        <v>1352</v>
      </c>
    </row>
    <row r="28" spans="1:8">
      <c r="A28" s="5">
        <v>45681</v>
      </c>
      <c r="B28" s="7" t="s">
        <v>528</v>
      </c>
      <c r="C28" s="1">
        <v>550000</v>
      </c>
      <c r="D28" s="1">
        <v>0</v>
      </c>
      <c r="E28" s="14">
        <f t="shared" si="1"/>
        <v>361540960.36000001</v>
      </c>
      <c r="F28" s="8" t="s">
        <v>4</v>
      </c>
      <c r="G28" s="8" t="s">
        <v>5</v>
      </c>
      <c r="H28" s="154" t="s">
        <v>1352</v>
      </c>
    </row>
    <row r="29" spans="1:8">
      <c r="A29" s="5">
        <v>45681</v>
      </c>
      <c r="B29" s="7" t="s">
        <v>529</v>
      </c>
      <c r="C29" s="1">
        <v>1000000</v>
      </c>
      <c r="D29" s="1">
        <v>0</v>
      </c>
      <c r="E29" s="14">
        <f t="shared" si="1"/>
        <v>360540960.36000001</v>
      </c>
      <c r="F29" s="8" t="s">
        <v>4</v>
      </c>
      <c r="G29" s="8" t="s">
        <v>5</v>
      </c>
      <c r="H29" s="154" t="s">
        <v>1352</v>
      </c>
    </row>
    <row r="30" spans="1:8">
      <c r="A30" s="5">
        <v>45681</v>
      </c>
      <c r="B30" s="7" t="s">
        <v>530</v>
      </c>
      <c r="C30" s="1">
        <v>350000</v>
      </c>
      <c r="D30" s="1">
        <v>0</v>
      </c>
      <c r="E30" s="14">
        <f t="shared" si="1"/>
        <v>360190960.36000001</v>
      </c>
      <c r="F30" s="8" t="s">
        <v>4</v>
      </c>
      <c r="G30" s="8" t="s">
        <v>5</v>
      </c>
      <c r="H30" s="154" t="s">
        <v>1352</v>
      </c>
    </row>
    <row r="31" spans="1:8">
      <c r="A31" s="5">
        <v>45681</v>
      </c>
      <c r="B31" s="7" t="s">
        <v>531</v>
      </c>
      <c r="C31" s="1">
        <v>800000</v>
      </c>
      <c r="D31" s="1">
        <v>0</v>
      </c>
      <c r="E31" s="14">
        <f t="shared" si="1"/>
        <v>359390960.36000001</v>
      </c>
      <c r="F31" s="8" t="s">
        <v>4</v>
      </c>
      <c r="G31" s="8" t="s">
        <v>5</v>
      </c>
      <c r="H31" s="154" t="s">
        <v>1352</v>
      </c>
    </row>
    <row r="32" spans="1:8">
      <c r="A32" s="5">
        <v>45681</v>
      </c>
      <c r="B32" s="7" t="s">
        <v>532</v>
      </c>
      <c r="C32" s="44">
        <v>1200000</v>
      </c>
      <c r="D32" s="1">
        <v>0</v>
      </c>
      <c r="E32" s="14">
        <f t="shared" si="1"/>
        <v>358190960.36000001</v>
      </c>
      <c r="F32" s="8" t="s">
        <v>4</v>
      </c>
      <c r="G32" s="8" t="s">
        <v>5</v>
      </c>
      <c r="H32" s="154" t="s">
        <v>1352</v>
      </c>
    </row>
    <row r="33" spans="1:10">
      <c r="A33" s="5">
        <v>45681</v>
      </c>
      <c r="B33" s="7" t="s">
        <v>533</v>
      </c>
      <c r="C33" s="1">
        <v>400000</v>
      </c>
      <c r="D33" s="1">
        <v>0</v>
      </c>
      <c r="E33" s="14">
        <f t="shared" si="1"/>
        <v>357790960.36000001</v>
      </c>
      <c r="F33" s="8" t="s">
        <v>4</v>
      </c>
      <c r="G33" s="8" t="s">
        <v>5</v>
      </c>
      <c r="H33" s="154" t="s">
        <v>2473</v>
      </c>
    </row>
    <row r="34" spans="1:10">
      <c r="A34" s="5">
        <v>45681</v>
      </c>
      <c r="B34" s="7" t="s">
        <v>534</v>
      </c>
      <c r="C34" s="1">
        <v>400000</v>
      </c>
      <c r="D34" s="1">
        <v>0</v>
      </c>
      <c r="E34" s="14">
        <f t="shared" si="1"/>
        <v>357390960.36000001</v>
      </c>
      <c r="F34" s="8" t="s">
        <v>4</v>
      </c>
      <c r="G34" s="8" t="s">
        <v>5</v>
      </c>
      <c r="H34" s="154" t="s">
        <v>2473</v>
      </c>
    </row>
    <row r="35" spans="1:10">
      <c r="A35" s="5">
        <v>45681</v>
      </c>
      <c r="B35" s="7" t="s">
        <v>535</v>
      </c>
      <c r="C35" s="1">
        <v>400000</v>
      </c>
      <c r="D35" s="1">
        <v>0</v>
      </c>
      <c r="E35" s="14">
        <f t="shared" si="1"/>
        <v>356990960.36000001</v>
      </c>
      <c r="F35" s="8" t="s">
        <v>4</v>
      </c>
      <c r="G35" s="8" t="s">
        <v>5</v>
      </c>
      <c r="H35" s="154" t="s">
        <v>2473</v>
      </c>
    </row>
    <row r="36" spans="1:10">
      <c r="A36" s="5">
        <v>45681</v>
      </c>
      <c r="B36" s="7" t="s">
        <v>536</v>
      </c>
      <c r="C36" s="1">
        <v>550000</v>
      </c>
      <c r="D36" s="1">
        <v>0</v>
      </c>
      <c r="E36" s="14">
        <f t="shared" si="1"/>
        <v>356440960.36000001</v>
      </c>
      <c r="F36" s="8" t="s">
        <v>4</v>
      </c>
      <c r="G36" s="8" t="s">
        <v>5</v>
      </c>
      <c r="H36" s="154" t="s">
        <v>1352</v>
      </c>
    </row>
    <row r="37" spans="1:10" s="8" customFormat="1">
      <c r="A37" s="5">
        <v>45681</v>
      </c>
      <c r="B37" s="7" t="s">
        <v>537</v>
      </c>
      <c r="C37" s="44">
        <v>400000</v>
      </c>
      <c r="D37" s="1">
        <v>0</v>
      </c>
      <c r="E37" s="14">
        <f t="shared" si="1"/>
        <v>356040960.36000001</v>
      </c>
      <c r="F37" s="8" t="s">
        <v>4</v>
      </c>
      <c r="G37" s="8" t="s">
        <v>5</v>
      </c>
      <c r="H37" s="154" t="s">
        <v>2473</v>
      </c>
      <c r="J37" s="8" t="s">
        <v>26</v>
      </c>
    </row>
    <row r="38" spans="1:10">
      <c r="A38" s="5">
        <v>45681</v>
      </c>
      <c r="B38" s="7" t="s">
        <v>538</v>
      </c>
      <c r="C38" s="1">
        <v>300000</v>
      </c>
      <c r="D38" s="1">
        <v>0</v>
      </c>
      <c r="E38" s="14">
        <f t="shared" si="1"/>
        <v>355740960.36000001</v>
      </c>
      <c r="F38" s="8" t="s">
        <v>4</v>
      </c>
      <c r="G38" s="8" t="s">
        <v>5</v>
      </c>
      <c r="H38" s="154" t="s">
        <v>2473</v>
      </c>
    </row>
    <row r="39" spans="1:10">
      <c r="A39" s="5">
        <v>45685</v>
      </c>
      <c r="B39" s="7" t="s">
        <v>328</v>
      </c>
      <c r="C39" s="1">
        <v>83450000</v>
      </c>
      <c r="D39" s="1">
        <v>0</v>
      </c>
      <c r="E39" s="14">
        <f t="shared" si="1"/>
        <v>272290960.36000001</v>
      </c>
      <c r="F39" s="8" t="s">
        <v>62</v>
      </c>
      <c r="G39" s="8" t="s">
        <v>23</v>
      </c>
      <c r="H39" s="146"/>
    </row>
    <row r="40" spans="1:10">
      <c r="A40" s="5">
        <v>45685</v>
      </c>
      <c r="B40" s="7" t="s">
        <v>921</v>
      </c>
      <c r="C40" s="1">
        <v>0</v>
      </c>
      <c r="D40" s="1">
        <v>2000000</v>
      </c>
      <c r="E40" s="14">
        <f t="shared" si="1"/>
        <v>274290960.36000001</v>
      </c>
      <c r="F40" t="s">
        <v>10</v>
      </c>
      <c r="G40" s="8" t="s">
        <v>76</v>
      </c>
      <c r="H40" s="146" t="s">
        <v>12</v>
      </c>
    </row>
    <row r="41" spans="1:10">
      <c r="A41" s="5">
        <v>45685</v>
      </c>
      <c r="B41" s="7" t="s">
        <v>353</v>
      </c>
      <c r="C41" s="1">
        <v>0</v>
      </c>
      <c r="D41" s="1">
        <v>2000000</v>
      </c>
      <c r="E41" s="14">
        <f t="shared" si="1"/>
        <v>276290960.36000001</v>
      </c>
      <c r="F41" t="s">
        <v>10</v>
      </c>
      <c r="G41" s="8" t="s">
        <v>76</v>
      </c>
      <c r="H41" s="146" t="s">
        <v>57</v>
      </c>
    </row>
    <row r="42" spans="1:10">
      <c r="A42" s="5">
        <v>45685</v>
      </c>
      <c r="B42" s="7" t="s">
        <v>539</v>
      </c>
      <c r="C42" s="1">
        <v>0</v>
      </c>
      <c r="D42" s="1">
        <v>250000</v>
      </c>
      <c r="E42" s="14">
        <f t="shared" si="1"/>
        <v>276540960.36000001</v>
      </c>
      <c r="F42" t="s">
        <v>10</v>
      </c>
      <c r="G42" s="8" t="s">
        <v>76</v>
      </c>
      <c r="H42" s="8" t="s">
        <v>450</v>
      </c>
    </row>
    <row r="43" spans="1:10">
      <c r="A43" s="5">
        <v>45685</v>
      </c>
      <c r="B43" s="7" t="s">
        <v>384</v>
      </c>
      <c r="C43" s="1">
        <v>0</v>
      </c>
      <c r="D43" s="1">
        <v>400000</v>
      </c>
      <c r="E43" s="14">
        <f t="shared" si="1"/>
        <v>276940960.36000001</v>
      </c>
      <c r="F43" t="s">
        <v>10</v>
      </c>
      <c r="G43" s="8" t="s">
        <v>76</v>
      </c>
      <c r="H43" s="146" t="s">
        <v>95</v>
      </c>
    </row>
    <row r="44" spans="1:10">
      <c r="A44" s="5">
        <v>45685</v>
      </c>
      <c r="B44" s="7" t="s">
        <v>540</v>
      </c>
      <c r="C44" s="1">
        <v>0</v>
      </c>
      <c r="D44" s="1">
        <v>1000000</v>
      </c>
      <c r="E44" s="14">
        <f t="shared" si="1"/>
        <v>277940960.36000001</v>
      </c>
      <c r="F44" t="s">
        <v>10</v>
      </c>
      <c r="G44" s="8" t="s">
        <v>76</v>
      </c>
      <c r="H44" s="146" t="s">
        <v>96</v>
      </c>
    </row>
    <row r="45" spans="1:10">
      <c r="A45" s="5">
        <v>45687</v>
      </c>
      <c r="B45" s="7" t="s">
        <v>541</v>
      </c>
      <c r="C45" s="1">
        <v>1200000</v>
      </c>
      <c r="D45" s="1">
        <v>0</v>
      </c>
      <c r="E45" s="14">
        <f t="shared" si="1"/>
        <v>276740960.36000001</v>
      </c>
      <c r="F45" s="8" t="s">
        <v>4</v>
      </c>
      <c r="G45" s="8" t="s">
        <v>5</v>
      </c>
      <c r="H45" s="154" t="s">
        <v>1352</v>
      </c>
    </row>
    <row r="46" spans="1:10">
      <c r="A46" s="5">
        <v>45687</v>
      </c>
      <c r="B46" s="7" t="s">
        <v>542</v>
      </c>
      <c r="C46" s="1">
        <v>400000</v>
      </c>
      <c r="D46" s="1">
        <v>0</v>
      </c>
      <c r="E46" s="14">
        <f t="shared" si="1"/>
        <v>276340960.36000001</v>
      </c>
      <c r="F46" s="8" t="s">
        <v>4</v>
      </c>
      <c r="G46" s="8" t="s">
        <v>5</v>
      </c>
      <c r="H46" s="154" t="s">
        <v>2473</v>
      </c>
    </row>
    <row r="47" spans="1:10">
      <c r="A47" s="5">
        <v>45688</v>
      </c>
      <c r="B47" s="7" t="s">
        <v>329</v>
      </c>
      <c r="C47" s="1">
        <v>0</v>
      </c>
      <c r="D47" s="1">
        <v>2642.42</v>
      </c>
      <c r="E47" s="14">
        <f t="shared" si="1"/>
        <v>276343602.78000003</v>
      </c>
      <c r="F47" t="s">
        <v>1209</v>
      </c>
      <c r="G47" s="8" t="s">
        <v>79</v>
      </c>
      <c r="H47" s="146"/>
    </row>
    <row r="48" spans="1:10">
      <c r="A48" s="5">
        <v>45688</v>
      </c>
      <c r="B48" s="7" t="s">
        <v>330</v>
      </c>
      <c r="C48" s="1">
        <v>528.48</v>
      </c>
      <c r="D48" s="1">
        <v>0</v>
      </c>
      <c r="E48" s="14">
        <f t="shared" si="1"/>
        <v>276343074.30000001</v>
      </c>
      <c r="F48" s="8" t="s">
        <v>1209</v>
      </c>
      <c r="G48" s="8" t="s">
        <v>79</v>
      </c>
      <c r="H48" s="146"/>
    </row>
    <row r="49" spans="1:9">
      <c r="A49" s="5">
        <v>45689</v>
      </c>
      <c r="B49" s="7" t="s">
        <v>837</v>
      </c>
      <c r="C49" s="1">
        <v>25106452</v>
      </c>
      <c r="D49" s="1">
        <v>0</v>
      </c>
      <c r="E49" s="14">
        <f t="shared" si="1"/>
        <v>251236622.30000001</v>
      </c>
      <c r="F49" s="8" t="s">
        <v>62</v>
      </c>
      <c r="G49" s="8" t="s">
        <v>23</v>
      </c>
      <c r="H49" s="146"/>
    </row>
    <row r="50" spans="1:9">
      <c r="A50" s="5">
        <v>45692</v>
      </c>
      <c r="B50" s="7" t="s">
        <v>838</v>
      </c>
      <c r="C50" s="1">
        <v>900000</v>
      </c>
      <c r="D50" s="1">
        <v>0</v>
      </c>
      <c r="E50" s="14">
        <f t="shared" si="1"/>
        <v>250336622.30000001</v>
      </c>
      <c r="F50" s="8" t="s">
        <v>4</v>
      </c>
      <c r="G50" s="8" t="s">
        <v>5</v>
      </c>
      <c r="H50" s="146" t="s">
        <v>2216</v>
      </c>
    </row>
    <row r="51" spans="1:9">
      <c r="A51" s="5">
        <v>45694</v>
      </c>
      <c r="B51" s="7" t="s">
        <v>343</v>
      </c>
      <c r="C51" s="1">
        <v>510000</v>
      </c>
      <c r="D51" s="1">
        <v>0</v>
      </c>
      <c r="E51" s="14">
        <f t="shared" si="1"/>
        <v>249826622.30000001</v>
      </c>
      <c r="F51" s="8" t="s">
        <v>62</v>
      </c>
      <c r="G51" s="8" t="s">
        <v>30</v>
      </c>
      <c r="H51" s="146"/>
    </row>
    <row r="52" spans="1:9">
      <c r="A52" s="5">
        <v>45694</v>
      </c>
      <c r="B52" s="7" t="s">
        <v>346</v>
      </c>
      <c r="C52" s="1">
        <v>500000</v>
      </c>
      <c r="D52" s="1">
        <v>0</v>
      </c>
      <c r="E52" s="14">
        <f t="shared" si="1"/>
        <v>249326622.30000001</v>
      </c>
      <c r="F52" s="8" t="s">
        <v>62</v>
      </c>
      <c r="G52" s="8" t="s">
        <v>30</v>
      </c>
      <c r="H52" s="146"/>
    </row>
    <row r="53" spans="1:9">
      <c r="A53" s="5">
        <v>45694</v>
      </c>
      <c r="B53" s="7" t="s">
        <v>344</v>
      </c>
      <c r="C53" s="1">
        <v>815000</v>
      </c>
      <c r="D53" s="1">
        <v>0</v>
      </c>
      <c r="E53" s="14">
        <f t="shared" si="1"/>
        <v>248511622.30000001</v>
      </c>
      <c r="F53" s="8" t="s">
        <v>62</v>
      </c>
      <c r="G53" s="8" t="s">
        <v>30</v>
      </c>
      <c r="H53" s="146"/>
    </row>
    <row r="54" spans="1:9">
      <c r="A54" s="5">
        <v>45694</v>
      </c>
      <c r="B54" s="7" t="s">
        <v>345</v>
      </c>
      <c r="C54" s="1">
        <v>1810000</v>
      </c>
      <c r="D54" s="1">
        <v>0</v>
      </c>
      <c r="E54" s="14">
        <f t="shared" si="1"/>
        <v>246701622.30000001</v>
      </c>
      <c r="F54" s="8" t="s">
        <v>62</v>
      </c>
      <c r="G54" s="8" t="s">
        <v>30</v>
      </c>
      <c r="H54" s="146"/>
    </row>
    <row r="55" spans="1:9">
      <c r="A55" s="5">
        <v>45701</v>
      </c>
      <c r="B55" s="7" t="s">
        <v>839</v>
      </c>
      <c r="C55" s="1">
        <v>84700000</v>
      </c>
      <c r="D55" s="1">
        <v>0</v>
      </c>
      <c r="E55" s="14">
        <f t="shared" si="1"/>
        <v>162001622.30000001</v>
      </c>
      <c r="F55" s="8" t="s">
        <v>62</v>
      </c>
      <c r="G55" s="8" t="s">
        <v>23</v>
      </c>
      <c r="H55" s="146"/>
    </row>
    <row r="56" spans="1:9">
      <c r="A56" s="5">
        <v>45702</v>
      </c>
      <c r="B56" s="7" t="s">
        <v>840</v>
      </c>
      <c r="C56" s="1">
        <v>800000</v>
      </c>
      <c r="D56" s="1">
        <v>0</v>
      </c>
      <c r="E56" s="14">
        <f t="shared" si="1"/>
        <v>161201622.30000001</v>
      </c>
      <c r="F56" s="8" t="s">
        <v>4</v>
      </c>
      <c r="G56" s="8" t="s">
        <v>5</v>
      </c>
      <c r="H56" s="154" t="s">
        <v>1583</v>
      </c>
    </row>
    <row r="57" spans="1:9">
      <c r="A57" s="5">
        <v>45705</v>
      </c>
      <c r="B57" s="7" t="s">
        <v>1273</v>
      </c>
      <c r="C57" s="1">
        <v>0</v>
      </c>
      <c r="D57" s="14">
        <v>2030000</v>
      </c>
      <c r="E57" s="14">
        <f t="shared" si="1"/>
        <v>163231622.30000001</v>
      </c>
      <c r="F57" t="s">
        <v>2140</v>
      </c>
      <c r="G57" s="8" t="s">
        <v>2141</v>
      </c>
      <c r="H57" s="154" t="s">
        <v>1368</v>
      </c>
      <c r="I57" s="146" t="s">
        <v>1512</v>
      </c>
    </row>
    <row r="58" spans="1:9">
      <c r="A58" s="5">
        <v>45709</v>
      </c>
      <c r="B58" s="7" t="s">
        <v>327</v>
      </c>
      <c r="C58" s="1">
        <v>20000</v>
      </c>
      <c r="D58" s="1">
        <v>0</v>
      </c>
      <c r="E58" s="14">
        <f t="shared" si="1"/>
        <v>163211622.30000001</v>
      </c>
      <c r="F58" s="116" t="s">
        <v>19</v>
      </c>
      <c r="G58" s="8" t="s">
        <v>189</v>
      </c>
      <c r="H58" s="146"/>
    </row>
    <row r="59" spans="1:9">
      <c r="A59" s="5">
        <v>45710</v>
      </c>
      <c r="B59" s="7" t="s">
        <v>841</v>
      </c>
      <c r="C59" s="1">
        <v>800000</v>
      </c>
      <c r="D59" s="1">
        <v>0</v>
      </c>
      <c r="E59" s="14">
        <f t="shared" si="1"/>
        <v>162411622.30000001</v>
      </c>
      <c r="F59" s="8" t="s">
        <v>4</v>
      </c>
      <c r="G59" s="8" t="s">
        <v>5</v>
      </c>
      <c r="H59" s="154" t="s">
        <v>1364</v>
      </c>
    </row>
    <row r="60" spans="1:9">
      <c r="A60" s="5">
        <v>45710</v>
      </c>
      <c r="B60" s="7" t="s">
        <v>842</v>
      </c>
      <c r="C60" s="1">
        <v>300000</v>
      </c>
      <c r="D60" s="1">
        <v>0</v>
      </c>
      <c r="E60" s="14">
        <f t="shared" si="1"/>
        <v>162111622.30000001</v>
      </c>
      <c r="F60" s="8" t="s">
        <v>4</v>
      </c>
      <c r="G60" s="8" t="s">
        <v>5</v>
      </c>
      <c r="H60" s="154" t="s">
        <v>1364</v>
      </c>
    </row>
    <row r="61" spans="1:9">
      <c r="A61" s="5">
        <v>45710</v>
      </c>
      <c r="B61" s="7" t="s">
        <v>1274</v>
      </c>
      <c r="C61" s="1">
        <v>0</v>
      </c>
      <c r="D61" s="14">
        <v>60000000</v>
      </c>
      <c r="E61" s="14">
        <f t="shared" si="1"/>
        <v>222111622.30000001</v>
      </c>
      <c r="F61" t="s">
        <v>2140</v>
      </c>
      <c r="G61" s="8" t="s">
        <v>2141</v>
      </c>
      <c r="H61" s="154" t="s">
        <v>1445</v>
      </c>
      <c r="I61" s="146" t="s">
        <v>1509</v>
      </c>
    </row>
    <row r="62" spans="1:9">
      <c r="A62" s="5">
        <v>45715</v>
      </c>
      <c r="B62" s="7" t="s">
        <v>843</v>
      </c>
      <c r="C62" s="1">
        <v>60650000</v>
      </c>
      <c r="D62" s="1">
        <v>0</v>
      </c>
      <c r="E62" s="14">
        <f t="shared" si="1"/>
        <v>161461622.30000001</v>
      </c>
      <c r="F62" s="116" t="s">
        <v>62</v>
      </c>
      <c r="G62" s="8" t="s">
        <v>23</v>
      </c>
      <c r="H62" s="146"/>
    </row>
    <row r="63" spans="1:9">
      <c r="A63" s="5">
        <v>45715</v>
      </c>
      <c r="B63" s="7" t="s">
        <v>844</v>
      </c>
      <c r="C63" s="1">
        <v>0</v>
      </c>
      <c r="D63" s="1">
        <v>2000000</v>
      </c>
      <c r="E63" s="14">
        <f t="shared" si="1"/>
        <v>163461622.30000001</v>
      </c>
      <c r="F63" t="s">
        <v>10</v>
      </c>
      <c r="G63" s="8" t="s">
        <v>76</v>
      </c>
      <c r="H63" s="146" t="s">
        <v>12</v>
      </c>
    </row>
    <row r="64" spans="1:9">
      <c r="A64" s="5">
        <v>45715</v>
      </c>
      <c r="B64" s="7" t="s">
        <v>845</v>
      </c>
      <c r="C64" s="1">
        <v>0</v>
      </c>
      <c r="D64" s="1">
        <v>2000000</v>
      </c>
      <c r="E64" s="14">
        <f t="shared" si="1"/>
        <v>165461622.30000001</v>
      </c>
      <c r="F64" t="s">
        <v>10</v>
      </c>
      <c r="G64" s="8" t="s">
        <v>76</v>
      </c>
      <c r="H64" s="146" t="s">
        <v>57</v>
      </c>
    </row>
    <row r="65" spans="1:8">
      <c r="A65" s="5">
        <v>45715</v>
      </c>
      <c r="B65" s="7" t="s">
        <v>846</v>
      </c>
      <c r="C65" s="1">
        <v>0</v>
      </c>
      <c r="D65" s="1">
        <v>250000</v>
      </c>
      <c r="E65" s="14">
        <f t="shared" si="1"/>
        <v>165711622.30000001</v>
      </c>
      <c r="F65" t="s">
        <v>10</v>
      </c>
      <c r="G65" s="8" t="s">
        <v>76</v>
      </c>
      <c r="H65" s="146" t="s">
        <v>450</v>
      </c>
    </row>
    <row r="66" spans="1:8">
      <c r="A66" s="5">
        <v>45715</v>
      </c>
      <c r="B66" s="7" t="s">
        <v>847</v>
      </c>
      <c r="C66" s="1">
        <v>0</v>
      </c>
      <c r="D66" s="1">
        <v>200000</v>
      </c>
      <c r="E66" s="14">
        <f t="shared" si="1"/>
        <v>165911622.30000001</v>
      </c>
      <c r="F66" t="s">
        <v>10</v>
      </c>
      <c r="G66" s="8" t="s">
        <v>76</v>
      </c>
      <c r="H66" s="146" t="s">
        <v>95</v>
      </c>
    </row>
    <row r="67" spans="1:8">
      <c r="A67" s="5">
        <v>45715</v>
      </c>
      <c r="B67" s="7" t="s">
        <v>848</v>
      </c>
      <c r="C67" s="1">
        <v>0</v>
      </c>
      <c r="D67" s="1">
        <v>2580645</v>
      </c>
      <c r="E67" s="14">
        <f t="shared" si="1"/>
        <v>168492267.30000001</v>
      </c>
      <c r="F67" t="s">
        <v>62</v>
      </c>
      <c r="G67" s="8" t="s">
        <v>23</v>
      </c>
      <c r="H67" s="146"/>
    </row>
    <row r="68" spans="1:8">
      <c r="A68" s="5">
        <v>45715</v>
      </c>
      <c r="B68" s="7" t="s">
        <v>849</v>
      </c>
      <c r="C68" s="1">
        <v>0</v>
      </c>
      <c r="D68" s="1">
        <v>1000000</v>
      </c>
      <c r="E68" s="14">
        <f t="shared" si="1"/>
        <v>169492267.30000001</v>
      </c>
      <c r="F68" t="s">
        <v>10</v>
      </c>
      <c r="G68" s="8" t="s">
        <v>76</v>
      </c>
      <c r="H68" s="146" t="s">
        <v>96</v>
      </c>
    </row>
    <row r="69" spans="1:8">
      <c r="A69" s="5">
        <v>45715</v>
      </c>
      <c r="B69" s="7" t="s">
        <v>850</v>
      </c>
      <c r="C69" s="1">
        <v>1000000</v>
      </c>
      <c r="D69" s="1">
        <v>0</v>
      </c>
      <c r="E69" s="14">
        <f t="shared" si="1"/>
        <v>168492267.30000001</v>
      </c>
      <c r="F69" s="8" t="s">
        <v>62</v>
      </c>
      <c r="G69" s="8" t="s">
        <v>23</v>
      </c>
      <c r="H69" s="146"/>
    </row>
    <row r="70" spans="1:8">
      <c r="A70" s="5">
        <v>45716</v>
      </c>
      <c r="B70" s="7" t="s">
        <v>329</v>
      </c>
      <c r="C70" s="1">
        <v>0</v>
      </c>
      <c r="D70" s="1">
        <v>1604.28</v>
      </c>
      <c r="E70" s="14">
        <f t="shared" si="1"/>
        <v>168493871.58000001</v>
      </c>
      <c r="F70" t="s">
        <v>1209</v>
      </c>
      <c r="G70" s="8" t="s">
        <v>79</v>
      </c>
      <c r="H70" s="146"/>
    </row>
    <row r="71" spans="1:8">
      <c r="A71" s="5">
        <v>45716</v>
      </c>
      <c r="B71" s="7" t="s">
        <v>330</v>
      </c>
      <c r="C71" s="1">
        <v>320.86</v>
      </c>
      <c r="D71" s="1">
        <v>0</v>
      </c>
      <c r="E71" s="14">
        <f t="shared" si="1"/>
        <v>168493550.72</v>
      </c>
      <c r="F71" s="116" t="s">
        <v>1209</v>
      </c>
      <c r="G71" s="8" t="s">
        <v>79</v>
      </c>
      <c r="H71" s="146"/>
    </row>
    <row r="72" spans="1:8">
      <c r="A72" s="5">
        <v>45721</v>
      </c>
      <c r="B72" s="7" t="s">
        <v>1009</v>
      </c>
      <c r="C72" s="1">
        <v>1900000</v>
      </c>
      <c r="D72" s="1">
        <v>0</v>
      </c>
      <c r="E72" s="14">
        <f t="shared" si="1"/>
        <v>166593550.72</v>
      </c>
      <c r="F72" s="8" t="s">
        <v>4</v>
      </c>
      <c r="G72" s="8" t="s">
        <v>5</v>
      </c>
      <c r="H72" s="154" t="s">
        <v>1376</v>
      </c>
    </row>
    <row r="73" spans="1:8">
      <c r="A73" s="5">
        <v>45721</v>
      </c>
      <c r="B73" s="7" t="s">
        <v>1010</v>
      </c>
      <c r="C73" s="1">
        <v>400000</v>
      </c>
      <c r="D73" s="1">
        <v>0</v>
      </c>
      <c r="E73" s="14">
        <f t="shared" si="1"/>
        <v>166193550.72</v>
      </c>
      <c r="F73" s="8" t="s">
        <v>4</v>
      </c>
      <c r="G73" s="8" t="s">
        <v>5</v>
      </c>
      <c r="H73" s="154" t="s">
        <v>1368</v>
      </c>
    </row>
    <row r="74" spans="1:8">
      <c r="A74" s="5">
        <v>45721</v>
      </c>
      <c r="B74" s="7" t="s">
        <v>1011</v>
      </c>
      <c r="C74" s="1">
        <v>400000</v>
      </c>
      <c r="D74" s="1">
        <v>0</v>
      </c>
      <c r="E74" s="14">
        <f t="shared" si="1"/>
        <v>165793550.72</v>
      </c>
      <c r="F74" s="8" t="s">
        <v>4</v>
      </c>
      <c r="G74" s="8" t="s">
        <v>5</v>
      </c>
      <c r="H74" s="154" t="s">
        <v>1364</v>
      </c>
    </row>
    <row r="75" spans="1:8">
      <c r="A75" s="5">
        <v>45721</v>
      </c>
      <c r="B75" s="7" t="s">
        <v>1012</v>
      </c>
      <c r="C75" s="1">
        <v>1700000</v>
      </c>
      <c r="D75" s="1">
        <v>0</v>
      </c>
      <c r="E75" s="14">
        <f t="shared" si="1"/>
        <v>164093550.72</v>
      </c>
      <c r="F75" s="8" t="s">
        <v>4</v>
      </c>
      <c r="G75" s="8" t="s">
        <v>5</v>
      </c>
      <c r="H75" s="154" t="s">
        <v>1445</v>
      </c>
    </row>
    <row r="76" spans="1:8">
      <c r="A76" s="5">
        <v>45721</v>
      </c>
      <c r="B76" s="7" t="s">
        <v>1013</v>
      </c>
      <c r="C76" s="1">
        <v>450000</v>
      </c>
      <c r="D76" s="1">
        <v>0</v>
      </c>
      <c r="E76" s="14">
        <f t="shared" si="1"/>
        <v>163643550.72</v>
      </c>
      <c r="F76" s="8" t="s">
        <v>4</v>
      </c>
      <c r="G76" s="8" t="s">
        <v>5</v>
      </c>
      <c r="H76" s="154" t="s">
        <v>1368</v>
      </c>
    </row>
    <row r="77" spans="1:8">
      <c r="A77" s="5">
        <v>45721</v>
      </c>
      <c r="B77" s="7" t="s">
        <v>1014</v>
      </c>
      <c r="C77" s="1">
        <v>1700000</v>
      </c>
      <c r="D77" s="1">
        <v>0</v>
      </c>
      <c r="E77" s="14">
        <f t="shared" si="1"/>
        <v>161943550.72</v>
      </c>
      <c r="F77" s="8" t="s">
        <v>4</v>
      </c>
      <c r="G77" s="8" t="s">
        <v>5</v>
      </c>
      <c r="H77" s="154" t="s">
        <v>1445</v>
      </c>
    </row>
    <row r="78" spans="1:8">
      <c r="A78" s="5">
        <v>45721</v>
      </c>
      <c r="B78" s="7" t="s">
        <v>1015</v>
      </c>
      <c r="C78" s="1">
        <v>1350000</v>
      </c>
      <c r="D78" s="1">
        <v>0</v>
      </c>
      <c r="E78" s="14">
        <f t="shared" si="1"/>
        <v>160593550.72</v>
      </c>
      <c r="F78" s="8" t="s">
        <v>4</v>
      </c>
      <c r="G78" s="8" t="s">
        <v>5</v>
      </c>
      <c r="H78" s="154" t="s">
        <v>1368</v>
      </c>
    </row>
    <row r="79" spans="1:8">
      <c r="A79" s="5">
        <v>45721</v>
      </c>
      <c r="B79" s="7" t="s">
        <v>1016</v>
      </c>
      <c r="C79" s="1">
        <v>800000</v>
      </c>
      <c r="D79" s="1">
        <v>0</v>
      </c>
      <c r="E79" s="14">
        <f t="shared" si="1"/>
        <v>159793550.72</v>
      </c>
      <c r="F79" s="8" t="s">
        <v>4</v>
      </c>
      <c r="G79" s="8" t="s">
        <v>5</v>
      </c>
      <c r="H79" s="154" t="s">
        <v>1368</v>
      </c>
    </row>
    <row r="80" spans="1:8">
      <c r="A80" s="5">
        <v>45721</v>
      </c>
      <c r="B80" s="7" t="s">
        <v>1017</v>
      </c>
      <c r="C80" s="1">
        <v>150000</v>
      </c>
      <c r="D80" s="1">
        <v>0</v>
      </c>
      <c r="E80" s="14">
        <f t="shared" si="1"/>
        <v>159643550.72</v>
      </c>
      <c r="F80" s="8" t="s">
        <v>4</v>
      </c>
      <c r="G80" s="8" t="s">
        <v>5</v>
      </c>
      <c r="H80" s="154" t="s">
        <v>1368</v>
      </c>
    </row>
    <row r="81" spans="1:9">
      <c r="A81" s="5">
        <v>45721</v>
      </c>
      <c r="B81" s="7" t="s">
        <v>1018</v>
      </c>
      <c r="C81" s="1">
        <v>300000</v>
      </c>
      <c r="D81" s="1">
        <v>0</v>
      </c>
      <c r="E81" s="14">
        <f t="shared" si="1"/>
        <v>159343550.72</v>
      </c>
      <c r="F81" s="8" t="s">
        <v>4</v>
      </c>
      <c r="G81" s="8" t="s">
        <v>5</v>
      </c>
      <c r="H81" s="154" t="s">
        <v>1368</v>
      </c>
    </row>
    <row r="82" spans="1:9">
      <c r="A82" s="5">
        <v>45721</v>
      </c>
      <c r="B82" s="7" t="s">
        <v>1019</v>
      </c>
      <c r="C82" s="1">
        <v>1209200</v>
      </c>
      <c r="D82" s="1">
        <v>0</v>
      </c>
      <c r="E82" s="14">
        <f t="shared" ref="E82:E145" si="2">E81-C82+D82</f>
        <v>158134350.72</v>
      </c>
      <c r="F82" s="8" t="s">
        <v>62</v>
      </c>
      <c r="G82" s="8" t="s">
        <v>70</v>
      </c>
      <c r="H82" s="146"/>
    </row>
    <row r="83" spans="1:9">
      <c r="A83" s="5">
        <v>45721</v>
      </c>
      <c r="B83" s="7" t="s">
        <v>1020</v>
      </c>
      <c r="C83" s="1">
        <v>400000</v>
      </c>
      <c r="D83" s="1">
        <v>0</v>
      </c>
      <c r="E83" s="14">
        <f t="shared" si="2"/>
        <v>157734350.72</v>
      </c>
      <c r="F83" s="8" t="s">
        <v>4</v>
      </c>
      <c r="G83" s="8" t="s">
        <v>5</v>
      </c>
      <c r="H83" s="154" t="s">
        <v>1368</v>
      </c>
    </row>
    <row r="84" spans="1:9">
      <c r="A84" s="5">
        <v>45721</v>
      </c>
      <c r="B84" s="7" t="s">
        <v>1021</v>
      </c>
      <c r="C84" s="1">
        <v>400000</v>
      </c>
      <c r="D84" s="1">
        <v>0</v>
      </c>
      <c r="E84" s="14">
        <f t="shared" si="2"/>
        <v>157334350.72</v>
      </c>
      <c r="F84" s="8" t="s">
        <v>4</v>
      </c>
      <c r="G84" s="8" t="s">
        <v>5</v>
      </c>
      <c r="H84" s="154" t="s">
        <v>1364</v>
      </c>
    </row>
    <row r="85" spans="1:9">
      <c r="A85" s="5">
        <v>45721</v>
      </c>
      <c r="B85" s="7" t="s">
        <v>1022</v>
      </c>
      <c r="C85" s="1">
        <v>866000</v>
      </c>
      <c r="D85" s="1">
        <v>0</v>
      </c>
      <c r="E85" s="14">
        <f t="shared" si="2"/>
        <v>156468350.72</v>
      </c>
      <c r="F85" s="8" t="s">
        <v>4</v>
      </c>
      <c r="G85" s="8" t="s">
        <v>5</v>
      </c>
      <c r="H85" s="154" t="s">
        <v>1445</v>
      </c>
    </row>
    <row r="86" spans="1:9">
      <c r="A86" s="5">
        <v>45722</v>
      </c>
      <c r="B86" s="7" t="s">
        <v>1275</v>
      </c>
      <c r="C86" s="1">
        <v>0</v>
      </c>
      <c r="D86" s="1">
        <v>10638235</v>
      </c>
      <c r="E86" s="14">
        <f t="shared" si="2"/>
        <v>167106585.72</v>
      </c>
      <c r="F86" t="s">
        <v>10</v>
      </c>
      <c r="G86" s="8" t="s">
        <v>18</v>
      </c>
      <c r="H86" s="154" t="s">
        <v>433</v>
      </c>
      <c r="I86" s="146" t="s">
        <v>2153</v>
      </c>
    </row>
    <row r="87" spans="1:9">
      <c r="A87" s="5">
        <v>45727</v>
      </c>
      <c r="B87" s="7" t="s">
        <v>1023</v>
      </c>
      <c r="C87" s="1">
        <v>480000</v>
      </c>
      <c r="D87" s="1">
        <v>0</v>
      </c>
      <c r="E87" s="14">
        <f t="shared" si="2"/>
        <v>166626585.72</v>
      </c>
      <c r="F87" s="116" t="s">
        <v>62</v>
      </c>
      <c r="G87" s="8" t="s">
        <v>30</v>
      </c>
      <c r="H87" s="146"/>
    </row>
    <row r="88" spans="1:9">
      <c r="A88" s="113">
        <v>45727</v>
      </c>
      <c r="B88" s="7" t="s">
        <v>1024</v>
      </c>
      <c r="C88" s="1">
        <v>2000000</v>
      </c>
      <c r="D88" s="1">
        <v>0</v>
      </c>
      <c r="E88" s="14">
        <f t="shared" si="2"/>
        <v>164626585.72</v>
      </c>
      <c r="F88" s="8" t="s">
        <v>4</v>
      </c>
      <c r="G88" s="8" t="s">
        <v>5</v>
      </c>
      <c r="H88" s="154" t="s">
        <v>1445</v>
      </c>
    </row>
    <row r="89" spans="1:9">
      <c r="A89" s="5">
        <v>45727</v>
      </c>
      <c r="B89" s="7" t="s">
        <v>1025</v>
      </c>
      <c r="C89" s="1">
        <v>1900000</v>
      </c>
      <c r="D89" s="1">
        <v>0</v>
      </c>
      <c r="E89" s="14">
        <f t="shared" si="2"/>
        <v>162726585.72</v>
      </c>
      <c r="F89" s="8" t="s">
        <v>4</v>
      </c>
      <c r="G89" s="8" t="s">
        <v>5</v>
      </c>
      <c r="H89" s="154" t="s">
        <v>1376</v>
      </c>
    </row>
    <row r="90" spans="1:9">
      <c r="A90" s="5">
        <v>45727</v>
      </c>
      <c r="B90" s="7" t="s">
        <v>1026</v>
      </c>
      <c r="C90" s="1">
        <v>2000000</v>
      </c>
      <c r="D90" s="1">
        <v>0</v>
      </c>
      <c r="E90" s="14">
        <f t="shared" si="2"/>
        <v>160726585.72</v>
      </c>
      <c r="F90" s="8" t="s">
        <v>4</v>
      </c>
      <c r="G90" s="8" t="s">
        <v>5</v>
      </c>
      <c r="H90" s="154" t="s">
        <v>1445</v>
      </c>
    </row>
    <row r="91" spans="1:9">
      <c r="A91" s="5">
        <v>45727</v>
      </c>
      <c r="B91" s="7" t="s">
        <v>1027</v>
      </c>
      <c r="C91" s="1">
        <v>450000</v>
      </c>
      <c r="D91" s="1">
        <v>0</v>
      </c>
      <c r="E91" s="14">
        <f t="shared" si="2"/>
        <v>160276585.72</v>
      </c>
      <c r="F91" s="8" t="s">
        <v>4</v>
      </c>
      <c r="G91" s="8" t="s">
        <v>5</v>
      </c>
      <c r="H91" s="154" t="s">
        <v>1445</v>
      </c>
    </row>
    <row r="92" spans="1:9">
      <c r="A92" s="5">
        <v>45729</v>
      </c>
      <c r="B92" s="7" t="s">
        <v>1276</v>
      </c>
      <c r="C92" s="1">
        <v>0</v>
      </c>
      <c r="D92" s="1">
        <v>6693495</v>
      </c>
      <c r="E92" s="14">
        <f t="shared" si="2"/>
        <v>166970080.72</v>
      </c>
      <c r="F92" t="s">
        <v>10</v>
      </c>
      <c r="G92" s="8" t="s">
        <v>18</v>
      </c>
      <c r="H92" s="146" t="s">
        <v>248</v>
      </c>
      <c r="I92" t="s">
        <v>4305</v>
      </c>
    </row>
    <row r="93" spans="1:9">
      <c r="A93" s="5">
        <v>45729</v>
      </c>
      <c r="B93" s="7" t="s">
        <v>1028</v>
      </c>
      <c r="C93" s="1">
        <v>0</v>
      </c>
      <c r="D93" s="1">
        <v>250000000</v>
      </c>
      <c r="E93" s="14">
        <f t="shared" si="2"/>
        <v>416970080.72000003</v>
      </c>
      <c r="F93" t="s">
        <v>920</v>
      </c>
      <c r="G93" s="8" t="s">
        <v>371</v>
      </c>
      <c r="H93" s="146"/>
    </row>
    <row r="94" spans="1:9">
      <c r="A94" s="5">
        <v>45729</v>
      </c>
      <c r="B94" s="7" t="s">
        <v>1029</v>
      </c>
      <c r="C94" s="1">
        <v>0</v>
      </c>
      <c r="D94" s="1">
        <v>150000000</v>
      </c>
      <c r="E94" s="14">
        <f t="shared" si="2"/>
        <v>566970080.72000003</v>
      </c>
      <c r="F94" t="s">
        <v>920</v>
      </c>
      <c r="G94" s="8" t="s">
        <v>371</v>
      </c>
      <c r="H94" s="146"/>
    </row>
    <row r="95" spans="1:9">
      <c r="A95" s="5">
        <v>45730</v>
      </c>
      <c r="B95" s="7" t="s">
        <v>1030</v>
      </c>
      <c r="C95" s="1">
        <v>34316667</v>
      </c>
      <c r="D95" s="1">
        <v>0</v>
      </c>
      <c r="E95" s="14">
        <f t="shared" si="2"/>
        <v>532653413.72000003</v>
      </c>
      <c r="F95" s="116" t="s">
        <v>62</v>
      </c>
      <c r="G95" s="8" t="s">
        <v>23</v>
      </c>
      <c r="H95" s="146"/>
    </row>
    <row r="96" spans="1:9">
      <c r="A96" s="113">
        <v>45730</v>
      </c>
      <c r="B96" s="7" t="s">
        <v>1031</v>
      </c>
      <c r="C96" s="1">
        <v>1440000</v>
      </c>
      <c r="D96" s="1">
        <v>0</v>
      </c>
      <c r="E96" s="14">
        <f t="shared" si="2"/>
        <v>531213413.72000003</v>
      </c>
      <c r="F96" s="8" t="s">
        <v>62</v>
      </c>
      <c r="G96" s="8" t="s">
        <v>30</v>
      </c>
      <c r="H96" s="146"/>
    </row>
    <row r="97" spans="1:9">
      <c r="A97" s="5">
        <v>45730</v>
      </c>
      <c r="B97" s="7" t="s">
        <v>1032</v>
      </c>
      <c r="C97" s="1">
        <v>540000</v>
      </c>
      <c r="D97" s="1">
        <v>0</v>
      </c>
      <c r="E97" s="14">
        <f t="shared" si="2"/>
        <v>530673413.72000003</v>
      </c>
      <c r="F97" s="8" t="s">
        <v>62</v>
      </c>
      <c r="G97" s="8" t="s">
        <v>30</v>
      </c>
      <c r="H97" s="146"/>
    </row>
    <row r="98" spans="1:9">
      <c r="A98" s="5">
        <v>45730</v>
      </c>
      <c r="B98" s="7" t="s">
        <v>1033</v>
      </c>
      <c r="C98" s="1">
        <v>870000</v>
      </c>
      <c r="D98" s="1">
        <v>0</v>
      </c>
      <c r="E98" s="14">
        <f t="shared" si="2"/>
        <v>529803413.72000003</v>
      </c>
      <c r="F98" s="8" t="s">
        <v>62</v>
      </c>
      <c r="G98" s="8" t="s">
        <v>30</v>
      </c>
      <c r="H98" s="146"/>
    </row>
    <row r="99" spans="1:9">
      <c r="A99" s="5">
        <v>45731</v>
      </c>
      <c r="B99" s="7" t="s">
        <v>1034</v>
      </c>
      <c r="C99" s="1">
        <v>0</v>
      </c>
      <c r="D99" s="1">
        <v>3101962</v>
      </c>
      <c r="E99" s="14">
        <f t="shared" si="2"/>
        <v>532905375.72000003</v>
      </c>
      <c r="F99" t="s">
        <v>10</v>
      </c>
      <c r="G99" s="8" t="s">
        <v>76</v>
      </c>
      <c r="H99" s="146" t="s">
        <v>25</v>
      </c>
    </row>
    <row r="100" spans="1:9">
      <c r="A100" s="113">
        <v>45731</v>
      </c>
      <c r="B100" s="7" t="s">
        <v>1035</v>
      </c>
      <c r="C100" s="1">
        <v>0</v>
      </c>
      <c r="D100" s="1">
        <v>2000000</v>
      </c>
      <c r="E100" s="14">
        <f t="shared" si="2"/>
        <v>534905375.72000003</v>
      </c>
      <c r="F100" t="s">
        <v>10</v>
      </c>
      <c r="G100" s="8" t="s">
        <v>76</v>
      </c>
      <c r="H100" s="146" t="s">
        <v>12</v>
      </c>
    </row>
    <row r="101" spans="1:9">
      <c r="A101" s="5">
        <v>45731</v>
      </c>
      <c r="B101" s="7" t="s">
        <v>1036</v>
      </c>
      <c r="C101" s="1">
        <v>0</v>
      </c>
      <c r="D101" s="1">
        <v>2000000</v>
      </c>
      <c r="E101" s="14">
        <f t="shared" si="2"/>
        <v>536905375.72000003</v>
      </c>
      <c r="F101" t="s">
        <v>10</v>
      </c>
      <c r="G101" s="8" t="s">
        <v>76</v>
      </c>
      <c r="H101" s="146" t="s">
        <v>57</v>
      </c>
    </row>
    <row r="102" spans="1:9">
      <c r="A102" s="5">
        <v>45731</v>
      </c>
      <c r="B102" s="7" t="s">
        <v>1037</v>
      </c>
      <c r="C102" s="1">
        <v>0</v>
      </c>
      <c r="D102" s="1">
        <v>194250</v>
      </c>
      <c r="E102" s="14">
        <f t="shared" si="2"/>
        <v>537099625.72000003</v>
      </c>
      <c r="F102" t="s">
        <v>10</v>
      </c>
      <c r="G102" s="8" t="s">
        <v>76</v>
      </c>
      <c r="H102" s="146" t="s">
        <v>57</v>
      </c>
    </row>
    <row r="103" spans="1:9">
      <c r="A103" s="5">
        <v>45731</v>
      </c>
      <c r="B103" s="7" t="s">
        <v>1038</v>
      </c>
      <c r="C103" s="1">
        <v>0</v>
      </c>
      <c r="D103" s="1">
        <v>168200</v>
      </c>
      <c r="E103" s="14">
        <f t="shared" si="2"/>
        <v>537267825.72000003</v>
      </c>
      <c r="F103" t="s">
        <v>10</v>
      </c>
      <c r="G103" s="8" t="s">
        <v>76</v>
      </c>
      <c r="H103" s="146" t="s">
        <v>57</v>
      </c>
    </row>
    <row r="104" spans="1:9">
      <c r="A104" s="5">
        <v>45731</v>
      </c>
      <c r="B104" s="7" t="s">
        <v>1039</v>
      </c>
      <c r="C104" s="1">
        <v>0</v>
      </c>
      <c r="D104" s="1">
        <v>250000</v>
      </c>
      <c r="E104" s="14">
        <f t="shared" si="2"/>
        <v>537517825.72000003</v>
      </c>
      <c r="F104" t="s">
        <v>10</v>
      </c>
      <c r="G104" s="8" t="s">
        <v>76</v>
      </c>
      <c r="H104" s="146" t="s">
        <v>450</v>
      </c>
    </row>
    <row r="105" spans="1:9">
      <c r="A105" s="5">
        <v>45731</v>
      </c>
      <c r="B105" s="7" t="s">
        <v>847</v>
      </c>
      <c r="C105" s="1">
        <v>0</v>
      </c>
      <c r="D105" s="1">
        <v>200000</v>
      </c>
      <c r="E105" s="14">
        <f t="shared" si="2"/>
        <v>537717825.72000003</v>
      </c>
      <c r="F105" t="s">
        <v>10</v>
      </c>
      <c r="G105" s="8" t="s">
        <v>76</v>
      </c>
      <c r="H105" s="146" t="s">
        <v>95</v>
      </c>
    </row>
    <row r="106" spans="1:9">
      <c r="A106" s="5">
        <v>45731</v>
      </c>
      <c r="B106" s="7" t="s">
        <v>1040</v>
      </c>
      <c r="C106" s="1">
        <v>0</v>
      </c>
      <c r="D106" s="1">
        <v>1000000</v>
      </c>
      <c r="E106" s="14">
        <f t="shared" si="2"/>
        <v>538717825.72000003</v>
      </c>
      <c r="F106" t="s">
        <v>10</v>
      </c>
      <c r="G106" s="8" t="s">
        <v>76</v>
      </c>
      <c r="H106" s="146" t="s">
        <v>96</v>
      </c>
    </row>
    <row r="107" spans="1:9">
      <c r="A107" s="5">
        <v>45731</v>
      </c>
      <c r="B107" s="7" t="s">
        <v>1041</v>
      </c>
      <c r="C107" s="1">
        <v>0</v>
      </c>
      <c r="D107" s="1">
        <v>355500</v>
      </c>
      <c r="E107" s="14">
        <f t="shared" si="2"/>
        <v>539073325.72000003</v>
      </c>
      <c r="F107" t="s">
        <v>10</v>
      </c>
      <c r="G107" s="8" t="s">
        <v>76</v>
      </c>
      <c r="H107" s="146" t="s">
        <v>60</v>
      </c>
    </row>
    <row r="108" spans="1:9">
      <c r="A108" s="5">
        <v>45731</v>
      </c>
      <c r="B108" s="7" t="s">
        <v>1042</v>
      </c>
      <c r="C108" s="1">
        <v>3916667</v>
      </c>
      <c r="D108" s="1">
        <v>0</v>
      </c>
      <c r="E108" s="14">
        <f t="shared" si="2"/>
        <v>535156658.72000003</v>
      </c>
      <c r="F108" s="116" t="s">
        <v>62</v>
      </c>
      <c r="G108" s="8" t="s">
        <v>23</v>
      </c>
      <c r="H108" s="146"/>
    </row>
    <row r="109" spans="1:9">
      <c r="A109" s="5">
        <v>45733</v>
      </c>
      <c r="B109" s="7" t="s">
        <v>1043</v>
      </c>
      <c r="C109" s="1">
        <v>0</v>
      </c>
      <c r="D109" s="1">
        <v>1165600</v>
      </c>
      <c r="E109" s="14">
        <f t="shared" si="2"/>
        <v>536322258.72000003</v>
      </c>
      <c r="F109" t="s">
        <v>10</v>
      </c>
      <c r="G109" s="8" t="s">
        <v>76</v>
      </c>
      <c r="H109" s="146" t="s">
        <v>57</v>
      </c>
    </row>
    <row r="110" spans="1:9" s="40" customFormat="1">
      <c r="A110" s="218">
        <v>45734</v>
      </c>
      <c r="B110" s="12" t="s">
        <v>1277</v>
      </c>
      <c r="C110" s="41">
        <v>0</v>
      </c>
      <c r="D110" s="41">
        <v>3465049</v>
      </c>
      <c r="E110" s="14">
        <f t="shared" si="2"/>
        <v>539787307.72000003</v>
      </c>
      <c r="F110" s="40" t="s">
        <v>2140</v>
      </c>
      <c r="G110" s="8" t="s">
        <v>2141</v>
      </c>
      <c r="H110" s="154" t="s">
        <v>1631</v>
      </c>
      <c r="I110" s="40" t="s">
        <v>6580</v>
      </c>
    </row>
    <row r="111" spans="1:9">
      <c r="A111" s="113">
        <v>45735</v>
      </c>
      <c r="B111" s="7" t="s">
        <v>1278</v>
      </c>
      <c r="C111" s="1">
        <v>0</v>
      </c>
      <c r="D111" s="1">
        <v>17200355</v>
      </c>
      <c r="E111" s="14">
        <f t="shared" si="2"/>
        <v>556987662.72000003</v>
      </c>
      <c r="F111" t="s">
        <v>10</v>
      </c>
      <c r="G111" s="8" t="s">
        <v>18</v>
      </c>
      <c r="H111" s="154" t="s">
        <v>424</v>
      </c>
      <c r="I111" s="154" t="s">
        <v>2419</v>
      </c>
    </row>
    <row r="112" spans="1:9">
      <c r="A112" s="113">
        <v>45735</v>
      </c>
      <c r="B112" s="7" t="s">
        <v>1044</v>
      </c>
      <c r="C112" s="1">
        <v>900000</v>
      </c>
      <c r="D112" s="1">
        <v>0</v>
      </c>
      <c r="E112" s="14">
        <f t="shared" si="2"/>
        <v>556087662.72000003</v>
      </c>
      <c r="F112" s="116" t="s">
        <v>8</v>
      </c>
      <c r="G112" s="8" t="s">
        <v>31</v>
      </c>
      <c r="H112" s="146"/>
    </row>
    <row r="113" spans="1:9" s="40" customFormat="1">
      <c r="A113" s="218">
        <v>45737</v>
      </c>
      <c r="B113" s="12" t="s">
        <v>1279</v>
      </c>
      <c r="C113" s="41">
        <v>0</v>
      </c>
      <c r="D113" s="41">
        <v>625000</v>
      </c>
      <c r="E113" s="14">
        <f t="shared" si="2"/>
        <v>556712662.72000003</v>
      </c>
      <c r="F113" s="40" t="s">
        <v>10</v>
      </c>
      <c r="G113" s="8" t="s">
        <v>18</v>
      </c>
      <c r="H113" s="154" t="s">
        <v>509</v>
      </c>
      <c r="I113" s="40" t="s">
        <v>2396</v>
      </c>
    </row>
    <row r="114" spans="1:9">
      <c r="A114" s="5">
        <v>45737</v>
      </c>
      <c r="B114" s="7" t="s">
        <v>1280</v>
      </c>
      <c r="C114" s="1">
        <v>0</v>
      </c>
      <c r="D114" s="1">
        <v>1090000</v>
      </c>
      <c r="E114" s="14">
        <f t="shared" si="2"/>
        <v>557802662.72000003</v>
      </c>
      <c r="F114" t="s">
        <v>920</v>
      </c>
      <c r="G114" t="s">
        <v>497</v>
      </c>
      <c r="H114" t="s">
        <v>26</v>
      </c>
    </row>
    <row r="115" spans="1:9">
      <c r="A115" s="5">
        <v>45737</v>
      </c>
      <c r="B115" s="7" t="s">
        <v>1281</v>
      </c>
      <c r="C115" s="1">
        <v>0</v>
      </c>
      <c r="D115" s="1">
        <v>1252274</v>
      </c>
      <c r="E115" s="14">
        <f t="shared" si="2"/>
        <v>559054936.72000003</v>
      </c>
      <c r="F115" t="s">
        <v>10</v>
      </c>
      <c r="G115" s="8" t="s">
        <v>18</v>
      </c>
      <c r="H115" s="154" t="s">
        <v>392</v>
      </c>
      <c r="I115" s="154" t="s">
        <v>2420</v>
      </c>
    </row>
    <row r="116" spans="1:9">
      <c r="A116" s="5">
        <v>45737</v>
      </c>
      <c r="B116" s="7" t="s">
        <v>327</v>
      </c>
      <c r="C116" s="1">
        <v>20000</v>
      </c>
      <c r="D116" s="1">
        <v>0</v>
      </c>
      <c r="E116" s="14">
        <f t="shared" si="2"/>
        <v>559034936.72000003</v>
      </c>
      <c r="F116" s="116" t="s">
        <v>19</v>
      </c>
      <c r="G116" s="8" t="s">
        <v>189</v>
      </c>
      <c r="H116" s="146"/>
    </row>
    <row r="117" spans="1:9" s="40" customFormat="1">
      <c r="A117" s="218">
        <v>45740</v>
      </c>
      <c r="B117" s="12" t="s">
        <v>1282</v>
      </c>
      <c r="C117" s="41">
        <v>0</v>
      </c>
      <c r="D117" s="41">
        <v>134882</v>
      </c>
      <c r="E117" s="14">
        <f t="shared" si="2"/>
        <v>559169818.72000003</v>
      </c>
      <c r="F117" s="40" t="s">
        <v>10</v>
      </c>
      <c r="G117" s="8" t="s">
        <v>18</v>
      </c>
      <c r="H117" s="154" t="s">
        <v>421</v>
      </c>
      <c r="I117" s="40" t="s">
        <v>2403</v>
      </c>
    </row>
    <row r="118" spans="1:9">
      <c r="A118" s="5">
        <v>45741</v>
      </c>
      <c r="B118" s="7" t="s">
        <v>1283</v>
      </c>
      <c r="C118" s="1">
        <v>0</v>
      </c>
      <c r="D118" s="1">
        <v>15072555</v>
      </c>
      <c r="E118" s="14">
        <f t="shared" si="2"/>
        <v>574242373.72000003</v>
      </c>
      <c r="F118" t="s">
        <v>10</v>
      </c>
      <c r="G118" s="8" t="s">
        <v>18</v>
      </c>
      <c r="H118" s="154" t="s">
        <v>431</v>
      </c>
      <c r="I118" s="154" t="s">
        <v>2418</v>
      </c>
    </row>
    <row r="119" spans="1:9">
      <c r="A119" s="5">
        <v>45741</v>
      </c>
      <c r="B119" s="7" t="s">
        <v>1284</v>
      </c>
      <c r="C119" s="1">
        <v>0</v>
      </c>
      <c r="D119" s="1">
        <v>7043871</v>
      </c>
      <c r="E119" s="14">
        <f t="shared" si="2"/>
        <v>581286244.72000003</v>
      </c>
      <c r="F119" t="s">
        <v>10</v>
      </c>
      <c r="G119" s="8" t="s">
        <v>18</v>
      </c>
      <c r="H119" s="154" t="s">
        <v>2432</v>
      </c>
      <c r="I119" s="154" t="s">
        <v>2401</v>
      </c>
    </row>
    <row r="120" spans="1:9">
      <c r="A120" s="5">
        <v>45743</v>
      </c>
      <c r="B120" s="7" t="s">
        <v>1045</v>
      </c>
      <c r="C120" s="1">
        <v>61150000</v>
      </c>
      <c r="D120" s="1">
        <v>0</v>
      </c>
      <c r="E120" s="14">
        <f t="shared" si="2"/>
        <v>520136244.72000003</v>
      </c>
      <c r="F120" s="116" t="s">
        <v>62</v>
      </c>
      <c r="G120" s="8" t="s">
        <v>23</v>
      </c>
      <c r="H120" s="146"/>
    </row>
    <row r="121" spans="1:9">
      <c r="A121" s="5">
        <v>45743</v>
      </c>
      <c r="B121" s="7" t="s">
        <v>1046</v>
      </c>
      <c r="C121" s="1">
        <v>500000</v>
      </c>
      <c r="D121" s="1">
        <v>0</v>
      </c>
      <c r="E121" s="14">
        <f t="shared" si="2"/>
        <v>519636244.72000003</v>
      </c>
      <c r="F121" s="116" t="s">
        <v>62</v>
      </c>
      <c r="G121" s="8" t="s">
        <v>23</v>
      </c>
      <c r="H121" s="146"/>
    </row>
    <row r="122" spans="1:9">
      <c r="A122" s="5">
        <v>45744</v>
      </c>
      <c r="B122" s="7" t="s">
        <v>1035</v>
      </c>
      <c r="C122" s="1">
        <v>0</v>
      </c>
      <c r="D122" s="1">
        <v>2000000</v>
      </c>
      <c r="E122" s="14">
        <f t="shared" si="2"/>
        <v>521636244.72000003</v>
      </c>
      <c r="F122" t="s">
        <v>10</v>
      </c>
      <c r="G122" s="8" t="s">
        <v>76</v>
      </c>
      <c r="H122" s="146" t="s">
        <v>12</v>
      </c>
    </row>
    <row r="123" spans="1:9">
      <c r="A123" s="5">
        <v>45744</v>
      </c>
      <c r="B123" s="7" t="s">
        <v>1047</v>
      </c>
      <c r="C123" s="1">
        <v>0</v>
      </c>
      <c r="D123" s="1">
        <v>2000000</v>
      </c>
      <c r="E123" s="14">
        <f t="shared" si="2"/>
        <v>523636244.72000003</v>
      </c>
      <c r="F123" t="s">
        <v>10</v>
      </c>
      <c r="G123" s="8" t="s">
        <v>76</v>
      </c>
      <c r="H123" s="146" t="s">
        <v>57</v>
      </c>
    </row>
    <row r="124" spans="1:9">
      <c r="A124" s="5">
        <v>45744</v>
      </c>
      <c r="B124" s="7" t="s">
        <v>1039</v>
      </c>
      <c r="C124" s="1">
        <v>0</v>
      </c>
      <c r="D124" s="1">
        <v>250000</v>
      </c>
      <c r="E124" s="14">
        <f t="shared" si="2"/>
        <v>523886244.72000003</v>
      </c>
      <c r="F124" t="s">
        <v>10</v>
      </c>
      <c r="G124" s="8" t="s">
        <v>76</v>
      </c>
      <c r="H124" s="146" t="s">
        <v>450</v>
      </c>
    </row>
    <row r="125" spans="1:9">
      <c r="A125" s="5">
        <v>45744</v>
      </c>
      <c r="B125" s="7" t="s">
        <v>384</v>
      </c>
      <c r="C125" s="1">
        <v>0</v>
      </c>
      <c r="D125" s="1">
        <v>200000</v>
      </c>
      <c r="E125" s="14">
        <f t="shared" si="2"/>
        <v>524086244.72000003</v>
      </c>
      <c r="F125" t="s">
        <v>10</v>
      </c>
      <c r="G125" s="8" t="s">
        <v>76</v>
      </c>
      <c r="H125" s="146" t="s">
        <v>95</v>
      </c>
    </row>
    <row r="126" spans="1:9">
      <c r="A126" s="5">
        <v>45744</v>
      </c>
      <c r="B126" s="7" t="s">
        <v>1048</v>
      </c>
      <c r="C126" s="1">
        <v>0</v>
      </c>
      <c r="D126" s="1">
        <v>774194</v>
      </c>
      <c r="E126" s="14">
        <f t="shared" si="2"/>
        <v>524860438.72000003</v>
      </c>
      <c r="F126" t="s">
        <v>62</v>
      </c>
      <c r="G126" s="8" t="s">
        <v>23</v>
      </c>
      <c r="H126" s="146"/>
    </row>
    <row r="127" spans="1:9">
      <c r="A127" s="5">
        <v>45744</v>
      </c>
      <c r="B127" s="7" t="s">
        <v>1049</v>
      </c>
      <c r="C127" s="1">
        <v>0</v>
      </c>
      <c r="D127" s="1">
        <v>4000000</v>
      </c>
      <c r="E127" s="14">
        <f t="shared" si="2"/>
        <v>528860438.72000003</v>
      </c>
      <c r="F127" t="s">
        <v>10</v>
      </c>
      <c r="G127" s="8" t="s">
        <v>76</v>
      </c>
      <c r="H127" s="146" t="s">
        <v>449</v>
      </c>
    </row>
    <row r="128" spans="1:9">
      <c r="A128" s="5">
        <v>45747</v>
      </c>
      <c r="B128" s="7" t="s">
        <v>329</v>
      </c>
      <c r="C128" s="1">
        <v>0</v>
      </c>
      <c r="D128" s="1">
        <v>3387.68</v>
      </c>
      <c r="E128" s="14">
        <f t="shared" si="2"/>
        <v>528863826.40000004</v>
      </c>
      <c r="F128" t="s">
        <v>1209</v>
      </c>
      <c r="G128" s="8" t="s">
        <v>79</v>
      </c>
      <c r="H128" s="146"/>
    </row>
    <row r="129" spans="1:9">
      <c r="A129" s="5">
        <v>45747</v>
      </c>
      <c r="B129" s="7" t="s">
        <v>330</v>
      </c>
      <c r="C129" s="1">
        <v>677.54</v>
      </c>
      <c r="D129" s="1">
        <v>0</v>
      </c>
      <c r="E129" s="14">
        <f t="shared" si="2"/>
        <v>528863148.86000001</v>
      </c>
      <c r="F129" s="116" t="s">
        <v>1209</v>
      </c>
      <c r="G129" s="8" t="s">
        <v>79</v>
      </c>
      <c r="H129" s="146"/>
    </row>
    <row r="130" spans="1:9">
      <c r="A130" s="5">
        <v>45761</v>
      </c>
      <c r="B130" s="7" t="s">
        <v>1050</v>
      </c>
      <c r="C130" s="1">
        <v>1650000</v>
      </c>
      <c r="D130" s="1">
        <v>0</v>
      </c>
      <c r="E130" s="14">
        <f t="shared" si="2"/>
        <v>527213148.86000001</v>
      </c>
      <c r="F130" t="s">
        <v>62</v>
      </c>
      <c r="G130" s="8" t="s">
        <v>30</v>
      </c>
      <c r="H130" s="146"/>
    </row>
    <row r="131" spans="1:9">
      <c r="A131" s="5">
        <v>45761</v>
      </c>
      <c r="B131" s="7" t="s">
        <v>1051</v>
      </c>
      <c r="C131" s="1">
        <v>505000</v>
      </c>
      <c r="D131" s="1">
        <v>0</v>
      </c>
      <c r="E131" s="14">
        <f t="shared" si="2"/>
        <v>526708148.86000001</v>
      </c>
      <c r="F131" t="s">
        <v>62</v>
      </c>
      <c r="G131" s="8" t="s">
        <v>30</v>
      </c>
      <c r="H131" s="146"/>
    </row>
    <row r="132" spans="1:9">
      <c r="A132" s="5">
        <v>45761</v>
      </c>
      <c r="B132" s="7" t="s">
        <v>1052</v>
      </c>
      <c r="C132" s="1">
        <v>440000</v>
      </c>
      <c r="D132" s="1">
        <v>0</v>
      </c>
      <c r="E132" s="14">
        <f t="shared" si="2"/>
        <v>526268148.86000001</v>
      </c>
      <c r="F132" t="s">
        <v>62</v>
      </c>
      <c r="G132" s="8" t="s">
        <v>30</v>
      </c>
      <c r="H132" s="146"/>
    </row>
    <row r="133" spans="1:9">
      <c r="A133" s="5">
        <v>45761</v>
      </c>
      <c r="B133" s="7" t="s">
        <v>1053</v>
      </c>
      <c r="C133" s="1">
        <v>890000</v>
      </c>
      <c r="D133" s="1">
        <v>0</v>
      </c>
      <c r="E133" s="14">
        <f t="shared" si="2"/>
        <v>525378148.86000001</v>
      </c>
      <c r="F133" t="s">
        <v>62</v>
      </c>
      <c r="G133" s="8" t="s">
        <v>30</v>
      </c>
      <c r="H133" s="146"/>
    </row>
    <row r="134" spans="1:9">
      <c r="A134" s="5">
        <v>45761</v>
      </c>
      <c r="B134" s="7" t="s">
        <v>1054</v>
      </c>
      <c r="C134" s="1">
        <v>1550000</v>
      </c>
      <c r="D134" s="1">
        <v>0</v>
      </c>
      <c r="E134" s="14">
        <f t="shared" si="2"/>
        <v>523828148.86000001</v>
      </c>
      <c r="F134" t="s">
        <v>4</v>
      </c>
      <c r="G134" s="8" t="s">
        <v>5</v>
      </c>
      <c r="H134" s="154" t="s">
        <v>1376</v>
      </c>
    </row>
    <row r="135" spans="1:9">
      <c r="A135" s="5">
        <v>45762</v>
      </c>
      <c r="B135" s="7" t="s">
        <v>1055</v>
      </c>
      <c r="C135" s="1">
        <v>283150000</v>
      </c>
      <c r="D135" s="1">
        <v>0</v>
      </c>
      <c r="E135" s="14">
        <f t="shared" si="2"/>
        <v>240678148.86000001</v>
      </c>
      <c r="F135" t="s">
        <v>6</v>
      </c>
      <c r="G135" s="8" t="s">
        <v>13</v>
      </c>
      <c r="H135" s="146" t="s">
        <v>66</v>
      </c>
    </row>
    <row r="136" spans="1:9">
      <c r="A136" s="5">
        <v>45764</v>
      </c>
      <c r="B136" s="7" t="s">
        <v>1056</v>
      </c>
      <c r="C136" s="1">
        <v>0</v>
      </c>
      <c r="D136" s="1">
        <v>21012500</v>
      </c>
      <c r="E136" s="14">
        <f t="shared" si="2"/>
        <v>261690648.86000001</v>
      </c>
      <c r="F136" t="s">
        <v>6</v>
      </c>
      <c r="G136" s="8" t="s">
        <v>13</v>
      </c>
      <c r="H136" s="146" t="s">
        <v>66</v>
      </c>
    </row>
    <row r="137" spans="1:9">
      <c r="A137" s="5">
        <v>45765</v>
      </c>
      <c r="B137" s="7" t="s">
        <v>1057</v>
      </c>
      <c r="C137" s="1">
        <v>400000</v>
      </c>
      <c r="D137" s="1">
        <v>0</v>
      </c>
      <c r="E137" s="14">
        <f t="shared" si="2"/>
        <v>261290648.86000001</v>
      </c>
      <c r="F137" t="s">
        <v>4</v>
      </c>
      <c r="G137" s="8" t="s">
        <v>5</v>
      </c>
      <c r="H137" s="146" t="s">
        <v>2474</v>
      </c>
    </row>
    <row r="138" spans="1:9">
      <c r="A138" s="5">
        <v>45765</v>
      </c>
      <c r="B138" s="7" t="s">
        <v>327</v>
      </c>
      <c r="C138" s="1">
        <v>20000</v>
      </c>
      <c r="D138" s="1">
        <v>0</v>
      </c>
      <c r="E138" s="14">
        <f t="shared" si="2"/>
        <v>261270648.86000001</v>
      </c>
      <c r="F138" t="s">
        <v>1210</v>
      </c>
      <c r="G138" s="8" t="s">
        <v>189</v>
      </c>
      <c r="H138" s="146"/>
    </row>
    <row r="139" spans="1:9">
      <c r="A139" s="5">
        <v>45768</v>
      </c>
      <c r="B139" s="7" t="s">
        <v>1285</v>
      </c>
      <c r="C139" s="1">
        <v>0</v>
      </c>
      <c r="D139" s="14">
        <v>68100000</v>
      </c>
      <c r="E139" s="14">
        <f t="shared" si="2"/>
        <v>329370648.86000001</v>
      </c>
      <c r="F139" t="s">
        <v>2140</v>
      </c>
      <c r="G139" s="8" t="s">
        <v>2141</v>
      </c>
      <c r="H139" s="154" t="s">
        <v>1445</v>
      </c>
      <c r="I139" s="146" t="s">
        <v>1516</v>
      </c>
    </row>
    <row r="140" spans="1:9">
      <c r="A140" s="5">
        <v>45770</v>
      </c>
      <c r="B140" s="7" t="s">
        <v>1058</v>
      </c>
      <c r="C140" s="1">
        <v>10000000</v>
      </c>
      <c r="D140" s="1">
        <v>0</v>
      </c>
      <c r="E140" s="14">
        <f t="shared" si="2"/>
        <v>319370648.86000001</v>
      </c>
      <c r="F140" t="s">
        <v>4</v>
      </c>
      <c r="G140" s="8" t="s">
        <v>5</v>
      </c>
      <c r="H140" s="154" t="s">
        <v>1452</v>
      </c>
    </row>
    <row r="141" spans="1:9">
      <c r="A141" s="5">
        <v>45770</v>
      </c>
      <c r="B141" s="7" t="s">
        <v>1059</v>
      </c>
      <c r="C141" s="1">
        <v>400000</v>
      </c>
      <c r="D141" s="1">
        <v>0</v>
      </c>
      <c r="E141" s="14">
        <f t="shared" si="2"/>
        <v>318970648.86000001</v>
      </c>
      <c r="F141" t="s">
        <v>4</v>
      </c>
      <c r="G141" s="8" t="s">
        <v>5</v>
      </c>
      <c r="H141" s="146" t="s">
        <v>2474</v>
      </c>
    </row>
    <row r="142" spans="1:9">
      <c r="A142" s="5">
        <v>45770</v>
      </c>
      <c r="B142" s="7" t="s">
        <v>1060</v>
      </c>
      <c r="C142" s="1">
        <v>1550000</v>
      </c>
      <c r="D142" s="1">
        <v>0</v>
      </c>
      <c r="E142" s="14">
        <f t="shared" si="2"/>
        <v>317420648.86000001</v>
      </c>
      <c r="F142" t="s">
        <v>4</v>
      </c>
      <c r="G142" s="8" t="s">
        <v>5</v>
      </c>
      <c r="H142" s="154" t="s">
        <v>1376</v>
      </c>
    </row>
    <row r="143" spans="1:9">
      <c r="A143" s="5">
        <v>45776</v>
      </c>
      <c r="B143" s="7" t="s">
        <v>1061</v>
      </c>
      <c r="C143" s="1">
        <v>61150000</v>
      </c>
      <c r="D143" s="1">
        <v>0</v>
      </c>
      <c r="E143" s="14">
        <f t="shared" si="2"/>
        <v>256270648.86000001</v>
      </c>
      <c r="F143" t="s">
        <v>62</v>
      </c>
      <c r="G143" s="8" t="s">
        <v>23</v>
      </c>
      <c r="H143" s="146"/>
    </row>
    <row r="144" spans="1:9">
      <c r="A144" s="113">
        <v>45776</v>
      </c>
      <c r="B144" s="7" t="s">
        <v>1035</v>
      </c>
      <c r="C144" s="1">
        <v>0</v>
      </c>
      <c r="D144" s="1">
        <v>2000000</v>
      </c>
      <c r="E144" s="14">
        <f t="shared" si="2"/>
        <v>258270648.86000001</v>
      </c>
      <c r="F144" t="s">
        <v>10</v>
      </c>
      <c r="G144" s="8" t="s">
        <v>76</v>
      </c>
      <c r="H144" s="146" t="s">
        <v>12</v>
      </c>
    </row>
    <row r="145" spans="1:8">
      <c r="A145" s="113">
        <v>45776</v>
      </c>
      <c r="B145" s="7" t="s">
        <v>1047</v>
      </c>
      <c r="C145" s="1">
        <v>0</v>
      </c>
      <c r="D145" s="1">
        <v>2000000</v>
      </c>
      <c r="E145" s="14">
        <f t="shared" si="2"/>
        <v>260270648.86000001</v>
      </c>
      <c r="F145" t="s">
        <v>10</v>
      </c>
      <c r="G145" s="8" t="s">
        <v>76</v>
      </c>
      <c r="H145" s="146" t="s">
        <v>57</v>
      </c>
    </row>
    <row r="146" spans="1:8">
      <c r="A146" s="113">
        <v>45776</v>
      </c>
      <c r="B146" s="7" t="s">
        <v>846</v>
      </c>
      <c r="C146" s="1">
        <v>0</v>
      </c>
      <c r="D146" s="1">
        <v>250000</v>
      </c>
      <c r="E146" s="14">
        <f t="shared" ref="E146:E179" si="3">E145-C146+D146</f>
        <v>260520648.86000001</v>
      </c>
      <c r="F146" t="s">
        <v>10</v>
      </c>
      <c r="G146" s="8" t="s">
        <v>76</v>
      </c>
      <c r="H146" s="146" t="s">
        <v>450</v>
      </c>
    </row>
    <row r="147" spans="1:8">
      <c r="A147" s="113">
        <v>45776</v>
      </c>
      <c r="B147" s="7" t="s">
        <v>847</v>
      </c>
      <c r="C147" s="1">
        <v>0</v>
      </c>
      <c r="D147" s="1">
        <v>200000</v>
      </c>
      <c r="E147" s="14">
        <f t="shared" si="3"/>
        <v>260720648.86000001</v>
      </c>
      <c r="F147" t="s">
        <v>10</v>
      </c>
      <c r="G147" s="8" t="s">
        <v>76</v>
      </c>
      <c r="H147" s="146" t="s">
        <v>95</v>
      </c>
    </row>
    <row r="148" spans="1:8">
      <c r="A148" s="113">
        <v>45776</v>
      </c>
      <c r="B148" s="7" t="s">
        <v>1062</v>
      </c>
      <c r="C148" s="1">
        <v>0</v>
      </c>
      <c r="D148" s="1">
        <v>4000000</v>
      </c>
      <c r="E148" s="14">
        <f t="shared" si="3"/>
        <v>264720648.86000001</v>
      </c>
      <c r="F148" t="s">
        <v>10</v>
      </c>
      <c r="G148" s="8" t="s">
        <v>76</v>
      </c>
      <c r="H148" s="146" t="s">
        <v>449</v>
      </c>
    </row>
    <row r="149" spans="1:8">
      <c r="A149" s="113">
        <v>45776</v>
      </c>
      <c r="B149" s="7" t="s">
        <v>1063</v>
      </c>
      <c r="C149" s="1">
        <v>0</v>
      </c>
      <c r="D149" s="1">
        <v>150000000</v>
      </c>
      <c r="E149" s="14">
        <f t="shared" si="3"/>
        <v>414720648.86000001</v>
      </c>
      <c r="F149" t="s">
        <v>920</v>
      </c>
      <c r="G149" s="8" t="s">
        <v>371</v>
      </c>
      <c r="H149" s="146"/>
    </row>
    <row r="150" spans="1:8">
      <c r="A150" s="113">
        <v>45776</v>
      </c>
      <c r="B150" s="7" t="s">
        <v>5958</v>
      </c>
      <c r="C150" s="1">
        <v>317650000</v>
      </c>
      <c r="D150" s="1">
        <v>0</v>
      </c>
      <c r="E150" s="14">
        <f t="shared" si="3"/>
        <v>97070648.860000014</v>
      </c>
      <c r="F150" t="s">
        <v>6</v>
      </c>
      <c r="G150" s="8" t="s">
        <v>13</v>
      </c>
      <c r="H150" s="146"/>
    </row>
    <row r="151" spans="1:8">
      <c r="A151" s="113">
        <v>45776</v>
      </c>
      <c r="B151" s="7" t="s">
        <v>1064</v>
      </c>
      <c r="C151" s="1">
        <v>150000</v>
      </c>
      <c r="D151" s="1">
        <v>0</v>
      </c>
      <c r="E151" s="14">
        <f t="shared" si="3"/>
        <v>96920648.860000014</v>
      </c>
      <c r="F151" t="s">
        <v>4</v>
      </c>
      <c r="G151" s="8" t="s">
        <v>5</v>
      </c>
      <c r="H151" s="154" t="s">
        <v>1452</v>
      </c>
    </row>
    <row r="152" spans="1:8">
      <c r="A152" s="113">
        <v>45776</v>
      </c>
      <c r="B152" s="7" t="s">
        <v>1065</v>
      </c>
      <c r="C152" s="1">
        <v>400000</v>
      </c>
      <c r="D152" s="1">
        <v>0</v>
      </c>
      <c r="E152" s="14">
        <f t="shared" si="3"/>
        <v>96520648.860000014</v>
      </c>
      <c r="F152" t="s">
        <v>4</v>
      </c>
      <c r="G152" s="8" t="s">
        <v>5</v>
      </c>
      <c r="H152" s="154" t="s">
        <v>1452</v>
      </c>
    </row>
    <row r="153" spans="1:8">
      <c r="A153" s="113">
        <v>45776</v>
      </c>
      <c r="B153" s="7" t="s">
        <v>1066</v>
      </c>
      <c r="C153" s="1">
        <v>400000</v>
      </c>
      <c r="D153" s="1">
        <v>0</v>
      </c>
      <c r="E153" s="14">
        <f t="shared" si="3"/>
        <v>96120648.860000014</v>
      </c>
      <c r="F153" t="s">
        <v>4</v>
      </c>
      <c r="G153" s="8" t="s">
        <v>5</v>
      </c>
      <c r="H153" s="146" t="s">
        <v>1609</v>
      </c>
    </row>
    <row r="154" spans="1:8">
      <c r="A154" s="113">
        <v>45776</v>
      </c>
      <c r="B154" s="7" t="s">
        <v>1067</v>
      </c>
      <c r="C154" s="1">
        <v>400000</v>
      </c>
      <c r="D154" s="1">
        <v>0</v>
      </c>
      <c r="E154" s="14">
        <f t="shared" si="3"/>
        <v>95720648.860000014</v>
      </c>
      <c r="F154" t="s">
        <v>4</v>
      </c>
      <c r="G154" s="8" t="s">
        <v>5</v>
      </c>
      <c r="H154" s="146" t="s">
        <v>1609</v>
      </c>
    </row>
    <row r="155" spans="1:8">
      <c r="A155" s="113">
        <v>45776</v>
      </c>
      <c r="B155" s="7" t="s">
        <v>1068</v>
      </c>
      <c r="C155" s="1">
        <v>150000</v>
      </c>
      <c r="D155" s="1">
        <v>0</v>
      </c>
      <c r="E155" s="14">
        <f t="shared" si="3"/>
        <v>95570648.860000014</v>
      </c>
      <c r="F155" t="s">
        <v>4</v>
      </c>
      <c r="G155" s="8" t="s">
        <v>5</v>
      </c>
      <c r="H155" s="146" t="s">
        <v>2474</v>
      </c>
    </row>
    <row r="156" spans="1:8">
      <c r="A156" s="113">
        <v>45776</v>
      </c>
      <c r="B156" s="7" t="s">
        <v>1069</v>
      </c>
      <c r="C156" s="1">
        <v>500000</v>
      </c>
      <c r="D156" s="1">
        <v>0</v>
      </c>
      <c r="E156" s="14">
        <f t="shared" si="3"/>
        <v>95070648.860000014</v>
      </c>
      <c r="F156" t="s">
        <v>4</v>
      </c>
      <c r="G156" s="8" t="s">
        <v>5</v>
      </c>
      <c r="H156" s="146" t="s">
        <v>2474</v>
      </c>
    </row>
    <row r="157" spans="1:8">
      <c r="A157" s="113">
        <v>45776</v>
      </c>
      <c r="B157" s="7" t="s">
        <v>1070</v>
      </c>
      <c r="C157" s="1">
        <v>150000</v>
      </c>
      <c r="D157" s="1">
        <v>0</v>
      </c>
      <c r="E157" s="14">
        <f t="shared" si="3"/>
        <v>94920648.860000014</v>
      </c>
      <c r="F157" t="s">
        <v>4</v>
      </c>
      <c r="G157" s="8" t="s">
        <v>5</v>
      </c>
      <c r="H157" s="146" t="s">
        <v>2474</v>
      </c>
    </row>
    <row r="158" spans="1:8">
      <c r="A158" s="5">
        <v>45776</v>
      </c>
      <c r="B158" s="7" t="s">
        <v>1071</v>
      </c>
      <c r="C158" s="1">
        <v>400000</v>
      </c>
      <c r="D158" s="1">
        <v>0</v>
      </c>
      <c r="E158" s="14">
        <f t="shared" si="3"/>
        <v>94520648.860000014</v>
      </c>
      <c r="F158" t="s">
        <v>4</v>
      </c>
      <c r="G158" s="8" t="s">
        <v>5</v>
      </c>
      <c r="H158" s="146" t="s">
        <v>2474</v>
      </c>
    </row>
    <row r="159" spans="1:8">
      <c r="A159" s="5">
        <v>45776</v>
      </c>
      <c r="B159" s="7" t="s">
        <v>1072</v>
      </c>
      <c r="C159" s="1">
        <v>400000</v>
      </c>
      <c r="D159" s="1">
        <v>0</v>
      </c>
      <c r="E159" s="14">
        <f t="shared" si="3"/>
        <v>94120648.860000014</v>
      </c>
      <c r="F159" t="s">
        <v>4</v>
      </c>
      <c r="G159" s="8" t="s">
        <v>5</v>
      </c>
      <c r="H159" s="146" t="s">
        <v>2474</v>
      </c>
    </row>
    <row r="160" spans="1:8">
      <c r="A160" s="5">
        <v>45777</v>
      </c>
      <c r="B160" s="7" t="s">
        <v>329</v>
      </c>
      <c r="C160" s="1">
        <v>0</v>
      </c>
      <c r="D160" s="1">
        <v>3199.62</v>
      </c>
      <c r="E160" s="14">
        <f t="shared" si="3"/>
        <v>94123848.480000019</v>
      </c>
      <c r="F160" t="s">
        <v>1209</v>
      </c>
      <c r="G160" s="8" t="s">
        <v>79</v>
      </c>
      <c r="H160" s="146"/>
    </row>
    <row r="161" spans="1:8">
      <c r="A161" s="5">
        <v>45777</v>
      </c>
      <c r="B161" s="7" t="s">
        <v>330</v>
      </c>
      <c r="C161" s="1">
        <v>639.91999999999996</v>
      </c>
      <c r="D161" s="1">
        <v>0</v>
      </c>
      <c r="E161" s="14">
        <f t="shared" si="3"/>
        <v>94123208.560000017</v>
      </c>
      <c r="F161" t="s">
        <v>1209</v>
      </c>
      <c r="G161" s="8" t="s">
        <v>79</v>
      </c>
      <c r="H161" s="146"/>
    </row>
    <row r="162" spans="1:8">
      <c r="A162" s="5">
        <v>45783</v>
      </c>
      <c r="B162" s="7" t="s">
        <v>5984</v>
      </c>
      <c r="C162" s="1">
        <v>60000000</v>
      </c>
      <c r="D162" s="1">
        <v>0</v>
      </c>
      <c r="E162" s="14">
        <f t="shared" si="3"/>
        <v>34123208.560000017</v>
      </c>
      <c r="F162" s="116" t="s">
        <v>1266</v>
      </c>
      <c r="G162" s="8" t="s">
        <v>235</v>
      </c>
      <c r="H162" s="146"/>
    </row>
    <row r="163" spans="1:8">
      <c r="A163" s="5">
        <v>45785</v>
      </c>
      <c r="B163" s="7" t="s">
        <v>1255</v>
      </c>
      <c r="C163" s="1">
        <v>150000</v>
      </c>
      <c r="D163" s="1">
        <v>0</v>
      </c>
      <c r="E163" s="14">
        <f t="shared" si="3"/>
        <v>33973208.560000017</v>
      </c>
      <c r="F163" s="116" t="s">
        <v>4</v>
      </c>
      <c r="G163" s="8" t="s">
        <v>5</v>
      </c>
      <c r="H163" s="146" t="s">
        <v>1609</v>
      </c>
    </row>
    <row r="164" spans="1:8">
      <c r="A164" s="5">
        <v>45785</v>
      </c>
      <c r="B164" s="7" t="s">
        <v>1256</v>
      </c>
      <c r="C164" s="1">
        <v>500000</v>
      </c>
      <c r="D164" s="1">
        <v>0</v>
      </c>
      <c r="E164" s="14">
        <f t="shared" si="3"/>
        <v>33473208.560000017</v>
      </c>
      <c r="F164" s="116" t="s">
        <v>4</v>
      </c>
      <c r="G164" s="8" t="s">
        <v>5</v>
      </c>
      <c r="H164" s="146" t="s">
        <v>1609</v>
      </c>
    </row>
    <row r="165" spans="1:8">
      <c r="A165" s="5">
        <v>45785</v>
      </c>
      <c r="B165" s="7" t="s">
        <v>1257</v>
      </c>
      <c r="C165" s="1">
        <v>800000</v>
      </c>
      <c r="D165" s="1">
        <v>0</v>
      </c>
      <c r="E165" s="14">
        <f t="shared" si="3"/>
        <v>32673208.560000017</v>
      </c>
      <c r="F165" s="116" t="s">
        <v>4</v>
      </c>
      <c r="G165" s="8" t="s">
        <v>5</v>
      </c>
      <c r="H165" s="146" t="s">
        <v>1609</v>
      </c>
    </row>
    <row r="166" spans="1:8">
      <c r="A166" s="5">
        <v>45785</v>
      </c>
      <c r="B166" s="7" t="s">
        <v>1258</v>
      </c>
      <c r="C166" s="1">
        <v>150000</v>
      </c>
      <c r="D166" s="1">
        <v>0</v>
      </c>
      <c r="E166" s="14">
        <f t="shared" si="3"/>
        <v>32523208.560000017</v>
      </c>
      <c r="F166" s="116" t="s">
        <v>4</v>
      </c>
      <c r="G166" s="8" t="s">
        <v>5</v>
      </c>
      <c r="H166" s="146" t="s">
        <v>1609</v>
      </c>
    </row>
    <row r="167" spans="1:8">
      <c r="A167" s="5">
        <v>45785</v>
      </c>
      <c r="B167" s="7" t="s">
        <v>1259</v>
      </c>
      <c r="C167" s="1">
        <v>1000000</v>
      </c>
      <c r="D167" s="1">
        <v>0</v>
      </c>
      <c r="E167" s="14">
        <f t="shared" si="3"/>
        <v>31523208.560000017</v>
      </c>
      <c r="F167" s="116" t="s">
        <v>4</v>
      </c>
      <c r="G167" s="8" t="s">
        <v>5</v>
      </c>
      <c r="H167" s="146" t="s">
        <v>2474</v>
      </c>
    </row>
    <row r="168" spans="1:8">
      <c r="A168" s="5">
        <v>45786</v>
      </c>
      <c r="B168" s="7" t="s">
        <v>1260</v>
      </c>
      <c r="C168" s="1">
        <v>4000000</v>
      </c>
      <c r="D168" s="1">
        <v>0</v>
      </c>
      <c r="E168" s="14">
        <f t="shared" si="3"/>
        <v>27523208.560000017</v>
      </c>
      <c r="F168" t="s">
        <v>10</v>
      </c>
      <c r="G168" s="8" t="s">
        <v>76</v>
      </c>
      <c r="H168" s="146" t="s">
        <v>1881</v>
      </c>
    </row>
    <row r="169" spans="1:8">
      <c r="A169" s="5">
        <v>45791</v>
      </c>
      <c r="B169" s="7" t="s">
        <v>1261</v>
      </c>
      <c r="C169" s="1">
        <v>480000</v>
      </c>
      <c r="D169" s="1">
        <v>0</v>
      </c>
      <c r="E169" s="14">
        <f t="shared" si="3"/>
        <v>27043208.560000017</v>
      </c>
      <c r="F169" s="116" t="s">
        <v>62</v>
      </c>
      <c r="G169" s="8" t="s">
        <v>30</v>
      </c>
      <c r="H169" s="146"/>
    </row>
    <row r="170" spans="1:8">
      <c r="A170" s="5">
        <v>45791</v>
      </c>
      <c r="B170" s="7" t="s">
        <v>1262</v>
      </c>
      <c r="C170" s="1">
        <v>320000</v>
      </c>
      <c r="D170" s="1">
        <v>0</v>
      </c>
      <c r="E170" s="14">
        <f t="shared" si="3"/>
        <v>26723208.560000017</v>
      </c>
      <c r="F170" s="116" t="s">
        <v>62</v>
      </c>
      <c r="G170" s="8" t="s">
        <v>30</v>
      </c>
      <c r="H170" s="146"/>
    </row>
    <row r="171" spans="1:8">
      <c r="A171" s="5">
        <v>45791</v>
      </c>
      <c r="B171" s="7" t="s">
        <v>1263</v>
      </c>
      <c r="C171" s="1">
        <v>1622000</v>
      </c>
      <c r="D171" s="1">
        <v>0</v>
      </c>
      <c r="E171" s="14">
        <f t="shared" si="3"/>
        <v>25101208.560000017</v>
      </c>
      <c r="F171" s="116" t="s">
        <v>62</v>
      </c>
      <c r="G171" s="8" t="s">
        <v>30</v>
      </c>
      <c r="H171" s="146"/>
    </row>
    <row r="172" spans="1:8">
      <c r="A172" s="5">
        <v>45791</v>
      </c>
      <c r="B172" s="7" t="s">
        <v>1264</v>
      </c>
      <c r="C172" s="1">
        <v>660000</v>
      </c>
      <c r="D172" s="1">
        <v>0</v>
      </c>
      <c r="E172" s="14">
        <f t="shared" si="3"/>
        <v>24441208.560000017</v>
      </c>
      <c r="F172" s="116" t="s">
        <v>62</v>
      </c>
      <c r="G172" s="8" t="s">
        <v>30</v>
      </c>
      <c r="H172" s="146"/>
    </row>
    <row r="173" spans="1:8">
      <c r="A173" s="5">
        <v>45792</v>
      </c>
      <c r="B173" s="7" t="s">
        <v>1265</v>
      </c>
      <c r="C173" s="1">
        <v>0</v>
      </c>
      <c r="D173" s="1">
        <v>250000000</v>
      </c>
      <c r="E173" s="14">
        <f t="shared" si="3"/>
        <v>274441208.56</v>
      </c>
      <c r="F173" t="s">
        <v>920</v>
      </c>
      <c r="G173" s="8" t="s">
        <v>493</v>
      </c>
      <c r="H173" s="146"/>
    </row>
    <row r="174" spans="1:8">
      <c r="A174" s="5">
        <v>45792</v>
      </c>
      <c r="B174" s="7" t="s">
        <v>1265</v>
      </c>
      <c r="C174" s="1">
        <v>0</v>
      </c>
      <c r="D174" s="1">
        <v>250000000</v>
      </c>
      <c r="E174" s="14">
        <f t="shared" si="3"/>
        <v>524441208.56</v>
      </c>
      <c r="F174" t="s">
        <v>920</v>
      </c>
      <c r="G174" s="8" t="s">
        <v>493</v>
      </c>
      <c r="H174" s="146"/>
    </row>
    <row r="175" spans="1:8">
      <c r="A175" s="5">
        <v>45792</v>
      </c>
      <c r="B175" s="7" t="s">
        <v>1265</v>
      </c>
      <c r="C175" s="1">
        <v>0</v>
      </c>
      <c r="D175" s="1">
        <v>250000000</v>
      </c>
      <c r="E175" s="14">
        <f t="shared" si="3"/>
        <v>774441208.55999994</v>
      </c>
      <c r="F175" t="s">
        <v>920</v>
      </c>
      <c r="G175" s="8" t="s">
        <v>493</v>
      </c>
      <c r="H175" s="146"/>
    </row>
    <row r="176" spans="1:8">
      <c r="A176" s="5">
        <v>45792</v>
      </c>
      <c r="B176" s="7" t="s">
        <v>1265</v>
      </c>
      <c r="C176" s="1">
        <v>0</v>
      </c>
      <c r="D176" s="1">
        <v>250000000</v>
      </c>
      <c r="E176" s="14">
        <f t="shared" si="3"/>
        <v>1024441208.5599999</v>
      </c>
      <c r="F176" t="s">
        <v>920</v>
      </c>
      <c r="G176" s="8" t="s">
        <v>493</v>
      </c>
      <c r="H176" s="146"/>
    </row>
    <row r="177" spans="1:9">
      <c r="A177" s="5">
        <v>45793</v>
      </c>
      <c r="B177" s="7" t="s">
        <v>327</v>
      </c>
      <c r="C177" s="1">
        <v>20000</v>
      </c>
      <c r="D177" s="1">
        <v>0</v>
      </c>
      <c r="E177" s="14">
        <f t="shared" si="3"/>
        <v>1024421208.5599999</v>
      </c>
      <c r="F177" s="116" t="s">
        <v>19</v>
      </c>
      <c r="G177" s="8" t="s">
        <v>189</v>
      </c>
      <c r="H177" s="146"/>
    </row>
    <row r="178" spans="1:9">
      <c r="A178" s="5">
        <v>45795</v>
      </c>
      <c r="B178" s="7" t="s">
        <v>1286</v>
      </c>
      <c r="C178" s="1">
        <v>0</v>
      </c>
      <c r="D178" s="14">
        <v>3043010</v>
      </c>
      <c r="E178" s="14">
        <f t="shared" si="3"/>
        <v>1027464218.5599999</v>
      </c>
      <c r="F178" t="s">
        <v>2140</v>
      </c>
      <c r="G178" s="8" t="s">
        <v>2141</v>
      </c>
      <c r="H178" s="154" t="s">
        <v>1368</v>
      </c>
      <c r="I178" s="146" t="s">
        <v>1513</v>
      </c>
    </row>
    <row r="179" spans="1:9">
      <c r="A179" s="5">
        <v>45797</v>
      </c>
      <c r="B179" s="7" t="s">
        <v>1287</v>
      </c>
      <c r="C179" s="1">
        <v>1000000000</v>
      </c>
      <c r="D179" s="1">
        <v>0</v>
      </c>
      <c r="E179" s="14">
        <f t="shared" si="3"/>
        <v>27464218.559999943</v>
      </c>
      <c r="F179" s="116" t="s">
        <v>1297</v>
      </c>
      <c r="G179" s="8" t="s">
        <v>1211</v>
      </c>
      <c r="H179" s="146" t="s">
        <v>5983</v>
      </c>
    </row>
    <row r="180" spans="1:9">
      <c r="A180" s="5">
        <v>45804</v>
      </c>
      <c r="B180" s="7" t="s">
        <v>1288</v>
      </c>
      <c r="C180" s="1">
        <v>0</v>
      </c>
      <c r="D180" s="1">
        <v>250000000</v>
      </c>
      <c r="E180" s="14">
        <f t="shared" ref="E180:E201" si="4">E179-C180+D180</f>
        <v>277464218.55999994</v>
      </c>
      <c r="F180" s="80" t="s">
        <v>920</v>
      </c>
      <c r="G180" s="80" t="s">
        <v>4240</v>
      </c>
      <c r="H180" s="224">
        <v>45804</v>
      </c>
    </row>
    <row r="181" spans="1:9">
      <c r="A181" s="5">
        <v>45804</v>
      </c>
      <c r="B181" s="7" t="s">
        <v>1288</v>
      </c>
      <c r="C181" s="1">
        <v>0</v>
      </c>
      <c r="D181" s="1">
        <v>250000000</v>
      </c>
      <c r="E181" s="14">
        <f t="shared" si="4"/>
        <v>527464218.55999994</v>
      </c>
      <c r="F181" s="80" t="s">
        <v>920</v>
      </c>
      <c r="G181" s="80" t="s">
        <v>4240</v>
      </c>
      <c r="H181" s="224">
        <v>45804</v>
      </c>
    </row>
    <row r="182" spans="1:9">
      <c r="A182" s="5">
        <v>45804</v>
      </c>
      <c r="B182" s="7" t="s">
        <v>5396</v>
      </c>
      <c r="C182" s="1">
        <v>330000000</v>
      </c>
      <c r="D182" s="1">
        <v>0</v>
      </c>
      <c r="E182" s="14">
        <f t="shared" si="4"/>
        <v>197464218.55999994</v>
      </c>
      <c r="F182" s="80" t="s">
        <v>920</v>
      </c>
      <c r="G182" s="8" t="s">
        <v>491</v>
      </c>
      <c r="H182" s="154" t="s">
        <v>5399</v>
      </c>
    </row>
    <row r="183" spans="1:9">
      <c r="A183" s="5">
        <v>45804</v>
      </c>
      <c r="B183" s="7" t="s">
        <v>1289</v>
      </c>
      <c r="C183" s="1">
        <v>400000</v>
      </c>
      <c r="D183" s="1">
        <v>0</v>
      </c>
      <c r="E183" s="14">
        <f t="shared" si="4"/>
        <v>197064218.55999994</v>
      </c>
      <c r="F183" s="116" t="s">
        <v>4</v>
      </c>
      <c r="G183" s="8" t="s">
        <v>5</v>
      </c>
      <c r="H183" s="154" t="s">
        <v>1376</v>
      </c>
    </row>
    <row r="184" spans="1:9">
      <c r="A184" s="5">
        <v>45804</v>
      </c>
      <c r="B184" s="7" t="s">
        <v>1290</v>
      </c>
      <c r="C184" s="1">
        <v>400000</v>
      </c>
      <c r="D184" s="1">
        <v>0</v>
      </c>
      <c r="E184" s="14">
        <f t="shared" si="4"/>
        <v>196664218.55999994</v>
      </c>
      <c r="F184" s="116" t="s">
        <v>4</v>
      </c>
      <c r="G184" s="8" t="s">
        <v>5</v>
      </c>
      <c r="H184" s="154" t="s">
        <v>1376</v>
      </c>
    </row>
    <row r="185" spans="1:9">
      <c r="A185" s="5">
        <v>45804</v>
      </c>
      <c r="B185" s="7" t="s">
        <v>1291</v>
      </c>
      <c r="C185" s="11">
        <v>400000</v>
      </c>
      <c r="D185" s="11">
        <v>0</v>
      </c>
      <c r="E185" s="54">
        <f t="shared" si="4"/>
        <v>196264218.55999994</v>
      </c>
      <c r="F185" t="s">
        <v>10</v>
      </c>
      <c r="G185" s="8" t="s">
        <v>446</v>
      </c>
      <c r="H185" s="146" t="s">
        <v>2324</v>
      </c>
      <c r="I185" t="s">
        <v>26</v>
      </c>
    </row>
    <row r="186" spans="1:9">
      <c r="A186" s="5">
        <v>45804</v>
      </c>
      <c r="B186" s="7" t="s">
        <v>1292</v>
      </c>
      <c r="C186" s="1">
        <v>362266</v>
      </c>
      <c r="D186" s="1">
        <v>0</v>
      </c>
      <c r="E186" s="14">
        <f t="shared" si="4"/>
        <v>195901952.55999994</v>
      </c>
      <c r="F186" s="116" t="s">
        <v>62</v>
      </c>
      <c r="G186" s="8" t="s">
        <v>63</v>
      </c>
      <c r="H186" s="146"/>
    </row>
    <row r="187" spans="1:9">
      <c r="A187" s="5">
        <v>45804</v>
      </c>
      <c r="B187" s="7" t="s">
        <v>1293</v>
      </c>
      <c r="C187" s="1">
        <v>150000</v>
      </c>
      <c r="D187" s="1">
        <v>0</v>
      </c>
      <c r="E187" s="14">
        <f t="shared" si="4"/>
        <v>195751952.55999994</v>
      </c>
      <c r="F187" s="116" t="s">
        <v>4</v>
      </c>
      <c r="G187" s="8" t="s">
        <v>5</v>
      </c>
      <c r="H187" s="154" t="s">
        <v>1376</v>
      </c>
    </row>
    <row r="188" spans="1:9">
      <c r="A188" s="5">
        <v>45804</v>
      </c>
      <c r="B188" s="7" t="s">
        <v>1294</v>
      </c>
      <c r="C188" s="1">
        <v>400000</v>
      </c>
      <c r="D188" s="1">
        <v>0</v>
      </c>
      <c r="E188" s="14">
        <f t="shared" si="4"/>
        <v>195351952.55999994</v>
      </c>
      <c r="F188" s="116" t="s">
        <v>4</v>
      </c>
      <c r="G188" s="8" t="s">
        <v>5</v>
      </c>
      <c r="H188" s="154" t="s">
        <v>1376</v>
      </c>
    </row>
    <row r="189" spans="1:9">
      <c r="A189" s="5">
        <v>45805</v>
      </c>
      <c r="B189" s="7" t="s">
        <v>1295</v>
      </c>
      <c r="C189" s="1">
        <v>61150000</v>
      </c>
      <c r="D189" s="1">
        <v>0</v>
      </c>
      <c r="E189" s="14">
        <f t="shared" si="4"/>
        <v>134201952.55999994</v>
      </c>
      <c r="F189" s="116" t="s">
        <v>62</v>
      </c>
      <c r="G189" s="8" t="s">
        <v>23</v>
      </c>
      <c r="H189" s="146"/>
    </row>
    <row r="190" spans="1:9">
      <c r="A190" s="5">
        <v>45805</v>
      </c>
      <c r="B190" s="7" t="s">
        <v>1288</v>
      </c>
      <c r="C190" s="1">
        <v>0</v>
      </c>
      <c r="D190" s="1">
        <v>250000000</v>
      </c>
      <c r="E190" s="14">
        <f t="shared" si="4"/>
        <v>384201952.55999994</v>
      </c>
      <c r="F190" s="80" t="s">
        <v>920</v>
      </c>
      <c r="G190" s="80" t="s">
        <v>4240</v>
      </c>
      <c r="H190" s="224">
        <v>45805</v>
      </c>
    </row>
    <row r="191" spans="1:9">
      <c r="A191" s="5">
        <v>45805</v>
      </c>
      <c r="B191" s="7" t="s">
        <v>4610</v>
      </c>
      <c r="C191" s="1">
        <v>250000000</v>
      </c>
      <c r="D191" s="1">
        <v>0</v>
      </c>
      <c r="E191" s="14">
        <f t="shared" si="4"/>
        <v>134201952.55999994</v>
      </c>
      <c r="F191" s="116" t="s">
        <v>4</v>
      </c>
      <c r="G191" s="8" t="s">
        <v>5</v>
      </c>
      <c r="H191" s="40" t="s">
        <v>2326</v>
      </c>
    </row>
    <row r="192" spans="1:9">
      <c r="A192" s="5">
        <v>45805</v>
      </c>
      <c r="B192" s="7" t="s">
        <v>1296</v>
      </c>
      <c r="C192" s="1">
        <v>2500</v>
      </c>
      <c r="D192" s="1">
        <v>0</v>
      </c>
      <c r="E192" s="14">
        <f t="shared" si="4"/>
        <v>134199452.55999994</v>
      </c>
      <c r="F192" s="116" t="s">
        <v>19</v>
      </c>
      <c r="G192" s="8" t="s">
        <v>189</v>
      </c>
      <c r="H192" s="146"/>
    </row>
    <row r="193" spans="1:9">
      <c r="A193" s="5">
        <v>45805</v>
      </c>
      <c r="B193" s="7" t="s">
        <v>4609</v>
      </c>
      <c r="C193" s="1">
        <v>70000000</v>
      </c>
      <c r="D193" s="1">
        <v>0</v>
      </c>
      <c r="E193" s="14">
        <f t="shared" si="4"/>
        <v>64199452.559999943</v>
      </c>
      <c r="F193" s="116" t="s">
        <v>4</v>
      </c>
      <c r="G193" s="8" t="s">
        <v>5</v>
      </c>
      <c r="H193" s="40" t="s">
        <v>2326</v>
      </c>
    </row>
    <row r="194" spans="1:9">
      <c r="A194" s="5">
        <v>45805</v>
      </c>
      <c r="B194" s="7" t="s">
        <v>1296</v>
      </c>
      <c r="C194" s="1">
        <v>2500</v>
      </c>
      <c r="D194" s="1">
        <v>0</v>
      </c>
      <c r="E194" s="14">
        <f t="shared" si="4"/>
        <v>64196952.559999943</v>
      </c>
      <c r="F194" s="116" t="s">
        <v>19</v>
      </c>
      <c r="G194" s="8" t="s">
        <v>189</v>
      </c>
      <c r="H194" s="146"/>
    </row>
    <row r="195" spans="1:9">
      <c r="A195" s="5">
        <v>45806</v>
      </c>
      <c r="B195" s="7" t="s">
        <v>844</v>
      </c>
      <c r="C195" s="1">
        <v>0</v>
      </c>
      <c r="D195" s="1">
        <v>2000000</v>
      </c>
      <c r="E195" s="14">
        <f t="shared" si="4"/>
        <v>66196952.559999943</v>
      </c>
      <c r="F195" t="s">
        <v>10</v>
      </c>
      <c r="G195" s="8" t="s">
        <v>76</v>
      </c>
      <c r="H195" s="146" t="s">
        <v>12</v>
      </c>
    </row>
    <row r="196" spans="1:9">
      <c r="A196" s="5">
        <v>45806</v>
      </c>
      <c r="B196" s="7" t="s">
        <v>1047</v>
      </c>
      <c r="C196" s="1">
        <v>0</v>
      </c>
      <c r="D196" s="1">
        <v>2000000</v>
      </c>
      <c r="E196" s="14">
        <f t="shared" si="4"/>
        <v>68196952.559999943</v>
      </c>
      <c r="F196" t="s">
        <v>10</v>
      </c>
      <c r="G196" s="8" t="s">
        <v>76</v>
      </c>
      <c r="H196" s="146" t="s">
        <v>57</v>
      </c>
    </row>
    <row r="197" spans="1:9">
      <c r="A197" s="5">
        <v>45806</v>
      </c>
      <c r="B197" s="7" t="s">
        <v>847</v>
      </c>
      <c r="C197" s="1">
        <v>0</v>
      </c>
      <c r="D197" s="1">
        <v>200000</v>
      </c>
      <c r="E197" s="14">
        <f t="shared" si="4"/>
        <v>68396952.559999943</v>
      </c>
      <c r="F197" t="s">
        <v>10</v>
      </c>
      <c r="G197" s="8" t="s">
        <v>76</v>
      </c>
      <c r="H197" s="146" t="s">
        <v>95</v>
      </c>
    </row>
    <row r="198" spans="1:9">
      <c r="A198" s="5">
        <v>45806</v>
      </c>
      <c r="B198" s="7" t="s">
        <v>1062</v>
      </c>
      <c r="C198" s="1">
        <v>0</v>
      </c>
      <c r="D198" s="1">
        <v>4000000</v>
      </c>
      <c r="E198" s="14">
        <f t="shared" si="4"/>
        <v>72396952.559999943</v>
      </c>
      <c r="F198" t="s">
        <v>10</v>
      </c>
      <c r="G198" s="8" t="s">
        <v>76</v>
      </c>
      <c r="H198" s="146" t="s">
        <v>449</v>
      </c>
    </row>
    <row r="199" spans="1:9">
      <c r="A199" s="5">
        <v>45808</v>
      </c>
      <c r="B199" s="7" t="s">
        <v>329</v>
      </c>
      <c r="C199" s="1">
        <v>0</v>
      </c>
      <c r="D199" s="1">
        <v>1789.13</v>
      </c>
      <c r="E199" s="14">
        <f t="shared" si="4"/>
        <v>72398741.689999938</v>
      </c>
      <c r="F199" t="s">
        <v>1209</v>
      </c>
      <c r="G199" s="8" t="s">
        <v>79</v>
      </c>
      <c r="H199" s="146"/>
    </row>
    <row r="200" spans="1:9">
      <c r="A200" s="5">
        <v>45808</v>
      </c>
      <c r="B200" s="7" t="s">
        <v>330</v>
      </c>
      <c r="C200" s="1">
        <v>357.83</v>
      </c>
      <c r="D200" s="1">
        <v>0</v>
      </c>
      <c r="E200" s="14">
        <f t="shared" si="4"/>
        <v>72398383.85999994</v>
      </c>
      <c r="F200" s="116" t="s">
        <v>1209</v>
      </c>
      <c r="G200" s="8" t="s">
        <v>79</v>
      </c>
      <c r="H200" s="146"/>
    </row>
    <row r="201" spans="1:9">
      <c r="A201" s="5">
        <v>45810</v>
      </c>
      <c r="B201" s="7" t="s">
        <v>1265</v>
      </c>
      <c r="C201" s="1">
        <v>0</v>
      </c>
      <c r="D201" s="1">
        <v>250000000</v>
      </c>
      <c r="E201" s="14">
        <f t="shared" si="4"/>
        <v>322398383.85999995</v>
      </c>
      <c r="F201" t="s">
        <v>920</v>
      </c>
      <c r="G201" t="s">
        <v>493</v>
      </c>
      <c r="H201" s="146"/>
    </row>
    <row r="202" spans="1:9">
      <c r="A202" s="5">
        <v>45810</v>
      </c>
      <c r="B202" s="7" t="s">
        <v>1265</v>
      </c>
      <c r="C202" s="1">
        <v>0</v>
      </c>
      <c r="D202" s="1">
        <v>250000000</v>
      </c>
      <c r="E202" s="14">
        <f t="shared" ref="E202:E265" si="5">E201-C202+D202</f>
        <v>572398383.8599999</v>
      </c>
      <c r="F202" t="s">
        <v>920</v>
      </c>
      <c r="G202" t="s">
        <v>493</v>
      </c>
      <c r="H202" s="146"/>
    </row>
    <row r="203" spans="1:9">
      <c r="A203" s="5">
        <v>45810</v>
      </c>
      <c r="B203" s="7" t="s">
        <v>1888</v>
      </c>
      <c r="C203" s="1">
        <v>500000000</v>
      </c>
      <c r="D203" s="1">
        <v>0</v>
      </c>
      <c r="E203" s="14">
        <f t="shared" si="5"/>
        <v>72398383.859999895</v>
      </c>
      <c r="F203" s="116" t="s">
        <v>1297</v>
      </c>
      <c r="G203" s="8" t="s">
        <v>1211</v>
      </c>
      <c r="H203" s="146" t="s">
        <v>5983</v>
      </c>
    </row>
    <row r="204" spans="1:9">
      <c r="A204" s="5">
        <v>45810</v>
      </c>
      <c r="B204" s="7" t="s">
        <v>1889</v>
      </c>
      <c r="C204" s="1">
        <v>0</v>
      </c>
      <c r="D204" s="14">
        <v>28750953</v>
      </c>
      <c r="E204" s="14">
        <f t="shared" si="5"/>
        <v>101149336.8599999</v>
      </c>
      <c r="F204" t="s">
        <v>2140</v>
      </c>
      <c r="G204" s="8" t="s">
        <v>2141</v>
      </c>
      <c r="H204" s="146" t="s">
        <v>433</v>
      </c>
      <c r="I204" s="146" t="s">
        <v>2220</v>
      </c>
    </row>
    <row r="205" spans="1:9">
      <c r="A205" s="5">
        <v>45812</v>
      </c>
      <c r="B205" s="7" t="s">
        <v>1890</v>
      </c>
      <c r="C205" s="1">
        <v>900000</v>
      </c>
      <c r="D205" s="1">
        <v>0</v>
      </c>
      <c r="E205" s="14">
        <f t="shared" si="5"/>
        <v>100249336.8599999</v>
      </c>
      <c r="F205" s="116" t="s">
        <v>8</v>
      </c>
      <c r="G205" s="8" t="s">
        <v>31</v>
      </c>
      <c r="H205" s="146"/>
    </row>
    <row r="206" spans="1:9">
      <c r="A206" s="5">
        <v>45812</v>
      </c>
      <c r="B206" s="7" t="s">
        <v>1891</v>
      </c>
      <c r="C206" s="1">
        <v>1000000</v>
      </c>
      <c r="D206" s="1">
        <v>0</v>
      </c>
      <c r="E206" s="14">
        <f t="shared" si="5"/>
        <v>99249336.859999895</v>
      </c>
      <c r="F206" s="116" t="s">
        <v>4</v>
      </c>
      <c r="G206" s="8" t="s">
        <v>5</v>
      </c>
      <c r="H206" s="154" t="s">
        <v>2326</v>
      </c>
    </row>
    <row r="207" spans="1:9">
      <c r="A207" s="5">
        <v>45812</v>
      </c>
      <c r="B207" s="7" t="s">
        <v>1892</v>
      </c>
      <c r="C207" s="11">
        <v>800000</v>
      </c>
      <c r="D207" s="11">
        <v>0</v>
      </c>
      <c r="E207" s="54">
        <f t="shared" si="5"/>
        <v>98449336.859999895</v>
      </c>
      <c r="F207" t="s">
        <v>10</v>
      </c>
      <c r="G207" s="8" t="s">
        <v>446</v>
      </c>
      <c r="H207" s="146" t="s">
        <v>2324</v>
      </c>
      <c r="I207" t="s">
        <v>26</v>
      </c>
    </row>
    <row r="208" spans="1:9">
      <c r="A208" s="5">
        <v>45812</v>
      </c>
      <c r="B208" s="7" t="s">
        <v>1893</v>
      </c>
      <c r="C208" s="11">
        <v>800000</v>
      </c>
      <c r="D208" s="11">
        <v>0</v>
      </c>
      <c r="E208" s="54">
        <f t="shared" si="5"/>
        <v>97649336.859999895</v>
      </c>
      <c r="F208" t="s">
        <v>10</v>
      </c>
      <c r="G208" s="8" t="s">
        <v>446</v>
      </c>
      <c r="H208" s="146" t="s">
        <v>2324</v>
      </c>
      <c r="I208" t="s">
        <v>26</v>
      </c>
    </row>
    <row r="209" spans="1:9">
      <c r="A209" s="5">
        <v>45812</v>
      </c>
      <c r="B209" s="7" t="s">
        <v>1894</v>
      </c>
      <c r="C209" s="11">
        <v>400000</v>
      </c>
      <c r="D209" s="11">
        <v>0</v>
      </c>
      <c r="E209" s="54">
        <f t="shared" si="5"/>
        <v>97249336.859999895</v>
      </c>
      <c r="F209" t="s">
        <v>10</v>
      </c>
      <c r="G209" s="8" t="s">
        <v>446</v>
      </c>
      <c r="H209" s="40" t="s">
        <v>1461</v>
      </c>
      <c r="I209" t="s">
        <v>26</v>
      </c>
    </row>
    <row r="210" spans="1:9">
      <c r="A210" s="5">
        <v>45813</v>
      </c>
      <c r="B210" s="7" t="s">
        <v>1895</v>
      </c>
      <c r="C210" s="1">
        <v>200000</v>
      </c>
      <c r="D210" s="1">
        <v>0</v>
      </c>
      <c r="E210" s="14">
        <f t="shared" si="5"/>
        <v>97049336.859999895</v>
      </c>
      <c r="F210" t="s">
        <v>10</v>
      </c>
      <c r="G210" s="8" t="s">
        <v>76</v>
      </c>
      <c r="H210" s="146" t="s">
        <v>95</v>
      </c>
    </row>
    <row r="211" spans="1:9">
      <c r="A211" s="5">
        <v>45813</v>
      </c>
      <c r="B211" s="7" t="s">
        <v>1896</v>
      </c>
      <c r="C211" s="1">
        <v>250000</v>
      </c>
      <c r="D211" s="1">
        <v>0</v>
      </c>
      <c r="E211" s="14">
        <f t="shared" si="5"/>
        <v>96799336.859999895</v>
      </c>
      <c r="F211" t="s">
        <v>10</v>
      </c>
      <c r="G211" s="8" t="s">
        <v>76</v>
      </c>
      <c r="H211" s="146" t="s">
        <v>450</v>
      </c>
    </row>
    <row r="212" spans="1:9">
      <c r="A212" s="5">
        <v>45818</v>
      </c>
      <c r="B212" s="7" t="s">
        <v>1897</v>
      </c>
      <c r="C212" s="11">
        <v>300000</v>
      </c>
      <c r="D212" s="11">
        <v>0</v>
      </c>
      <c r="E212" s="54">
        <f t="shared" si="5"/>
        <v>96499336.859999895</v>
      </c>
      <c r="F212" t="s">
        <v>10</v>
      </c>
      <c r="G212" s="8" t="s">
        <v>446</v>
      </c>
      <c r="H212" s="146" t="s">
        <v>2324</v>
      </c>
      <c r="I212" t="s">
        <v>26</v>
      </c>
    </row>
    <row r="213" spans="1:9">
      <c r="A213" s="5">
        <v>45818</v>
      </c>
      <c r="B213" s="7" t="s">
        <v>1898</v>
      </c>
      <c r="C213" s="1">
        <v>570000</v>
      </c>
      <c r="D213" s="1">
        <v>0</v>
      </c>
      <c r="E213" s="14">
        <f t="shared" si="5"/>
        <v>95929336.859999895</v>
      </c>
      <c r="F213" s="116" t="s">
        <v>62</v>
      </c>
      <c r="G213" s="8" t="s">
        <v>30</v>
      </c>
      <c r="H213" s="146"/>
    </row>
    <row r="214" spans="1:9">
      <c r="A214" s="5">
        <v>45818</v>
      </c>
      <c r="B214" s="7" t="s">
        <v>1899</v>
      </c>
      <c r="C214" s="1">
        <v>545000</v>
      </c>
      <c r="D214" s="1">
        <v>0</v>
      </c>
      <c r="E214" s="14">
        <f t="shared" si="5"/>
        <v>95384336.859999895</v>
      </c>
      <c r="F214" s="116" t="s">
        <v>62</v>
      </c>
      <c r="G214" s="8" t="s">
        <v>30</v>
      </c>
      <c r="H214" s="146"/>
    </row>
    <row r="215" spans="1:9">
      <c r="A215" s="5">
        <v>45818</v>
      </c>
      <c r="B215" s="7" t="s">
        <v>1900</v>
      </c>
      <c r="C215" s="1">
        <v>1758000</v>
      </c>
      <c r="D215" s="1">
        <v>0</v>
      </c>
      <c r="E215" s="14">
        <f t="shared" si="5"/>
        <v>93626336.859999895</v>
      </c>
      <c r="F215" s="116" t="s">
        <v>62</v>
      </c>
      <c r="G215" s="8" t="s">
        <v>30</v>
      </c>
      <c r="H215" s="146"/>
    </row>
    <row r="216" spans="1:9">
      <c r="A216" s="5">
        <v>45818</v>
      </c>
      <c r="B216" s="7" t="s">
        <v>1901</v>
      </c>
      <c r="C216" s="1">
        <v>945000</v>
      </c>
      <c r="D216" s="1">
        <v>0</v>
      </c>
      <c r="E216" s="14">
        <f t="shared" si="5"/>
        <v>92681336.859999895</v>
      </c>
      <c r="F216" s="116" t="s">
        <v>62</v>
      </c>
      <c r="G216" s="8" t="s">
        <v>30</v>
      </c>
      <c r="H216" s="146"/>
    </row>
    <row r="217" spans="1:9">
      <c r="A217" s="5">
        <v>45818</v>
      </c>
      <c r="B217" s="7" t="s">
        <v>1902</v>
      </c>
      <c r="C217" s="11">
        <v>800000</v>
      </c>
      <c r="D217" s="11">
        <v>0</v>
      </c>
      <c r="E217" s="54">
        <f t="shared" si="5"/>
        <v>91881336.859999895</v>
      </c>
      <c r="F217" t="s">
        <v>10</v>
      </c>
      <c r="G217" s="8" t="s">
        <v>446</v>
      </c>
      <c r="H217" s="146" t="s">
        <v>2324</v>
      </c>
      <c r="I217" t="s">
        <v>26</v>
      </c>
    </row>
    <row r="218" spans="1:9">
      <c r="A218" s="5">
        <v>45826</v>
      </c>
      <c r="B218" s="7" t="s">
        <v>1903</v>
      </c>
      <c r="C218" s="1">
        <v>1200000</v>
      </c>
      <c r="D218" s="1">
        <v>0</v>
      </c>
      <c r="E218" s="14">
        <f t="shared" si="5"/>
        <v>90681336.859999895</v>
      </c>
      <c r="F218" s="116" t="s">
        <v>4</v>
      </c>
      <c r="G218" s="8" t="s">
        <v>5</v>
      </c>
      <c r="H218" s="40" t="s">
        <v>2235</v>
      </c>
    </row>
    <row r="219" spans="1:9">
      <c r="A219" s="5">
        <v>45826</v>
      </c>
      <c r="B219" s="7" t="s">
        <v>1904</v>
      </c>
      <c r="C219" s="1">
        <v>350000</v>
      </c>
      <c r="D219" s="1">
        <v>0</v>
      </c>
      <c r="E219" s="14">
        <f t="shared" si="5"/>
        <v>90331336.859999895</v>
      </c>
      <c r="F219" s="116" t="s">
        <v>4</v>
      </c>
      <c r="G219" s="8" t="s">
        <v>5</v>
      </c>
      <c r="H219" s="40" t="s">
        <v>2235</v>
      </c>
    </row>
    <row r="220" spans="1:9">
      <c r="A220" s="5">
        <v>45826</v>
      </c>
      <c r="B220" s="7" t="s">
        <v>1905</v>
      </c>
      <c r="C220" s="1">
        <v>1000000</v>
      </c>
      <c r="D220" s="1">
        <v>0</v>
      </c>
      <c r="E220" s="14">
        <f t="shared" si="5"/>
        <v>89331336.859999895</v>
      </c>
      <c r="F220" s="116" t="s">
        <v>4</v>
      </c>
      <c r="G220" s="8" t="s">
        <v>5</v>
      </c>
      <c r="H220" s="40" t="s">
        <v>2235</v>
      </c>
    </row>
    <row r="221" spans="1:9">
      <c r="A221" s="5">
        <v>45827</v>
      </c>
      <c r="B221" s="7" t="s">
        <v>1906</v>
      </c>
      <c r="C221" s="1">
        <v>1500000</v>
      </c>
      <c r="D221" s="1">
        <v>0</v>
      </c>
      <c r="E221" s="14">
        <f t="shared" si="5"/>
        <v>87831336.859999895</v>
      </c>
      <c r="F221" s="116" t="s">
        <v>4</v>
      </c>
      <c r="G221" s="8" t="s">
        <v>5</v>
      </c>
      <c r="H221" s="40" t="s">
        <v>1622</v>
      </c>
    </row>
    <row r="222" spans="1:9">
      <c r="A222" s="5">
        <v>45827</v>
      </c>
      <c r="B222" s="7" t="s">
        <v>1907</v>
      </c>
      <c r="C222" s="1">
        <v>800000</v>
      </c>
      <c r="D222" s="1">
        <v>0</v>
      </c>
      <c r="E222" s="14">
        <f t="shared" si="5"/>
        <v>87031336.859999895</v>
      </c>
      <c r="F222" s="116" t="s">
        <v>4</v>
      </c>
      <c r="G222" s="8" t="s">
        <v>5</v>
      </c>
      <c r="H222" s="40" t="s">
        <v>2235</v>
      </c>
    </row>
    <row r="223" spans="1:9">
      <c r="A223" s="5">
        <v>45827</v>
      </c>
      <c r="B223" s="7" t="s">
        <v>1908</v>
      </c>
      <c r="C223" s="1">
        <v>2350000</v>
      </c>
      <c r="D223" s="1">
        <v>0</v>
      </c>
      <c r="E223" s="14">
        <f t="shared" si="5"/>
        <v>84681336.859999895</v>
      </c>
      <c r="F223" s="116" t="s">
        <v>4</v>
      </c>
      <c r="G223" s="8" t="s">
        <v>5</v>
      </c>
      <c r="H223" s="154" t="s">
        <v>1376</v>
      </c>
    </row>
    <row r="224" spans="1:9">
      <c r="A224" s="5">
        <v>45827</v>
      </c>
      <c r="B224" s="7" t="s">
        <v>1909</v>
      </c>
      <c r="C224" s="1">
        <v>1200000</v>
      </c>
      <c r="D224" s="1">
        <v>0</v>
      </c>
      <c r="E224" s="14">
        <f t="shared" si="5"/>
        <v>83481336.859999895</v>
      </c>
      <c r="F224" s="116" t="s">
        <v>4</v>
      </c>
      <c r="G224" s="8" t="s">
        <v>5</v>
      </c>
      <c r="H224" s="40" t="s">
        <v>2235</v>
      </c>
    </row>
    <row r="225" spans="1:8">
      <c r="A225" s="5">
        <v>45827</v>
      </c>
      <c r="B225" s="7" t="s">
        <v>1025</v>
      </c>
      <c r="C225" s="1">
        <v>2100000</v>
      </c>
      <c r="D225" s="1">
        <v>0</v>
      </c>
      <c r="E225" s="14">
        <f t="shared" si="5"/>
        <v>81381336.859999895</v>
      </c>
      <c r="F225" s="116" t="s">
        <v>4</v>
      </c>
      <c r="G225" s="8" t="s">
        <v>5</v>
      </c>
      <c r="H225" s="154" t="s">
        <v>1376</v>
      </c>
    </row>
    <row r="226" spans="1:8">
      <c r="A226" s="5">
        <v>45827</v>
      </c>
      <c r="B226" s="7" t="s">
        <v>1910</v>
      </c>
      <c r="C226" s="1">
        <v>2050000</v>
      </c>
      <c r="D226" s="1">
        <v>0</v>
      </c>
      <c r="E226" s="14">
        <f t="shared" si="5"/>
        <v>79331336.859999895</v>
      </c>
      <c r="F226" s="116" t="s">
        <v>4</v>
      </c>
      <c r="G226" s="8" t="s">
        <v>5</v>
      </c>
      <c r="H226" s="154" t="s">
        <v>2326</v>
      </c>
    </row>
    <row r="227" spans="1:8">
      <c r="A227" s="5">
        <v>45827</v>
      </c>
      <c r="B227" s="7" t="s">
        <v>1911</v>
      </c>
      <c r="C227" s="1">
        <v>1750000</v>
      </c>
      <c r="D227" s="1">
        <v>0</v>
      </c>
      <c r="E227" s="14">
        <f t="shared" si="5"/>
        <v>77581336.859999895</v>
      </c>
      <c r="F227" s="116" t="s">
        <v>4</v>
      </c>
      <c r="G227" s="8" t="s">
        <v>5</v>
      </c>
      <c r="H227" s="154" t="s">
        <v>2326</v>
      </c>
    </row>
    <row r="228" spans="1:8">
      <c r="A228" s="5">
        <v>45827</v>
      </c>
      <c r="B228" s="7" t="s">
        <v>1912</v>
      </c>
      <c r="C228" s="1">
        <v>1950000</v>
      </c>
      <c r="D228" s="1">
        <v>0</v>
      </c>
      <c r="E228" s="14">
        <f t="shared" si="5"/>
        <v>75631336.859999895</v>
      </c>
      <c r="F228" s="116" t="s">
        <v>4</v>
      </c>
      <c r="G228" s="8" t="s">
        <v>5</v>
      </c>
      <c r="H228" s="154" t="s">
        <v>1376</v>
      </c>
    </row>
    <row r="229" spans="1:8">
      <c r="A229" s="5">
        <v>45827</v>
      </c>
      <c r="B229" s="7" t="s">
        <v>1913</v>
      </c>
      <c r="C229" s="1">
        <v>1750000</v>
      </c>
      <c r="D229" s="1">
        <v>0</v>
      </c>
      <c r="E229" s="14">
        <f t="shared" si="5"/>
        <v>73881336.859999895</v>
      </c>
      <c r="F229" s="116" t="s">
        <v>4</v>
      </c>
      <c r="G229" s="8" t="s">
        <v>5</v>
      </c>
      <c r="H229" s="154" t="s">
        <v>2326</v>
      </c>
    </row>
    <row r="230" spans="1:8">
      <c r="A230" s="5">
        <v>45827</v>
      </c>
      <c r="B230" s="7" t="s">
        <v>1009</v>
      </c>
      <c r="C230" s="1">
        <v>1950000</v>
      </c>
      <c r="D230" s="1">
        <v>0</v>
      </c>
      <c r="E230" s="14">
        <f t="shared" si="5"/>
        <v>71931336.859999895</v>
      </c>
      <c r="F230" s="116" t="s">
        <v>4</v>
      </c>
      <c r="G230" s="8" t="s">
        <v>5</v>
      </c>
      <c r="H230" s="154" t="s">
        <v>1376</v>
      </c>
    </row>
    <row r="231" spans="1:8">
      <c r="A231" s="5">
        <v>45827</v>
      </c>
      <c r="B231" s="7" t="s">
        <v>1914</v>
      </c>
      <c r="C231" s="1">
        <v>5777000</v>
      </c>
      <c r="D231" s="1">
        <v>0</v>
      </c>
      <c r="E231" s="14">
        <f t="shared" si="5"/>
        <v>66154336.859999895</v>
      </c>
      <c r="F231" s="116" t="s">
        <v>8</v>
      </c>
      <c r="G231" s="8" t="s">
        <v>14</v>
      </c>
      <c r="H231" s="146"/>
    </row>
    <row r="232" spans="1:8">
      <c r="A232" s="5">
        <v>45828</v>
      </c>
      <c r="B232" s="7" t="s">
        <v>327</v>
      </c>
      <c r="C232" s="1">
        <v>20000</v>
      </c>
      <c r="D232" s="1">
        <v>0</v>
      </c>
      <c r="E232" s="14">
        <f t="shared" si="5"/>
        <v>66134336.859999895</v>
      </c>
      <c r="F232" s="116" t="s">
        <v>19</v>
      </c>
      <c r="G232" s="8" t="s">
        <v>189</v>
      </c>
      <c r="H232" s="146"/>
    </row>
    <row r="233" spans="1:8">
      <c r="A233" s="5">
        <v>45831</v>
      </c>
      <c r="B233" s="7" t="s">
        <v>1265</v>
      </c>
      <c r="C233" s="1">
        <v>0</v>
      </c>
      <c r="D233" s="1">
        <v>250000000</v>
      </c>
      <c r="E233" s="14">
        <f t="shared" si="5"/>
        <v>316134336.8599999</v>
      </c>
      <c r="F233" t="s">
        <v>920</v>
      </c>
      <c r="G233" t="s">
        <v>493</v>
      </c>
      <c r="H233" s="146"/>
    </row>
    <row r="234" spans="1:8">
      <c r="A234" s="5">
        <v>45831</v>
      </c>
      <c r="B234" s="7" t="s">
        <v>1265</v>
      </c>
      <c r="C234" s="1">
        <v>0</v>
      </c>
      <c r="D234" s="1">
        <v>250000000</v>
      </c>
      <c r="E234" s="14">
        <f t="shared" si="5"/>
        <v>566134336.8599999</v>
      </c>
      <c r="F234" t="s">
        <v>920</v>
      </c>
      <c r="G234" t="s">
        <v>493</v>
      </c>
      <c r="H234" s="146"/>
    </row>
    <row r="235" spans="1:8">
      <c r="A235" s="5">
        <v>45831</v>
      </c>
      <c r="B235" s="7" t="s">
        <v>1915</v>
      </c>
      <c r="C235" s="1">
        <v>500000000</v>
      </c>
      <c r="D235" s="1">
        <v>0</v>
      </c>
      <c r="E235" s="14">
        <f t="shared" si="5"/>
        <v>66134336.859999895</v>
      </c>
      <c r="F235" s="116" t="s">
        <v>1297</v>
      </c>
      <c r="G235" s="8" t="s">
        <v>1211</v>
      </c>
      <c r="H235" s="146" t="s">
        <v>5983</v>
      </c>
    </row>
    <row r="236" spans="1:8">
      <c r="A236" s="5">
        <v>45833</v>
      </c>
      <c r="B236" s="7" t="s">
        <v>1916</v>
      </c>
      <c r="C236" s="1">
        <v>400000</v>
      </c>
      <c r="D236" s="1">
        <v>0</v>
      </c>
      <c r="E236" s="14">
        <f t="shared" si="5"/>
        <v>65734336.859999895</v>
      </c>
      <c r="F236" s="116" t="s">
        <v>4</v>
      </c>
      <c r="G236" s="8" t="s">
        <v>5</v>
      </c>
      <c r="H236" s="40" t="s">
        <v>2327</v>
      </c>
    </row>
    <row r="237" spans="1:8">
      <c r="A237" s="5">
        <v>45833</v>
      </c>
      <c r="B237" s="7" t="s">
        <v>1917</v>
      </c>
      <c r="C237" s="1">
        <v>400000</v>
      </c>
      <c r="D237" s="1">
        <v>0</v>
      </c>
      <c r="E237" s="14">
        <f t="shared" si="5"/>
        <v>65334336.859999895</v>
      </c>
      <c r="F237" s="116" t="s">
        <v>4</v>
      </c>
      <c r="G237" s="8" t="s">
        <v>5</v>
      </c>
      <c r="H237" s="40" t="s">
        <v>2327</v>
      </c>
    </row>
    <row r="238" spans="1:8">
      <c r="A238" s="5">
        <v>45838</v>
      </c>
      <c r="B238" s="7" t="s">
        <v>1918</v>
      </c>
      <c r="C238" s="1">
        <v>61150000</v>
      </c>
      <c r="D238" s="1">
        <v>0</v>
      </c>
      <c r="E238" s="14">
        <f t="shared" si="5"/>
        <v>4184336.8599998951</v>
      </c>
      <c r="F238" s="116" t="s">
        <v>62</v>
      </c>
      <c r="G238" s="8" t="s">
        <v>23</v>
      </c>
      <c r="H238" s="146"/>
    </row>
    <row r="239" spans="1:8">
      <c r="A239" s="5">
        <v>45838</v>
      </c>
      <c r="B239" s="7" t="s">
        <v>844</v>
      </c>
      <c r="C239" s="1">
        <v>0</v>
      </c>
      <c r="D239" s="1">
        <v>2000000</v>
      </c>
      <c r="E239" s="14">
        <f t="shared" si="5"/>
        <v>6184336.8599998951</v>
      </c>
      <c r="F239" t="s">
        <v>10</v>
      </c>
      <c r="G239" s="8" t="s">
        <v>76</v>
      </c>
      <c r="H239" s="146" t="s">
        <v>12</v>
      </c>
    </row>
    <row r="240" spans="1:8">
      <c r="A240" s="5">
        <v>45838</v>
      </c>
      <c r="B240" s="7" t="s">
        <v>1047</v>
      </c>
      <c r="C240" s="1">
        <v>0</v>
      </c>
      <c r="D240" s="1">
        <v>2000000</v>
      </c>
      <c r="E240" s="14">
        <f t="shared" si="5"/>
        <v>8184336.8599998951</v>
      </c>
      <c r="F240" t="s">
        <v>10</v>
      </c>
      <c r="G240" s="8" t="s">
        <v>76</v>
      </c>
      <c r="H240" s="146" t="s">
        <v>57</v>
      </c>
    </row>
    <row r="241" spans="1:9">
      <c r="A241" s="113">
        <v>45838</v>
      </c>
      <c r="B241" s="7" t="s">
        <v>1062</v>
      </c>
      <c r="C241" s="1">
        <v>0</v>
      </c>
      <c r="D241" s="1">
        <v>4000000</v>
      </c>
      <c r="E241" s="14">
        <f t="shared" si="5"/>
        <v>12184336.859999895</v>
      </c>
      <c r="F241" t="s">
        <v>10</v>
      </c>
      <c r="G241" s="8" t="s">
        <v>76</v>
      </c>
      <c r="H241" s="146" t="s">
        <v>449</v>
      </c>
    </row>
    <row r="242" spans="1:9">
      <c r="A242" s="113">
        <v>45838</v>
      </c>
      <c r="B242" s="7" t="s">
        <v>1919</v>
      </c>
      <c r="C242" s="1">
        <v>0</v>
      </c>
      <c r="D242" s="14">
        <v>1550000</v>
      </c>
      <c r="E242" s="14">
        <f t="shared" si="5"/>
        <v>13734336.859999895</v>
      </c>
      <c r="F242" t="s">
        <v>2140</v>
      </c>
      <c r="G242" s="8" t="s">
        <v>2141</v>
      </c>
      <c r="H242" s="146" t="s">
        <v>433</v>
      </c>
      <c r="I242" s="146" t="s">
        <v>1524</v>
      </c>
    </row>
    <row r="243" spans="1:9">
      <c r="A243" s="113">
        <v>45838</v>
      </c>
      <c r="B243" s="7" t="s">
        <v>329</v>
      </c>
      <c r="C243" s="1">
        <v>0</v>
      </c>
      <c r="D243" s="1">
        <v>647.85</v>
      </c>
      <c r="E243" s="14">
        <f t="shared" si="5"/>
        <v>13734984.709999895</v>
      </c>
      <c r="F243" t="s">
        <v>1209</v>
      </c>
      <c r="G243" s="8" t="s">
        <v>79</v>
      </c>
      <c r="H243" s="146"/>
    </row>
    <row r="244" spans="1:9">
      <c r="A244" s="113">
        <v>45838</v>
      </c>
      <c r="B244" t="s">
        <v>330</v>
      </c>
      <c r="C244" s="139">
        <v>129.57</v>
      </c>
      <c r="D244" s="139">
        <v>0</v>
      </c>
      <c r="E244" s="14">
        <f t="shared" si="5"/>
        <v>13734855.139999894</v>
      </c>
      <c r="F244" s="116" t="s">
        <v>1209</v>
      </c>
      <c r="G244" s="8" t="s">
        <v>79</v>
      </c>
    </row>
    <row r="245" spans="1:9">
      <c r="A245" s="113">
        <v>45840</v>
      </c>
      <c r="B245" t="s">
        <v>2356</v>
      </c>
      <c r="C245" s="139">
        <v>0</v>
      </c>
      <c r="D245" s="139">
        <v>55575000</v>
      </c>
      <c r="E245" s="14">
        <f t="shared" si="5"/>
        <v>69309855.139999896</v>
      </c>
      <c r="F245" t="s">
        <v>920</v>
      </c>
      <c r="G245" s="8" t="s">
        <v>371</v>
      </c>
    </row>
    <row r="246" spans="1:9">
      <c r="A246" s="113">
        <v>45840</v>
      </c>
      <c r="B246" t="s">
        <v>2357</v>
      </c>
      <c r="C246" s="139">
        <v>55575000</v>
      </c>
      <c r="D246" s="14">
        <v>0</v>
      </c>
      <c r="E246" s="14">
        <f t="shared" si="5"/>
        <v>13734855.139999896</v>
      </c>
      <c r="F246" s="116" t="s">
        <v>4</v>
      </c>
      <c r="G246" s="8" t="s">
        <v>5</v>
      </c>
      <c r="H246" s="40" t="s">
        <v>2313</v>
      </c>
    </row>
    <row r="247" spans="1:9">
      <c r="A247" s="113">
        <v>45842</v>
      </c>
      <c r="B247" t="s">
        <v>1265</v>
      </c>
      <c r="C247" s="139">
        <v>0</v>
      </c>
      <c r="D247" s="139">
        <v>200000000</v>
      </c>
      <c r="E247" s="14">
        <f t="shared" si="5"/>
        <v>213734855.1399999</v>
      </c>
      <c r="F247" t="s">
        <v>920</v>
      </c>
      <c r="G247" s="8" t="s">
        <v>493</v>
      </c>
    </row>
    <row r="248" spans="1:9">
      <c r="A248" s="113">
        <v>45842</v>
      </c>
      <c r="B248" t="s">
        <v>2358</v>
      </c>
      <c r="C248" s="139">
        <v>100000000</v>
      </c>
      <c r="D248" s="14">
        <v>0</v>
      </c>
      <c r="E248" s="14">
        <f t="shared" si="5"/>
        <v>113734855.1399999</v>
      </c>
      <c r="F248" t="s">
        <v>6</v>
      </c>
      <c r="G248" s="8" t="s">
        <v>49</v>
      </c>
    </row>
    <row r="249" spans="1:9">
      <c r="A249" s="113">
        <v>45842</v>
      </c>
      <c r="B249" t="s">
        <v>2359</v>
      </c>
      <c r="C249" s="139">
        <v>100000000</v>
      </c>
      <c r="D249" s="14">
        <v>0</v>
      </c>
      <c r="E249" s="14">
        <f t="shared" si="5"/>
        <v>13734855.139999896</v>
      </c>
      <c r="F249" t="s">
        <v>6</v>
      </c>
      <c r="G249" s="8" t="s">
        <v>49</v>
      </c>
    </row>
    <row r="250" spans="1:9">
      <c r="A250" s="113">
        <v>45846</v>
      </c>
      <c r="B250" t="s">
        <v>2360</v>
      </c>
      <c r="C250" s="139">
        <v>0</v>
      </c>
      <c r="D250" s="139">
        <v>82000000</v>
      </c>
      <c r="E250" s="14">
        <f t="shared" si="5"/>
        <v>95734855.139999896</v>
      </c>
      <c r="F250" s="8" t="s">
        <v>920</v>
      </c>
      <c r="G250" s="8" t="s">
        <v>371</v>
      </c>
    </row>
    <row r="251" spans="1:9">
      <c r="A251" s="113">
        <v>45846</v>
      </c>
      <c r="B251" t="s">
        <v>2361</v>
      </c>
      <c r="C251" s="139">
        <v>82000000</v>
      </c>
      <c r="D251" s="14">
        <v>0</v>
      </c>
      <c r="E251" s="14">
        <f t="shared" si="5"/>
        <v>13734855.139999896</v>
      </c>
      <c r="F251" s="116" t="s">
        <v>4</v>
      </c>
      <c r="G251" s="8" t="s">
        <v>5</v>
      </c>
      <c r="H251" s="154" t="s">
        <v>2326</v>
      </c>
    </row>
    <row r="252" spans="1:9">
      <c r="A252" s="113">
        <v>45846</v>
      </c>
      <c r="B252" t="s">
        <v>2362</v>
      </c>
      <c r="C252" s="139">
        <v>0</v>
      </c>
      <c r="D252" s="14">
        <v>12158989</v>
      </c>
      <c r="E252" s="14">
        <f t="shared" si="5"/>
        <v>25893844.139999896</v>
      </c>
      <c r="F252" t="s">
        <v>2140</v>
      </c>
      <c r="G252" s="8" t="s">
        <v>2141</v>
      </c>
      <c r="H252" s="146" t="s">
        <v>1622</v>
      </c>
      <c r="I252" s="37" t="s">
        <v>2298</v>
      </c>
    </row>
    <row r="253" spans="1:9">
      <c r="A253" s="113">
        <v>45846</v>
      </c>
      <c r="B253" t="s">
        <v>2363</v>
      </c>
      <c r="C253" s="139">
        <v>0</v>
      </c>
      <c r="D253" s="14">
        <v>5349022</v>
      </c>
      <c r="E253" s="14">
        <f t="shared" si="5"/>
        <v>31242866.139999896</v>
      </c>
      <c r="F253" t="s">
        <v>2140</v>
      </c>
      <c r="G253" s="8" t="s">
        <v>2141</v>
      </c>
      <c r="H253" s="146" t="s">
        <v>1622</v>
      </c>
      <c r="I253" s="37" t="s">
        <v>2301</v>
      </c>
    </row>
    <row r="254" spans="1:9">
      <c r="A254" s="113">
        <v>45847</v>
      </c>
      <c r="B254" t="s">
        <v>2364</v>
      </c>
      <c r="C254" s="139">
        <v>0</v>
      </c>
      <c r="D254" s="14">
        <v>7775522</v>
      </c>
      <c r="E254" s="14">
        <f t="shared" si="5"/>
        <v>39018388.139999896</v>
      </c>
      <c r="F254" t="s">
        <v>2140</v>
      </c>
      <c r="G254" s="8" t="s">
        <v>2141</v>
      </c>
      <c r="H254" s="146" t="s">
        <v>1622</v>
      </c>
      <c r="I254" s="37" t="s">
        <v>2308</v>
      </c>
    </row>
    <row r="255" spans="1:9">
      <c r="A255" s="113">
        <v>45847</v>
      </c>
      <c r="B255" t="s">
        <v>2364</v>
      </c>
      <c r="C255" s="139">
        <v>0</v>
      </c>
      <c r="D255" s="14">
        <v>7775522</v>
      </c>
      <c r="E255" s="14">
        <f t="shared" si="5"/>
        <v>46793910.139999896</v>
      </c>
      <c r="F255" t="s">
        <v>2140</v>
      </c>
      <c r="G255" s="8" t="s">
        <v>2141</v>
      </c>
      <c r="H255" s="146" t="s">
        <v>1622</v>
      </c>
      <c r="I255" s="37" t="s">
        <v>2310</v>
      </c>
    </row>
    <row r="256" spans="1:9">
      <c r="A256" s="113">
        <v>45847</v>
      </c>
      <c r="B256" t="s">
        <v>2365</v>
      </c>
      <c r="C256" s="139">
        <v>0</v>
      </c>
      <c r="D256" s="14">
        <v>10698044</v>
      </c>
      <c r="E256" s="14">
        <f t="shared" si="5"/>
        <v>57491954.139999896</v>
      </c>
      <c r="F256" t="s">
        <v>2140</v>
      </c>
      <c r="G256" s="8" t="s">
        <v>2141</v>
      </c>
      <c r="H256" s="146" t="s">
        <v>1622</v>
      </c>
      <c r="I256" s="37" t="s">
        <v>2306</v>
      </c>
    </row>
    <row r="257" spans="1:9">
      <c r="A257" s="113">
        <v>45849</v>
      </c>
      <c r="B257" t="s">
        <v>2360</v>
      </c>
      <c r="C257" s="139">
        <v>0</v>
      </c>
      <c r="D257" s="14">
        <v>28000000</v>
      </c>
      <c r="E257" s="14">
        <f t="shared" si="5"/>
        <v>85491954.139999896</v>
      </c>
      <c r="F257" s="8" t="s">
        <v>920</v>
      </c>
      <c r="G257" s="8" t="s">
        <v>371</v>
      </c>
    </row>
    <row r="258" spans="1:9">
      <c r="A258" s="113">
        <v>45849</v>
      </c>
      <c r="B258" t="s">
        <v>2366</v>
      </c>
      <c r="C258" s="139">
        <v>28000000</v>
      </c>
      <c r="D258" s="14">
        <v>0</v>
      </c>
      <c r="E258" s="14">
        <f t="shared" si="5"/>
        <v>57491954.139999896</v>
      </c>
      <c r="F258" s="116" t="s">
        <v>4</v>
      </c>
      <c r="G258" s="8" t="s">
        <v>5</v>
      </c>
      <c r="H258" s="154" t="s">
        <v>2326</v>
      </c>
    </row>
    <row r="259" spans="1:9">
      <c r="A259" s="113">
        <v>45849</v>
      </c>
      <c r="B259" t="s">
        <v>2367</v>
      </c>
      <c r="C259" s="139">
        <v>400000</v>
      </c>
      <c r="D259" s="14">
        <v>0</v>
      </c>
      <c r="E259" s="14">
        <f t="shared" si="5"/>
        <v>57091954.139999896</v>
      </c>
      <c r="F259" s="116" t="s">
        <v>4</v>
      </c>
      <c r="G259" s="8" t="s">
        <v>5</v>
      </c>
      <c r="H259" s="40" t="s">
        <v>2313</v>
      </c>
    </row>
    <row r="260" spans="1:9">
      <c r="A260" s="113">
        <v>45849</v>
      </c>
      <c r="B260" t="s">
        <v>2472</v>
      </c>
      <c r="C260" s="139">
        <v>0</v>
      </c>
      <c r="D260" s="14">
        <v>5349022</v>
      </c>
      <c r="E260" s="14">
        <f t="shared" si="5"/>
        <v>62440976.139999896</v>
      </c>
      <c r="F260" t="s">
        <v>2140</v>
      </c>
      <c r="G260" s="8" t="s">
        <v>2141</v>
      </c>
      <c r="H260" s="146" t="s">
        <v>1622</v>
      </c>
      <c r="I260" s="37" t="s">
        <v>2303</v>
      </c>
    </row>
    <row r="261" spans="1:9">
      <c r="A261" s="113">
        <v>45852</v>
      </c>
      <c r="B261" t="s">
        <v>2368</v>
      </c>
      <c r="C261" s="139">
        <v>50558850</v>
      </c>
      <c r="D261" s="14">
        <v>0</v>
      </c>
      <c r="E261" s="14">
        <f t="shared" si="5"/>
        <v>11882126.139999896</v>
      </c>
      <c r="F261" s="116" t="s">
        <v>62</v>
      </c>
      <c r="G261" s="8" t="s">
        <v>23</v>
      </c>
    </row>
    <row r="262" spans="1:9">
      <c r="A262" s="113">
        <v>45852</v>
      </c>
      <c r="B262" t="s">
        <v>2449</v>
      </c>
      <c r="C262" s="139">
        <v>0</v>
      </c>
      <c r="D262" s="14">
        <v>22411461</v>
      </c>
      <c r="E262" s="14">
        <f t="shared" si="5"/>
        <v>34293587.139999896</v>
      </c>
      <c r="F262" t="s">
        <v>10</v>
      </c>
      <c r="G262" s="8" t="s">
        <v>18</v>
      </c>
      <c r="H262" s="219" t="s">
        <v>281</v>
      </c>
      <c r="I262" s="37" t="s">
        <v>2471</v>
      </c>
    </row>
    <row r="263" spans="1:9">
      <c r="A263" s="113">
        <v>45853</v>
      </c>
      <c r="B263" t="s">
        <v>2450</v>
      </c>
      <c r="C263" s="139">
        <v>400000</v>
      </c>
      <c r="D263" s="14">
        <v>0</v>
      </c>
      <c r="E263" s="14">
        <f t="shared" si="5"/>
        <v>33893587.139999896</v>
      </c>
      <c r="F263" s="116" t="s">
        <v>4</v>
      </c>
      <c r="G263" s="8" t="s">
        <v>5</v>
      </c>
      <c r="H263" s="40" t="s">
        <v>2320</v>
      </c>
    </row>
    <row r="264" spans="1:9">
      <c r="A264" s="113">
        <v>45853</v>
      </c>
      <c r="B264" t="s">
        <v>2451</v>
      </c>
      <c r="C264" s="139">
        <v>400000</v>
      </c>
      <c r="D264" s="14">
        <v>0</v>
      </c>
      <c r="E264" s="14">
        <f t="shared" si="5"/>
        <v>33493587.139999896</v>
      </c>
      <c r="F264" s="116" t="s">
        <v>4</v>
      </c>
      <c r="G264" s="8" t="s">
        <v>5</v>
      </c>
      <c r="H264" s="40" t="s">
        <v>2320</v>
      </c>
    </row>
    <row r="265" spans="1:9">
      <c r="A265" s="113">
        <v>45853</v>
      </c>
      <c r="B265" t="s">
        <v>2452</v>
      </c>
      <c r="C265" s="139">
        <v>750000</v>
      </c>
      <c r="D265" s="14">
        <v>0</v>
      </c>
      <c r="E265" s="14">
        <f t="shared" si="5"/>
        <v>32743587.139999896</v>
      </c>
      <c r="F265" s="116" t="s">
        <v>62</v>
      </c>
      <c r="G265" s="8" t="s">
        <v>177</v>
      </c>
    </row>
    <row r="266" spans="1:9">
      <c r="A266" s="113">
        <v>45853</v>
      </c>
      <c r="B266" t="s">
        <v>2453</v>
      </c>
      <c r="C266" s="139">
        <v>1000000</v>
      </c>
      <c r="D266" s="14">
        <v>0</v>
      </c>
      <c r="E266" s="14">
        <f t="shared" ref="E266:E312" si="6">E265-C266+D266</f>
        <v>31743587.139999896</v>
      </c>
      <c r="F266" s="116" t="s">
        <v>62</v>
      </c>
      <c r="G266" s="8" t="s">
        <v>177</v>
      </c>
    </row>
    <row r="267" spans="1:9">
      <c r="A267" s="113">
        <v>45853</v>
      </c>
      <c r="B267" t="s">
        <v>2454</v>
      </c>
      <c r="C267" s="139">
        <v>300000</v>
      </c>
      <c r="D267" s="14">
        <v>0</v>
      </c>
      <c r="E267" s="14">
        <f t="shared" si="6"/>
        <v>31443587.139999896</v>
      </c>
      <c r="F267" s="116" t="s">
        <v>4</v>
      </c>
      <c r="G267" s="8" t="s">
        <v>5</v>
      </c>
      <c r="H267" s="40" t="s">
        <v>2320</v>
      </c>
    </row>
    <row r="268" spans="1:9">
      <c r="A268" s="113">
        <v>45853</v>
      </c>
      <c r="B268" t="s">
        <v>2455</v>
      </c>
      <c r="C268" s="139">
        <v>1000000</v>
      </c>
      <c r="D268" s="14">
        <v>0</v>
      </c>
      <c r="E268" s="14">
        <f t="shared" si="6"/>
        <v>30443587.139999896</v>
      </c>
      <c r="F268" s="116" t="s">
        <v>4</v>
      </c>
      <c r="G268" s="8" t="s">
        <v>5</v>
      </c>
      <c r="H268" s="40" t="s">
        <v>2320</v>
      </c>
    </row>
    <row r="269" spans="1:9">
      <c r="A269" s="113">
        <v>45853</v>
      </c>
      <c r="B269" t="s">
        <v>2456</v>
      </c>
      <c r="C269" s="139">
        <v>800000</v>
      </c>
      <c r="D269" s="14">
        <v>0</v>
      </c>
      <c r="E269" s="14">
        <f t="shared" si="6"/>
        <v>29643587.139999896</v>
      </c>
      <c r="F269" s="116" t="s">
        <v>4</v>
      </c>
      <c r="G269" s="8" t="s">
        <v>5</v>
      </c>
      <c r="H269" s="40" t="s">
        <v>2320</v>
      </c>
    </row>
    <row r="270" spans="1:9">
      <c r="A270" s="113">
        <v>45853</v>
      </c>
      <c r="B270" t="s">
        <v>2457</v>
      </c>
      <c r="C270" s="139">
        <v>800000</v>
      </c>
      <c r="D270" s="14">
        <v>0</v>
      </c>
      <c r="E270" s="14">
        <f t="shared" si="6"/>
        <v>28843587.139999896</v>
      </c>
      <c r="F270" s="116" t="s">
        <v>4</v>
      </c>
      <c r="G270" s="8" t="s">
        <v>5</v>
      </c>
      <c r="H270" s="40" t="s">
        <v>2320</v>
      </c>
    </row>
    <row r="271" spans="1:9">
      <c r="A271" s="113">
        <v>45853</v>
      </c>
      <c r="B271" t="s">
        <v>2458</v>
      </c>
      <c r="C271" s="139">
        <v>300000</v>
      </c>
      <c r="D271" s="14">
        <v>0</v>
      </c>
      <c r="E271" s="14">
        <f t="shared" si="6"/>
        <v>28543587.139999896</v>
      </c>
      <c r="F271" s="116" t="s">
        <v>4</v>
      </c>
      <c r="G271" s="8" t="s">
        <v>5</v>
      </c>
      <c r="H271" s="40" t="s">
        <v>2320</v>
      </c>
    </row>
    <row r="272" spans="1:9">
      <c r="A272" s="113">
        <v>45853</v>
      </c>
      <c r="B272" t="s">
        <v>2459</v>
      </c>
      <c r="C272" s="139">
        <v>800000</v>
      </c>
      <c r="D272" s="14">
        <v>0</v>
      </c>
      <c r="E272" s="14">
        <f t="shared" si="6"/>
        <v>27743587.139999896</v>
      </c>
      <c r="F272" s="116" t="s">
        <v>4</v>
      </c>
      <c r="G272" s="8" t="s">
        <v>5</v>
      </c>
      <c r="H272" s="40" t="s">
        <v>2320</v>
      </c>
    </row>
    <row r="273" spans="1:9">
      <c r="A273" s="113">
        <v>45853</v>
      </c>
      <c r="B273" t="s">
        <v>2460</v>
      </c>
      <c r="C273" s="139">
        <v>800000</v>
      </c>
      <c r="D273" s="14">
        <v>0</v>
      </c>
      <c r="E273" s="14">
        <f t="shared" si="6"/>
        <v>26943587.139999896</v>
      </c>
      <c r="F273" s="116" t="s">
        <v>4</v>
      </c>
      <c r="G273" s="8" t="s">
        <v>5</v>
      </c>
      <c r="H273" s="40" t="s">
        <v>2320</v>
      </c>
    </row>
    <row r="274" spans="1:9">
      <c r="A274" s="113">
        <v>45853</v>
      </c>
      <c r="B274" t="s">
        <v>2461</v>
      </c>
      <c r="C274" s="139">
        <v>800000</v>
      </c>
      <c r="D274" s="14">
        <v>0</v>
      </c>
      <c r="E274" s="14">
        <f t="shared" si="6"/>
        <v>26143587.139999896</v>
      </c>
      <c r="F274" s="116" t="s">
        <v>4</v>
      </c>
      <c r="G274" s="8" t="s">
        <v>5</v>
      </c>
      <c r="H274" s="40" t="s">
        <v>2320</v>
      </c>
    </row>
    <row r="275" spans="1:9">
      <c r="A275" s="113">
        <v>45853</v>
      </c>
      <c r="B275" t="s">
        <v>2462</v>
      </c>
      <c r="C275" s="139">
        <v>400000</v>
      </c>
      <c r="D275" s="14">
        <v>0</v>
      </c>
      <c r="E275" s="14">
        <f t="shared" si="6"/>
        <v>25743587.139999896</v>
      </c>
      <c r="F275" s="116" t="s">
        <v>4</v>
      </c>
      <c r="G275" s="8" t="s">
        <v>5</v>
      </c>
      <c r="H275" s="40" t="s">
        <v>2320</v>
      </c>
    </row>
    <row r="276" spans="1:9">
      <c r="A276" s="113">
        <v>45853</v>
      </c>
      <c r="B276" t="s">
        <v>2463</v>
      </c>
      <c r="C276" s="139">
        <v>300000</v>
      </c>
      <c r="D276" s="14">
        <v>0</v>
      </c>
      <c r="E276" s="14">
        <f t="shared" si="6"/>
        <v>25443587.139999896</v>
      </c>
      <c r="F276" s="116" t="s">
        <v>4</v>
      </c>
      <c r="G276" s="8" t="s">
        <v>5</v>
      </c>
      <c r="H276" s="40" t="s">
        <v>2320</v>
      </c>
    </row>
    <row r="277" spans="1:9">
      <c r="A277" s="113">
        <v>45853</v>
      </c>
      <c r="B277" t="s">
        <v>2464</v>
      </c>
      <c r="C277" s="139">
        <v>570000</v>
      </c>
      <c r="D277" s="14">
        <v>0</v>
      </c>
      <c r="E277" s="14">
        <f t="shared" si="6"/>
        <v>24873587.139999896</v>
      </c>
      <c r="F277" s="116" t="s">
        <v>62</v>
      </c>
      <c r="G277" s="8" t="s">
        <v>30</v>
      </c>
    </row>
    <row r="278" spans="1:9">
      <c r="A278" s="113">
        <v>45853</v>
      </c>
      <c r="B278" t="s">
        <v>2465</v>
      </c>
      <c r="C278" s="139">
        <v>925000</v>
      </c>
      <c r="D278" s="14">
        <v>0</v>
      </c>
      <c r="E278" s="14">
        <f t="shared" si="6"/>
        <v>23948587.139999896</v>
      </c>
      <c r="F278" s="116" t="s">
        <v>62</v>
      </c>
      <c r="G278" s="8" t="s">
        <v>30</v>
      </c>
    </row>
    <row r="279" spans="1:9">
      <c r="A279" s="113">
        <v>45853</v>
      </c>
      <c r="B279" t="s">
        <v>2466</v>
      </c>
      <c r="C279" s="139">
        <v>440000</v>
      </c>
      <c r="D279" s="14">
        <v>0</v>
      </c>
      <c r="E279" s="14">
        <f t="shared" si="6"/>
        <v>23508587.139999896</v>
      </c>
      <c r="F279" s="116" t="s">
        <v>62</v>
      </c>
      <c r="G279" s="8" t="s">
        <v>30</v>
      </c>
    </row>
    <row r="280" spans="1:9">
      <c r="A280" s="113">
        <v>45853</v>
      </c>
      <c r="B280" t="s">
        <v>2467</v>
      </c>
      <c r="C280" s="139">
        <v>1801000</v>
      </c>
      <c r="D280" s="14">
        <v>0</v>
      </c>
      <c r="E280" s="14">
        <f t="shared" si="6"/>
        <v>21707587.139999896</v>
      </c>
      <c r="F280" s="116" t="s">
        <v>62</v>
      </c>
      <c r="G280" s="8" t="s">
        <v>30</v>
      </c>
    </row>
    <row r="281" spans="1:9">
      <c r="A281" s="113">
        <v>45853</v>
      </c>
      <c r="B281" t="s">
        <v>2468</v>
      </c>
      <c r="C281" s="139">
        <v>400000</v>
      </c>
      <c r="D281" s="14">
        <v>0</v>
      </c>
      <c r="E281" s="14">
        <f t="shared" si="6"/>
        <v>21307587.139999896</v>
      </c>
      <c r="F281" s="116" t="s">
        <v>4</v>
      </c>
      <c r="G281" s="8" t="s">
        <v>5</v>
      </c>
      <c r="H281" s="40" t="s">
        <v>2313</v>
      </c>
    </row>
    <row r="282" spans="1:9">
      <c r="A282" s="113">
        <v>45853</v>
      </c>
      <c r="B282" t="s">
        <v>2469</v>
      </c>
      <c r="C282" s="139">
        <v>0</v>
      </c>
      <c r="D282" s="14">
        <v>800000</v>
      </c>
      <c r="E282" s="14">
        <f t="shared" si="6"/>
        <v>22107587.139999896</v>
      </c>
      <c r="F282" t="s">
        <v>10</v>
      </c>
      <c r="G282" s="8" t="s">
        <v>18</v>
      </c>
      <c r="H282" s="37" t="s">
        <v>438</v>
      </c>
      <c r="I282" s="37" t="s">
        <v>2378</v>
      </c>
    </row>
    <row r="283" spans="1:9">
      <c r="A283" s="113">
        <v>45853</v>
      </c>
      <c r="B283" t="s">
        <v>2470</v>
      </c>
      <c r="C283" s="139">
        <v>5985000</v>
      </c>
      <c r="D283" s="14">
        <v>0</v>
      </c>
      <c r="E283" s="14">
        <f t="shared" si="6"/>
        <v>16122587.139999896</v>
      </c>
      <c r="F283" s="116" t="s">
        <v>62</v>
      </c>
      <c r="G283" s="8" t="s">
        <v>252</v>
      </c>
    </row>
    <row r="284" spans="1:9">
      <c r="A284" s="113">
        <v>45856</v>
      </c>
      <c r="B284" t="s">
        <v>327</v>
      </c>
      <c r="C284" s="139">
        <v>20000</v>
      </c>
      <c r="D284" s="14">
        <v>0</v>
      </c>
      <c r="E284" s="14">
        <f t="shared" si="6"/>
        <v>16102587.139999896</v>
      </c>
      <c r="F284" s="116" t="s">
        <v>19</v>
      </c>
      <c r="G284" s="8" t="s">
        <v>189</v>
      </c>
    </row>
    <row r="285" spans="1:9">
      <c r="A285" s="113">
        <v>45860</v>
      </c>
      <c r="B285" t="s">
        <v>3372</v>
      </c>
      <c r="C285" s="144">
        <v>0</v>
      </c>
      <c r="D285" s="54">
        <v>34500000</v>
      </c>
      <c r="E285" s="54">
        <f t="shared" si="6"/>
        <v>50602587.139999896</v>
      </c>
      <c r="F285" t="s">
        <v>920</v>
      </c>
      <c r="G285" s="8" t="s">
        <v>498</v>
      </c>
      <c r="H285" s="8" t="s">
        <v>3354</v>
      </c>
    </row>
    <row r="286" spans="1:9">
      <c r="A286" s="113">
        <v>45860</v>
      </c>
      <c r="B286" t="s">
        <v>3372</v>
      </c>
      <c r="C286" s="144">
        <v>0</v>
      </c>
      <c r="D286" s="54">
        <v>17000000</v>
      </c>
      <c r="E286" s="54">
        <f t="shared" si="6"/>
        <v>67602587.139999896</v>
      </c>
      <c r="F286" t="s">
        <v>920</v>
      </c>
      <c r="G286" s="8" t="s">
        <v>498</v>
      </c>
      <c r="H286" s="8" t="s">
        <v>3354</v>
      </c>
    </row>
    <row r="287" spans="1:9">
      <c r="A287" s="113">
        <v>45860</v>
      </c>
      <c r="B287" t="s">
        <v>3372</v>
      </c>
      <c r="C287" s="144">
        <v>0</v>
      </c>
      <c r="D287" s="54">
        <v>13548001</v>
      </c>
      <c r="E287" s="54">
        <f t="shared" si="6"/>
        <v>81150588.139999896</v>
      </c>
      <c r="F287" t="s">
        <v>920</v>
      </c>
      <c r="G287" s="8" t="s">
        <v>498</v>
      </c>
      <c r="H287" s="8" t="s">
        <v>3354</v>
      </c>
    </row>
    <row r="288" spans="1:9">
      <c r="A288" s="113">
        <v>45860</v>
      </c>
      <c r="B288" t="s">
        <v>3372</v>
      </c>
      <c r="C288" s="144">
        <v>0</v>
      </c>
      <c r="D288" s="54">
        <f>126298001-D285-D286-D287</f>
        <v>61250000</v>
      </c>
      <c r="E288" s="54">
        <f t="shared" si="6"/>
        <v>142400588.1399999</v>
      </c>
      <c r="F288" t="s">
        <v>920</v>
      </c>
      <c r="G288" s="8" t="s">
        <v>498</v>
      </c>
      <c r="H288" s="8" t="s">
        <v>3354</v>
      </c>
    </row>
    <row r="289" spans="1:9">
      <c r="A289" s="113">
        <v>45861</v>
      </c>
      <c r="B289" t="s">
        <v>2475</v>
      </c>
      <c r="C289" s="144">
        <v>0</v>
      </c>
      <c r="D289" s="54">
        <v>50000000</v>
      </c>
      <c r="E289" s="54">
        <f t="shared" si="6"/>
        <v>192400588.1399999</v>
      </c>
      <c r="F289" t="s">
        <v>920</v>
      </c>
      <c r="G289" s="8" t="s">
        <v>371</v>
      </c>
    </row>
    <row r="290" spans="1:9">
      <c r="A290" s="113">
        <v>45861</v>
      </c>
      <c r="B290" t="s">
        <v>2476</v>
      </c>
      <c r="C290" s="139">
        <v>185356000</v>
      </c>
      <c r="D290" s="14">
        <v>0</v>
      </c>
      <c r="E290" s="14">
        <f t="shared" si="6"/>
        <v>7044588.1399998963</v>
      </c>
      <c r="F290" s="116" t="s">
        <v>4</v>
      </c>
      <c r="G290" s="8" t="s">
        <v>5</v>
      </c>
      <c r="H290" s="154" t="s">
        <v>2326</v>
      </c>
    </row>
    <row r="291" spans="1:9">
      <c r="A291" s="113">
        <v>45861</v>
      </c>
      <c r="B291" t="s">
        <v>2477</v>
      </c>
      <c r="C291" s="139">
        <v>800000</v>
      </c>
      <c r="D291" s="14">
        <v>0</v>
      </c>
      <c r="E291" s="14">
        <f t="shared" si="6"/>
        <v>6244588.1399998963</v>
      </c>
      <c r="F291" s="116" t="s">
        <v>4</v>
      </c>
      <c r="G291" s="8" t="s">
        <v>5</v>
      </c>
      <c r="H291" s="40" t="s">
        <v>2320</v>
      </c>
    </row>
    <row r="292" spans="1:9">
      <c r="A292" s="113">
        <v>45861</v>
      </c>
      <c r="B292" t="s">
        <v>2478</v>
      </c>
      <c r="C292" s="139">
        <v>800000</v>
      </c>
      <c r="D292" s="14">
        <v>0</v>
      </c>
      <c r="E292" s="14">
        <f t="shared" si="6"/>
        <v>5444588.1399998963</v>
      </c>
      <c r="F292" s="116" t="s">
        <v>4</v>
      </c>
      <c r="G292" s="8" t="s">
        <v>5</v>
      </c>
      <c r="H292" s="40" t="s">
        <v>2320</v>
      </c>
    </row>
    <row r="293" spans="1:9">
      <c r="A293" s="113">
        <v>45861</v>
      </c>
      <c r="B293" t="s">
        <v>2479</v>
      </c>
      <c r="C293" s="139">
        <v>0</v>
      </c>
      <c r="D293" s="139">
        <v>4500000</v>
      </c>
      <c r="E293" s="14">
        <f t="shared" si="6"/>
        <v>9944588.1399998963</v>
      </c>
      <c r="F293" s="116" t="s">
        <v>2140</v>
      </c>
      <c r="G293" s="8" t="s">
        <v>2141</v>
      </c>
      <c r="H293" s="146" t="s">
        <v>1622</v>
      </c>
      <c r="I293" s="37" t="s">
        <v>3387</v>
      </c>
    </row>
    <row r="294" spans="1:9">
      <c r="A294" s="113">
        <v>45861</v>
      </c>
      <c r="B294" t="s">
        <v>2480</v>
      </c>
      <c r="C294" s="139">
        <v>0</v>
      </c>
      <c r="D294" s="14">
        <v>30000000</v>
      </c>
      <c r="E294" s="14">
        <f t="shared" si="6"/>
        <v>39944588.139999896</v>
      </c>
      <c r="F294" t="s">
        <v>1209</v>
      </c>
      <c r="G294" s="8" t="s">
        <v>192</v>
      </c>
    </row>
    <row r="295" spans="1:9">
      <c r="A295" s="113">
        <v>45861</v>
      </c>
      <c r="B295" t="s">
        <v>2481</v>
      </c>
      <c r="C295" s="139">
        <v>0</v>
      </c>
      <c r="D295" s="14">
        <v>250000000</v>
      </c>
      <c r="E295" s="14">
        <f t="shared" si="6"/>
        <v>289944588.13999987</v>
      </c>
      <c r="F295" t="s">
        <v>1209</v>
      </c>
      <c r="G295" s="8" t="s">
        <v>192</v>
      </c>
    </row>
    <row r="296" spans="1:9">
      <c r="A296" s="113">
        <v>45861</v>
      </c>
      <c r="B296" t="s">
        <v>2482</v>
      </c>
      <c r="C296" s="139">
        <v>0</v>
      </c>
      <c r="D296" s="14">
        <v>100000000</v>
      </c>
      <c r="E296" s="14">
        <f t="shared" si="6"/>
        <v>389944588.13999987</v>
      </c>
      <c r="F296" t="s">
        <v>1209</v>
      </c>
      <c r="G296" s="8" t="s">
        <v>192</v>
      </c>
    </row>
    <row r="297" spans="1:9">
      <c r="A297" s="113">
        <v>45863</v>
      </c>
      <c r="B297" t="s">
        <v>2483</v>
      </c>
      <c r="C297" s="139">
        <v>0</v>
      </c>
      <c r="D297" s="14">
        <v>5568158</v>
      </c>
      <c r="E297" s="14">
        <f t="shared" si="6"/>
        <v>395512746.13999987</v>
      </c>
      <c r="F297" s="116" t="s">
        <v>2140</v>
      </c>
      <c r="G297" s="8" t="s">
        <v>2141</v>
      </c>
      <c r="H297" s="146" t="s">
        <v>1622</v>
      </c>
      <c r="I297" s="37" t="s">
        <v>3394</v>
      </c>
    </row>
    <row r="298" spans="1:9">
      <c r="A298" s="113">
        <v>45863</v>
      </c>
      <c r="B298" t="s">
        <v>2484</v>
      </c>
      <c r="C298" s="139">
        <v>400000</v>
      </c>
      <c r="D298" s="14">
        <v>0</v>
      </c>
      <c r="E298" s="14">
        <f t="shared" si="6"/>
        <v>395112746.13999987</v>
      </c>
      <c r="F298" s="116" t="s">
        <v>4</v>
      </c>
      <c r="G298" s="8" t="s">
        <v>5</v>
      </c>
      <c r="H298" s="40" t="s">
        <v>1622</v>
      </c>
    </row>
    <row r="299" spans="1:9">
      <c r="A299" s="113">
        <v>45863</v>
      </c>
      <c r="B299" t="s">
        <v>2485</v>
      </c>
      <c r="C299" s="139">
        <v>1200000</v>
      </c>
      <c r="D299" s="14">
        <v>0</v>
      </c>
      <c r="E299" s="14">
        <f t="shared" si="6"/>
        <v>393912746.13999987</v>
      </c>
      <c r="F299" s="116" t="s">
        <v>4</v>
      </c>
      <c r="G299" s="8" t="s">
        <v>5</v>
      </c>
      <c r="H299" s="40" t="s">
        <v>1622</v>
      </c>
    </row>
    <row r="300" spans="1:9">
      <c r="A300" s="113">
        <v>45866</v>
      </c>
      <c r="B300" t="s">
        <v>2486</v>
      </c>
      <c r="C300" s="139">
        <v>55150000</v>
      </c>
      <c r="D300" s="14">
        <v>0</v>
      </c>
      <c r="E300" s="14">
        <f t="shared" si="6"/>
        <v>338762746.13999987</v>
      </c>
      <c r="F300" s="116" t="s">
        <v>62</v>
      </c>
      <c r="G300" s="8" t="s">
        <v>23</v>
      </c>
    </row>
    <row r="301" spans="1:9">
      <c r="A301" s="113">
        <v>45866</v>
      </c>
      <c r="B301" t="s">
        <v>844</v>
      </c>
      <c r="C301" s="139">
        <v>0</v>
      </c>
      <c r="D301" s="14">
        <v>2000000</v>
      </c>
      <c r="E301" s="14">
        <f t="shared" si="6"/>
        <v>340762746.13999987</v>
      </c>
      <c r="F301" t="s">
        <v>10</v>
      </c>
      <c r="G301" s="8" t="s">
        <v>76</v>
      </c>
      <c r="H301" s="146" t="s">
        <v>12</v>
      </c>
    </row>
    <row r="302" spans="1:9">
      <c r="A302" s="113">
        <v>45866</v>
      </c>
      <c r="B302" t="s">
        <v>2487</v>
      </c>
      <c r="C302" s="139">
        <v>0</v>
      </c>
      <c r="D302" s="14">
        <v>2000100</v>
      </c>
      <c r="E302" s="14">
        <f t="shared" si="6"/>
        <v>342762846.13999987</v>
      </c>
      <c r="F302" t="s">
        <v>10</v>
      </c>
      <c r="G302" s="8" t="s">
        <v>76</v>
      </c>
      <c r="H302" s="146" t="s">
        <v>57</v>
      </c>
    </row>
    <row r="303" spans="1:9">
      <c r="A303" s="113">
        <v>45867</v>
      </c>
      <c r="B303" t="s">
        <v>2488</v>
      </c>
      <c r="C303" s="139">
        <v>400000</v>
      </c>
      <c r="D303" s="14">
        <v>0</v>
      </c>
      <c r="E303" s="14">
        <f t="shared" si="6"/>
        <v>342362846.13999987</v>
      </c>
      <c r="F303" s="116" t="s">
        <v>4</v>
      </c>
      <c r="G303" s="8" t="s">
        <v>5</v>
      </c>
      <c r="H303" s="40" t="s">
        <v>2320</v>
      </c>
    </row>
    <row r="304" spans="1:9">
      <c r="A304" s="113">
        <v>45867</v>
      </c>
      <c r="B304" t="s">
        <v>2489</v>
      </c>
      <c r="C304" s="139">
        <v>150000</v>
      </c>
      <c r="D304" s="14">
        <v>0</v>
      </c>
      <c r="E304" s="14">
        <f t="shared" si="6"/>
        <v>342212846.13999987</v>
      </c>
      <c r="F304" s="116" t="s">
        <v>4</v>
      </c>
      <c r="G304" s="8" t="s">
        <v>5</v>
      </c>
      <c r="H304" s="40" t="s">
        <v>1622</v>
      </c>
    </row>
    <row r="305" spans="1:8">
      <c r="A305" s="113">
        <v>45867</v>
      </c>
      <c r="B305" t="s">
        <v>2490</v>
      </c>
      <c r="C305" s="139">
        <v>400000</v>
      </c>
      <c r="D305" s="14">
        <v>0</v>
      </c>
      <c r="E305" s="14">
        <f t="shared" si="6"/>
        <v>341812846.13999987</v>
      </c>
      <c r="F305" s="116" t="s">
        <v>4</v>
      </c>
      <c r="G305" s="8" t="s">
        <v>5</v>
      </c>
      <c r="H305" s="40" t="s">
        <v>1622</v>
      </c>
    </row>
    <row r="306" spans="1:8">
      <c r="A306" s="113">
        <v>45868</v>
      </c>
      <c r="B306" t="s">
        <v>2491</v>
      </c>
      <c r="C306" s="139">
        <v>5000000</v>
      </c>
      <c r="D306" s="14">
        <v>0</v>
      </c>
      <c r="E306" s="14">
        <f t="shared" si="6"/>
        <v>336812846.13999987</v>
      </c>
      <c r="F306" t="s">
        <v>1209</v>
      </c>
      <c r="G306" s="8" t="s">
        <v>192</v>
      </c>
    </row>
    <row r="307" spans="1:8">
      <c r="A307" s="113">
        <v>45869</v>
      </c>
      <c r="B307" t="s">
        <v>2492</v>
      </c>
      <c r="C307" s="139">
        <v>0</v>
      </c>
      <c r="D307" s="14">
        <v>4000000</v>
      </c>
      <c r="E307" s="14">
        <f t="shared" si="6"/>
        <v>340812846.13999987</v>
      </c>
      <c r="F307" t="s">
        <v>10</v>
      </c>
      <c r="G307" s="8" t="s">
        <v>76</v>
      </c>
      <c r="H307" s="146" t="s">
        <v>449</v>
      </c>
    </row>
    <row r="308" spans="1:8">
      <c r="A308" s="113">
        <v>45869</v>
      </c>
      <c r="B308" t="s">
        <v>2493</v>
      </c>
      <c r="C308" s="139">
        <v>16272001</v>
      </c>
      <c r="D308" s="14">
        <v>0</v>
      </c>
      <c r="E308" s="14">
        <f t="shared" si="6"/>
        <v>324540845.13999987</v>
      </c>
      <c r="F308" s="116" t="s">
        <v>1209</v>
      </c>
      <c r="G308" s="8" t="s">
        <v>69</v>
      </c>
    </row>
    <row r="309" spans="1:8">
      <c r="A309" s="113">
        <v>45869</v>
      </c>
      <c r="B309" t="s">
        <v>329</v>
      </c>
      <c r="C309" s="139">
        <v>0</v>
      </c>
      <c r="D309" s="14">
        <v>1089.3699999999999</v>
      </c>
      <c r="E309" s="14">
        <f t="shared" si="6"/>
        <v>324541934.50999987</v>
      </c>
      <c r="F309" s="116" t="s">
        <v>1209</v>
      </c>
      <c r="G309" s="8" t="s">
        <v>79</v>
      </c>
    </row>
    <row r="310" spans="1:8">
      <c r="A310" s="113">
        <v>45869</v>
      </c>
      <c r="B310" t="s">
        <v>330</v>
      </c>
      <c r="C310" s="139">
        <v>217.87</v>
      </c>
      <c r="D310" s="14">
        <v>0</v>
      </c>
      <c r="E310" s="14">
        <f t="shared" si="6"/>
        <v>324541716.63999987</v>
      </c>
      <c r="F310" s="116" t="s">
        <v>1209</v>
      </c>
      <c r="G310" s="8" t="s">
        <v>79</v>
      </c>
    </row>
    <row r="311" spans="1:8">
      <c r="A311" s="113">
        <v>45875</v>
      </c>
      <c r="B311" t="s">
        <v>2572</v>
      </c>
      <c r="C311" s="139">
        <v>400000</v>
      </c>
      <c r="D311" s="14">
        <v>0</v>
      </c>
      <c r="E311" s="14">
        <f t="shared" si="6"/>
        <v>324141716.63999987</v>
      </c>
      <c r="F311" s="116" t="s">
        <v>4</v>
      </c>
      <c r="G311" s="8" t="s">
        <v>5</v>
      </c>
      <c r="H311" s="40" t="s">
        <v>2316</v>
      </c>
    </row>
    <row r="312" spans="1:8">
      <c r="A312" s="113">
        <v>45877</v>
      </c>
      <c r="B312" t="s">
        <v>2573</v>
      </c>
      <c r="C312" s="139">
        <v>1500000</v>
      </c>
      <c r="D312" s="14">
        <v>0</v>
      </c>
      <c r="E312" s="14">
        <f t="shared" si="6"/>
        <v>322641716.63999987</v>
      </c>
      <c r="F312" s="116" t="s">
        <v>4</v>
      </c>
      <c r="G312" s="8" t="s">
        <v>5</v>
      </c>
      <c r="H312" s="40" t="s">
        <v>3232</v>
      </c>
    </row>
    <row r="313" spans="1:8">
      <c r="A313" s="113">
        <v>45877</v>
      </c>
      <c r="B313" t="s">
        <v>2574</v>
      </c>
      <c r="C313" s="139">
        <v>400000</v>
      </c>
      <c r="D313" s="14">
        <v>0</v>
      </c>
      <c r="E313" s="14">
        <f t="shared" ref="E313:E376" si="7">E312-C313+D313</f>
        <v>322241716.63999987</v>
      </c>
      <c r="F313" s="116" t="s">
        <v>4</v>
      </c>
      <c r="G313" s="8" t="s">
        <v>5</v>
      </c>
      <c r="H313" s="40" t="s">
        <v>3334</v>
      </c>
    </row>
    <row r="314" spans="1:8">
      <c r="A314" s="113">
        <v>45877</v>
      </c>
      <c r="B314" t="s">
        <v>2575</v>
      </c>
      <c r="C314" s="139">
        <v>690000</v>
      </c>
      <c r="D314" s="14">
        <v>0</v>
      </c>
      <c r="E314" s="14">
        <f t="shared" si="7"/>
        <v>321551716.63999987</v>
      </c>
      <c r="F314" s="116" t="s">
        <v>62</v>
      </c>
      <c r="G314" s="8" t="s">
        <v>30</v>
      </c>
    </row>
    <row r="315" spans="1:8">
      <c r="A315" s="113">
        <v>45877</v>
      </c>
      <c r="B315" t="s">
        <v>2576</v>
      </c>
      <c r="C315" s="139">
        <v>590000</v>
      </c>
      <c r="D315" s="14">
        <v>0</v>
      </c>
      <c r="E315" s="14">
        <f t="shared" si="7"/>
        <v>320961716.63999987</v>
      </c>
      <c r="F315" s="116" t="s">
        <v>62</v>
      </c>
      <c r="G315" s="8" t="s">
        <v>30</v>
      </c>
    </row>
    <row r="316" spans="1:8">
      <c r="A316" s="113">
        <v>45877</v>
      </c>
      <c r="B316" t="s">
        <v>2577</v>
      </c>
      <c r="C316" s="139">
        <v>840000</v>
      </c>
      <c r="D316" s="14">
        <v>0</v>
      </c>
      <c r="E316" s="14">
        <f t="shared" si="7"/>
        <v>320121716.63999987</v>
      </c>
      <c r="F316" s="116" t="s">
        <v>62</v>
      </c>
      <c r="G316" s="8" t="s">
        <v>30</v>
      </c>
    </row>
    <row r="317" spans="1:8">
      <c r="A317" s="113">
        <v>45877</v>
      </c>
      <c r="B317" t="s">
        <v>2578</v>
      </c>
      <c r="C317" s="139">
        <v>2124000</v>
      </c>
      <c r="D317" s="14">
        <v>0</v>
      </c>
      <c r="E317" s="14">
        <f t="shared" si="7"/>
        <v>317997716.63999987</v>
      </c>
      <c r="F317" s="116" t="s">
        <v>62</v>
      </c>
      <c r="G317" s="8" t="s">
        <v>30</v>
      </c>
    </row>
    <row r="318" spans="1:8">
      <c r="A318" s="113">
        <v>45877</v>
      </c>
      <c r="B318" t="s">
        <v>2579</v>
      </c>
      <c r="C318" s="139">
        <v>400000</v>
      </c>
      <c r="D318" s="14">
        <v>0</v>
      </c>
      <c r="E318" s="14">
        <f t="shared" si="7"/>
        <v>317597716.63999987</v>
      </c>
      <c r="F318" s="116" t="s">
        <v>4</v>
      </c>
      <c r="G318" s="8" t="s">
        <v>5</v>
      </c>
      <c r="H318" s="40" t="s">
        <v>3334</v>
      </c>
    </row>
    <row r="319" spans="1:8">
      <c r="A319" s="113">
        <v>45877</v>
      </c>
      <c r="B319" t="s">
        <v>2580</v>
      </c>
      <c r="C319" s="139">
        <v>2000000</v>
      </c>
      <c r="D319" s="14">
        <v>0</v>
      </c>
      <c r="E319" s="14">
        <f t="shared" si="7"/>
        <v>315597716.63999987</v>
      </c>
      <c r="F319" s="116" t="s">
        <v>4</v>
      </c>
      <c r="G319" s="8" t="s">
        <v>5</v>
      </c>
      <c r="H319" s="40" t="s">
        <v>1622</v>
      </c>
    </row>
    <row r="320" spans="1:8">
      <c r="A320" s="113">
        <v>45877</v>
      </c>
      <c r="B320" t="s">
        <v>2581</v>
      </c>
      <c r="C320" s="139">
        <v>800000</v>
      </c>
      <c r="D320" s="14">
        <v>0</v>
      </c>
      <c r="E320" s="14">
        <f t="shared" si="7"/>
        <v>314797716.63999987</v>
      </c>
      <c r="F320" s="116" t="s">
        <v>4</v>
      </c>
      <c r="G320" s="8" t="s">
        <v>5</v>
      </c>
      <c r="H320" s="40" t="s">
        <v>3334</v>
      </c>
    </row>
    <row r="321" spans="1:8">
      <c r="A321" s="113">
        <v>45877</v>
      </c>
      <c r="B321" t="s">
        <v>2582</v>
      </c>
      <c r="C321" s="139">
        <v>1850000</v>
      </c>
      <c r="D321" s="14">
        <v>0</v>
      </c>
      <c r="E321" s="14">
        <f t="shared" si="7"/>
        <v>312947716.63999987</v>
      </c>
      <c r="F321" s="116" t="s">
        <v>4</v>
      </c>
      <c r="G321" s="8" t="s">
        <v>5</v>
      </c>
      <c r="H321" t="s">
        <v>1622</v>
      </c>
    </row>
    <row r="322" spans="1:8">
      <c r="A322" s="113">
        <v>45877</v>
      </c>
      <c r="B322" t="s">
        <v>2583</v>
      </c>
      <c r="C322" s="139">
        <v>1500000</v>
      </c>
      <c r="D322" s="14">
        <v>0</v>
      </c>
      <c r="E322" s="14">
        <f t="shared" si="7"/>
        <v>311447716.63999987</v>
      </c>
      <c r="F322" s="116" t="s">
        <v>4</v>
      </c>
      <c r="G322" s="8" t="s">
        <v>5</v>
      </c>
      <c r="H322" s="40" t="s">
        <v>3232</v>
      </c>
    </row>
    <row r="323" spans="1:8">
      <c r="A323" s="113">
        <v>45877</v>
      </c>
      <c r="B323" t="s">
        <v>2584</v>
      </c>
      <c r="C323" s="139">
        <v>400000</v>
      </c>
      <c r="D323" s="14">
        <v>0</v>
      </c>
      <c r="E323" s="14">
        <f t="shared" si="7"/>
        <v>311047716.63999987</v>
      </c>
      <c r="F323" s="116" t="s">
        <v>4</v>
      </c>
      <c r="G323" s="8" t="s">
        <v>5</v>
      </c>
      <c r="H323" s="40" t="s">
        <v>3232</v>
      </c>
    </row>
    <row r="324" spans="1:8">
      <c r="A324" s="113">
        <v>45877</v>
      </c>
      <c r="B324" t="s">
        <v>2585</v>
      </c>
      <c r="C324" s="139">
        <v>3598100</v>
      </c>
      <c r="D324" s="14">
        <v>0</v>
      </c>
      <c r="E324" s="14">
        <f t="shared" si="7"/>
        <v>307449616.63999987</v>
      </c>
      <c r="F324" s="116" t="s">
        <v>4</v>
      </c>
      <c r="G324" s="8" t="s">
        <v>5</v>
      </c>
      <c r="H324" s="40" t="s">
        <v>2316</v>
      </c>
    </row>
    <row r="325" spans="1:8">
      <c r="A325" s="113">
        <v>45877</v>
      </c>
      <c r="B325" t="s">
        <v>2586</v>
      </c>
      <c r="C325" s="139">
        <v>1050000</v>
      </c>
      <c r="D325" s="14">
        <v>0</v>
      </c>
      <c r="E325" s="14">
        <f t="shared" si="7"/>
        <v>306399616.63999987</v>
      </c>
      <c r="F325" s="116" t="s">
        <v>4</v>
      </c>
      <c r="G325" s="8" t="s">
        <v>5</v>
      </c>
      <c r="H325" s="40" t="s">
        <v>3232</v>
      </c>
    </row>
    <row r="326" spans="1:8">
      <c r="A326" s="113">
        <v>45877</v>
      </c>
      <c r="B326" t="s">
        <v>2587</v>
      </c>
      <c r="C326" s="139">
        <v>450000</v>
      </c>
      <c r="D326" s="14">
        <v>0</v>
      </c>
      <c r="E326" s="14">
        <f t="shared" si="7"/>
        <v>305949616.63999987</v>
      </c>
      <c r="F326" s="116" t="s">
        <v>4</v>
      </c>
      <c r="G326" s="8" t="s">
        <v>5</v>
      </c>
      <c r="H326" s="40" t="s">
        <v>3232</v>
      </c>
    </row>
    <row r="327" spans="1:8">
      <c r="A327" s="113">
        <v>45877</v>
      </c>
      <c r="B327" t="s">
        <v>2588</v>
      </c>
      <c r="C327" s="139">
        <v>150000</v>
      </c>
      <c r="D327" s="14">
        <v>0</v>
      </c>
      <c r="E327" s="14">
        <f t="shared" si="7"/>
        <v>305799616.63999987</v>
      </c>
      <c r="F327" s="116" t="s">
        <v>4</v>
      </c>
      <c r="G327" s="8" t="s">
        <v>5</v>
      </c>
      <c r="H327" s="40" t="s">
        <v>3232</v>
      </c>
    </row>
    <row r="328" spans="1:8">
      <c r="A328" s="113">
        <v>45877</v>
      </c>
      <c r="B328" t="s">
        <v>2589</v>
      </c>
      <c r="C328" s="139">
        <v>1900000</v>
      </c>
      <c r="D328" s="14">
        <v>0</v>
      </c>
      <c r="E328" s="14">
        <f t="shared" si="7"/>
        <v>303899616.63999987</v>
      </c>
      <c r="F328" s="116" t="s">
        <v>4</v>
      </c>
      <c r="G328" s="8" t="s">
        <v>5</v>
      </c>
      <c r="H328" s="40" t="s">
        <v>3232</v>
      </c>
    </row>
    <row r="329" spans="1:8">
      <c r="A329" s="113">
        <v>45877</v>
      </c>
      <c r="B329" t="s">
        <v>2590</v>
      </c>
      <c r="C329" s="139">
        <v>500000</v>
      </c>
      <c r="D329" s="14">
        <v>0</v>
      </c>
      <c r="E329" s="14">
        <f t="shared" si="7"/>
        <v>303399616.63999987</v>
      </c>
      <c r="F329" s="116" t="s">
        <v>4</v>
      </c>
      <c r="G329" s="8" t="s">
        <v>5</v>
      </c>
      <c r="H329" s="40" t="s">
        <v>3232</v>
      </c>
    </row>
    <row r="330" spans="1:8">
      <c r="A330" s="113">
        <v>45877</v>
      </c>
      <c r="B330" t="s">
        <v>2591</v>
      </c>
      <c r="C330" s="139">
        <v>2500000</v>
      </c>
      <c r="D330" s="14">
        <v>0</v>
      </c>
      <c r="E330" s="14">
        <f t="shared" si="7"/>
        <v>300899616.63999987</v>
      </c>
      <c r="F330" t="s">
        <v>10</v>
      </c>
      <c r="G330" s="8" t="s">
        <v>76</v>
      </c>
      <c r="H330" s="146" t="s">
        <v>95</v>
      </c>
    </row>
    <row r="331" spans="1:8">
      <c r="A331" s="113">
        <v>45879</v>
      </c>
      <c r="B331" t="s">
        <v>2592</v>
      </c>
      <c r="C331" s="139">
        <v>400000</v>
      </c>
      <c r="D331" s="14">
        <v>0</v>
      </c>
      <c r="E331" s="14">
        <f t="shared" si="7"/>
        <v>300499616.63999987</v>
      </c>
      <c r="F331" s="116" t="s">
        <v>4</v>
      </c>
      <c r="G331" s="8" t="s">
        <v>5</v>
      </c>
      <c r="H331" s="40" t="s">
        <v>3334</v>
      </c>
    </row>
    <row r="332" spans="1:8">
      <c r="A332" s="113">
        <v>45882</v>
      </c>
      <c r="B332" t="s">
        <v>2593</v>
      </c>
      <c r="C332" s="139">
        <v>400000</v>
      </c>
      <c r="D332" s="14">
        <v>0</v>
      </c>
      <c r="E332" s="14">
        <f t="shared" si="7"/>
        <v>300099616.63999987</v>
      </c>
      <c r="F332" s="116" t="s">
        <v>21</v>
      </c>
      <c r="G332" s="8" t="s">
        <v>419</v>
      </c>
    </row>
    <row r="333" spans="1:8">
      <c r="A333" s="113">
        <v>45882</v>
      </c>
      <c r="B333" t="s">
        <v>2594</v>
      </c>
      <c r="C333" s="139">
        <v>200000</v>
      </c>
      <c r="D333" s="14">
        <v>0</v>
      </c>
      <c r="E333" s="14">
        <f t="shared" si="7"/>
        <v>299899616.63999987</v>
      </c>
      <c r="F333" s="116" t="s">
        <v>4</v>
      </c>
      <c r="G333" s="8" t="s">
        <v>5</v>
      </c>
      <c r="H333" s="40" t="s">
        <v>1622</v>
      </c>
    </row>
    <row r="334" spans="1:8">
      <c r="A334" s="113">
        <v>45882</v>
      </c>
      <c r="B334" t="s">
        <v>2595</v>
      </c>
      <c r="C334" s="139">
        <v>1500000</v>
      </c>
      <c r="D334" s="14">
        <v>0</v>
      </c>
      <c r="E334" s="14">
        <f t="shared" si="7"/>
        <v>298399616.63999987</v>
      </c>
      <c r="F334" s="116" t="s">
        <v>4</v>
      </c>
      <c r="G334" s="8" t="s">
        <v>5</v>
      </c>
      <c r="H334" s="40" t="s">
        <v>3232</v>
      </c>
    </row>
    <row r="335" spans="1:8">
      <c r="A335" s="113">
        <v>45882</v>
      </c>
      <c r="B335" t="s">
        <v>2596</v>
      </c>
      <c r="C335" s="139">
        <v>400000</v>
      </c>
      <c r="D335" s="14">
        <v>0</v>
      </c>
      <c r="E335" s="14">
        <f t="shared" si="7"/>
        <v>297999616.63999987</v>
      </c>
      <c r="F335" s="116" t="s">
        <v>4</v>
      </c>
      <c r="G335" s="8" t="s">
        <v>5</v>
      </c>
      <c r="H335" s="40" t="s">
        <v>3232</v>
      </c>
    </row>
    <row r="336" spans="1:8">
      <c r="A336" s="113">
        <v>45882</v>
      </c>
      <c r="B336" t="s">
        <v>2597</v>
      </c>
      <c r="C336" s="139">
        <v>850000</v>
      </c>
      <c r="D336" s="14">
        <v>0</v>
      </c>
      <c r="E336" s="14">
        <f t="shared" si="7"/>
        <v>297149616.63999987</v>
      </c>
      <c r="F336" s="116" t="s">
        <v>4</v>
      </c>
      <c r="G336" s="8" t="s">
        <v>5</v>
      </c>
      <c r="H336" s="40" t="s">
        <v>3334</v>
      </c>
    </row>
    <row r="337" spans="1:9">
      <c r="A337" s="113">
        <v>45882</v>
      </c>
      <c r="B337" t="s">
        <v>2598</v>
      </c>
      <c r="C337" s="139">
        <v>800000</v>
      </c>
      <c r="D337" s="14">
        <v>0</v>
      </c>
      <c r="E337" s="14">
        <f t="shared" si="7"/>
        <v>296349616.63999987</v>
      </c>
      <c r="F337" s="116" t="s">
        <v>4</v>
      </c>
      <c r="G337" s="8" t="s">
        <v>5</v>
      </c>
      <c r="H337" s="40" t="s">
        <v>3334</v>
      </c>
    </row>
    <row r="338" spans="1:9">
      <c r="A338" s="113">
        <v>45882</v>
      </c>
      <c r="B338" t="s">
        <v>2599</v>
      </c>
      <c r="C338" s="139">
        <v>300000</v>
      </c>
      <c r="D338" s="14">
        <v>0</v>
      </c>
      <c r="E338" s="14">
        <f t="shared" si="7"/>
        <v>296049616.63999987</v>
      </c>
      <c r="F338" s="116" t="s">
        <v>4</v>
      </c>
      <c r="G338" s="8" t="s">
        <v>5</v>
      </c>
      <c r="H338" s="40" t="s">
        <v>3334</v>
      </c>
    </row>
    <row r="339" spans="1:9">
      <c r="A339" s="113">
        <v>45882</v>
      </c>
      <c r="B339" t="s">
        <v>2600</v>
      </c>
      <c r="C339" s="139">
        <v>400000</v>
      </c>
      <c r="D339" s="14">
        <v>0</v>
      </c>
      <c r="E339" s="14">
        <f t="shared" si="7"/>
        <v>295649616.63999987</v>
      </c>
      <c r="F339" s="116" t="s">
        <v>4</v>
      </c>
      <c r="G339" s="8" t="s">
        <v>5</v>
      </c>
      <c r="H339" s="40" t="s">
        <v>3457</v>
      </c>
    </row>
    <row r="340" spans="1:9">
      <c r="A340" s="113">
        <v>45882</v>
      </c>
      <c r="B340" t="s">
        <v>2601</v>
      </c>
      <c r="C340" s="139">
        <v>400000</v>
      </c>
      <c r="D340" s="14">
        <v>0</v>
      </c>
      <c r="E340" s="14">
        <f t="shared" si="7"/>
        <v>295249616.63999987</v>
      </c>
      <c r="F340" s="116" t="s">
        <v>4</v>
      </c>
      <c r="G340" s="8" t="s">
        <v>5</v>
      </c>
      <c r="H340" s="40" t="s">
        <v>3457</v>
      </c>
    </row>
    <row r="341" spans="1:9">
      <c r="A341" s="113">
        <v>45882</v>
      </c>
      <c r="B341" t="s">
        <v>2602</v>
      </c>
      <c r="C341" s="139">
        <v>850000</v>
      </c>
      <c r="D341" s="14">
        <v>0</v>
      </c>
      <c r="E341" s="14">
        <f t="shared" si="7"/>
        <v>294399616.63999987</v>
      </c>
      <c r="F341" s="116" t="s">
        <v>4</v>
      </c>
      <c r="G341" s="8" t="s">
        <v>5</v>
      </c>
      <c r="H341" s="40" t="s">
        <v>3334</v>
      </c>
    </row>
    <row r="342" spans="1:9">
      <c r="A342" s="113">
        <v>45882</v>
      </c>
      <c r="B342" t="s">
        <v>2603</v>
      </c>
      <c r="C342" s="139">
        <v>1500000</v>
      </c>
      <c r="D342" s="14">
        <v>0</v>
      </c>
      <c r="E342" s="14">
        <f t="shared" si="7"/>
        <v>292899616.63999987</v>
      </c>
      <c r="F342" s="116" t="s">
        <v>4</v>
      </c>
      <c r="G342" s="8" t="s">
        <v>5</v>
      </c>
      <c r="H342" s="40" t="s">
        <v>3232</v>
      </c>
    </row>
    <row r="343" spans="1:9">
      <c r="A343" s="113">
        <v>45882</v>
      </c>
      <c r="B343" t="s">
        <v>2604</v>
      </c>
      <c r="C343" s="139">
        <v>2350000</v>
      </c>
      <c r="D343" s="14">
        <v>0</v>
      </c>
      <c r="E343" s="14">
        <f t="shared" si="7"/>
        <v>290549616.63999987</v>
      </c>
      <c r="F343" s="116" t="s">
        <v>4</v>
      </c>
      <c r="G343" s="8" t="s">
        <v>5</v>
      </c>
      <c r="H343" s="40" t="s">
        <v>1622</v>
      </c>
    </row>
    <row r="344" spans="1:9">
      <c r="A344" s="113">
        <v>45882</v>
      </c>
      <c r="B344" t="s">
        <v>2605</v>
      </c>
      <c r="C344" s="139">
        <v>4153800</v>
      </c>
      <c r="D344" s="14">
        <v>0</v>
      </c>
      <c r="E344" s="14">
        <f t="shared" si="7"/>
        <v>286395816.63999987</v>
      </c>
      <c r="F344" s="116" t="s">
        <v>62</v>
      </c>
      <c r="G344" s="8" t="s">
        <v>70</v>
      </c>
    </row>
    <row r="345" spans="1:9">
      <c r="A345" s="113">
        <v>45883</v>
      </c>
      <c r="B345" t="s">
        <v>2606</v>
      </c>
      <c r="C345" s="139">
        <v>0</v>
      </c>
      <c r="D345" s="14">
        <v>24883000</v>
      </c>
      <c r="E345" s="14">
        <f t="shared" si="7"/>
        <v>311278816.63999987</v>
      </c>
      <c r="F345" t="s">
        <v>10</v>
      </c>
      <c r="G345" s="8" t="s">
        <v>18</v>
      </c>
      <c r="H345" t="s">
        <v>313</v>
      </c>
      <c r="I345" s="37" t="s">
        <v>5807</v>
      </c>
    </row>
    <row r="346" spans="1:9">
      <c r="A346" s="113">
        <v>45884</v>
      </c>
      <c r="B346" t="s">
        <v>327</v>
      </c>
      <c r="C346" s="139">
        <v>20000</v>
      </c>
      <c r="D346" s="14">
        <v>0</v>
      </c>
      <c r="E346" s="14">
        <f t="shared" si="7"/>
        <v>311258816.63999987</v>
      </c>
      <c r="F346" s="116" t="s">
        <v>19</v>
      </c>
      <c r="G346" s="8" t="s">
        <v>189</v>
      </c>
    </row>
    <row r="347" spans="1:9">
      <c r="A347" s="113">
        <v>45890</v>
      </c>
      <c r="B347" t="s">
        <v>2607</v>
      </c>
      <c r="C347" s="139">
        <v>1550000</v>
      </c>
      <c r="D347" s="14">
        <v>0</v>
      </c>
      <c r="E347" s="14">
        <f t="shared" si="7"/>
        <v>309708816.63999987</v>
      </c>
      <c r="F347" s="116" t="s">
        <v>4</v>
      </c>
      <c r="G347" s="8" t="s">
        <v>5</v>
      </c>
      <c r="H347" s="40" t="s">
        <v>3232</v>
      </c>
    </row>
    <row r="348" spans="1:9">
      <c r="A348" s="113">
        <v>45890</v>
      </c>
      <c r="B348" t="s">
        <v>2608</v>
      </c>
      <c r="C348" s="139">
        <v>800000</v>
      </c>
      <c r="D348" s="14">
        <v>0</v>
      </c>
      <c r="E348" s="14">
        <f t="shared" si="7"/>
        <v>308908816.63999987</v>
      </c>
      <c r="F348" s="116" t="s">
        <v>4</v>
      </c>
      <c r="G348" s="8" t="s">
        <v>5</v>
      </c>
      <c r="H348" s="40" t="s">
        <v>3232</v>
      </c>
    </row>
    <row r="349" spans="1:9">
      <c r="A349" s="113">
        <v>45890</v>
      </c>
      <c r="B349" t="s">
        <v>2603</v>
      </c>
      <c r="C349" s="139">
        <v>1550000</v>
      </c>
      <c r="D349" s="14">
        <v>0</v>
      </c>
      <c r="E349" s="14">
        <f t="shared" si="7"/>
        <v>307358816.63999987</v>
      </c>
      <c r="F349" s="116" t="s">
        <v>4</v>
      </c>
      <c r="G349" s="8" t="s">
        <v>5</v>
      </c>
      <c r="H349" s="40" t="s">
        <v>3232</v>
      </c>
    </row>
    <row r="350" spans="1:9">
      <c r="A350" s="113">
        <v>45890</v>
      </c>
      <c r="B350" t="s">
        <v>2609</v>
      </c>
      <c r="C350" s="139">
        <v>1850000</v>
      </c>
      <c r="D350" s="14">
        <v>0</v>
      </c>
      <c r="E350" s="14">
        <f t="shared" si="7"/>
        <v>305508816.63999987</v>
      </c>
      <c r="F350" s="116" t="s">
        <v>4</v>
      </c>
      <c r="G350" s="8" t="s">
        <v>5</v>
      </c>
      <c r="H350" s="40" t="s">
        <v>3457</v>
      </c>
    </row>
    <row r="351" spans="1:9">
      <c r="A351" s="113">
        <v>45890</v>
      </c>
      <c r="B351" t="s">
        <v>2583</v>
      </c>
      <c r="C351" s="139">
        <v>1550000</v>
      </c>
      <c r="D351" s="14">
        <v>0</v>
      </c>
      <c r="E351" s="14">
        <f t="shared" si="7"/>
        <v>303958816.63999987</v>
      </c>
      <c r="F351" s="116" t="s">
        <v>4</v>
      </c>
      <c r="G351" s="8" t="s">
        <v>5</v>
      </c>
      <c r="H351" s="40" t="s">
        <v>3232</v>
      </c>
    </row>
    <row r="352" spans="1:9">
      <c r="A352" s="113">
        <v>45890</v>
      </c>
      <c r="B352" t="s">
        <v>2587</v>
      </c>
      <c r="C352" s="139">
        <v>450000</v>
      </c>
      <c r="D352" s="14">
        <v>0</v>
      </c>
      <c r="E352" s="14">
        <f t="shared" si="7"/>
        <v>303508816.63999987</v>
      </c>
      <c r="F352" s="116" t="s">
        <v>4</v>
      </c>
      <c r="G352" s="8" t="s">
        <v>5</v>
      </c>
      <c r="H352" s="40" t="s">
        <v>3232</v>
      </c>
    </row>
    <row r="353" spans="1:8">
      <c r="A353" s="113">
        <v>45890</v>
      </c>
      <c r="B353" t="s">
        <v>2589</v>
      </c>
      <c r="C353" s="139">
        <v>1850000</v>
      </c>
      <c r="D353" s="14">
        <v>0</v>
      </c>
      <c r="E353" s="14">
        <f t="shared" si="7"/>
        <v>301658816.63999987</v>
      </c>
      <c r="F353" s="116" t="s">
        <v>4</v>
      </c>
      <c r="G353" s="8" t="s">
        <v>5</v>
      </c>
      <c r="H353" s="40" t="s">
        <v>3232</v>
      </c>
    </row>
    <row r="354" spans="1:8">
      <c r="A354" s="113">
        <v>45896</v>
      </c>
      <c r="B354" t="s">
        <v>2610</v>
      </c>
      <c r="C354" s="139">
        <v>1000000</v>
      </c>
      <c r="D354" s="14">
        <v>0</v>
      </c>
      <c r="E354" s="14">
        <f t="shared" si="7"/>
        <v>300658816.63999987</v>
      </c>
      <c r="F354" s="116" t="s">
        <v>4</v>
      </c>
      <c r="G354" s="8" t="s">
        <v>5</v>
      </c>
      <c r="H354" s="40" t="s">
        <v>3440</v>
      </c>
    </row>
    <row r="355" spans="1:8">
      <c r="A355" s="113">
        <v>45896</v>
      </c>
      <c r="B355" t="s">
        <v>2611</v>
      </c>
      <c r="C355" s="139">
        <v>350000</v>
      </c>
      <c r="D355" s="14">
        <v>0</v>
      </c>
      <c r="E355" s="14">
        <f t="shared" si="7"/>
        <v>300308816.63999987</v>
      </c>
      <c r="F355" s="116" t="s">
        <v>4</v>
      </c>
      <c r="G355" s="8" t="s">
        <v>5</v>
      </c>
      <c r="H355" s="40" t="s">
        <v>3440</v>
      </c>
    </row>
    <row r="356" spans="1:8">
      <c r="A356" s="113">
        <v>45896</v>
      </c>
      <c r="B356" t="s">
        <v>2612</v>
      </c>
      <c r="C356" s="139">
        <v>400000</v>
      </c>
      <c r="D356" s="14">
        <v>0</v>
      </c>
      <c r="E356" s="14">
        <f t="shared" si="7"/>
        <v>299908816.63999987</v>
      </c>
      <c r="F356" s="116" t="s">
        <v>21</v>
      </c>
      <c r="G356" s="8" t="s">
        <v>419</v>
      </c>
    </row>
    <row r="357" spans="1:8">
      <c r="A357" s="113">
        <v>45896</v>
      </c>
      <c r="B357" t="s">
        <v>2613</v>
      </c>
      <c r="C357" s="139">
        <v>800000</v>
      </c>
      <c r="D357" s="14">
        <v>0</v>
      </c>
      <c r="E357" s="14">
        <f t="shared" si="7"/>
        <v>299108816.63999987</v>
      </c>
      <c r="F357" s="116" t="s">
        <v>4</v>
      </c>
      <c r="G357" s="8" t="s">
        <v>5</v>
      </c>
      <c r="H357" s="40" t="s">
        <v>3440</v>
      </c>
    </row>
    <row r="358" spans="1:8">
      <c r="A358" s="113">
        <v>45896</v>
      </c>
      <c r="B358" t="s">
        <v>2614</v>
      </c>
      <c r="C358" s="139">
        <v>350000</v>
      </c>
      <c r="D358" s="14">
        <v>0</v>
      </c>
      <c r="E358" s="14">
        <f t="shared" si="7"/>
        <v>298758816.63999987</v>
      </c>
      <c r="F358" s="116" t="s">
        <v>4</v>
      </c>
      <c r="G358" s="8" t="s">
        <v>5</v>
      </c>
      <c r="H358" s="40" t="s">
        <v>3440</v>
      </c>
    </row>
    <row r="359" spans="1:8">
      <c r="A359" s="113">
        <v>45896</v>
      </c>
      <c r="B359" t="s">
        <v>2615</v>
      </c>
      <c r="C359" s="139">
        <v>800000</v>
      </c>
      <c r="D359" s="14">
        <v>0</v>
      </c>
      <c r="E359" s="14">
        <f t="shared" si="7"/>
        <v>297958816.63999987</v>
      </c>
      <c r="F359" s="116" t="s">
        <v>4</v>
      </c>
      <c r="G359" s="8" t="s">
        <v>5</v>
      </c>
      <c r="H359" s="40" t="s">
        <v>3440</v>
      </c>
    </row>
    <row r="360" spans="1:8">
      <c r="A360" s="113">
        <v>45896</v>
      </c>
      <c r="B360" t="s">
        <v>2586</v>
      </c>
      <c r="C360" s="139">
        <v>1000000</v>
      </c>
      <c r="D360" s="14">
        <v>0</v>
      </c>
      <c r="E360" s="14">
        <f t="shared" si="7"/>
        <v>296958816.63999987</v>
      </c>
      <c r="F360" s="116" t="s">
        <v>4</v>
      </c>
      <c r="G360" s="8" t="s">
        <v>5</v>
      </c>
      <c r="H360" s="40" t="s">
        <v>3232</v>
      </c>
    </row>
    <row r="361" spans="1:8">
      <c r="A361" s="113">
        <v>45897</v>
      </c>
      <c r="B361" t="s">
        <v>2616</v>
      </c>
      <c r="C361" s="139">
        <v>55150000</v>
      </c>
      <c r="D361" s="14">
        <v>0</v>
      </c>
      <c r="E361" s="14">
        <f t="shared" si="7"/>
        <v>241808816.63999987</v>
      </c>
      <c r="F361" s="116" t="s">
        <v>62</v>
      </c>
      <c r="G361" s="8" t="s">
        <v>23</v>
      </c>
    </row>
    <row r="362" spans="1:8">
      <c r="A362" s="113">
        <v>45897</v>
      </c>
      <c r="B362" t="s">
        <v>353</v>
      </c>
      <c r="C362" s="139">
        <v>0</v>
      </c>
      <c r="D362" s="14">
        <v>2000000</v>
      </c>
      <c r="E362" s="14">
        <f t="shared" si="7"/>
        <v>243808816.63999987</v>
      </c>
      <c r="F362" t="s">
        <v>10</v>
      </c>
      <c r="G362" s="8" t="s">
        <v>76</v>
      </c>
      <c r="H362" s="146" t="s">
        <v>57</v>
      </c>
    </row>
    <row r="363" spans="1:8">
      <c r="A363" s="113">
        <v>45897</v>
      </c>
      <c r="B363" t="s">
        <v>847</v>
      </c>
      <c r="C363" s="139">
        <v>0</v>
      </c>
      <c r="D363" s="14">
        <v>500000</v>
      </c>
      <c r="E363" s="14">
        <f t="shared" si="7"/>
        <v>244308816.63999987</v>
      </c>
      <c r="F363" t="s">
        <v>10</v>
      </c>
      <c r="G363" s="8" t="s">
        <v>76</v>
      </c>
      <c r="H363" s="146" t="s">
        <v>95</v>
      </c>
    </row>
    <row r="364" spans="1:8">
      <c r="A364" s="113">
        <v>45897</v>
      </c>
      <c r="B364" t="s">
        <v>2617</v>
      </c>
      <c r="C364" s="139">
        <v>400000</v>
      </c>
      <c r="D364" s="14">
        <v>0</v>
      </c>
      <c r="E364" s="14">
        <f t="shared" si="7"/>
        <v>243908816.63999987</v>
      </c>
      <c r="F364" s="116" t="s">
        <v>4</v>
      </c>
      <c r="G364" s="8" t="s">
        <v>5</v>
      </c>
      <c r="H364" s="40" t="s">
        <v>3440</v>
      </c>
    </row>
    <row r="365" spans="1:8">
      <c r="A365" s="113">
        <v>45897</v>
      </c>
      <c r="B365" t="s">
        <v>2618</v>
      </c>
      <c r="C365" s="139">
        <v>5000000</v>
      </c>
      <c r="D365" s="14">
        <v>0</v>
      </c>
      <c r="E365" s="14">
        <f t="shared" si="7"/>
        <v>238908816.63999987</v>
      </c>
      <c r="F365" s="116" t="s">
        <v>62</v>
      </c>
      <c r="G365" s="8" t="s">
        <v>23</v>
      </c>
    </row>
    <row r="366" spans="1:8">
      <c r="A366" s="113">
        <v>45900</v>
      </c>
      <c r="B366" t="s">
        <v>2619</v>
      </c>
      <c r="C366" s="139">
        <v>0</v>
      </c>
      <c r="D366" s="14">
        <v>17000000</v>
      </c>
      <c r="E366" s="14">
        <f t="shared" si="7"/>
        <v>255908816.63999987</v>
      </c>
      <c r="F366" t="s">
        <v>920</v>
      </c>
      <c r="G366" s="8" t="s">
        <v>498</v>
      </c>
      <c r="H366" s="8" t="s">
        <v>3354</v>
      </c>
    </row>
    <row r="367" spans="1:8">
      <c r="A367" s="113">
        <v>45900</v>
      </c>
      <c r="B367" t="s">
        <v>329</v>
      </c>
      <c r="C367" s="139">
        <v>0</v>
      </c>
      <c r="D367" s="14">
        <v>2549.56</v>
      </c>
      <c r="E367" s="14">
        <f t="shared" si="7"/>
        <v>255911366.19999987</v>
      </c>
      <c r="F367" s="116" t="s">
        <v>1209</v>
      </c>
      <c r="G367" s="8" t="s">
        <v>79</v>
      </c>
    </row>
    <row r="368" spans="1:8">
      <c r="A368" s="113">
        <v>45900</v>
      </c>
      <c r="B368" t="s">
        <v>330</v>
      </c>
      <c r="C368" s="139">
        <v>509.91</v>
      </c>
      <c r="D368" s="14">
        <v>0</v>
      </c>
      <c r="E368" s="14">
        <f t="shared" si="7"/>
        <v>255910856.28999987</v>
      </c>
      <c r="F368" s="116" t="s">
        <v>1209</v>
      </c>
      <c r="G368" s="8" t="s">
        <v>79</v>
      </c>
    </row>
    <row r="369" spans="1:8">
      <c r="A369" s="113">
        <v>45901</v>
      </c>
      <c r="B369" s="7" t="s">
        <v>2841</v>
      </c>
      <c r="C369" s="139">
        <v>0</v>
      </c>
      <c r="D369" s="139">
        <v>1600750</v>
      </c>
      <c r="E369" s="14">
        <f t="shared" si="7"/>
        <v>257511606.28999987</v>
      </c>
      <c r="F369" t="s">
        <v>920</v>
      </c>
      <c r="G369" s="8" t="s">
        <v>498</v>
      </c>
      <c r="H369" s="8" t="s">
        <v>3354</v>
      </c>
    </row>
    <row r="370" spans="1:8">
      <c r="A370" s="113">
        <v>45901</v>
      </c>
      <c r="B370" s="7" t="s">
        <v>2841</v>
      </c>
      <c r="C370" s="139">
        <v>0</v>
      </c>
      <c r="D370" s="139">
        <v>1600750</v>
      </c>
      <c r="E370" s="14">
        <f t="shared" si="7"/>
        <v>259112356.28999987</v>
      </c>
      <c r="F370" t="s">
        <v>920</v>
      </c>
      <c r="G370" s="8" t="s">
        <v>498</v>
      </c>
      <c r="H370" s="8" t="s">
        <v>3354</v>
      </c>
    </row>
    <row r="371" spans="1:8">
      <c r="A371" s="113">
        <v>45901</v>
      </c>
      <c r="B371" s="7" t="s">
        <v>2841</v>
      </c>
      <c r="C371" s="139">
        <v>0</v>
      </c>
      <c r="D371" s="139">
        <v>7797250</v>
      </c>
      <c r="E371" s="14">
        <f t="shared" si="7"/>
        <v>266909606.28999987</v>
      </c>
      <c r="F371" t="s">
        <v>920</v>
      </c>
      <c r="G371" s="8" t="s">
        <v>498</v>
      </c>
      <c r="H371" s="8" t="s">
        <v>3354</v>
      </c>
    </row>
    <row r="372" spans="1:8">
      <c r="A372" s="113">
        <v>45901</v>
      </c>
      <c r="B372" s="7" t="s">
        <v>2842</v>
      </c>
      <c r="C372" s="139">
        <v>0</v>
      </c>
      <c r="D372" s="139">
        <v>8327785</v>
      </c>
      <c r="E372" s="14">
        <f t="shared" si="7"/>
        <v>275237391.28999984</v>
      </c>
      <c r="F372" t="s">
        <v>920</v>
      </c>
      <c r="G372" s="8" t="s">
        <v>498</v>
      </c>
      <c r="H372" s="8" t="s">
        <v>3354</v>
      </c>
    </row>
    <row r="373" spans="1:8">
      <c r="A373" s="113">
        <v>45901</v>
      </c>
      <c r="B373" s="7" t="s">
        <v>2843</v>
      </c>
      <c r="C373" s="139">
        <v>0</v>
      </c>
      <c r="D373" s="139">
        <v>6117508</v>
      </c>
      <c r="E373" s="14">
        <f t="shared" si="7"/>
        <v>281354899.28999984</v>
      </c>
      <c r="F373" t="s">
        <v>920</v>
      </c>
      <c r="G373" s="8" t="s">
        <v>498</v>
      </c>
      <c r="H373" s="8" t="s">
        <v>3354</v>
      </c>
    </row>
    <row r="374" spans="1:8">
      <c r="A374" s="113">
        <v>45901</v>
      </c>
      <c r="B374" s="7" t="s">
        <v>2844</v>
      </c>
      <c r="C374" s="139">
        <v>0</v>
      </c>
      <c r="D374" s="139">
        <v>3094723</v>
      </c>
      <c r="E374" s="14">
        <f t="shared" si="7"/>
        <v>284449622.28999984</v>
      </c>
      <c r="F374" t="s">
        <v>920</v>
      </c>
      <c r="G374" s="8" t="s">
        <v>498</v>
      </c>
      <c r="H374" s="8" t="s">
        <v>3354</v>
      </c>
    </row>
    <row r="375" spans="1:8">
      <c r="A375" s="113">
        <v>45901</v>
      </c>
      <c r="B375" s="7" t="s">
        <v>2844</v>
      </c>
      <c r="C375" s="139">
        <v>0</v>
      </c>
      <c r="D375" s="139">
        <v>6063342</v>
      </c>
      <c r="E375" s="14">
        <f t="shared" si="7"/>
        <v>290512964.28999984</v>
      </c>
      <c r="F375" t="s">
        <v>920</v>
      </c>
      <c r="G375" s="8" t="s">
        <v>498</v>
      </c>
      <c r="H375" s="8" t="s">
        <v>3354</v>
      </c>
    </row>
    <row r="376" spans="1:8">
      <c r="A376" s="113">
        <v>45901</v>
      </c>
      <c r="B376" s="7" t="s">
        <v>2845</v>
      </c>
      <c r="C376" s="139">
        <v>0</v>
      </c>
      <c r="D376" s="139">
        <v>2000000</v>
      </c>
      <c r="E376" s="14">
        <f t="shared" si="7"/>
        <v>292512964.28999984</v>
      </c>
      <c r="F376" t="s">
        <v>920</v>
      </c>
      <c r="G376" s="8" t="s">
        <v>498</v>
      </c>
      <c r="H376" s="8" t="s">
        <v>3354</v>
      </c>
    </row>
    <row r="377" spans="1:8">
      <c r="A377" s="113">
        <v>45901</v>
      </c>
      <c r="B377" s="7" t="s">
        <v>2846</v>
      </c>
      <c r="C377" s="139">
        <v>0</v>
      </c>
      <c r="D377" s="139">
        <v>2080000</v>
      </c>
      <c r="E377" s="14">
        <f t="shared" ref="E377:E440" si="8">E376-C377+D377</f>
        <v>294592964.28999984</v>
      </c>
      <c r="F377" s="80" t="s">
        <v>920</v>
      </c>
      <c r="G377" s="8" t="s">
        <v>498</v>
      </c>
      <c r="H377" s="8" t="s">
        <v>3354</v>
      </c>
    </row>
    <row r="378" spans="1:8">
      <c r="A378" s="113">
        <v>45901</v>
      </c>
      <c r="B378" s="7" t="s">
        <v>2847</v>
      </c>
      <c r="C378" s="139">
        <v>0</v>
      </c>
      <c r="D378" s="139">
        <v>33000000</v>
      </c>
      <c r="E378" s="14">
        <f t="shared" si="8"/>
        <v>327592964.28999984</v>
      </c>
      <c r="F378" s="80" t="s">
        <v>920</v>
      </c>
      <c r="G378" s="8" t="s">
        <v>498</v>
      </c>
      <c r="H378" s="8" t="s">
        <v>3354</v>
      </c>
    </row>
    <row r="379" spans="1:8">
      <c r="A379" s="113">
        <v>45901</v>
      </c>
      <c r="B379" s="7" t="s">
        <v>2848</v>
      </c>
      <c r="C379" s="139">
        <v>0</v>
      </c>
      <c r="D379" s="139">
        <v>34500000</v>
      </c>
      <c r="E379" s="14">
        <f t="shared" si="8"/>
        <v>362092964.28999984</v>
      </c>
      <c r="F379" s="80" t="s">
        <v>920</v>
      </c>
      <c r="G379" s="8" t="s">
        <v>498</v>
      </c>
      <c r="H379" s="8" t="s">
        <v>3354</v>
      </c>
    </row>
    <row r="380" spans="1:8">
      <c r="A380" s="113">
        <v>45901</v>
      </c>
      <c r="B380" s="7" t="s">
        <v>2849</v>
      </c>
      <c r="C380" s="144">
        <v>0</v>
      </c>
      <c r="D380" s="144">
        <v>1815486</v>
      </c>
      <c r="E380" s="54">
        <f t="shared" si="8"/>
        <v>363908450.28999984</v>
      </c>
      <c r="F380" s="80" t="s">
        <v>920</v>
      </c>
      <c r="G380" s="8" t="s">
        <v>498</v>
      </c>
      <c r="H380" s="8" t="s">
        <v>3354</v>
      </c>
    </row>
    <row r="381" spans="1:8">
      <c r="A381" s="113">
        <v>45901</v>
      </c>
      <c r="B381" s="7" t="s">
        <v>2850</v>
      </c>
      <c r="C381" s="144">
        <v>0</v>
      </c>
      <c r="D381" s="144">
        <v>91735000</v>
      </c>
      <c r="E381" s="54">
        <f t="shared" si="8"/>
        <v>455643450.28999984</v>
      </c>
      <c r="F381" s="80" t="s">
        <v>920</v>
      </c>
      <c r="G381" s="8" t="s">
        <v>498</v>
      </c>
      <c r="H381" s="8" t="s">
        <v>3354</v>
      </c>
    </row>
    <row r="382" spans="1:8">
      <c r="A382" s="113">
        <v>45902</v>
      </c>
      <c r="B382" s="7" t="s">
        <v>844</v>
      </c>
      <c r="C382" s="139">
        <v>0</v>
      </c>
      <c r="D382" s="14">
        <v>2000000</v>
      </c>
      <c r="E382" s="14">
        <f t="shared" si="8"/>
        <v>457643450.28999984</v>
      </c>
      <c r="F382" t="s">
        <v>10</v>
      </c>
      <c r="G382" s="8" t="s">
        <v>76</v>
      </c>
      <c r="H382" s="146" t="s">
        <v>12</v>
      </c>
    </row>
    <row r="383" spans="1:8">
      <c r="A383" s="113">
        <v>45903</v>
      </c>
      <c r="B383" s="7" t="s">
        <v>2851</v>
      </c>
      <c r="C383" s="139">
        <v>800000</v>
      </c>
      <c r="D383" s="14">
        <v>0</v>
      </c>
      <c r="E383" s="14">
        <f t="shared" si="8"/>
        <v>456843450.28999984</v>
      </c>
      <c r="F383" s="116" t="s">
        <v>4</v>
      </c>
      <c r="G383" s="8" t="s">
        <v>5</v>
      </c>
      <c r="H383" s="40" t="s">
        <v>3440</v>
      </c>
    </row>
    <row r="384" spans="1:8">
      <c r="A384" s="113">
        <v>45903</v>
      </c>
      <c r="B384" t="s">
        <v>2852</v>
      </c>
      <c r="C384" s="139">
        <v>800000</v>
      </c>
      <c r="D384" s="14">
        <v>0</v>
      </c>
      <c r="E384" s="14">
        <f t="shared" si="8"/>
        <v>456043450.28999984</v>
      </c>
      <c r="F384" s="116" t="s">
        <v>4</v>
      </c>
      <c r="G384" s="8" t="s">
        <v>5</v>
      </c>
      <c r="H384" s="40" t="s">
        <v>3440</v>
      </c>
    </row>
    <row r="385" spans="1:9">
      <c r="A385" s="113">
        <v>45903</v>
      </c>
      <c r="B385" t="s">
        <v>2853</v>
      </c>
      <c r="C385" s="139">
        <v>800000</v>
      </c>
      <c r="D385" s="14">
        <v>0</v>
      </c>
      <c r="E385" s="14">
        <f t="shared" si="8"/>
        <v>455243450.28999984</v>
      </c>
      <c r="F385" s="116" t="s">
        <v>4</v>
      </c>
      <c r="G385" s="8" t="s">
        <v>5</v>
      </c>
      <c r="H385" s="40" t="s">
        <v>3440</v>
      </c>
    </row>
    <row r="386" spans="1:9">
      <c r="A386" s="113">
        <v>45903</v>
      </c>
      <c r="B386" t="s">
        <v>2854</v>
      </c>
      <c r="C386" s="139">
        <v>800000</v>
      </c>
      <c r="D386" s="14">
        <v>0</v>
      </c>
      <c r="E386" s="14">
        <f t="shared" si="8"/>
        <v>454443450.28999984</v>
      </c>
      <c r="F386" s="116" t="s">
        <v>4</v>
      </c>
      <c r="G386" s="8" t="s">
        <v>5</v>
      </c>
      <c r="H386" s="40" t="s">
        <v>3440</v>
      </c>
    </row>
    <row r="387" spans="1:9">
      <c r="A387" s="113">
        <v>45903</v>
      </c>
      <c r="B387" t="s">
        <v>2855</v>
      </c>
      <c r="C387" s="139">
        <v>1500000</v>
      </c>
      <c r="D387" s="14">
        <v>0</v>
      </c>
      <c r="E387" s="14">
        <f t="shared" si="8"/>
        <v>452943450.28999984</v>
      </c>
      <c r="F387" s="116" t="s">
        <v>4</v>
      </c>
      <c r="G387" s="8" t="s">
        <v>5</v>
      </c>
      <c r="H387" s="40" t="s">
        <v>3232</v>
      </c>
    </row>
    <row r="388" spans="1:9">
      <c r="A388" s="113">
        <v>45903</v>
      </c>
      <c r="B388" t="s">
        <v>2856</v>
      </c>
      <c r="C388" s="139">
        <v>1500000</v>
      </c>
      <c r="D388" s="14">
        <v>0</v>
      </c>
      <c r="E388" s="14">
        <f t="shared" si="8"/>
        <v>451443450.28999984</v>
      </c>
      <c r="F388" s="116" t="s">
        <v>4</v>
      </c>
      <c r="G388" s="8" t="s">
        <v>5</v>
      </c>
      <c r="H388" s="40" t="s">
        <v>3232</v>
      </c>
    </row>
    <row r="389" spans="1:9">
      <c r="A389" s="113">
        <v>45903</v>
      </c>
      <c r="B389" t="s">
        <v>2857</v>
      </c>
      <c r="C389" s="139">
        <v>1650000</v>
      </c>
      <c r="D389" s="14">
        <v>0</v>
      </c>
      <c r="E389" s="14">
        <f t="shared" si="8"/>
        <v>449793450.28999984</v>
      </c>
      <c r="F389" s="116" t="s">
        <v>4</v>
      </c>
      <c r="G389" s="8" t="s">
        <v>5</v>
      </c>
      <c r="H389" s="40" t="s">
        <v>3457</v>
      </c>
    </row>
    <row r="390" spans="1:9">
      <c r="A390" s="113">
        <v>45903</v>
      </c>
      <c r="B390" t="s">
        <v>2858</v>
      </c>
      <c r="C390" s="139">
        <v>800000</v>
      </c>
      <c r="D390" s="14">
        <v>0</v>
      </c>
      <c r="E390" s="14">
        <f t="shared" si="8"/>
        <v>448993450.28999984</v>
      </c>
      <c r="F390" s="116" t="s">
        <v>4</v>
      </c>
      <c r="G390" s="8" t="s">
        <v>5</v>
      </c>
      <c r="H390" s="40" t="s">
        <v>3440</v>
      </c>
    </row>
    <row r="391" spans="1:9">
      <c r="A391" s="113">
        <v>45903</v>
      </c>
      <c r="B391" t="s">
        <v>2859</v>
      </c>
      <c r="C391" s="139">
        <v>1050000</v>
      </c>
      <c r="D391" s="14">
        <v>0</v>
      </c>
      <c r="E391" s="14">
        <f t="shared" si="8"/>
        <v>447943450.28999984</v>
      </c>
      <c r="F391" s="116" t="s">
        <v>4</v>
      </c>
      <c r="G391" s="8" t="s">
        <v>5</v>
      </c>
      <c r="H391" s="40" t="s">
        <v>3232</v>
      </c>
    </row>
    <row r="392" spans="1:9">
      <c r="A392" s="113">
        <v>45903</v>
      </c>
      <c r="B392" t="s">
        <v>2860</v>
      </c>
      <c r="C392" s="139">
        <v>1000000</v>
      </c>
      <c r="D392" s="14">
        <v>0</v>
      </c>
      <c r="E392" s="14">
        <f t="shared" si="8"/>
        <v>446943450.28999984</v>
      </c>
      <c r="F392" s="116" t="s">
        <v>4</v>
      </c>
      <c r="G392" s="8" t="s">
        <v>5</v>
      </c>
      <c r="H392" s="40" t="s">
        <v>3232</v>
      </c>
    </row>
    <row r="393" spans="1:9">
      <c r="A393" s="113">
        <v>45903</v>
      </c>
      <c r="B393" s="7" t="s">
        <v>2861</v>
      </c>
      <c r="C393" s="139">
        <v>1850000</v>
      </c>
      <c r="D393" s="14">
        <v>0</v>
      </c>
      <c r="E393" s="14">
        <f t="shared" si="8"/>
        <v>445093450.28999984</v>
      </c>
      <c r="F393" s="116" t="s">
        <v>4</v>
      </c>
      <c r="G393" s="8" t="s">
        <v>5</v>
      </c>
      <c r="H393" s="40" t="s">
        <v>3457</v>
      </c>
    </row>
    <row r="394" spans="1:9" s="8" customFormat="1">
      <c r="A394" s="13">
        <v>45910</v>
      </c>
      <c r="B394" s="226" t="s">
        <v>2862</v>
      </c>
      <c r="C394" s="14">
        <v>0</v>
      </c>
      <c r="D394" s="14">
        <v>40375000</v>
      </c>
      <c r="E394" s="14">
        <f t="shared" si="8"/>
        <v>485468450.28999984</v>
      </c>
      <c r="F394" t="s">
        <v>10</v>
      </c>
      <c r="G394" s="8" t="s">
        <v>18</v>
      </c>
      <c r="H394" s="8" t="s">
        <v>309</v>
      </c>
      <c r="I394" s="8" t="s">
        <v>4304</v>
      </c>
    </row>
    <row r="395" spans="1:9">
      <c r="A395" s="113">
        <v>45911</v>
      </c>
      <c r="B395" s="7" t="s">
        <v>2863</v>
      </c>
      <c r="C395" s="139">
        <v>900000</v>
      </c>
      <c r="D395" s="14">
        <v>0</v>
      </c>
      <c r="E395" s="14">
        <f t="shared" si="8"/>
        <v>484568450.28999984</v>
      </c>
      <c r="F395" s="116" t="s">
        <v>8</v>
      </c>
      <c r="G395" s="8" t="s">
        <v>31</v>
      </c>
    </row>
    <row r="396" spans="1:9">
      <c r="A396" s="113">
        <v>45911</v>
      </c>
      <c r="B396" s="7" t="s">
        <v>3476</v>
      </c>
      <c r="C396" s="139">
        <v>770000</v>
      </c>
      <c r="D396" s="14">
        <v>0</v>
      </c>
      <c r="E396" s="14">
        <f t="shared" si="8"/>
        <v>483798450.28999984</v>
      </c>
      <c r="F396" s="116" t="s">
        <v>62</v>
      </c>
      <c r="G396" s="8" t="s">
        <v>30</v>
      </c>
    </row>
    <row r="397" spans="1:9">
      <c r="A397" s="113">
        <v>45911</v>
      </c>
      <c r="B397" s="7" t="s">
        <v>3477</v>
      </c>
      <c r="C397" s="139">
        <v>730000</v>
      </c>
      <c r="D397" s="14">
        <v>0</v>
      </c>
      <c r="E397" s="14">
        <f t="shared" si="8"/>
        <v>483068450.28999984</v>
      </c>
      <c r="F397" s="116" t="s">
        <v>62</v>
      </c>
      <c r="G397" s="8" t="s">
        <v>30</v>
      </c>
    </row>
    <row r="398" spans="1:9">
      <c r="A398" s="113">
        <v>45911</v>
      </c>
      <c r="B398" s="7" t="s">
        <v>3478</v>
      </c>
      <c r="C398" s="139">
        <v>1198000</v>
      </c>
      <c r="D398" s="14">
        <v>0</v>
      </c>
      <c r="E398" s="14">
        <f t="shared" si="8"/>
        <v>481870450.28999984</v>
      </c>
      <c r="F398" s="116" t="s">
        <v>62</v>
      </c>
      <c r="G398" s="8" t="s">
        <v>30</v>
      </c>
    </row>
    <row r="399" spans="1:9">
      <c r="A399" s="113">
        <v>45911</v>
      </c>
      <c r="B399" s="7" t="s">
        <v>3479</v>
      </c>
      <c r="C399" s="139">
        <v>770000</v>
      </c>
      <c r="D399" s="14">
        <v>0</v>
      </c>
      <c r="E399" s="14">
        <f t="shared" si="8"/>
        <v>481100450.28999984</v>
      </c>
      <c r="F399" s="116" t="s">
        <v>62</v>
      </c>
      <c r="G399" s="8" t="s">
        <v>30</v>
      </c>
    </row>
    <row r="400" spans="1:9">
      <c r="A400" s="113">
        <v>45917</v>
      </c>
      <c r="B400" s="7" t="s">
        <v>3480</v>
      </c>
      <c r="C400" s="139">
        <v>219945</v>
      </c>
      <c r="D400" s="14">
        <v>0</v>
      </c>
      <c r="E400" s="14">
        <f t="shared" si="8"/>
        <v>480880505.28999984</v>
      </c>
      <c r="F400" s="116" t="s">
        <v>62</v>
      </c>
      <c r="G400" s="8" t="s">
        <v>63</v>
      </c>
    </row>
    <row r="401" spans="1:9">
      <c r="A401" s="113">
        <v>45917</v>
      </c>
      <c r="B401" s="7" t="s">
        <v>3481</v>
      </c>
      <c r="C401" s="139">
        <v>11304000</v>
      </c>
      <c r="D401" s="14">
        <v>0</v>
      </c>
      <c r="E401" s="14">
        <f t="shared" si="8"/>
        <v>469576505.28999984</v>
      </c>
      <c r="F401" s="116" t="s">
        <v>4</v>
      </c>
      <c r="G401" s="8" t="s">
        <v>5</v>
      </c>
      <c r="H401" t="s">
        <v>2326</v>
      </c>
    </row>
    <row r="402" spans="1:9">
      <c r="A402" s="113">
        <v>45917</v>
      </c>
      <c r="B402" s="7" t="s">
        <v>3482</v>
      </c>
      <c r="C402" s="144">
        <v>1500000</v>
      </c>
      <c r="D402" s="54">
        <v>0</v>
      </c>
      <c r="E402" s="54">
        <f t="shared" si="8"/>
        <v>468076505.28999984</v>
      </c>
      <c r="F402" t="s">
        <v>10</v>
      </c>
      <c r="G402" s="8" t="s">
        <v>446</v>
      </c>
      <c r="H402" s="40" t="s">
        <v>3470</v>
      </c>
      <c r="I402" t="s">
        <v>26</v>
      </c>
    </row>
    <row r="403" spans="1:9">
      <c r="A403" s="113">
        <v>45919</v>
      </c>
      <c r="B403" s="7" t="s">
        <v>327</v>
      </c>
      <c r="C403" s="139">
        <v>20000</v>
      </c>
      <c r="D403" s="14">
        <v>0</v>
      </c>
      <c r="E403" s="14">
        <f t="shared" si="8"/>
        <v>468056505.28999984</v>
      </c>
      <c r="F403" s="116" t="s">
        <v>19</v>
      </c>
      <c r="G403" s="8" t="s">
        <v>189</v>
      </c>
    </row>
    <row r="404" spans="1:9" s="8" customFormat="1">
      <c r="A404" s="13">
        <v>45922</v>
      </c>
      <c r="B404" s="226" t="s">
        <v>2469</v>
      </c>
      <c r="C404" s="14">
        <v>0</v>
      </c>
      <c r="D404" s="14">
        <v>910000</v>
      </c>
      <c r="E404" s="14">
        <f t="shared" si="8"/>
        <v>468966505.28999984</v>
      </c>
      <c r="F404" s="116" t="s">
        <v>2140</v>
      </c>
      <c r="G404" s="8" t="s">
        <v>2141</v>
      </c>
      <c r="H404" s="8" t="s">
        <v>3263</v>
      </c>
      <c r="I404" s="8" t="s">
        <v>5898</v>
      </c>
    </row>
    <row r="405" spans="1:9">
      <c r="A405" s="113">
        <v>45923</v>
      </c>
      <c r="B405" s="7" t="s">
        <v>3483</v>
      </c>
      <c r="C405" s="144">
        <v>1500000</v>
      </c>
      <c r="D405" s="54">
        <v>0</v>
      </c>
      <c r="E405" s="54">
        <f t="shared" si="8"/>
        <v>467466505.28999984</v>
      </c>
      <c r="F405" t="s">
        <v>10</v>
      </c>
      <c r="G405" s="8" t="s">
        <v>446</v>
      </c>
      <c r="H405" s="40" t="s">
        <v>3470</v>
      </c>
      <c r="I405" t="s">
        <v>26</v>
      </c>
    </row>
    <row r="406" spans="1:9">
      <c r="A406" s="113">
        <v>45929</v>
      </c>
      <c r="B406" s="7" t="s">
        <v>3484</v>
      </c>
      <c r="C406" s="139">
        <v>71000000</v>
      </c>
      <c r="D406" s="14">
        <v>0</v>
      </c>
      <c r="E406" s="14">
        <f t="shared" si="8"/>
        <v>396466505.28999984</v>
      </c>
      <c r="F406" s="116" t="s">
        <v>62</v>
      </c>
      <c r="G406" s="8" t="s">
        <v>23</v>
      </c>
    </row>
    <row r="407" spans="1:9">
      <c r="A407" s="113">
        <v>45930</v>
      </c>
      <c r="B407" s="7" t="s">
        <v>844</v>
      </c>
      <c r="C407" s="139">
        <v>0</v>
      </c>
      <c r="D407" s="14">
        <v>2000000</v>
      </c>
      <c r="E407" s="14">
        <f t="shared" si="8"/>
        <v>398466505.28999984</v>
      </c>
      <c r="F407" t="s">
        <v>10</v>
      </c>
      <c r="G407" s="8" t="s">
        <v>76</v>
      </c>
      <c r="H407" s="146" t="s">
        <v>12</v>
      </c>
    </row>
    <row r="408" spans="1:9">
      <c r="A408" s="113">
        <v>45930</v>
      </c>
      <c r="B408" s="7" t="s">
        <v>1047</v>
      </c>
      <c r="C408" s="139">
        <v>0</v>
      </c>
      <c r="D408" s="14">
        <v>2000000</v>
      </c>
      <c r="E408" s="14">
        <f t="shared" si="8"/>
        <v>400466505.28999984</v>
      </c>
      <c r="F408" t="s">
        <v>10</v>
      </c>
      <c r="G408" s="8" t="s">
        <v>76</v>
      </c>
      <c r="H408" s="146" t="s">
        <v>57</v>
      </c>
    </row>
    <row r="409" spans="1:9">
      <c r="A409" s="113">
        <v>45930</v>
      </c>
      <c r="B409" s="7" t="s">
        <v>847</v>
      </c>
      <c r="C409" s="139">
        <v>0</v>
      </c>
      <c r="D409" s="14">
        <v>500000</v>
      </c>
      <c r="E409" s="14">
        <f t="shared" si="8"/>
        <v>400966505.28999984</v>
      </c>
      <c r="F409" t="s">
        <v>10</v>
      </c>
      <c r="G409" s="8" t="s">
        <v>76</v>
      </c>
      <c r="H409" s="146" t="s">
        <v>95</v>
      </c>
    </row>
    <row r="410" spans="1:9">
      <c r="A410" s="113">
        <v>45930</v>
      </c>
      <c r="B410" s="7" t="s">
        <v>3485</v>
      </c>
      <c r="C410" s="139">
        <v>0</v>
      </c>
      <c r="D410" s="14">
        <v>54.72</v>
      </c>
      <c r="E410" s="14">
        <f t="shared" si="8"/>
        <v>400966560.00999987</v>
      </c>
      <c r="F410" s="116" t="s">
        <v>1209</v>
      </c>
      <c r="G410" s="8" t="s">
        <v>79</v>
      </c>
    </row>
    <row r="411" spans="1:9">
      <c r="A411" s="113">
        <v>45930</v>
      </c>
      <c r="B411" s="7" t="s">
        <v>329</v>
      </c>
      <c r="C411" s="139">
        <v>0</v>
      </c>
      <c r="D411" s="139">
        <v>3784.4</v>
      </c>
      <c r="E411" s="14">
        <f t="shared" si="8"/>
        <v>400970344.40999985</v>
      </c>
      <c r="F411" s="116" t="s">
        <v>1209</v>
      </c>
      <c r="G411" s="8" t="s">
        <v>79</v>
      </c>
    </row>
    <row r="412" spans="1:9">
      <c r="A412" s="113">
        <v>45930</v>
      </c>
      <c r="B412" s="7" t="s">
        <v>330</v>
      </c>
      <c r="C412" s="139">
        <v>767.82</v>
      </c>
      <c r="D412" s="14">
        <v>0</v>
      </c>
      <c r="E412" s="14">
        <f t="shared" si="8"/>
        <v>400969576.58999985</v>
      </c>
      <c r="F412" s="116" t="s">
        <v>1209</v>
      </c>
      <c r="G412" s="8" t="s">
        <v>79</v>
      </c>
    </row>
    <row r="413" spans="1:9">
      <c r="A413" s="113">
        <v>45936</v>
      </c>
      <c r="B413" s="7" t="s">
        <v>3720</v>
      </c>
      <c r="C413" s="139">
        <v>400000</v>
      </c>
      <c r="D413" s="14">
        <v>0</v>
      </c>
      <c r="E413" s="14">
        <f t="shared" si="8"/>
        <v>400569576.58999985</v>
      </c>
      <c r="F413" s="116" t="s">
        <v>4</v>
      </c>
      <c r="G413" s="8" t="s">
        <v>5</v>
      </c>
      <c r="H413" s="40" t="s">
        <v>4098</v>
      </c>
    </row>
    <row r="414" spans="1:9">
      <c r="A414" s="113">
        <v>45936</v>
      </c>
      <c r="B414" s="7" t="s">
        <v>3721</v>
      </c>
      <c r="C414" s="139">
        <v>500000</v>
      </c>
      <c r="D414" s="14">
        <v>0</v>
      </c>
      <c r="E414" s="14">
        <f t="shared" si="8"/>
        <v>400069576.58999985</v>
      </c>
      <c r="F414" s="116" t="s">
        <v>4</v>
      </c>
      <c r="G414" s="8" t="s">
        <v>5</v>
      </c>
      <c r="H414" s="40" t="s">
        <v>4098</v>
      </c>
    </row>
    <row r="415" spans="1:9">
      <c r="A415" s="113">
        <v>45936</v>
      </c>
      <c r="B415" s="7" t="s">
        <v>3722</v>
      </c>
      <c r="C415" s="139">
        <v>400000</v>
      </c>
      <c r="D415" s="14">
        <v>0</v>
      </c>
      <c r="E415" s="14">
        <f t="shared" si="8"/>
        <v>399669576.58999985</v>
      </c>
      <c r="F415" s="116" t="s">
        <v>4</v>
      </c>
      <c r="G415" s="8" t="s">
        <v>5</v>
      </c>
      <c r="H415" s="40" t="s">
        <v>4098</v>
      </c>
    </row>
    <row r="416" spans="1:9">
      <c r="A416" s="113">
        <v>45936</v>
      </c>
      <c r="B416" s="7" t="s">
        <v>3723</v>
      </c>
      <c r="C416" s="139">
        <v>150000000</v>
      </c>
      <c r="D416" s="14">
        <v>0</v>
      </c>
      <c r="E416" s="14">
        <f t="shared" si="8"/>
        <v>249669576.58999985</v>
      </c>
      <c r="F416" s="116" t="s">
        <v>920</v>
      </c>
      <c r="G416" s="8" t="s">
        <v>381</v>
      </c>
    </row>
    <row r="417" spans="1:8">
      <c r="A417" s="113">
        <v>45936</v>
      </c>
      <c r="B417" s="7" t="s">
        <v>3724</v>
      </c>
      <c r="C417" s="139">
        <v>0</v>
      </c>
      <c r="D417" s="14">
        <v>1250000</v>
      </c>
      <c r="E417" s="14">
        <f t="shared" si="8"/>
        <v>250919576.58999985</v>
      </c>
      <c r="F417" s="116" t="s">
        <v>920</v>
      </c>
      <c r="G417" t="s">
        <v>496</v>
      </c>
    </row>
    <row r="418" spans="1:8">
      <c r="A418" s="113">
        <v>45936</v>
      </c>
      <c r="B418" s="7" t="s">
        <v>3725</v>
      </c>
      <c r="C418" s="139">
        <v>250000000</v>
      </c>
      <c r="D418" s="14">
        <v>0</v>
      </c>
      <c r="E418" s="14">
        <f t="shared" si="8"/>
        <v>919576.58999985456</v>
      </c>
      <c r="F418" s="116" t="s">
        <v>920</v>
      </c>
      <c r="G418" s="80" t="s">
        <v>4239</v>
      </c>
    </row>
    <row r="419" spans="1:8">
      <c r="A419" s="113">
        <v>45936</v>
      </c>
      <c r="B419" s="7" t="s">
        <v>3726</v>
      </c>
      <c r="C419" s="139">
        <v>2500</v>
      </c>
      <c r="D419" s="14">
        <v>0</v>
      </c>
      <c r="E419" s="14">
        <f t="shared" si="8"/>
        <v>917076.58999985456</v>
      </c>
      <c r="F419" s="116" t="s">
        <v>19</v>
      </c>
      <c r="G419" s="8" t="s">
        <v>189</v>
      </c>
    </row>
    <row r="420" spans="1:8">
      <c r="A420" s="113">
        <v>45939</v>
      </c>
      <c r="B420" s="7" t="s">
        <v>2475</v>
      </c>
      <c r="C420" s="139">
        <v>0</v>
      </c>
      <c r="D420" s="14">
        <v>6715000</v>
      </c>
      <c r="E420" s="14">
        <f t="shared" si="8"/>
        <v>7632076.5899998546</v>
      </c>
      <c r="F420" s="116" t="s">
        <v>920</v>
      </c>
      <c r="G420" t="s">
        <v>371</v>
      </c>
    </row>
    <row r="421" spans="1:8">
      <c r="A421" s="113">
        <v>45939</v>
      </c>
      <c r="B421" s="7" t="s">
        <v>3727</v>
      </c>
      <c r="C421" s="139">
        <v>400000</v>
      </c>
      <c r="D421" s="14">
        <v>0</v>
      </c>
      <c r="E421" s="14">
        <f t="shared" si="8"/>
        <v>7232076.5899998546</v>
      </c>
      <c r="F421" s="116" t="s">
        <v>4</v>
      </c>
      <c r="G421" s="8" t="s">
        <v>5</v>
      </c>
      <c r="H421" s="40" t="s">
        <v>4098</v>
      </c>
    </row>
    <row r="422" spans="1:8">
      <c r="A422" s="113">
        <v>45939</v>
      </c>
      <c r="B422" s="7" t="s">
        <v>3728</v>
      </c>
      <c r="C422" s="139">
        <v>800000</v>
      </c>
      <c r="D422" s="14">
        <v>0</v>
      </c>
      <c r="E422" s="14">
        <f t="shared" si="8"/>
        <v>6432076.5899998546</v>
      </c>
      <c r="F422" s="116" t="s">
        <v>4</v>
      </c>
      <c r="G422" s="8" t="s">
        <v>5</v>
      </c>
      <c r="H422" s="40" t="s">
        <v>4097</v>
      </c>
    </row>
    <row r="423" spans="1:8">
      <c r="A423" s="113">
        <v>45939</v>
      </c>
      <c r="B423" s="7" t="s">
        <v>3729</v>
      </c>
      <c r="C423" s="139">
        <v>910000</v>
      </c>
      <c r="D423" s="14">
        <v>0</v>
      </c>
      <c r="E423" s="14">
        <f t="shared" si="8"/>
        <v>5522076.5899998546</v>
      </c>
      <c r="F423" s="116" t="s">
        <v>62</v>
      </c>
      <c r="G423" s="8" t="s">
        <v>30</v>
      </c>
    </row>
    <row r="424" spans="1:8">
      <c r="A424" s="113">
        <v>45939</v>
      </c>
      <c r="B424" s="7" t="s">
        <v>3730</v>
      </c>
      <c r="C424" s="139">
        <v>490000</v>
      </c>
      <c r="D424" s="14">
        <v>0</v>
      </c>
      <c r="E424" s="14">
        <f t="shared" si="8"/>
        <v>5032076.5899998546</v>
      </c>
      <c r="F424" s="116" t="s">
        <v>62</v>
      </c>
      <c r="G424" s="8" t="s">
        <v>30</v>
      </c>
    </row>
    <row r="425" spans="1:8">
      <c r="A425" s="113">
        <v>45939</v>
      </c>
      <c r="B425" s="7" t="s">
        <v>3731</v>
      </c>
      <c r="C425" s="139">
        <v>975000</v>
      </c>
      <c r="D425" s="14">
        <v>0</v>
      </c>
      <c r="E425" s="14">
        <f t="shared" si="8"/>
        <v>4057076.5899998546</v>
      </c>
      <c r="F425" s="116" t="s">
        <v>62</v>
      </c>
      <c r="G425" s="8" t="s">
        <v>30</v>
      </c>
    </row>
    <row r="426" spans="1:8">
      <c r="A426" s="113">
        <v>45939</v>
      </c>
      <c r="B426" s="7" t="s">
        <v>3732</v>
      </c>
      <c r="C426" s="139">
        <v>1657000</v>
      </c>
      <c r="D426" s="14">
        <v>0</v>
      </c>
      <c r="E426" s="14">
        <f t="shared" si="8"/>
        <v>2400076.5899998546</v>
      </c>
      <c r="F426" s="116" t="s">
        <v>62</v>
      </c>
      <c r="G426" s="8" t="s">
        <v>30</v>
      </c>
    </row>
    <row r="427" spans="1:8">
      <c r="A427" s="113">
        <v>45939</v>
      </c>
      <c r="B427" s="7" t="s">
        <v>3733</v>
      </c>
      <c r="C427" s="139">
        <v>400000</v>
      </c>
      <c r="D427" s="14">
        <v>0</v>
      </c>
      <c r="E427" s="14">
        <f t="shared" si="8"/>
        <v>2000076.5899998546</v>
      </c>
      <c r="F427" s="116" t="s">
        <v>4</v>
      </c>
      <c r="G427" s="8" t="s">
        <v>5</v>
      </c>
      <c r="H427" s="40" t="s">
        <v>4098</v>
      </c>
    </row>
    <row r="428" spans="1:8">
      <c r="A428" s="113">
        <v>45939</v>
      </c>
      <c r="B428" s="7" t="s">
        <v>3734</v>
      </c>
      <c r="C428" s="139">
        <v>1200000</v>
      </c>
      <c r="D428" s="14">
        <v>0</v>
      </c>
      <c r="E428" s="14">
        <f t="shared" si="8"/>
        <v>800076.58999985456</v>
      </c>
      <c r="F428" s="116" t="s">
        <v>4</v>
      </c>
      <c r="G428" s="8" t="s">
        <v>5</v>
      </c>
      <c r="H428" s="40" t="s">
        <v>4098</v>
      </c>
    </row>
    <row r="429" spans="1:8">
      <c r="A429" s="113">
        <v>45939</v>
      </c>
      <c r="B429" s="7" t="s">
        <v>3735</v>
      </c>
      <c r="C429" s="139">
        <v>400000</v>
      </c>
      <c r="D429" s="14">
        <v>0</v>
      </c>
      <c r="E429" s="14">
        <f t="shared" si="8"/>
        <v>400076.58999985456</v>
      </c>
      <c r="F429" s="116" t="s">
        <v>4</v>
      </c>
      <c r="G429" s="8" t="s">
        <v>5</v>
      </c>
      <c r="H429" s="40" t="s">
        <v>4097</v>
      </c>
    </row>
    <row r="430" spans="1:8">
      <c r="A430" s="113">
        <v>45939</v>
      </c>
      <c r="B430" s="7" t="s">
        <v>3736</v>
      </c>
      <c r="C430" s="139">
        <v>0</v>
      </c>
      <c r="D430" s="14">
        <v>50000</v>
      </c>
      <c r="E430" s="14">
        <f t="shared" si="8"/>
        <v>450076.58999985456</v>
      </c>
      <c r="F430" t="s">
        <v>6</v>
      </c>
      <c r="G430" s="8" t="s">
        <v>24</v>
      </c>
      <c r="H430" t="s">
        <v>25</v>
      </c>
    </row>
    <row r="431" spans="1:8">
      <c r="A431" s="113">
        <v>45939</v>
      </c>
      <c r="B431" s="7" t="s">
        <v>3737</v>
      </c>
      <c r="C431" s="139">
        <v>400000</v>
      </c>
      <c r="D431" s="14">
        <v>0</v>
      </c>
      <c r="E431" s="14">
        <f t="shared" si="8"/>
        <v>50076.589999854565</v>
      </c>
      <c r="F431" s="116" t="s">
        <v>4</v>
      </c>
      <c r="G431" s="8" t="s">
        <v>5</v>
      </c>
      <c r="H431" s="40" t="s">
        <v>4098</v>
      </c>
    </row>
    <row r="432" spans="1:8">
      <c r="A432" s="113">
        <v>45939</v>
      </c>
      <c r="B432" s="7" t="s">
        <v>2475</v>
      </c>
      <c r="C432" s="139">
        <v>0</v>
      </c>
      <c r="D432" s="14">
        <v>2500000</v>
      </c>
      <c r="E432" s="14">
        <f t="shared" si="8"/>
        <v>2550076.5899998546</v>
      </c>
      <c r="F432" s="116" t="s">
        <v>920</v>
      </c>
      <c r="G432" t="s">
        <v>371</v>
      </c>
    </row>
    <row r="433" spans="1:8">
      <c r="A433" s="113">
        <v>45943</v>
      </c>
      <c r="B433" s="7" t="s">
        <v>3738</v>
      </c>
      <c r="C433" s="139">
        <v>800000</v>
      </c>
      <c r="D433" s="14">
        <v>0</v>
      </c>
      <c r="E433" s="14">
        <f t="shared" si="8"/>
        <v>1750076.5899998546</v>
      </c>
      <c r="F433" s="116" t="s">
        <v>4</v>
      </c>
      <c r="G433" s="8" t="s">
        <v>5</v>
      </c>
      <c r="H433" s="40" t="s">
        <v>4098</v>
      </c>
    </row>
    <row r="434" spans="1:8">
      <c r="A434" s="113">
        <v>45943</v>
      </c>
      <c r="B434" s="7" t="s">
        <v>3739</v>
      </c>
      <c r="C434" s="139">
        <v>400000</v>
      </c>
      <c r="D434" s="14">
        <v>0</v>
      </c>
      <c r="E434" s="14">
        <f t="shared" si="8"/>
        <v>1350076.5899998546</v>
      </c>
      <c r="F434" s="116" t="s">
        <v>4</v>
      </c>
      <c r="G434" s="8" t="s">
        <v>5</v>
      </c>
      <c r="H434" s="40" t="s">
        <v>4098</v>
      </c>
    </row>
    <row r="435" spans="1:8">
      <c r="A435" s="113">
        <v>45943</v>
      </c>
      <c r="B435" s="7" t="s">
        <v>3740</v>
      </c>
      <c r="C435" s="139">
        <v>450000</v>
      </c>
      <c r="D435" s="14">
        <v>0</v>
      </c>
      <c r="E435" s="14">
        <f t="shared" si="8"/>
        <v>900076.58999985456</v>
      </c>
      <c r="F435" s="116" t="s">
        <v>4</v>
      </c>
      <c r="G435" s="8" t="s">
        <v>5</v>
      </c>
      <c r="H435" s="40" t="s">
        <v>4098</v>
      </c>
    </row>
    <row r="436" spans="1:8">
      <c r="A436" s="113">
        <v>45943</v>
      </c>
      <c r="B436" s="7" t="s">
        <v>3741</v>
      </c>
      <c r="C436" s="139">
        <v>150000</v>
      </c>
      <c r="D436" s="14">
        <v>0</v>
      </c>
      <c r="E436" s="14">
        <f t="shared" si="8"/>
        <v>750076.58999985456</v>
      </c>
      <c r="F436" s="116" t="s">
        <v>4</v>
      </c>
      <c r="G436" s="8" t="s">
        <v>5</v>
      </c>
      <c r="H436" s="40" t="s">
        <v>4098</v>
      </c>
    </row>
    <row r="437" spans="1:8">
      <c r="A437" s="113">
        <v>45943</v>
      </c>
      <c r="B437" s="7" t="s">
        <v>3742</v>
      </c>
      <c r="C437" s="139">
        <v>300000</v>
      </c>
      <c r="D437" s="14">
        <v>0</v>
      </c>
      <c r="E437" s="14">
        <f t="shared" si="8"/>
        <v>450076.58999985456</v>
      </c>
      <c r="F437" s="116" t="s">
        <v>4</v>
      </c>
      <c r="G437" s="8" t="s">
        <v>5</v>
      </c>
      <c r="H437" s="40" t="s">
        <v>4098</v>
      </c>
    </row>
    <row r="438" spans="1:8">
      <c r="A438" s="113">
        <v>45943</v>
      </c>
      <c r="B438" s="7" t="s">
        <v>3743</v>
      </c>
      <c r="C438" s="139">
        <v>400000</v>
      </c>
      <c r="D438" s="14">
        <v>0</v>
      </c>
      <c r="E438" s="14">
        <f t="shared" si="8"/>
        <v>50076.589999854565</v>
      </c>
      <c r="F438" s="116" t="s">
        <v>4</v>
      </c>
      <c r="G438" s="8" t="s">
        <v>5</v>
      </c>
      <c r="H438" s="40" t="s">
        <v>4098</v>
      </c>
    </row>
    <row r="439" spans="1:8">
      <c r="A439" s="113">
        <v>45946</v>
      </c>
      <c r="B439" s="7" t="s">
        <v>2475</v>
      </c>
      <c r="C439" s="139">
        <v>0</v>
      </c>
      <c r="D439" s="14">
        <v>13550000</v>
      </c>
      <c r="E439" s="14">
        <f t="shared" si="8"/>
        <v>13600076.589999855</v>
      </c>
      <c r="F439" s="116" t="s">
        <v>920</v>
      </c>
      <c r="G439" t="s">
        <v>371</v>
      </c>
    </row>
    <row r="440" spans="1:8">
      <c r="A440" s="113">
        <v>45946</v>
      </c>
      <c r="B440" s="7" t="s">
        <v>3744</v>
      </c>
      <c r="C440" s="139">
        <v>1150000</v>
      </c>
      <c r="D440" s="14">
        <v>0</v>
      </c>
      <c r="E440" s="14">
        <f t="shared" si="8"/>
        <v>12450076.589999855</v>
      </c>
      <c r="F440" s="116" t="s">
        <v>4</v>
      </c>
      <c r="G440" s="8" t="s">
        <v>5</v>
      </c>
      <c r="H440" s="40" t="s">
        <v>4098</v>
      </c>
    </row>
    <row r="441" spans="1:8">
      <c r="A441" s="113">
        <v>45946</v>
      </c>
      <c r="B441" s="7" t="s">
        <v>3745</v>
      </c>
      <c r="C441" s="139">
        <v>500000</v>
      </c>
      <c r="D441" s="14">
        <v>0</v>
      </c>
      <c r="E441" s="14">
        <f t="shared" ref="E441:E504" si="9">E440-C441+D441</f>
        <v>11950076.589999855</v>
      </c>
      <c r="F441" s="116" t="s">
        <v>4</v>
      </c>
      <c r="G441" s="8" t="s">
        <v>5</v>
      </c>
      <c r="H441" s="40" t="s">
        <v>4098</v>
      </c>
    </row>
    <row r="442" spans="1:8">
      <c r="A442" s="113">
        <v>45947</v>
      </c>
      <c r="B442" s="7" t="s">
        <v>3746</v>
      </c>
      <c r="C442" s="139">
        <v>2300000</v>
      </c>
      <c r="D442" s="14">
        <v>0</v>
      </c>
      <c r="E442" s="14">
        <f t="shared" si="9"/>
        <v>9650076.5899998546</v>
      </c>
      <c r="F442" s="116" t="s">
        <v>4</v>
      </c>
      <c r="G442" s="8" t="s">
        <v>5</v>
      </c>
      <c r="H442" s="40" t="s">
        <v>4098</v>
      </c>
    </row>
    <row r="443" spans="1:8">
      <c r="A443" s="113">
        <v>45947</v>
      </c>
      <c r="B443" s="7" t="s">
        <v>3747</v>
      </c>
      <c r="C443" s="139">
        <v>2750000</v>
      </c>
      <c r="D443" s="14">
        <v>0</v>
      </c>
      <c r="E443" s="14">
        <f t="shared" si="9"/>
        <v>6900076.5899998546</v>
      </c>
      <c r="F443" s="116" t="s">
        <v>4</v>
      </c>
      <c r="G443" s="8" t="s">
        <v>5</v>
      </c>
      <c r="H443" s="40" t="s">
        <v>4098</v>
      </c>
    </row>
    <row r="444" spans="1:8">
      <c r="A444" s="113">
        <v>45947</v>
      </c>
      <c r="B444" s="7" t="s">
        <v>3748</v>
      </c>
      <c r="C444" s="139">
        <v>1200000</v>
      </c>
      <c r="D444" s="14">
        <v>0</v>
      </c>
      <c r="E444" s="14">
        <f t="shared" si="9"/>
        <v>5700076.5899998546</v>
      </c>
      <c r="F444" s="116" t="s">
        <v>4</v>
      </c>
      <c r="G444" s="8" t="s">
        <v>5</v>
      </c>
      <c r="H444" s="40" t="s">
        <v>4098</v>
      </c>
    </row>
    <row r="445" spans="1:8">
      <c r="A445" s="113">
        <v>45947</v>
      </c>
      <c r="B445" s="7" t="s">
        <v>3749</v>
      </c>
      <c r="C445" s="139">
        <v>400000</v>
      </c>
      <c r="D445" s="14">
        <v>0</v>
      </c>
      <c r="E445" s="14">
        <f t="shared" si="9"/>
        <v>5300076.5899998546</v>
      </c>
      <c r="F445" s="116" t="s">
        <v>4</v>
      </c>
      <c r="G445" s="8" t="s">
        <v>5</v>
      </c>
      <c r="H445" s="40" t="s">
        <v>4098</v>
      </c>
    </row>
    <row r="446" spans="1:8">
      <c r="A446" s="113">
        <v>45947</v>
      </c>
      <c r="B446" s="7" t="s">
        <v>3750</v>
      </c>
      <c r="C446" s="139">
        <v>1750000</v>
      </c>
      <c r="D446" s="14">
        <v>0</v>
      </c>
      <c r="E446" s="14">
        <f t="shared" si="9"/>
        <v>3550076.5899998546</v>
      </c>
      <c r="F446" s="116" t="s">
        <v>4</v>
      </c>
      <c r="G446" s="8" t="s">
        <v>5</v>
      </c>
      <c r="H446" s="40" t="s">
        <v>4098</v>
      </c>
    </row>
    <row r="447" spans="1:8">
      <c r="A447" s="113">
        <v>45947</v>
      </c>
      <c r="B447" s="7" t="s">
        <v>3751</v>
      </c>
      <c r="C447" s="139">
        <v>800000</v>
      </c>
      <c r="D447" s="14">
        <v>0</v>
      </c>
      <c r="E447" s="14">
        <f t="shared" si="9"/>
        <v>2750076.5899998546</v>
      </c>
      <c r="F447" s="116" t="s">
        <v>4</v>
      </c>
      <c r="G447" s="8" t="s">
        <v>5</v>
      </c>
      <c r="H447" s="40" t="s">
        <v>4098</v>
      </c>
    </row>
    <row r="448" spans="1:8">
      <c r="A448" s="113">
        <v>45947</v>
      </c>
      <c r="B448" s="7" t="s">
        <v>3752</v>
      </c>
      <c r="C448" s="139">
        <v>400000</v>
      </c>
      <c r="D448" s="14">
        <v>0</v>
      </c>
      <c r="E448" s="14">
        <f t="shared" si="9"/>
        <v>2350076.5899998546</v>
      </c>
      <c r="F448" s="116" t="s">
        <v>4</v>
      </c>
      <c r="G448" s="8" t="s">
        <v>5</v>
      </c>
      <c r="H448" s="40" t="s">
        <v>4097</v>
      </c>
    </row>
    <row r="449" spans="1:9">
      <c r="A449" s="113">
        <v>45947</v>
      </c>
      <c r="B449" s="7" t="s">
        <v>3753</v>
      </c>
      <c r="C449" s="139">
        <v>550000</v>
      </c>
      <c r="D449" s="14">
        <v>0</v>
      </c>
      <c r="E449" s="14">
        <f t="shared" si="9"/>
        <v>1800076.5899998546</v>
      </c>
      <c r="F449" s="116" t="s">
        <v>21</v>
      </c>
      <c r="G449" s="8" t="s">
        <v>187</v>
      </c>
    </row>
    <row r="450" spans="1:9">
      <c r="A450" s="113">
        <v>45947</v>
      </c>
      <c r="B450" s="7" t="s">
        <v>3754</v>
      </c>
      <c r="C450" s="139">
        <v>1750000</v>
      </c>
      <c r="D450" s="14">
        <v>0</v>
      </c>
      <c r="E450" s="14">
        <f t="shared" si="9"/>
        <v>50076.589999854565</v>
      </c>
      <c r="F450" s="116" t="s">
        <v>4</v>
      </c>
      <c r="G450" s="8" t="s">
        <v>5</v>
      </c>
      <c r="H450" s="40" t="s">
        <v>4098</v>
      </c>
    </row>
    <row r="451" spans="1:9">
      <c r="A451" s="113">
        <v>45947</v>
      </c>
      <c r="B451" s="7" t="s">
        <v>327</v>
      </c>
      <c r="C451" s="139">
        <v>20000</v>
      </c>
      <c r="D451" s="14">
        <v>0</v>
      </c>
      <c r="E451" s="14">
        <f t="shared" si="9"/>
        <v>30076.589999854565</v>
      </c>
      <c r="F451" s="116" t="s">
        <v>19</v>
      </c>
      <c r="G451" s="8" t="s">
        <v>189</v>
      </c>
    </row>
    <row r="452" spans="1:9" s="8" customFormat="1">
      <c r="A452" s="13">
        <v>45953</v>
      </c>
      <c r="B452" s="226" t="s">
        <v>3755</v>
      </c>
      <c r="C452" s="14">
        <v>0</v>
      </c>
      <c r="D452" s="14">
        <v>100000000</v>
      </c>
      <c r="E452" s="14">
        <f t="shared" si="9"/>
        <v>100030076.58999985</v>
      </c>
      <c r="F452" s="116" t="s">
        <v>2140</v>
      </c>
      <c r="G452" s="8" t="s">
        <v>2141</v>
      </c>
      <c r="H452" s="8" t="s">
        <v>1352</v>
      </c>
      <c r="I452" s="37" t="s">
        <v>7886</v>
      </c>
    </row>
    <row r="453" spans="1:9" s="8" customFormat="1">
      <c r="A453" s="13">
        <v>45953</v>
      </c>
      <c r="B453" s="226" t="s">
        <v>3755</v>
      </c>
      <c r="C453" s="14">
        <v>0</v>
      </c>
      <c r="D453" s="14">
        <v>100000000</v>
      </c>
      <c r="E453" s="14">
        <f t="shared" si="9"/>
        <v>200030076.58999985</v>
      </c>
      <c r="F453" s="116" t="s">
        <v>2140</v>
      </c>
      <c r="G453" s="8" t="s">
        <v>2141</v>
      </c>
      <c r="H453" s="8" t="s">
        <v>1352</v>
      </c>
      <c r="I453" s="37" t="s">
        <v>7886</v>
      </c>
    </row>
    <row r="454" spans="1:9" s="8" customFormat="1">
      <c r="A454" s="13">
        <v>45953</v>
      </c>
      <c r="B454" s="226" t="s">
        <v>3755</v>
      </c>
      <c r="C454" s="14">
        <v>0</v>
      </c>
      <c r="D454" s="14">
        <v>100000000</v>
      </c>
      <c r="E454" s="14">
        <f t="shared" si="9"/>
        <v>300030076.58999985</v>
      </c>
      <c r="F454" s="116" t="s">
        <v>2140</v>
      </c>
      <c r="G454" s="8" t="s">
        <v>2141</v>
      </c>
      <c r="H454" s="8" t="s">
        <v>1352</v>
      </c>
      <c r="I454" s="37" t="s">
        <v>7886</v>
      </c>
    </row>
    <row r="455" spans="1:9" s="8" customFormat="1">
      <c r="A455" s="13">
        <v>45953</v>
      </c>
      <c r="B455" s="226" t="s">
        <v>3755</v>
      </c>
      <c r="C455" s="14">
        <v>0</v>
      </c>
      <c r="D455" s="14">
        <v>100000000</v>
      </c>
      <c r="E455" s="14">
        <f t="shared" si="9"/>
        <v>400030076.58999985</v>
      </c>
      <c r="F455" s="116" t="s">
        <v>2140</v>
      </c>
      <c r="G455" s="8" t="s">
        <v>2141</v>
      </c>
      <c r="H455" s="8" t="s">
        <v>1352</v>
      </c>
      <c r="I455" s="37" t="s">
        <v>7886</v>
      </c>
    </row>
    <row r="456" spans="1:9" s="8" customFormat="1">
      <c r="A456" s="13">
        <v>45953</v>
      </c>
      <c r="B456" s="226" t="s">
        <v>3755</v>
      </c>
      <c r="C456" s="14">
        <v>0</v>
      </c>
      <c r="D456" s="14">
        <v>100000000</v>
      </c>
      <c r="E456" s="14">
        <f t="shared" si="9"/>
        <v>500030076.58999985</v>
      </c>
      <c r="F456" s="116" t="s">
        <v>2140</v>
      </c>
      <c r="G456" s="8" t="s">
        <v>2141</v>
      </c>
      <c r="H456" s="8" t="s">
        <v>1352</v>
      </c>
      <c r="I456" s="37" t="s">
        <v>7886</v>
      </c>
    </row>
    <row r="457" spans="1:9" s="8" customFormat="1">
      <c r="A457" s="13">
        <v>45953</v>
      </c>
      <c r="B457" s="226" t="s">
        <v>3755</v>
      </c>
      <c r="C457" s="14">
        <v>0</v>
      </c>
      <c r="D457" s="14">
        <v>100000000</v>
      </c>
      <c r="E457" s="14">
        <f t="shared" si="9"/>
        <v>600030076.58999991</v>
      </c>
      <c r="F457" s="116" t="s">
        <v>2140</v>
      </c>
      <c r="G457" s="8" t="s">
        <v>2141</v>
      </c>
      <c r="H457" s="8" t="s">
        <v>1352</v>
      </c>
      <c r="I457" s="37" t="s">
        <v>7886</v>
      </c>
    </row>
    <row r="458" spans="1:9" s="8" customFormat="1">
      <c r="A458" s="13">
        <v>45953</v>
      </c>
      <c r="B458" s="226" t="s">
        <v>3755</v>
      </c>
      <c r="C458" s="14">
        <v>0</v>
      </c>
      <c r="D458" s="14">
        <v>100000000</v>
      </c>
      <c r="E458" s="14">
        <f t="shared" si="9"/>
        <v>700030076.58999991</v>
      </c>
      <c r="F458" s="116" t="s">
        <v>2140</v>
      </c>
      <c r="G458" s="8" t="s">
        <v>2141</v>
      </c>
      <c r="H458" s="8" t="s">
        <v>1352</v>
      </c>
      <c r="I458" s="37" t="s">
        <v>7886</v>
      </c>
    </row>
    <row r="459" spans="1:9" s="8" customFormat="1">
      <c r="A459" s="13">
        <v>45953</v>
      </c>
      <c r="B459" s="226" t="s">
        <v>3755</v>
      </c>
      <c r="C459" s="14">
        <v>0</v>
      </c>
      <c r="D459" s="14">
        <v>100000000</v>
      </c>
      <c r="E459" s="14">
        <f t="shared" si="9"/>
        <v>800030076.58999991</v>
      </c>
      <c r="F459" s="116" t="s">
        <v>2140</v>
      </c>
      <c r="G459" s="8" t="s">
        <v>2141</v>
      </c>
      <c r="H459" s="8" t="s">
        <v>1352</v>
      </c>
      <c r="I459" s="37" t="s">
        <v>7886</v>
      </c>
    </row>
    <row r="460" spans="1:9" s="8" customFormat="1">
      <c r="A460" s="13">
        <v>45953</v>
      </c>
      <c r="B460" s="226" t="s">
        <v>3755</v>
      </c>
      <c r="C460" s="14">
        <v>0</v>
      </c>
      <c r="D460" s="14">
        <v>100000000</v>
      </c>
      <c r="E460" s="14">
        <f t="shared" si="9"/>
        <v>900030076.58999991</v>
      </c>
      <c r="F460" s="116" t="s">
        <v>2140</v>
      </c>
      <c r="G460" s="8" t="s">
        <v>2141</v>
      </c>
      <c r="H460" s="8" t="s">
        <v>1352</v>
      </c>
      <c r="I460" s="37" t="s">
        <v>7886</v>
      </c>
    </row>
    <row r="461" spans="1:9" s="8" customFormat="1">
      <c r="A461" s="13">
        <v>45953</v>
      </c>
      <c r="B461" s="226" t="s">
        <v>3755</v>
      </c>
      <c r="C461" s="14">
        <v>0</v>
      </c>
      <c r="D461" s="14">
        <v>100000000</v>
      </c>
      <c r="E461" s="14">
        <f t="shared" si="9"/>
        <v>1000030076.5899999</v>
      </c>
      <c r="F461" s="116" t="s">
        <v>2140</v>
      </c>
      <c r="G461" s="8" t="s">
        <v>2141</v>
      </c>
      <c r="H461" s="8" t="s">
        <v>1352</v>
      </c>
      <c r="I461" s="37" t="s">
        <v>7886</v>
      </c>
    </row>
    <row r="462" spans="1:9">
      <c r="A462" s="113">
        <v>45953</v>
      </c>
      <c r="B462" s="7" t="s">
        <v>3756</v>
      </c>
      <c r="C462" s="139">
        <v>2000000</v>
      </c>
      <c r="D462" s="14">
        <v>0</v>
      </c>
      <c r="E462" s="14">
        <f t="shared" si="9"/>
        <v>998030076.58999991</v>
      </c>
      <c r="F462" s="116" t="s">
        <v>4</v>
      </c>
      <c r="G462" s="8" t="s">
        <v>5</v>
      </c>
      <c r="H462" s="40" t="s">
        <v>4098</v>
      </c>
    </row>
    <row r="463" spans="1:9">
      <c r="A463" s="113">
        <v>45953</v>
      </c>
      <c r="B463" s="7" t="s">
        <v>3757</v>
      </c>
      <c r="C463" s="139">
        <v>400000</v>
      </c>
      <c r="D463" s="14">
        <v>0</v>
      </c>
      <c r="E463" s="14">
        <f t="shared" si="9"/>
        <v>997630076.58999991</v>
      </c>
      <c r="F463" s="116" t="s">
        <v>4</v>
      </c>
      <c r="G463" s="8" t="s">
        <v>5</v>
      </c>
      <c r="H463" s="40" t="s">
        <v>4098</v>
      </c>
    </row>
    <row r="464" spans="1:9">
      <c r="A464" s="113">
        <v>45953</v>
      </c>
      <c r="B464" s="7" t="s">
        <v>3758</v>
      </c>
      <c r="C464" s="139">
        <v>2250000</v>
      </c>
      <c r="D464" s="14">
        <v>0</v>
      </c>
      <c r="E464" s="14">
        <f t="shared" si="9"/>
        <v>995380076.58999991</v>
      </c>
      <c r="F464" s="116" t="s">
        <v>4</v>
      </c>
      <c r="G464" s="8" t="s">
        <v>5</v>
      </c>
      <c r="H464" s="40" t="s">
        <v>4098</v>
      </c>
    </row>
    <row r="465" spans="1:9">
      <c r="A465" s="113">
        <v>45953</v>
      </c>
      <c r="B465" s="7" t="s">
        <v>3759</v>
      </c>
      <c r="C465" s="139">
        <v>800000</v>
      </c>
      <c r="D465" s="14">
        <v>0</v>
      </c>
      <c r="E465" s="14">
        <f t="shared" si="9"/>
        <v>994580076.58999991</v>
      </c>
      <c r="F465" s="116" t="s">
        <v>4</v>
      </c>
      <c r="G465" s="8" t="s">
        <v>5</v>
      </c>
      <c r="H465" s="40" t="s">
        <v>4098</v>
      </c>
    </row>
    <row r="466" spans="1:9">
      <c r="A466" s="113">
        <v>45953</v>
      </c>
      <c r="B466" s="7" t="s">
        <v>3760</v>
      </c>
      <c r="C466" s="139">
        <v>3000000</v>
      </c>
      <c r="D466" s="14">
        <v>0</v>
      </c>
      <c r="E466" s="14">
        <f t="shared" si="9"/>
        <v>991580076.58999991</v>
      </c>
      <c r="F466" s="116" t="s">
        <v>4</v>
      </c>
      <c r="G466" s="8" t="s">
        <v>5</v>
      </c>
      <c r="H466" s="40" t="s">
        <v>4098</v>
      </c>
    </row>
    <row r="467" spans="1:9">
      <c r="A467" s="113">
        <v>45953</v>
      </c>
      <c r="B467" s="7" t="s">
        <v>3761</v>
      </c>
      <c r="C467" s="139">
        <v>3000000</v>
      </c>
      <c r="D467" s="14">
        <v>0</v>
      </c>
      <c r="E467" s="14">
        <f t="shared" si="9"/>
        <v>988580076.58999991</v>
      </c>
      <c r="F467" s="116" t="s">
        <v>4</v>
      </c>
      <c r="G467" s="8" t="s">
        <v>5</v>
      </c>
      <c r="H467" s="40" t="s">
        <v>4098</v>
      </c>
    </row>
    <row r="468" spans="1:9">
      <c r="A468" s="113">
        <v>45953</v>
      </c>
      <c r="B468" s="7" t="s">
        <v>3762</v>
      </c>
      <c r="C468" s="139">
        <v>14341126</v>
      </c>
      <c r="D468" s="14">
        <v>0</v>
      </c>
      <c r="E468" s="14">
        <f t="shared" si="9"/>
        <v>974238950.58999991</v>
      </c>
      <c r="F468" s="116" t="s">
        <v>62</v>
      </c>
      <c r="G468" s="8" t="s">
        <v>70</v>
      </c>
    </row>
    <row r="469" spans="1:9">
      <c r="A469" s="113">
        <v>45953</v>
      </c>
      <c r="B469" s="7" t="s">
        <v>3725</v>
      </c>
      <c r="C469" s="139">
        <v>250000000</v>
      </c>
      <c r="D469" s="14">
        <v>0</v>
      </c>
      <c r="E469" s="14">
        <f t="shared" si="9"/>
        <v>724238950.58999991</v>
      </c>
      <c r="F469" s="116" t="s">
        <v>920</v>
      </c>
      <c r="G469" s="8" t="s">
        <v>4239</v>
      </c>
    </row>
    <row r="470" spans="1:9">
      <c r="A470" s="113">
        <v>45953</v>
      </c>
      <c r="B470" s="7" t="s">
        <v>3726</v>
      </c>
      <c r="C470" s="139">
        <v>2500</v>
      </c>
      <c r="D470" s="14">
        <v>0</v>
      </c>
      <c r="E470" s="14">
        <f t="shared" si="9"/>
        <v>724236450.58999991</v>
      </c>
      <c r="F470" s="116" t="s">
        <v>19</v>
      </c>
      <c r="G470" s="8" t="s">
        <v>189</v>
      </c>
    </row>
    <row r="471" spans="1:9">
      <c r="A471" s="113">
        <v>45954</v>
      </c>
      <c r="B471" s="7" t="s">
        <v>3725</v>
      </c>
      <c r="C471" s="139">
        <v>250000000</v>
      </c>
      <c r="D471" s="14">
        <v>0</v>
      </c>
      <c r="E471" s="14">
        <f t="shared" si="9"/>
        <v>474236450.58999991</v>
      </c>
      <c r="F471" s="116" t="s">
        <v>920</v>
      </c>
      <c r="G471" s="8" t="s">
        <v>4239</v>
      </c>
    </row>
    <row r="472" spans="1:9">
      <c r="A472" s="113">
        <v>45954</v>
      </c>
      <c r="B472" s="7" t="s">
        <v>3726</v>
      </c>
      <c r="C472" s="139">
        <v>2500</v>
      </c>
      <c r="D472" s="14">
        <v>0</v>
      </c>
      <c r="E472" s="14">
        <f t="shared" si="9"/>
        <v>474233950.58999991</v>
      </c>
      <c r="F472" s="116" t="s">
        <v>19</v>
      </c>
      <c r="G472" s="8" t="s">
        <v>189</v>
      </c>
    </row>
    <row r="473" spans="1:9">
      <c r="A473" s="113">
        <v>45954</v>
      </c>
      <c r="B473" s="7" t="s">
        <v>3725</v>
      </c>
      <c r="C473" s="139">
        <v>250000000</v>
      </c>
      <c r="D473" s="14">
        <v>0</v>
      </c>
      <c r="E473" s="14">
        <f t="shared" si="9"/>
        <v>224233950.58999991</v>
      </c>
      <c r="F473" s="116" t="s">
        <v>920</v>
      </c>
      <c r="G473" s="8" t="s">
        <v>4239</v>
      </c>
    </row>
    <row r="474" spans="1:9">
      <c r="A474" s="113">
        <v>45954</v>
      </c>
      <c r="B474" s="7" t="s">
        <v>3726</v>
      </c>
      <c r="C474" s="139">
        <v>2500</v>
      </c>
      <c r="D474" s="14">
        <v>0</v>
      </c>
      <c r="E474" s="14">
        <f t="shared" si="9"/>
        <v>224231450.58999991</v>
      </c>
      <c r="F474" s="116" t="s">
        <v>19</v>
      </c>
      <c r="G474" s="8" t="s">
        <v>189</v>
      </c>
    </row>
    <row r="475" spans="1:9" s="8" customFormat="1">
      <c r="A475" s="13">
        <v>45955</v>
      </c>
      <c r="B475" s="226" t="s">
        <v>3755</v>
      </c>
      <c r="C475" s="14">
        <v>0</v>
      </c>
      <c r="D475" s="14">
        <v>100000000</v>
      </c>
      <c r="E475" s="14">
        <f t="shared" si="9"/>
        <v>324231450.58999991</v>
      </c>
      <c r="F475" s="116" t="s">
        <v>2140</v>
      </c>
      <c r="G475" s="8" t="s">
        <v>2141</v>
      </c>
      <c r="H475" s="8" t="s">
        <v>1352</v>
      </c>
      <c r="I475" s="37" t="s">
        <v>7886</v>
      </c>
    </row>
    <row r="476" spans="1:9" s="8" customFormat="1">
      <c r="A476" s="13">
        <v>45955</v>
      </c>
      <c r="B476" s="226" t="s">
        <v>3755</v>
      </c>
      <c r="C476" s="14">
        <v>0</v>
      </c>
      <c r="D476" s="14">
        <v>100000000</v>
      </c>
      <c r="E476" s="14">
        <f t="shared" si="9"/>
        <v>424231450.58999991</v>
      </c>
      <c r="F476" s="116" t="s">
        <v>2140</v>
      </c>
      <c r="G476" s="8" t="s">
        <v>2141</v>
      </c>
      <c r="H476" s="8" t="s">
        <v>1352</v>
      </c>
      <c r="I476" s="37" t="s">
        <v>7886</v>
      </c>
    </row>
    <row r="477" spans="1:9" s="8" customFormat="1">
      <c r="A477" s="13">
        <v>45955</v>
      </c>
      <c r="B477" s="226" t="s">
        <v>3755</v>
      </c>
      <c r="C477" s="14">
        <v>0</v>
      </c>
      <c r="D477" s="14">
        <v>100000000</v>
      </c>
      <c r="E477" s="14">
        <f t="shared" si="9"/>
        <v>524231450.58999991</v>
      </c>
      <c r="F477" s="116" t="s">
        <v>2140</v>
      </c>
      <c r="G477" s="8" t="s">
        <v>2141</v>
      </c>
      <c r="H477" s="8" t="s">
        <v>1352</v>
      </c>
      <c r="I477" s="37" t="s">
        <v>7886</v>
      </c>
    </row>
    <row r="478" spans="1:9" s="8" customFormat="1">
      <c r="A478" s="13">
        <v>45955</v>
      </c>
      <c r="B478" s="226" t="s">
        <v>3755</v>
      </c>
      <c r="C478" s="14">
        <v>0</v>
      </c>
      <c r="D478" s="14">
        <v>100000000</v>
      </c>
      <c r="E478" s="14">
        <f t="shared" si="9"/>
        <v>624231450.58999991</v>
      </c>
      <c r="F478" s="116" t="s">
        <v>2140</v>
      </c>
      <c r="G478" s="8" t="s">
        <v>2141</v>
      </c>
      <c r="H478" s="8" t="s">
        <v>1352</v>
      </c>
      <c r="I478" s="37" t="s">
        <v>7886</v>
      </c>
    </row>
    <row r="479" spans="1:9" s="8" customFormat="1">
      <c r="A479" s="13">
        <v>45955</v>
      </c>
      <c r="B479" s="226" t="s">
        <v>3755</v>
      </c>
      <c r="C479" s="14">
        <v>0</v>
      </c>
      <c r="D479" s="14">
        <v>100000000</v>
      </c>
      <c r="E479" s="14">
        <f t="shared" si="9"/>
        <v>724231450.58999991</v>
      </c>
      <c r="F479" s="116" t="s">
        <v>2140</v>
      </c>
      <c r="G479" s="8" t="s">
        <v>2141</v>
      </c>
      <c r="H479" s="8" t="s">
        <v>1352</v>
      </c>
      <c r="I479" s="37" t="s">
        <v>7886</v>
      </c>
    </row>
    <row r="480" spans="1:9" s="8" customFormat="1">
      <c r="A480" s="13">
        <v>45955</v>
      </c>
      <c r="B480" s="226" t="s">
        <v>3755</v>
      </c>
      <c r="C480" s="14">
        <v>0</v>
      </c>
      <c r="D480" s="14">
        <v>100000000</v>
      </c>
      <c r="E480" s="14">
        <f t="shared" si="9"/>
        <v>824231450.58999991</v>
      </c>
      <c r="F480" s="116" t="s">
        <v>2140</v>
      </c>
      <c r="G480" s="8" t="s">
        <v>2141</v>
      </c>
      <c r="H480" s="8" t="s">
        <v>1352</v>
      </c>
      <c r="I480" s="37" t="s">
        <v>7886</v>
      </c>
    </row>
    <row r="481" spans="1:9" s="8" customFormat="1">
      <c r="A481" s="13">
        <v>45955</v>
      </c>
      <c r="B481" s="226" t="s">
        <v>3755</v>
      </c>
      <c r="C481" s="14">
        <v>0</v>
      </c>
      <c r="D481" s="14">
        <v>100000000</v>
      </c>
      <c r="E481" s="14">
        <f t="shared" si="9"/>
        <v>924231450.58999991</v>
      </c>
      <c r="F481" s="116" t="s">
        <v>2140</v>
      </c>
      <c r="G481" s="8" t="s">
        <v>2141</v>
      </c>
      <c r="H481" s="8" t="s">
        <v>1352</v>
      </c>
      <c r="I481" s="37" t="s">
        <v>7886</v>
      </c>
    </row>
    <row r="482" spans="1:9" s="8" customFormat="1">
      <c r="A482" s="13">
        <v>45955</v>
      </c>
      <c r="B482" s="226" t="s">
        <v>3755</v>
      </c>
      <c r="C482" s="14">
        <v>0</v>
      </c>
      <c r="D482" s="14">
        <v>100000000</v>
      </c>
      <c r="E482" s="14">
        <f t="shared" si="9"/>
        <v>1024231450.5899999</v>
      </c>
      <c r="F482" s="116" t="s">
        <v>2140</v>
      </c>
      <c r="G482" s="8" t="s">
        <v>2141</v>
      </c>
      <c r="H482" s="8" t="s">
        <v>1352</v>
      </c>
      <c r="I482" s="37" t="s">
        <v>7886</v>
      </c>
    </row>
    <row r="483" spans="1:9" s="8" customFormat="1">
      <c r="A483" s="13">
        <v>45955</v>
      </c>
      <c r="B483" s="226" t="s">
        <v>3755</v>
      </c>
      <c r="C483" s="14">
        <v>0</v>
      </c>
      <c r="D483" s="14">
        <v>100000000</v>
      </c>
      <c r="E483" s="14">
        <f t="shared" si="9"/>
        <v>1124231450.5899999</v>
      </c>
      <c r="F483" s="116" t="s">
        <v>2140</v>
      </c>
      <c r="G483" s="8" t="s">
        <v>2141</v>
      </c>
      <c r="H483" s="8" t="s">
        <v>1352</v>
      </c>
      <c r="I483" s="37" t="s">
        <v>7886</v>
      </c>
    </row>
    <row r="484" spans="1:9" s="8" customFormat="1">
      <c r="A484" s="13">
        <v>45955</v>
      </c>
      <c r="B484" s="226" t="s">
        <v>3755</v>
      </c>
      <c r="C484" s="14">
        <v>0</v>
      </c>
      <c r="D484" s="14">
        <v>100000000</v>
      </c>
      <c r="E484" s="14">
        <f t="shared" si="9"/>
        <v>1224231450.5899999</v>
      </c>
      <c r="F484" s="116" t="s">
        <v>2140</v>
      </c>
      <c r="G484" s="8" t="s">
        <v>2141</v>
      </c>
      <c r="H484" s="8" t="s">
        <v>1352</v>
      </c>
      <c r="I484" s="37" t="s">
        <v>7886</v>
      </c>
    </row>
    <row r="485" spans="1:9">
      <c r="A485" s="113">
        <v>45957</v>
      </c>
      <c r="B485" s="7" t="s">
        <v>3763</v>
      </c>
      <c r="C485" s="139">
        <v>250000000</v>
      </c>
      <c r="D485" s="14">
        <v>0</v>
      </c>
      <c r="E485" s="14">
        <f t="shared" si="9"/>
        <v>974231450.58999991</v>
      </c>
      <c r="F485" s="116" t="s">
        <v>920</v>
      </c>
      <c r="G485" t="s">
        <v>487</v>
      </c>
    </row>
    <row r="486" spans="1:9">
      <c r="A486" s="113">
        <v>45957</v>
      </c>
      <c r="B486" s="7" t="s">
        <v>3764</v>
      </c>
      <c r="C486" s="139">
        <v>2500</v>
      </c>
      <c r="D486" s="14">
        <v>0</v>
      </c>
      <c r="E486" s="14">
        <f t="shared" si="9"/>
        <v>974228950.58999991</v>
      </c>
      <c r="F486" s="116" t="s">
        <v>19</v>
      </c>
      <c r="G486" s="8" t="s">
        <v>189</v>
      </c>
    </row>
    <row r="487" spans="1:9">
      <c r="A487" s="113">
        <v>45957</v>
      </c>
      <c r="B487" s="7" t="s">
        <v>3763</v>
      </c>
      <c r="C487" s="139">
        <v>250000000</v>
      </c>
      <c r="D487" s="14">
        <v>0</v>
      </c>
      <c r="E487" s="14">
        <f t="shared" si="9"/>
        <v>724228950.58999991</v>
      </c>
      <c r="F487" s="116" t="s">
        <v>920</v>
      </c>
      <c r="G487" t="s">
        <v>487</v>
      </c>
    </row>
    <row r="488" spans="1:9">
      <c r="A488" s="113">
        <v>45957</v>
      </c>
      <c r="B488" s="7" t="s">
        <v>3764</v>
      </c>
      <c r="C488" s="139">
        <v>2500</v>
      </c>
      <c r="D488" s="14">
        <v>0</v>
      </c>
      <c r="E488" s="14">
        <f t="shared" si="9"/>
        <v>724226450.58999991</v>
      </c>
      <c r="F488" s="116" t="s">
        <v>19</v>
      </c>
      <c r="G488" s="8" t="s">
        <v>189</v>
      </c>
    </row>
    <row r="489" spans="1:9" s="8" customFormat="1">
      <c r="A489" s="13">
        <v>45957</v>
      </c>
      <c r="B489" s="226" t="s">
        <v>4559</v>
      </c>
      <c r="C489" s="54">
        <v>0</v>
      </c>
      <c r="D489" s="54">
        <v>37500000</v>
      </c>
      <c r="E489" s="54">
        <f t="shared" si="9"/>
        <v>761726450.58999991</v>
      </c>
      <c r="F489" t="s">
        <v>10</v>
      </c>
      <c r="G489" s="8" t="s">
        <v>446</v>
      </c>
      <c r="H489" s="8" t="s">
        <v>4092</v>
      </c>
      <c r="I489" s="8" t="s">
        <v>26</v>
      </c>
    </row>
    <row r="490" spans="1:9">
      <c r="A490" s="113">
        <v>45958</v>
      </c>
      <c r="B490" s="7" t="s">
        <v>3763</v>
      </c>
      <c r="C490" s="139">
        <v>250000000</v>
      </c>
      <c r="D490" s="14">
        <v>0</v>
      </c>
      <c r="E490" s="14">
        <f t="shared" si="9"/>
        <v>511726450.58999991</v>
      </c>
      <c r="F490" s="116" t="s">
        <v>920</v>
      </c>
      <c r="G490" t="s">
        <v>487</v>
      </c>
    </row>
    <row r="491" spans="1:9">
      <c r="A491" s="113">
        <v>45958</v>
      </c>
      <c r="B491" s="7" t="s">
        <v>3764</v>
      </c>
      <c r="C491" s="139">
        <v>2500</v>
      </c>
      <c r="D491" s="14">
        <v>0</v>
      </c>
      <c r="E491" s="14">
        <f t="shared" si="9"/>
        <v>511723950.58999991</v>
      </c>
      <c r="F491" s="116" t="s">
        <v>19</v>
      </c>
      <c r="G491" s="8" t="s">
        <v>189</v>
      </c>
    </row>
    <row r="492" spans="1:9">
      <c r="A492" s="113">
        <v>45958</v>
      </c>
      <c r="B492" s="7" t="s">
        <v>3763</v>
      </c>
      <c r="C492" s="139">
        <v>250000000</v>
      </c>
      <c r="D492" s="14">
        <v>0</v>
      </c>
      <c r="E492" s="14">
        <f t="shared" si="9"/>
        <v>261723950.58999991</v>
      </c>
      <c r="F492" s="116" t="s">
        <v>920</v>
      </c>
      <c r="G492" t="s">
        <v>487</v>
      </c>
    </row>
    <row r="493" spans="1:9">
      <c r="A493" s="113">
        <v>45958</v>
      </c>
      <c r="B493" s="7" t="s">
        <v>3764</v>
      </c>
      <c r="C493" s="139">
        <v>2500</v>
      </c>
      <c r="D493" s="14">
        <v>0</v>
      </c>
      <c r="E493" s="14">
        <f t="shared" si="9"/>
        <v>261721450.58999991</v>
      </c>
      <c r="F493" s="116" t="s">
        <v>19</v>
      </c>
      <c r="G493" s="8" t="s">
        <v>189</v>
      </c>
    </row>
    <row r="494" spans="1:9">
      <c r="A494" s="113">
        <v>45958</v>
      </c>
      <c r="B494" s="7" t="s">
        <v>3765</v>
      </c>
      <c r="C494" s="139">
        <v>0</v>
      </c>
      <c r="D494" s="14">
        <v>6015550</v>
      </c>
      <c r="E494" s="14">
        <f t="shared" si="9"/>
        <v>267737000.58999991</v>
      </c>
      <c r="F494" s="116" t="s">
        <v>920</v>
      </c>
      <c r="G494" s="8" t="s">
        <v>498</v>
      </c>
      <c r="H494" t="s">
        <v>5716</v>
      </c>
    </row>
    <row r="495" spans="1:9">
      <c r="A495" s="113">
        <v>45959</v>
      </c>
      <c r="B495" s="7" t="s">
        <v>3766</v>
      </c>
      <c r="C495" s="139">
        <v>2000000</v>
      </c>
      <c r="D495" s="14">
        <v>0</v>
      </c>
      <c r="E495" s="14">
        <f t="shared" si="9"/>
        <v>265737000.58999991</v>
      </c>
      <c r="F495" s="116" t="s">
        <v>62</v>
      </c>
      <c r="G495" s="8" t="s">
        <v>23</v>
      </c>
    </row>
    <row r="496" spans="1:9">
      <c r="A496" s="113">
        <v>45959</v>
      </c>
      <c r="B496" s="7" t="s">
        <v>3767</v>
      </c>
      <c r="C496" s="139">
        <v>73000000</v>
      </c>
      <c r="D496" s="14">
        <v>0</v>
      </c>
      <c r="E496" s="14">
        <f t="shared" si="9"/>
        <v>192737000.58999991</v>
      </c>
      <c r="F496" s="116" t="s">
        <v>62</v>
      </c>
      <c r="G496" s="8" t="s">
        <v>23</v>
      </c>
    </row>
    <row r="497" spans="1:9">
      <c r="A497" s="113">
        <v>45959</v>
      </c>
      <c r="B497" s="7" t="s">
        <v>1035</v>
      </c>
      <c r="C497" s="139">
        <v>0</v>
      </c>
      <c r="D497" s="14">
        <v>2000000</v>
      </c>
      <c r="E497" s="14">
        <f t="shared" si="9"/>
        <v>194737000.58999991</v>
      </c>
      <c r="F497" t="s">
        <v>10</v>
      </c>
      <c r="G497" s="8" t="s">
        <v>76</v>
      </c>
      <c r="H497" s="146" t="s">
        <v>12</v>
      </c>
    </row>
    <row r="498" spans="1:9">
      <c r="A498" s="113">
        <v>45959</v>
      </c>
      <c r="B498" s="7" t="s">
        <v>1036</v>
      </c>
      <c r="C498" s="139">
        <v>0</v>
      </c>
      <c r="D498" s="14">
        <v>2000000</v>
      </c>
      <c r="E498" s="14">
        <f t="shared" si="9"/>
        <v>196737000.58999991</v>
      </c>
      <c r="F498" t="s">
        <v>10</v>
      </c>
      <c r="G498" s="8" t="s">
        <v>76</v>
      </c>
      <c r="H498" s="146" t="s">
        <v>57</v>
      </c>
    </row>
    <row r="499" spans="1:9">
      <c r="A499" s="113">
        <v>45959</v>
      </c>
      <c r="B499" s="7" t="s">
        <v>384</v>
      </c>
      <c r="C499" s="139">
        <v>0</v>
      </c>
      <c r="D499" s="14">
        <v>500000</v>
      </c>
      <c r="E499" s="14">
        <f t="shared" si="9"/>
        <v>197237000.58999991</v>
      </c>
      <c r="F499" t="s">
        <v>10</v>
      </c>
      <c r="G499" s="8" t="s">
        <v>76</v>
      </c>
      <c r="H499" s="146" t="s">
        <v>95</v>
      </c>
    </row>
    <row r="500" spans="1:9" s="8" customFormat="1">
      <c r="A500" s="13">
        <v>45959</v>
      </c>
      <c r="B500" s="226" t="s">
        <v>3755</v>
      </c>
      <c r="C500" s="14">
        <v>0</v>
      </c>
      <c r="D500" s="14">
        <v>85000000</v>
      </c>
      <c r="E500" s="14">
        <f t="shared" si="9"/>
        <v>282237000.58999991</v>
      </c>
      <c r="F500" s="116" t="s">
        <v>2140</v>
      </c>
      <c r="G500" s="8" t="s">
        <v>2141</v>
      </c>
      <c r="H500" s="8" t="s">
        <v>1352</v>
      </c>
      <c r="I500" s="37" t="s">
        <v>7886</v>
      </c>
    </row>
    <row r="501" spans="1:9" s="8" customFormat="1">
      <c r="A501" s="13">
        <v>45959</v>
      </c>
      <c r="B501" s="226" t="s">
        <v>3755</v>
      </c>
      <c r="C501" s="14">
        <v>0</v>
      </c>
      <c r="D501" s="14">
        <v>100000000</v>
      </c>
      <c r="E501" s="14">
        <f t="shared" si="9"/>
        <v>382237000.58999991</v>
      </c>
      <c r="F501" s="116" t="s">
        <v>2140</v>
      </c>
      <c r="G501" s="8" t="s">
        <v>2141</v>
      </c>
      <c r="H501" s="8" t="s">
        <v>1352</v>
      </c>
      <c r="I501" s="37" t="s">
        <v>7886</v>
      </c>
    </row>
    <row r="502" spans="1:9" s="8" customFormat="1">
      <c r="A502" s="13">
        <v>45959</v>
      </c>
      <c r="B502" s="226" t="s">
        <v>3755</v>
      </c>
      <c r="C502" s="14">
        <v>0</v>
      </c>
      <c r="D502" s="14">
        <v>100000000</v>
      </c>
      <c r="E502" s="14">
        <f t="shared" si="9"/>
        <v>482237000.58999991</v>
      </c>
      <c r="F502" s="116" t="s">
        <v>2140</v>
      </c>
      <c r="G502" s="8" t="s">
        <v>2141</v>
      </c>
      <c r="H502" s="8" t="s">
        <v>1352</v>
      </c>
      <c r="I502" s="37" t="s">
        <v>7886</v>
      </c>
    </row>
    <row r="503" spans="1:9" s="8" customFormat="1">
      <c r="A503" s="13">
        <v>45959</v>
      </c>
      <c r="B503" s="226" t="s">
        <v>3755</v>
      </c>
      <c r="C503" s="14">
        <v>0</v>
      </c>
      <c r="D503" s="14">
        <v>100000000</v>
      </c>
      <c r="E503" s="14">
        <f t="shared" si="9"/>
        <v>582237000.58999991</v>
      </c>
      <c r="F503" s="116" t="s">
        <v>2140</v>
      </c>
      <c r="G503" s="8" t="s">
        <v>2141</v>
      </c>
      <c r="H503" s="8" t="s">
        <v>1352</v>
      </c>
      <c r="I503" s="37" t="s">
        <v>7886</v>
      </c>
    </row>
    <row r="504" spans="1:9" s="8" customFormat="1">
      <c r="A504" s="13">
        <v>45959</v>
      </c>
      <c r="B504" s="226" t="s">
        <v>3755</v>
      </c>
      <c r="C504" s="14">
        <v>0</v>
      </c>
      <c r="D504" s="14">
        <v>100000000</v>
      </c>
      <c r="E504" s="14">
        <f t="shared" si="9"/>
        <v>682237000.58999991</v>
      </c>
      <c r="F504" s="116" t="s">
        <v>2140</v>
      </c>
      <c r="G504" s="8" t="s">
        <v>2141</v>
      </c>
      <c r="H504" s="8" t="s">
        <v>1352</v>
      </c>
      <c r="I504" s="37" t="s">
        <v>7886</v>
      </c>
    </row>
    <row r="505" spans="1:9" s="8" customFormat="1">
      <c r="A505" s="13">
        <v>45959</v>
      </c>
      <c r="B505" s="226" t="s">
        <v>3755</v>
      </c>
      <c r="C505" s="14">
        <v>0</v>
      </c>
      <c r="D505" s="14">
        <v>100000000</v>
      </c>
      <c r="E505" s="14">
        <f t="shared" ref="E505:E526" si="10">E504-C505+D505</f>
        <v>782237000.58999991</v>
      </c>
      <c r="F505" s="116" t="s">
        <v>2140</v>
      </c>
      <c r="G505" s="8" t="s">
        <v>2141</v>
      </c>
      <c r="H505" s="8" t="s">
        <v>1352</v>
      </c>
      <c r="I505" s="37" t="s">
        <v>7886</v>
      </c>
    </row>
    <row r="506" spans="1:9" s="8" customFormat="1">
      <c r="A506" s="13">
        <v>45959</v>
      </c>
      <c r="B506" s="226" t="s">
        <v>3755</v>
      </c>
      <c r="C506" s="14">
        <v>0</v>
      </c>
      <c r="D506" s="14">
        <v>100000000</v>
      </c>
      <c r="E506" s="14">
        <f t="shared" si="10"/>
        <v>882237000.58999991</v>
      </c>
      <c r="F506" s="116" t="s">
        <v>2140</v>
      </c>
      <c r="G506" s="8" t="s">
        <v>2141</v>
      </c>
      <c r="H506" s="8" t="s">
        <v>1352</v>
      </c>
      <c r="I506" s="37" t="s">
        <v>7886</v>
      </c>
    </row>
    <row r="507" spans="1:9" s="8" customFormat="1">
      <c r="A507" s="13">
        <v>45959</v>
      </c>
      <c r="B507" s="226" t="s">
        <v>3755</v>
      </c>
      <c r="C507" s="14">
        <v>0</v>
      </c>
      <c r="D507" s="14">
        <v>100000000</v>
      </c>
      <c r="E507" s="14">
        <f t="shared" si="10"/>
        <v>982237000.58999991</v>
      </c>
      <c r="F507" s="116" t="s">
        <v>2140</v>
      </c>
      <c r="G507" s="8" t="s">
        <v>2141</v>
      </c>
      <c r="H507" s="8" t="s">
        <v>1352</v>
      </c>
      <c r="I507" s="37" t="s">
        <v>7886</v>
      </c>
    </row>
    <row r="508" spans="1:9" s="8" customFormat="1">
      <c r="A508" s="13">
        <v>45959</v>
      </c>
      <c r="B508" s="226" t="s">
        <v>3755</v>
      </c>
      <c r="C508" s="14">
        <v>0</v>
      </c>
      <c r="D508" s="14">
        <v>100000000</v>
      </c>
      <c r="E508" s="14">
        <f t="shared" si="10"/>
        <v>1082237000.5899999</v>
      </c>
      <c r="F508" s="116" t="s">
        <v>2140</v>
      </c>
      <c r="G508" s="8" t="s">
        <v>2141</v>
      </c>
      <c r="H508" s="8" t="s">
        <v>1352</v>
      </c>
      <c r="I508" s="37" t="s">
        <v>7886</v>
      </c>
    </row>
    <row r="509" spans="1:9" s="8" customFormat="1">
      <c r="A509" s="13">
        <v>45959</v>
      </c>
      <c r="B509" s="226" t="s">
        <v>3755</v>
      </c>
      <c r="C509" s="14">
        <v>0</v>
      </c>
      <c r="D509" s="14">
        <v>100000000</v>
      </c>
      <c r="E509" s="14">
        <f t="shared" si="10"/>
        <v>1182237000.5899999</v>
      </c>
      <c r="F509" s="116" t="s">
        <v>2140</v>
      </c>
      <c r="G509" s="8" t="s">
        <v>2141</v>
      </c>
      <c r="H509" s="8" t="s">
        <v>1352</v>
      </c>
      <c r="I509" s="37" t="s">
        <v>7886</v>
      </c>
    </row>
    <row r="510" spans="1:9">
      <c r="A510" s="113">
        <v>45959</v>
      </c>
      <c r="B510" s="7" t="s">
        <v>3768</v>
      </c>
      <c r="C510" s="139">
        <v>300000000</v>
      </c>
      <c r="D510" s="14">
        <v>0</v>
      </c>
      <c r="E510" s="14">
        <f t="shared" si="10"/>
        <v>882237000.58999991</v>
      </c>
      <c r="F510" t="s">
        <v>10</v>
      </c>
      <c r="G510" s="8" t="s">
        <v>76</v>
      </c>
      <c r="H510" s="146" t="s">
        <v>45</v>
      </c>
    </row>
    <row r="511" spans="1:9">
      <c r="A511" s="113">
        <v>45960</v>
      </c>
      <c r="B511" s="7" t="s">
        <v>3763</v>
      </c>
      <c r="C511" s="139">
        <v>250000000</v>
      </c>
      <c r="D511" s="14">
        <v>0</v>
      </c>
      <c r="E511" s="14">
        <f t="shared" si="10"/>
        <v>632237000.58999991</v>
      </c>
      <c r="F511" s="116" t="s">
        <v>920</v>
      </c>
      <c r="G511" t="s">
        <v>487</v>
      </c>
    </row>
    <row r="512" spans="1:9">
      <c r="A512" s="113">
        <v>45960</v>
      </c>
      <c r="B512" s="7" t="s">
        <v>3764</v>
      </c>
      <c r="C512" s="139">
        <v>2500</v>
      </c>
      <c r="D512" s="14">
        <v>0</v>
      </c>
      <c r="E512" s="14">
        <f t="shared" si="10"/>
        <v>632234500.58999991</v>
      </c>
      <c r="F512" s="116" t="s">
        <v>19</v>
      </c>
      <c r="G512" s="8" t="s">
        <v>189</v>
      </c>
    </row>
    <row r="513" spans="1:9">
      <c r="A513" s="113">
        <v>45960</v>
      </c>
      <c r="B513" s="7" t="s">
        <v>3763</v>
      </c>
      <c r="C513" s="139">
        <v>250000000</v>
      </c>
      <c r="D513" s="14">
        <v>0</v>
      </c>
      <c r="E513" s="14">
        <f t="shared" si="10"/>
        <v>382234500.58999991</v>
      </c>
      <c r="F513" s="116" t="s">
        <v>920</v>
      </c>
      <c r="G513" t="s">
        <v>487</v>
      </c>
    </row>
    <row r="514" spans="1:9">
      <c r="A514" s="113">
        <v>45960</v>
      </c>
      <c r="B514" s="7" t="s">
        <v>3764</v>
      </c>
      <c r="C514" s="139">
        <v>2500</v>
      </c>
      <c r="D514" s="14">
        <v>0</v>
      </c>
      <c r="E514" s="14">
        <f t="shared" si="10"/>
        <v>382232000.58999991</v>
      </c>
      <c r="F514" s="116" t="s">
        <v>19</v>
      </c>
      <c r="G514" s="8" t="s">
        <v>189</v>
      </c>
    </row>
    <row r="515" spans="1:9">
      <c r="A515" s="113">
        <v>45960</v>
      </c>
      <c r="B515" s="7" t="s">
        <v>3769</v>
      </c>
      <c r="C515" s="139">
        <v>0</v>
      </c>
      <c r="D515" s="14">
        <v>7586640</v>
      </c>
      <c r="E515" s="14">
        <f t="shared" si="10"/>
        <v>389818640.58999991</v>
      </c>
      <c r="F515" s="116" t="s">
        <v>2140</v>
      </c>
      <c r="G515" s="8" t="s">
        <v>2141</v>
      </c>
      <c r="H515" t="s">
        <v>433</v>
      </c>
      <c r="I515" t="s">
        <v>4082</v>
      </c>
    </row>
    <row r="516" spans="1:9">
      <c r="A516" s="113">
        <v>45961</v>
      </c>
      <c r="B516" s="7" t="s">
        <v>3763</v>
      </c>
      <c r="C516" s="139">
        <v>250000000</v>
      </c>
      <c r="D516" s="14">
        <v>0</v>
      </c>
      <c r="E516" s="14">
        <f t="shared" si="10"/>
        <v>139818640.58999991</v>
      </c>
      <c r="F516" s="116" t="s">
        <v>920</v>
      </c>
      <c r="G516" t="s">
        <v>487</v>
      </c>
    </row>
    <row r="517" spans="1:9">
      <c r="A517" s="113">
        <v>45961</v>
      </c>
      <c r="B517" s="7" t="s">
        <v>3764</v>
      </c>
      <c r="C517" s="139">
        <v>2500</v>
      </c>
      <c r="D517" s="14">
        <v>0</v>
      </c>
      <c r="E517" s="14">
        <f t="shared" si="10"/>
        <v>139816140.58999991</v>
      </c>
      <c r="F517" s="116" t="s">
        <v>19</v>
      </c>
      <c r="G517" s="8" t="s">
        <v>189</v>
      </c>
    </row>
    <row r="518" spans="1:9">
      <c r="A518" s="113">
        <v>45961</v>
      </c>
      <c r="B518" s="7" t="s">
        <v>4003</v>
      </c>
      <c r="C518" s="139">
        <v>3500000</v>
      </c>
      <c r="D518" s="14">
        <v>0</v>
      </c>
      <c r="E518" s="14">
        <f t="shared" si="10"/>
        <v>136316140.58999991</v>
      </c>
      <c r="F518" s="116" t="s">
        <v>4</v>
      </c>
      <c r="G518" s="8" t="s">
        <v>5</v>
      </c>
      <c r="H518" s="40" t="s">
        <v>3440</v>
      </c>
    </row>
    <row r="519" spans="1:9">
      <c r="A519" s="113">
        <v>45961</v>
      </c>
      <c r="B519" s="7" t="s">
        <v>4004</v>
      </c>
      <c r="C519" s="139">
        <v>2500000</v>
      </c>
      <c r="D519" s="14">
        <v>0</v>
      </c>
      <c r="E519" s="14">
        <f t="shared" si="10"/>
        <v>133816140.58999991</v>
      </c>
      <c r="F519" s="116" t="s">
        <v>4</v>
      </c>
      <c r="G519" s="8" t="s">
        <v>5</v>
      </c>
      <c r="H519" s="40" t="s">
        <v>1368</v>
      </c>
    </row>
    <row r="520" spans="1:9">
      <c r="A520" s="113">
        <v>45961</v>
      </c>
      <c r="B520" s="7" t="s">
        <v>4005</v>
      </c>
      <c r="C520" s="139">
        <v>3500000</v>
      </c>
      <c r="D520" s="14">
        <v>0</v>
      </c>
      <c r="E520" s="14">
        <f t="shared" si="10"/>
        <v>130316140.58999991</v>
      </c>
      <c r="F520" s="116" t="s">
        <v>4</v>
      </c>
      <c r="G520" s="8" t="s">
        <v>5</v>
      </c>
      <c r="H520" s="40" t="s">
        <v>1609</v>
      </c>
    </row>
    <row r="521" spans="1:9">
      <c r="A521" s="113">
        <v>45961</v>
      </c>
      <c r="B521" s="7" t="s">
        <v>4006</v>
      </c>
      <c r="C521" s="144">
        <v>2050000</v>
      </c>
      <c r="D521" s="54">
        <v>0</v>
      </c>
      <c r="E521" s="54">
        <f t="shared" si="10"/>
        <v>128266140.58999991</v>
      </c>
      <c r="F521" s="8" t="s">
        <v>10</v>
      </c>
      <c r="G521" s="8" t="s">
        <v>446</v>
      </c>
      <c r="H521" s="40" t="s">
        <v>4095</v>
      </c>
      <c r="I521" t="s">
        <v>26</v>
      </c>
    </row>
    <row r="522" spans="1:9">
      <c r="A522" s="113">
        <v>45961</v>
      </c>
      <c r="B522" s="7" t="s">
        <v>4007</v>
      </c>
      <c r="C522" s="144">
        <v>2050000</v>
      </c>
      <c r="D522" s="54">
        <v>0</v>
      </c>
      <c r="E522" s="54">
        <f t="shared" si="10"/>
        <v>126216140.58999991</v>
      </c>
      <c r="F522" s="8" t="s">
        <v>10</v>
      </c>
      <c r="G522" s="8" t="s">
        <v>446</v>
      </c>
      <c r="H522" s="40" t="s">
        <v>4095</v>
      </c>
      <c r="I522" t="s">
        <v>26</v>
      </c>
    </row>
    <row r="523" spans="1:9">
      <c r="A523" s="113">
        <v>45961</v>
      </c>
      <c r="B523" s="7" t="s">
        <v>4008</v>
      </c>
      <c r="C523" s="144">
        <v>2050000</v>
      </c>
      <c r="D523" s="54">
        <v>0</v>
      </c>
      <c r="E523" s="54">
        <f t="shared" si="10"/>
        <v>124166140.58999991</v>
      </c>
      <c r="F523" s="8" t="s">
        <v>10</v>
      </c>
      <c r="G523" s="8" t="s">
        <v>446</v>
      </c>
      <c r="H523" s="40" t="s">
        <v>4095</v>
      </c>
      <c r="I523" t="s">
        <v>26</v>
      </c>
    </row>
    <row r="524" spans="1:9">
      <c r="A524" s="113">
        <v>45961</v>
      </c>
      <c r="B524" s="7" t="s">
        <v>329</v>
      </c>
      <c r="C524" s="139">
        <v>0</v>
      </c>
      <c r="D524" s="14">
        <v>2148.91</v>
      </c>
      <c r="E524" s="14">
        <f t="shared" si="10"/>
        <v>124168289.49999991</v>
      </c>
      <c r="F524" s="116" t="s">
        <v>1209</v>
      </c>
      <c r="G524" s="8" t="s">
        <v>79</v>
      </c>
    </row>
    <row r="525" spans="1:9">
      <c r="A525" s="113">
        <v>45961</v>
      </c>
      <c r="B525" s="7" t="s">
        <v>330</v>
      </c>
      <c r="C525" s="139">
        <v>429.78</v>
      </c>
      <c r="D525" s="14">
        <v>0</v>
      </c>
      <c r="E525" s="14">
        <f t="shared" si="10"/>
        <v>124167859.71999991</v>
      </c>
      <c r="F525" s="116" t="s">
        <v>1209</v>
      </c>
      <c r="G525" s="8" t="s">
        <v>79</v>
      </c>
    </row>
    <row r="526" spans="1:9">
      <c r="A526" s="113">
        <v>45966</v>
      </c>
      <c r="B526" s="7" t="s">
        <v>4203</v>
      </c>
      <c r="C526" s="139">
        <v>1700000</v>
      </c>
      <c r="D526" s="14">
        <v>0</v>
      </c>
      <c r="E526" s="14">
        <f t="shared" si="10"/>
        <v>122467859.71999991</v>
      </c>
      <c r="F526" s="116" t="s">
        <v>4</v>
      </c>
      <c r="G526" s="8" t="s">
        <v>5</v>
      </c>
      <c r="H526" s="40" t="s">
        <v>4080</v>
      </c>
    </row>
    <row r="527" spans="1:9">
      <c r="A527" s="113">
        <v>45966</v>
      </c>
      <c r="B527" s="7" t="s">
        <v>4204</v>
      </c>
      <c r="C527" s="144">
        <v>450000</v>
      </c>
      <c r="D527" s="54">
        <v>0</v>
      </c>
      <c r="E527" s="54">
        <f t="shared" ref="E527:E592" si="11">E526-C527+D527</f>
        <v>122017859.71999991</v>
      </c>
      <c r="F527" s="8" t="s">
        <v>10</v>
      </c>
      <c r="G527" s="8" t="s">
        <v>446</v>
      </c>
      <c r="H527" s="40" t="s">
        <v>3283</v>
      </c>
      <c r="I527" t="s">
        <v>26</v>
      </c>
    </row>
    <row r="528" spans="1:9">
      <c r="A528" s="113">
        <v>45966</v>
      </c>
      <c r="B528" s="7" t="s">
        <v>4205</v>
      </c>
      <c r="C528" s="139">
        <v>1400000</v>
      </c>
      <c r="D528" s="14">
        <v>0</v>
      </c>
      <c r="E528" s="14">
        <f t="shared" si="11"/>
        <v>120617859.71999991</v>
      </c>
      <c r="F528" s="116" t="s">
        <v>4</v>
      </c>
      <c r="G528" s="8" t="s">
        <v>5</v>
      </c>
      <c r="H528" s="40" t="s">
        <v>4080</v>
      </c>
    </row>
    <row r="529" spans="1:9">
      <c r="A529" s="113">
        <v>45966</v>
      </c>
      <c r="B529" s="7" t="s">
        <v>4206</v>
      </c>
      <c r="C529" s="139">
        <v>400000</v>
      </c>
      <c r="D529" s="14">
        <v>0</v>
      </c>
      <c r="E529" s="14">
        <f t="shared" si="11"/>
        <v>120217859.71999991</v>
      </c>
      <c r="F529" s="116" t="s">
        <v>4</v>
      </c>
      <c r="G529" s="8" t="s">
        <v>5</v>
      </c>
      <c r="H529" s="40" t="s">
        <v>4077</v>
      </c>
      <c r="I529" t="s">
        <v>26</v>
      </c>
    </row>
    <row r="530" spans="1:9">
      <c r="A530" s="113">
        <v>45966</v>
      </c>
      <c r="B530" s="7" t="s">
        <v>4207</v>
      </c>
      <c r="C530" s="139">
        <v>3272728</v>
      </c>
      <c r="D530" s="14">
        <v>0</v>
      </c>
      <c r="E530" s="14">
        <f t="shared" si="11"/>
        <v>116945131.71999991</v>
      </c>
      <c r="F530" s="116" t="s">
        <v>62</v>
      </c>
      <c r="G530" s="8" t="s">
        <v>23</v>
      </c>
    </row>
    <row r="531" spans="1:9">
      <c r="A531" s="113">
        <v>45967</v>
      </c>
      <c r="B531" s="7" t="s">
        <v>3725</v>
      </c>
      <c r="C531" s="139">
        <v>115000000</v>
      </c>
      <c r="D531" s="14">
        <v>0</v>
      </c>
      <c r="E531" s="14">
        <f t="shared" si="11"/>
        <v>1945131.7199999094</v>
      </c>
      <c r="F531" s="116" t="s">
        <v>920</v>
      </c>
      <c r="G531" s="80" t="s">
        <v>4239</v>
      </c>
    </row>
    <row r="532" spans="1:9">
      <c r="A532" s="113">
        <v>45967</v>
      </c>
      <c r="B532" s="7" t="s">
        <v>3726</v>
      </c>
      <c r="C532" s="139">
        <v>2500</v>
      </c>
      <c r="D532" s="14">
        <v>0</v>
      </c>
      <c r="E532" s="14">
        <f t="shared" si="11"/>
        <v>1942631.7199999094</v>
      </c>
      <c r="F532" s="116" t="s">
        <v>19</v>
      </c>
      <c r="G532" s="8" t="s">
        <v>189</v>
      </c>
    </row>
    <row r="533" spans="1:9" s="8" customFormat="1">
      <c r="A533" s="13">
        <v>45973</v>
      </c>
      <c r="B533" s="226" t="s">
        <v>4208</v>
      </c>
      <c r="C533" s="14">
        <v>500000</v>
      </c>
      <c r="D533" s="14">
        <v>0</v>
      </c>
      <c r="E533" s="14">
        <f t="shared" si="11"/>
        <v>1442631.7199999094</v>
      </c>
      <c r="F533" s="8" t="s">
        <v>4</v>
      </c>
      <c r="G533" s="8" t="s">
        <v>5</v>
      </c>
      <c r="H533" s="8" t="s">
        <v>5748</v>
      </c>
      <c r="I533" s="8" t="s">
        <v>26</v>
      </c>
    </row>
    <row r="534" spans="1:9" s="8" customFormat="1">
      <c r="A534" s="13">
        <v>45973</v>
      </c>
      <c r="B534" s="226" t="s">
        <v>4209</v>
      </c>
      <c r="C534" s="14">
        <v>400000</v>
      </c>
      <c r="D534" s="14">
        <v>0</v>
      </c>
      <c r="E534" s="14">
        <f t="shared" si="11"/>
        <v>1042631.7199999094</v>
      </c>
      <c r="F534" s="8" t="s">
        <v>4</v>
      </c>
      <c r="G534" s="8" t="s">
        <v>5</v>
      </c>
      <c r="H534" s="8" t="s">
        <v>5748</v>
      </c>
      <c r="I534" s="8" t="s">
        <v>26</v>
      </c>
    </row>
    <row r="535" spans="1:9">
      <c r="A535" s="113">
        <v>45973</v>
      </c>
      <c r="B535" s="7" t="s">
        <v>4210</v>
      </c>
      <c r="C535" s="139">
        <v>0</v>
      </c>
      <c r="D535" s="14">
        <v>6000000</v>
      </c>
      <c r="E535" s="14">
        <f t="shared" si="11"/>
        <v>7042631.7199999094</v>
      </c>
      <c r="F535" t="s">
        <v>6</v>
      </c>
      <c r="G535" s="8" t="s">
        <v>24</v>
      </c>
      <c r="H535" t="s">
        <v>4101</v>
      </c>
    </row>
    <row r="536" spans="1:9">
      <c r="A536" s="113">
        <v>45973</v>
      </c>
      <c r="B536" s="7" t="s">
        <v>4211</v>
      </c>
      <c r="C536" s="139">
        <v>705000</v>
      </c>
      <c r="D536" s="14">
        <v>0</v>
      </c>
      <c r="E536" s="14">
        <f t="shared" si="11"/>
        <v>6337631.7199999094</v>
      </c>
      <c r="F536" s="116" t="s">
        <v>62</v>
      </c>
      <c r="G536" s="8" t="s">
        <v>30</v>
      </c>
    </row>
    <row r="537" spans="1:9">
      <c r="A537" s="113">
        <v>45973</v>
      </c>
      <c r="B537" s="7" t="s">
        <v>4212</v>
      </c>
      <c r="C537" s="139">
        <v>700000</v>
      </c>
      <c r="D537" s="14">
        <v>0</v>
      </c>
      <c r="E537" s="14">
        <f t="shared" si="11"/>
        <v>5637631.7199999094</v>
      </c>
      <c r="F537" s="116" t="s">
        <v>62</v>
      </c>
      <c r="G537" s="8" t="s">
        <v>30</v>
      </c>
    </row>
    <row r="538" spans="1:9">
      <c r="A538" s="113">
        <v>45973</v>
      </c>
      <c r="B538" s="7" t="s">
        <v>4213</v>
      </c>
      <c r="C538" s="139">
        <v>1960000</v>
      </c>
      <c r="D538" s="14">
        <v>0</v>
      </c>
      <c r="E538" s="14">
        <f t="shared" si="11"/>
        <v>3677631.7199999094</v>
      </c>
      <c r="F538" s="116" t="s">
        <v>62</v>
      </c>
      <c r="G538" s="8" t="s">
        <v>30</v>
      </c>
    </row>
    <row r="539" spans="1:9">
      <c r="A539" s="113">
        <v>45973</v>
      </c>
      <c r="B539" s="7" t="s">
        <v>4214</v>
      </c>
      <c r="C539" s="139">
        <v>1080000</v>
      </c>
      <c r="D539" s="14">
        <v>0</v>
      </c>
      <c r="E539" s="14">
        <f t="shared" si="11"/>
        <v>2597631.7199999094</v>
      </c>
      <c r="F539" s="116" t="s">
        <v>62</v>
      </c>
      <c r="G539" s="8" t="s">
        <v>30</v>
      </c>
    </row>
    <row r="540" spans="1:9">
      <c r="A540" s="113">
        <v>45973</v>
      </c>
      <c r="B540" s="7" t="s">
        <v>4215</v>
      </c>
      <c r="C540" s="139">
        <v>1400000</v>
      </c>
      <c r="D540" s="14">
        <v>0</v>
      </c>
      <c r="E540" s="14">
        <f t="shared" si="11"/>
        <v>1197631.7199999094</v>
      </c>
      <c r="F540" s="116" t="s">
        <v>4</v>
      </c>
      <c r="G540" s="8" t="s">
        <v>5</v>
      </c>
      <c r="H540" s="40" t="s">
        <v>4080</v>
      </c>
    </row>
    <row r="541" spans="1:9" s="8" customFormat="1">
      <c r="A541" s="13">
        <v>45973</v>
      </c>
      <c r="B541" s="226" t="s">
        <v>4216</v>
      </c>
      <c r="C541" s="14">
        <v>1000000</v>
      </c>
      <c r="D541" s="14">
        <v>0</v>
      </c>
      <c r="E541" s="14">
        <f t="shared" si="11"/>
        <v>197631.7199999094</v>
      </c>
      <c r="F541" t="s">
        <v>6</v>
      </c>
      <c r="G541" s="8" t="s">
        <v>7</v>
      </c>
      <c r="H541" s="8" t="s">
        <v>5757</v>
      </c>
      <c r="I541" s="8" t="s">
        <v>26</v>
      </c>
    </row>
    <row r="542" spans="1:9" s="8" customFormat="1">
      <c r="A542" s="13">
        <v>45974</v>
      </c>
      <c r="B542" s="226" t="s">
        <v>5810</v>
      </c>
      <c r="C542" s="14">
        <v>0</v>
      </c>
      <c r="D542" s="14">
        <v>20170000</v>
      </c>
      <c r="E542" s="14">
        <f t="shared" si="11"/>
        <v>20367631.719999909</v>
      </c>
      <c r="F542" t="s">
        <v>1209</v>
      </c>
      <c r="G542" s="8" t="s">
        <v>192</v>
      </c>
    </row>
    <row r="543" spans="1:9" s="8" customFormat="1">
      <c r="A543" s="13">
        <v>45975</v>
      </c>
      <c r="B543" s="226" t="s">
        <v>4217</v>
      </c>
      <c r="C543" s="14">
        <v>400000</v>
      </c>
      <c r="D543" s="14">
        <v>0</v>
      </c>
      <c r="E543" s="14">
        <f t="shared" si="11"/>
        <v>19967631.719999909</v>
      </c>
      <c r="F543" s="8" t="s">
        <v>4</v>
      </c>
      <c r="G543" s="8" t="s">
        <v>5</v>
      </c>
      <c r="H543" s="8" t="s">
        <v>5748</v>
      </c>
      <c r="I543" s="8" t="s">
        <v>26</v>
      </c>
    </row>
    <row r="544" spans="1:9" s="8" customFormat="1">
      <c r="A544" s="13">
        <v>45975</v>
      </c>
      <c r="B544" s="226" t="s">
        <v>4218</v>
      </c>
      <c r="C544" s="14">
        <v>400000</v>
      </c>
      <c r="D544" s="14">
        <v>0</v>
      </c>
      <c r="E544" s="14">
        <f t="shared" si="11"/>
        <v>19567631.719999909</v>
      </c>
      <c r="F544" s="8" t="s">
        <v>4</v>
      </c>
      <c r="G544" s="8" t="s">
        <v>5</v>
      </c>
      <c r="H544" s="8" t="s">
        <v>5748</v>
      </c>
      <c r="I544" s="8" t="s">
        <v>26</v>
      </c>
    </row>
    <row r="545" spans="1:9" s="8" customFormat="1">
      <c r="A545" s="13">
        <v>45975</v>
      </c>
      <c r="B545" s="226" t="s">
        <v>4219</v>
      </c>
      <c r="C545" s="14">
        <v>400000</v>
      </c>
      <c r="D545" s="14">
        <v>0</v>
      </c>
      <c r="E545" s="14">
        <f t="shared" si="11"/>
        <v>19167631.719999909</v>
      </c>
      <c r="F545" s="8" t="s">
        <v>4</v>
      </c>
      <c r="G545" s="8" t="s">
        <v>5</v>
      </c>
      <c r="H545" s="8" t="s">
        <v>5748</v>
      </c>
      <c r="I545" s="8" t="s">
        <v>26</v>
      </c>
    </row>
    <row r="546" spans="1:9" s="8" customFormat="1">
      <c r="A546" s="13">
        <v>45975</v>
      </c>
      <c r="B546" s="226" t="s">
        <v>4220</v>
      </c>
      <c r="C546" s="14">
        <v>400000</v>
      </c>
      <c r="D546" s="14">
        <v>0</v>
      </c>
      <c r="E546" s="14">
        <f t="shared" si="11"/>
        <v>18767631.719999909</v>
      </c>
      <c r="F546" s="8" t="s">
        <v>4</v>
      </c>
      <c r="G546" s="8" t="s">
        <v>5</v>
      </c>
      <c r="H546" s="8" t="s">
        <v>5748</v>
      </c>
      <c r="I546" s="8" t="s">
        <v>26</v>
      </c>
    </row>
    <row r="547" spans="1:9" s="8" customFormat="1">
      <c r="A547" s="13">
        <v>45975</v>
      </c>
      <c r="B547" s="226" t="s">
        <v>4221</v>
      </c>
      <c r="C547" s="14">
        <v>150000</v>
      </c>
      <c r="D547" s="14">
        <v>0</v>
      </c>
      <c r="E547" s="14">
        <f t="shared" si="11"/>
        <v>18617631.719999909</v>
      </c>
      <c r="F547" s="8" t="s">
        <v>4</v>
      </c>
      <c r="G547" s="8" t="s">
        <v>5</v>
      </c>
      <c r="H547" s="8" t="s">
        <v>5748</v>
      </c>
      <c r="I547" s="8" t="s">
        <v>26</v>
      </c>
    </row>
    <row r="548" spans="1:9">
      <c r="A548" s="113">
        <v>45975</v>
      </c>
      <c r="B548" s="7" t="s">
        <v>4222</v>
      </c>
      <c r="C548" s="139">
        <v>18567631</v>
      </c>
      <c r="D548" s="14">
        <v>0</v>
      </c>
      <c r="E548" s="14">
        <f t="shared" si="11"/>
        <v>50000.719999909401</v>
      </c>
      <c r="F548" s="116" t="s">
        <v>920</v>
      </c>
      <c r="G548" s="8" t="s">
        <v>381</v>
      </c>
    </row>
    <row r="549" spans="1:9">
      <c r="A549" s="113">
        <v>45981</v>
      </c>
      <c r="B549" s="7" t="s">
        <v>4210</v>
      </c>
      <c r="C549" s="139">
        <v>0</v>
      </c>
      <c r="D549" s="14">
        <v>400000</v>
      </c>
      <c r="E549" s="14">
        <f t="shared" si="11"/>
        <v>450000.7199999094</v>
      </c>
      <c r="F549" t="s">
        <v>6</v>
      </c>
      <c r="G549" s="8" t="s">
        <v>24</v>
      </c>
      <c r="H549" t="s">
        <v>4101</v>
      </c>
    </row>
    <row r="550" spans="1:9">
      <c r="A550" s="113">
        <v>45981</v>
      </c>
      <c r="B550" s="7" t="s">
        <v>4223</v>
      </c>
      <c r="C550" s="139">
        <v>400000</v>
      </c>
      <c r="D550" s="14">
        <v>0</v>
      </c>
      <c r="E550" s="14">
        <f t="shared" si="11"/>
        <v>50000.719999909401</v>
      </c>
      <c r="F550" s="116" t="s">
        <v>4</v>
      </c>
      <c r="G550" s="8" t="s">
        <v>5</v>
      </c>
      <c r="H550" s="40" t="s">
        <v>4077</v>
      </c>
      <c r="I550" t="s">
        <v>26</v>
      </c>
    </row>
    <row r="551" spans="1:9">
      <c r="A551" s="113">
        <v>45982</v>
      </c>
      <c r="B551" s="7" t="s">
        <v>327</v>
      </c>
      <c r="C551" s="139">
        <v>20000</v>
      </c>
      <c r="D551" s="14">
        <v>0</v>
      </c>
      <c r="E551" s="14">
        <f t="shared" si="11"/>
        <v>30000.719999909401</v>
      </c>
      <c r="F551" s="116" t="s">
        <v>19</v>
      </c>
      <c r="G551" s="8" t="s">
        <v>189</v>
      </c>
    </row>
    <row r="552" spans="1:9">
      <c r="A552" s="113">
        <v>45986</v>
      </c>
      <c r="B552" s="7" t="s">
        <v>4616</v>
      </c>
      <c r="C552" s="139">
        <v>0</v>
      </c>
      <c r="D552" s="14">
        <v>1456200</v>
      </c>
      <c r="E552" s="14">
        <f t="shared" si="11"/>
        <v>1486200.7199999094</v>
      </c>
      <c r="F552" t="s">
        <v>6</v>
      </c>
      <c r="G552" s="8" t="s">
        <v>24</v>
      </c>
      <c r="H552" t="s">
        <v>4101</v>
      </c>
    </row>
    <row r="553" spans="1:9">
      <c r="A553" s="113">
        <v>45986</v>
      </c>
      <c r="B553" s="7" t="s">
        <v>4617</v>
      </c>
      <c r="C553" s="139">
        <v>956200</v>
      </c>
      <c r="D553" s="14">
        <v>0</v>
      </c>
      <c r="E553" s="14">
        <f t="shared" si="11"/>
        <v>530000.7199999094</v>
      </c>
      <c r="F553" s="116" t="s">
        <v>62</v>
      </c>
      <c r="G553" s="8" t="s">
        <v>70</v>
      </c>
    </row>
    <row r="554" spans="1:9" s="8" customFormat="1">
      <c r="A554" s="13">
        <v>45986</v>
      </c>
      <c r="B554" s="226" t="s">
        <v>4618</v>
      </c>
      <c r="C554" s="14">
        <v>350000</v>
      </c>
      <c r="D554" s="14">
        <v>0</v>
      </c>
      <c r="E554" s="14">
        <f t="shared" si="11"/>
        <v>180000.7199999094</v>
      </c>
      <c r="F554" s="116" t="s">
        <v>4</v>
      </c>
      <c r="G554" s="8" t="s">
        <v>5</v>
      </c>
      <c r="H554" s="8" t="s">
        <v>5998</v>
      </c>
      <c r="I554" s="8" t="s">
        <v>26</v>
      </c>
    </row>
    <row r="555" spans="1:9">
      <c r="A555" s="113">
        <v>45986</v>
      </c>
      <c r="B555" s="7" t="s">
        <v>4619</v>
      </c>
      <c r="C555" s="139">
        <v>0</v>
      </c>
      <c r="D555" s="14">
        <v>20000</v>
      </c>
      <c r="E555" s="14">
        <f t="shared" si="11"/>
        <v>200000.7199999094</v>
      </c>
      <c r="F555" t="s">
        <v>6</v>
      </c>
      <c r="G555" t="s">
        <v>24</v>
      </c>
      <c r="H555" t="s">
        <v>4101</v>
      </c>
    </row>
    <row r="556" spans="1:9" s="8" customFormat="1">
      <c r="A556" s="13">
        <v>45986</v>
      </c>
      <c r="B556" s="226" t="s">
        <v>4620</v>
      </c>
      <c r="C556" s="54">
        <v>150000</v>
      </c>
      <c r="D556" s="54">
        <v>0</v>
      </c>
      <c r="E556" s="54">
        <f t="shared" si="11"/>
        <v>50000.719999909401</v>
      </c>
      <c r="F556" s="8" t="s">
        <v>10</v>
      </c>
      <c r="G556" s="8" t="s">
        <v>446</v>
      </c>
      <c r="H556" s="8" t="s">
        <v>4631</v>
      </c>
      <c r="I556" s="8" t="s">
        <v>26</v>
      </c>
    </row>
    <row r="557" spans="1:9">
      <c r="A557" s="113">
        <v>45989</v>
      </c>
      <c r="B557" s="7" t="s">
        <v>4616</v>
      </c>
      <c r="C557" s="139">
        <v>0</v>
      </c>
      <c r="D557" s="14">
        <v>73020000</v>
      </c>
      <c r="E557" s="14">
        <f t="shared" si="11"/>
        <v>73070000.719999909</v>
      </c>
      <c r="F557" t="s">
        <v>6</v>
      </c>
      <c r="G557" t="s">
        <v>24</v>
      </c>
      <c r="H557" t="s">
        <v>4101</v>
      </c>
    </row>
    <row r="558" spans="1:9">
      <c r="A558" s="113">
        <v>45989</v>
      </c>
      <c r="B558" s="7" t="s">
        <v>4621</v>
      </c>
      <c r="C558" s="139">
        <v>29000000</v>
      </c>
      <c r="D558" s="14">
        <v>0</v>
      </c>
      <c r="E558" s="14">
        <f t="shared" si="11"/>
        <v>44070000.719999909</v>
      </c>
      <c r="F558" t="s">
        <v>1400</v>
      </c>
      <c r="G558" t="s">
        <v>1400</v>
      </c>
    </row>
    <row r="559" spans="1:9">
      <c r="A559" s="113">
        <v>45989</v>
      </c>
      <c r="B559" s="7" t="s">
        <v>4622</v>
      </c>
      <c r="C559" s="139">
        <v>0</v>
      </c>
      <c r="D559" s="14">
        <v>29000000</v>
      </c>
      <c r="E559" s="14">
        <f t="shared" si="11"/>
        <v>73070000.719999909</v>
      </c>
      <c r="F559" t="s">
        <v>1400</v>
      </c>
      <c r="G559" t="s">
        <v>1400</v>
      </c>
    </row>
    <row r="560" spans="1:9">
      <c r="A560" s="113">
        <v>45989</v>
      </c>
      <c r="B560" s="7" t="s">
        <v>4621</v>
      </c>
      <c r="C560" s="139">
        <v>73000000</v>
      </c>
      <c r="D560" s="14">
        <v>0</v>
      </c>
      <c r="E560" s="14">
        <f t="shared" si="11"/>
        <v>70000.719999909401</v>
      </c>
      <c r="F560" t="s">
        <v>62</v>
      </c>
      <c r="G560" t="s">
        <v>23</v>
      </c>
    </row>
    <row r="561" spans="1:8">
      <c r="A561" s="113">
        <v>45989</v>
      </c>
      <c r="B561" s="7" t="s">
        <v>4623</v>
      </c>
      <c r="C561" s="139">
        <v>0</v>
      </c>
      <c r="D561" s="14">
        <v>2000000</v>
      </c>
      <c r="E561" s="14">
        <f t="shared" si="11"/>
        <v>2070000.7199999094</v>
      </c>
      <c r="F561" t="s">
        <v>10</v>
      </c>
      <c r="G561" t="s">
        <v>76</v>
      </c>
      <c r="H561" t="s">
        <v>12</v>
      </c>
    </row>
    <row r="562" spans="1:8">
      <c r="A562" s="113">
        <v>45989</v>
      </c>
      <c r="B562" s="7" t="s">
        <v>4624</v>
      </c>
      <c r="C562" s="139">
        <v>0</v>
      </c>
      <c r="D562" s="14">
        <v>2000000</v>
      </c>
      <c r="E562" s="14">
        <f t="shared" si="11"/>
        <v>4070000.7199999094</v>
      </c>
      <c r="F562" t="s">
        <v>10</v>
      </c>
      <c r="G562" t="s">
        <v>76</v>
      </c>
      <c r="H562" t="s">
        <v>57</v>
      </c>
    </row>
    <row r="563" spans="1:8">
      <c r="A563" s="113">
        <v>45989</v>
      </c>
      <c r="B563" s="7" t="s">
        <v>4625</v>
      </c>
      <c r="C563" s="139">
        <v>0</v>
      </c>
      <c r="D563" s="14">
        <v>500000</v>
      </c>
      <c r="E563" s="14">
        <f t="shared" si="11"/>
        <v>4570000.7199999094</v>
      </c>
      <c r="F563" t="s">
        <v>10</v>
      </c>
      <c r="G563" t="s">
        <v>76</v>
      </c>
      <c r="H563" t="s">
        <v>95</v>
      </c>
    </row>
    <row r="564" spans="1:8">
      <c r="A564" s="113">
        <v>45989</v>
      </c>
      <c r="B564" s="7" t="s">
        <v>4626</v>
      </c>
      <c r="C564" s="139">
        <v>2000000</v>
      </c>
      <c r="D564" s="14">
        <v>0</v>
      </c>
      <c r="E564" s="14">
        <f t="shared" si="11"/>
        <v>2570000.7199999094</v>
      </c>
      <c r="F564" t="s">
        <v>62</v>
      </c>
      <c r="G564" t="s">
        <v>23</v>
      </c>
    </row>
    <row r="565" spans="1:8">
      <c r="A565" s="113">
        <v>45989</v>
      </c>
      <c r="B565" s="7" t="s">
        <v>4627</v>
      </c>
      <c r="C565" s="139">
        <v>0</v>
      </c>
      <c r="D565" s="14">
        <v>10000000</v>
      </c>
      <c r="E565" s="14">
        <f t="shared" si="11"/>
        <v>12570000.719999909</v>
      </c>
      <c r="F565" t="s">
        <v>10</v>
      </c>
      <c r="G565" t="s">
        <v>76</v>
      </c>
      <c r="H565" t="s">
        <v>45</v>
      </c>
    </row>
    <row r="566" spans="1:8">
      <c r="A566" s="113">
        <v>45990</v>
      </c>
      <c r="B566" s="7" t="s">
        <v>4628</v>
      </c>
      <c r="C566" s="139">
        <v>442000</v>
      </c>
      <c r="D566" s="14">
        <v>0</v>
      </c>
      <c r="E566" s="14">
        <f t="shared" si="11"/>
        <v>12128000.719999909</v>
      </c>
      <c r="F566" t="s">
        <v>62</v>
      </c>
      <c r="G566" t="s">
        <v>70</v>
      </c>
    </row>
    <row r="567" spans="1:8">
      <c r="A567" s="113">
        <v>45990</v>
      </c>
      <c r="B567" s="7" t="s">
        <v>4629</v>
      </c>
      <c r="C567" s="139">
        <v>12058000</v>
      </c>
      <c r="D567" s="14">
        <v>0</v>
      </c>
      <c r="E567" s="14">
        <f t="shared" si="11"/>
        <v>70000.719999909401</v>
      </c>
      <c r="F567" t="s">
        <v>1400</v>
      </c>
      <c r="G567" t="s">
        <v>1400</v>
      </c>
    </row>
    <row r="568" spans="1:8">
      <c r="A568" s="113">
        <v>45990</v>
      </c>
      <c r="B568" s="7" t="s">
        <v>4630</v>
      </c>
      <c r="C568" s="139">
        <v>0</v>
      </c>
      <c r="D568" s="14">
        <v>12058000</v>
      </c>
      <c r="E568" s="14">
        <f t="shared" si="11"/>
        <v>12128000.719999909</v>
      </c>
      <c r="F568" t="s">
        <v>1400</v>
      </c>
      <c r="G568" t="s">
        <v>1400</v>
      </c>
    </row>
    <row r="569" spans="1:8">
      <c r="A569" s="113">
        <v>45991</v>
      </c>
      <c r="B569" s="7" t="s">
        <v>6007</v>
      </c>
      <c r="C569" s="139">
        <v>0</v>
      </c>
      <c r="D569" s="14">
        <v>187.22</v>
      </c>
      <c r="E569" s="14">
        <f t="shared" si="11"/>
        <v>12128187.93999991</v>
      </c>
      <c r="F569" t="s">
        <v>1209</v>
      </c>
      <c r="G569" t="s">
        <v>79</v>
      </c>
    </row>
    <row r="570" spans="1:8">
      <c r="A570" s="113">
        <v>45991</v>
      </c>
      <c r="B570" s="7" t="s">
        <v>6008</v>
      </c>
      <c r="C570" s="139">
        <v>37.44</v>
      </c>
      <c r="D570" s="14">
        <v>0</v>
      </c>
      <c r="E570" s="14">
        <f t="shared" si="11"/>
        <v>12128150.499999911</v>
      </c>
      <c r="F570" t="s">
        <v>1209</v>
      </c>
      <c r="G570" s="8" t="s">
        <v>79</v>
      </c>
    </row>
    <row r="571" spans="1:8">
      <c r="A571" s="113">
        <v>46001</v>
      </c>
      <c r="B571" s="7" t="s">
        <v>6009</v>
      </c>
      <c r="C571" s="144">
        <v>1400000</v>
      </c>
      <c r="D571" s="54">
        <v>0</v>
      </c>
      <c r="E571" s="54">
        <f t="shared" si="11"/>
        <v>10728150.499999911</v>
      </c>
      <c r="F571" t="s">
        <v>10</v>
      </c>
      <c r="G571" s="8" t="s">
        <v>446</v>
      </c>
      <c r="H571" s="40" t="s">
        <v>5752</v>
      </c>
    </row>
    <row r="572" spans="1:8">
      <c r="A572" s="113">
        <v>46001</v>
      </c>
      <c r="B572" s="7" t="s">
        <v>6010</v>
      </c>
      <c r="C572" s="144">
        <v>1450000</v>
      </c>
      <c r="D572" s="54">
        <v>0</v>
      </c>
      <c r="E572" s="54">
        <f t="shared" si="11"/>
        <v>9278150.4999999106</v>
      </c>
      <c r="F572" t="s">
        <v>10</v>
      </c>
      <c r="G572" s="8" t="s">
        <v>446</v>
      </c>
      <c r="H572" s="40" t="s">
        <v>5999</v>
      </c>
    </row>
    <row r="573" spans="1:8">
      <c r="A573" s="113">
        <v>46001</v>
      </c>
      <c r="B573" s="7" t="s">
        <v>6011</v>
      </c>
      <c r="C573" s="139">
        <v>1000000</v>
      </c>
      <c r="D573" s="14">
        <v>0</v>
      </c>
      <c r="E573" s="14">
        <f t="shared" si="11"/>
        <v>8278150.4999999106</v>
      </c>
      <c r="F573" t="s">
        <v>4</v>
      </c>
      <c r="G573" s="8" t="s">
        <v>5</v>
      </c>
      <c r="H573" s="40" t="s">
        <v>5998</v>
      </c>
    </row>
    <row r="574" spans="1:8">
      <c r="A574" s="113">
        <v>46001</v>
      </c>
      <c r="B574" s="7" t="s">
        <v>6012</v>
      </c>
      <c r="C574" s="139">
        <v>1500000</v>
      </c>
      <c r="D574" s="14">
        <v>0</v>
      </c>
      <c r="E574" s="14">
        <f t="shared" si="11"/>
        <v>6778150.4999999106</v>
      </c>
      <c r="F574" t="s">
        <v>4</v>
      </c>
      <c r="G574" s="8" t="s">
        <v>5</v>
      </c>
      <c r="H574" s="40" t="s">
        <v>5956</v>
      </c>
    </row>
    <row r="575" spans="1:8">
      <c r="A575" s="113">
        <v>46001</v>
      </c>
      <c r="B575" s="7" t="s">
        <v>6013</v>
      </c>
      <c r="C575" s="144">
        <v>950000</v>
      </c>
      <c r="D575" s="54">
        <v>0</v>
      </c>
      <c r="E575" s="54">
        <f t="shared" si="11"/>
        <v>5828150.4999999106</v>
      </c>
      <c r="F575" s="8" t="s">
        <v>10</v>
      </c>
      <c r="G575" s="8" t="s">
        <v>446</v>
      </c>
      <c r="H575" s="40" t="s">
        <v>4631</v>
      </c>
    </row>
    <row r="576" spans="1:8">
      <c r="A576" s="113">
        <v>46001</v>
      </c>
      <c r="B576" s="7" t="s">
        <v>6014</v>
      </c>
      <c r="C576" s="144">
        <v>950000</v>
      </c>
      <c r="D576" s="54">
        <v>0</v>
      </c>
      <c r="E576" s="54">
        <f t="shared" si="11"/>
        <v>4878150.4999999106</v>
      </c>
      <c r="F576" t="s">
        <v>10</v>
      </c>
      <c r="G576" s="8" t="s">
        <v>446</v>
      </c>
      <c r="H576" s="40" t="s">
        <v>5751</v>
      </c>
    </row>
    <row r="577" spans="1:9">
      <c r="A577" s="113">
        <v>46001</v>
      </c>
      <c r="B577" s="7" t="s">
        <v>6015</v>
      </c>
      <c r="C577" s="139">
        <v>1450000</v>
      </c>
      <c r="D577" s="14">
        <v>0</v>
      </c>
      <c r="E577" s="14">
        <f t="shared" si="11"/>
        <v>3428150.4999999106</v>
      </c>
      <c r="F577" t="s">
        <v>4</v>
      </c>
      <c r="G577" s="8" t="s">
        <v>5</v>
      </c>
      <c r="H577" s="40" t="s">
        <v>5998</v>
      </c>
    </row>
    <row r="578" spans="1:9">
      <c r="A578" s="113">
        <v>46001</v>
      </c>
      <c r="B578" s="7" t="s">
        <v>6016</v>
      </c>
      <c r="C578" s="139">
        <v>1450000</v>
      </c>
      <c r="D578" s="14">
        <v>0</v>
      </c>
      <c r="E578" s="14">
        <f t="shared" si="11"/>
        <v>1978150.4999999106</v>
      </c>
      <c r="F578" t="s">
        <v>4</v>
      </c>
      <c r="G578" s="8" t="s">
        <v>5</v>
      </c>
      <c r="H578" s="40" t="s">
        <v>5956</v>
      </c>
    </row>
    <row r="579" spans="1:9">
      <c r="A579" s="113">
        <v>46001</v>
      </c>
      <c r="B579" s="7" t="s">
        <v>6017</v>
      </c>
      <c r="C579" s="144">
        <v>1350000</v>
      </c>
      <c r="D579" s="54">
        <v>0</v>
      </c>
      <c r="E579" s="54">
        <f t="shared" si="11"/>
        <v>628150.49999991059</v>
      </c>
      <c r="F579" s="8" t="s">
        <v>10</v>
      </c>
      <c r="G579" s="8" t="s">
        <v>446</v>
      </c>
      <c r="H579" s="40" t="s">
        <v>4631</v>
      </c>
    </row>
    <row r="580" spans="1:9">
      <c r="A580" s="113">
        <v>46001</v>
      </c>
      <c r="B580" s="7" t="s">
        <v>6035</v>
      </c>
      <c r="C580" s="139">
        <v>0</v>
      </c>
      <c r="D580" s="14">
        <v>13000000</v>
      </c>
      <c r="E580" s="14">
        <f t="shared" si="11"/>
        <v>13628150.499999911</v>
      </c>
      <c r="F580" t="s">
        <v>6</v>
      </c>
      <c r="G580" s="8" t="s">
        <v>101</v>
      </c>
      <c r="H580" t="s">
        <v>6025</v>
      </c>
      <c r="I580" t="s">
        <v>6036</v>
      </c>
    </row>
    <row r="581" spans="1:9">
      <c r="A581" s="113">
        <v>46001</v>
      </c>
      <c r="B581" s="7" t="s">
        <v>6043</v>
      </c>
      <c r="C581" s="139">
        <v>0</v>
      </c>
      <c r="D581" s="14">
        <v>135000000</v>
      </c>
      <c r="E581" s="14">
        <f t="shared" si="11"/>
        <v>148628150.49999991</v>
      </c>
      <c r="F581" t="s">
        <v>6</v>
      </c>
      <c r="G581" s="8" t="s">
        <v>101</v>
      </c>
      <c r="H581" t="s">
        <v>6025</v>
      </c>
      <c r="I581" t="s">
        <v>6042</v>
      </c>
    </row>
    <row r="582" spans="1:9">
      <c r="A582" s="113">
        <v>46001</v>
      </c>
      <c r="B582" s="7" t="s">
        <v>6039</v>
      </c>
      <c r="C582" s="139">
        <v>0</v>
      </c>
      <c r="D582" s="14">
        <v>25064000</v>
      </c>
      <c r="E582" s="14">
        <f t="shared" si="11"/>
        <v>173692150.49999991</v>
      </c>
      <c r="F582" t="s">
        <v>6</v>
      </c>
      <c r="G582" s="8" t="s">
        <v>101</v>
      </c>
      <c r="H582" t="s">
        <v>6025</v>
      </c>
      <c r="I582" t="s">
        <v>6040</v>
      </c>
    </row>
    <row r="583" spans="1:9">
      <c r="A583" s="113">
        <v>46001</v>
      </c>
      <c r="B583" s="7" t="s">
        <v>6291</v>
      </c>
      <c r="C583" s="144">
        <v>0</v>
      </c>
      <c r="D583" s="54">
        <v>134757000</v>
      </c>
      <c r="E583" s="54">
        <f t="shared" si="11"/>
        <v>308449150.49999988</v>
      </c>
      <c r="F583" t="s">
        <v>6</v>
      </c>
      <c r="G583" s="8" t="s">
        <v>101</v>
      </c>
      <c r="H583" t="s">
        <v>6025</v>
      </c>
      <c r="I583" t="s">
        <v>6041</v>
      </c>
    </row>
    <row r="584" spans="1:9">
      <c r="A584" s="113">
        <v>46001</v>
      </c>
      <c r="B584" s="7" t="s">
        <v>6291</v>
      </c>
      <c r="C584" s="144">
        <v>0</v>
      </c>
      <c r="D584" s="54">
        <f>135000000-D583</f>
        <v>243000</v>
      </c>
      <c r="E584" s="54">
        <f t="shared" si="11"/>
        <v>308692150.49999988</v>
      </c>
      <c r="F584" t="s">
        <v>6</v>
      </c>
      <c r="G584" s="8" t="s">
        <v>101</v>
      </c>
      <c r="H584" t="s">
        <v>6025</v>
      </c>
      <c r="I584" t="s">
        <v>6041</v>
      </c>
    </row>
    <row r="585" spans="1:9">
      <c r="A585" s="113">
        <v>46001</v>
      </c>
      <c r="B585" s="7" t="s">
        <v>6291</v>
      </c>
      <c r="C585" s="144">
        <f>D584</f>
        <v>243000</v>
      </c>
      <c r="D585" s="54">
        <v>0</v>
      </c>
      <c r="E585" s="54">
        <f t="shared" si="11"/>
        <v>308449150.49999988</v>
      </c>
      <c r="F585" t="s">
        <v>1209</v>
      </c>
      <c r="G585" s="8" t="s">
        <v>69</v>
      </c>
    </row>
    <row r="586" spans="1:9">
      <c r="A586" s="113">
        <v>46001</v>
      </c>
      <c r="B586" s="7" t="s">
        <v>6018</v>
      </c>
      <c r="C586" s="139">
        <v>1000000</v>
      </c>
      <c r="D586" s="14">
        <v>0</v>
      </c>
      <c r="E586" s="14">
        <f t="shared" si="11"/>
        <v>307449150.49999988</v>
      </c>
      <c r="F586" t="s">
        <v>4</v>
      </c>
      <c r="G586" s="8" t="s">
        <v>5</v>
      </c>
      <c r="H586" s="40" t="s">
        <v>5998</v>
      </c>
    </row>
    <row r="587" spans="1:9">
      <c r="A587" s="113">
        <v>46001</v>
      </c>
      <c r="B587" s="7" t="s">
        <v>6019</v>
      </c>
      <c r="C587" s="144">
        <v>950000</v>
      </c>
      <c r="D587" s="54">
        <v>0</v>
      </c>
      <c r="E587" s="54">
        <f t="shared" si="11"/>
        <v>306499150.49999988</v>
      </c>
      <c r="F587" t="s">
        <v>10</v>
      </c>
      <c r="G587" s="8" t="s">
        <v>446</v>
      </c>
      <c r="H587" s="40" t="s">
        <v>5751</v>
      </c>
    </row>
    <row r="588" spans="1:9">
      <c r="A588" s="113">
        <v>46001</v>
      </c>
      <c r="B588" s="7" t="s">
        <v>6020</v>
      </c>
      <c r="C588" s="144">
        <v>900000</v>
      </c>
      <c r="D588" s="54">
        <v>0</v>
      </c>
      <c r="E588" s="54">
        <f t="shared" si="11"/>
        <v>305599150.49999988</v>
      </c>
      <c r="F588" t="s">
        <v>10</v>
      </c>
      <c r="G588" s="8" t="s">
        <v>446</v>
      </c>
      <c r="H588" s="40" t="s">
        <v>5999</v>
      </c>
    </row>
    <row r="589" spans="1:9">
      <c r="A589" s="113">
        <v>46001</v>
      </c>
      <c r="B589" s="7" t="s">
        <v>6021</v>
      </c>
      <c r="C589" s="139">
        <v>1450000</v>
      </c>
      <c r="D589" s="14">
        <v>0</v>
      </c>
      <c r="E589" s="14">
        <f t="shared" si="11"/>
        <v>304149150.49999988</v>
      </c>
      <c r="F589" t="s">
        <v>4</v>
      </c>
      <c r="G589" s="8" t="s">
        <v>5</v>
      </c>
      <c r="H589" s="40" t="s">
        <v>5956</v>
      </c>
    </row>
    <row r="590" spans="1:9">
      <c r="A590" s="113">
        <v>46001</v>
      </c>
      <c r="B590" s="7" t="s">
        <v>6022</v>
      </c>
      <c r="C590" s="144">
        <v>900000</v>
      </c>
      <c r="D590" s="54">
        <v>0</v>
      </c>
      <c r="E590" s="54">
        <f t="shared" si="11"/>
        <v>303249150.49999988</v>
      </c>
      <c r="F590" s="8" t="s">
        <v>10</v>
      </c>
      <c r="G590" s="8" t="s">
        <v>446</v>
      </c>
      <c r="H590" s="40" t="s">
        <v>4631</v>
      </c>
    </row>
    <row r="591" spans="1:9">
      <c r="A591" s="113">
        <v>46001</v>
      </c>
      <c r="B591" s="7" t="s">
        <v>6023</v>
      </c>
      <c r="C591" s="144">
        <v>150000</v>
      </c>
      <c r="D591" s="54">
        <v>0</v>
      </c>
      <c r="E591" s="54">
        <f t="shared" si="11"/>
        <v>303099150.49999988</v>
      </c>
      <c r="F591" s="8" t="s">
        <v>10</v>
      </c>
      <c r="G591" s="8" t="s">
        <v>446</v>
      </c>
      <c r="H591" s="40" t="s">
        <v>4631</v>
      </c>
    </row>
    <row r="592" spans="1:9">
      <c r="A592" s="113">
        <v>46002</v>
      </c>
      <c r="B592" s="7" t="s">
        <v>6039</v>
      </c>
      <c r="C592" s="139">
        <v>0</v>
      </c>
      <c r="D592" s="14">
        <v>106060000</v>
      </c>
      <c r="E592" s="14">
        <f t="shared" si="11"/>
        <v>409159150.49999988</v>
      </c>
      <c r="F592" t="s">
        <v>6</v>
      </c>
      <c r="G592" s="8" t="s">
        <v>101</v>
      </c>
      <c r="H592" t="s">
        <v>6025</v>
      </c>
      <c r="I592" t="s">
        <v>6040</v>
      </c>
    </row>
    <row r="593" spans="1:9">
      <c r="A593" s="113">
        <v>46002</v>
      </c>
      <c r="B593" s="7" t="s">
        <v>6035</v>
      </c>
      <c r="C593" s="139">
        <v>0</v>
      </c>
      <c r="D593" s="14">
        <v>79650000</v>
      </c>
      <c r="E593" s="14">
        <f t="shared" ref="E593:E595" si="12">E592-C593+D593</f>
        <v>488809150.49999988</v>
      </c>
      <c r="F593" t="s">
        <v>6</v>
      </c>
      <c r="G593" s="8" t="s">
        <v>101</v>
      </c>
      <c r="H593" t="s">
        <v>6025</v>
      </c>
      <c r="I593" t="s">
        <v>6036</v>
      </c>
    </row>
    <row r="594" spans="1:9">
      <c r="A594" s="113">
        <v>46002</v>
      </c>
      <c r="B594" s="7" t="s">
        <v>6035</v>
      </c>
      <c r="C594" s="139">
        <v>0</v>
      </c>
      <c r="D594" s="14">
        <v>42350000</v>
      </c>
      <c r="E594" s="14">
        <f t="shared" si="12"/>
        <v>531159150.49999988</v>
      </c>
      <c r="F594" t="s">
        <v>6</v>
      </c>
      <c r="G594" s="8" t="s">
        <v>101</v>
      </c>
      <c r="H594" t="s">
        <v>6025</v>
      </c>
      <c r="I594" t="s">
        <v>6036</v>
      </c>
    </row>
    <row r="595" spans="1:9">
      <c r="A595" s="113">
        <v>46002</v>
      </c>
      <c r="B595" s="7" t="s">
        <v>6031</v>
      </c>
      <c r="C595" s="139">
        <v>0</v>
      </c>
      <c r="D595" s="14">
        <v>135000000</v>
      </c>
      <c r="E595" s="14">
        <f t="shared" si="12"/>
        <v>666159150.49999988</v>
      </c>
      <c r="F595" t="s">
        <v>6</v>
      </c>
      <c r="G595" s="8" t="s">
        <v>101</v>
      </c>
      <c r="H595" t="s">
        <v>6025</v>
      </c>
      <c r="I595" t="s">
        <v>6034</v>
      </c>
    </row>
    <row r="596" spans="1:9">
      <c r="A596" s="113">
        <v>46002</v>
      </c>
      <c r="B596" s="7" t="s">
        <v>6029</v>
      </c>
      <c r="C596" s="139">
        <v>0</v>
      </c>
      <c r="D596" s="14">
        <v>28431000</v>
      </c>
      <c r="E596" s="14">
        <f t="shared" ref="E596:E659" si="13">E595-C596+D596</f>
        <v>694590150.49999988</v>
      </c>
      <c r="F596" t="s">
        <v>6</v>
      </c>
      <c r="G596" s="8" t="s">
        <v>101</v>
      </c>
      <c r="H596" t="s">
        <v>6025</v>
      </c>
      <c r="I596" t="s">
        <v>6030</v>
      </c>
    </row>
    <row r="597" spans="1:9">
      <c r="A597" s="113">
        <v>46002</v>
      </c>
      <c r="B597" s="7" t="s">
        <v>6037</v>
      </c>
      <c r="C597" s="139">
        <v>0</v>
      </c>
      <c r="D597" s="14">
        <v>100845000</v>
      </c>
      <c r="E597" s="14">
        <f t="shared" si="13"/>
        <v>795435150.49999988</v>
      </c>
      <c r="F597" t="s">
        <v>6</v>
      </c>
      <c r="G597" s="8" t="s">
        <v>101</v>
      </c>
      <c r="H597" t="s">
        <v>6025</v>
      </c>
      <c r="I597" t="s">
        <v>6038</v>
      </c>
    </row>
    <row r="598" spans="1:9">
      <c r="A598" s="113">
        <v>46002</v>
      </c>
      <c r="B598" s="7" t="s">
        <v>6027</v>
      </c>
      <c r="C598" s="139">
        <v>0</v>
      </c>
      <c r="D598" s="14">
        <v>135000000</v>
      </c>
      <c r="E598" s="14">
        <f t="shared" si="13"/>
        <v>930435150.49999988</v>
      </c>
      <c r="F598" t="s">
        <v>6</v>
      </c>
      <c r="G598" s="8" t="s">
        <v>101</v>
      </c>
      <c r="H598" t="s">
        <v>6025</v>
      </c>
      <c r="I598" t="s">
        <v>6028</v>
      </c>
    </row>
    <row r="599" spans="1:9">
      <c r="A599" s="113">
        <v>46002</v>
      </c>
      <c r="B599" s="7" t="s">
        <v>6029</v>
      </c>
      <c r="C599" s="139">
        <v>0</v>
      </c>
      <c r="D599" s="14">
        <v>106569000</v>
      </c>
      <c r="E599" s="14">
        <f t="shared" si="13"/>
        <v>1037004150.4999999</v>
      </c>
      <c r="F599" t="s">
        <v>6</v>
      </c>
      <c r="G599" s="8" t="s">
        <v>101</v>
      </c>
      <c r="H599" t="s">
        <v>6025</v>
      </c>
      <c r="I599" t="s">
        <v>6030</v>
      </c>
    </row>
    <row r="600" spans="1:9">
      <c r="A600" s="113">
        <v>46002</v>
      </c>
      <c r="B600" s="7" t="s">
        <v>6037</v>
      </c>
      <c r="C600" s="139">
        <v>0</v>
      </c>
      <c r="D600" s="14">
        <v>34155000</v>
      </c>
      <c r="E600" s="14">
        <f t="shared" si="13"/>
        <v>1071159150.4999999</v>
      </c>
      <c r="F600" t="s">
        <v>6</v>
      </c>
      <c r="G600" s="8" t="s">
        <v>101</v>
      </c>
      <c r="H600" t="s">
        <v>6025</v>
      </c>
      <c r="I600" t="s">
        <v>6038</v>
      </c>
    </row>
    <row r="601" spans="1:9">
      <c r="A601" s="113">
        <v>46002</v>
      </c>
      <c r="B601" s="7" t="s">
        <v>6032</v>
      </c>
      <c r="C601" s="139">
        <v>0</v>
      </c>
      <c r="D601" s="14">
        <v>135000000</v>
      </c>
      <c r="E601" s="14">
        <f t="shared" si="13"/>
        <v>1206159150.5</v>
      </c>
      <c r="F601" t="s">
        <v>6</v>
      </c>
      <c r="G601" s="8" t="s">
        <v>101</v>
      </c>
      <c r="H601" t="s">
        <v>6025</v>
      </c>
      <c r="I601" t="s">
        <v>6033</v>
      </c>
    </row>
    <row r="602" spans="1:9">
      <c r="A602" s="113">
        <v>46002</v>
      </c>
      <c r="B602" s="7" t="s">
        <v>6024</v>
      </c>
      <c r="C602" s="139">
        <v>0</v>
      </c>
      <c r="D602" s="14">
        <v>135000000</v>
      </c>
      <c r="E602" s="14">
        <f t="shared" si="13"/>
        <v>1341159150.5</v>
      </c>
      <c r="F602" t="s">
        <v>6</v>
      </c>
      <c r="G602" s="8" t="s">
        <v>101</v>
      </c>
      <c r="H602" t="s">
        <v>6025</v>
      </c>
      <c r="I602" t="s">
        <v>6026</v>
      </c>
    </row>
    <row r="603" spans="1:9">
      <c r="A603" s="113">
        <v>46002</v>
      </c>
      <c r="B603" s="7" t="s">
        <v>6088</v>
      </c>
      <c r="C603" s="139">
        <v>515000</v>
      </c>
      <c r="D603" s="14">
        <v>0</v>
      </c>
      <c r="E603" s="14">
        <f t="shared" si="13"/>
        <v>1340644150.5</v>
      </c>
      <c r="F603" t="s">
        <v>62</v>
      </c>
      <c r="G603" s="8" t="s">
        <v>30</v>
      </c>
    </row>
    <row r="604" spans="1:9">
      <c r="A604" s="113">
        <v>46002</v>
      </c>
      <c r="B604" s="7" t="s">
        <v>6089</v>
      </c>
      <c r="C604" s="139">
        <v>945000</v>
      </c>
      <c r="D604" s="14">
        <v>0</v>
      </c>
      <c r="E604" s="14">
        <f t="shared" si="13"/>
        <v>1339699150.5</v>
      </c>
      <c r="F604" t="s">
        <v>62</v>
      </c>
      <c r="G604" s="8" t="s">
        <v>30</v>
      </c>
    </row>
    <row r="605" spans="1:9">
      <c r="A605" s="113">
        <v>46002</v>
      </c>
      <c r="B605" s="7" t="s">
        <v>6090</v>
      </c>
      <c r="C605" s="139">
        <v>1560000</v>
      </c>
      <c r="D605" s="14">
        <v>0</v>
      </c>
      <c r="E605" s="14">
        <f t="shared" si="13"/>
        <v>1338139150.5</v>
      </c>
      <c r="F605" t="s">
        <v>62</v>
      </c>
      <c r="G605" s="8" t="s">
        <v>30</v>
      </c>
    </row>
    <row r="606" spans="1:9">
      <c r="A606" s="113">
        <v>46002</v>
      </c>
      <c r="B606" s="7" t="s">
        <v>6091</v>
      </c>
      <c r="C606" s="139">
        <v>600000</v>
      </c>
      <c r="D606" s="14">
        <v>0</v>
      </c>
      <c r="E606" s="14">
        <f t="shared" si="13"/>
        <v>1337539150.5</v>
      </c>
      <c r="F606" t="s">
        <v>62</v>
      </c>
      <c r="G606" s="8" t="s">
        <v>30</v>
      </c>
    </row>
    <row r="607" spans="1:9">
      <c r="A607" s="113">
        <v>46002</v>
      </c>
      <c r="B607" s="7" t="s">
        <v>6092</v>
      </c>
      <c r="C607" s="139">
        <v>50000</v>
      </c>
      <c r="D607" s="14">
        <v>0</v>
      </c>
      <c r="E607" s="14">
        <f t="shared" si="13"/>
        <v>1337489150.5</v>
      </c>
      <c r="F607" t="s">
        <v>6</v>
      </c>
      <c r="G607" s="8" t="s">
        <v>24</v>
      </c>
      <c r="H607" t="s">
        <v>25</v>
      </c>
    </row>
    <row r="608" spans="1:9">
      <c r="A608" s="113">
        <v>46002</v>
      </c>
      <c r="B608" s="7" t="s">
        <v>6093</v>
      </c>
      <c r="C608" s="139">
        <v>6000000</v>
      </c>
      <c r="D608" s="14">
        <v>0</v>
      </c>
      <c r="E608" s="14">
        <f t="shared" si="13"/>
        <v>1331489150.5</v>
      </c>
      <c r="F608" t="s">
        <v>6</v>
      </c>
      <c r="G608" s="8" t="s">
        <v>24</v>
      </c>
      <c r="H608" t="s">
        <v>4101</v>
      </c>
    </row>
    <row r="609" spans="1:9">
      <c r="A609" s="113">
        <v>46002</v>
      </c>
      <c r="B609" s="7" t="s">
        <v>6094</v>
      </c>
      <c r="C609" s="139">
        <v>400000</v>
      </c>
      <c r="D609" s="14">
        <v>0</v>
      </c>
      <c r="E609" s="14">
        <f t="shared" si="13"/>
        <v>1331089150.5</v>
      </c>
      <c r="F609" t="s">
        <v>6</v>
      </c>
      <c r="G609" s="8" t="s">
        <v>24</v>
      </c>
      <c r="H609" t="s">
        <v>4101</v>
      </c>
    </row>
    <row r="610" spans="1:9">
      <c r="A610" s="113">
        <v>46002</v>
      </c>
      <c r="B610" s="7" t="s">
        <v>6095</v>
      </c>
      <c r="C610" s="139">
        <v>1456200</v>
      </c>
      <c r="D610" s="14">
        <v>0</v>
      </c>
      <c r="E610" s="14">
        <f t="shared" si="13"/>
        <v>1329632950.5</v>
      </c>
      <c r="F610" t="s">
        <v>6</v>
      </c>
      <c r="G610" s="8" t="s">
        <v>24</v>
      </c>
      <c r="H610" t="s">
        <v>4101</v>
      </c>
    </row>
    <row r="611" spans="1:9">
      <c r="A611" s="113">
        <v>46002</v>
      </c>
      <c r="B611" s="7" t="s">
        <v>6095</v>
      </c>
      <c r="C611" s="139">
        <v>20000</v>
      </c>
      <c r="D611" s="14">
        <v>0</v>
      </c>
      <c r="E611" s="14">
        <f t="shared" si="13"/>
        <v>1329612950.5</v>
      </c>
      <c r="F611" t="s">
        <v>6</v>
      </c>
      <c r="G611" s="8" t="s">
        <v>24</v>
      </c>
      <c r="H611" t="s">
        <v>4101</v>
      </c>
    </row>
    <row r="612" spans="1:9">
      <c r="A612" s="113">
        <v>46002</v>
      </c>
      <c r="B612" s="7" t="s">
        <v>6096</v>
      </c>
      <c r="C612" s="139">
        <v>73020000</v>
      </c>
      <c r="D612" s="14">
        <v>0</v>
      </c>
      <c r="E612" s="14">
        <f t="shared" si="13"/>
        <v>1256592950.5</v>
      </c>
      <c r="F612" t="s">
        <v>6</v>
      </c>
      <c r="G612" s="8" t="s">
        <v>24</v>
      </c>
      <c r="H612" t="s">
        <v>4101</v>
      </c>
    </row>
    <row r="613" spans="1:9">
      <c r="A613" s="113">
        <v>46002</v>
      </c>
      <c r="B613" s="7" t="s">
        <v>6097</v>
      </c>
      <c r="C613" s="139">
        <v>15566611</v>
      </c>
      <c r="D613" s="14">
        <v>0</v>
      </c>
      <c r="E613" s="14">
        <f t="shared" si="13"/>
        <v>1241026339.5</v>
      </c>
      <c r="F613" t="s">
        <v>6</v>
      </c>
      <c r="G613" s="8" t="s">
        <v>24</v>
      </c>
      <c r="H613" t="s">
        <v>25</v>
      </c>
    </row>
    <row r="614" spans="1:9">
      <c r="A614" s="113">
        <v>46003</v>
      </c>
      <c r="B614" s="7" t="s">
        <v>6306</v>
      </c>
      <c r="C614" s="144">
        <v>0</v>
      </c>
      <c r="D614" s="54">
        <v>4000000</v>
      </c>
      <c r="E614" s="54">
        <f t="shared" si="13"/>
        <v>1245026339.5</v>
      </c>
      <c r="F614" t="s">
        <v>6</v>
      </c>
      <c r="G614" s="8" t="s">
        <v>101</v>
      </c>
      <c r="H614" t="s">
        <v>6025</v>
      </c>
      <c r="I614" t="s">
        <v>6040</v>
      </c>
    </row>
    <row r="615" spans="1:9">
      <c r="A615" s="113">
        <v>46003</v>
      </c>
      <c r="B615" s="7" t="s">
        <v>6306</v>
      </c>
      <c r="C615" s="144">
        <v>124000</v>
      </c>
      <c r="D615" s="54">
        <v>0</v>
      </c>
      <c r="E615" s="54">
        <f t="shared" si="13"/>
        <v>1244902339.5</v>
      </c>
      <c r="F615" t="s">
        <v>6</v>
      </c>
      <c r="G615" s="8" t="s">
        <v>101</v>
      </c>
      <c r="H615" t="s">
        <v>6025</v>
      </c>
      <c r="I615" t="s">
        <v>6040</v>
      </c>
    </row>
    <row r="616" spans="1:9">
      <c r="A616" s="113">
        <v>46003</v>
      </c>
      <c r="B616" s="7" t="s">
        <v>6292</v>
      </c>
      <c r="C616" s="144">
        <v>0</v>
      </c>
      <c r="D616" s="54">
        <f>C615</f>
        <v>124000</v>
      </c>
      <c r="E616" s="54">
        <f t="shared" si="13"/>
        <v>1245026339.5</v>
      </c>
      <c r="F616" t="s">
        <v>1209</v>
      </c>
      <c r="G616" s="8" t="s">
        <v>192</v>
      </c>
    </row>
    <row r="617" spans="1:9">
      <c r="A617" s="113">
        <v>46008</v>
      </c>
      <c r="B617" s="7" t="s">
        <v>6272</v>
      </c>
      <c r="C617" s="144">
        <v>500000</v>
      </c>
      <c r="D617" s="54">
        <v>0</v>
      </c>
      <c r="E617" s="54">
        <f t="shared" si="13"/>
        <v>1244526339.5</v>
      </c>
      <c r="F617" t="s">
        <v>4</v>
      </c>
      <c r="G617" s="8" t="s">
        <v>5</v>
      </c>
      <c r="H617" t="s">
        <v>6123</v>
      </c>
    </row>
    <row r="618" spans="1:9">
      <c r="A618" s="113">
        <v>46008</v>
      </c>
      <c r="B618" s="7" t="s">
        <v>6273</v>
      </c>
      <c r="C618" s="144">
        <v>150000</v>
      </c>
      <c r="D618" s="54">
        <v>0</v>
      </c>
      <c r="E618" s="54">
        <f t="shared" si="13"/>
        <v>1244376339.5</v>
      </c>
      <c r="F618" t="s">
        <v>4</v>
      </c>
      <c r="G618" s="8" t="s">
        <v>5</v>
      </c>
      <c r="H618" t="s">
        <v>6123</v>
      </c>
    </row>
    <row r="619" spans="1:9">
      <c r="A619" s="113">
        <v>46008</v>
      </c>
      <c r="B619" s="7" t="s">
        <v>6274</v>
      </c>
      <c r="C619" s="144">
        <v>400000</v>
      </c>
      <c r="D619" s="54">
        <v>0</v>
      </c>
      <c r="E619" s="54">
        <f t="shared" si="13"/>
        <v>1243976339.5</v>
      </c>
      <c r="F619" t="s">
        <v>4</v>
      </c>
      <c r="G619" s="8" t="s">
        <v>5</v>
      </c>
      <c r="H619" t="s">
        <v>6123</v>
      </c>
    </row>
    <row r="620" spans="1:9">
      <c r="A620" s="113">
        <v>46008</v>
      </c>
      <c r="B620" s="7" t="s">
        <v>6275</v>
      </c>
      <c r="C620" s="144">
        <v>300000</v>
      </c>
      <c r="D620" s="54">
        <v>0</v>
      </c>
      <c r="E620" s="54">
        <f t="shared" si="13"/>
        <v>1243676339.5</v>
      </c>
      <c r="F620" t="s">
        <v>4</v>
      </c>
      <c r="G620" s="8" t="s">
        <v>5</v>
      </c>
      <c r="H620" t="s">
        <v>6123</v>
      </c>
    </row>
    <row r="621" spans="1:9">
      <c r="A621" s="113">
        <v>46010</v>
      </c>
      <c r="B621" s="7" t="s">
        <v>327</v>
      </c>
      <c r="C621" s="144">
        <v>20000</v>
      </c>
      <c r="D621" s="54">
        <v>0</v>
      </c>
      <c r="E621" s="54">
        <f t="shared" si="13"/>
        <v>1243656339.5</v>
      </c>
      <c r="F621" t="s">
        <v>19</v>
      </c>
      <c r="G621" s="8" t="s">
        <v>189</v>
      </c>
    </row>
    <row r="622" spans="1:9">
      <c r="A622" s="113">
        <v>46011</v>
      </c>
      <c r="B622" s="7" t="s">
        <v>6387</v>
      </c>
      <c r="C622" s="144">
        <v>600000</v>
      </c>
      <c r="D622" s="54">
        <v>0</v>
      </c>
      <c r="E622" s="54">
        <f t="shared" si="13"/>
        <v>1243056339.5</v>
      </c>
      <c r="F622" t="s">
        <v>4</v>
      </c>
      <c r="G622" s="8" t="s">
        <v>5</v>
      </c>
      <c r="H622" t="s">
        <v>6123</v>
      </c>
    </row>
    <row r="623" spans="1:9" s="8" customFormat="1">
      <c r="A623" s="13">
        <v>46013</v>
      </c>
      <c r="B623" s="226" t="s">
        <v>6531</v>
      </c>
      <c r="C623" s="54">
        <v>0</v>
      </c>
      <c r="D623" s="54">
        <v>120000000</v>
      </c>
      <c r="E623" s="54">
        <f t="shared" si="13"/>
        <v>1363056339.5</v>
      </c>
      <c r="F623" s="8" t="s">
        <v>6</v>
      </c>
      <c r="G623" s="8" t="s">
        <v>101</v>
      </c>
      <c r="H623" s="8" t="s">
        <v>6532</v>
      </c>
    </row>
    <row r="624" spans="1:9" s="8" customFormat="1">
      <c r="A624" s="13">
        <v>46014</v>
      </c>
      <c r="B624" s="226" t="s">
        <v>6538</v>
      </c>
      <c r="C624" s="54">
        <v>0</v>
      </c>
      <c r="D624" s="54">
        <v>1000000</v>
      </c>
      <c r="E624" s="54">
        <f t="shared" si="13"/>
        <v>1364056339.5</v>
      </c>
      <c r="F624" s="8" t="s">
        <v>6</v>
      </c>
      <c r="G624" s="8" t="s">
        <v>101</v>
      </c>
      <c r="H624" s="8" t="s">
        <v>6532</v>
      </c>
    </row>
    <row r="625" spans="1:8">
      <c r="A625" s="113">
        <v>46014</v>
      </c>
      <c r="B625" s="7" t="s">
        <v>6388</v>
      </c>
      <c r="C625" s="144">
        <v>800000</v>
      </c>
      <c r="D625" s="54">
        <v>0</v>
      </c>
      <c r="E625" s="54">
        <f t="shared" si="13"/>
        <v>1363256339.5</v>
      </c>
      <c r="F625" t="s">
        <v>4</v>
      </c>
      <c r="G625" s="8" t="s">
        <v>5</v>
      </c>
      <c r="H625" t="s">
        <v>6293</v>
      </c>
    </row>
    <row r="626" spans="1:8">
      <c r="A626" s="113">
        <v>46014</v>
      </c>
      <c r="B626" s="7" t="s">
        <v>6389</v>
      </c>
      <c r="C626" s="144">
        <v>1700000</v>
      </c>
      <c r="D626" s="54">
        <v>0</v>
      </c>
      <c r="E626" s="54">
        <f t="shared" si="13"/>
        <v>1361556339.5</v>
      </c>
      <c r="F626" t="s">
        <v>10</v>
      </c>
      <c r="G626" s="8" t="s">
        <v>76</v>
      </c>
      <c r="H626" t="s">
        <v>95</v>
      </c>
    </row>
    <row r="627" spans="1:8">
      <c r="A627" s="113">
        <v>46014</v>
      </c>
      <c r="B627" s="7" t="s">
        <v>6534</v>
      </c>
      <c r="C627" s="144">
        <v>0</v>
      </c>
      <c r="D627" s="54">
        <v>200000</v>
      </c>
      <c r="E627" s="54">
        <f t="shared" si="13"/>
        <v>1361756339.5</v>
      </c>
      <c r="F627" t="s">
        <v>4</v>
      </c>
      <c r="G627" s="8" t="s">
        <v>5</v>
      </c>
      <c r="H627" t="s">
        <v>6293</v>
      </c>
    </row>
    <row r="628" spans="1:8">
      <c r="A628" s="113">
        <v>46014</v>
      </c>
      <c r="B628" s="7" t="s">
        <v>6390</v>
      </c>
      <c r="C628" s="144">
        <v>300000</v>
      </c>
      <c r="D628" s="54">
        <v>0</v>
      </c>
      <c r="E628" s="54">
        <f t="shared" si="13"/>
        <v>1361456339.5</v>
      </c>
      <c r="F628" t="s">
        <v>62</v>
      </c>
      <c r="G628" s="8" t="s">
        <v>177</v>
      </c>
    </row>
    <row r="629" spans="1:8">
      <c r="A629" s="113">
        <v>46014</v>
      </c>
      <c r="B629" s="7" t="s">
        <v>6391</v>
      </c>
      <c r="C629" s="144">
        <v>150000</v>
      </c>
      <c r="D629" s="54">
        <v>0</v>
      </c>
      <c r="E629" s="54">
        <f t="shared" si="13"/>
        <v>1361306339.5</v>
      </c>
      <c r="F629" t="s">
        <v>62</v>
      </c>
      <c r="G629" s="8" t="s">
        <v>177</v>
      </c>
    </row>
    <row r="630" spans="1:8">
      <c r="A630" s="113">
        <v>46014</v>
      </c>
      <c r="B630" s="7" t="s">
        <v>6392</v>
      </c>
      <c r="C630" s="144">
        <v>300000</v>
      </c>
      <c r="D630" s="54">
        <v>0</v>
      </c>
      <c r="E630" s="54">
        <f t="shared" si="13"/>
        <v>1361006339.5</v>
      </c>
      <c r="F630" t="s">
        <v>62</v>
      </c>
      <c r="G630" s="8" t="s">
        <v>177</v>
      </c>
    </row>
    <row r="631" spans="1:8">
      <c r="A631" s="113">
        <v>46014</v>
      </c>
      <c r="B631" s="7" t="s">
        <v>6393</v>
      </c>
      <c r="C631" s="144">
        <v>300000</v>
      </c>
      <c r="D631" s="54">
        <v>0</v>
      </c>
      <c r="E631" s="54">
        <f t="shared" si="13"/>
        <v>1360706339.5</v>
      </c>
      <c r="F631" t="s">
        <v>62</v>
      </c>
      <c r="G631" s="8" t="s">
        <v>177</v>
      </c>
    </row>
    <row r="632" spans="1:8">
      <c r="A632" s="113">
        <v>46014</v>
      </c>
      <c r="B632" s="7" t="s">
        <v>6394</v>
      </c>
      <c r="C632" s="144">
        <v>150000</v>
      </c>
      <c r="D632" s="54">
        <v>0</v>
      </c>
      <c r="E632" s="54">
        <f t="shared" si="13"/>
        <v>1360556339.5</v>
      </c>
      <c r="F632" t="s">
        <v>62</v>
      </c>
      <c r="G632" s="8" t="s">
        <v>177</v>
      </c>
    </row>
    <row r="633" spans="1:8">
      <c r="A633" s="113">
        <v>46014</v>
      </c>
      <c r="B633" s="7" t="s">
        <v>6395</v>
      </c>
      <c r="C633" s="144">
        <v>300000</v>
      </c>
      <c r="D633" s="54">
        <v>0</v>
      </c>
      <c r="E633" s="54">
        <f t="shared" si="13"/>
        <v>1360256339.5</v>
      </c>
      <c r="F633" t="s">
        <v>62</v>
      </c>
      <c r="G633" s="8" t="s">
        <v>177</v>
      </c>
    </row>
    <row r="634" spans="1:8">
      <c r="A634" s="113">
        <v>46014</v>
      </c>
      <c r="B634" s="7" t="s">
        <v>6396</v>
      </c>
      <c r="C634" s="144">
        <v>600000</v>
      </c>
      <c r="D634" s="54">
        <v>0</v>
      </c>
      <c r="E634" s="54">
        <f t="shared" si="13"/>
        <v>1359656339.5</v>
      </c>
      <c r="F634" t="s">
        <v>4</v>
      </c>
      <c r="G634" s="8" t="s">
        <v>5</v>
      </c>
      <c r="H634" t="s">
        <v>6123</v>
      </c>
    </row>
    <row r="635" spans="1:8">
      <c r="A635" s="113">
        <v>46014</v>
      </c>
      <c r="B635" s="7" t="s">
        <v>6397</v>
      </c>
      <c r="C635" s="144">
        <v>2100000</v>
      </c>
      <c r="D635" s="54">
        <v>0</v>
      </c>
      <c r="E635" s="54">
        <f t="shared" si="13"/>
        <v>1357556339.5</v>
      </c>
      <c r="F635" t="s">
        <v>10</v>
      </c>
      <c r="G635" s="8" t="s">
        <v>446</v>
      </c>
      <c r="H635" t="s">
        <v>5752</v>
      </c>
    </row>
    <row r="636" spans="1:8">
      <c r="A636" s="113">
        <v>46014</v>
      </c>
      <c r="B636" s="7" t="s">
        <v>6398</v>
      </c>
      <c r="C636" s="144">
        <v>0</v>
      </c>
      <c r="D636" s="54">
        <v>86327300</v>
      </c>
      <c r="E636" s="54">
        <f t="shared" si="13"/>
        <v>1443883639.5</v>
      </c>
      <c r="F636" t="s">
        <v>920</v>
      </c>
      <c r="G636" s="8" t="s">
        <v>498</v>
      </c>
      <c r="H636" t="s">
        <v>5744</v>
      </c>
    </row>
    <row r="637" spans="1:8">
      <c r="A637" s="113">
        <v>46019</v>
      </c>
      <c r="B637" s="7" t="s">
        <v>6399</v>
      </c>
      <c r="C637" s="144">
        <v>83500000</v>
      </c>
      <c r="D637" s="54">
        <v>0</v>
      </c>
      <c r="E637" s="54">
        <f t="shared" si="13"/>
        <v>1360383639.5</v>
      </c>
      <c r="F637" t="s">
        <v>62</v>
      </c>
      <c r="G637" s="8" t="s">
        <v>23</v>
      </c>
    </row>
    <row r="638" spans="1:8">
      <c r="A638" s="113">
        <v>46019</v>
      </c>
      <c r="B638" s="7" t="s">
        <v>6400</v>
      </c>
      <c r="C638" s="144">
        <v>1250000</v>
      </c>
      <c r="D638" s="54">
        <v>0</v>
      </c>
      <c r="E638" s="54">
        <f t="shared" si="13"/>
        <v>1359133639.5</v>
      </c>
      <c r="F638" t="s">
        <v>10</v>
      </c>
      <c r="G638" s="8" t="s">
        <v>446</v>
      </c>
      <c r="H638" t="s">
        <v>6532</v>
      </c>
    </row>
    <row r="639" spans="1:8">
      <c r="A639" s="113">
        <v>46019</v>
      </c>
      <c r="B639" s="7" t="s">
        <v>6401</v>
      </c>
      <c r="C639" s="144">
        <v>2000000</v>
      </c>
      <c r="D639" s="54">
        <v>0</v>
      </c>
      <c r="E639" s="54">
        <f t="shared" si="13"/>
        <v>1357133639.5</v>
      </c>
      <c r="F639" t="s">
        <v>10</v>
      </c>
      <c r="G639" s="8" t="s">
        <v>446</v>
      </c>
      <c r="H639" t="s">
        <v>6001</v>
      </c>
    </row>
    <row r="640" spans="1:8">
      <c r="A640" s="113">
        <v>46019</v>
      </c>
      <c r="B640" s="7" t="s">
        <v>6402</v>
      </c>
      <c r="C640" s="144">
        <v>1450000</v>
      </c>
      <c r="D640" s="54">
        <v>0</v>
      </c>
      <c r="E640" s="54">
        <f t="shared" si="13"/>
        <v>1355683639.5</v>
      </c>
      <c r="F640" t="s">
        <v>10</v>
      </c>
      <c r="G640" s="8" t="s">
        <v>446</v>
      </c>
      <c r="H640" t="s">
        <v>6001</v>
      </c>
    </row>
    <row r="641" spans="1:8">
      <c r="A641" s="113">
        <v>46019</v>
      </c>
      <c r="B641" s="7" t="s">
        <v>6403</v>
      </c>
      <c r="C641" s="144">
        <v>1000000</v>
      </c>
      <c r="D641" s="54">
        <v>0</v>
      </c>
      <c r="E641" s="54">
        <f t="shared" si="13"/>
        <v>1354683639.5</v>
      </c>
      <c r="F641" t="s">
        <v>4</v>
      </c>
      <c r="G641" s="8" t="s">
        <v>5</v>
      </c>
      <c r="H641" t="s">
        <v>6293</v>
      </c>
    </row>
    <row r="642" spans="1:8">
      <c r="A642" s="113">
        <v>46019</v>
      </c>
      <c r="B642" s="7" t="s">
        <v>6404</v>
      </c>
      <c r="C642" s="144">
        <v>1000000</v>
      </c>
      <c r="D642" s="54">
        <v>0</v>
      </c>
      <c r="E642" s="54">
        <f t="shared" si="13"/>
        <v>1353683639.5</v>
      </c>
      <c r="F642" t="s">
        <v>4</v>
      </c>
      <c r="G642" s="8" t="s">
        <v>5</v>
      </c>
      <c r="H642" t="s">
        <v>6293</v>
      </c>
    </row>
    <row r="643" spans="1:8">
      <c r="A643" s="113">
        <v>46019</v>
      </c>
      <c r="B643" s="7" t="s">
        <v>6405</v>
      </c>
      <c r="C643" s="144">
        <v>300000</v>
      </c>
      <c r="D643" s="54">
        <v>0</v>
      </c>
      <c r="E643" s="54">
        <f t="shared" si="13"/>
        <v>1353383639.5</v>
      </c>
      <c r="F643" t="s">
        <v>4</v>
      </c>
      <c r="G643" s="8" t="s">
        <v>5</v>
      </c>
      <c r="H643" t="s">
        <v>6293</v>
      </c>
    </row>
    <row r="644" spans="1:8">
      <c r="A644" s="113">
        <v>46019</v>
      </c>
      <c r="B644" s="7" t="s">
        <v>6406</v>
      </c>
      <c r="C644" s="144">
        <v>1450000</v>
      </c>
      <c r="D644" s="54">
        <v>0</v>
      </c>
      <c r="E644" s="54">
        <f t="shared" si="13"/>
        <v>1351933639.5</v>
      </c>
      <c r="F644" t="s">
        <v>10</v>
      </c>
      <c r="G644" s="8" t="s">
        <v>446</v>
      </c>
      <c r="H644" t="s">
        <v>6001</v>
      </c>
    </row>
    <row r="645" spans="1:8">
      <c r="A645" s="113">
        <v>46019</v>
      </c>
      <c r="B645" s="7" t="s">
        <v>6407</v>
      </c>
      <c r="C645" s="144">
        <v>600000</v>
      </c>
      <c r="D645" s="54">
        <v>0</v>
      </c>
      <c r="E645" s="54">
        <f t="shared" si="13"/>
        <v>1351333639.5</v>
      </c>
      <c r="F645" t="s">
        <v>4</v>
      </c>
      <c r="G645" s="8" t="s">
        <v>5</v>
      </c>
      <c r="H645" t="s">
        <v>6293</v>
      </c>
    </row>
    <row r="646" spans="1:8">
      <c r="A646" s="113">
        <v>46019</v>
      </c>
      <c r="B646" s="7" t="s">
        <v>6408</v>
      </c>
      <c r="C646" s="144">
        <v>150000</v>
      </c>
      <c r="D646" s="54">
        <v>0</v>
      </c>
      <c r="E646" s="54">
        <f t="shared" si="13"/>
        <v>1351183639.5</v>
      </c>
      <c r="F646" t="s">
        <v>4</v>
      </c>
      <c r="G646" s="8" t="s">
        <v>5</v>
      </c>
      <c r="H646" t="s">
        <v>6293</v>
      </c>
    </row>
    <row r="647" spans="1:8">
      <c r="A647" s="113">
        <v>46019</v>
      </c>
      <c r="B647" s="7" t="s">
        <v>1035</v>
      </c>
      <c r="C647" s="144">
        <v>0</v>
      </c>
      <c r="D647" s="144">
        <v>2000000</v>
      </c>
      <c r="E647" s="54">
        <f t="shared" si="13"/>
        <v>1353183639.5</v>
      </c>
      <c r="F647" t="s">
        <v>10</v>
      </c>
      <c r="G647" s="8" t="s">
        <v>76</v>
      </c>
      <c r="H647" t="s">
        <v>12</v>
      </c>
    </row>
    <row r="648" spans="1:8">
      <c r="A648" s="113">
        <v>46019</v>
      </c>
      <c r="B648" s="7" t="s">
        <v>1047</v>
      </c>
      <c r="C648" s="144">
        <v>0</v>
      </c>
      <c r="D648" s="54">
        <v>2000000</v>
      </c>
      <c r="E648" s="54">
        <f t="shared" si="13"/>
        <v>1355183639.5</v>
      </c>
      <c r="F648" t="s">
        <v>10</v>
      </c>
      <c r="G648" s="8" t="s">
        <v>76</v>
      </c>
      <c r="H648" t="s">
        <v>57</v>
      </c>
    </row>
    <row r="649" spans="1:8">
      <c r="A649" s="113">
        <v>46019</v>
      </c>
      <c r="B649" s="7" t="s">
        <v>384</v>
      </c>
      <c r="C649" s="144">
        <v>0</v>
      </c>
      <c r="D649" s="54">
        <v>500000</v>
      </c>
      <c r="E649" s="54">
        <f t="shared" si="13"/>
        <v>1355683639.5</v>
      </c>
      <c r="F649" t="s">
        <v>10</v>
      </c>
      <c r="G649" s="8" t="s">
        <v>76</v>
      </c>
      <c r="H649" t="s">
        <v>95</v>
      </c>
    </row>
    <row r="650" spans="1:8">
      <c r="A650" s="113">
        <v>46019</v>
      </c>
      <c r="B650" s="7" t="s">
        <v>6409</v>
      </c>
      <c r="C650" s="144">
        <v>0</v>
      </c>
      <c r="D650" s="54">
        <v>1700000</v>
      </c>
      <c r="E650" s="54">
        <f t="shared" si="13"/>
        <v>1357383639.5</v>
      </c>
      <c r="F650" t="s">
        <v>10</v>
      </c>
      <c r="G650" s="8" t="s">
        <v>76</v>
      </c>
      <c r="H650" t="s">
        <v>95</v>
      </c>
    </row>
    <row r="651" spans="1:8">
      <c r="A651" s="113">
        <v>46020</v>
      </c>
      <c r="B651" s="7" t="s">
        <v>6410</v>
      </c>
      <c r="C651" s="144">
        <v>0</v>
      </c>
      <c r="D651" s="54">
        <v>10000000</v>
      </c>
      <c r="E651" s="54">
        <f t="shared" si="13"/>
        <v>1367383639.5</v>
      </c>
      <c r="F651" t="s">
        <v>10</v>
      </c>
      <c r="G651" s="8" t="s">
        <v>76</v>
      </c>
      <c r="H651" t="s">
        <v>45</v>
      </c>
    </row>
    <row r="652" spans="1:8">
      <c r="A652" s="113">
        <v>46021</v>
      </c>
      <c r="B652" s="7" t="s">
        <v>6411</v>
      </c>
      <c r="C652" s="144">
        <v>0</v>
      </c>
      <c r="D652" s="54">
        <v>20000000</v>
      </c>
      <c r="E652" s="54">
        <f t="shared" si="13"/>
        <v>1387383639.5</v>
      </c>
      <c r="F652" t="s">
        <v>10</v>
      </c>
      <c r="G652" s="8" t="s">
        <v>76</v>
      </c>
      <c r="H652" t="s">
        <v>449</v>
      </c>
    </row>
    <row r="653" spans="1:8">
      <c r="A653" s="113">
        <v>46021</v>
      </c>
      <c r="B653" s="7" t="s">
        <v>6412</v>
      </c>
      <c r="C653" s="144">
        <v>0</v>
      </c>
      <c r="D653" s="54">
        <v>2450000</v>
      </c>
      <c r="E653" s="54">
        <f t="shared" si="13"/>
        <v>1389833639.5</v>
      </c>
      <c r="F653" t="s">
        <v>62</v>
      </c>
      <c r="G653" s="8" t="s">
        <v>177</v>
      </c>
    </row>
    <row r="654" spans="1:8">
      <c r="A654" s="113">
        <v>46021</v>
      </c>
      <c r="B654" s="7" t="s">
        <v>6413</v>
      </c>
      <c r="C654" s="144">
        <v>500000000</v>
      </c>
      <c r="D654" s="54">
        <v>0</v>
      </c>
      <c r="E654" s="54">
        <f t="shared" si="13"/>
        <v>889833639.5</v>
      </c>
      <c r="F654" t="s">
        <v>10</v>
      </c>
      <c r="G654" s="8" t="s">
        <v>93</v>
      </c>
      <c r="H654" t="s">
        <v>6533</v>
      </c>
    </row>
    <row r="655" spans="1:8">
      <c r="A655" s="113">
        <v>46022</v>
      </c>
      <c r="B655" s="7" t="s">
        <v>6414</v>
      </c>
      <c r="C655" s="144">
        <v>500000000</v>
      </c>
      <c r="D655" s="54">
        <v>0</v>
      </c>
      <c r="E655" s="54">
        <f t="shared" si="13"/>
        <v>389833639.5</v>
      </c>
      <c r="F655" t="s">
        <v>10</v>
      </c>
      <c r="G655" s="8" t="s">
        <v>93</v>
      </c>
      <c r="H655" t="s">
        <v>6533</v>
      </c>
    </row>
    <row r="656" spans="1:8">
      <c r="A656" s="113">
        <v>46022</v>
      </c>
      <c r="B656" s="7" t="s">
        <v>6415</v>
      </c>
      <c r="C656" s="144">
        <v>25000</v>
      </c>
      <c r="D656" s="54">
        <v>0</v>
      </c>
      <c r="E656" s="54">
        <f t="shared" si="13"/>
        <v>389808639.5</v>
      </c>
      <c r="F656" t="s">
        <v>19</v>
      </c>
      <c r="G656" s="8" t="s">
        <v>189</v>
      </c>
    </row>
    <row r="657" spans="1:8">
      <c r="A657" s="113">
        <v>46022</v>
      </c>
      <c r="B657" s="7" t="s">
        <v>6416</v>
      </c>
      <c r="C657" s="144">
        <v>385000000</v>
      </c>
      <c r="D657" s="54">
        <v>0</v>
      </c>
      <c r="E657" s="54">
        <f t="shared" si="13"/>
        <v>4808639.5</v>
      </c>
      <c r="F657" t="s">
        <v>10</v>
      </c>
      <c r="G657" s="8" t="s">
        <v>93</v>
      </c>
      <c r="H657" t="s">
        <v>6533</v>
      </c>
    </row>
    <row r="658" spans="1:8">
      <c r="A658" s="113">
        <v>46022</v>
      </c>
      <c r="B658" s="7" t="s">
        <v>3736</v>
      </c>
      <c r="C658" s="144">
        <v>0</v>
      </c>
      <c r="D658" s="54">
        <v>16000000</v>
      </c>
      <c r="E658" s="54">
        <f t="shared" si="13"/>
        <v>20808639.5</v>
      </c>
      <c r="F658" t="s">
        <v>6</v>
      </c>
      <c r="G658" s="8" t="s">
        <v>24</v>
      </c>
      <c r="H658" t="s">
        <v>25</v>
      </c>
    </row>
    <row r="659" spans="1:8">
      <c r="A659" s="113">
        <v>46022</v>
      </c>
      <c r="B659" s="7" t="s">
        <v>329</v>
      </c>
      <c r="C659" s="144">
        <v>0</v>
      </c>
      <c r="D659" s="54">
        <v>7210.16</v>
      </c>
      <c r="E659" s="54">
        <f t="shared" si="13"/>
        <v>20815849.66</v>
      </c>
      <c r="F659" t="s">
        <v>1209</v>
      </c>
      <c r="G659" s="8" t="s">
        <v>79</v>
      </c>
    </row>
    <row r="660" spans="1:8">
      <c r="A660" s="113">
        <v>46022</v>
      </c>
      <c r="B660" s="7" t="s">
        <v>330</v>
      </c>
      <c r="C660" s="144">
        <v>1442.03</v>
      </c>
      <c r="D660" s="54">
        <v>0</v>
      </c>
      <c r="E660" s="54">
        <f t="shared" ref="E660" si="14">E659-C660+D660</f>
        <v>20814407.629999999</v>
      </c>
      <c r="F660" t="s">
        <v>1209</v>
      </c>
      <c r="G660" s="8" t="s">
        <v>79</v>
      </c>
    </row>
    <row r="662" spans="1:8">
      <c r="C662" s="139">
        <f>SUBTOTAL(9,C5:C661)</f>
        <v>10104660503.050001</v>
      </c>
      <c r="D662" s="139">
        <f>SUBTOTAL(9,D5:D661)</f>
        <v>10085480586.32</v>
      </c>
    </row>
    <row r="663" spans="1:8">
      <c r="D663" s="139">
        <f>D662-C662</f>
        <v>-19179916.73000145</v>
      </c>
    </row>
  </sheetData>
  <autoFilter ref="A4:I660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7"/>
  <sheetViews>
    <sheetView topLeftCell="A1330" zoomScale="90" zoomScaleNormal="97" workbookViewId="0">
      <selection activeCell="E2" sqref="E2"/>
    </sheetView>
  </sheetViews>
  <sheetFormatPr defaultColWidth="11.5546875" defaultRowHeight="15.75"/>
  <cols>
    <col min="1" max="1" width="10.77734375" style="5"/>
    <col min="2" max="2" width="79.33203125" customWidth="1"/>
    <col min="3" max="3" width="19.6640625" style="144" customWidth="1"/>
    <col min="4" max="4" width="19.6640625" style="139" customWidth="1"/>
    <col min="5" max="5" width="20.6640625" style="1" customWidth="1"/>
    <col min="6" max="6" width="23" customWidth="1"/>
    <col min="7" max="7" width="39.77734375" customWidth="1"/>
    <col min="8" max="8" width="60.77734375" customWidth="1"/>
    <col min="9" max="9" width="31.6640625" customWidth="1"/>
  </cols>
  <sheetData>
    <row r="1" spans="1:9">
      <c r="A1" s="6" t="s">
        <v>0</v>
      </c>
      <c r="B1" t="s">
        <v>271</v>
      </c>
      <c r="C1" s="144" t="s">
        <v>26</v>
      </c>
      <c r="D1" s="139" t="s">
        <v>26</v>
      </c>
      <c r="E1" s="1" t="s">
        <v>26</v>
      </c>
      <c r="F1" s="52" t="s">
        <v>26</v>
      </c>
      <c r="G1" s="52" t="s">
        <v>26</v>
      </c>
    </row>
    <row r="2" spans="1:9">
      <c r="A2" s="6" t="s">
        <v>272</v>
      </c>
      <c r="C2" s="144" t="s">
        <v>26</v>
      </c>
      <c r="D2" s="139" t="s">
        <v>26</v>
      </c>
      <c r="E2" s="1" t="s">
        <v>26</v>
      </c>
      <c r="F2" s="136" t="s">
        <v>26</v>
      </c>
      <c r="G2" s="52" t="s">
        <v>26</v>
      </c>
    </row>
    <row r="3" spans="1:9">
      <c r="D3" s="311" t="s">
        <v>7136</v>
      </c>
    </row>
    <row r="4" spans="1:9">
      <c r="A4" s="4" t="s">
        <v>3</v>
      </c>
      <c r="B4" s="3" t="s">
        <v>511</v>
      </c>
      <c r="C4" s="143"/>
      <c r="D4" s="142"/>
      <c r="E4" s="10">
        <v>1927869846.48</v>
      </c>
    </row>
    <row r="5" spans="1:9" s="8" customFormat="1">
      <c r="A5" s="13">
        <v>45660</v>
      </c>
      <c r="B5" s="8" t="s">
        <v>543</v>
      </c>
      <c r="C5" s="14">
        <v>59934100</v>
      </c>
      <c r="D5" s="14">
        <v>0</v>
      </c>
      <c r="E5" s="14">
        <f t="shared" ref="E5:E138" si="0">E4-C5+D5</f>
        <v>1867935746.48</v>
      </c>
      <c r="F5" s="8" t="s">
        <v>6</v>
      </c>
      <c r="G5" s="8" t="s">
        <v>7</v>
      </c>
      <c r="H5" s="40" t="s">
        <v>508</v>
      </c>
    </row>
    <row r="6" spans="1:9" s="8" customFormat="1">
      <c r="A6" s="13">
        <v>45660</v>
      </c>
      <c r="B6" s="8" t="s">
        <v>2188</v>
      </c>
      <c r="C6" s="54">
        <v>675675</v>
      </c>
      <c r="D6" s="54">
        <v>0</v>
      </c>
      <c r="E6" s="54">
        <f t="shared" si="0"/>
        <v>1867260071.48</v>
      </c>
      <c r="F6" s="8" t="s">
        <v>6</v>
      </c>
      <c r="G6" s="8" t="s">
        <v>13</v>
      </c>
      <c r="H6" s="8" t="s">
        <v>9</v>
      </c>
    </row>
    <row r="7" spans="1:9" s="8" customFormat="1">
      <c r="A7" s="13">
        <v>45660</v>
      </c>
      <c r="B7" s="8" t="s">
        <v>2188</v>
      </c>
      <c r="C7" s="54">
        <v>74324</v>
      </c>
      <c r="D7" s="54">
        <v>0</v>
      </c>
      <c r="E7" s="54">
        <f t="shared" si="0"/>
        <v>1867185747.48</v>
      </c>
      <c r="F7" s="8" t="s">
        <v>920</v>
      </c>
      <c r="G7" s="8" t="s">
        <v>7854</v>
      </c>
      <c r="H7" s="8" t="s">
        <v>7032</v>
      </c>
      <c r="I7" s="8" t="s">
        <v>89</v>
      </c>
    </row>
    <row r="8" spans="1:9" s="8" customFormat="1">
      <c r="A8" s="13">
        <v>45660</v>
      </c>
      <c r="B8" s="8" t="s">
        <v>2188</v>
      </c>
      <c r="C8" s="54">
        <v>0</v>
      </c>
      <c r="D8" s="54">
        <f>C6+C7-736486</f>
        <v>13513</v>
      </c>
      <c r="E8" s="54">
        <f t="shared" si="0"/>
        <v>1867199260.48</v>
      </c>
      <c r="F8" s="8" t="s">
        <v>920</v>
      </c>
      <c r="G8" s="8" t="s">
        <v>4242</v>
      </c>
      <c r="H8" s="8" t="s">
        <v>88</v>
      </c>
      <c r="I8" s="310">
        <v>45627</v>
      </c>
    </row>
    <row r="9" spans="1:9" s="8" customFormat="1">
      <c r="A9" s="13">
        <v>45660</v>
      </c>
      <c r="B9" s="8" t="s">
        <v>544</v>
      </c>
      <c r="C9" s="14">
        <v>30000000</v>
      </c>
      <c r="D9" s="14">
        <v>0</v>
      </c>
      <c r="E9" s="54">
        <f t="shared" si="0"/>
        <v>1837199260.48</v>
      </c>
      <c r="F9" s="8" t="s">
        <v>4</v>
      </c>
      <c r="G9" s="8" t="s">
        <v>5</v>
      </c>
      <c r="H9" s="154" t="s">
        <v>1352</v>
      </c>
    </row>
    <row r="10" spans="1:9" s="8" customFormat="1">
      <c r="A10" s="13">
        <v>45660</v>
      </c>
      <c r="B10" s="8" t="s">
        <v>378</v>
      </c>
      <c r="C10" s="14">
        <v>9653131</v>
      </c>
      <c r="D10" s="14">
        <v>0</v>
      </c>
      <c r="E10" s="54">
        <f t="shared" si="0"/>
        <v>1827546129.48</v>
      </c>
      <c r="F10" s="8" t="s">
        <v>920</v>
      </c>
      <c r="G10" s="8" t="s">
        <v>376</v>
      </c>
    </row>
    <row r="11" spans="1:9" s="8" customFormat="1">
      <c r="A11" s="13">
        <v>45665</v>
      </c>
      <c r="B11" s="8" t="s">
        <v>7038</v>
      </c>
      <c r="C11" s="54">
        <v>120000000</v>
      </c>
      <c r="D11" s="54">
        <v>0</v>
      </c>
      <c r="E11" s="54">
        <f t="shared" si="0"/>
        <v>1707546129.48</v>
      </c>
      <c r="F11" s="8" t="s">
        <v>4</v>
      </c>
      <c r="G11" s="8" t="s">
        <v>5</v>
      </c>
      <c r="H11" s="154" t="s">
        <v>1352</v>
      </c>
    </row>
    <row r="12" spans="1:9" s="8" customFormat="1">
      <c r="A12" s="13">
        <v>45665</v>
      </c>
      <c r="B12" s="8" t="s">
        <v>7038</v>
      </c>
      <c r="C12" s="54">
        <v>13200000</v>
      </c>
      <c r="D12" s="54">
        <v>0</v>
      </c>
      <c r="E12" s="54">
        <f t="shared" si="0"/>
        <v>1694346129.48</v>
      </c>
      <c r="F12" s="8" t="s">
        <v>6</v>
      </c>
      <c r="G12" s="8" t="s">
        <v>7</v>
      </c>
      <c r="H12" s="154" t="s">
        <v>1352</v>
      </c>
    </row>
    <row r="13" spans="1:9" s="8" customFormat="1">
      <c r="A13" s="13">
        <v>45667</v>
      </c>
      <c r="B13" s="8" t="s">
        <v>545</v>
      </c>
      <c r="C13" s="14">
        <v>13200000</v>
      </c>
      <c r="D13" s="14">
        <v>0</v>
      </c>
      <c r="E13" s="54">
        <f t="shared" si="0"/>
        <v>1681146129.48</v>
      </c>
      <c r="F13" s="8" t="s">
        <v>4</v>
      </c>
      <c r="G13" s="8" t="s">
        <v>5</v>
      </c>
      <c r="H13" s="154" t="s">
        <v>1352</v>
      </c>
    </row>
    <row r="14" spans="1:9" s="8" customFormat="1">
      <c r="A14" s="13">
        <v>45667</v>
      </c>
      <c r="B14" s="8" t="s">
        <v>7048</v>
      </c>
      <c r="C14" s="54">
        <v>3500000</v>
      </c>
      <c r="D14" s="54">
        <v>0</v>
      </c>
      <c r="E14" s="54">
        <f t="shared" si="0"/>
        <v>1677646129.48</v>
      </c>
      <c r="F14" s="8" t="s">
        <v>8</v>
      </c>
      <c r="G14" s="8" t="s">
        <v>32</v>
      </c>
    </row>
    <row r="15" spans="1:9" s="8" customFormat="1">
      <c r="A15" s="13">
        <v>45667</v>
      </c>
      <c r="B15" s="8" t="s">
        <v>7048</v>
      </c>
      <c r="C15" s="54">
        <v>385000</v>
      </c>
      <c r="D15" s="54">
        <v>0</v>
      </c>
      <c r="E15" s="54">
        <f t="shared" si="0"/>
        <v>1677261129.48</v>
      </c>
      <c r="F15" s="8" t="s">
        <v>920</v>
      </c>
      <c r="G15" s="8" t="s">
        <v>7855</v>
      </c>
      <c r="H15" s="8" t="s">
        <v>7032</v>
      </c>
      <c r="I15" s="8" t="s">
        <v>4567</v>
      </c>
    </row>
    <row r="16" spans="1:9" s="8" customFormat="1">
      <c r="A16" s="13">
        <v>45667</v>
      </c>
      <c r="B16" s="8" t="s">
        <v>7048</v>
      </c>
      <c r="C16" s="54">
        <v>0</v>
      </c>
      <c r="D16" s="54">
        <f>C14+C15-3815000</f>
        <v>70000</v>
      </c>
      <c r="E16" s="54">
        <f t="shared" si="0"/>
        <v>1677331129.48</v>
      </c>
      <c r="F16" s="8" t="s">
        <v>920</v>
      </c>
      <c r="G16" s="8" t="s">
        <v>4242</v>
      </c>
      <c r="H16" s="8" t="s">
        <v>88</v>
      </c>
      <c r="I16" s="8" t="s">
        <v>89</v>
      </c>
    </row>
    <row r="17" spans="1:8" s="8" customFormat="1">
      <c r="A17" s="13">
        <v>45667</v>
      </c>
      <c r="B17" s="8" t="s">
        <v>546</v>
      </c>
      <c r="C17" s="14">
        <v>4900000</v>
      </c>
      <c r="D17" s="14">
        <v>0</v>
      </c>
      <c r="E17" s="54">
        <f t="shared" si="0"/>
        <v>1672431129.48</v>
      </c>
      <c r="F17" s="8" t="s">
        <v>4</v>
      </c>
      <c r="G17" s="8" t="s">
        <v>5</v>
      </c>
      <c r="H17" s="154" t="s">
        <v>1352</v>
      </c>
    </row>
    <row r="18" spans="1:8" s="8" customFormat="1">
      <c r="A18" s="13">
        <v>45667</v>
      </c>
      <c r="B18" s="8" t="s">
        <v>547</v>
      </c>
      <c r="C18" s="14">
        <v>361900</v>
      </c>
      <c r="D18" s="14">
        <v>0</v>
      </c>
      <c r="E18" s="54">
        <f t="shared" si="0"/>
        <v>1672069229.48</v>
      </c>
      <c r="F18" s="8" t="s">
        <v>6</v>
      </c>
      <c r="G18" s="8" t="s">
        <v>7</v>
      </c>
      <c r="H18" s="40" t="s">
        <v>435</v>
      </c>
    </row>
    <row r="19" spans="1:8" s="8" customFormat="1">
      <c r="A19" s="13">
        <v>45667</v>
      </c>
      <c r="B19" s="8" t="s">
        <v>548</v>
      </c>
      <c r="C19" s="14">
        <v>2500000</v>
      </c>
      <c r="D19" s="14">
        <v>0</v>
      </c>
      <c r="E19" s="54">
        <f t="shared" si="0"/>
        <v>1669569229.48</v>
      </c>
      <c r="F19" s="8" t="s">
        <v>4</v>
      </c>
      <c r="G19" s="8" t="s">
        <v>5</v>
      </c>
      <c r="H19" s="154" t="s">
        <v>1352</v>
      </c>
    </row>
    <row r="20" spans="1:8" s="8" customFormat="1">
      <c r="A20" s="13">
        <v>45667</v>
      </c>
      <c r="B20" s="8" t="s">
        <v>4303</v>
      </c>
      <c r="C20" s="14">
        <v>3000000</v>
      </c>
      <c r="D20" s="14">
        <v>0</v>
      </c>
      <c r="E20" s="54">
        <f t="shared" si="0"/>
        <v>1666569229.48</v>
      </c>
      <c r="F20" s="8" t="s">
        <v>1400</v>
      </c>
      <c r="G20" s="8" t="s">
        <v>1400</v>
      </c>
    </row>
    <row r="21" spans="1:8" s="8" customFormat="1">
      <c r="A21" s="13">
        <v>45667</v>
      </c>
      <c r="B21" s="8" t="s">
        <v>549</v>
      </c>
      <c r="C21" s="14">
        <v>900000</v>
      </c>
      <c r="D21" s="14">
        <v>0</v>
      </c>
      <c r="E21" s="54">
        <f t="shared" si="0"/>
        <v>1665669229.48</v>
      </c>
      <c r="F21" s="8" t="s">
        <v>8</v>
      </c>
      <c r="G21" s="8" t="s">
        <v>31</v>
      </c>
    </row>
    <row r="22" spans="1:8" s="8" customFormat="1">
      <c r="A22" s="13">
        <v>45667</v>
      </c>
      <c r="B22" s="8" t="s">
        <v>550</v>
      </c>
      <c r="C22" s="14">
        <v>2686000</v>
      </c>
      <c r="D22" s="14">
        <v>0</v>
      </c>
      <c r="E22" s="14">
        <f t="shared" si="0"/>
        <v>1662983229.48</v>
      </c>
      <c r="F22" s="8" t="s">
        <v>6</v>
      </c>
      <c r="G22" s="8" t="s">
        <v>7</v>
      </c>
      <c r="H22" s="40" t="s">
        <v>505</v>
      </c>
    </row>
    <row r="23" spans="1:8" s="8" customFormat="1">
      <c r="A23" s="13">
        <v>45667</v>
      </c>
      <c r="B23" s="8" t="s">
        <v>551</v>
      </c>
      <c r="C23" s="14">
        <v>6500000</v>
      </c>
      <c r="D23" s="14">
        <v>0</v>
      </c>
      <c r="E23" s="14">
        <f t="shared" si="0"/>
        <v>1656483229.48</v>
      </c>
      <c r="F23" s="8" t="s">
        <v>6</v>
      </c>
      <c r="G23" s="8" t="s">
        <v>13</v>
      </c>
      <c r="H23" s="8" t="s">
        <v>177</v>
      </c>
    </row>
    <row r="24" spans="1:8" s="8" customFormat="1">
      <c r="A24" s="13">
        <v>45667</v>
      </c>
      <c r="B24" s="8" t="s">
        <v>552</v>
      </c>
      <c r="C24" s="14">
        <v>5250000</v>
      </c>
      <c r="D24" s="14">
        <v>0</v>
      </c>
      <c r="E24" s="14">
        <f t="shared" si="0"/>
        <v>1651233229.48</v>
      </c>
      <c r="F24" s="8" t="s">
        <v>6</v>
      </c>
      <c r="G24" s="8" t="s">
        <v>13</v>
      </c>
      <c r="H24" s="8" t="s">
        <v>177</v>
      </c>
    </row>
    <row r="25" spans="1:8" s="8" customFormat="1">
      <c r="A25" s="13">
        <v>45667</v>
      </c>
      <c r="B25" s="8" t="s">
        <v>553</v>
      </c>
      <c r="C25" s="14">
        <v>21783750</v>
      </c>
      <c r="D25" s="14">
        <v>0</v>
      </c>
      <c r="E25" s="14">
        <f t="shared" si="0"/>
        <v>1629449479.48</v>
      </c>
      <c r="F25" s="8" t="s">
        <v>6</v>
      </c>
      <c r="G25" s="8" t="s">
        <v>7</v>
      </c>
      <c r="H25" s="8" t="s">
        <v>507</v>
      </c>
    </row>
    <row r="26" spans="1:8" s="8" customFormat="1">
      <c r="A26" s="13">
        <v>45667</v>
      </c>
      <c r="B26" s="8" t="s">
        <v>554</v>
      </c>
      <c r="C26" s="14">
        <v>66936</v>
      </c>
      <c r="D26" s="14">
        <v>0</v>
      </c>
      <c r="E26" s="14">
        <f t="shared" si="0"/>
        <v>1629382543.48</v>
      </c>
      <c r="F26" s="8" t="s">
        <v>6</v>
      </c>
      <c r="G26" s="8" t="s">
        <v>13</v>
      </c>
      <c r="H26" s="8" t="s">
        <v>31</v>
      </c>
    </row>
    <row r="27" spans="1:8" s="8" customFormat="1">
      <c r="A27" s="13">
        <v>45667</v>
      </c>
      <c r="B27" s="8" t="s">
        <v>555</v>
      </c>
      <c r="C27" s="14">
        <v>98490</v>
      </c>
      <c r="D27" s="14">
        <v>0</v>
      </c>
      <c r="E27" s="14">
        <f t="shared" si="0"/>
        <v>1629284053.48</v>
      </c>
      <c r="F27" s="8" t="s">
        <v>6</v>
      </c>
      <c r="G27" s="8" t="s">
        <v>13</v>
      </c>
      <c r="H27" s="8" t="s">
        <v>31</v>
      </c>
    </row>
    <row r="28" spans="1:8" s="8" customFormat="1">
      <c r="A28" s="13">
        <v>45667</v>
      </c>
      <c r="B28" s="8" t="s">
        <v>556</v>
      </c>
      <c r="C28" s="14">
        <v>66936</v>
      </c>
      <c r="D28" s="14">
        <v>0</v>
      </c>
      <c r="E28" s="14">
        <f t="shared" si="0"/>
        <v>1629217117.48</v>
      </c>
      <c r="F28" s="8" t="s">
        <v>6</v>
      </c>
      <c r="G28" s="8" t="s">
        <v>13</v>
      </c>
      <c r="H28" s="8" t="s">
        <v>31</v>
      </c>
    </row>
    <row r="29" spans="1:8" s="8" customFormat="1">
      <c r="A29" s="13">
        <v>45667</v>
      </c>
      <c r="B29" s="8" t="s">
        <v>557</v>
      </c>
      <c r="C29" s="14">
        <v>66936</v>
      </c>
      <c r="D29" s="14">
        <v>0</v>
      </c>
      <c r="E29" s="14">
        <f t="shared" si="0"/>
        <v>1629150181.48</v>
      </c>
      <c r="F29" s="8" t="s">
        <v>6</v>
      </c>
      <c r="G29" s="8" t="s">
        <v>13</v>
      </c>
      <c r="H29" s="8" t="s">
        <v>31</v>
      </c>
    </row>
    <row r="30" spans="1:8" s="8" customFormat="1">
      <c r="A30" s="13">
        <v>45667</v>
      </c>
      <c r="B30" s="8" t="s">
        <v>558</v>
      </c>
      <c r="C30" s="14">
        <v>66936</v>
      </c>
      <c r="D30" s="14">
        <v>0</v>
      </c>
      <c r="E30" s="14">
        <f t="shared" si="0"/>
        <v>1629083245.48</v>
      </c>
      <c r="F30" s="8" t="s">
        <v>6</v>
      </c>
      <c r="G30" s="8" t="s">
        <v>13</v>
      </c>
      <c r="H30" s="8" t="s">
        <v>31</v>
      </c>
    </row>
    <row r="31" spans="1:8" s="8" customFormat="1">
      <c r="A31" s="13">
        <v>45667</v>
      </c>
      <c r="B31" s="8" t="s">
        <v>559</v>
      </c>
      <c r="C31" s="14">
        <v>66936</v>
      </c>
      <c r="D31" s="14">
        <v>0</v>
      </c>
      <c r="E31" s="14">
        <f t="shared" si="0"/>
        <v>1629016309.48</v>
      </c>
      <c r="F31" s="8" t="s">
        <v>6</v>
      </c>
      <c r="G31" s="8" t="s">
        <v>13</v>
      </c>
      <c r="H31" s="8" t="s">
        <v>31</v>
      </c>
    </row>
    <row r="32" spans="1:8" s="8" customFormat="1">
      <c r="A32" s="13">
        <v>45667</v>
      </c>
      <c r="B32" s="8" t="s">
        <v>560</v>
      </c>
      <c r="C32" s="14">
        <v>66936</v>
      </c>
      <c r="D32" s="14">
        <v>0</v>
      </c>
      <c r="E32" s="14">
        <f t="shared" si="0"/>
        <v>1628949373.48</v>
      </c>
      <c r="F32" s="8" t="s">
        <v>6</v>
      </c>
      <c r="G32" s="8" t="s">
        <v>13</v>
      </c>
      <c r="H32" s="8" t="s">
        <v>31</v>
      </c>
    </row>
    <row r="33" spans="1:9" s="8" customFormat="1">
      <c r="A33" s="13">
        <v>45667</v>
      </c>
      <c r="B33" s="8" t="s">
        <v>561</v>
      </c>
      <c r="C33" s="14">
        <v>0</v>
      </c>
      <c r="D33" s="14">
        <v>3000000</v>
      </c>
      <c r="E33" s="14">
        <f t="shared" si="0"/>
        <v>1631949373.48</v>
      </c>
      <c r="F33" s="8" t="s">
        <v>1400</v>
      </c>
      <c r="G33" s="8" t="s">
        <v>1400</v>
      </c>
    </row>
    <row r="34" spans="1:9" s="8" customFormat="1">
      <c r="A34" s="13">
        <v>45670</v>
      </c>
      <c r="B34" s="8" t="s">
        <v>562</v>
      </c>
      <c r="C34" s="14">
        <v>35000000</v>
      </c>
      <c r="D34" s="14">
        <v>0</v>
      </c>
      <c r="E34" s="14">
        <f t="shared" si="0"/>
        <v>1596949373.48</v>
      </c>
      <c r="F34" s="8" t="s">
        <v>4</v>
      </c>
      <c r="G34" s="8" t="s">
        <v>5</v>
      </c>
      <c r="H34" s="154" t="s">
        <v>1352</v>
      </c>
    </row>
    <row r="35" spans="1:9" s="8" customFormat="1">
      <c r="A35" s="13">
        <v>45671</v>
      </c>
      <c r="B35" s="8" t="s">
        <v>2445</v>
      </c>
      <c r="C35" s="14">
        <v>0</v>
      </c>
      <c r="D35" s="14">
        <v>26950000</v>
      </c>
      <c r="E35" s="14">
        <f t="shared" si="0"/>
        <v>1623899373.48</v>
      </c>
      <c r="F35" s="8" t="s">
        <v>10</v>
      </c>
      <c r="G35" s="8" t="s">
        <v>18</v>
      </c>
      <c r="H35" s="154" t="s">
        <v>2434</v>
      </c>
      <c r="I35" s="154" t="s">
        <v>2411</v>
      </c>
    </row>
    <row r="36" spans="1:9" s="8" customFormat="1">
      <c r="A36" s="13">
        <v>45671</v>
      </c>
      <c r="B36" s="8" t="s">
        <v>2445</v>
      </c>
      <c r="C36" s="14">
        <f>D35-26947100</f>
        <v>2900</v>
      </c>
      <c r="D36" s="14">
        <v>0</v>
      </c>
      <c r="E36" s="14">
        <f t="shared" si="0"/>
        <v>1623896473.48</v>
      </c>
      <c r="F36" s="8" t="s">
        <v>19</v>
      </c>
      <c r="G36" s="8" t="s">
        <v>189</v>
      </c>
    </row>
    <row r="37" spans="1:9" s="8" customFormat="1">
      <c r="A37" s="13">
        <v>45671</v>
      </c>
      <c r="B37" s="8" t="s">
        <v>563</v>
      </c>
      <c r="C37" s="14">
        <v>91000000</v>
      </c>
      <c r="D37" s="14">
        <v>0</v>
      </c>
      <c r="E37" s="14">
        <f t="shared" si="0"/>
        <v>1532896473.48</v>
      </c>
      <c r="F37" s="8" t="s">
        <v>4</v>
      </c>
      <c r="G37" s="8" t="s">
        <v>5</v>
      </c>
      <c r="H37" s="154" t="s">
        <v>1352</v>
      </c>
    </row>
    <row r="38" spans="1:9" s="8" customFormat="1">
      <c r="A38" s="13">
        <v>45671</v>
      </c>
      <c r="B38" s="8" t="s">
        <v>564</v>
      </c>
      <c r="C38" s="14">
        <v>610130</v>
      </c>
      <c r="D38" s="14">
        <v>0</v>
      </c>
      <c r="E38" s="14">
        <f t="shared" si="0"/>
        <v>1532286343.48</v>
      </c>
      <c r="F38" s="8" t="s">
        <v>4</v>
      </c>
      <c r="G38" s="8" t="s">
        <v>5</v>
      </c>
      <c r="H38" s="154" t="s">
        <v>1352</v>
      </c>
    </row>
    <row r="39" spans="1:9" s="8" customFormat="1">
      <c r="A39" s="13">
        <v>45671</v>
      </c>
      <c r="B39" s="8" t="s">
        <v>565</v>
      </c>
      <c r="C39" s="14">
        <v>15675000</v>
      </c>
      <c r="D39" s="14">
        <v>0</v>
      </c>
      <c r="E39" s="14">
        <f t="shared" si="0"/>
        <v>1516611343.48</v>
      </c>
      <c r="F39" s="8" t="s">
        <v>4</v>
      </c>
      <c r="G39" s="8" t="s">
        <v>5</v>
      </c>
      <c r="H39" s="154" t="s">
        <v>1352</v>
      </c>
    </row>
    <row r="40" spans="1:9" s="8" customFormat="1">
      <c r="A40" s="13">
        <v>45671</v>
      </c>
      <c r="B40" s="8" t="s">
        <v>566</v>
      </c>
      <c r="C40" s="14">
        <v>673200</v>
      </c>
      <c r="D40" s="14">
        <v>0</v>
      </c>
      <c r="E40" s="14">
        <f t="shared" si="0"/>
        <v>1515938143.48</v>
      </c>
      <c r="F40" s="8" t="s">
        <v>4</v>
      </c>
      <c r="G40" s="8" t="s">
        <v>5</v>
      </c>
      <c r="H40" s="154" t="s">
        <v>1352</v>
      </c>
    </row>
    <row r="41" spans="1:9" s="8" customFormat="1">
      <c r="A41" s="13">
        <v>45671</v>
      </c>
      <c r="B41" s="8" t="s">
        <v>567</v>
      </c>
      <c r="C41" s="14">
        <v>1600000</v>
      </c>
      <c r="D41" s="14">
        <v>0</v>
      </c>
      <c r="E41" s="14">
        <f t="shared" si="0"/>
        <v>1514338143.48</v>
      </c>
      <c r="F41" s="8" t="s">
        <v>6</v>
      </c>
      <c r="G41" s="8" t="s">
        <v>7</v>
      </c>
      <c r="H41" s="8" t="s">
        <v>507</v>
      </c>
    </row>
    <row r="42" spans="1:9" s="8" customFormat="1">
      <c r="A42" s="13">
        <v>45672</v>
      </c>
      <c r="B42" s="8" t="s">
        <v>568</v>
      </c>
      <c r="C42" s="14">
        <v>36000000</v>
      </c>
      <c r="D42" s="14">
        <v>0</v>
      </c>
      <c r="E42" s="14">
        <f t="shared" si="0"/>
        <v>1478338143.48</v>
      </c>
      <c r="F42" s="8" t="s">
        <v>4</v>
      </c>
      <c r="G42" s="8" t="s">
        <v>5</v>
      </c>
      <c r="H42" s="154" t="s">
        <v>1352</v>
      </c>
    </row>
    <row r="43" spans="1:9" s="8" customFormat="1">
      <c r="A43" s="13">
        <v>45672</v>
      </c>
      <c r="B43" s="8" t="s">
        <v>569</v>
      </c>
      <c r="C43" s="14">
        <v>41512436</v>
      </c>
      <c r="D43" s="14">
        <v>0</v>
      </c>
      <c r="E43" s="14">
        <f t="shared" si="0"/>
        <v>1436825707.48</v>
      </c>
      <c r="F43" s="8" t="s">
        <v>4</v>
      </c>
      <c r="G43" s="8" t="s">
        <v>5</v>
      </c>
      <c r="H43" s="154" t="s">
        <v>1352</v>
      </c>
    </row>
    <row r="44" spans="1:9" s="8" customFormat="1">
      <c r="A44" s="13">
        <v>45672</v>
      </c>
      <c r="B44" s="8" t="s">
        <v>570</v>
      </c>
      <c r="C44" s="14">
        <v>15900000</v>
      </c>
      <c r="D44" s="14">
        <v>0</v>
      </c>
      <c r="E44" s="14">
        <f t="shared" si="0"/>
        <v>1420925707.48</v>
      </c>
      <c r="F44" s="8" t="s">
        <v>4</v>
      </c>
      <c r="G44" s="8" t="s">
        <v>5</v>
      </c>
      <c r="H44" s="154" t="s">
        <v>1352</v>
      </c>
    </row>
    <row r="45" spans="1:9" s="8" customFormat="1">
      <c r="A45" s="13">
        <v>45672</v>
      </c>
      <c r="B45" s="8" t="s">
        <v>571</v>
      </c>
      <c r="C45" s="14">
        <v>14000000</v>
      </c>
      <c r="D45" s="14">
        <v>0</v>
      </c>
      <c r="E45" s="14">
        <f t="shared" si="0"/>
        <v>1406925707.48</v>
      </c>
      <c r="F45" s="8" t="s">
        <v>4</v>
      </c>
      <c r="G45" s="8" t="s">
        <v>5</v>
      </c>
      <c r="H45" s="154" t="s">
        <v>1352</v>
      </c>
    </row>
    <row r="46" spans="1:9" s="8" customFormat="1">
      <c r="A46" s="13">
        <v>45672</v>
      </c>
      <c r="B46" s="8" t="s">
        <v>572</v>
      </c>
      <c r="C46" s="14">
        <v>1090075</v>
      </c>
      <c r="D46" s="14">
        <v>0</v>
      </c>
      <c r="E46" s="14">
        <f t="shared" si="0"/>
        <v>1405835632.48</v>
      </c>
      <c r="F46" s="8" t="s">
        <v>4</v>
      </c>
      <c r="G46" s="8" t="s">
        <v>5</v>
      </c>
      <c r="H46" s="154" t="s">
        <v>1352</v>
      </c>
    </row>
    <row r="47" spans="1:9" s="8" customFormat="1">
      <c r="A47" s="13">
        <v>45672</v>
      </c>
      <c r="B47" s="8" t="s">
        <v>573</v>
      </c>
      <c r="C47" s="14">
        <v>100000000</v>
      </c>
      <c r="D47" s="14">
        <v>0</v>
      </c>
      <c r="E47" s="14">
        <f t="shared" si="0"/>
        <v>1305835632.48</v>
      </c>
      <c r="F47" s="8" t="s">
        <v>4</v>
      </c>
      <c r="G47" s="8" t="s">
        <v>5</v>
      </c>
      <c r="H47" s="154" t="s">
        <v>1352</v>
      </c>
    </row>
    <row r="48" spans="1:9" s="8" customFormat="1">
      <c r="A48" s="13">
        <v>45672</v>
      </c>
      <c r="B48" s="8" t="s">
        <v>574</v>
      </c>
      <c r="C48" s="14">
        <v>50084580</v>
      </c>
      <c r="D48" s="14">
        <v>0</v>
      </c>
      <c r="E48" s="14">
        <f t="shared" si="0"/>
        <v>1255751052.48</v>
      </c>
      <c r="F48" s="8" t="s">
        <v>6</v>
      </c>
      <c r="G48" s="8" t="s">
        <v>7</v>
      </c>
      <c r="H48" s="8" t="s">
        <v>507</v>
      </c>
    </row>
    <row r="49" spans="1:9" s="8" customFormat="1">
      <c r="A49" s="13">
        <v>45673</v>
      </c>
      <c r="B49" s="8" t="s">
        <v>575</v>
      </c>
      <c r="C49" s="14">
        <v>111000000</v>
      </c>
      <c r="D49" s="14">
        <v>0</v>
      </c>
      <c r="E49" s="14">
        <f t="shared" si="0"/>
        <v>1144751052.48</v>
      </c>
      <c r="F49" s="8" t="s">
        <v>4</v>
      </c>
      <c r="G49" s="8" t="s">
        <v>5</v>
      </c>
      <c r="H49" s="154" t="s">
        <v>1352</v>
      </c>
    </row>
    <row r="50" spans="1:9" s="8" customFormat="1">
      <c r="A50" s="13">
        <v>45673</v>
      </c>
      <c r="B50" s="8" t="s">
        <v>576</v>
      </c>
      <c r="C50" s="14">
        <v>25000000</v>
      </c>
      <c r="D50" s="14">
        <v>0</v>
      </c>
      <c r="E50" s="14">
        <f t="shared" ref="E50:E51" si="1">E49-C50+D50</f>
        <v>1119751052.48</v>
      </c>
      <c r="F50" s="8" t="s">
        <v>4</v>
      </c>
      <c r="G50" s="8" t="s">
        <v>5</v>
      </c>
      <c r="H50" s="154" t="s">
        <v>1352</v>
      </c>
    </row>
    <row r="51" spans="1:9" s="8" customFormat="1">
      <c r="A51" s="13">
        <v>45673</v>
      </c>
      <c r="B51" s="8" t="s">
        <v>577</v>
      </c>
      <c r="C51" s="14">
        <v>6925000</v>
      </c>
      <c r="D51" s="14">
        <v>0</v>
      </c>
      <c r="E51" s="14">
        <f t="shared" si="1"/>
        <v>1112826052.48</v>
      </c>
      <c r="F51" s="8" t="s">
        <v>4</v>
      </c>
      <c r="G51" s="8" t="s">
        <v>5</v>
      </c>
      <c r="H51" s="154" t="s">
        <v>1352</v>
      </c>
    </row>
    <row r="52" spans="1:9" s="8" customFormat="1">
      <c r="A52" s="13">
        <v>45673</v>
      </c>
      <c r="B52" s="8" t="s">
        <v>578</v>
      </c>
      <c r="C52" s="14">
        <v>419794515</v>
      </c>
      <c r="D52" s="14">
        <v>0</v>
      </c>
      <c r="E52" s="14">
        <f t="shared" si="0"/>
        <v>693031537.48000002</v>
      </c>
      <c r="F52" s="8" t="s">
        <v>4</v>
      </c>
      <c r="G52" s="8" t="s">
        <v>5</v>
      </c>
      <c r="H52" s="154" t="s">
        <v>1352</v>
      </c>
    </row>
    <row r="53" spans="1:9" s="8" customFormat="1">
      <c r="A53" s="13">
        <v>45673</v>
      </c>
      <c r="B53" s="8" t="s">
        <v>579</v>
      </c>
      <c r="C53" s="14">
        <v>20750000</v>
      </c>
      <c r="D53" s="14">
        <v>0</v>
      </c>
      <c r="E53" s="14">
        <f t="shared" si="0"/>
        <v>672281537.48000002</v>
      </c>
      <c r="F53" s="8" t="s">
        <v>4</v>
      </c>
      <c r="G53" s="8" t="s">
        <v>5</v>
      </c>
      <c r="H53" s="154" t="s">
        <v>1352</v>
      </c>
    </row>
    <row r="54" spans="1:9" s="8" customFormat="1">
      <c r="A54" s="13">
        <v>45673</v>
      </c>
      <c r="B54" s="8" t="s">
        <v>580</v>
      </c>
      <c r="C54" s="14">
        <v>67450000</v>
      </c>
      <c r="D54" s="14">
        <v>0</v>
      </c>
      <c r="E54" s="14">
        <f t="shared" si="0"/>
        <v>604831537.48000002</v>
      </c>
      <c r="F54" s="8" t="s">
        <v>4</v>
      </c>
      <c r="G54" s="8" t="s">
        <v>5</v>
      </c>
      <c r="H54" s="154" t="s">
        <v>1352</v>
      </c>
    </row>
    <row r="55" spans="1:9" s="8" customFormat="1">
      <c r="A55" s="13">
        <v>45673</v>
      </c>
      <c r="B55" s="8" t="s">
        <v>581</v>
      </c>
      <c r="C55" s="14">
        <v>1017500</v>
      </c>
      <c r="D55" s="14">
        <v>0</v>
      </c>
      <c r="E55" s="14">
        <f t="shared" si="0"/>
        <v>603814037.48000002</v>
      </c>
      <c r="F55" s="8" t="s">
        <v>4</v>
      </c>
      <c r="G55" s="8" t="s">
        <v>5</v>
      </c>
      <c r="H55" s="154" t="s">
        <v>1352</v>
      </c>
    </row>
    <row r="56" spans="1:9" s="8" customFormat="1">
      <c r="A56" s="13">
        <v>45673</v>
      </c>
      <c r="B56" s="8" t="s">
        <v>582</v>
      </c>
      <c r="C56" s="14">
        <v>5200000</v>
      </c>
      <c r="D56" s="14">
        <v>0</v>
      </c>
      <c r="E56" s="14">
        <f t="shared" si="0"/>
        <v>598614037.48000002</v>
      </c>
      <c r="F56" s="8" t="s">
        <v>4</v>
      </c>
      <c r="G56" s="8" t="s">
        <v>5</v>
      </c>
      <c r="H56" s="154" t="s">
        <v>1352</v>
      </c>
    </row>
    <row r="57" spans="1:9" s="8" customFormat="1">
      <c r="A57" s="13">
        <v>45673</v>
      </c>
      <c r="B57" s="8" t="s">
        <v>583</v>
      </c>
      <c r="C57" s="14">
        <v>26000000</v>
      </c>
      <c r="D57" s="14">
        <v>0</v>
      </c>
      <c r="E57" s="14">
        <f t="shared" si="0"/>
        <v>572614037.48000002</v>
      </c>
      <c r="F57" s="8" t="s">
        <v>4</v>
      </c>
      <c r="G57" s="8" t="s">
        <v>5</v>
      </c>
      <c r="H57" s="154" t="s">
        <v>1352</v>
      </c>
    </row>
    <row r="58" spans="1:9" s="8" customFormat="1">
      <c r="A58" s="13">
        <v>45673</v>
      </c>
      <c r="B58" s="8" t="s">
        <v>584</v>
      </c>
      <c r="C58" s="14">
        <v>30000000</v>
      </c>
      <c r="D58" s="14">
        <v>0</v>
      </c>
      <c r="E58" s="14">
        <f t="shared" si="0"/>
        <v>542614037.48000002</v>
      </c>
      <c r="F58" s="8" t="s">
        <v>4</v>
      </c>
      <c r="G58" s="8" t="s">
        <v>5</v>
      </c>
      <c r="H58" s="154" t="s">
        <v>1352</v>
      </c>
    </row>
    <row r="59" spans="1:9" s="8" customFormat="1">
      <c r="A59" s="13">
        <v>45673</v>
      </c>
      <c r="B59" s="8" t="s">
        <v>585</v>
      </c>
      <c r="C59" s="14">
        <v>35225000</v>
      </c>
      <c r="D59" s="14">
        <v>0</v>
      </c>
      <c r="E59" s="14">
        <f t="shared" si="0"/>
        <v>507389037.48000002</v>
      </c>
      <c r="F59" s="8" t="s">
        <v>4</v>
      </c>
      <c r="G59" s="8" t="s">
        <v>5</v>
      </c>
      <c r="H59" s="154" t="s">
        <v>1352</v>
      </c>
    </row>
    <row r="60" spans="1:9" s="8" customFormat="1">
      <c r="A60" s="13">
        <v>45673</v>
      </c>
      <c r="B60" s="8" t="s">
        <v>7195</v>
      </c>
      <c r="C60" s="54">
        <v>120000000</v>
      </c>
      <c r="D60" s="54">
        <v>0</v>
      </c>
      <c r="E60" s="54">
        <f t="shared" si="0"/>
        <v>387389037.48000002</v>
      </c>
      <c r="F60" s="8" t="s">
        <v>4</v>
      </c>
      <c r="G60" s="8" t="s">
        <v>5</v>
      </c>
      <c r="H60" s="154" t="s">
        <v>1352</v>
      </c>
    </row>
    <row r="61" spans="1:9" s="8" customFormat="1">
      <c r="A61" s="13">
        <v>45673</v>
      </c>
      <c r="B61" s="8" t="s">
        <v>7195</v>
      </c>
      <c r="C61" s="54">
        <v>13200000</v>
      </c>
      <c r="D61" s="54">
        <v>0</v>
      </c>
      <c r="E61" s="54">
        <f t="shared" si="0"/>
        <v>374189037.48000002</v>
      </c>
      <c r="F61" s="8" t="s">
        <v>920</v>
      </c>
      <c r="G61" s="8" t="s">
        <v>7855</v>
      </c>
      <c r="H61" s="154" t="s">
        <v>7032</v>
      </c>
      <c r="I61" s="8" t="s">
        <v>89</v>
      </c>
    </row>
    <row r="62" spans="1:9" s="8" customFormat="1">
      <c r="A62" s="13">
        <v>45673</v>
      </c>
      <c r="B62" s="8" t="s">
        <v>7202</v>
      </c>
      <c r="C62" s="54">
        <v>8000000</v>
      </c>
      <c r="D62" s="54">
        <v>0</v>
      </c>
      <c r="E62" s="54">
        <f t="shared" si="0"/>
        <v>366189037.48000002</v>
      </c>
      <c r="F62" s="8" t="s">
        <v>4</v>
      </c>
      <c r="G62" s="8" t="s">
        <v>5</v>
      </c>
      <c r="H62" s="154" t="s">
        <v>1352</v>
      </c>
    </row>
    <row r="63" spans="1:9" s="8" customFormat="1">
      <c r="A63" s="13">
        <v>45673</v>
      </c>
      <c r="B63" s="8" t="s">
        <v>7202</v>
      </c>
      <c r="C63" s="54">
        <v>0</v>
      </c>
      <c r="D63" s="54">
        <v>2400000</v>
      </c>
      <c r="E63" s="54">
        <f t="shared" si="0"/>
        <v>368589037.48000002</v>
      </c>
      <c r="F63" s="8" t="s">
        <v>920</v>
      </c>
      <c r="G63" s="8" t="s">
        <v>4242</v>
      </c>
      <c r="H63" s="8" t="s">
        <v>88</v>
      </c>
      <c r="I63" s="8" t="s">
        <v>89</v>
      </c>
    </row>
    <row r="64" spans="1:9" s="8" customFormat="1">
      <c r="A64" s="13">
        <v>45673</v>
      </c>
      <c r="B64" s="8" t="s">
        <v>7202</v>
      </c>
      <c r="C64" s="54">
        <v>0</v>
      </c>
      <c r="D64" s="54">
        <f>C60+C61+C62-D63-136400000</f>
        <v>2400000</v>
      </c>
      <c r="E64" s="54">
        <f t="shared" si="0"/>
        <v>370989037.48000002</v>
      </c>
      <c r="F64" s="8" t="s">
        <v>920</v>
      </c>
      <c r="G64" s="8" t="s">
        <v>4242</v>
      </c>
      <c r="H64" s="8" t="s">
        <v>88</v>
      </c>
      <c r="I64" s="8" t="s">
        <v>89</v>
      </c>
    </row>
    <row r="65" spans="1:8" s="8" customFormat="1">
      <c r="A65" s="13">
        <v>45673</v>
      </c>
      <c r="B65" s="8" t="s">
        <v>586</v>
      </c>
      <c r="C65" s="14">
        <v>216320000</v>
      </c>
      <c r="D65" s="14">
        <v>0</v>
      </c>
      <c r="E65" s="14">
        <f t="shared" si="0"/>
        <v>154669037.48000002</v>
      </c>
      <c r="F65" s="8" t="s">
        <v>4</v>
      </c>
      <c r="G65" s="8" t="s">
        <v>5</v>
      </c>
      <c r="H65" s="154" t="s">
        <v>1352</v>
      </c>
    </row>
    <row r="66" spans="1:8" s="8" customFormat="1">
      <c r="A66" s="13">
        <v>45673</v>
      </c>
      <c r="B66" s="8" t="s">
        <v>587</v>
      </c>
      <c r="C66" s="14">
        <v>1000000</v>
      </c>
      <c r="D66" s="14">
        <v>0</v>
      </c>
      <c r="E66" s="14">
        <f t="shared" si="0"/>
        <v>153669037.48000002</v>
      </c>
      <c r="F66" s="8" t="s">
        <v>21</v>
      </c>
      <c r="G66" s="8" t="s">
        <v>187</v>
      </c>
      <c r="H66" s="40"/>
    </row>
    <row r="67" spans="1:8" s="8" customFormat="1">
      <c r="A67" s="13">
        <v>45673</v>
      </c>
      <c r="B67" s="8" t="s">
        <v>588</v>
      </c>
      <c r="C67" s="14">
        <v>38500000</v>
      </c>
      <c r="D67" s="14">
        <v>0</v>
      </c>
      <c r="E67" s="14">
        <f t="shared" si="0"/>
        <v>115169037.48000002</v>
      </c>
      <c r="F67" s="8" t="s">
        <v>4</v>
      </c>
      <c r="G67" s="8" t="s">
        <v>5</v>
      </c>
      <c r="H67" s="154" t="s">
        <v>1352</v>
      </c>
    </row>
    <row r="68" spans="1:8" s="8" customFormat="1">
      <c r="A68" s="13">
        <v>45673</v>
      </c>
      <c r="B68" s="8" t="s">
        <v>589</v>
      </c>
      <c r="C68" s="14">
        <v>50000000</v>
      </c>
      <c r="D68" s="14">
        <v>0</v>
      </c>
      <c r="E68" s="14">
        <f t="shared" si="0"/>
        <v>65169037.480000019</v>
      </c>
      <c r="F68" s="8" t="s">
        <v>920</v>
      </c>
      <c r="G68" s="8" t="s">
        <v>400</v>
      </c>
      <c r="H68" s="40" t="s">
        <v>4873</v>
      </c>
    </row>
    <row r="69" spans="1:8" s="8" customFormat="1">
      <c r="A69" s="13">
        <v>45673</v>
      </c>
      <c r="B69" s="8" t="s">
        <v>590</v>
      </c>
      <c r="C69" s="14">
        <v>12000000</v>
      </c>
      <c r="D69" s="14">
        <v>0</v>
      </c>
      <c r="E69" s="14">
        <f t="shared" si="0"/>
        <v>53169037.480000019</v>
      </c>
      <c r="F69" s="8" t="s">
        <v>4</v>
      </c>
      <c r="G69" s="8" t="s">
        <v>5</v>
      </c>
      <c r="H69" s="154" t="s">
        <v>2473</v>
      </c>
    </row>
    <row r="70" spans="1:8" s="8" customFormat="1">
      <c r="A70" s="13">
        <v>45673</v>
      </c>
      <c r="B70" s="8" t="s">
        <v>591</v>
      </c>
      <c r="C70" s="14">
        <v>17910000</v>
      </c>
      <c r="D70" s="14">
        <v>0</v>
      </c>
      <c r="E70" s="14">
        <f t="shared" si="0"/>
        <v>35259037.480000019</v>
      </c>
      <c r="F70" s="8" t="s">
        <v>4</v>
      </c>
      <c r="G70" s="8" t="s">
        <v>5</v>
      </c>
      <c r="H70" s="154" t="s">
        <v>1352</v>
      </c>
    </row>
    <row r="71" spans="1:8" s="8" customFormat="1">
      <c r="A71" s="13">
        <v>45673</v>
      </c>
      <c r="B71" s="8" t="s">
        <v>333</v>
      </c>
      <c r="C71" s="14">
        <v>0</v>
      </c>
      <c r="D71" s="14">
        <v>250000000</v>
      </c>
      <c r="E71" s="14">
        <f t="shared" si="0"/>
        <v>285259037.48000002</v>
      </c>
      <c r="F71" s="8" t="s">
        <v>920</v>
      </c>
      <c r="G71" s="8" t="s">
        <v>4242</v>
      </c>
      <c r="H71" s="40"/>
    </row>
    <row r="72" spans="1:8" s="8" customFormat="1">
      <c r="A72" s="13">
        <v>45673</v>
      </c>
      <c r="B72" s="8" t="s">
        <v>333</v>
      </c>
      <c r="C72" s="14">
        <v>0</v>
      </c>
      <c r="D72" s="14">
        <v>250000000</v>
      </c>
      <c r="E72" s="14">
        <f t="shared" si="0"/>
        <v>535259037.48000002</v>
      </c>
      <c r="F72" s="8" t="s">
        <v>920</v>
      </c>
      <c r="G72" s="8" t="s">
        <v>4242</v>
      </c>
      <c r="H72" s="40"/>
    </row>
    <row r="73" spans="1:8" s="8" customFormat="1">
      <c r="A73" s="13">
        <v>45673</v>
      </c>
      <c r="B73" s="8" t="s">
        <v>592</v>
      </c>
      <c r="C73" s="14">
        <v>374500000</v>
      </c>
      <c r="D73" s="14">
        <v>0</v>
      </c>
      <c r="E73" s="14">
        <f t="shared" si="0"/>
        <v>160759037.48000002</v>
      </c>
      <c r="F73" s="8" t="s">
        <v>4</v>
      </c>
      <c r="G73" s="8" t="s">
        <v>5</v>
      </c>
      <c r="H73" s="154" t="s">
        <v>1352</v>
      </c>
    </row>
    <row r="74" spans="1:8" s="8" customFormat="1">
      <c r="A74" s="13">
        <v>45674</v>
      </c>
      <c r="B74" s="8" t="s">
        <v>593</v>
      </c>
      <c r="C74" s="14">
        <v>0</v>
      </c>
      <c r="D74" s="14">
        <v>1000000000</v>
      </c>
      <c r="E74" s="14">
        <f t="shared" ref="E74:E127" si="2">E73-C74+D74</f>
        <v>1160759037.48</v>
      </c>
      <c r="F74" s="8" t="s">
        <v>920</v>
      </c>
      <c r="G74" s="8" t="s">
        <v>461</v>
      </c>
      <c r="H74" s="40"/>
    </row>
    <row r="75" spans="1:8" s="8" customFormat="1">
      <c r="A75" s="13">
        <v>45674</v>
      </c>
      <c r="B75" s="8" t="s">
        <v>594</v>
      </c>
      <c r="C75" s="14">
        <v>13139781</v>
      </c>
      <c r="D75" s="14">
        <v>0</v>
      </c>
      <c r="E75" s="14">
        <f t="shared" si="2"/>
        <v>1147619256.48</v>
      </c>
      <c r="F75" s="8" t="s">
        <v>8</v>
      </c>
      <c r="G75" s="8" t="s">
        <v>178</v>
      </c>
      <c r="H75" s="40"/>
    </row>
    <row r="76" spans="1:8" s="8" customFormat="1">
      <c r="A76" s="13">
        <v>45674</v>
      </c>
      <c r="B76" s="8" t="s">
        <v>595</v>
      </c>
      <c r="C76" s="14">
        <v>23272500</v>
      </c>
      <c r="D76" s="14">
        <v>0</v>
      </c>
      <c r="E76" s="14">
        <f t="shared" si="2"/>
        <v>1124346756.48</v>
      </c>
      <c r="F76" s="8" t="s">
        <v>920</v>
      </c>
      <c r="G76" s="8" t="s">
        <v>400</v>
      </c>
      <c r="H76" s="40" t="s">
        <v>4960</v>
      </c>
    </row>
    <row r="77" spans="1:8" s="8" customFormat="1">
      <c r="A77" s="13">
        <v>45676</v>
      </c>
      <c r="B77" s="8" t="s">
        <v>596</v>
      </c>
      <c r="C77" s="14">
        <v>4800000</v>
      </c>
      <c r="D77" s="14">
        <v>0</v>
      </c>
      <c r="E77" s="14">
        <f t="shared" si="2"/>
        <v>1119546756.48</v>
      </c>
      <c r="F77" s="8" t="s">
        <v>4</v>
      </c>
      <c r="G77" s="8" t="s">
        <v>5</v>
      </c>
      <c r="H77" s="154" t="s">
        <v>1352</v>
      </c>
    </row>
    <row r="78" spans="1:8" s="8" customFormat="1">
      <c r="A78" s="13">
        <v>45676</v>
      </c>
      <c r="B78" s="8" t="s">
        <v>597</v>
      </c>
      <c r="C78" s="14">
        <v>7500000</v>
      </c>
      <c r="D78" s="14">
        <v>0</v>
      </c>
      <c r="E78" s="14">
        <f t="shared" si="2"/>
        <v>1112046756.48</v>
      </c>
      <c r="F78" s="8" t="s">
        <v>4</v>
      </c>
      <c r="G78" s="8" t="s">
        <v>5</v>
      </c>
      <c r="H78" s="154" t="s">
        <v>1352</v>
      </c>
    </row>
    <row r="79" spans="1:8" s="8" customFormat="1">
      <c r="A79" s="13">
        <v>45679</v>
      </c>
      <c r="B79" s="8" t="s">
        <v>598</v>
      </c>
      <c r="C79" s="14">
        <v>550000</v>
      </c>
      <c r="D79" s="14">
        <v>0</v>
      </c>
      <c r="E79" s="14">
        <f t="shared" si="2"/>
        <v>1111496756.48</v>
      </c>
      <c r="F79" s="8" t="s">
        <v>4</v>
      </c>
      <c r="G79" s="8" t="s">
        <v>5</v>
      </c>
      <c r="H79" s="146" t="s">
        <v>2216</v>
      </c>
    </row>
    <row r="80" spans="1:8" s="8" customFormat="1">
      <c r="A80" s="13">
        <v>45679</v>
      </c>
      <c r="B80" s="8" t="s">
        <v>599</v>
      </c>
      <c r="C80" s="14">
        <v>216320000</v>
      </c>
      <c r="D80" s="14">
        <v>0</v>
      </c>
      <c r="E80" s="14">
        <f t="shared" si="2"/>
        <v>895176756.48000002</v>
      </c>
      <c r="F80" s="8" t="s">
        <v>4</v>
      </c>
      <c r="G80" s="8" t="s">
        <v>5</v>
      </c>
      <c r="H80" s="154" t="s">
        <v>1352</v>
      </c>
    </row>
    <row r="81" spans="1:8" s="8" customFormat="1">
      <c r="A81" s="13">
        <v>45679</v>
      </c>
      <c r="B81" s="8" t="s">
        <v>600</v>
      </c>
      <c r="C81" s="14">
        <v>2500000</v>
      </c>
      <c r="D81" s="14">
        <v>0</v>
      </c>
      <c r="E81" s="14">
        <f t="shared" si="2"/>
        <v>892676756.48000002</v>
      </c>
      <c r="F81" s="8" t="s">
        <v>4</v>
      </c>
      <c r="G81" s="8" t="s">
        <v>5</v>
      </c>
      <c r="H81" s="154" t="s">
        <v>1352</v>
      </c>
    </row>
    <row r="82" spans="1:8" s="8" customFormat="1">
      <c r="A82" s="13">
        <v>45679</v>
      </c>
      <c r="B82" s="8" t="s">
        <v>601</v>
      </c>
      <c r="C82" s="14">
        <v>35000000</v>
      </c>
      <c r="D82" s="14">
        <v>0</v>
      </c>
      <c r="E82" s="14">
        <f t="shared" si="2"/>
        <v>857676756.48000002</v>
      </c>
      <c r="F82" s="8" t="s">
        <v>4</v>
      </c>
      <c r="G82" s="8" t="s">
        <v>5</v>
      </c>
      <c r="H82" s="154" t="s">
        <v>1352</v>
      </c>
    </row>
    <row r="83" spans="1:8" s="8" customFormat="1">
      <c r="A83" s="13">
        <v>45679</v>
      </c>
      <c r="B83" s="8" t="s">
        <v>602</v>
      </c>
      <c r="C83" s="14">
        <v>3980000</v>
      </c>
      <c r="D83" s="14">
        <v>0</v>
      </c>
      <c r="E83" s="14">
        <f t="shared" si="2"/>
        <v>853696756.48000002</v>
      </c>
      <c r="F83" s="8" t="s">
        <v>4</v>
      </c>
      <c r="G83" s="8" t="s">
        <v>5</v>
      </c>
      <c r="H83" s="154" t="s">
        <v>2473</v>
      </c>
    </row>
    <row r="84" spans="1:8" s="8" customFormat="1">
      <c r="A84" s="13">
        <v>45681</v>
      </c>
      <c r="B84" s="8" t="s">
        <v>603</v>
      </c>
      <c r="C84" s="14">
        <v>718000</v>
      </c>
      <c r="D84" s="14">
        <v>0</v>
      </c>
      <c r="E84" s="14">
        <f t="shared" si="2"/>
        <v>852978756.48000002</v>
      </c>
      <c r="F84" s="8" t="s">
        <v>4</v>
      </c>
      <c r="G84" s="8" t="s">
        <v>5</v>
      </c>
      <c r="H84" s="43" t="s">
        <v>1352</v>
      </c>
    </row>
    <row r="85" spans="1:8" s="8" customFormat="1">
      <c r="A85" s="13">
        <v>45681</v>
      </c>
      <c r="B85" s="8" t="s">
        <v>604</v>
      </c>
      <c r="C85" s="54">
        <v>6800000</v>
      </c>
      <c r="D85" s="54">
        <v>0</v>
      </c>
      <c r="E85" s="54">
        <f t="shared" si="2"/>
        <v>846178756.48000002</v>
      </c>
      <c r="F85" s="8" t="s">
        <v>4</v>
      </c>
      <c r="G85" s="8" t="s">
        <v>5</v>
      </c>
      <c r="H85" s="43" t="s">
        <v>1352</v>
      </c>
    </row>
    <row r="86" spans="1:8" s="8" customFormat="1">
      <c r="A86" s="13">
        <v>45681</v>
      </c>
      <c r="B86" s="8" t="s">
        <v>605</v>
      </c>
      <c r="C86" s="14">
        <v>4830000</v>
      </c>
      <c r="D86" s="14">
        <v>0</v>
      </c>
      <c r="E86" s="14">
        <f t="shared" si="2"/>
        <v>841348756.48000002</v>
      </c>
      <c r="F86" s="8" t="s">
        <v>4</v>
      </c>
      <c r="G86" s="8" t="s">
        <v>5</v>
      </c>
      <c r="H86" s="43" t="s">
        <v>1352</v>
      </c>
    </row>
    <row r="87" spans="1:8" s="8" customFormat="1">
      <c r="A87" s="13">
        <v>45681</v>
      </c>
      <c r="B87" s="8" t="s">
        <v>606</v>
      </c>
      <c r="C87" s="14">
        <v>9250000</v>
      </c>
      <c r="D87" s="14">
        <v>0</v>
      </c>
      <c r="E87" s="14">
        <f t="shared" si="2"/>
        <v>832098756.48000002</v>
      </c>
      <c r="F87" s="8" t="s">
        <v>4</v>
      </c>
      <c r="G87" s="8" t="s">
        <v>5</v>
      </c>
      <c r="H87" s="43" t="s">
        <v>1352</v>
      </c>
    </row>
    <row r="88" spans="1:8" s="8" customFormat="1">
      <c r="A88" s="13">
        <v>45681</v>
      </c>
      <c r="B88" s="8" t="s">
        <v>607</v>
      </c>
      <c r="C88" s="14">
        <v>5250000</v>
      </c>
      <c r="D88" s="14">
        <v>0</v>
      </c>
      <c r="E88" s="14">
        <f t="shared" si="2"/>
        <v>826848756.48000002</v>
      </c>
      <c r="F88" s="8" t="s">
        <v>4</v>
      </c>
      <c r="G88" s="8" t="s">
        <v>5</v>
      </c>
      <c r="H88" s="43" t="s">
        <v>1352</v>
      </c>
    </row>
    <row r="89" spans="1:8" s="8" customFormat="1">
      <c r="A89" s="13">
        <v>45681</v>
      </c>
      <c r="B89" s="8" t="s">
        <v>608</v>
      </c>
      <c r="C89" s="14">
        <v>3255000</v>
      </c>
      <c r="D89" s="14">
        <v>0</v>
      </c>
      <c r="E89" s="14">
        <f t="shared" si="2"/>
        <v>823593756.48000002</v>
      </c>
      <c r="F89" s="8" t="s">
        <v>4</v>
      </c>
      <c r="G89" s="8" t="s">
        <v>5</v>
      </c>
      <c r="H89" s="43" t="s">
        <v>1352</v>
      </c>
    </row>
    <row r="90" spans="1:8" s="8" customFormat="1">
      <c r="A90" s="13">
        <v>45681</v>
      </c>
      <c r="B90" s="8" t="s">
        <v>609</v>
      </c>
      <c r="C90" s="14">
        <v>2000000</v>
      </c>
      <c r="D90" s="14">
        <v>0</v>
      </c>
      <c r="E90" s="14">
        <f t="shared" si="2"/>
        <v>821593756.48000002</v>
      </c>
      <c r="F90" s="8" t="s">
        <v>4</v>
      </c>
      <c r="G90" s="8" t="s">
        <v>5</v>
      </c>
      <c r="H90" s="43" t="s">
        <v>1352</v>
      </c>
    </row>
    <row r="91" spans="1:8" s="8" customFormat="1">
      <c r="A91" s="13">
        <v>45681</v>
      </c>
      <c r="B91" s="8" t="s">
        <v>610</v>
      </c>
      <c r="C91" s="14">
        <v>9000000</v>
      </c>
      <c r="D91" s="14">
        <v>0</v>
      </c>
      <c r="E91" s="14">
        <f t="shared" si="2"/>
        <v>812593756.48000002</v>
      </c>
      <c r="F91" s="8" t="s">
        <v>4</v>
      </c>
      <c r="G91" s="8" t="s">
        <v>5</v>
      </c>
      <c r="H91" s="43" t="s">
        <v>1352</v>
      </c>
    </row>
    <row r="92" spans="1:8" s="8" customFormat="1">
      <c r="A92" s="13">
        <v>45681</v>
      </c>
      <c r="B92" s="8" t="s">
        <v>611</v>
      </c>
      <c r="C92" s="14">
        <v>5250000</v>
      </c>
      <c r="D92" s="14">
        <v>0</v>
      </c>
      <c r="E92" s="14">
        <f t="shared" si="2"/>
        <v>807343756.48000002</v>
      </c>
      <c r="F92" s="8" t="s">
        <v>4</v>
      </c>
      <c r="G92" s="8" t="s">
        <v>5</v>
      </c>
      <c r="H92" s="43" t="s">
        <v>1352</v>
      </c>
    </row>
    <row r="93" spans="1:8" s="8" customFormat="1">
      <c r="A93" s="13">
        <v>45681</v>
      </c>
      <c r="B93" s="8" t="s">
        <v>612</v>
      </c>
      <c r="C93" s="14">
        <v>5250000</v>
      </c>
      <c r="D93" s="14">
        <v>0</v>
      </c>
      <c r="E93" s="14">
        <f t="shared" si="2"/>
        <v>802093756.48000002</v>
      </c>
      <c r="F93" s="8" t="s">
        <v>4</v>
      </c>
      <c r="G93" s="8" t="s">
        <v>5</v>
      </c>
      <c r="H93" s="43" t="s">
        <v>1352</v>
      </c>
    </row>
    <row r="94" spans="1:8" s="8" customFormat="1">
      <c r="A94" s="13">
        <v>45681</v>
      </c>
      <c r="B94" s="8" t="s">
        <v>613</v>
      </c>
      <c r="C94" s="14">
        <v>27500000</v>
      </c>
      <c r="D94" s="14">
        <v>0</v>
      </c>
      <c r="E94" s="14">
        <f t="shared" si="2"/>
        <v>774593756.48000002</v>
      </c>
      <c r="F94" s="8" t="s">
        <v>4</v>
      </c>
      <c r="G94" s="8" t="s">
        <v>5</v>
      </c>
      <c r="H94" s="43" t="s">
        <v>1352</v>
      </c>
    </row>
    <row r="95" spans="1:8" s="8" customFormat="1">
      <c r="A95" s="13">
        <v>45681</v>
      </c>
      <c r="B95" s="8" t="s">
        <v>614</v>
      </c>
      <c r="C95" s="14">
        <v>1850691</v>
      </c>
      <c r="D95" s="14">
        <v>0</v>
      </c>
      <c r="E95" s="14">
        <f t="shared" si="2"/>
        <v>772743065.48000002</v>
      </c>
      <c r="F95" s="8" t="s">
        <v>4</v>
      </c>
      <c r="G95" s="8" t="s">
        <v>5</v>
      </c>
      <c r="H95" s="43" t="s">
        <v>1352</v>
      </c>
    </row>
    <row r="96" spans="1:8" s="8" customFormat="1">
      <c r="A96" s="13">
        <v>45681</v>
      </c>
      <c r="B96" s="8" t="s">
        <v>615</v>
      </c>
      <c r="C96" s="14">
        <v>2500000</v>
      </c>
      <c r="D96" s="14">
        <v>0</v>
      </c>
      <c r="E96" s="14">
        <f t="shared" si="2"/>
        <v>770243065.48000002</v>
      </c>
      <c r="F96" s="8" t="s">
        <v>4</v>
      </c>
      <c r="G96" s="8" t="s">
        <v>5</v>
      </c>
      <c r="H96" s="43" t="s">
        <v>1352</v>
      </c>
    </row>
    <row r="97" spans="1:8" s="8" customFormat="1">
      <c r="A97" s="13">
        <v>45681</v>
      </c>
      <c r="B97" s="8" t="s">
        <v>616</v>
      </c>
      <c r="C97" s="14">
        <v>2000000</v>
      </c>
      <c r="D97" s="14">
        <v>0</v>
      </c>
      <c r="E97" s="14">
        <f t="shared" si="2"/>
        <v>768243065.48000002</v>
      </c>
      <c r="F97" s="8" t="s">
        <v>4</v>
      </c>
      <c r="G97" s="8" t="s">
        <v>5</v>
      </c>
      <c r="H97" s="43" t="s">
        <v>1352</v>
      </c>
    </row>
    <row r="98" spans="1:8" s="8" customFormat="1">
      <c r="A98" s="13">
        <v>45681</v>
      </c>
      <c r="B98" s="8" t="s">
        <v>617</v>
      </c>
      <c r="C98" s="14">
        <v>1500000</v>
      </c>
      <c r="D98" s="14">
        <v>0</v>
      </c>
      <c r="E98" s="14">
        <f t="shared" si="2"/>
        <v>766743065.48000002</v>
      </c>
      <c r="F98" s="8" t="s">
        <v>4</v>
      </c>
      <c r="G98" s="8" t="s">
        <v>5</v>
      </c>
      <c r="H98" s="154" t="s">
        <v>2473</v>
      </c>
    </row>
    <row r="99" spans="1:8" s="8" customFormat="1">
      <c r="A99" s="13">
        <v>45681</v>
      </c>
      <c r="B99" s="8" t="s">
        <v>618</v>
      </c>
      <c r="C99" s="14">
        <v>500000</v>
      </c>
      <c r="D99" s="14">
        <v>0</v>
      </c>
      <c r="E99" s="14">
        <f t="shared" si="2"/>
        <v>766243065.48000002</v>
      </c>
      <c r="F99" s="8" t="s">
        <v>4</v>
      </c>
      <c r="G99" s="8" t="s">
        <v>5</v>
      </c>
      <c r="H99" s="154" t="s">
        <v>2473</v>
      </c>
    </row>
    <row r="100" spans="1:8" s="8" customFormat="1">
      <c r="A100" s="13">
        <v>45681</v>
      </c>
      <c r="B100" s="8" t="s">
        <v>619</v>
      </c>
      <c r="C100" s="14">
        <v>1000000</v>
      </c>
      <c r="D100" s="14">
        <v>0</v>
      </c>
      <c r="E100" s="14">
        <f t="shared" si="2"/>
        <v>765243065.48000002</v>
      </c>
      <c r="F100" s="8" t="s">
        <v>4</v>
      </c>
      <c r="G100" s="8" t="s">
        <v>5</v>
      </c>
      <c r="H100" s="154" t="s">
        <v>2473</v>
      </c>
    </row>
    <row r="101" spans="1:8" s="8" customFormat="1">
      <c r="A101" s="13">
        <v>45681</v>
      </c>
      <c r="B101" s="8" t="s">
        <v>620</v>
      </c>
      <c r="C101" s="14">
        <v>3000000</v>
      </c>
      <c r="D101" s="14">
        <v>0</v>
      </c>
      <c r="E101" s="14">
        <f t="shared" si="2"/>
        <v>762243065.48000002</v>
      </c>
      <c r="F101" s="8" t="s">
        <v>4</v>
      </c>
      <c r="G101" s="8" t="s">
        <v>5</v>
      </c>
      <c r="H101" s="43" t="s">
        <v>1352</v>
      </c>
    </row>
    <row r="102" spans="1:8" s="8" customFormat="1">
      <c r="A102" s="13">
        <v>45681</v>
      </c>
      <c r="B102" s="8" t="s">
        <v>621</v>
      </c>
      <c r="C102" s="14">
        <v>8500000</v>
      </c>
      <c r="D102" s="14">
        <v>0</v>
      </c>
      <c r="E102" s="14">
        <f t="shared" si="2"/>
        <v>753743065.48000002</v>
      </c>
      <c r="F102" s="8" t="s">
        <v>4</v>
      </c>
      <c r="G102" s="8" t="s">
        <v>5</v>
      </c>
      <c r="H102" s="154" t="s">
        <v>2473</v>
      </c>
    </row>
    <row r="103" spans="1:8" s="8" customFormat="1">
      <c r="A103" s="13">
        <v>45681</v>
      </c>
      <c r="B103" s="8" t="s">
        <v>622</v>
      </c>
      <c r="C103" s="14">
        <v>12000000</v>
      </c>
      <c r="D103" s="14">
        <v>0</v>
      </c>
      <c r="E103" s="14">
        <f t="shared" si="2"/>
        <v>741743065.48000002</v>
      </c>
      <c r="F103" s="8" t="s">
        <v>4</v>
      </c>
      <c r="G103" s="8" t="s">
        <v>5</v>
      </c>
      <c r="H103" s="154" t="s">
        <v>2473</v>
      </c>
    </row>
    <row r="104" spans="1:8" s="8" customFormat="1">
      <c r="A104" s="13">
        <v>45681</v>
      </c>
      <c r="B104" s="8" t="s">
        <v>623</v>
      </c>
      <c r="C104" s="14">
        <v>25750000</v>
      </c>
      <c r="D104" s="14">
        <v>0</v>
      </c>
      <c r="E104" s="14">
        <f t="shared" si="2"/>
        <v>715993065.48000002</v>
      </c>
      <c r="F104" s="8" t="s">
        <v>4</v>
      </c>
      <c r="G104" s="8" t="s">
        <v>5</v>
      </c>
      <c r="H104" s="43" t="s">
        <v>1352</v>
      </c>
    </row>
    <row r="105" spans="1:8" s="8" customFormat="1">
      <c r="A105" s="13">
        <v>45681</v>
      </c>
      <c r="B105" s="8" t="s">
        <v>624</v>
      </c>
      <c r="C105" s="14">
        <v>3000000</v>
      </c>
      <c r="D105" s="14">
        <v>0</v>
      </c>
      <c r="E105" s="14">
        <f t="shared" si="2"/>
        <v>712993065.48000002</v>
      </c>
      <c r="F105" s="8" t="s">
        <v>4</v>
      </c>
      <c r="G105" s="8" t="s">
        <v>5</v>
      </c>
      <c r="H105" s="43" t="s">
        <v>1352</v>
      </c>
    </row>
    <row r="106" spans="1:8" s="8" customFormat="1">
      <c r="A106" s="13">
        <v>45681</v>
      </c>
      <c r="B106" s="8" t="s">
        <v>625</v>
      </c>
      <c r="C106" s="14">
        <v>5000000</v>
      </c>
      <c r="D106" s="14">
        <v>0</v>
      </c>
      <c r="E106" s="14">
        <f t="shared" si="2"/>
        <v>707993065.48000002</v>
      </c>
      <c r="F106" s="8" t="s">
        <v>4</v>
      </c>
      <c r="G106" s="8" t="s">
        <v>5</v>
      </c>
      <c r="H106" s="43" t="s">
        <v>1352</v>
      </c>
    </row>
    <row r="107" spans="1:8" s="8" customFormat="1">
      <c r="A107" s="13">
        <v>45681</v>
      </c>
      <c r="B107" s="8" t="s">
        <v>626</v>
      </c>
      <c r="C107" s="14">
        <v>2000000</v>
      </c>
      <c r="D107" s="14">
        <v>0</v>
      </c>
      <c r="E107" s="14">
        <f t="shared" si="2"/>
        <v>705993065.48000002</v>
      </c>
      <c r="F107" s="8" t="s">
        <v>4</v>
      </c>
      <c r="G107" s="8" t="s">
        <v>5</v>
      </c>
      <c r="H107" s="43" t="s">
        <v>1352</v>
      </c>
    </row>
    <row r="108" spans="1:8" s="8" customFormat="1">
      <c r="A108" s="13">
        <v>45681</v>
      </c>
      <c r="B108" s="8" t="s">
        <v>627</v>
      </c>
      <c r="C108" s="14">
        <v>750000</v>
      </c>
      <c r="D108" s="14">
        <v>0</v>
      </c>
      <c r="E108" s="14">
        <f t="shared" si="2"/>
        <v>705243065.48000002</v>
      </c>
      <c r="F108" s="8" t="s">
        <v>4</v>
      </c>
      <c r="G108" s="8" t="s">
        <v>5</v>
      </c>
      <c r="H108" s="43" t="s">
        <v>1352</v>
      </c>
    </row>
    <row r="109" spans="1:8" s="8" customFormat="1">
      <c r="A109" s="13">
        <v>45681</v>
      </c>
      <c r="B109" s="8" t="s">
        <v>628</v>
      </c>
      <c r="C109" s="14">
        <v>750000</v>
      </c>
      <c r="D109" s="14">
        <v>0</v>
      </c>
      <c r="E109" s="14">
        <f t="shared" si="2"/>
        <v>704493065.48000002</v>
      </c>
      <c r="F109" s="8" t="s">
        <v>4</v>
      </c>
      <c r="G109" s="8" t="s">
        <v>5</v>
      </c>
      <c r="H109" s="43" t="s">
        <v>1352</v>
      </c>
    </row>
    <row r="110" spans="1:8" s="8" customFormat="1">
      <c r="A110" s="13">
        <v>45681</v>
      </c>
      <c r="B110" s="8" t="s">
        <v>629</v>
      </c>
      <c r="C110" s="14">
        <v>750000</v>
      </c>
      <c r="D110" s="14">
        <v>0</v>
      </c>
      <c r="E110" s="14">
        <f t="shared" si="2"/>
        <v>703743065.48000002</v>
      </c>
      <c r="F110" s="8" t="s">
        <v>4</v>
      </c>
      <c r="G110" s="8" t="s">
        <v>5</v>
      </c>
      <c r="H110" s="43" t="s">
        <v>1352</v>
      </c>
    </row>
    <row r="111" spans="1:8" s="8" customFormat="1">
      <c r="A111" s="13">
        <v>45681</v>
      </c>
      <c r="B111" s="8" t="s">
        <v>630</v>
      </c>
      <c r="C111" s="14">
        <v>1500000</v>
      </c>
      <c r="D111" s="14">
        <v>0</v>
      </c>
      <c r="E111" s="14">
        <f t="shared" si="2"/>
        <v>702243065.48000002</v>
      </c>
      <c r="F111" s="8" t="s">
        <v>4</v>
      </c>
      <c r="G111" s="8" t="s">
        <v>5</v>
      </c>
      <c r="H111" s="43" t="s">
        <v>1352</v>
      </c>
    </row>
    <row r="112" spans="1:8" s="8" customFormat="1">
      <c r="A112" s="13">
        <v>45681</v>
      </c>
      <c r="B112" s="8" t="s">
        <v>631</v>
      </c>
      <c r="C112" s="14">
        <v>5900000</v>
      </c>
      <c r="D112" s="14">
        <v>0</v>
      </c>
      <c r="E112" s="14">
        <f t="shared" si="2"/>
        <v>696343065.48000002</v>
      </c>
      <c r="F112" s="8" t="s">
        <v>4</v>
      </c>
      <c r="G112" s="8" t="s">
        <v>5</v>
      </c>
      <c r="H112" s="43" t="s">
        <v>1352</v>
      </c>
    </row>
    <row r="113" spans="1:9" s="8" customFormat="1">
      <c r="A113" s="13">
        <v>45681</v>
      </c>
      <c r="B113" s="8" t="s">
        <v>632</v>
      </c>
      <c r="C113" s="14">
        <v>750000</v>
      </c>
      <c r="D113" s="14">
        <v>0</v>
      </c>
      <c r="E113" s="14">
        <f t="shared" si="2"/>
        <v>695593065.48000002</v>
      </c>
      <c r="F113" s="8" t="s">
        <v>4</v>
      </c>
      <c r="G113" s="8" t="s">
        <v>5</v>
      </c>
      <c r="H113" s="43" t="s">
        <v>1352</v>
      </c>
    </row>
    <row r="114" spans="1:9" s="8" customFormat="1">
      <c r="A114" s="13">
        <v>45681</v>
      </c>
      <c r="B114" s="8" t="s">
        <v>633</v>
      </c>
      <c r="C114" s="14">
        <v>1750000</v>
      </c>
      <c r="D114" s="14">
        <v>0</v>
      </c>
      <c r="E114" s="14">
        <f t="shared" si="2"/>
        <v>693843065.48000002</v>
      </c>
      <c r="F114" s="8" t="s">
        <v>4</v>
      </c>
      <c r="G114" s="8" t="s">
        <v>5</v>
      </c>
      <c r="H114" s="43" t="s">
        <v>1352</v>
      </c>
    </row>
    <row r="115" spans="1:9" s="8" customFormat="1">
      <c r="A115" s="13">
        <v>45681</v>
      </c>
      <c r="B115" s="8" t="s">
        <v>634</v>
      </c>
      <c r="C115" s="14">
        <v>7500000</v>
      </c>
      <c r="D115" s="14">
        <v>0</v>
      </c>
      <c r="E115" s="14">
        <f t="shared" si="2"/>
        <v>686343065.48000002</v>
      </c>
      <c r="F115" s="8" t="s">
        <v>4</v>
      </c>
      <c r="G115" s="8" t="s">
        <v>5</v>
      </c>
      <c r="H115" s="43" t="s">
        <v>1352</v>
      </c>
    </row>
    <row r="116" spans="1:9" s="8" customFormat="1">
      <c r="A116" s="13">
        <v>45681</v>
      </c>
      <c r="B116" s="8" t="s">
        <v>7036</v>
      </c>
      <c r="C116" s="54">
        <v>5300000</v>
      </c>
      <c r="D116" s="54">
        <v>0</v>
      </c>
      <c r="E116" s="54">
        <f t="shared" si="2"/>
        <v>681043065.48000002</v>
      </c>
      <c r="F116" s="8" t="s">
        <v>8</v>
      </c>
      <c r="G116" s="8" t="s">
        <v>14</v>
      </c>
    </row>
    <row r="117" spans="1:9" s="8" customFormat="1">
      <c r="A117" s="13">
        <v>45681</v>
      </c>
      <c r="B117" s="8" t="s">
        <v>7036</v>
      </c>
      <c r="C117" s="54">
        <v>583000</v>
      </c>
      <c r="D117" s="54">
        <v>0</v>
      </c>
      <c r="E117" s="54">
        <f t="shared" si="2"/>
        <v>680460065.48000002</v>
      </c>
      <c r="F117" s="8" t="s">
        <v>920</v>
      </c>
      <c r="G117" s="8" t="s">
        <v>7855</v>
      </c>
      <c r="H117" s="8" t="s">
        <v>7032</v>
      </c>
      <c r="I117" s="8" t="s">
        <v>89</v>
      </c>
    </row>
    <row r="118" spans="1:9" s="8" customFormat="1">
      <c r="A118" s="13">
        <v>45681</v>
      </c>
      <c r="B118" s="8" t="s">
        <v>7036</v>
      </c>
      <c r="C118" s="54">
        <v>0</v>
      </c>
      <c r="D118" s="54">
        <f>C116+C117-5777000</f>
        <v>106000</v>
      </c>
      <c r="E118" s="54">
        <f t="shared" si="2"/>
        <v>680566065.48000002</v>
      </c>
      <c r="F118" s="8" t="s">
        <v>920</v>
      </c>
      <c r="G118" s="8" t="s">
        <v>4242</v>
      </c>
      <c r="H118" s="8" t="s">
        <v>88</v>
      </c>
      <c r="I118" s="8" t="s">
        <v>89</v>
      </c>
    </row>
    <row r="119" spans="1:9" s="8" customFormat="1">
      <c r="A119" s="13">
        <v>45681</v>
      </c>
      <c r="B119" s="8" t="s">
        <v>7037</v>
      </c>
      <c r="C119" s="54">
        <v>4600000</v>
      </c>
      <c r="D119" s="54">
        <v>0</v>
      </c>
      <c r="E119" s="54">
        <f t="shared" si="2"/>
        <v>675966065.48000002</v>
      </c>
      <c r="F119" s="8" t="s">
        <v>8</v>
      </c>
      <c r="G119" s="8" t="s">
        <v>14</v>
      </c>
    </row>
    <row r="120" spans="1:9" s="8" customFormat="1">
      <c r="A120" s="13">
        <v>45681</v>
      </c>
      <c r="B120" s="8" t="s">
        <v>7037</v>
      </c>
      <c r="C120" s="54">
        <v>506000</v>
      </c>
      <c r="D120" s="54">
        <v>0</v>
      </c>
      <c r="E120" s="54">
        <f t="shared" si="2"/>
        <v>675460065.48000002</v>
      </c>
      <c r="F120" s="8" t="s">
        <v>920</v>
      </c>
      <c r="G120" s="8" t="s">
        <v>7855</v>
      </c>
      <c r="H120" s="8" t="s">
        <v>7032</v>
      </c>
      <c r="I120" s="8" t="s">
        <v>89</v>
      </c>
    </row>
    <row r="121" spans="1:9" s="8" customFormat="1">
      <c r="A121" s="13">
        <v>45681</v>
      </c>
      <c r="B121" s="8" t="s">
        <v>7037</v>
      </c>
      <c r="C121" s="54">
        <v>0</v>
      </c>
      <c r="D121" s="54">
        <f>C119+C120-5014000</f>
        <v>92000</v>
      </c>
      <c r="E121" s="54">
        <f t="shared" si="2"/>
        <v>675552065.48000002</v>
      </c>
      <c r="F121" s="8" t="s">
        <v>920</v>
      </c>
      <c r="G121" s="8" t="s">
        <v>4242</v>
      </c>
      <c r="H121" s="8" t="s">
        <v>88</v>
      </c>
      <c r="I121" s="8" t="s">
        <v>89</v>
      </c>
    </row>
    <row r="122" spans="1:9" s="8" customFormat="1">
      <c r="A122" s="13">
        <v>45681</v>
      </c>
      <c r="B122" s="8" t="s">
        <v>635</v>
      </c>
      <c r="C122" s="14">
        <v>5000000</v>
      </c>
      <c r="D122" s="14">
        <v>0</v>
      </c>
      <c r="E122" s="14">
        <f t="shared" si="2"/>
        <v>670552065.48000002</v>
      </c>
      <c r="F122" s="8" t="s">
        <v>4</v>
      </c>
      <c r="G122" s="8" t="s">
        <v>5</v>
      </c>
      <c r="H122" s="154" t="s">
        <v>2473</v>
      </c>
    </row>
    <row r="123" spans="1:9" s="8" customFormat="1">
      <c r="A123" s="13">
        <v>45681</v>
      </c>
      <c r="B123" s="8" t="s">
        <v>636</v>
      </c>
      <c r="C123" s="14">
        <v>3000000</v>
      </c>
      <c r="D123" s="14">
        <v>0</v>
      </c>
      <c r="E123" s="14">
        <f t="shared" si="2"/>
        <v>667552065.48000002</v>
      </c>
      <c r="F123" s="8" t="s">
        <v>4</v>
      </c>
      <c r="G123" s="8" t="s">
        <v>5</v>
      </c>
      <c r="H123" s="43" t="s">
        <v>1352</v>
      </c>
    </row>
    <row r="124" spans="1:9" s="8" customFormat="1">
      <c r="A124" s="13">
        <v>45681</v>
      </c>
      <c r="B124" s="8" t="s">
        <v>637</v>
      </c>
      <c r="C124" s="14">
        <v>475000</v>
      </c>
      <c r="D124" s="14">
        <v>0</v>
      </c>
      <c r="E124" s="14">
        <f t="shared" si="2"/>
        <v>667077065.48000002</v>
      </c>
      <c r="F124" s="8" t="s">
        <v>4</v>
      </c>
      <c r="G124" s="8" t="s">
        <v>5</v>
      </c>
      <c r="H124" s="43" t="s">
        <v>1352</v>
      </c>
    </row>
    <row r="125" spans="1:9" s="8" customFormat="1">
      <c r="A125" s="13">
        <v>45681</v>
      </c>
      <c r="B125" s="8" t="s">
        <v>638</v>
      </c>
      <c r="C125" s="14">
        <v>3960000</v>
      </c>
      <c r="D125" s="14">
        <v>0</v>
      </c>
      <c r="E125" s="14">
        <f t="shared" si="2"/>
        <v>663117065.48000002</v>
      </c>
      <c r="F125" s="8" t="s">
        <v>4</v>
      </c>
      <c r="G125" s="8" t="s">
        <v>5</v>
      </c>
      <c r="H125" s="43" t="s">
        <v>1352</v>
      </c>
    </row>
    <row r="126" spans="1:9" s="8" customFormat="1">
      <c r="A126" s="13">
        <v>45681</v>
      </c>
      <c r="B126" s="8" t="s">
        <v>639</v>
      </c>
      <c r="C126" s="14">
        <v>15900000</v>
      </c>
      <c r="D126" s="14">
        <v>0</v>
      </c>
      <c r="E126" s="14">
        <f t="shared" si="2"/>
        <v>647217065.48000002</v>
      </c>
      <c r="F126" s="8" t="s">
        <v>4</v>
      </c>
      <c r="G126" s="8" t="s">
        <v>5</v>
      </c>
      <c r="H126" s="43" t="s">
        <v>1352</v>
      </c>
    </row>
    <row r="127" spans="1:9" s="8" customFormat="1">
      <c r="A127" s="13">
        <v>45681</v>
      </c>
      <c r="B127" s="8" t="s">
        <v>640</v>
      </c>
      <c r="C127" s="14">
        <v>67450000</v>
      </c>
      <c r="D127" s="14">
        <v>0</v>
      </c>
      <c r="E127" s="14">
        <f t="shared" si="2"/>
        <v>579767065.48000002</v>
      </c>
      <c r="F127" s="8" t="s">
        <v>4</v>
      </c>
      <c r="G127" s="8" t="s">
        <v>5</v>
      </c>
      <c r="H127" s="43" t="s">
        <v>1352</v>
      </c>
    </row>
    <row r="128" spans="1:9" s="8" customFormat="1">
      <c r="A128" s="13">
        <v>45681</v>
      </c>
      <c r="B128" s="8" t="s">
        <v>641</v>
      </c>
      <c r="C128" s="14">
        <v>2500000</v>
      </c>
      <c r="D128" s="14">
        <v>0</v>
      </c>
      <c r="E128" s="14">
        <f t="shared" ref="E128" si="3">E127-C128+D128</f>
        <v>577267065.48000002</v>
      </c>
      <c r="F128" s="8" t="s">
        <v>4</v>
      </c>
      <c r="G128" s="8" t="s">
        <v>5</v>
      </c>
      <c r="H128" s="43" t="s">
        <v>1352</v>
      </c>
    </row>
    <row r="129" spans="1:9" s="8" customFormat="1">
      <c r="A129" s="13">
        <v>45681</v>
      </c>
      <c r="B129" s="8" t="s">
        <v>642</v>
      </c>
      <c r="C129" s="14">
        <v>500000</v>
      </c>
      <c r="D129" s="14">
        <v>0</v>
      </c>
      <c r="E129" s="14">
        <f t="shared" si="0"/>
        <v>576767065.48000002</v>
      </c>
      <c r="F129" s="8" t="s">
        <v>4</v>
      </c>
      <c r="G129" s="8" t="s">
        <v>5</v>
      </c>
      <c r="H129" s="154" t="s">
        <v>2473</v>
      </c>
    </row>
    <row r="130" spans="1:9" s="8" customFormat="1">
      <c r="A130" s="13">
        <v>45681</v>
      </c>
      <c r="B130" s="8" t="s">
        <v>643</v>
      </c>
      <c r="C130" s="14">
        <v>1500000</v>
      </c>
      <c r="D130" s="14">
        <v>0</v>
      </c>
      <c r="E130" s="14">
        <f t="shared" si="0"/>
        <v>575267065.48000002</v>
      </c>
      <c r="F130" s="8" t="s">
        <v>4</v>
      </c>
      <c r="G130" s="8" t="s">
        <v>5</v>
      </c>
      <c r="H130" s="43" t="s">
        <v>1352</v>
      </c>
    </row>
    <row r="131" spans="1:9" s="8" customFormat="1">
      <c r="A131" s="13">
        <v>45681</v>
      </c>
      <c r="B131" s="8" t="s">
        <v>644</v>
      </c>
      <c r="C131" s="14">
        <v>1000000</v>
      </c>
      <c r="D131" s="14">
        <v>0</v>
      </c>
      <c r="E131" s="14">
        <f t="shared" si="0"/>
        <v>574267065.48000002</v>
      </c>
      <c r="F131" s="8" t="s">
        <v>4</v>
      </c>
      <c r="G131" s="8" t="s">
        <v>5</v>
      </c>
      <c r="H131" s="154" t="s">
        <v>2473</v>
      </c>
    </row>
    <row r="132" spans="1:9" s="8" customFormat="1">
      <c r="A132" s="13">
        <v>45681</v>
      </c>
      <c r="B132" s="8" t="s">
        <v>645</v>
      </c>
      <c r="C132" s="14">
        <v>1750000</v>
      </c>
      <c r="D132" s="14">
        <v>0</v>
      </c>
      <c r="E132" s="14">
        <f t="shared" si="0"/>
        <v>572517065.48000002</v>
      </c>
      <c r="F132" s="8" t="s">
        <v>4</v>
      </c>
      <c r="G132" s="8" t="s">
        <v>5</v>
      </c>
      <c r="H132" s="43" t="s">
        <v>1352</v>
      </c>
    </row>
    <row r="133" spans="1:9" s="8" customFormat="1">
      <c r="A133" s="13">
        <v>45681</v>
      </c>
      <c r="B133" s="8" t="s">
        <v>646</v>
      </c>
      <c r="C133" s="14">
        <v>185600000</v>
      </c>
      <c r="D133" s="14">
        <v>0</v>
      </c>
      <c r="E133" s="14">
        <f t="shared" si="0"/>
        <v>386917065.48000002</v>
      </c>
      <c r="F133" s="8" t="s">
        <v>920</v>
      </c>
      <c r="G133" s="8" t="s">
        <v>400</v>
      </c>
      <c r="H133" s="40" t="s">
        <v>4973</v>
      </c>
    </row>
    <row r="134" spans="1:9" s="8" customFormat="1">
      <c r="A134" s="13">
        <v>45687</v>
      </c>
      <c r="B134" s="8" t="s">
        <v>647</v>
      </c>
      <c r="C134" s="14">
        <v>500000</v>
      </c>
      <c r="D134" s="14">
        <v>0</v>
      </c>
      <c r="E134" s="14">
        <f t="shared" si="0"/>
        <v>386417065.48000002</v>
      </c>
      <c r="F134" s="8" t="s">
        <v>4</v>
      </c>
      <c r="G134" s="8" t="s">
        <v>5</v>
      </c>
      <c r="H134" s="43" t="s">
        <v>1352</v>
      </c>
    </row>
    <row r="135" spans="1:9" s="8" customFormat="1">
      <c r="A135" s="13">
        <v>45687</v>
      </c>
      <c r="B135" s="8" t="s">
        <v>648</v>
      </c>
      <c r="C135" s="14">
        <v>13530726</v>
      </c>
      <c r="D135" s="14">
        <v>0</v>
      </c>
      <c r="E135" s="14">
        <f t="shared" si="0"/>
        <v>372886339.48000002</v>
      </c>
      <c r="F135" s="8" t="s">
        <v>1212</v>
      </c>
      <c r="G135" s="8" t="s">
        <v>367</v>
      </c>
      <c r="H135" s="8" t="s">
        <v>6144</v>
      </c>
    </row>
    <row r="136" spans="1:9" s="8" customFormat="1">
      <c r="A136" s="13">
        <v>45687</v>
      </c>
      <c r="B136" s="8" t="s">
        <v>649</v>
      </c>
      <c r="C136" s="14">
        <v>20750000</v>
      </c>
      <c r="D136" s="14">
        <v>0</v>
      </c>
      <c r="E136" s="14">
        <f t="shared" si="0"/>
        <v>352136339.48000002</v>
      </c>
      <c r="F136" s="8" t="s">
        <v>4</v>
      </c>
      <c r="G136" s="8" t="s">
        <v>5</v>
      </c>
      <c r="H136" s="43" t="s">
        <v>1352</v>
      </c>
    </row>
    <row r="137" spans="1:9" s="8" customFormat="1">
      <c r="A137" s="13">
        <v>45688</v>
      </c>
      <c r="B137" s="8" t="s">
        <v>650</v>
      </c>
      <c r="C137" s="14">
        <v>53000000</v>
      </c>
      <c r="D137" s="14">
        <v>0</v>
      </c>
      <c r="E137" s="14">
        <f t="shared" si="0"/>
        <v>299136339.48000002</v>
      </c>
      <c r="F137" s="8" t="s">
        <v>920</v>
      </c>
      <c r="G137" s="8" t="s">
        <v>400</v>
      </c>
      <c r="H137" s="40" t="s">
        <v>5111</v>
      </c>
    </row>
    <row r="138" spans="1:9" s="8" customFormat="1">
      <c r="A138" s="13">
        <v>45688</v>
      </c>
      <c r="B138" s="8" t="s">
        <v>334</v>
      </c>
      <c r="C138" s="14">
        <v>30000</v>
      </c>
      <c r="D138" s="14">
        <v>0</v>
      </c>
      <c r="E138" s="14">
        <f t="shared" si="0"/>
        <v>299106339.48000002</v>
      </c>
      <c r="F138" s="8" t="s">
        <v>19</v>
      </c>
      <c r="G138" s="8" t="s">
        <v>189</v>
      </c>
    </row>
    <row r="139" spans="1:9" s="8" customFormat="1">
      <c r="A139" s="13">
        <v>45692</v>
      </c>
      <c r="B139" s="8" t="s">
        <v>784</v>
      </c>
      <c r="C139" s="14">
        <v>2300000</v>
      </c>
      <c r="D139" s="14">
        <v>0</v>
      </c>
      <c r="E139" s="14">
        <f t="shared" ref="E139:E151" si="4">E138-C139+D139</f>
        <v>296806339.48000002</v>
      </c>
      <c r="F139" s="8" t="s">
        <v>6</v>
      </c>
      <c r="G139" s="8" t="s">
        <v>7</v>
      </c>
      <c r="H139" s="40" t="s">
        <v>505</v>
      </c>
    </row>
    <row r="140" spans="1:9" s="8" customFormat="1">
      <c r="A140" s="13">
        <v>45692</v>
      </c>
      <c r="B140" s="8" t="s">
        <v>7047</v>
      </c>
      <c r="C140" s="54">
        <v>80180180</v>
      </c>
      <c r="D140" s="54">
        <v>0</v>
      </c>
      <c r="E140" s="14">
        <f t="shared" si="4"/>
        <v>216626159.48000002</v>
      </c>
      <c r="F140" s="8" t="s">
        <v>4</v>
      </c>
      <c r="G140" s="8" t="s">
        <v>5</v>
      </c>
      <c r="H140" s="43" t="s">
        <v>1352</v>
      </c>
    </row>
    <row r="141" spans="1:9" s="8" customFormat="1">
      <c r="A141" s="13">
        <v>45692</v>
      </c>
      <c r="B141" s="8" t="s">
        <v>7047</v>
      </c>
      <c r="C141" s="54">
        <v>8819820</v>
      </c>
      <c r="D141" s="54">
        <v>0</v>
      </c>
      <c r="E141" s="14">
        <f t="shared" si="4"/>
        <v>207806339.48000002</v>
      </c>
      <c r="F141" s="8" t="s">
        <v>920</v>
      </c>
      <c r="G141" s="8" t="s">
        <v>7855</v>
      </c>
      <c r="H141" s="8" t="s">
        <v>7032</v>
      </c>
      <c r="I141" s="8" t="s">
        <v>4567</v>
      </c>
    </row>
    <row r="142" spans="1:9" s="8" customFormat="1">
      <c r="A142" s="13">
        <v>45692</v>
      </c>
      <c r="B142" s="8" t="s">
        <v>785</v>
      </c>
      <c r="C142" s="14">
        <v>1000000</v>
      </c>
      <c r="D142" s="14">
        <v>0</v>
      </c>
      <c r="E142" s="14">
        <f t="shared" si="4"/>
        <v>206806339.48000002</v>
      </c>
      <c r="F142" s="8" t="s">
        <v>21</v>
      </c>
      <c r="G142" s="8" t="s">
        <v>187</v>
      </c>
    </row>
    <row r="143" spans="1:9" s="8" customFormat="1">
      <c r="A143" s="13">
        <v>45692</v>
      </c>
      <c r="B143" s="8" t="s">
        <v>786</v>
      </c>
      <c r="C143" s="54">
        <v>10750000</v>
      </c>
      <c r="D143" s="54">
        <v>0</v>
      </c>
      <c r="E143" s="14">
        <f t="shared" si="4"/>
        <v>196056339.48000002</v>
      </c>
      <c r="F143" s="8" t="s">
        <v>4</v>
      </c>
      <c r="G143" s="8" t="s">
        <v>5</v>
      </c>
      <c r="H143" s="43" t="s">
        <v>1352</v>
      </c>
    </row>
    <row r="144" spans="1:9" s="8" customFormat="1">
      <c r="A144" s="13">
        <v>45692</v>
      </c>
      <c r="B144" s="8" t="s">
        <v>787</v>
      </c>
      <c r="C144" s="54">
        <v>15000000</v>
      </c>
      <c r="D144" s="54">
        <v>0</v>
      </c>
      <c r="E144" s="14">
        <f t="shared" si="4"/>
        <v>181056339.48000002</v>
      </c>
      <c r="F144" s="8" t="s">
        <v>4</v>
      </c>
      <c r="G144" s="8" t="s">
        <v>5</v>
      </c>
      <c r="H144" s="43" t="s">
        <v>1352</v>
      </c>
    </row>
    <row r="145" spans="1:9" s="8" customFormat="1">
      <c r="A145" s="13">
        <v>45692</v>
      </c>
      <c r="B145" s="8" t="s">
        <v>788</v>
      </c>
      <c r="C145" s="54">
        <v>10000000</v>
      </c>
      <c r="D145" s="54">
        <v>0</v>
      </c>
      <c r="E145" s="14">
        <f t="shared" si="4"/>
        <v>171056339.48000002</v>
      </c>
      <c r="F145" s="8" t="s">
        <v>4</v>
      </c>
      <c r="G145" s="8" t="s">
        <v>5</v>
      </c>
      <c r="H145" s="43" t="s">
        <v>1352</v>
      </c>
    </row>
    <row r="146" spans="1:9" s="8" customFormat="1">
      <c r="A146" s="13">
        <v>45692</v>
      </c>
      <c r="B146" s="8" t="s">
        <v>789</v>
      </c>
      <c r="C146" s="54">
        <v>100000000</v>
      </c>
      <c r="D146" s="54">
        <v>0</v>
      </c>
      <c r="E146" s="14">
        <f t="shared" si="4"/>
        <v>71056339.480000019</v>
      </c>
      <c r="F146" s="8" t="s">
        <v>4</v>
      </c>
      <c r="G146" s="8" t="s">
        <v>5</v>
      </c>
      <c r="H146" s="43" t="s">
        <v>1352</v>
      </c>
    </row>
    <row r="147" spans="1:9" s="8" customFormat="1">
      <c r="A147" s="13">
        <v>45692</v>
      </c>
      <c r="B147" s="8" t="s">
        <v>790</v>
      </c>
      <c r="C147" s="14">
        <v>16095000</v>
      </c>
      <c r="D147" s="14">
        <v>0</v>
      </c>
      <c r="E147" s="14">
        <f t="shared" si="4"/>
        <v>54961339.480000019</v>
      </c>
      <c r="F147" s="8" t="s">
        <v>4</v>
      </c>
      <c r="G147" s="8" t="s">
        <v>5</v>
      </c>
      <c r="H147" s="154" t="s">
        <v>2473</v>
      </c>
    </row>
    <row r="148" spans="1:9" s="8" customFormat="1">
      <c r="A148" s="13">
        <v>45692</v>
      </c>
      <c r="B148" s="8" t="s">
        <v>791</v>
      </c>
      <c r="C148" s="14">
        <v>15500000</v>
      </c>
      <c r="D148" s="14">
        <v>0</v>
      </c>
      <c r="E148" s="14">
        <f t="shared" si="4"/>
        <v>39461339.480000019</v>
      </c>
      <c r="F148" s="8" t="s">
        <v>6</v>
      </c>
      <c r="G148" s="8" t="s">
        <v>7</v>
      </c>
      <c r="H148" s="8" t="s">
        <v>507</v>
      </c>
    </row>
    <row r="149" spans="1:9" s="8" customFormat="1">
      <c r="A149" s="13">
        <v>45694</v>
      </c>
      <c r="B149" s="8" t="s">
        <v>372</v>
      </c>
      <c r="C149" s="14">
        <v>0</v>
      </c>
      <c r="D149" s="14">
        <v>250000000</v>
      </c>
      <c r="E149" s="14">
        <f t="shared" si="4"/>
        <v>289461339.48000002</v>
      </c>
      <c r="F149" s="8" t="s">
        <v>920</v>
      </c>
      <c r="G149" s="8" t="s">
        <v>4242</v>
      </c>
    </row>
    <row r="150" spans="1:9" s="8" customFormat="1">
      <c r="A150" s="13">
        <v>45694</v>
      </c>
      <c r="B150" s="8" t="s">
        <v>372</v>
      </c>
      <c r="C150" s="14">
        <v>0</v>
      </c>
      <c r="D150" s="14">
        <v>250000000</v>
      </c>
      <c r="E150" s="14">
        <f t="shared" si="4"/>
        <v>539461339.48000002</v>
      </c>
      <c r="F150" s="8" t="s">
        <v>920</v>
      </c>
      <c r="G150" s="8" t="s">
        <v>4242</v>
      </c>
    </row>
    <row r="151" spans="1:9" s="8" customFormat="1">
      <c r="A151" s="13">
        <v>45694</v>
      </c>
      <c r="B151" s="8" t="s">
        <v>792</v>
      </c>
      <c r="C151" s="14">
        <v>240000000</v>
      </c>
      <c r="D151" s="14">
        <v>0</v>
      </c>
      <c r="E151" s="14">
        <f t="shared" si="4"/>
        <v>299461339.48000002</v>
      </c>
      <c r="F151" s="8" t="s">
        <v>10</v>
      </c>
      <c r="G151" s="8" t="s">
        <v>76</v>
      </c>
      <c r="H151" s="8" t="s">
        <v>449</v>
      </c>
    </row>
    <row r="152" spans="1:9" s="8" customFormat="1">
      <c r="A152" s="13">
        <v>45694</v>
      </c>
      <c r="B152" s="8" t="s">
        <v>372</v>
      </c>
      <c r="C152" s="14">
        <v>0</v>
      </c>
      <c r="D152" s="14">
        <v>250000000</v>
      </c>
      <c r="E152" s="14">
        <f t="shared" ref="E152:E213" si="5">E151-C152+D152</f>
        <v>549461339.48000002</v>
      </c>
      <c r="F152" s="8" t="s">
        <v>920</v>
      </c>
      <c r="G152" s="8" t="s">
        <v>4242</v>
      </c>
    </row>
    <row r="153" spans="1:9" s="8" customFormat="1">
      <c r="A153" s="13">
        <v>45694</v>
      </c>
      <c r="B153" s="8" t="s">
        <v>372</v>
      </c>
      <c r="C153" s="14">
        <v>0</v>
      </c>
      <c r="D153" s="14">
        <v>250000000</v>
      </c>
      <c r="E153" s="14">
        <f t="shared" si="5"/>
        <v>799461339.48000002</v>
      </c>
      <c r="F153" s="8" t="s">
        <v>920</v>
      </c>
      <c r="G153" s="8" t="s">
        <v>4242</v>
      </c>
    </row>
    <row r="154" spans="1:9" s="8" customFormat="1">
      <c r="A154" s="13">
        <v>45694</v>
      </c>
      <c r="B154" s="8" t="s">
        <v>793</v>
      </c>
      <c r="C154" s="54">
        <v>111000000</v>
      </c>
      <c r="D154" s="54">
        <v>0</v>
      </c>
      <c r="E154" s="54">
        <f t="shared" si="5"/>
        <v>688461339.48000002</v>
      </c>
      <c r="F154" s="8" t="s">
        <v>4</v>
      </c>
      <c r="G154" s="8" t="s">
        <v>5</v>
      </c>
      <c r="H154" s="43" t="s">
        <v>1352</v>
      </c>
    </row>
    <row r="155" spans="1:9" s="8" customFormat="1">
      <c r="A155" s="13">
        <v>45694</v>
      </c>
      <c r="B155" s="8" t="s">
        <v>794</v>
      </c>
      <c r="C155" s="54">
        <v>2850000</v>
      </c>
      <c r="D155" s="54">
        <v>0</v>
      </c>
      <c r="E155" s="54">
        <f t="shared" si="5"/>
        <v>685611339.48000002</v>
      </c>
      <c r="F155" s="8" t="s">
        <v>4</v>
      </c>
      <c r="G155" s="8" t="s">
        <v>5</v>
      </c>
      <c r="H155" s="43" t="s">
        <v>1352</v>
      </c>
    </row>
    <row r="156" spans="1:9" s="8" customFormat="1">
      <c r="A156" s="13">
        <v>45694</v>
      </c>
      <c r="B156" s="8" t="s">
        <v>7046</v>
      </c>
      <c r="C156" s="54">
        <v>207000000</v>
      </c>
      <c r="D156" s="54">
        <v>0</v>
      </c>
      <c r="E156" s="54">
        <f t="shared" si="5"/>
        <v>478611339.48000002</v>
      </c>
      <c r="F156" s="8" t="s">
        <v>4</v>
      </c>
      <c r="G156" s="8" t="s">
        <v>5</v>
      </c>
      <c r="H156" s="43" t="s">
        <v>1352</v>
      </c>
    </row>
    <row r="157" spans="1:9" s="8" customFormat="1">
      <c r="A157" s="13">
        <v>45694</v>
      </c>
      <c r="B157" s="8" t="s">
        <v>7046</v>
      </c>
      <c r="C157" s="54">
        <v>22770000</v>
      </c>
      <c r="D157" s="54">
        <v>0</v>
      </c>
      <c r="E157" s="54">
        <f t="shared" si="5"/>
        <v>455841339.48000002</v>
      </c>
      <c r="F157" s="8" t="s">
        <v>920</v>
      </c>
      <c r="G157" s="8" t="s">
        <v>7855</v>
      </c>
      <c r="H157" s="8" t="s">
        <v>7032</v>
      </c>
      <c r="I157" s="8" t="s">
        <v>4567</v>
      </c>
    </row>
    <row r="158" spans="1:9" s="8" customFormat="1">
      <c r="A158" s="13">
        <v>45694</v>
      </c>
      <c r="B158" s="8" t="s">
        <v>7046</v>
      </c>
      <c r="C158" s="54">
        <v>0</v>
      </c>
      <c r="D158" s="54">
        <f>C156+C157-225630000</f>
        <v>4140000</v>
      </c>
      <c r="E158" s="54">
        <f t="shared" si="5"/>
        <v>459981339.48000002</v>
      </c>
      <c r="F158" s="8" t="s">
        <v>920</v>
      </c>
      <c r="G158" s="8" t="s">
        <v>4242</v>
      </c>
      <c r="H158" s="8" t="s">
        <v>88</v>
      </c>
      <c r="I158" s="8" t="s">
        <v>4567</v>
      </c>
    </row>
    <row r="159" spans="1:9" s="8" customFormat="1">
      <c r="A159" s="13">
        <v>45699</v>
      </c>
      <c r="B159" s="8" t="s">
        <v>795</v>
      </c>
      <c r="C159" s="54">
        <v>13039281</v>
      </c>
      <c r="D159" s="54">
        <v>0</v>
      </c>
      <c r="E159" s="54">
        <f t="shared" si="5"/>
        <v>446942058.48000002</v>
      </c>
      <c r="F159" s="8" t="s">
        <v>4</v>
      </c>
      <c r="G159" s="8" t="s">
        <v>5</v>
      </c>
      <c r="H159" s="43" t="s">
        <v>1352</v>
      </c>
    </row>
    <row r="160" spans="1:9" s="8" customFormat="1">
      <c r="A160" s="13">
        <v>45699</v>
      </c>
      <c r="B160" s="8" t="s">
        <v>796</v>
      </c>
      <c r="C160" s="14">
        <v>4650000</v>
      </c>
      <c r="D160" s="14">
        <v>0</v>
      </c>
      <c r="E160" s="14">
        <f t="shared" si="5"/>
        <v>442292058.48000002</v>
      </c>
      <c r="F160" s="8" t="s">
        <v>21</v>
      </c>
      <c r="G160" s="8" t="s">
        <v>187</v>
      </c>
    </row>
    <row r="161" spans="1:9" s="8" customFormat="1">
      <c r="A161" s="13">
        <v>45700</v>
      </c>
      <c r="B161" s="8" t="s">
        <v>797</v>
      </c>
      <c r="C161" s="14">
        <v>1150000</v>
      </c>
      <c r="D161" s="14">
        <v>0</v>
      </c>
      <c r="E161" s="14">
        <f t="shared" si="5"/>
        <v>441142058.48000002</v>
      </c>
      <c r="F161" s="8" t="s">
        <v>21</v>
      </c>
      <c r="G161" s="8" t="s">
        <v>187</v>
      </c>
    </row>
    <row r="162" spans="1:9" s="8" customFormat="1">
      <c r="A162" s="13">
        <v>45700</v>
      </c>
      <c r="B162" s="8" t="s">
        <v>415</v>
      </c>
      <c r="C162" s="14">
        <v>12132730</v>
      </c>
      <c r="D162" s="14">
        <v>0</v>
      </c>
      <c r="E162" s="14">
        <f t="shared" si="5"/>
        <v>429009328.48000002</v>
      </c>
      <c r="F162" s="8" t="s">
        <v>920</v>
      </c>
      <c r="G162" s="8" t="s">
        <v>376</v>
      </c>
    </row>
    <row r="163" spans="1:9" s="8" customFormat="1">
      <c r="A163" s="13">
        <v>45700</v>
      </c>
      <c r="B163" s="8" t="s">
        <v>7034</v>
      </c>
      <c r="C163" s="54">
        <v>675676</v>
      </c>
      <c r="D163" s="54">
        <v>0</v>
      </c>
      <c r="E163" s="54">
        <f t="shared" si="5"/>
        <v>428333652.48000002</v>
      </c>
      <c r="F163" s="8" t="s">
        <v>8</v>
      </c>
      <c r="G163" s="8" t="s">
        <v>9</v>
      </c>
    </row>
    <row r="164" spans="1:9" s="8" customFormat="1">
      <c r="A164" s="13">
        <v>45700</v>
      </c>
      <c r="B164" s="8" t="s">
        <v>7034</v>
      </c>
      <c r="C164" s="54">
        <v>74324</v>
      </c>
      <c r="D164" s="54">
        <v>0</v>
      </c>
      <c r="E164" s="54">
        <f t="shared" si="5"/>
        <v>428259328.48000002</v>
      </c>
      <c r="F164" s="8" t="s">
        <v>8</v>
      </c>
      <c r="G164" s="8" t="s">
        <v>9</v>
      </c>
    </row>
    <row r="165" spans="1:9" s="8" customFormat="1">
      <c r="A165" s="13">
        <v>45700</v>
      </c>
      <c r="B165" s="8" t="s">
        <v>7034</v>
      </c>
      <c r="C165" s="54">
        <v>0</v>
      </c>
      <c r="D165" s="54">
        <f>C163+C164-736486</f>
        <v>13514</v>
      </c>
      <c r="E165" s="54">
        <f t="shared" si="5"/>
        <v>428272842.48000002</v>
      </c>
      <c r="F165" s="8" t="s">
        <v>920</v>
      </c>
      <c r="G165" s="8" t="s">
        <v>4242</v>
      </c>
      <c r="H165" s="8" t="s">
        <v>88</v>
      </c>
      <c r="I165" s="8" t="s">
        <v>89</v>
      </c>
    </row>
    <row r="166" spans="1:9" s="8" customFormat="1">
      <c r="A166" s="13">
        <v>45700</v>
      </c>
      <c r="B166" s="8" t="s">
        <v>7040</v>
      </c>
      <c r="C166" s="54">
        <v>5300000</v>
      </c>
      <c r="D166" s="54">
        <v>0</v>
      </c>
      <c r="E166" s="54">
        <f t="shared" si="5"/>
        <v>422972842.48000002</v>
      </c>
      <c r="F166" s="8" t="s">
        <v>8</v>
      </c>
      <c r="G166" s="8" t="s">
        <v>14</v>
      </c>
    </row>
    <row r="167" spans="1:9" s="8" customFormat="1">
      <c r="A167" s="13">
        <v>45700</v>
      </c>
      <c r="B167" s="8" t="s">
        <v>7040</v>
      </c>
      <c r="C167" s="54">
        <v>583000</v>
      </c>
      <c r="D167" s="54">
        <v>0</v>
      </c>
      <c r="E167" s="54">
        <f t="shared" si="5"/>
        <v>422389842.48000002</v>
      </c>
      <c r="F167" s="8" t="s">
        <v>920</v>
      </c>
      <c r="G167" s="8" t="s">
        <v>7855</v>
      </c>
      <c r="H167" s="8" t="s">
        <v>7032</v>
      </c>
      <c r="I167" s="8" t="s">
        <v>4567</v>
      </c>
    </row>
    <row r="168" spans="1:9" s="8" customFormat="1">
      <c r="A168" s="13">
        <v>45700</v>
      </c>
      <c r="B168" s="8" t="s">
        <v>7040</v>
      </c>
      <c r="C168" s="54">
        <v>0</v>
      </c>
      <c r="D168" s="54">
        <f>C166+C167-5777000</f>
        <v>106000</v>
      </c>
      <c r="E168" s="54">
        <f t="shared" si="5"/>
        <v>422495842.48000002</v>
      </c>
      <c r="F168" s="8" t="s">
        <v>920</v>
      </c>
      <c r="G168" s="8" t="s">
        <v>4242</v>
      </c>
      <c r="H168" s="8" t="s">
        <v>88</v>
      </c>
      <c r="I168" s="8" t="s">
        <v>4567</v>
      </c>
    </row>
    <row r="169" spans="1:9" s="8" customFormat="1">
      <c r="A169" s="13">
        <v>45700</v>
      </c>
      <c r="B169" s="8" t="s">
        <v>7041</v>
      </c>
      <c r="C169" s="54">
        <v>4600000</v>
      </c>
      <c r="D169" s="54">
        <v>0</v>
      </c>
      <c r="E169" s="54">
        <f t="shared" si="5"/>
        <v>417895842.48000002</v>
      </c>
      <c r="F169" s="8" t="s">
        <v>8</v>
      </c>
      <c r="G169" s="8" t="s">
        <v>14</v>
      </c>
    </row>
    <row r="170" spans="1:9" s="8" customFormat="1">
      <c r="A170" s="13">
        <v>45700</v>
      </c>
      <c r="B170" s="8" t="s">
        <v>7041</v>
      </c>
      <c r="C170" s="54">
        <v>506000</v>
      </c>
      <c r="D170" s="54">
        <v>0</v>
      </c>
      <c r="E170" s="54">
        <f t="shared" si="5"/>
        <v>417389842.48000002</v>
      </c>
      <c r="F170" s="8" t="s">
        <v>920</v>
      </c>
      <c r="G170" s="8" t="s">
        <v>7855</v>
      </c>
      <c r="H170" s="8" t="s">
        <v>7032</v>
      </c>
      <c r="I170" s="8" t="s">
        <v>4567</v>
      </c>
    </row>
    <row r="171" spans="1:9" s="8" customFormat="1">
      <c r="A171" s="13">
        <v>45700</v>
      </c>
      <c r="B171" s="8" t="s">
        <v>7041</v>
      </c>
      <c r="C171" s="54">
        <v>0</v>
      </c>
      <c r="D171" s="54">
        <f>C169+C170-5014000</f>
        <v>92000</v>
      </c>
      <c r="E171" s="54">
        <f t="shared" si="5"/>
        <v>417481842.48000002</v>
      </c>
      <c r="F171" s="8" t="s">
        <v>920</v>
      </c>
      <c r="G171" s="8" t="s">
        <v>4242</v>
      </c>
      <c r="H171" s="8" t="s">
        <v>88</v>
      </c>
      <c r="I171" s="8" t="s">
        <v>4567</v>
      </c>
    </row>
    <row r="172" spans="1:9" s="8" customFormat="1">
      <c r="A172" s="13">
        <v>45700</v>
      </c>
      <c r="B172" s="8" t="s">
        <v>798</v>
      </c>
      <c r="C172" s="14">
        <v>15000000</v>
      </c>
      <c r="D172" s="14">
        <v>0</v>
      </c>
      <c r="E172" s="14">
        <f t="shared" si="5"/>
        <v>402481842.48000002</v>
      </c>
      <c r="F172" s="8" t="s">
        <v>1212</v>
      </c>
      <c r="G172" s="8" t="s">
        <v>367</v>
      </c>
      <c r="H172" s="8" t="s">
        <v>6143</v>
      </c>
    </row>
    <row r="173" spans="1:9" s="8" customFormat="1">
      <c r="A173" s="13">
        <v>45700</v>
      </c>
      <c r="B173" s="8" t="s">
        <v>799</v>
      </c>
      <c r="C173" s="14">
        <v>31625000</v>
      </c>
      <c r="D173" s="14">
        <v>0</v>
      </c>
      <c r="E173" s="14">
        <f t="shared" si="5"/>
        <v>370856842.48000002</v>
      </c>
      <c r="F173" s="8" t="s">
        <v>4</v>
      </c>
      <c r="G173" s="8" t="s">
        <v>5</v>
      </c>
      <c r="H173" s="154" t="s">
        <v>1368</v>
      </c>
    </row>
    <row r="174" spans="1:9" s="8" customFormat="1">
      <c r="A174" s="13">
        <v>45700</v>
      </c>
      <c r="B174" s="8" t="s">
        <v>800</v>
      </c>
      <c r="C174" s="14">
        <v>7150000</v>
      </c>
      <c r="D174" s="14">
        <v>0</v>
      </c>
      <c r="E174" s="14">
        <f t="shared" si="5"/>
        <v>363706842.48000002</v>
      </c>
      <c r="F174" s="8" t="s">
        <v>4</v>
      </c>
      <c r="G174" s="8" t="s">
        <v>5</v>
      </c>
      <c r="H174" s="40" t="s">
        <v>1593</v>
      </c>
    </row>
    <row r="175" spans="1:9" s="8" customFormat="1">
      <c r="A175" s="13">
        <v>45700</v>
      </c>
      <c r="B175" s="8" t="s">
        <v>801</v>
      </c>
      <c r="C175" s="14">
        <v>49200000</v>
      </c>
      <c r="D175" s="14">
        <v>0</v>
      </c>
      <c r="E175" s="14">
        <f t="shared" si="5"/>
        <v>314506842.48000002</v>
      </c>
      <c r="F175" s="8" t="s">
        <v>4</v>
      </c>
      <c r="G175" s="8" t="s">
        <v>5</v>
      </c>
      <c r="H175" s="154" t="s">
        <v>1364</v>
      </c>
    </row>
    <row r="176" spans="1:9" s="8" customFormat="1">
      <c r="A176" s="13">
        <v>45700</v>
      </c>
      <c r="B176" s="8" t="s">
        <v>802</v>
      </c>
      <c r="C176" s="14">
        <v>1479769</v>
      </c>
      <c r="D176" s="14">
        <v>0</v>
      </c>
      <c r="E176" s="14">
        <f t="shared" si="5"/>
        <v>313027073.48000002</v>
      </c>
      <c r="F176" s="8" t="s">
        <v>920</v>
      </c>
      <c r="G176" s="8" t="s">
        <v>400</v>
      </c>
      <c r="H176" s="40" t="s">
        <v>5117</v>
      </c>
    </row>
    <row r="177" spans="1:9" s="8" customFormat="1">
      <c r="A177" s="13">
        <v>45700</v>
      </c>
      <c r="B177" s="8" t="s">
        <v>803</v>
      </c>
      <c r="C177" s="14">
        <v>8177194</v>
      </c>
      <c r="D177" s="14">
        <v>0</v>
      </c>
      <c r="E177" s="14">
        <f t="shared" si="5"/>
        <v>304849879.48000002</v>
      </c>
      <c r="F177" s="8" t="s">
        <v>920</v>
      </c>
      <c r="G177" s="8" t="s">
        <v>400</v>
      </c>
      <c r="H177" s="40" t="s">
        <v>4873</v>
      </c>
    </row>
    <row r="178" spans="1:9" s="8" customFormat="1">
      <c r="A178" s="13">
        <v>45702</v>
      </c>
      <c r="B178" s="8" t="s">
        <v>804</v>
      </c>
      <c r="C178" s="14">
        <v>20000000</v>
      </c>
      <c r="D178" s="14">
        <v>0</v>
      </c>
      <c r="E178" s="14">
        <f t="shared" si="5"/>
        <v>284849879.48000002</v>
      </c>
      <c r="F178" s="8" t="s">
        <v>4</v>
      </c>
      <c r="G178" s="8" t="s">
        <v>5</v>
      </c>
      <c r="H178" s="154" t="s">
        <v>1368</v>
      </c>
    </row>
    <row r="179" spans="1:9" s="8" customFormat="1">
      <c r="A179" s="13">
        <v>45702</v>
      </c>
      <c r="B179" s="8" t="s">
        <v>805</v>
      </c>
      <c r="C179" s="14">
        <v>3090000</v>
      </c>
      <c r="D179" s="14">
        <v>0</v>
      </c>
      <c r="E179" s="14">
        <f t="shared" si="5"/>
        <v>281759879.48000002</v>
      </c>
      <c r="F179" s="8" t="s">
        <v>4</v>
      </c>
      <c r="G179" s="8" t="s">
        <v>5</v>
      </c>
      <c r="H179" s="154" t="s">
        <v>1368</v>
      </c>
    </row>
    <row r="180" spans="1:9" s="8" customFormat="1">
      <c r="A180" s="13">
        <v>45702</v>
      </c>
      <c r="B180" s="8" t="s">
        <v>7049</v>
      </c>
      <c r="C180" s="54">
        <v>3500000</v>
      </c>
      <c r="D180" s="54">
        <v>0</v>
      </c>
      <c r="E180" s="54">
        <f t="shared" si="5"/>
        <v>278259879.48000002</v>
      </c>
      <c r="F180" s="8" t="s">
        <v>8</v>
      </c>
      <c r="G180" s="8" t="s">
        <v>32</v>
      </c>
    </row>
    <row r="181" spans="1:9" s="8" customFormat="1">
      <c r="A181" s="13">
        <v>45702</v>
      </c>
      <c r="B181" s="8" t="s">
        <v>7049</v>
      </c>
      <c r="C181" s="54">
        <v>385000</v>
      </c>
      <c r="D181" s="54">
        <v>0</v>
      </c>
      <c r="E181" s="54">
        <f t="shared" si="5"/>
        <v>277874879.48000002</v>
      </c>
      <c r="F181" s="8" t="s">
        <v>920</v>
      </c>
      <c r="G181" s="8" t="s">
        <v>7855</v>
      </c>
      <c r="H181" s="8" t="s">
        <v>7032</v>
      </c>
      <c r="I181" s="8" t="s">
        <v>4567</v>
      </c>
    </row>
    <row r="182" spans="1:9" s="8" customFormat="1">
      <c r="A182" s="13">
        <v>45702</v>
      </c>
      <c r="B182" s="8" t="s">
        <v>7049</v>
      </c>
      <c r="C182" s="54">
        <v>0</v>
      </c>
      <c r="D182" s="54">
        <f>C180+C181-3815000</f>
        <v>70000</v>
      </c>
      <c r="E182" s="54">
        <f t="shared" si="5"/>
        <v>277944879.48000002</v>
      </c>
      <c r="F182" s="8" t="s">
        <v>920</v>
      </c>
      <c r="G182" s="8" t="s">
        <v>4242</v>
      </c>
      <c r="H182" s="8" t="s">
        <v>88</v>
      </c>
      <c r="I182" s="8" t="s">
        <v>4567</v>
      </c>
    </row>
    <row r="183" spans="1:9" s="8" customFormat="1">
      <c r="A183" s="13">
        <v>45702</v>
      </c>
      <c r="B183" s="8" t="s">
        <v>806</v>
      </c>
      <c r="C183" s="14">
        <v>19445000</v>
      </c>
      <c r="D183" s="14">
        <v>0</v>
      </c>
      <c r="E183" s="14">
        <f t="shared" si="5"/>
        <v>258499879.48000002</v>
      </c>
      <c r="F183" s="8" t="s">
        <v>8</v>
      </c>
      <c r="G183" s="8" t="s">
        <v>182</v>
      </c>
    </row>
    <row r="184" spans="1:9" s="8" customFormat="1">
      <c r="A184" s="13">
        <v>45702</v>
      </c>
      <c r="B184" s="8" t="s">
        <v>807</v>
      </c>
      <c r="C184" s="14">
        <v>9300000</v>
      </c>
      <c r="D184" s="14">
        <v>0</v>
      </c>
      <c r="E184" s="14">
        <f t="shared" si="5"/>
        <v>249199879.48000002</v>
      </c>
      <c r="F184" s="8" t="s">
        <v>4</v>
      </c>
      <c r="G184" s="8" t="s">
        <v>5</v>
      </c>
      <c r="H184" s="154" t="s">
        <v>1368</v>
      </c>
    </row>
    <row r="185" spans="1:9" s="8" customFormat="1">
      <c r="A185" s="13">
        <v>45702</v>
      </c>
      <c r="B185" s="8" t="s">
        <v>808</v>
      </c>
      <c r="C185" s="14">
        <v>20000000</v>
      </c>
      <c r="D185" s="14">
        <v>0</v>
      </c>
      <c r="E185" s="14">
        <f t="shared" si="5"/>
        <v>229199879.48000002</v>
      </c>
      <c r="F185" s="8" t="s">
        <v>4</v>
      </c>
      <c r="G185" s="8" t="s">
        <v>5</v>
      </c>
      <c r="H185" s="154" t="s">
        <v>1368</v>
      </c>
    </row>
    <row r="186" spans="1:9" s="8" customFormat="1">
      <c r="A186" s="13">
        <v>45702</v>
      </c>
      <c r="B186" s="8" t="s">
        <v>809</v>
      </c>
      <c r="C186" s="14">
        <v>2500000</v>
      </c>
      <c r="D186" s="14">
        <v>0</v>
      </c>
      <c r="E186" s="14">
        <f t="shared" si="5"/>
        <v>226699879.48000002</v>
      </c>
      <c r="F186" s="8" t="s">
        <v>4</v>
      </c>
      <c r="G186" s="8" t="s">
        <v>5</v>
      </c>
      <c r="H186" s="154" t="s">
        <v>1583</v>
      </c>
    </row>
    <row r="187" spans="1:9" s="8" customFormat="1">
      <c r="A187" s="13">
        <v>45702</v>
      </c>
      <c r="B187" s="8" t="s">
        <v>810</v>
      </c>
      <c r="C187" s="14">
        <v>500000</v>
      </c>
      <c r="D187" s="14">
        <v>0</v>
      </c>
      <c r="E187" s="14">
        <f t="shared" si="5"/>
        <v>226199879.48000002</v>
      </c>
      <c r="F187" s="8" t="s">
        <v>4</v>
      </c>
      <c r="G187" s="8" t="s">
        <v>5</v>
      </c>
      <c r="H187" s="154" t="s">
        <v>1411</v>
      </c>
    </row>
    <row r="188" spans="1:9" s="8" customFormat="1">
      <c r="A188" s="13">
        <v>45702</v>
      </c>
      <c r="B188" s="8" t="s">
        <v>811</v>
      </c>
      <c r="C188" s="14">
        <v>750000</v>
      </c>
      <c r="D188" s="14">
        <v>0</v>
      </c>
      <c r="E188" s="14">
        <f t="shared" si="5"/>
        <v>225449879.48000002</v>
      </c>
      <c r="F188" s="8" t="s">
        <v>4</v>
      </c>
      <c r="G188" s="8" t="s">
        <v>5</v>
      </c>
      <c r="H188" s="154" t="s">
        <v>1411</v>
      </c>
    </row>
    <row r="189" spans="1:9" s="8" customFormat="1">
      <c r="A189" s="13">
        <v>45702</v>
      </c>
      <c r="B189" s="8" t="s">
        <v>812</v>
      </c>
      <c r="C189" s="14">
        <v>28000000</v>
      </c>
      <c r="D189" s="14">
        <v>0</v>
      </c>
      <c r="E189" s="14">
        <f t="shared" si="5"/>
        <v>197449879.48000002</v>
      </c>
      <c r="F189" s="8" t="s">
        <v>4</v>
      </c>
      <c r="G189" s="8" t="s">
        <v>5</v>
      </c>
      <c r="H189" s="154" t="s">
        <v>1411</v>
      </c>
    </row>
    <row r="190" spans="1:9" s="8" customFormat="1">
      <c r="A190" s="13">
        <v>45702</v>
      </c>
      <c r="B190" s="8" t="s">
        <v>813</v>
      </c>
      <c r="C190" s="54">
        <v>4080000</v>
      </c>
      <c r="D190" s="54">
        <v>0</v>
      </c>
      <c r="E190" s="14">
        <f t="shared" si="5"/>
        <v>193369879.48000002</v>
      </c>
      <c r="F190" s="8" t="s">
        <v>10</v>
      </c>
      <c r="G190" s="8" t="s">
        <v>446</v>
      </c>
      <c r="H190" s="40" t="s">
        <v>1629</v>
      </c>
      <c r="I190" s="8" t="s">
        <v>26</v>
      </c>
    </row>
    <row r="191" spans="1:9" s="8" customFormat="1">
      <c r="A191" s="13">
        <v>45702</v>
      </c>
      <c r="B191" s="8" t="s">
        <v>814</v>
      </c>
      <c r="C191" s="54">
        <v>3016078</v>
      </c>
      <c r="D191" s="54">
        <v>0</v>
      </c>
      <c r="E191" s="54">
        <f t="shared" si="5"/>
        <v>190353801.48000002</v>
      </c>
      <c r="F191" s="8" t="s">
        <v>4</v>
      </c>
      <c r="G191" s="8" t="s">
        <v>5</v>
      </c>
      <c r="H191" s="43" t="s">
        <v>1352</v>
      </c>
    </row>
    <row r="192" spans="1:9" s="8" customFormat="1">
      <c r="A192" s="13">
        <v>45702</v>
      </c>
      <c r="B192" s="8" t="s">
        <v>815</v>
      </c>
      <c r="C192" s="54">
        <v>11075000</v>
      </c>
      <c r="D192" s="54">
        <v>0</v>
      </c>
      <c r="E192" s="54">
        <f t="shared" si="5"/>
        <v>179278801.48000002</v>
      </c>
      <c r="F192" s="8" t="s">
        <v>4</v>
      </c>
      <c r="G192" s="8" t="s">
        <v>5</v>
      </c>
      <c r="H192" s="43" t="s">
        <v>1352</v>
      </c>
    </row>
    <row r="193" spans="1:8" s="8" customFormat="1">
      <c r="A193" s="13">
        <v>45702</v>
      </c>
      <c r="B193" s="8" t="s">
        <v>816</v>
      </c>
      <c r="C193" s="14">
        <v>66936</v>
      </c>
      <c r="D193" s="14">
        <v>0</v>
      </c>
      <c r="E193" s="14">
        <f t="shared" si="5"/>
        <v>179211865.48000002</v>
      </c>
      <c r="F193" s="8" t="s">
        <v>8</v>
      </c>
      <c r="G193" s="8" t="s">
        <v>31</v>
      </c>
    </row>
    <row r="194" spans="1:8" s="8" customFormat="1">
      <c r="A194" s="13">
        <v>45702</v>
      </c>
      <c r="B194" s="8" t="s">
        <v>817</v>
      </c>
      <c r="C194" s="14">
        <v>66936</v>
      </c>
      <c r="D194" s="14">
        <v>0</v>
      </c>
      <c r="E194" s="14">
        <f t="shared" si="5"/>
        <v>179144929.48000002</v>
      </c>
      <c r="F194" s="8" t="s">
        <v>8</v>
      </c>
      <c r="G194" s="8" t="s">
        <v>31</v>
      </c>
    </row>
    <row r="195" spans="1:8" s="8" customFormat="1">
      <c r="A195" s="13">
        <v>45702</v>
      </c>
      <c r="B195" s="8" t="s">
        <v>818</v>
      </c>
      <c r="C195" s="14">
        <v>66936</v>
      </c>
      <c r="D195" s="14">
        <v>0</v>
      </c>
      <c r="E195" s="14">
        <f t="shared" si="5"/>
        <v>179077993.48000002</v>
      </c>
      <c r="F195" s="8" t="s">
        <v>8</v>
      </c>
      <c r="G195" s="8" t="s">
        <v>31</v>
      </c>
    </row>
    <row r="196" spans="1:8" s="8" customFormat="1">
      <c r="A196" s="13">
        <v>45702</v>
      </c>
      <c r="B196" s="8" t="s">
        <v>819</v>
      </c>
      <c r="C196" s="14">
        <v>66936</v>
      </c>
      <c r="D196" s="14">
        <v>0</v>
      </c>
      <c r="E196" s="14">
        <f t="shared" si="5"/>
        <v>179011057.48000002</v>
      </c>
      <c r="F196" s="8" t="s">
        <v>8</v>
      </c>
      <c r="G196" s="8" t="s">
        <v>31</v>
      </c>
    </row>
    <row r="197" spans="1:8" s="8" customFormat="1">
      <c r="A197" s="13">
        <v>45702</v>
      </c>
      <c r="B197" s="8" t="s">
        <v>820</v>
      </c>
      <c r="C197" s="14">
        <v>66936</v>
      </c>
      <c r="D197" s="14">
        <v>0</v>
      </c>
      <c r="E197" s="14">
        <f t="shared" si="5"/>
        <v>178944121.48000002</v>
      </c>
      <c r="F197" s="8" t="s">
        <v>8</v>
      </c>
      <c r="G197" s="8" t="s">
        <v>31</v>
      </c>
    </row>
    <row r="198" spans="1:8" s="8" customFormat="1">
      <c r="A198" s="13">
        <v>45702</v>
      </c>
      <c r="B198" s="8" t="s">
        <v>821</v>
      </c>
      <c r="C198" s="14">
        <v>72875</v>
      </c>
      <c r="D198" s="14">
        <v>0</v>
      </c>
      <c r="E198" s="14">
        <f t="shared" si="5"/>
        <v>178871246.48000002</v>
      </c>
      <c r="F198" s="8" t="s">
        <v>8</v>
      </c>
      <c r="G198" s="8" t="s">
        <v>31</v>
      </c>
    </row>
    <row r="199" spans="1:8" s="8" customFormat="1">
      <c r="A199" s="13">
        <v>45702</v>
      </c>
      <c r="B199" s="8" t="s">
        <v>822</v>
      </c>
      <c r="C199" s="14">
        <v>66936</v>
      </c>
      <c r="D199" s="14">
        <v>0</v>
      </c>
      <c r="E199" s="14">
        <f t="shared" si="5"/>
        <v>178804310.48000002</v>
      </c>
      <c r="F199" s="8" t="s">
        <v>8</v>
      </c>
      <c r="G199" s="8" t="s">
        <v>31</v>
      </c>
    </row>
    <row r="200" spans="1:8" s="8" customFormat="1">
      <c r="A200" s="13">
        <v>45702</v>
      </c>
      <c r="B200" s="8" t="s">
        <v>372</v>
      </c>
      <c r="C200" s="14">
        <v>0</v>
      </c>
      <c r="D200" s="14">
        <v>250000000</v>
      </c>
      <c r="E200" s="14">
        <f t="shared" si="5"/>
        <v>428804310.48000002</v>
      </c>
      <c r="F200" s="8" t="s">
        <v>920</v>
      </c>
      <c r="G200" s="8" t="s">
        <v>4242</v>
      </c>
    </row>
    <row r="201" spans="1:8" s="8" customFormat="1">
      <c r="A201" s="13">
        <v>45702</v>
      </c>
      <c r="B201" s="8" t="s">
        <v>372</v>
      </c>
      <c r="C201" s="14">
        <v>0</v>
      </c>
      <c r="D201" s="14">
        <v>250000000</v>
      </c>
      <c r="E201" s="14">
        <f t="shared" si="5"/>
        <v>678804310.48000002</v>
      </c>
      <c r="F201" s="8" t="s">
        <v>920</v>
      </c>
      <c r="G201" s="8" t="s">
        <v>4242</v>
      </c>
    </row>
    <row r="202" spans="1:8" s="8" customFormat="1">
      <c r="A202" s="13">
        <v>45706</v>
      </c>
      <c r="B202" s="8" t="s">
        <v>823</v>
      </c>
      <c r="C202" s="14">
        <v>39950000</v>
      </c>
      <c r="D202" s="14">
        <v>0</v>
      </c>
      <c r="E202" s="14">
        <f t="shared" si="5"/>
        <v>638854310.48000002</v>
      </c>
      <c r="F202" s="8" t="s">
        <v>4</v>
      </c>
      <c r="G202" s="8" t="s">
        <v>5</v>
      </c>
      <c r="H202" s="154" t="s">
        <v>1445</v>
      </c>
    </row>
    <row r="203" spans="1:8" s="8" customFormat="1">
      <c r="A203" s="13">
        <v>45706</v>
      </c>
      <c r="B203" s="8" t="s">
        <v>824</v>
      </c>
      <c r="C203" s="14">
        <v>26153846</v>
      </c>
      <c r="D203" s="14">
        <v>0</v>
      </c>
      <c r="E203" s="14">
        <f t="shared" si="5"/>
        <v>612700464.48000002</v>
      </c>
      <c r="F203" s="8" t="s">
        <v>4</v>
      </c>
      <c r="G203" s="8" t="s">
        <v>5</v>
      </c>
      <c r="H203" s="154" t="s">
        <v>1368</v>
      </c>
    </row>
    <row r="204" spans="1:8" s="8" customFormat="1">
      <c r="A204" s="13">
        <v>45706</v>
      </c>
      <c r="B204" s="8" t="s">
        <v>825</v>
      </c>
      <c r="C204" s="14">
        <v>6000000</v>
      </c>
      <c r="D204" s="14">
        <v>0</v>
      </c>
      <c r="E204" s="14">
        <f t="shared" si="5"/>
        <v>606700464.48000002</v>
      </c>
      <c r="F204" s="8" t="s">
        <v>4</v>
      </c>
      <c r="G204" s="8" t="s">
        <v>5</v>
      </c>
      <c r="H204" s="154" t="s">
        <v>1368</v>
      </c>
    </row>
    <row r="205" spans="1:8" s="8" customFormat="1">
      <c r="A205" s="13">
        <v>45706</v>
      </c>
      <c r="B205" s="8" t="s">
        <v>826</v>
      </c>
      <c r="C205" s="14">
        <v>26000000</v>
      </c>
      <c r="D205" s="14">
        <v>0</v>
      </c>
      <c r="E205" s="14">
        <f t="shared" si="5"/>
        <v>580700464.48000002</v>
      </c>
      <c r="F205" s="8" t="s">
        <v>4</v>
      </c>
      <c r="G205" s="8" t="s">
        <v>5</v>
      </c>
      <c r="H205" s="154" t="s">
        <v>1364</v>
      </c>
    </row>
    <row r="206" spans="1:8" s="8" customFormat="1">
      <c r="A206" s="13">
        <v>45706</v>
      </c>
      <c r="B206" s="8" t="s">
        <v>827</v>
      </c>
      <c r="C206" s="14">
        <v>18000000</v>
      </c>
      <c r="D206" s="14">
        <v>0</v>
      </c>
      <c r="E206" s="14">
        <f t="shared" si="5"/>
        <v>562700464.48000002</v>
      </c>
      <c r="F206" s="8" t="s">
        <v>4</v>
      </c>
      <c r="G206" s="8" t="s">
        <v>5</v>
      </c>
      <c r="H206" s="154" t="s">
        <v>1364</v>
      </c>
    </row>
    <row r="207" spans="1:8" s="8" customFormat="1">
      <c r="A207" s="13">
        <v>45706</v>
      </c>
      <c r="B207" s="8" t="s">
        <v>828</v>
      </c>
      <c r="C207" s="14">
        <v>9000000</v>
      </c>
      <c r="D207" s="14">
        <v>0</v>
      </c>
      <c r="E207" s="14">
        <f t="shared" si="5"/>
        <v>553700464.48000002</v>
      </c>
      <c r="F207" s="8" t="s">
        <v>4</v>
      </c>
      <c r="G207" s="8" t="s">
        <v>5</v>
      </c>
      <c r="H207" s="154" t="s">
        <v>1364</v>
      </c>
    </row>
    <row r="208" spans="1:8" s="8" customFormat="1">
      <c r="A208" s="13">
        <v>45706</v>
      </c>
      <c r="B208" s="8" t="s">
        <v>829</v>
      </c>
      <c r="C208" s="14">
        <v>10000000</v>
      </c>
      <c r="D208" s="14">
        <v>0</v>
      </c>
      <c r="E208" s="14">
        <f t="shared" si="5"/>
        <v>543700464.48000002</v>
      </c>
      <c r="F208" s="8" t="s">
        <v>4</v>
      </c>
      <c r="G208" s="8" t="s">
        <v>5</v>
      </c>
      <c r="H208" s="154" t="s">
        <v>1364</v>
      </c>
    </row>
    <row r="209" spans="1:8" s="8" customFormat="1">
      <c r="A209" s="13">
        <v>45706</v>
      </c>
      <c r="B209" s="8" t="s">
        <v>830</v>
      </c>
      <c r="C209" s="14">
        <v>31282051</v>
      </c>
      <c r="D209" s="14">
        <v>0</v>
      </c>
      <c r="E209" s="14">
        <f t="shared" si="5"/>
        <v>512418413.48000002</v>
      </c>
      <c r="F209" s="8" t="s">
        <v>4</v>
      </c>
      <c r="G209" s="8" t="s">
        <v>5</v>
      </c>
      <c r="H209" s="154" t="s">
        <v>1368</v>
      </c>
    </row>
    <row r="210" spans="1:8" s="8" customFormat="1">
      <c r="A210" s="13">
        <v>45706</v>
      </c>
      <c r="B210" s="8" t="s">
        <v>831</v>
      </c>
      <c r="C210" s="14">
        <v>15000000</v>
      </c>
      <c r="D210" s="14">
        <v>0</v>
      </c>
      <c r="E210" s="14">
        <f t="shared" si="5"/>
        <v>497418413.48000002</v>
      </c>
      <c r="F210" s="8" t="s">
        <v>4</v>
      </c>
      <c r="G210" s="8" t="s">
        <v>5</v>
      </c>
      <c r="H210" s="154" t="s">
        <v>1368</v>
      </c>
    </row>
    <row r="211" spans="1:8" s="8" customFormat="1">
      <c r="A211" s="13">
        <v>45706</v>
      </c>
      <c r="B211" s="8" t="s">
        <v>832</v>
      </c>
      <c r="C211" s="14">
        <v>550000</v>
      </c>
      <c r="D211" s="14">
        <v>0</v>
      </c>
      <c r="E211" s="14">
        <f t="shared" si="5"/>
        <v>496868413.48000002</v>
      </c>
      <c r="F211" s="8" t="s">
        <v>62</v>
      </c>
      <c r="G211" s="8" t="s">
        <v>177</v>
      </c>
    </row>
    <row r="212" spans="1:8" s="8" customFormat="1">
      <c r="A212" s="13">
        <v>45706</v>
      </c>
      <c r="B212" s="8" t="s">
        <v>833</v>
      </c>
      <c r="C212" s="14">
        <v>6010000</v>
      </c>
      <c r="D212" s="14">
        <v>0</v>
      </c>
      <c r="E212" s="14">
        <f t="shared" si="5"/>
        <v>490858413.48000002</v>
      </c>
      <c r="F212" s="8" t="s">
        <v>920</v>
      </c>
      <c r="G212" s="8" t="s">
        <v>400</v>
      </c>
      <c r="H212" s="40" t="s">
        <v>5189</v>
      </c>
    </row>
    <row r="213" spans="1:8" s="8" customFormat="1">
      <c r="A213" s="13">
        <v>45706</v>
      </c>
      <c r="B213" s="8" t="s">
        <v>5225</v>
      </c>
      <c r="C213" s="14">
        <v>6000000</v>
      </c>
      <c r="D213" s="14">
        <v>0</v>
      </c>
      <c r="E213" s="14">
        <f t="shared" si="5"/>
        <v>484858413.48000002</v>
      </c>
      <c r="F213" s="8" t="s">
        <v>1400</v>
      </c>
      <c r="G213" s="8" t="s">
        <v>1400</v>
      </c>
      <c r="H213" s="8" t="s">
        <v>26</v>
      </c>
    </row>
    <row r="214" spans="1:8" s="8" customFormat="1">
      <c r="A214" s="13">
        <v>45706</v>
      </c>
      <c r="B214" s="8" t="s">
        <v>834</v>
      </c>
      <c r="C214" s="14">
        <v>8000000</v>
      </c>
      <c r="D214" s="14">
        <v>0</v>
      </c>
      <c r="E214" s="14">
        <f t="shared" ref="E214:E286" si="6">E213-C214+D214</f>
        <v>476858413.48000002</v>
      </c>
      <c r="F214" s="8" t="s">
        <v>920</v>
      </c>
      <c r="G214" s="8" t="s">
        <v>400</v>
      </c>
      <c r="H214" s="40" t="s">
        <v>5165</v>
      </c>
    </row>
    <row r="215" spans="1:8" s="8" customFormat="1">
      <c r="A215" s="13">
        <v>45706</v>
      </c>
      <c r="B215" s="8" t="s">
        <v>835</v>
      </c>
      <c r="C215" s="14">
        <v>25000000</v>
      </c>
      <c r="D215" s="14">
        <v>0</v>
      </c>
      <c r="E215" s="14">
        <f t="shared" si="6"/>
        <v>451858413.48000002</v>
      </c>
      <c r="F215" s="8" t="s">
        <v>920</v>
      </c>
      <c r="G215" s="8" t="s">
        <v>400</v>
      </c>
      <c r="H215" s="40" t="s">
        <v>5135</v>
      </c>
    </row>
    <row r="216" spans="1:8" s="8" customFormat="1">
      <c r="A216" s="13">
        <v>45706</v>
      </c>
      <c r="B216" s="8" t="s">
        <v>836</v>
      </c>
      <c r="C216" s="14">
        <v>30000000</v>
      </c>
      <c r="D216" s="14">
        <v>0</v>
      </c>
      <c r="E216" s="14">
        <f t="shared" si="6"/>
        <v>421858413.48000002</v>
      </c>
      <c r="F216" s="8" t="s">
        <v>920</v>
      </c>
      <c r="G216" s="8" t="s">
        <v>400</v>
      </c>
      <c r="H216" s="40" t="s">
        <v>5131</v>
      </c>
    </row>
    <row r="217" spans="1:8" s="8" customFormat="1">
      <c r="A217" s="13">
        <v>45706</v>
      </c>
      <c r="B217" s="8" t="s">
        <v>5388</v>
      </c>
      <c r="C217" s="14">
        <v>6401000</v>
      </c>
      <c r="D217" s="14">
        <v>0</v>
      </c>
      <c r="E217" s="14">
        <f t="shared" si="6"/>
        <v>415457413.48000002</v>
      </c>
      <c r="F217" s="8" t="s">
        <v>4</v>
      </c>
      <c r="G217" s="8" t="s">
        <v>5</v>
      </c>
      <c r="H217" s="40" t="s">
        <v>1615</v>
      </c>
    </row>
    <row r="218" spans="1:8" s="8" customFormat="1">
      <c r="A218" s="13">
        <v>45710</v>
      </c>
      <c r="B218" s="8" t="s">
        <v>851</v>
      </c>
      <c r="C218" s="14">
        <v>20000000</v>
      </c>
      <c r="D218" s="14">
        <v>0</v>
      </c>
      <c r="E218" s="14">
        <f t="shared" si="6"/>
        <v>395457413.48000002</v>
      </c>
      <c r="F218" s="8" t="s">
        <v>920</v>
      </c>
      <c r="G218" s="8" t="s">
        <v>400</v>
      </c>
      <c r="H218" s="40" t="s">
        <v>5193</v>
      </c>
    </row>
    <row r="219" spans="1:8" s="8" customFormat="1">
      <c r="A219" s="13">
        <v>45710</v>
      </c>
      <c r="B219" s="8" t="s">
        <v>852</v>
      </c>
      <c r="C219" s="14">
        <v>1000000</v>
      </c>
      <c r="D219" s="14">
        <v>0</v>
      </c>
      <c r="E219" s="14">
        <f t="shared" si="6"/>
        <v>394457413.48000002</v>
      </c>
      <c r="F219" s="8" t="s">
        <v>4</v>
      </c>
      <c r="G219" s="8" t="s">
        <v>5</v>
      </c>
      <c r="H219" s="154" t="s">
        <v>1368</v>
      </c>
    </row>
    <row r="220" spans="1:8" s="8" customFormat="1">
      <c r="A220" s="13">
        <v>45710</v>
      </c>
      <c r="B220" s="8" t="s">
        <v>853</v>
      </c>
      <c r="C220" s="14">
        <v>1000000</v>
      </c>
      <c r="D220" s="14">
        <v>0</v>
      </c>
      <c r="E220" s="14">
        <f t="shared" si="6"/>
        <v>393457413.48000002</v>
      </c>
      <c r="F220" s="8" t="s">
        <v>4</v>
      </c>
      <c r="G220" s="8" t="s">
        <v>5</v>
      </c>
      <c r="H220" s="154" t="s">
        <v>1368</v>
      </c>
    </row>
    <row r="221" spans="1:8" s="8" customFormat="1">
      <c r="A221" s="13">
        <v>45710</v>
      </c>
      <c r="B221" s="8" t="s">
        <v>854</v>
      </c>
      <c r="C221" s="14">
        <v>1500000</v>
      </c>
      <c r="D221" s="14">
        <v>0</v>
      </c>
      <c r="E221" s="14">
        <f t="shared" si="6"/>
        <v>391957413.48000002</v>
      </c>
      <c r="F221" s="8" t="s">
        <v>4</v>
      </c>
      <c r="G221" s="8" t="s">
        <v>5</v>
      </c>
      <c r="H221" s="154" t="s">
        <v>1368</v>
      </c>
    </row>
    <row r="222" spans="1:8" s="8" customFormat="1">
      <c r="A222" s="13">
        <v>45710</v>
      </c>
      <c r="B222" s="8" t="s">
        <v>855</v>
      </c>
      <c r="C222" s="14">
        <v>2500000</v>
      </c>
      <c r="D222" s="14">
        <v>0</v>
      </c>
      <c r="E222" s="14">
        <f t="shared" si="6"/>
        <v>389457413.48000002</v>
      </c>
      <c r="F222" s="8" t="s">
        <v>4</v>
      </c>
      <c r="G222" s="8" t="s">
        <v>5</v>
      </c>
      <c r="H222" s="154" t="s">
        <v>1368</v>
      </c>
    </row>
    <row r="223" spans="1:8" s="8" customFormat="1">
      <c r="A223" s="13">
        <v>45710</v>
      </c>
      <c r="B223" s="8" t="s">
        <v>856</v>
      </c>
      <c r="C223" s="14">
        <v>500000</v>
      </c>
      <c r="D223" s="14">
        <v>0</v>
      </c>
      <c r="E223" s="14">
        <f t="shared" si="6"/>
        <v>388957413.48000002</v>
      </c>
      <c r="F223" s="8" t="s">
        <v>4</v>
      </c>
      <c r="G223" s="8" t="s">
        <v>5</v>
      </c>
      <c r="H223" s="154" t="s">
        <v>1364</v>
      </c>
    </row>
    <row r="224" spans="1:8" s="8" customFormat="1">
      <c r="A224" s="13">
        <v>45710</v>
      </c>
      <c r="B224" s="8" t="s">
        <v>857</v>
      </c>
      <c r="C224" s="14">
        <v>500000</v>
      </c>
      <c r="D224" s="14">
        <v>0</v>
      </c>
      <c r="E224" s="14">
        <f t="shared" si="6"/>
        <v>388457413.48000002</v>
      </c>
      <c r="F224" s="8" t="s">
        <v>4</v>
      </c>
      <c r="G224" s="8" t="s">
        <v>5</v>
      </c>
      <c r="H224" s="154" t="s">
        <v>1364</v>
      </c>
    </row>
    <row r="225" spans="1:9" s="8" customFormat="1">
      <c r="A225" s="13">
        <v>45710</v>
      </c>
      <c r="B225" s="8" t="s">
        <v>858</v>
      </c>
      <c r="C225" s="14">
        <v>1500000</v>
      </c>
      <c r="D225" s="14">
        <v>0</v>
      </c>
      <c r="E225" s="14">
        <f t="shared" si="6"/>
        <v>386957413.48000002</v>
      </c>
      <c r="F225" s="8" t="s">
        <v>4</v>
      </c>
      <c r="G225" s="8" t="s">
        <v>5</v>
      </c>
      <c r="H225" s="154" t="s">
        <v>1364</v>
      </c>
    </row>
    <row r="226" spans="1:9" s="8" customFormat="1">
      <c r="A226" s="13">
        <v>45710</v>
      </c>
      <c r="B226" s="8" t="s">
        <v>859</v>
      </c>
      <c r="C226" s="14">
        <v>1000000</v>
      </c>
      <c r="D226" s="14">
        <v>0</v>
      </c>
      <c r="E226" s="14">
        <f t="shared" si="6"/>
        <v>385957413.48000002</v>
      </c>
      <c r="F226" s="8" t="s">
        <v>4</v>
      </c>
      <c r="G226" s="8" t="s">
        <v>5</v>
      </c>
      <c r="H226" s="154" t="s">
        <v>1364</v>
      </c>
    </row>
    <row r="227" spans="1:9" s="8" customFormat="1">
      <c r="A227" s="13">
        <v>45710</v>
      </c>
      <c r="B227" s="8" t="s">
        <v>860</v>
      </c>
      <c r="C227" s="14">
        <v>14882600</v>
      </c>
      <c r="D227" s="14">
        <v>0</v>
      </c>
      <c r="E227" s="14">
        <f t="shared" si="6"/>
        <v>371074813.48000002</v>
      </c>
      <c r="F227" s="8" t="s">
        <v>4</v>
      </c>
      <c r="G227" s="8" t="s">
        <v>5</v>
      </c>
      <c r="H227" s="154" t="s">
        <v>1445</v>
      </c>
    </row>
    <row r="228" spans="1:9" s="8" customFormat="1">
      <c r="A228" s="13">
        <v>45710</v>
      </c>
      <c r="B228" s="8" t="s">
        <v>861</v>
      </c>
      <c r="C228" s="14">
        <v>4750000</v>
      </c>
      <c r="D228" s="14">
        <v>0</v>
      </c>
      <c r="E228" s="14">
        <f t="shared" si="6"/>
        <v>366324813.48000002</v>
      </c>
      <c r="F228" s="8" t="s">
        <v>4</v>
      </c>
      <c r="G228" s="8" t="s">
        <v>5</v>
      </c>
      <c r="H228" s="154" t="s">
        <v>1445</v>
      </c>
    </row>
    <row r="229" spans="1:9" s="8" customFormat="1">
      <c r="A229" s="13">
        <v>45710</v>
      </c>
      <c r="B229" s="8" t="s">
        <v>862</v>
      </c>
      <c r="C229" s="14">
        <v>45475000</v>
      </c>
      <c r="D229" s="14">
        <v>0</v>
      </c>
      <c r="E229" s="14">
        <f t="shared" si="6"/>
        <v>320849813.48000002</v>
      </c>
      <c r="F229" s="8" t="s">
        <v>4</v>
      </c>
      <c r="G229" s="8" t="s">
        <v>5</v>
      </c>
      <c r="H229" s="154" t="s">
        <v>1445</v>
      </c>
    </row>
    <row r="230" spans="1:9" s="8" customFormat="1">
      <c r="A230" s="13">
        <v>45710</v>
      </c>
      <c r="B230" s="8" t="s">
        <v>863</v>
      </c>
      <c r="C230" s="14">
        <v>7395000</v>
      </c>
      <c r="D230" s="14">
        <v>0</v>
      </c>
      <c r="E230" s="14">
        <f t="shared" si="6"/>
        <v>313454813.48000002</v>
      </c>
      <c r="F230" s="8" t="s">
        <v>4</v>
      </c>
      <c r="G230" s="8" t="s">
        <v>5</v>
      </c>
      <c r="H230" s="40" t="s">
        <v>1378</v>
      </c>
    </row>
    <row r="231" spans="1:9" s="8" customFormat="1">
      <c r="A231" s="13">
        <v>45710</v>
      </c>
      <c r="B231" s="8" t="s">
        <v>864</v>
      </c>
      <c r="C231" s="14">
        <v>15000000</v>
      </c>
      <c r="D231" s="14">
        <v>0</v>
      </c>
      <c r="E231" s="14">
        <f t="shared" si="6"/>
        <v>298454813.48000002</v>
      </c>
      <c r="F231" s="8" t="s">
        <v>4</v>
      </c>
      <c r="G231" s="8" t="s">
        <v>5</v>
      </c>
      <c r="H231" s="154" t="s">
        <v>1364</v>
      </c>
    </row>
    <row r="232" spans="1:9" s="8" customFormat="1">
      <c r="A232" s="13">
        <v>45710</v>
      </c>
      <c r="B232" s="8" t="s">
        <v>865</v>
      </c>
      <c r="C232" s="14">
        <v>1650000</v>
      </c>
      <c r="D232" s="14">
        <v>0</v>
      </c>
      <c r="E232" s="14">
        <f t="shared" si="6"/>
        <v>296804813.48000002</v>
      </c>
      <c r="F232" s="8" t="s">
        <v>4</v>
      </c>
      <c r="G232" s="8" t="s">
        <v>5</v>
      </c>
      <c r="H232" s="154" t="s">
        <v>1364</v>
      </c>
    </row>
    <row r="233" spans="1:9" s="8" customFormat="1">
      <c r="A233" s="13">
        <v>45714</v>
      </c>
      <c r="B233" s="8" t="s">
        <v>7075</v>
      </c>
      <c r="C233" s="54">
        <v>7454955</v>
      </c>
      <c r="D233" s="54">
        <v>0</v>
      </c>
      <c r="E233" s="54">
        <f t="shared" si="6"/>
        <v>289349858.48000002</v>
      </c>
      <c r="F233" s="8" t="s">
        <v>4</v>
      </c>
      <c r="G233" s="8" t="s">
        <v>5</v>
      </c>
      <c r="H233" s="8" t="s">
        <v>1352</v>
      </c>
    </row>
    <row r="234" spans="1:9" s="8" customFormat="1">
      <c r="A234" s="13">
        <v>45714</v>
      </c>
      <c r="B234" s="8" t="s">
        <v>7075</v>
      </c>
      <c r="C234" s="54">
        <v>820045</v>
      </c>
      <c r="D234" s="54">
        <v>0</v>
      </c>
      <c r="E234" s="54">
        <f t="shared" si="6"/>
        <v>288529813.48000002</v>
      </c>
      <c r="F234" s="8" t="s">
        <v>920</v>
      </c>
      <c r="G234" s="8" t="s">
        <v>7855</v>
      </c>
      <c r="H234" s="8" t="s">
        <v>7032</v>
      </c>
      <c r="I234" s="8" t="s">
        <v>7069</v>
      </c>
    </row>
    <row r="235" spans="1:9" s="8" customFormat="1">
      <c r="A235" s="13">
        <v>45714</v>
      </c>
      <c r="B235" s="8" t="s">
        <v>7075</v>
      </c>
      <c r="C235" s="54">
        <v>4594595</v>
      </c>
      <c r="D235" s="54">
        <v>0</v>
      </c>
      <c r="E235" s="54">
        <f t="shared" si="6"/>
        <v>283935218.48000002</v>
      </c>
      <c r="F235" s="8" t="s">
        <v>4</v>
      </c>
      <c r="G235" s="8" t="s">
        <v>5</v>
      </c>
      <c r="H235" s="8" t="s">
        <v>1352</v>
      </c>
    </row>
    <row r="236" spans="1:9" s="8" customFormat="1">
      <c r="A236" s="13">
        <v>45714</v>
      </c>
      <c r="B236" s="8" t="s">
        <v>7075</v>
      </c>
      <c r="C236" s="54">
        <v>505405</v>
      </c>
      <c r="D236" s="54">
        <v>0</v>
      </c>
      <c r="E236" s="54">
        <f t="shared" si="6"/>
        <v>283429813.48000002</v>
      </c>
      <c r="F236" s="8" t="s">
        <v>920</v>
      </c>
      <c r="G236" s="8" t="s">
        <v>7855</v>
      </c>
      <c r="H236" s="8" t="s">
        <v>7032</v>
      </c>
      <c r="I236" s="8" t="s">
        <v>7069</v>
      </c>
    </row>
    <row r="237" spans="1:9" s="8" customFormat="1">
      <c r="A237" s="13">
        <v>45714</v>
      </c>
      <c r="B237" s="8" t="s">
        <v>7075</v>
      </c>
      <c r="C237" s="54">
        <v>4391892</v>
      </c>
      <c r="D237" s="54">
        <v>0</v>
      </c>
      <c r="E237" s="54">
        <f t="shared" si="6"/>
        <v>279037921.48000002</v>
      </c>
      <c r="F237" s="8" t="s">
        <v>4</v>
      </c>
      <c r="G237" s="8" t="s">
        <v>5</v>
      </c>
      <c r="H237" s="8" t="s">
        <v>1352</v>
      </c>
    </row>
    <row r="238" spans="1:9" s="8" customFormat="1">
      <c r="A238" s="13">
        <v>45714</v>
      </c>
      <c r="B238" s="8" t="s">
        <v>7075</v>
      </c>
      <c r="C238" s="54">
        <v>483108</v>
      </c>
      <c r="D238" s="54">
        <v>0</v>
      </c>
      <c r="E238" s="54">
        <f t="shared" si="6"/>
        <v>278554813.48000002</v>
      </c>
      <c r="F238" s="8" t="s">
        <v>920</v>
      </c>
      <c r="G238" s="8" t="s">
        <v>7855</v>
      </c>
      <c r="H238" s="8" t="s">
        <v>7032</v>
      </c>
      <c r="I238" s="8" t="s">
        <v>7069</v>
      </c>
    </row>
    <row r="239" spans="1:9" s="8" customFormat="1">
      <c r="A239" s="13">
        <v>45714</v>
      </c>
      <c r="B239" s="8" t="s">
        <v>7075</v>
      </c>
      <c r="C239" s="54">
        <v>6414928</v>
      </c>
      <c r="D239" s="54">
        <v>0</v>
      </c>
      <c r="E239" s="54">
        <f t="shared" si="6"/>
        <v>272139885.48000002</v>
      </c>
      <c r="F239" s="8" t="s">
        <v>4</v>
      </c>
      <c r="G239" s="8" t="s">
        <v>5</v>
      </c>
      <c r="H239" s="8" t="s">
        <v>1352</v>
      </c>
    </row>
    <row r="240" spans="1:9" s="8" customFormat="1">
      <c r="A240" s="13">
        <v>45714</v>
      </c>
      <c r="B240" s="8" t="s">
        <v>7075</v>
      </c>
      <c r="C240" s="54">
        <v>705642</v>
      </c>
      <c r="D240" s="54">
        <v>0</v>
      </c>
      <c r="E240" s="54">
        <f t="shared" si="6"/>
        <v>271434243.48000002</v>
      </c>
      <c r="F240" s="8" t="s">
        <v>920</v>
      </c>
      <c r="G240" s="8" t="s">
        <v>7855</v>
      </c>
      <c r="H240" s="8" t="s">
        <v>7032</v>
      </c>
      <c r="I240" s="8" t="s">
        <v>7069</v>
      </c>
    </row>
    <row r="241" spans="1:9" s="8" customFormat="1">
      <c r="A241" s="13">
        <v>45714</v>
      </c>
      <c r="B241" s="8" t="s">
        <v>7075</v>
      </c>
      <c r="C241" s="54">
        <v>5675676</v>
      </c>
      <c r="D241" s="54">
        <v>0</v>
      </c>
      <c r="E241" s="54">
        <f t="shared" si="6"/>
        <v>265758567.48000002</v>
      </c>
      <c r="F241" s="8" t="s">
        <v>4</v>
      </c>
      <c r="G241" s="8" t="s">
        <v>5</v>
      </c>
      <c r="H241" s="8" t="s">
        <v>1352</v>
      </c>
    </row>
    <row r="242" spans="1:9" s="8" customFormat="1">
      <c r="A242" s="13">
        <v>45714</v>
      </c>
      <c r="B242" s="8" t="s">
        <v>7075</v>
      </c>
      <c r="C242" s="54">
        <v>624324</v>
      </c>
      <c r="D242" s="54">
        <v>0</v>
      </c>
      <c r="E242" s="54">
        <f t="shared" si="6"/>
        <v>265134243.48000002</v>
      </c>
      <c r="F242" s="8" t="s">
        <v>920</v>
      </c>
      <c r="G242" s="8" t="s">
        <v>7855</v>
      </c>
      <c r="H242" s="8" t="s">
        <v>7032</v>
      </c>
      <c r="I242" s="8" t="s">
        <v>7069</v>
      </c>
    </row>
    <row r="243" spans="1:9" s="8" customFormat="1">
      <c r="A243" s="13">
        <v>45714</v>
      </c>
      <c r="B243" s="8" t="s">
        <v>7075</v>
      </c>
      <c r="C243" s="54">
        <v>5157658</v>
      </c>
      <c r="D243" s="54">
        <v>0</v>
      </c>
      <c r="E243" s="54">
        <f t="shared" si="6"/>
        <v>259976585.48000002</v>
      </c>
      <c r="F243" s="8" t="s">
        <v>4</v>
      </c>
      <c r="G243" s="8" t="s">
        <v>5</v>
      </c>
      <c r="H243" s="8" t="s">
        <v>1352</v>
      </c>
    </row>
    <row r="244" spans="1:9" s="8" customFormat="1">
      <c r="A244" s="13">
        <v>45714</v>
      </c>
      <c r="B244" s="8" t="s">
        <v>7075</v>
      </c>
      <c r="C244" s="54">
        <v>567342</v>
      </c>
      <c r="D244" s="54">
        <v>0</v>
      </c>
      <c r="E244" s="54">
        <f t="shared" si="6"/>
        <v>259409243.48000002</v>
      </c>
      <c r="F244" s="8" t="s">
        <v>920</v>
      </c>
      <c r="G244" s="8" t="s">
        <v>7855</v>
      </c>
      <c r="H244" s="8" t="s">
        <v>7032</v>
      </c>
      <c r="I244" s="8" t="s">
        <v>7069</v>
      </c>
    </row>
    <row r="245" spans="1:9" s="8" customFormat="1">
      <c r="A245" s="13">
        <v>45714</v>
      </c>
      <c r="B245" s="8" t="s">
        <v>7075</v>
      </c>
      <c r="C245" s="54">
        <v>4467004</v>
      </c>
      <c r="D245" s="54">
        <v>0</v>
      </c>
      <c r="E245" s="54">
        <f t="shared" si="6"/>
        <v>254942239.48000002</v>
      </c>
      <c r="F245" s="8" t="s">
        <v>4</v>
      </c>
      <c r="G245" s="8" t="s">
        <v>5</v>
      </c>
      <c r="H245" s="8" t="s">
        <v>1352</v>
      </c>
    </row>
    <row r="246" spans="1:9" s="8" customFormat="1">
      <c r="A246" s="13">
        <v>45714</v>
      </c>
      <c r="B246" s="8" t="s">
        <v>7075</v>
      </c>
      <c r="C246" s="54">
        <v>491370</v>
      </c>
      <c r="D246" s="54">
        <v>0</v>
      </c>
      <c r="E246" s="54">
        <f t="shared" si="6"/>
        <v>254450869.48000002</v>
      </c>
      <c r="F246" s="8" t="s">
        <v>920</v>
      </c>
      <c r="G246" s="8" t="s">
        <v>7855</v>
      </c>
      <c r="H246" s="8" t="s">
        <v>7032</v>
      </c>
      <c r="I246" s="8" t="s">
        <v>7069</v>
      </c>
    </row>
    <row r="247" spans="1:9" s="8" customFormat="1">
      <c r="A247" s="13">
        <v>45714</v>
      </c>
      <c r="B247" s="8" t="s">
        <v>7075</v>
      </c>
      <c r="C247" s="54">
        <v>4376914</v>
      </c>
      <c r="D247" s="54">
        <v>0</v>
      </c>
      <c r="E247" s="54">
        <f t="shared" si="6"/>
        <v>250073955.48000002</v>
      </c>
      <c r="F247" s="8" t="s">
        <v>4</v>
      </c>
      <c r="G247" s="8" t="s">
        <v>5</v>
      </c>
      <c r="H247" s="8" t="s">
        <v>1352</v>
      </c>
    </row>
    <row r="248" spans="1:9" s="8" customFormat="1">
      <c r="A248" s="13">
        <v>45714</v>
      </c>
      <c r="B248" s="8" t="s">
        <v>7075</v>
      </c>
      <c r="C248" s="54">
        <v>481461</v>
      </c>
      <c r="D248" s="54">
        <v>0</v>
      </c>
      <c r="E248" s="54">
        <f t="shared" si="6"/>
        <v>249592494.48000002</v>
      </c>
      <c r="F248" s="8" t="s">
        <v>920</v>
      </c>
      <c r="G248" s="8" t="s">
        <v>7855</v>
      </c>
      <c r="H248" s="8" t="s">
        <v>7032</v>
      </c>
      <c r="I248" s="8" t="s">
        <v>7069</v>
      </c>
    </row>
    <row r="249" spans="1:9" s="8" customFormat="1">
      <c r="A249" s="13">
        <v>45714</v>
      </c>
      <c r="B249" s="8" t="s">
        <v>7075</v>
      </c>
      <c r="C249" s="54">
        <v>6103604</v>
      </c>
      <c r="D249" s="54">
        <v>0</v>
      </c>
      <c r="E249" s="54">
        <f t="shared" si="6"/>
        <v>243488890.48000002</v>
      </c>
      <c r="F249" s="8" t="s">
        <v>4</v>
      </c>
      <c r="G249" s="8" t="s">
        <v>5</v>
      </c>
      <c r="H249" s="8" t="s">
        <v>1352</v>
      </c>
    </row>
    <row r="250" spans="1:9" s="8" customFormat="1">
      <c r="A250" s="13">
        <v>45714</v>
      </c>
      <c r="B250" s="8" t="s">
        <v>7075</v>
      </c>
      <c r="C250" s="54">
        <v>671396</v>
      </c>
      <c r="D250" s="54">
        <v>0</v>
      </c>
      <c r="E250" s="54">
        <f t="shared" si="6"/>
        <v>242817494.48000002</v>
      </c>
      <c r="F250" s="8" t="s">
        <v>920</v>
      </c>
      <c r="G250" s="8" t="s">
        <v>7855</v>
      </c>
      <c r="H250" s="8" t="s">
        <v>7032</v>
      </c>
      <c r="I250" s="8" t="s">
        <v>7069</v>
      </c>
    </row>
    <row r="251" spans="1:9" s="8" customFormat="1">
      <c r="A251" s="13">
        <v>45714</v>
      </c>
      <c r="B251" s="8" t="s">
        <v>7075</v>
      </c>
      <c r="C251" s="54">
        <v>6317568</v>
      </c>
      <c r="D251" s="54">
        <v>0</v>
      </c>
      <c r="E251" s="54">
        <f t="shared" si="6"/>
        <v>236499926.48000002</v>
      </c>
      <c r="F251" s="8" t="s">
        <v>4</v>
      </c>
      <c r="G251" s="8" t="s">
        <v>5</v>
      </c>
      <c r="H251" s="8" t="s">
        <v>1352</v>
      </c>
    </row>
    <row r="252" spans="1:9" s="8" customFormat="1">
      <c r="A252" s="13">
        <v>45714</v>
      </c>
      <c r="B252" s="8" t="s">
        <v>7075</v>
      </c>
      <c r="C252" s="54">
        <v>694932</v>
      </c>
      <c r="D252" s="54">
        <v>0</v>
      </c>
      <c r="E252" s="54">
        <f t="shared" si="6"/>
        <v>235804994.48000002</v>
      </c>
      <c r="F252" s="8" t="s">
        <v>920</v>
      </c>
      <c r="G252" s="8" t="s">
        <v>7855</v>
      </c>
      <c r="H252" s="8" t="s">
        <v>7032</v>
      </c>
      <c r="I252" s="8" t="s">
        <v>7069</v>
      </c>
    </row>
    <row r="253" spans="1:9" s="8" customFormat="1">
      <c r="A253" s="13">
        <v>45714</v>
      </c>
      <c r="B253" s="8" t="s">
        <v>7075</v>
      </c>
      <c r="C253" s="54">
        <f>61000000-60999819</f>
        <v>181</v>
      </c>
      <c r="D253" s="54">
        <v>0</v>
      </c>
      <c r="E253" s="54">
        <f t="shared" si="6"/>
        <v>235804813.48000002</v>
      </c>
      <c r="F253" s="8" t="s">
        <v>190</v>
      </c>
      <c r="G253" s="8" t="s">
        <v>69</v>
      </c>
    </row>
    <row r="254" spans="1:9" s="8" customFormat="1">
      <c r="A254" s="13">
        <v>45714</v>
      </c>
      <c r="B254" s="8" t="s">
        <v>866</v>
      </c>
      <c r="C254" s="14">
        <v>12500000</v>
      </c>
      <c r="D254" s="14">
        <v>0</v>
      </c>
      <c r="E254" s="14">
        <f t="shared" si="6"/>
        <v>223304813.48000002</v>
      </c>
      <c r="F254" s="8" t="s">
        <v>4</v>
      </c>
      <c r="G254" s="8" t="s">
        <v>5</v>
      </c>
      <c r="H254" s="154" t="s">
        <v>1368</v>
      </c>
    </row>
    <row r="255" spans="1:9" s="8" customFormat="1">
      <c r="A255" s="13">
        <v>45714</v>
      </c>
      <c r="B255" s="8" t="s">
        <v>867</v>
      </c>
      <c r="C255" s="14">
        <v>500000</v>
      </c>
      <c r="D255" s="14">
        <v>0</v>
      </c>
      <c r="E255" s="14">
        <f t="shared" si="6"/>
        <v>222804813.48000002</v>
      </c>
      <c r="F255" s="8" t="s">
        <v>4</v>
      </c>
      <c r="G255" s="8" t="s">
        <v>5</v>
      </c>
      <c r="H255" s="154" t="s">
        <v>1368</v>
      </c>
    </row>
    <row r="256" spans="1:9" s="8" customFormat="1">
      <c r="A256" s="13">
        <v>45714</v>
      </c>
      <c r="B256" s="8" t="s">
        <v>868</v>
      </c>
      <c r="C256" s="14">
        <v>1800000</v>
      </c>
      <c r="D256" s="14">
        <v>0</v>
      </c>
      <c r="E256" s="14">
        <f t="shared" si="6"/>
        <v>221004813.48000002</v>
      </c>
      <c r="F256" s="8" t="s">
        <v>4</v>
      </c>
      <c r="G256" s="8" t="s">
        <v>5</v>
      </c>
      <c r="H256" s="154" t="s">
        <v>1368</v>
      </c>
    </row>
    <row r="257" spans="1:8" s="8" customFormat="1">
      <c r="A257" s="13">
        <v>45714</v>
      </c>
      <c r="B257" s="8" t="s">
        <v>869</v>
      </c>
      <c r="C257" s="14">
        <v>500000</v>
      </c>
      <c r="D257" s="14">
        <v>0</v>
      </c>
      <c r="E257" s="14">
        <f t="shared" si="6"/>
        <v>220504813.48000002</v>
      </c>
      <c r="F257" s="8" t="s">
        <v>4</v>
      </c>
      <c r="G257" s="8" t="s">
        <v>5</v>
      </c>
      <c r="H257" s="154" t="s">
        <v>1411</v>
      </c>
    </row>
    <row r="258" spans="1:8" s="8" customFormat="1">
      <c r="A258" s="13">
        <v>45714</v>
      </c>
      <c r="B258" s="8" t="s">
        <v>870</v>
      </c>
      <c r="C258" s="14">
        <v>500000</v>
      </c>
      <c r="D258" s="14">
        <v>0</v>
      </c>
      <c r="E258" s="14">
        <f t="shared" si="6"/>
        <v>220004813.48000002</v>
      </c>
      <c r="F258" s="8" t="s">
        <v>4</v>
      </c>
      <c r="G258" s="8" t="s">
        <v>5</v>
      </c>
      <c r="H258" s="154" t="s">
        <v>1411</v>
      </c>
    </row>
    <row r="259" spans="1:8" s="8" customFormat="1">
      <c r="A259" s="13">
        <v>45714</v>
      </c>
      <c r="B259" s="8" t="s">
        <v>871</v>
      </c>
      <c r="C259" s="14">
        <v>500000</v>
      </c>
      <c r="D259" s="14">
        <v>0</v>
      </c>
      <c r="E259" s="14">
        <f t="shared" si="6"/>
        <v>219504813.48000002</v>
      </c>
      <c r="F259" s="8" t="s">
        <v>4</v>
      </c>
      <c r="G259" s="8" t="s">
        <v>5</v>
      </c>
      <c r="H259" s="154" t="s">
        <v>1368</v>
      </c>
    </row>
    <row r="260" spans="1:8" s="8" customFormat="1">
      <c r="A260" s="13">
        <v>45714</v>
      </c>
      <c r="B260" s="8" t="s">
        <v>872</v>
      </c>
      <c r="C260" s="14">
        <v>500000</v>
      </c>
      <c r="D260" s="14">
        <v>0</v>
      </c>
      <c r="E260" s="14">
        <f t="shared" si="6"/>
        <v>219004813.48000002</v>
      </c>
      <c r="F260" s="8" t="s">
        <v>4</v>
      </c>
      <c r="G260" s="8" t="s">
        <v>5</v>
      </c>
      <c r="H260" s="154" t="s">
        <v>1368</v>
      </c>
    </row>
    <row r="261" spans="1:8" s="8" customFormat="1">
      <c r="A261" s="13">
        <v>45714</v>
      </c>
      <c r="B261" s="8" t="s">
        <v>873</v>
      </c>
      <c r="C261" s="14">
        <v>500000</v>
      </c>
      <c r="D261" s="14">
        <v>0</v>
      </c>
      <c r="E261" s="14">
        <f t="shared" si="6"/>
        <v>218504813.48000002</v>
      </c>
      <c r="F261" s="8" t="s">
        <v>4</v>
      </c>
      <c r="G261" s="8" t="s">
        <v>5</v>
      </c>
      <c r="H261" s="154" t="s">
        <v>1364</v>
      </c>
    </row>
    <row r="262" spans="1:8" s="8" customFormat="1">
      <c r="A262" s="13">
        <v>45714</v>
      </c>
      <c r="B262" s="8" t="s">
        <v>874</v>
      </c>
      <c r="C262" s="14">
        <v>500000</v>
      </c>
      <c r="D262" s="14">
        <v>0</v>
      </c>
      <c r="E262" s="14">
        <f t="shared" si="6"/>
        <v>218004813.48000002</v>
      </c>
      <c r="F262" s="8" t="s">
        <v>4</v>
      </c>
      <c r="G262" s="8" t="s">
        <v>5</v>
      </c>
      <c r="H262" s="154" t="s">
        <v>1364</v>
      </c>
    </row>
    <row r="263" spans="1:8" s="8" customFormat="1">
      <c r="A263" s="13">
        <v>45714</v>
      </c>
      <c r="B263" s="8" t="s">
        <v>875</v>
      </c>
      <c r="C263" s="14">
        <v>5590000</v>
      </c>
      <c r="D263" s="14">
        <v>0</v>
      </c>
      <c r="E263" s="14">
        <f t="shared" si="6"/>
        <v>212414813.48000002</v>
      </c>
      <c r="F263" s="8" t="s">
        <v>4</v>
      </c>
      <c r="G263" s="8" t="s">
        <v>5</v>
      </c>
      <c r="H263" s="154" t="s">
        <v>1368</v>
      </c>
    </row>
    <row r="264" spans="1:8" s="8" customFormat="1">
      <c r="A264" s="13">
        <v>45714</v>
      </c>
      <c r="B264" s="8" t="s">
        <v>876</v>
      </c>
      <c r="C264" s="14">
        <v>18000000</v>
      </c>
      <c r="D264" s="14">
        <v>0</v>
      </c>
      <c r="E264" s="14">
        <f t="shared" si="6"/>
        <v>194414813.48000002</v>
      </c>
      <c r="F264" s="8" t="s">
        <v>4</v>
      </c>
      <c r="G264" s="8" t="s">
        <v>5</v>
      </c>
      <c r="H264" s="154" t="s">
        <v>1368</v>
      </c>
    </row>
    <row r="265" spans="1:8" s="8" customFormat="1">
      <c r="A265" s="13">
        <v>45714</v>
      </c>
      <c r="B265" s="8" t="s">
        <v>877</v>
      </c>
      <c r="C265" s="14">
        <v>5000000</v>
      </c>
      <c r="D265" s="14">
        <v>0</v>
      </c>
      <c r="E265" s="14">
        <f t="shared" si="6"/>
        <v>189414813.48000002</v>
      </c>
      <c r="F265" s="8" t="s">
        <v>4</v>
      </c>
      <c r="G265" s="8" t="s">
        <v>5</v>
      </c>
      <c r="H265" s="154" t="s">
        <v>1364</v>
      </c>
    </row>
    <row r="266" spans="1:8" s="8" customFormat="1">
      <c r="A266" s="13">
        <v>45714</v>
      </c>
      <c r="B266" s="8" t="s">
        <v>878</v>
      </c>
      <c r="C266" s="54">
        <v>14717633</v>
      </c>
      <c r="D266" s="54">
        <v>0</v>
      </c>
      <c r="E266" s="54">
        <f t="shared" si="6"/>
        <v>174697180.48000002</v>
      </c>
      <c r="F266" s="8" t="s">
        <v>6</v>
      </c>
      <c r="G266" s="8" t="s">
        <v>7</v>
      </c>
      <c r="H266" s="40" t="s">
        <v>4611</v>
      </c>
    </row>
    <row r="267" spans="1:8" s="8" customFormat="1">
      <c r="A267" s="13">
        <v>45714</v>
      </c>
      <c r="B267" s="8" t="s">
        <v>879</v>
      </c>
      <c r="C267" s="54">
        <v>5120000</v>
      </c>
      <c r="D267" s="54">
        <v>0</v>
      </c>
      <c r="E267" s="54">
        <f t="shared" si="6"/>
        <v>169577180.48000002</v>
      </c>
      <c r="F267" s="8" t="s">
        <v>6</v>
      </c>
      <c r="G267" s="8" t="s">
        <v>7</v>
      </c>
      <c r="H267" s="40" t="s">
        <v>4611</v>
      </c>
    </row>
    <row r="268" spans="1:8" s="8" customFormat="1">
      <c r="A268" s="13">
        <v>45714</v>
      </c>
      <c r="B268" s="8" t="s">
        <v>880</v>
      </c>
      <c r="C268" s="14">
        <v>990000</v>
      </c>
      <c r="D268" s="14">
        <v>0</v>
      </c>
      <c r="E268" s="14">
        <f t="shared" si="6"/>
        <v>168587180.48000002</v>
      </c>
      <c r="F268" s="8" t="s">
        <v>21</v>
      </c>
      <c r="G268" s="8" t="s">
        <v>187</v>
      </c>
    </row>
    <row r="269" spans="1:8" s="8" customFormat="1">
      <c r="A269" s="13">
        <v>45714</v>
      </c>
      <c r="B269" s="8" t="s">
        <v>5960</v>
      </c>
      <c r="C269" s="54">
        <v>275250</v>
      </c>
      <c r="D269" s="54">
        <v>0</v>
      </c>
      <c r="E269" s="54">
        <f t="shared" si="6"/>
        <v>168311930.48000002</v>
      </c>
      <c r="F269" s="8" t="s">
        <v>190</v>
      </c>
      <c r="G269" s="8" t="s">
        <v>69</v>
      </c>
      <c r="H269" s="8" t="s">
        <v>26</v>
      </c>
    </row>
    <row r="270" spans="1:8" s="8" customFormat="1">
      <c r="A270" s="13">
        <v>45715</v>
      </c>
      <c r="B270" s="8" t="s">
        <v>333</v>
      </c>
      <c r="C270" s="14">
        <v>0</v>
      </c>
      <c r="D270" s="14">
        <v>250000000</v>
      </c>
      <c r="E270" s="14">
        <f t="shared" si="6"/>
        <v>418311930.48000002</v>
      </c>
      <c r="F270" s="8" t="s">
        <v>920</v>
      </c>
      <c r="G270" s="8" t="s">
        <v>4242</v>
      </c>
    </row>
    <row r="271" spans="1:8" s="8" customFormat="1">
      <c r="A271" s="13">
        <v>45715</v>
      </c>
      <c r="B271" s="8" t="s">
        <v>333</v>
      </c>
      <c r="C271" s="14">
        <v>0</v>
      </c>
      <c r="D271" s="14">
        <v>250000000</v>
      </c>
      <c r="E271" s="14">
        <f t="shared" si="6"/>
        <v>668311930.48000002</v>
      </c>
      <c r="F271" s="8" t="s">
        <v>920</v>
      </c>
      <c r="G271" s="8" t="s">
        <v>4242</v>
      </c>
    </row>
    <row r="272" spans="1:8" s="8" customFormat="1">
      <c r="A272" s="13">
        <v>45715</v>
      </c>
      <c r="B272" s="8" t="s">
        <v>881</v>
      </c>
      <c r="C272" s="14">
        <v>0</v>
      </c>
      <c r="D272" s="14">
        <v>4000000</v>
      </c>
      <c r="E272" s="14">
        <f t="shared" si="6"/>
        <v>672311930.48000002</v>
      </c>
      <c r="F272" s="8" t="s">
        <v>10</v>
      </c>
      <c r="G272" s="8" t="s">
        <v>76</v>
      </c>
      <c r="H272" s="8" t="s">
        <v>449</v>
      </c>
    </row>
    <row r="273" spans="1:9" s="8" customFormat="1">
      <c r="A273" s="13">
        <v>45716</v>
      </c>
      <c r="B273" s="8" t="s">
        <v>334</v>
      </c>
      <c r="C273" s="14">
        <v>30000</v>
      </c>
      <c r="D273" s="14">
        <v>0</v>
      </c>
      <c r="E273" s="14">
        <f t="shared" si="6"/>
        <v>672281930.48000002</v>
      </c>
      <c r="F273" s="8" t="s">
        <v>19</v>
      </c>
      <c r="G273" s="8" t="s">
        <v>189</v>
      </c>
    </row>
    <row r="274" spans="1:9" s="8" customFormat="1">
      <c r="A274" s="13">
        <v>45720</v>
      </c>
      <c r="B274" s="8" t="s">
        <v>922</v>
      </c>
      <c r="C274" s="14">
        <v>4500000</v>
      </c>
      <c r="D274" s="14">
        <v>0</v>
      </c>
      <c r="E274" s="14">
        <f t="shared" si="6"/>
        <v>667781930.48000002</v>
      </c>
      <c r="F274" s="8" t="s">
        <v>4</v>
      </c>
      <c r="G274" s="8" t="s">
        <v>5</v>
      </c>
      <c r="H274" s="154" t="s">
        <v>1368</v>
      </c>
    </row>
    <row r="275" spans="1:9" s="8" customFormat="1">
      <c r="A275" s="13">
        <v>45720</v>
      </c>
      <c r="B275" s="8" t="s">
        <v>7044</v>
      </c>
      <c r="C275" s="54">
        <v>21550000</v>
      </c>
      <c r="D275" s="54">
        <v>0</v>
      </c>
      <c r="E275" s="54">
        <f t="shared" si="6"/>
        <v>646231930.48000002</v>
      </c>
      <c r="F275" s="8" t="s">
        <v>4</v>
      </c>
      <c r="G275" s="8" t="s">
        <v>5</v>
      </c>
      <c r="H275" s="154" t="s">
        <v>1368</v>
      </c>
    </row>
    <row r="276" spans="1:9" s="8" customFormat="1">
      <c r="A276" s="13">
        <v>45720</v>
      </c>
      <c r="B276" s="8" t="s">
        <v>7044</v>
      </c>
      <c r="C276" s="54">
        <v>2370500</v>
      </c>
      <c r="D276" s="54">
        <v>0</v>
      </c>
      <c r="E276" s="54">
        <f t="shared" si="6"/>
        <v>643861430.48000002</v>
      </c>
      <c r="F276" s="8" t="s">
        <v>920</v>
      </c>
      <c r="G276" s="8" t="s">
        <v>7855</v>
      </c>
      <c r="H276" s="8" t="s">
        <v>7032</v>
      </c>
      <c r="I276" s="8" t="s">
        <v>4567</v>
      </c>
    </row>
    <row r="277" spans="1:9" s="8" customFormat="1">
      <c r="A277" s="13">
        <v>45720</v>
      </c>
      <c r="B277" s="8" t="s">
        <v>7044</v>
      </c>
      <c r="C277" s="54">
        <v>0</v>
      </c>
      <c r="D277" s="54">
        <f>C275+C276-23489500</f>
        <v>431000</v>
      </c>
      <c r="E277" s="54">
        <f t="shared" si="6"/>
        <v>644292430.48000002</v>
      </c>
      <c r="F277" s="8" t="s">
        <v>920</v>
      </c>
      <c r="G277" s="8" t="s">
        <v>4242</v>
      </c>
      <c r="H277" s="8" t="s">
        <v>88</v>
      </c>
      <c r="I277" s="8" t="s">
        <v>4567</v>
      </c>
    </row>
    <row r="278" spans="1:9" s="8" customFormat="1">
      <c r="A278" s="13">
        <v>45720</v>
      </c>
      <c r="B278" s="8" t="s">
        <v>923</v>
      </c>
      <c r="C278" s="14">
        <v>4500000</v>
      </c>
      <c r="D278" s="14">
        <v>0</v>
      </c>
      <c r="E278" s="14">
        <f t="shared" si="6"/>
        <v>639792430.48000002</v>
      </c>
      <c r="F278" s="8" t="s">
        <v>4</v>
      </c>
      <c r="G278" s="8" t="s">
        <v>5</v>
      </c>
      <c r="H278" s="154" t="s">
        <v>1368</v>
      </c>
    </row>
    <row r="279" spans="1:9" s="8" customFormat="1">
      <c r="A279" s="13">
        <v>45720</v>
      </c>
      <c r="B279" s="8" t="s">
        <v>924</v>
      </c>
      <c r="C279" s="14">
        <v>1050000</v>
      </c>
      <c r="D279" s="14">
        <v>0</v>
      </c>
      <c r="E279" s="14">
        <f t="shared" si="6"/>
        <v>638742430.48000002</v>
      </c>
      <c r="F279" s="8" t="s">
        <v>4</v>
      </c>
      <c r="G279" s="8" t="s">
        <v>5</v>
      </c>
      <c r="H279" s="154" t="s">
        <v>1445</v>
      </c>
    </row>
    <row r="280" spans="1:9" s="8" customFormat="1">
      <c r="A280" s="13">
        <v>45720</v>
      </c>
      <c r="B280" s="8" t="s">
        <v>925</v>
      </c>
      <c r="C280" s="14">
        <v>1000000</v>
      </c>
      <c r="D280" s="14">
        <v>0</v>
      </c>
      <c r="E280" s="14">
        <f t="shared" si="6"/>
        <v>637742430.48000002</v>
      </c>
      <c r="F280" s="8" t="s">
        <v>4</v>
      </c>
      <c r="G280" s="8" t="s">
        <v>5</v>
      </c>
      <c r="H280" s="40" t="s">
        <v>1622</v>
      </c>
    </row>
    <row r="281" spans="1:9" s="8" customFormat="1">
      <c r="A281" s="13">
        <v>45720</v>
      </c>
      <c r="B281" s="8" t="s">
        <v>926</v>
      </c>
      <c r="C281" s="14">
        <v>180000</v>
      </c>
      <c r="D281" s="14">
        <v>0</v>
      </c>
      <c r="E281" s="14">
        <f t="shared" si="6"/>
        <v>637562430.48000002</v>
      </c>
      <c r="F281" s="8" t="s">
        <v>4</v>
      </c>
      <c r="G281" s="8" t="s">
        <v>5</v>
      </c>
      <c r="H281" s="154" t="s">
        <v>1364</v>
      </c>
    </row>
    <row r="282" spans="1:9" s="8" customFormat="1">
      <c r="A282" s="13">
        <v>45720</v>
      </c>
      <c r="B282" s="8" t="s">
        <v>927</v>
      </c>
      <c r="C282" s="14">
        <v>25000000</v>
      </c>
      <c r="D282" s="14">
        <v>0</v>
      </c>
      <c r="E282" s="14">
        <f t="shared" si="6"/>
        <v>612562430.48000002</v>
      </c>
      <c r="F282" s="8" t="s">
        <v>4</v>
      </c>
      <c r="G282" s="8" t="s">
        <v>5</v>
      </c>
      <c r="H282" s="154" t="s">
        <v>1368</v>
      </c>
    </row>
    <row r="283" spans="1:9" s="8" customFormat="1">
      <c r="A283" s="13">
        <v>45720</v>
      </c>
      <c r="B283" s="8" t="s">
        <v>928</v>
      </c>
      <c r="C283" s="14">
        <v>5400000</v>
      </c>
      <c r="D283" s="14">
        <v>0</v>
      </c>
      <c r="E283" s="14">
        <f t="shared" si="6"/>
        <v>607162430.48000002</v>
      </c>
      <c r="F283" s="8" t="s">
        <v>4</v>
      </c>
      <c r="G283" s="8" t="s">
        <v>5</v>
      </c>
      <c r="H283" s="154" t="s">
        <v>1368</v>
      </c>
    </row>
    <row r="284" spans="1:9" s="8" customFormat="1">
      <c r="A284" s="13">
        <v>45720</v>
      </c>
      <c r="B284" s="8" t="s">
        <v>929</v>
      </c>
      <c r="C284" s="14">
        <v>4500000</v>
      </c>
      <c r="D284" s="14">
        <v>0</v>
      </c>
      <c r="E284" s="14">
        <f t="shared" si="6"/>
        <v>602662430.48000002</v>
      </c>
      <c r="F284" s="8" t="s">
        <v>4</v>
      </c>
      <c r="G284" s="8" t="s">
        <v>5</v>
      </c>
      <c r="H284" s="154" t="s">
        <v>1368</v>
      </c>
    </row>
    <row r="285" spans="1:9" s="8" customFormat="1">
      <c r="A285" s="13">
        <v>45720</v>
      </c>
      <c r="B285" s="8" t="s">
        <v>930</v>
      </c>
      <c r="C285" s="14">
        <v>3500000</v>
      </c>
      <c r="D285" s="14">
        <v>0</v>
      </c>
      <c r="E285" s="14">
        <f t="shared" si="6"/>
        <v>599162430.48000002</v>
      </c>
      <c r="F285" s="8" t="s">
        <v>4</v>
      </c>
      <c r="G285" s="8" t="s">
        <v>5</v>
      </c>
      <c r="H285" s="154" t="s">
        <v>1368</v>
      </c>
    </row>
    <row r="286" spans="1:9" s="8" customFormat="1">
      <c r="A286" s="13">
        <v>45720</v>
      </c>
      <c r="B286" s="8" t="s">
        <v>931</v>
      </c>
      <c r="C286" s="14">
        <v>18000000</v>
      </c>
      <c r="D286" s="14">
        <v>0</v>
      </c>
      <c r="E286" s="14">
        <f t="shared" si="6"/>
        <v>581162430.48000002</v>
      </c>
      <c r="F286" s="8" t="s">
        <v>4</v>
      </c>
      <c r="G286" s="8" t="s">
        <v>5</v>
      </c>
      <c r="H286" s="154" t="s">
        <v>1364</v>
      </c>
    </row>
    <row r="287" spans="1:9" s="8" customFormat="1">
      <c r="A287" s="13">
        <v>45720</v>
      </c>
      <c r="B287" s="8" t="s">
        <v>932</v>
      </c>
      <c r="C287" s="14">
        <v>5400000</v>
      </c>
      <c r="D287" s="14">
        <v>0</v>
      </c>
      <c r="E287" s="14">
        <f t="shared" ref="E287:E349" si="7">E286-C287+D287</f>
        <v>575762430.48000002</v>
      </c>
      <c r="F287" s="8" t="s">
        <v>4</v>
      </c>
      <c r="G287" s="8" t="s">
        <v>5</v>
      </c>
      <c r="H287" s="154" t="s">
        <v>1364</v>
      </c>
    </row>
    <row r="288" spans="1:9" s="8" customFormat="1">
      <c r="A288" s="13">
        <v>45720</v>
      </c>
      <c r="B288" s="8" t="s">
        <v>933</v>
      </c>
      <c r="C288" s="14">
        <v>10000000</v>
      </c>
      <c r="D288" s="14">
        <v>0</v>
      </c>
      <c r="E288" s="14">
        <f t="shared" si="7"/>
        <v>565762430.48000002</v>
      </c>
      <c r="F288" s="8" t="s">
        <v>4</v>
      </c>
      <c r="G288" s="8" t="s">
        <v>5</v>
      </c>
      <c r="H288" s="154" t="s">
        <v>1364</v>
      </c>
    </row>
    <row r="289" spans="1:9" s="8" customFormat="1">
      <c r="A289" s="13">
        <v>45720</v>
      </c>
      <c r="B289" s="8" t="s">
        <v>934</v>
      </c>
      <c r="C289" s="14">
        <v>18000000</v>
      </c>
      <c r="D289" s="14">
        <v>0</v>
      </c>
      <c r="E289" s="14">
        <f t="shared" si="7"/>
        <v>547762430.48000002</v>
      </c>
      <c r="F289" s="8" t="s">
        <v>4</v>
      </c>
      <c r="G289" s="8" t="s">
        <v>5</v>
      </c>
      <c r="H289" s="154" t="s">
        <v>1364</v>
      </c>
    </row>
    <row r="290" spans="1:9" s="8" customFormat="1">
      <c r="A290" s="13">
        <v>45720</v>
      </c>
      <c r="B290" s="8" t="s">
        <v>935</v>
      </c>
      <c r="C290" s="14">
        <v>25800000</v>
      </c>
      <c r="D290" s="14">
        <v>0</v>
      </c>
      <c r="E290" s="14">
        <f t="shared" si="7"/>
        <v>521962430.48000002</v>
      </c>
      <c r="F290" s="8" t="s">
        <v>4</v>
      </c>
      <c r="G290" s="8" t="s">
        <v>5</v>
      </c>
      <c r="H290" s="154" t="s">
        <v>1364</v>
      </c>
    </row>
    <row r="291" spans="1:9" s="8" customFormat="1">
      <c r="A291" s="13">
        <v>45720</v>
      </c>
      <c r="B291" s="8" t="s">
        <v>936</v>
      </c>
      <c r="C291" s="14">
        <v>7000000</v>
      </c>
      <c r="D291" s="14">
        <v>0</v>
      </c>
      <c r="E291" s="14">
        <f t="shared" si="7"/>
        <v>514962430.48000002</v>
      </c>
      <c r="F291" s="8" t="s">
        <v>4</v>
      </c>
      <c r="G291" s="8" t="s">
        <v>5</v>
      </c>
      <c r="H291" s="154" t="s">
        <v>1364</v>
      </c>
    </row>
    <row r="292" spans="1:9" s="8" customFormat="1">
      <c r="A292" s="13">
        <v>45720</v>
      </c>
      <c r="B292" s="8" t="s">
        <v>937</v>
      </c>
      <c r="C292" s="14">
        <v>103006800</v>
      </c>
      <c r="D292" s="14">
        <v>0</v>
      </c>
      <c r="E292" s="14">
        <f t="shared" si="7"/>
        <v>411955630.48000002</v>
      </c>
      <c r="F292" s="8" t="s">
        <v>4</v>
      </c>
      <c r="G292" s="8" t="s">
        <v>5</v>
      </c>
      <c r="H292" s="8" t="s">
        <v>1583</v>
      </c>
    </row>
    <row r="293" spans="1:9" s="8" customFormat="1">
      <c r="A293" s="13">
        <v>45720</v>
      </c>
      <c r="B293" s="8" t="s">
        <v>7051</v>
      </c>
      <c r="C293" s="54">
        <v>193000000</v>
      </c>
      <c r="D293" s="54">
        <v>0</v>
      </c>
      <c r="E293" s="54">
        <f t="shared" si="7"/>
        <v>218955630.48000002</v>
      </c>
      <c r="F293" s="8" t="s">
        <v>4</v>
      </c>
      <c r="G293" s="8" t="s">
        <v>5</v>
      </c>
      <c r="H293" s="43" t="s">
        <v>1352</v>
      </c>
    </row>
    <row r="294" spans="1:9" s="8" customFormat="1">
      <c r="A294" s="13">
        <v>45720</v>
      </c>
      <c r="B294" s="8" t="s">
        <v>7051</v>
      </c>
      <c r="C294" s="54">
        <v>21230000</v>
      </c>
      <c r="D294" s="54">
        <v>0</v>
      </c>
      <c r="E294" s="54">
        <f t="shared" si="7"/>
        <v>197725630.48000002</v>
      </c>
      <c r="F294" s="8" t="s">
        <v>920</v>
      </c>
      <c r="G294" s="8" t="s">
        <v>7855</v>
      </c>
      <c r="H294" s="8" t="s">
        <v>7032</v>
      </c>
      <c r="I294" s="8" t="s">
        <v>7052</v>
      </c>
    </row>
    <row r="295" spans="1:9" s="8" customFormat="1">
      <c r="A295" s="13">
        <v>45720</v>
      </c>
      <c r="B295" s="8" t="s">
        <v>7051</v>
      </c>
      <c r="C295" s="54">
        <v>0</v>
      </c>
      <c r="D295" s="54">
        <f>C293+C294-210370000</f>
        <v>3860000</v>
      </c>
      <c r="E295" s="54">
        <f t="shared" si="7"/>
        <v>201585630.48000002</v>
      </c>
      <c r="F295" s="8" t="s">
        <v>920</v>
      </c>
      <c r="G295" s="8" t="s">
        <v>4242</v>
      </c>
      <c r="H295" s="8" t="s">
        <v>88</v>
      </c>
      <c r="I295" s="8" t="s">
        <v>7052</v>
      </c>
    </row>
    <row r="296" spans="1:9" s="8" customFormat="1">
      <c r="A296" s="13">
        <v>45720</v>
      </c>
      <c r="B296" s="8" t="s">
        <v>938</v>
      </c>
      <c r="C296" s="14">
        <v>4500000</v>
      </c>
      <c r="D296" s="14">
        <v>0</v>
      </c>
      <c r="E296" s="14">
        <f t="shared" si="7"/>
        <v>197085630.48000002</v>
      </c>
      <c r="F296" s="8" t="s">
        <v>4</v>
      </c>
      <c r="G296" s="8" t="s">
        <v>5</v>
      </c>
      <c r="H296" s="8" t="s">
        <v>2473</v>
      </c>
    </row>
    <row r="297" spans="1:9" s="8" customFormat="1">
      <c r="A297" s="13">
        <v>45721</v>
      </c>
      <c r="B297" s="8" t="s">
        <v>333</v>
      </c>
      <c r="C297" s="14">
        <v>0</v>
      </c>
      <c r="D297" s="14">
        <v>250000000</v>
      </c>
      <c r="E297" s="14">
        <f t="shared" si="7"/>
        <v>447085630.48000002</v>
      </c>
      <c r="F297" s="8" t="s">
        <v>920</v>
      </c>
      <c r="G297" t="s">
        <v>4243</v>
      </c>
    </row>
    <row r="298" spans="1:9" s="8" customFormat="1">
      <c r="A298" s="13">
        <v>45721</v>
      </c>
      <c r="B298" s="8" t="s">
        <v>939</v>
      </c>
      <c r="C298" s="14">
        <v>902500</v>
      </c>
      <c r="D298" s="14">
        <v>0</v>
      </c>
      <c r="E298" s="14">
        <f t="shared" si="7"/>
        <v>446183130.48000002</v>
      </c>
      <c r="F298" s="8" t="s">
        <v>920</v>
      </c>
      <c r="G298" s="8" t="s">
        <v>400</v>
      </c>
      <c r="H298" s="40" t="s">
        <v>5131</v>
      </c>
    </row>
    <row r="299" spans="1:9" s="8" customFormat="1">
      <c r="A299" s="13">
        <v>45721</v>
      </c>
      <c r="B299" s="8" t="s">
        <v>940</v>
      </c>
      <c r="C299" s="14">
        <v>10000</v>
      </c>
      <c r="D299" s="14">
        <v>0</v>
      </c>
      <c r="E299" s="14">
        <f t="shared" si="7"/>
        <v>446173130.48000002</v>
      </c>
      <c r="F299" s="8" t="s">
        <v>920</v>
      </c>
      <c r="G299" s="8" t="s">
        <v>400</v>
      </c>
      <c r="H299" s="40" t="s">
        <v>4873</v>
      </c>
    </row>
    <row r="300" spans="1:9" s="8" customFormat="1">
      <c r="A300" s="13">
        <v>45723</v>
      </c>
      <c r="B300" s="8" t="s">
        <v>941</v>
      </c>
      <c r="C300" s="14">
        <v>0</v>
      </c>
      <c r="D300" s="14">
        <v>19600000</v>
      </c>
      <c r="E300" s="14">
        <f t="shared" si="7"/>
        <v>465773130.48000002</v>
      </c>
      <c r="F300" s="8" t="s">
        <v>10</v>
      </c>
      <c r="G300" s="8" t="s">
        <v>18</v>
      </c>
      <c r="H300" s="154" t="s">
        <v>437</v>
      </c>
      <c r="I300" s="154" t="s">
        <v>2391</v>
      </c>
    </row>
    <row r="301" spans="1:9" s="8" customFormat="1">
      <c r="A301" s="13">
        <v>45727</v>
      </c>
      <c r="B301" s="8" t="s">
        <v>942</v>
      </c>
      <c r="C301" s="14">
        <v>0</v>
      </c>
      <c r="D301" s="14">
        <v>5529000</v>
      </c>
      <c r="E301" s="14">
        <f t="shared" si="7"/>
        <v>471302130.48000002</v>
      </c>
      <c r="F301" s="8" t="s">
        <v>920</v>
      </c>
      <c r="G301" s="8" t="s">
        <v>464</v>
      </c>
      <c r="H301" s="40" t="s">
        <v>4973</v>
      </c>
    </row>
    <row r="302" spans="1:9" s="8" customFormat="1">
      <c r="A302" s="13">
        <v>45727</v>
      </c>
      <c r="B302" s="8" t="s">
        <v>943</v>
      </c>
      <c r="C302" s="14">
        <v>0</v>
      </c>
      <c r="D302" s="14">
        <v>38160</v>
      </c>
      <c r="E302" s="14">
        <f t="shared" si="7"/>
        <v>471340290.48000002</v>
      </c>
      <c r="F302" s="8" t="s">
        <v>920</v>
      </c>
      <c r="G302" s="8" t="s">
        <v>464</v>
      </c>
      <c r="H302" s="40" t="s">
        <v>4973</v>
      </c>
    </row>
    <row r="303" spans="1:9" s="8" customFormat="1">
      <c r="A303" s="13">
        <v>45727</v>
      </c>
      <c r="B303" s="8" t="s">
        <v>5387</v>
      </c>
      <c r="C303" s="14">
        <v>105880000</v>
      </c>
      <c r="D303" s="14">
        <v>0</v>
      </c>
      <c r="E303" s="14">
        <f t="shared" si="7"/>
        <v>365460290.48000002</v>
      </c>
      <c r="F303" s="8" t="s">
        <v>4</v>
      </c>
      <c r="G303" s="8" t="s">
        <v>5</v>
      </c>
      <c r="H303" s="40" t="s">
        <v>1378</v>
      </c>
    </row>
    <row r="304" spans="1:9" s="8" customFormat="1">
      <c r="A304" s="13">
        <v>45727</v>
      </c>
      <c r="B304" s="8" t="s">
        <v>1213</v>
      </c>
      <c r="C304" s="14">
        <v>475000</v>
      </c>
      <c r="D304" s="14">
        <v>0</v>
      </c>
      <c r="E304" s="14">
        <f t="shared" si="7"/>
        <v>364985290.48000002</v>
      </c>
      <c r="F304" s="8" t="s">
        <v>4</v>
      </c>
      <c r="G304" s="8" t="s">
        <v>5</v>
      </c>
      <c r="H304" s="154" t="s">
        <v>1445</v>
      </c>
    </row>
    <row r="305" spans="1:8" s="8" customFormat="1">
      <c r="A305" s="13">
        <v>45727</v>
      </c>
      <c r="B305" s="8" t="s">
        <v>944</v>
      </c>
      <c r="C305" s="14">
        <v>11486045</v>
      </c>
      <c r="D305" s="14">
        <v>0</v>
      </c>
      <c r="E305" s="14">
        <f t="shared" si="7"/>
        <v>353499245.48000002</v>
      </c>
      <c r="F305" s="8" t="s">
        <v>4</v>
      </c>
      <c r="G305" s="8" t="s">
        <v>5</v>
      </c>
      <c r="H305" s="154" t="s">
        <v>1445</v>
      </c>
    </row>
    <row r="306" spans="1:8" s="8" customFormat="1">
      <c r="A306" s="13">
        <v>45727</v>
      </c>
      <c r="B306" s="8" t="s">
        <v>945</v>
      </c>
      <c r="C306" s="14">
        <v>4147500</v>
      </c>
      <c r="D306" s="14">
        <v>0</v>
      </c>
      <c r="E306" s="14">
        <f t="shared" si="7"/>
        <v>349351745.48000002</v>
      </c>
      <c r="F306" s="8" t="s">
        <v>4</v>
      </c>
      <c r="G306" s="8" t="s">
        <v>5</v>
      </c>
      <c r="H306" s="154" t="s">
        <v>1445</v>
      </c>
    </row>
    <row r="307" spans="1:8" s="8" customFormat="1">
      <c r="A307" s="13">
        <v>45727</v>
      </c>
      <c r="B307" s="8" t="s">
        <v>946</v>
      </c>
      <c r="C307" s="14">
        <v>27725000</v>
      </c>
      <c r="D307" s="14">
        <v>0</v>
      </c>
      <c r="E307" s="14">
        <f t="shared" si="7"/>
        <v>321626745.48000002</v>
      </c>
      <c r="F307" s="8" t="s">
        <v>4</v>
      </c>
      <c r="G307" s="8" t="s">
        <v>5</v>
      </c>
      <c r="H307" s="154" t="s">
        <v>1364</v>
      </c>
    </row>
    <row r="308" spans="1:8" s="8" customFormat="1">
      <c r="A308" s="13">
        <v>45727</v>
      </c>
      <c r="B308" s="8" t="s">
        <v>947</v>
      </c>
      <c r="C308" s="14">
        <v>15000000</v>
      </c>
      <c r="D308" s="14">
        <v>0</v>
      </c>
      <c r="E308" s="14">
        <f t="shared" si="7"/>
        <v>306626745.48000002</v>
      </c>
      <c r="F308" s="8" t="s">
        <v>4</v>
      </c>
      <c r="G308" s="8" t="s">
        <v>5</v>
      </c>
      <c r="H308" s="154" t="s">
        <v>1368</v>
      </c>
    </row>
    <row r="309" spans="1:8" s="8" customFormat="1">
      <c r="A309" s="13">
        <v>45727</v>
      </c>
      <c r="B309" s="8" t="s">
        <v>948</v>
      </c>
      <c r="C309" s="14">
        <v>66936</v>
      </c>
      <c r="D309" s="14">
        <v>0</v>
      </c>
      <c r="E309" s="14">
        <f t="shared" si="7"/>
        <v>306559809.48000002</v>
      </c>
      <c r="F309" s="8" t="s">
        <v>8</v>
      </c>
      <c r="G309" s="8" t="s">
        <v>31</v>
      </c>
    </row>
    <row r="310" spans="1:8" s="8" customFormat="1">
      <c r="A310" s="13">
        <v>45727</v>
      </c>
      <c r="B310" s="8" t="s">
        <v>949</v>
      </c>
      <c r="C310" s="14">
        <v>86988</v>
      </c>
      <c r="D310" s="14">
        <v>0</v>
      </c>
      <c r="E310" s="14">
        <f t="shared" si="7"/>
        <v>306472821.48000002</v>
      </c>
      <c r="F310" s="8" t="s">
        <v>8</v>
      </c>
      <c r="G310" s="8" t="s">
        <v>31</v>
      </c>
    </row>
    <row r="311" spans="1:8" s="8" customFormat="1">
      <c r="A311" s="13">
        <v>45727</v>
      </c>
      <c r="B311" s="8" t="s">
        <v>950</v>
      </c>
      <c r="C311" s="14">
        <v>66936</v>
      </c>
      <c r="D311" s="14">
        <v>0</v>
      </c>
      <c r="E311" s="14">
        <f t="shared" si="7"/>
        <v>306405885.48000002</v>
      </c>
      <c r="F311" s="8" t="s">
        <v>8</v>
      </c>
      <c r="G311" s="8" t="s">
        <v>31</v>
      </c>
    </row>
    <row r="312" spans="1:8" s="8" customFormat="1">
      <c r="A312" s="13">
        <v>45727</v>
      </c>
      <c r="B312" s="8" t="s">
        <v>951</v>
      </c>
      <c r="C312" s="14">
        <v>66936</v>
      </c>
      <c r="D312" s="14">
        <v>0</v>
      </c>
      <c r="E312" s="14">
        <f t="shared" si="7"/>
        <v>306338949.48000002</v>
      </c>
      <c r="F312" s="8" t="s">
        <v>8</v>
      </c>
      <c r="G312" s="8" t="s">
        <v>31</v>
      </c>
    </row>
    <row r="313" spans="1:8" s="8" customFormat="1">
      <c r="A313" s="13">
        <v>45727</v>
      </c>
      <c r="B313" s="8" t="s">
        <v>952</v>
      </c>
      <c r="C313" s="14">
        <v>66936</v>
      </c>
      <c r="D313" s="14">
        <v>0</v>
      </c>
      <c r="E313" s="14">
        <f t="shared" si="7"/>
        <v>306272013.48000002</v>
      </c>
      <c r="F313" s="8" t="s">
        <v>8</v>
      </c>
      <c r="G313" s="8" t="s">
        <v>31</v>
      </c>
    </row>
    <row r="314" spans="1:8" s="8" customFormat="1">
      <c r="A314" s="13">
        <v>45727</v>
      </c>
      <c r="B314" s="8" t="s">
        <v>953</v>
      </c>
      <c r="C314" s="14">
        <v>66936</v>
      </c>
      <c r="D314" s="14">
        <v>0</v>
      </c>
      <c r="E314" s="14">
        <f t="shared" si="7"/>
        <v>306205077.48000002</v>
      </c>
      <c r="F314" s="8" t="s">
        <v>8</v>
      </c>
      <c r="G314" s="8" t="s">
        <v>31</v>
      </c>
    </row>
    <row r="315" spans="1:8" s="8" customFormat="1">
      <c r="A315" s="13">
        <v>45727</v>
      </c>
      <c r="B315" s="8" t="s">
        <v>954</v>
      </c>
      <c r="C315" s="14">
        <v>66936</v>
      </c>
      <c r="D315" s="14">
        <v>0</v>
      </c>
      <c r="E315" s="14">
        <f t="shared" si="7"/>
        <v>306138141.48000002</v>
      </c>
      <c r="F315" s="8" t="s">
        <v>8</v>
      </c>
      <c r="G315" s="8" t="s">
        <v>31</v>
      </c>
    </row>
    <row r="316" spans="1:8" s="8" customFormat="1">
      <c r="A316" s="13">
        <v>45728</v>
      </c>
      <c r="B316" s="8" t="s">
        <v>955</v>
      </c>
      <c r="C316" s="14">
        <v>14000</v>
      </c>
      <c r="D316" s="14">
        <v>0</v>
      </c>
      <c r="E316" s="14">
        <f t="shared" si="7"/>
        <v>306124141.48000002</v>
      </c>
      <c r="F316" s="8" t="s">
        <v>920</v>
      </c>
      <c r="G316" s="8" t="s">
        <v>464</v>
      </c>
      <c r="H316" s="40" t="s">
        <v>5193</v>
      </c>
    </row>
    <row r="317" spans="1:8" s="8" customFormat="1">
      <c r="A317" s="13">
        <v>45729</v>
      </c>
      <c r="B317" s="8" t="s">
        <v>956</v>
      </c>
      <c r="C317" s="14">
        <v>250000000</v>
      </c>
      <c r="D317" s="14">
        <v>0</v>
      </c>
      <c r="E317" s="14">
        <f t="shared" si="7"/>
        <v>56124141.480000019</v>
      </c>
      <c r="F317" s="8" t="s">
        <v>920</v>
      </c>
      <c r="G317" s="8" t="s">
        <v>371</v>
      </c>
    </row>
    <row r="318" spans="1:8" s="8" customFormat="1">
      <c r="A318" s="13">
        <v>45729</v>
      </c>
      <c r="B318" s="8" t="s">
        <v>333</v>
      </c>
      <c r="C318" s="14">
        <v>0</v>
      </c>
      <c r="D318" s="14">
        <v>250000000</v>
      </c>
      <c r="E318" s="14">
        <f t="shared" si="7"/>
        <v>306124141.48000002</v>
      </c>
      <c r="F318" s="8" t="s">
        <v>920</v>
      </c>
      <c r="G318" s="8" t="s">
        <v>4242</v>
      </c>
    </row>
    <row r="319" spans="1:8" s="8" customFormat="1">
      <c r="A319" s="13">
        <v>45729</v>
      </c>
      <c r="B319" s="8" t="s">
        <v>333</v>
      </c>
      <c r="C319" s="14">
        <v>0</v>
      </c>
      <c r="D319" s="14">
        <v>250000000</v>
      </c>
      <c r="E319" s="14">
        <f t="shared" si="7"/>
        <v>556124141.48000002</v>
      </c>
      <c r="F319" s="8" t="s">
        <v>920</v>
      </c>
      <c r="G319" s="8" t="s">
        <v>4242</v>
      </c>
    </row>
    <row r="320" spans="1:8" s="8" customFormat="1">
      <c r="A320" s="13">
        <v>45729</v>
      </c>
      <c r="B320" s="8" t="s">
        <v>957</v>
      </c>
      <c r="C320" s="14">
        <v>150000000</v>
      </c>
      <c r="D320" s="14">
        <v>0</v>
      </c>
      <c r="E320" s="14">
        <f t="shared" si="7"/>
        <v>406124141.48000002</v>
      </c>
      <c r="F320" s="8" t="s">
        <v>920</v>
      </c>
      <c r="G320" s="8" t="s">
        <v>371</v>
      </c>
    </row>
    <row r="321" spans="1:9" s="8" customFormat="1">
      <c r="A321" s="13">
        <v>45730</v>
      </c>
      <c r="B321" s="8" t="s">
        <v>333</v>
      </c>
      <c r="C321" s="14">
        <v>0</v>
      </c>
      <c r="D321" s="14">
        <v>250000000</v>
      </c>
      <c r="E321" s="14">
        <f t="shared" si="7"/>
        <v>656124141.48000002</v>
      </c>
      <c r="F321" s="8" t="s">
        <v>920</v>
      </c>
      <c r="G321" t="s">
        <v>4243</v>
      </c>
    </row>
    <row r="322" spans="1:9" s="8" customFormat="1">
      <c r="A322" s="13">
        <v>45730</v>
      </c>
      <c r="B322" s="8" t="s">
        <v>333</v>
      </c>
      <c r="C322" s="14">
        <v>0</v>
      </c>
      <c r="D322" s="14">
        <v>250000000</v>
      </c>
      <c r="E322" s="14">
        <f t="shared" si="7"/>
        <v>906124141.48000002</v>
      </c>
      <c r="F322" s="8" t="s">
        <v>920</v>
      </c>
      <c r="G322" t="s">
        <v>4243</v>
      </c>
    </row>
    <row r="323" spans="1:9" s="8" customFormat="1">
      <c r="A323" s="13">
        <v>45730</v>
      </c>
      <c r="B323" s="8" t="s">
        <v>958</v>
      </c>
      <c r="C323" s="14">
        <v>240000000</v>
      </c>
      <c r="D323" s="14">
        <v>0</v>
      </c>
      <c r="E323" s="14">
        <f t="shared" si="7"/>
        <v>666124141.48000002</v>
      </c>
      <c r="F323" s="8" t="s">
        <v>1211</v>
      </c>
      <c r="G323" s="8" t="s">
        <v>235</v>
      </c>
    </row>
    <row r="324" spans="1:9" s="8" customFormat="1">
      <c r="A324" s="13">
        <v>45730</v>
      </c>
      <c r="B324" s="8" t="s">
        <v>959</v>
      </c>
      <c r="C324" s="14">
        <v>240000000</v>
      </c>
      <c r="D324" s="14">
        <v>0</v>
      </c>
      <c r="E324" s="14">
        <f t="shared" si="7"/>
        <v>426124141.48000002</v>
      </c>
      <c r="F324" s="8" t="s">
        <v>1211</v>
      </c>
      <c r="G324" s="8" t="s">
        <v>235</v>
      </c>
    </row>
    <row r="325" spans="1:9" s="8" customFormat="1">
      <c r="A325" s="13">
        <v>45730</v>
      </c>
      <c r="B325" s="8" t="s">
        <v>960</v>
      </c>
      <c r="C325" s="14">
        <v>2500</v>
      </c>
      <c r="D325" s="14">
        <v>0</v>
      </c>
      <c r="E325" s="14">
        <f t="shared" si="7"/>
        <v>426121641.48000002</v>
      </c>
      <c r="F325" s="8" t="s">
        <v>19</v>
      </c>
      <c r="G325" s="8" t="s">
        <v>189</v>
      </c>
    </row>
    <row r="326" spans="1:9" s="8" customFormat="1">
      <c r="A326" s="13">
        <v>45730</v>
      </c>
      <c r="B326" s="8" t="s">
        <v>961</v>
      </c>
      <c r="C326" s="14">
        <v>120000000</v>
      </c>
      <c r="D326" s="14">
        <v>0</v>
      </c>
      <c r="E326" s="14">
        <f t="shared" si="7"/>
        <v>306121641.48000002</v>
      </c>
      <c r="F326" s="8" t="s">
        <v>1211</v>
      </c>
      <c r="G326" s="8" t="s">
        <v>235</v>
      </c>
    </row>
    <row r="327" spans="1:9" s="8" customFormat="1">
      <c r="A327" s="13">
        <v>45730</v>
      </c>
      <c r="B327" s="8" t="s">
        <v>7045</v>
      </c>
      <c r="C327" s="54">
        <v>675676</v>
      </c>
      <c r="D327" s="54">
        <v>0</v>
      </c>
      <c r="E327" s="54">
        <f t="shared" si="7"/>
        <v>305445965.48000002</v>
      </c>
      <c r="F327" s="8" t="s">
        <v>8</v>
      </c>
      <c r="G327" s="8" t="s">
        <v>9</v>
      </c>
    </row>
    <row r="328" spans="1:9" s="8" customFormat="1">
      <c r="A328" s="13">
        <v>45730</v>
      </c>
      <c r="B328" s="8" t="s">
        <v>7045</v>
      </c>
      <c r="C328" s="54">
        <v>74324</v>
      </c>
      <c r="D328" s="54">
        <v>0</v>
      </c>
      <c r="E328" s="54">
        <f t="shared" si="7"/>
        <v>305371641.48000002</v>
      </c>
      <c r="F328" s="8" t="s">
        <v>920</v>
      </c>
      <c r="G328" s="8" t="s">
        <v>7855</v>
      </c>
      <c r="H328" s="8" t="s">
        <v>7032</v>
      </c>
      <c r="I328" s="8" t="s">
        <v>4567</v>
      </c>
    </row>
    <row r="329" spans="1:9" s="8" customFormat="1">
      <c r="A329" s="13">
        <v>45730</v>
      </c>
      <c r="B329" s="8" t="s">
        <v>7045</v>
      </c>
      <c r="C329" s="54">
        <v>0</v>
      </c>
      <c r="D329" s="54">
        <f>C327+C328-736486</f>
        <v>13514</v>
      </c>
      <c r="E329" s="54">
        <f t="shared" si="7"/>
        <v>305385155.48000002</v>
      </c>
      <c r="F329" s="8" t="s">
        <v>920</v>
      </c>
      <c r="G329" s="8" t="s">
        <v>4242</v>
      </c>
      <c r="H329" s="8" t="s">
        <v>88</v>
      </c>
      <c r="I329" s="8" t="s">
        <v>4567</v>
      </c>
    </row>
    <row r="330" spans="1:9" s="8" customFormat="1">
      <c r="A330" s="13">
        <v>45730</v>
      </c>
      <c r="B330" s="8" t="s">
        <v>7057</v>
      </c>
      <c r="C330" s="54">
        <v>2380000</v>
      </c>
      <c r="D330" s="54">
        <v>0</v>
      </c>
      <c r="E330" s="54">
        <f t="shared" si="7"/>
        <v>303005155.48000002</v>
      </c>
      <c r="F330" s="8" t="s">
        <v>8</v>
      </c>
      <c r="G330" s="8" t="s">
        <v>32</v>
      </c>
    </row>
    <row r="331" spans="1:9" s="8" customFormat="1">
      <c r="A331" s="13">
        <v>45730</v>
      </c>
      <c r="B331" s="8" t="s">
        <v>7057</v>
      </c>
      <c r="C331" s="54">
        <v>261800</v>
      </c>
      <c r="D331" s="54">
        <v>0</v>
      </c>
      <c r="E331" s="54">
        <f t="shared" si="7"/>
        <v>302743355.48000002</v>
      </c>
      <c r="F331" s="8" t="s">
        <v>920</v>
      </c>
      <c r="G331" s="8" t="s">
        <v>7855</v>
      </c>
      <c r="H331" s="8" t="s">
        <v>7032</v>
      </c>
      <c r="I331" s="8" t="s">
        <v>7052</v>
      </c>
    </row>
    <row r="332" spans="1:9" s="8" customFormat="1">
      <c r="A332" s="13">
        <v>45730</v>
      </c>
      <c r="B332" s="8" t="s">
        <v>7057</v>
      </c>
      <c r="C332" s="54">
        <v>0</v>
      </c>
      <c r="D332" s="54">
        <f>C330+C331-2594200</f>
        <v>47600</v>
      </c>
      <c r="E332" s="54">
        <f t="shared" si="7"/>
        <v>302790955.48000002</v>
      </c>
      <c r="F332" s="8" t="s">
        <v>920</v>
      </c>
      <c r="G332" s="8" t="s">
        <v>4242</v>
      </c>
      <c r="H332" s="8" t="s">
        <v>88</v>
      </c>
      <c r="I332" s="8" t="s">
        <v>7052</v>
      </c>
    </row>
    <row r="333" spans="1:9" s="8" customFormat="1">
      <c r="A333" s="13">
        <v>45730</v>
      </c>
      <c r="B333" s="8" t="s">
        <v>962</v>
      </c>
      <c r="C333" s="14">
        <v>7350000</v>
      </c>
      <c r="D333" s="14">
        <v>0</v>
      </c>
      <c r="E333" s="14">
        <f t="shared" si="7"/>
        <v>295440955.48000002</v>
      </c>
      <c r="F333" s="8" t="s">
        <v>4</v>
      </c>
      <c r="G333" s="8" t="s">
        <v>5</v>
      </c>
      <c r="H333" s="154" t="s">
        <v>1376</v>
      </c>
    </row>
    <row r="334" spans="1:9" s="8" customFormat="1">
      <c r="A334" s="13">
        <v>45730</v>
      </c>
      <c r="B334" s="8" t="s">
        <v>963</v>
      </c>
      <c r="C334" s="14">
        <v>9782209</v>
      </c>
      <c r="D334" s="14">
        <v>0</v>
      </c>
      <c r="E334" s="14">
        <f t="shared" si="7"/>
        <v>285658746.48000002</v>
      </c>
      <c r="F334" s="8" t="s">
        <v>920</v>
      </c>
      <c r="G334" s="8" t="s">
        <v>376</v>
      </c>
    </row>
    <row r="335" spans="1:9" s="8" customFormat="1">
      <c r="A335" s="13">
        <v>45730</v>
      </c>
      <c r="B335" s="8" t="s">
        <v>964</v>
      </c>
      <c r="C335" s="54">
        <v>279863010</v>
      </c>
      <c r="D335" s="54">
        <v>0</v>
      </c>
      <c r="E335" s="54">
        <f t="shared" si="7"/>
        <v>5795736.4800000191</v>
      </c>
      <c r="F335" s="8" t="s">
        <v>4</v>
      </c>
      <c r="G335" s="8" t="s">
        <v>5</v>
      </c>
      <c r="H335" s="43" t="s">
        <v>1352</v>
      </c>
    </row>
    <row r="336" spans="1:9" s="8" customFormat="1">
      <c r="A336" s="13">
        <v>45732</v>
      </c>
      <c r="B336" s="8" t="s">
        <v>1882</v>
      </c>
      <c r="C336" s="14">
        <v>0</v>
      </c>
      <c r="D336" s="14">
        <v>50000000</v>
      </c>
      <c r="E336" s="14">
        <f t="shared" si="7"/>
        <v>55795736.480000019</v>
      </c>
      <c r="F336" s="8" t="s">
        <v>10</v>
      </c>
      <c r="G336" s="8" t="s">
        <v>76</v>
      </c>
      <c r="H336" s="17" t="s">
        <v>45</v>
      </c>
    </row>
    <row r="337" spans="1:9" s="8" customFormat="1">
      <c r="A337" s="13">
        <v>45732</v>
      </c>
      <c r="B337" s="8" t="s">
        <v>1883</v>
      </c>
      <c r="C337" s="14">
        <v>0</v>
      </c>
      <c r="D337" s="14">
        <v>20820612</v>
      </c>
      <c r="E337" s="14">
        <f t="shared" si="7"/>
        <v>76616348.480000019</v>
      </c>
      <c r="F337" s="8" t="s">
        <v>10</v>
      </c>
      <c r="G337" s="8" t="s">
        <v>76</v>
      </c>
      <c r="H337" s="17" t="s">
        <v>45</v>
      </c>
    </row>
    <row r="338" spans="1:9" s="8" customFormat="1">
      <c r="A338" s="13">
        <v>45732</v>
      </c>
      <c r="B338" s="8" t="s">
        <v>1884</v>
      </c>
      <c r="C338" s="14">
        <v>0</v>
      </c>
      <c r="D338" s="14">
        <v>1670700</v>
      </c>
      <c r="E338" s="14">
        <f t="shared" si="7"/>
        <v>78287048.480000019</v>
      </c>
      <c r="F338" s="8" t="s">
        <v>10</v>
      </c>
      <c r="G338" s="8" t="s">
        <v>76</v>
      </c>
      <c r="H338" s="17" t="s">
        <v>45</v>
      </c>
    </row>
    <row r="339" spans="1:9" s="8" customFormat="1">
      <c r="A339" s="13">
        <v>45732</v>
      </c>
      <c r="B339" s="8" t="s">
        <v>1885</v>
      </c>
      <c r="C339" s="14">
        <v>0</v>
      </c>
      <c r="D339" s="14">
        <v>1142300</v>
      </c>
      <c r="E339" s="14">
        <f t="shared" si="7"/>
        <v>79429348.480000019</v>
      </c>
      <c r="F339" s="8" t="s">
        <v>10</v>
      </c>
      <c r="G339" s="8" t="s">
        <v>76</v>
      </c>
      <c r="H339" s="17" t="s">
        <v>45</v>
      </c>
    </row>
    <row r="340" spans="1:9" s="8" customFormat="1">
      <c r="A340" s="13">
        <v>45732</v>
      </c>
      <c r="B340" s="8" t="s">
        <v>1886</v>
      </c>
      <c r="C340" s="14">
        <v>0</v>
      </c>
      <c r="D340" s="14">
        <v>335500</v>
      </c>
      <c r="E340" s="14">
        <f t="shared" si="7"/>
        <v>79764848.480000019</v>
      </c>
      <c r="F340" s="8" t="s">
        <v>10</v>
      </c>
      <c r="G340" s="8" t="s">
        <v>76</v>
      </c>
      <c r="H340" s="17" t="s">
        <v>45</v>
      </c>
    </row>
    <row r="341" spans="1:9" s="8" customFormat="1">
      <c r="A341" s="13">
        <v>45732</v>
      </c>
      <c r="B341" s="8" t="s">
        <v>1887</v>
      </c>
      <c r="C341" s="14">
        <v>0</v>
      </c>
      <c r="D341" s="14">
        <v>26400</v>
      </c>
      <c r="E341" s="14">
        <f t="shared" si="7"/>
        <v>79791248.480000019</v>
      </c>
      <c r="F341" s="8" t="s">
        <v>10</v>
      </c>
      <c r="G341" s="8" t="s">
        <v>76</v>
      </c>
      <c r="H341" s="17" t="s">
        <v>45</v>
      </c>
    </row>
    <row r="342" spans="1:9" s="8" customFormat="1">
      <c r="A342" s="13">
        <v>45733</v>
      </c>
      <c r="B342" s="8" t="s">
        <v>965</v>
      </c>
      <c r="C342" s="14">
        <v>0</v>
      </c>
      <c r="D342" s="14">
        <v>13116260</v>
      </c>
      <c r="E342" s="14">
        <f t="shared" si="7"/>
        <v>92907508.480000019</v>
      </c>
      <c r="F342" s="8" t="s">
        <v>10</v>
      </c>
      <c r="G342" s="8" t="s">
        <v>76</v>
      </c>
      <c r="H342" s="8" t="s">
        <v>57</v>
      </c>
    </row>
    <row r="343" spans="1:9" s="8" customFormat="1">
      <c r="A343" s="13">
        <v>45734</v>
      </c>
      <c r="B343" s="8" t="s">
        <v>966</v>
      </c>
      <c r="C343" s="14">
        <v>0</v>
      </c>
      <c r="D343" s="14">
        <v>271000</v>
      </c>
      <c r="E343" s="14">
        <f t="shared" si="7"/>
        <v>93178508.480000019</v>
      </c>
      <c r="F343" s="8" t="s">
        <v>10</v>
      </c>
      <c r="G343" s="8" t="s">
        <v>93</v>
      </c>
      <c r="H343" s="8" t="s">
        <v>5745</v>
      </c>
    </row>
    <row r="344" spans="1:9" s="8" customFormat="1">
      <c r="A344" s="13">
        <v>45735</v>
      </c>
      <c r="B344" s="8" t="s">
        <v>967</v>
      </c>
      <c r="C344" s="14">
        <v>562593</v>
      </c>
      <c r="D344" s="14">
        <v>0</v>
      </c>
      <c r="E344" s="14">
        <f t="shared" si="7"/>
        <v>92615915.480000019</v>
      </c>
      <c r="F344" s="8" t="s">
        <v>4</v>
      </c>
      <c r="G344" s="8" t="s">
        <v>5</v>
      </c>
      <c r="H344" s="154" t="s">
        <v>1368</v>
      </c>
    </row>
    <row r="345" spans="1:9" s="8" customFormat="1">
      <c r="A345" s="13">
        <v>45735</v>
      </c>
      <c r="B345" s="8" t="s">
        <v>7054</v>
      </c>
      <c r="C345" s="54">
        <v>5300000</v>
      </c>
      <c r="D345" s="54">
        <v>0</v>
      </c>
      <c r="E345" s="54">
        <f t="shared" si="7"/>
        <v>87315915.480000019</v>
      </c>
      <c r="F345" s="8" t="s">
        <v>8</v>
      </c>
      <c r="G345" s="8" t="s">
        <v>14</v>
      </c>
    </row>
    <row r="346" spans="1:9" s="8" customFormat="1">
      <c r="A346" s="13">
        <v>45735</v>
      </c>
      <c r="B346" s="8" t="s">
        <v>7054</v>
      </c>
      <c r="C346" s="54">
        <v>583000</v>
      </c>
      <c r="D346" s="54">
        <v>0</v>
      </c>
      <c r="E346" s="54">
        <f t="shared" si="7"/>
        <v>86732915.480000019</v>
      </c>
      <c r="F346" s="8" t="s">
        <v>920</v>
      </c>
      <c r="G346" s="8" t="s">
        <v>7855</v>
      </c>
      <c r="H346" s="8" t="s">
        <v>7032</v>
      </c>
      <c r="I346" s="8" t="s">
        <v>7052</v>
      </c>
    </row>
    <row r="347" spans="1:9" s="8" customFormat="1">
      <c r="A347" s="13">
        <v>45735</v>
      </c>
      <c r="B347" s="8" t="s">
        <v>7054</v>
      </c>
      <c r="C347" s="54">
        <v>0</v>
      </c>
      <c r="D347" s="54">
        <f>C345+C346-5777000</f>
        <v>106000</v>
      </c>
      <c r="E347" s="54">
        <f t="shared" si="7"/>
        <v>86838915.480000019</v>
      </c>
      <c r="F347" s="8" t="s">
        <v>920</v>
      </c>
      <c r="G347" s="8" t="s">
        <v>4242</v>
      </c>
      <c r="H347" s="8" t="s">
        <v>88</v>
      </c>
      <c r="I347" s="8" t="s">
        <v>7052</v>
      </c>
    </row>
    <row r="348" spans="1:9" s="8" customFormat="1">
      <c r="A348" s="13">
        <v>45741</v>
      </c>
      <c r="B348" s="8" t="s">
        <v>968</v>
      </c>
      <c r="C348" s="14">
        <v>0</v>
      </c>
      <c r="D348" s="14">
        <v>9779000</v>
      </c>
      <c r="E348" s="14">
        <f t="shared" si="7"/>
        <v>96617915.480000019</v>
      </c>
      <c r="F348" s="8" t="s">
        <v>920</v>
      </c>
      <c r="G348" s="8" t="s">
        <v>464</v>
      </c>
      <c r="H348" s="8" t="s">
        <v>4960</v>
      </c>
    </row>
    <row r="349" spans="1:9" s="8" customFormat="1">
      <c r="A349" s="13">
        <v>45741</v>
      </c>
      <c r="B349" s="8" t="s">
        <v>2443</v>
      </c>
      <c r="C349" s="14">
        <v>0</v>
      </c>
      <c r="D349" s="14">
        <f>240670360</f>
        <v>240670360</v>
      </c>
      <c r="E349" s="14">
        <f t="shared" si="7"/>
        <v>337288275.48000002</v>
      </c>
      <c r="F349" s="8" t="s">
        <v>10</v>
      </c>
      <c r="G349" s="8" t="s">
        <v>18</v>
      </c>
      <c r="H349" s="154" t="s">
        <v>2430</v>
      </c>
      <c r="I349" s="154" t="s">
        <v>2395</v>
      </c>
    </row>
    <row r="350" spans="1:9" s="8" customFormat="1">
      <c r="A350" s="13">
        <v>45741</v>
      </c>
      <c r="B350" s="8" t="s">
        <v>2443</v>
      </c>
      <c r="C350" s="14">
        <f>D349-240667460</f>
        <v>2900</v>
      </c>
      <c r="D350" s="14">
        <v>0</v>
      </c>
      <c r="E350" s="14">
        <f t="shared" ref="E350:E372" si="8">E349-C350+D350</f>
        <v>337285375.48000002</v>
      </c>
      <c r="F350" s="8" t="s">
        <v>19</v>
      </c>
      <c r="G350" s="8" t="s">
        <v>189</v>
      </c>
    </row>
    <row r="351" spans="1:9" s="8" customFormat="1">
      <c r="A351" s="13">
        <v>45742</v>
      </c>
      <c r="B351" s="8" t="s">
        <v>378</v>
      </c>
      <c r="C351" s="14">
        <v>9890486</v>
      </c>
      <c r="D351" s="14">
        <v>0</v>
      </c>
      <c r="E351" s="14">
        <f t="shared" si="8"/>
        <v>327394889.48000002</v>
      </c>
      <c r="F351" s="8" t="s">
        <v>920</v>
      </c>
      <c r="G351" s="8" t="s">
        <v>376</v>
      </c>
    </row>
    <row r="352" spans="1:9" s="8" customFormat="1">
      <c r="A352" s="13">
        <v>45742</v>
      </c>
      <c r="B352" s="8" t="s">
        <v>969</v>
      </c>
      <c r="C352" s="14">
        <v>70943500</v>
      </c>
      <c r="D352" s="14">
        <v>0</v>
      </c>
      <c r="E352" s="14">
        <f t="shared" si="8"/>
        <v>256451389.48000002</v>
      </c>
      <c r="F352" s="8" t="s">
        <v>4</v>
      </c>
      <c r="G352" s="8" t="s">
        <v>5</v>
      </c>
      <c r="H352" s="154" t="s">
        <v>1364</v>
      </c>
    </row>
    <row r="353" spans="1:9" s="8" customFormat="1">
      <c r="A353" s="13">
        <v>45742</v>
      </c>
      <c r="B353" s="8" t="s">
        <v>970</v>
      </c>
      <c r="C353" s="14">
        <v>55018810</v>
      </c>
      <c r="D353" s="14">
        <v>0</v>
      </c>
      <c r="E353" s="14">
        <f t="shared" si="8"/>
        <v>201432579.48000002</v>
      </c>
      <c r="F353" s="8" t="s">
        <v>4</v>
      </c>
      <c r="G353" s="8" t="s">
        <v>5</v>
      </c>
      <c r="H353" s="154" t="s">
        <v>1368</v>
      </c>
    </row>
    <row r="354" spans="1:9" s="8" customFormat="1">
      <c r="A354" s="13">
        <v>45742</v>
      </c>
      <c r="B354" s="8" t="s">
        <v>5961</v>
      </c>
      <c r="C354" s="54">
        <v>3700000</v>
      </c>
      <c r="D354" s="54">
        <v>0</v>
      </c>
      <c r="E354" s="54">
        <f t="shared" si="8"/>
        <v>197732579.48000002</v>
      </c>
      <c r="F354" s="8" t="s">
        <v>21</v>
      </c>
      <c r="G354" s="8" t="s">
        <v>187</v>
      </c>
      <c r="H354" s="8" t="s">
        <v>26</v>
      </c>
    </row>
    <row r="355" spans="1:9" s="8" customFormat="1">
      <c r="A355" s="13">
        <v>45742</v>
      </c>
      <c r="B355" s="8" t="s">
        <v>971</v>
      </c>
      <c r="C355" s="14">
        <v>28100940</v>
      </c>
      <c r="D355" s="14">
        <v>0</v>
      </c>
      <c r="E355" s="14">
        <f t="shared" si="8"/>
        <v>169631639.48000002</v>
      </c>
      <c r="F355" s="8" t="s">
        <v>4</v>
      </c>
      <c r="G355" s="8" t="s">
        <v>5</v>
      </c>
      <c r="H355" s="154" t="s">
        <v>2473</v>
      </c>
    </row>
    <row r="356" spans="1:9" s="8" customFormat="1">
      <c r="A356" s="13">
        <v>45742</v>
      </c>
      <c r="B356" s="8" t="s">
        <v>972</v>
      </c>
      <c r="C356" s="14">
        <v>525000</v>
      </c>
      <c r="D356" s="14">
        <v>0</v>
      </c>
      <c r="E356" s="14">
        <f t="shared" si="8"/>
        <v>169106639.48000002</v>
      </c>
      <c r="F356" s="8" t="s">
        <v>4</v>
      </c>
      <c r="G356" s="8" t="s">
        <v>5</v>
      </c>
      <c r="H356" s="154" t="s">
        <v>1368</v>
      </c>
    </row>
    <row r="357" spans="1:9" s="8" customFormat="1">
      <c r="A357" s="13">
        <v>45742</v>
      </c>
      <c r="B357" s="8" t="s">
        <v>973</v>
      </c>
      <c r="C357" s="14">
        <v>4942490</v>
      </c>
      <c r="D357" s="14">
        <v>0</v>
      </c>
      <c r="E357" s="14">
        <f t="shared" si="8"/>
        <v>164164149.48000002</v>
      </c>
      <c r="F357" s="8" t="s">
        <v>920</v>
      </c>
      <c r="G357" s="8" t="s">
        <v>400</v>
      </c>
      <c r="H357" s="40" t="s">
        <v>5204</v>
      </c>
    </row>
    <row r="358" spans="1:9" s="8" customFormat="1">
      <c r="A358" s="13">
        <v>45742</v>
      </c>
      <c r="B358" s="8" t="s">
        <v>974</v>
      </c>
      <c r="C358" s="14">
        <v>6096000</v>
      </c>
      <c r="D358" s="14">
        <v>0</v>
      </c>
      <c r="E358" s="14">
        <f t="shared" si="8"/>
        <v>158068149.48000002</v>
      </c>
      <c r="F358" s="8" t="s">
        <v>10</v>
      </c>
      <c r="G358" s="8" t="s">
        <v>11</v>
      </c>
      <c r="H358" s="8" t="s">
        <v>6140</v>
      </c>
      <c r="I358" s="8" t="s">
        <v>5203</v>
      </c>
    </row>
    <row r="359" spans="1:9" s="8" customFormat="1">
      <c r="A359" s="13">
        <v>45743</v>
      </c>
      <c r="B359" s="8" t="s">
        <v>2444</v>
      </c>
      <c r="C359" s="14">
        <v>0</v>
      </c>
      <c r="D359" s="14">
        <v>628242221</v>
      </c>
      <c r="E359" s="14">
        <f t="shared" si="8"/>
        <v>786310370.48000002</v>
      </c>
      <c r="F359" s="8" t="s">
        <v>10</v>
      </c>
      <c r="G359" s="8" t="s">
        <v>18</v>
      </c>
      <c r="H359" s="154" t="s">
        <v>2423</v>
      </c>
      <c r="I359" s="153" t="s">
        <v>2381</v>
      </c>
    </row>
    <row r="360" spans="1:9" s="8" customFormat="1">
      <c r="A360" s="13">
        <v>45743</v>
      </c>
      <c r="B360" s="8" t="s">
        <v>2444</v>
      </c>
      <c r="C360" s="14">
        <f>D359-628239321</f>
        <v>2900</v>
      </c>
      <c r="D360" s="14">
        <v>0</v>
      </c>
      <c r="E360" s="14">
        <f t="shared" si="8"/>
        <v>786307470.48000002</v>
      </c>
      <c r="F360" s="8" t="s">
        <v>19</v>
      </c>
      <c r="G360" s="8" t="s">
        <v>189</v>
      </c>
    </row>
    <row r="361" spans="1:9" s="8" customFormat="1">
      <c r="A361" s="13">
        <v>45745</v>
      </c>
      <c r="B361" s="8" t="s">
        <v>5386</v>
      </c>
      <c r="C361" s="14">
        <v>24013500</v>
      </c>
      <c r="D361" s="14">
        <v>0</v>
      </c>
      <c r="E361" s="14">
        <f t="shared" si="8"/>
        <v>762293970.48000002</v>
      </c>
      <c r="F361" s="8" t="s">
        <v>6</v>
      </c>
      <c r="G361" s="8" t="s">
        <v>7</v>
      </c>
      <c r="H361" s="8" t="s">
        <v>442</v>
      </c>
      <c r="I361" s="8" t="s">
        <v>34</v>
      </c>
    </row>
    <row r="362" spans="1:9" s="8" customFormat="1">
      <c r="A362" s="13">
        <v>45747</v>
      </c>
      <c r="B362" s="8" t="s">
        <v>334</v>
      </c>
      <c r="C362" s="14">
        <v>30000</v>
      </c>
      <c r="D362" s="14">
        <v>0</v>
      </c>
      <c r="E362" s="14">
        <f t="shared" si="8"/>
        <v>762263970.48000002</v>
      </c>
      <c r="F362" s="8" t="s">
        <v>19</v>
      </c>
      <c r="G362" s="8" t="s">
        <v>189</v>
      </c>
    </row>
    <row r="363" spans="1:9" s="8" customFormat="1">
      <c r="A363" s="13">
        <v>45755</v>
      </c>
      <c r="B363" s="8" t="s">
        <v>975</v>
      </c>
      <c r="C363" s="14">
        <v>0</v>
      </c>
      <c r="D363" s="14">
        <v>402537</v>
      </c>
      <c r="E363" s="14">
        <f t="shared" si="8"/>
        <v>762666507.48000002</v>
      </c>
      <c r="F363" s="8" t="s">
        <v>10</v>
      </c>
      <c r="G363" s="8" t="s">
        <v>76</v>
      </c>
      <c r="H363" s="8" t="s">
        <v>56</v>
      </c>
    </row>
    <row r="364" spans="1:9" s="8" customFormat="1">
      <c r="A364" s="13">
        <v>45757</v>
      </c>
      <c r="B364" s="8" t="s">
        <v>976</v>
      </c>
      <c r="C364" s="14">
        <v>10850000</v>
      </c>
      <c r="D364" s="14">
        <v>0</v>
      </c>
      <c r="E364" s="14">
        <f t="shared" si="8"/>
        <v>751816507.48000002</v>
      </c>
      <c r="F364" s="8" t="s">
        <v>4</v>
      </c>
      <c r="G364" s="8" t="s">
        <v>5</v>
      </c>
      <c r="H364" s="154" t="s">
        <v>1376</v>
      </c>
    </row>
    <row r="365" spans="1:9" s="8" customFormat="1">
      <c r="A365" s="13">
        <v>45757</v>
      </c>
      <c r="B365" s="8" t="s">
        <v>977</v>
      </c>
      <c r="C365" s="14">
        <v>0</v>
      </c>
      <c r="D365" s="14">
        <v>36255013</v>
      </c>
      <c r="E365" s="14">
        <f t="shared" si="8"/>
        <v>788071520.48000002</v>
      </c>
      <c r="F365" s="8" t="s">
        <v>2140</v>
      </c>
      <c r="G365" s="8" t="s">
        <v>2141</v>
      </c>
      <c r="H365" s="214" t="s">
        <v>1445</v>
      </c>
      <c r="I365" s="37" t="s">
        <v>1517</v>
      </c>
    </row>
    <row r="366" spans="1:9" s="8" customFormat="1">
      <c r="A366" s="13">
        <v>45761</v>
      </c>
      <c r="B366" s="8" t="s">
        <v>978</v>
      </c>
      <c r="C366" s="14">
        <v>66936</v>
      </c>
      <c r="D366" s="14">
        <v>0</v>
      </c>
      <c r="E366" s="14">
        <f t="shared" si="8"/>
        <v>788004584.48000002</v>
      </c>
      <c r="F366" s="8" t="s">
        <v>8</v>
      </c>
      <c r="G366" s="8" t="s">
        <v>31</v>
      </c>
    </row>
    <row r="367" spans="1:9" s="8" customFormat="1">
      <c r="A367" s="13">
        <v>45761</v>
      </c>
      <c r="B367" s="8" t="s">
        <v>979</v>
      </c>
      <c r="C367" s="14">
        <v>66936</v>
      </c>
      <c r="D367" s="14">
        <v>0</v>
      </c>
      <c r="E367" s="14">
        <f t="shared" si="8"/>
        <v>787937648.48000002</v>
      </c>
      <c r="F367" s="8" t="s">
        <v>8</v>
      </c>
      <c r="G367" s="8" t="s">
        <v>31</v>
      </c>
    </row>
    <row r="368" spans="1:9" s="8" customFormat="1">
      <c r="A368" s="13">
        <v>45761</v>
      </c>
      <c r="B368" s="8" t="s">
        <v>980</v>
      </c>
      <c r="C368" s="14">
        <v>66936</v>
      </c>
      <c r="D368" s="14">
        <v>0</v>
      </c>
      <c r="E368" s="14">
        <f t="shared" si="8"/>
        <v>787870712.48000002</v>
      </c>
      <c r="F368" s="8" t="s">
        <v>8</v>
      </c>
      <c r="G368" s="8" t="s">
        <v>31</v>
      </c>
    </row>
    <row r="369" spans="1:9" s="8" customFormat="1">
      <c r="A369" s="13">
        <v>45761</v>
      </c>
      <c r="B369" s="8" t="s">
        <v>981</v>
      </c>
      <c r="C369" s="14">
        <v>66936</v>
      </c>
      <c r="D369" s="14">
        <v>0</v>
      </c>
      <c r="E369" s="14">
        <f t="shared" si="8"/>
        <v>787803776.48000002</v>
      </c>
      <c r="F369" s="8" t="s">
        <v>8</v>
      </c>
      <c r="G369" s="8" t="s">
        <v>31</v>
      </c>
    </row>
    <row r="370" spans="1:9" s="8" customFormat="1">
      <c r="A370" s="13">
        <v>45761</v>
      </c>
      <c r="B370" s="8" t="s">
        <v>982</v>
      </c>
      <c r="C370" s="14">
        <v>114286</v>
      </c>
      <c r="D370" s="14">
        <v>0</v>
      </c>
      <c r="E370" s="14">
        <f t="shared" si="8"/>
        <v>787689490.48000002</v>
      </c>
      <c r="F370" s="8" t="s">
        <v>8</v>
      </c>
      <c r="G370" s="8" t="s">
        <v>31</v>
      </c>
    </row>
    <row r="371" spans="1:9" s="8" customFormat="1">
      <c r="A371" s="13">
        <v>45761</v>
      </c>
      <c r="B371" s="8" t="s">
        <v>983</v>
      </c>
      <c r="C371" s="14">
        <v>66936</v>
      </c>
      <c r="D371" s="14">
        <v>0</v>
      </c>
      <c r="E371" s="14">
        <f t="shared" si="8"/>
        <v>787622554.48000002</v>
      </c>
      <c r="F371" s="8" t="s">
        <v>8</v>
      </c>
      <c r="G371" s="8" t="s">
        <v>31</v>
      </c>
    </row>
    <row r="372" spans="1:9" s="8" customFormat="1">
      <c r="A372" s="13">
        <v>45761</v>
      </c>
      <c r="B372" s="8" t="s">
        <v>984</v>
      </c>
      <c r="C372" s="14">
        <v>66936</v>
      </c>
      <c r="D372" s="14">
        <v>0</v>
      </c>
      <c r="E372" s="14">
        <f t="shared" si="8"/>
        <v>787555618.48000002</v>
      </c>
      <c r="F372" s="8" t="s">
        <v>8</v>
      </c>
      <c r="G372" s="8" t="s">
        <v>31</v>
      </c>
    </row>
    <row r="373" spans="1:9" s="8" customFormat="1">
      <c r="A373" s="13">
        <v>45761</v>
      </c>
      <c r="B373" s="8" t="s">
        <v>985</v>
      </c>
      <c r="C373" s="14">
        <v>30000000</v>
      </c>
      <c r="D373" s="14">
        <v>0</v>
      </c>
      <c r="E373" s="14">
        <f t="shared" ref="E373:E428" si="9">E372-C373+D373</f>
        <v>757555618.48000002</v>
      </c>
      <c r="F373" s="8" t="s">
        <v>4</v>
      </c>
      <c r="G373" s="8" t="s">
        <v>5</v>
      </c>
      <c r="H373" s="154" t="s">
        <v>1376</v>
      </c>
    </row>
    <row r="374" spans="1:9" s="8" customFormat="1">
      <c r="A374" s="13">
        <v>45761</v>
      </c>
      <c r="B374" s="8" t="s">
        <v>986</v>
      </c>
      <c r="C374" s="14">
        <v>1875000</v>
      </c>
      <c r="D374" s="14">
        <v>0</v>
      </c>
      <c r="E374" s="14">
        <f t="shared" si="9"/>
        <v>755680618.48000002</v>
      </c>
      <c r="F374" s="8" t="s">
        <v>8</v>
      </c>
      <c r="G374" s="8" t="s">
        <v>183</v>
      </c>
    </row>
    <row r="375" spans="1:9" s="8" customFormat="1">
      <c r="A375" s="13">
        <v>45761</v>
      </c>
      <c r="B375" s="8" t="s">
        <v>987</v>
      </c>
      <c r="C375" s="14">
        <v>14327610</v>
      </c>
      <c r="D375" s="14">
        <v>0</v>
      </c>
      <c r="E375" s="14">
        <f t="shared" si="9"/>
        <v>741353008.48000002</v>
      </c>
      <c r="F375" s="8" t="s">
        <v>4</v>
      </c>
      <c r="G375" s="8" t="s">
        <v>5</v>
      </c>
      <c r="H375" s="154" t="s">
        <v>1376</v>
      </c>
    </row>
    <row r="376" spans="1:9" s="8" customFormat="1">
      <c r="A376" s="13">
        <v>45761</v>
      </c>
      <c r="B376" s="8" t="s">
        <v>988</v>
      </c>
      <c r="C376" s="14">
        <v>50000000</v>
      </c>
      <c r="D376" s="14">
        <v>0</v>
      </c>
      <c r="E376" s="14">
        <f t="shared" si="9"/>
        <v>691353008.48000002</v>
      </c>
      <c r="F376" s="8" t="s">
        <v>4</v>
      </c>
      <c r="G376" s="8" t="s">
        <v>5</v>
      </c>
      <c r="H376" s="154" t="s">
        <v>1376</v>
      </c>
    </row>
    <row r="377" spans="1:9" s="8" customFormat="1">
      <c r="A377" s="13">
        <v>45761</v>
      </c>
      <c r="B377" s="8" t="s">
        <v>7055</v>
      </c>
      <c r="C377" s="54">
        <v>4600000</v>
      </c>
      <c r="D377" s="54">
        <v>0</v>
      </c>
      <c r="E377" s="54">
        <f t="shared" si="9"/>
        <v>686753008.48000002</v>
      </c>
      <c r="F377" s="8" t="s">
        <v>8</v>
      </c>
      <c r="G377" s="8" t="s">
        <v>14</v>
      </c>
    </row>
    <row r="378" spans="1:9" s="8" customFormat="1">
      <c r="A378" s="13">
        <v>45761</v>
      </c>
      <c r="B378" s="8" t="s">
        <v>7055</v>
      </c>
      <c r="C378" s="54">
        <v>506000</v>
      </c>
      <c r="D378" s="54">
        <v>0</v>
      </c>
      <c r="E378" s="54">
        <f t="shared" si="9"/>
        <v>686247008.48000002</v>
      </c>
      <c r="F378" s="8" t="s">
        <v>920</v>
      </c>
      <c r="G378" s="8" t="s">
        <v>7855</v>
      </c>
      <c r="H378" s="8" t="s">
        <v>7032</v>
      </c>
      <c r="I378" s="8" t="s">
        <v>7052</v>
      </c>
    </row>
    <row r="379" spans="1:9" s="8" customFormat="1">
      <c r="A379" s="13">
        <v>45761</v>
      </c>
      <c r="B379" s="8" t="s">
        <v>7055</v>
      </c>
      <c r="C379" s="54">
        <v>0</v>
      </c>
      <c r="D379" s="54">
        <f>C377+C378-5014000</f>
        <v>92000</v>
      </c>
      <c r="E379" s="54">
        <f t="shared" si="9"/>
        <v>686339008.48000002</v>
      </c>
      <c r="F379" s="8" t="s">
        <v>920</v>
      </c>
      <c r="G379" s="8" t="s">
        <v>4242</v>
      </c>
      <c r="H379" s="8" t="s">
        <v>88</v>
      </c>
      <c r="I379" s="8" t="s">
        <v>7052</v>
      </c>
    </row>
    <row r="380" spans="1:9" s="8" customFormat="1">
      <c r="A380" s="13">
        <v>45761</v>
      </c>
      <c r="B380" s="8" t="s">
        <v>989</v>
      </c>
      <c r="C380" s="14">
        <v>38610000</v>
      </c>
      <c r="D380" s="14">
        <v>0</v>
      </c>
      <c r="E380" s="14">
        <f t="shared" si="9"/>
        <v>647729008.48000002</v>
      </c>
      <c r="F380" s="8" t="s">
        <v>4</v>
      </c>
      <c r="G380" s="8" t="s">
        <v>5</v>
      </c>
      <c r="H380" s="40" t="s">
        <v>1622</v>
      </c>
    </row>
    <row r="381" spans="1:9" s="8" customFormat="1">
      <c r="A381" s="13">
        <v>45763</v>
      </c>
      <c r="B381" s="8" t="s">
        <v>990</v>
      </c>
      <c r="C381" s="14">
        <v>0</v>
      </c>
      <c r="D381" s="14">
        <v>50014144</v>
      </c>
      <c r="E381" s="14">
        <f t="shared" si="9"/>
        <v>697743152.48000002</v>
      </c>
      <c r="F381" s="8" t="s">
        <v>2140</v>
      </c>
      <c r="G381" s="8" t="s">
        <v>2141</v>
      </c>
      <c r="H381" s="214" t="s">
        <v>1445</v>
      </c>
      <c r="I381" s="37" t="s">
        <v>1535</v>
      </c>
    </row>
    <row r="382" spans="1:9" s="8" customFormat="1">
      <c r="A382" s="13">
        <v>45765</v>
      </c>
      <c r="B382" s="8" t="s">
        <v>991</v>
      </c>
      <c r="C382" s="14">
        <v>5000000</v>
      </c>
      <c r="D382" s="14">
        <v>0</v>
      </c>
      <c r="E382" s="14">
        <f t="shared" si="9"/>
        <v>692743152.48000002</v>
      </c>
      <c r="F382" s="8" t="s">
        <v>4</v>
      </c>
      <c r="G382" s="8" t="s">
        <v>5</v>
      </c>
      <c r="H382" s="146" t="s">
        <v>2474</v>
      </c>
    </row>
    <row r="383" spans="1:9" s="8" customFormat="1">
      <c r="A383" s="13">
        <v>45765</v>
      </c>
      <c r="B383" s="8" t="s">
        <v>992</v>
      </c>
      <c r="C383" s="14">
        <v>1800000</v>
      </c>
      <c r="D383" s="14">
        <v>0</v>
      </c>
      <c r="E383" s="14">
        <f t="shared" si="9"/>
        <v>690943152.48000002</v>
      </c>
      <c r="F383" s="8" t="s">
        <v>4</v>
      </c>
      <c r="G383" s="8" t="s">
        <v>5</v>
      </c>
      <c r="H383" s="146" t="s">
        <v>2474</v>
      </c>
    </row>
    <row r="384" spans="1:9" s="8" customFormat="1">
      <c r="A384" s="13">
        <v>45765</v>
      </c>
      <c r="B384" s="8" t="s">
        <v>993</v>
      </c>
      <c r="C384" s="14">
        <v>500000</v>
      </c>
      <c r="D384" s="14">
        <v>0</v>
      </c>
      <c r="E384" s="14">
        <f t="shared" si="9"/>
        <v>690443152.48000002</v>
      </c>
      <c r="F384" s="8" t="s">
        <v>4</v>
      </c>
      <c r="G384" s="8" t="s">
        <v>5</v>
      </c>
      <c r="H384" s="146" t="s">
        <v>2474</v>
      </c>
    </row>
    <row r="385" spans="1:9" s="8" customFormat="1">
      <c r="A385" s="13">
        <v>45765</v>
      </c>
      <c r="B385" s="8" t="s">
        <v>994</v>
      </c>
      <c r="C385" s="14">
        <v>1000000</v>
      </c>
      <c r="D385" s="14">
        <v>0</v>
      </c>
      <c r="E385" s="14">
        <f t="shared" si="9"/>
        <v>689443152.48000002</v>
      </c>
      <c r="F385" s="8" t="s">
        <v>4</v>
      </c>
      <c r="G385" s="8" t="s">
        <v>5</v>
      </c>
      <c r="H385" s="146" t="s">
        <v>2474</v>
      </c>
    </row>
    <row r="386" spans="1:9" s="8" customFormat="1">
      <c r="A386" s="13">
        <v>45765</v>
      </c>
      <c r="B386" s="8" t="s">
        <v>995</v>
      </c>
      <c r="C386" s="14">
        <v>1500000</v>
      </c>
      <c r="D386" s="14">
        <v>0</v>
      </c>
      <c r="E386" s="14">
        <f t="shared" si="9"/>
        <v>687943152.48000002</v>
      </c>
      <c r="F386" s="8" t="s">
        <v>4</v>
      </c>
      <c r="G386" s="8" t="s">
        <v>5</v>
      </c>
      <c r="H386" s="146" t="s">
        <v>2474</v>
      </c>
    </row>
    <row r="387" spans="1:9" s="8" customFormat="1">
      <c r="A387" s="13">
        <v>45765</v>
      </c>
      <c r="B387" s="8" t="s">
        <v>7050</v>
      </c>
      <c r="C387" s="54">
        <v>7477478</v>
      </c>
      <c r="D387" s="54">
        <v>0</v>
      </c>
      <c r="E387" s="54">
        <f t="shared" si="9"/>
        <v>680465674.48000002</v>
      </c>
      <c r="F387" s="8" t="s">
        <v>4</v>
      </c>
      <c r="G387" s="8" t="s">
        <v>5</v>
      </c>
      <c r="H387" s="40" t="s">
        <v>2238</v>
      </c>
    </row>
    <row r="388" spans="1:9" s="8" customFormat="1">
      <c r="A388" s="13">
        <v>45765</v>
      </c>
      <c r="B388" s="8" t="s">
        <v>7050</v>
      </c>
      <c r="C388" s="54">
        <v>822522</v>
      </c>
      <c r="D388" s="54">
        <v>0</v>
      </c>
      <c r="E388" s="54">
        <f t="shared" si="9"/>
        <v>679643152.48000002</v>
      </c>
      <c r="F388" s="8" t="s">
        <v>920</v>
      </c>
      <c r="G388" s="8" t="s">
        <v>7855</v>
      </c>
      <c r="H388" s="8" t="s">
        <v>7032</v>
      </c>
      <c r="I388" s="8" t="s">
        <v>4567</v>
      </c>
    </row>
    <row r="389" spans="1:9" s="8" customFormat="1">
      <c r="A389" s="13">
        <v>45765</v>
      </c>
      <c r="B389" s="8" t="s">
        <v>7050</v>
      </c>
      <c r="C389" s="54">
        <v>0</v>
      </c>
      <c r="D389" s="54">
        <f>C387+C388-8150450</f>
        <v>149550</v>
      </c>
      <c r="E389" s="54">
        <f t="shared" si="9"/>
        <v>679792702.48000002</v>
      </c>
      <c r="F389" s="8" t="s">
        <v>920</v>
      </c>
      <c r="G389" s="8" t="s">
        <v>4242</v>
      </c>
      <c r="H389" s="8" t="s">
        <v>88</v>
      </c>
      <c r="I389" s="8" t="s">
        <v>4567</v>
      </c>
    </row>
    <row r="390" spans="1:9" s="8" customFormat="1">
      <c r="A390" s="13">
        <v>45768</v>
      </c>
      <c r="B390" s="8" t="s">
        <v>5224</v>
      </c>
      <c r="C390" s="14">
        <v>10000000</v>
      </c>
      <c r="D390" s="14">
        <v>0</v>
      </c>
      <c r="E390" s="14">
        <f t="shared" si="9"/>
        <v>669792702.48000002</v>
      </c>
      <c r="F390" s="8" t="s">
        <v>1400</v>
      </c>
      <c r="G390" s="8" t="s">
        <v>1400</v>
      </c>
    </row>
    <row r="391" spans="1:9" s="8" customFormat="1">
      <c r="A391" s="13">
        <v>45768</v>
      </c>
      <c r="B391" s="8" t="s">
        <v>996</v>
      </c>
      <c r="C391" s="14">
        <v>97500000</v>
      </c>
      <c r="D391" s="14">
        <v>0</v>
      </c>
      <c r="E391" s="14">
        <f t="shared" si="9"/>
        <v>572292702.48000002</v>
      </c>
      <c r="F391" s="8" t="s">
        <v>4</v>
      </c>
      <c r="G391" s="8" t="s">
        <v>5</v>
      </c>
      <c r="H391" s="146" t="s">
        <v>1609</v>
      </c>
    </row>
    <row r="392" spans="1:9" s="8" customFormat="1">
      <c r="A392" s="13">
        <v>45768</v>
      </c>
      <c r="B392" s="8" t="s">
        <v>997</v>
      </c>
      <c r="C392" s="14">
        <v>97500000</v>
      </c>
      <c r="D392" s="14">
        <v>0</v>
      </c>
      <c r="E392" s="14">
        <f t="shared" si="9"/>
        <v>474792702.48000002</v>
      </c>
      <c r="F392" s="8" t="s">
        <v>4</v>
      </c>
      <c r="G392" s="8" t="s">
        <v>5</v>
      </c>
      <c r="H392" s="146" t="s">
        <v>1609</v>
      </c>
    </row>
    <row r="393" spans="1:9" s="8" customFormat="1">
      <c r="A393" s="13">
        <v>45768</v>
      </c>
      <c r="B393" s="8" t="s">
        <v>998</v>
      </c>
      <c r="C393" s="14">
        <v>5000000</v>
      </c>
      <c r="D393" s="14">
        <v>0</v>
      </c>
      <c r="E393" s="14">
        <f t="shared" si="9"/>
        <v>469792702.48000002</v>
      </c>
      <c r="F393" s="8" t="s">
        <v>4</v>
      </c>
      <c r="G393" s="8" t="s">
        <v>5</v>
      </c>
      <c r="H393" s="146" t="s">
        <v>1609</v>
      </c>
    </row>
    <row r="394" spans="1:9" s="8" customFormat="1">
      <c r="A394" s="13">
        <v>45768</v>
      </c>
      <c r="B394" s="8" t="s">
        <v>999</v>
      </c>
      <c r="C394" s="14">
        <v>9500000</v>
      </c>
      <c r="D394" s="14">
        <v>0</v>
      </c>
      <c r="E394" s="14">
        <f t="shared" si="9"/>
        <v>460292702.48000002</v>
      </c>
      <c r="F394" s="8" t="s">
        <v>4</v>
      </c>
      <c r="G394" s="8" t="s">
        <v>5</v>
      </c>
      <c r="H394" s="146" t="s">
        <v>1609</v>
      </c>
    </row>
    <row r="395" spans="1:9" s="8" customFormat="1">
      <c r="A395" s="13">
        <v>45768</v>
      </c>
      <c r="B395" s="8" t="s">
        <v>7058</v>
      </c>
      <c r="C395" s="54">
        <v>675676</v>
      </c>
      <c r="D395" s="54">
        <v>0</v>
      </c>
      <c r="E395" s="54">
        <f t="shared" si="9"/>
        <v>459617026.48000002</v>
      </c>
      <c r="F395" s="8" t="s">
        <v>8</v>
      </c>
      <c r="G395" s="8" t="s">
        <v>9</v>
      </c>
    </row>
    <row r="396" spans="1:9" s="8" customFormat="1">
      <c r="A396" s="13">
        <v>45768</v>
      </c>
      <c r="B396" s="8" t="s">
        <v>7058</v>
      </c>
      <c r="C396" s="54">
        <v>74324</v>
      </c>
      <c r="D396" s="54">
        <v>0</v>
      </c>
      <c r="E396" s="54">
        <f t="shared" si="9"/>
        <v>459542702.48000002</v>
      </c>
      <c r="F396" s="8" t="s">
        <v>920</v>
      </c>
      <c r="G396" s="8" t="s">
        <v>7855</v>
      </c>
      <c r="H396" s="8" t="s">
        <v>7032</v>
      </c>
      <c r="I396" s="8" t="s">
        <v>7052</v>
      </c>
    </row>
    <row r="397" spans="1:9" s="8" customFormat="1">
      <c r="A397" s="13">
        <v>45768</v>
      </c>
      <c r="B397" s="8" t="s">
        <v>7058</v>
      </c>
      <c r="C397" s="54">
        <v>0</v>
      </c>
      <c r="D397" s="54">
        <f>C395+C396-736486</f>
        <v>13514</v>
      </c>
      <c r="E397" s="54">
        <f t="shared" si="9"/>
        <v>459556216.48000002</v>
      </c>
      <c r="F397" s="8" t="s">
        <v>920</v>
      </c>
      <c r="G397" s="8" t="s">
        <v>4242</v>
      </c>
      <c r="H397" s="8" t="s">
        <v>88</v>
      </c>
      <c r="I397" s="8" t="s">
        <v>7052</v>
      </c>
    </row>
    <row r="398" spans="1:9" s="8" customFormat="1">
      <c r="A398" s="13">
        <v>45769</v>
      </c>
      <c r="B398" s="8" t="s">
        <v>1000</v>
      </c>
      <c r="C398" s="14">
        <v>0</v>
      </c>
      <c r="D398" s="14">
        <v>104900</v>
      </c>
      <c r="E398" s="14">
        <f t="shared" si="9"/>
        <v>459661116.48000002</v>
      </c>
      <c r="F398" s="8" t="s">
        <v>10</v>
      </c>
      <c r="G398" s="8" t="s">
        <v>76</v>
      </c>
      <c r="H398" s="8" t="s">
        <v>12</v>
      </c>
    </row>
    <row r="399" spans="1:9" s="8" customFormat="1">
      <c r="A399" s="13">
        <v>45770</v>
      </c>
      <c r="B399" s="8" t="s">
        <v>1001</v>
      </c>
      <c r="C399" s="14">
        <v>17000000</v>
      </c>
      <c r="D399" s="14">
        <v>0</v>
      </c>
      <c r="E399" s="14">
        <f t="shared" si="9"/>
        <v>442661116.48000002</v>
      </c>
      <c r="F399" s="8" t="s">
        <v>4</v>
      </c>
      <c r="G399" s="8" t="s">
        <v>5</v>
      </c>
      <c r="H399" s="8" t="s">
        <v>1352</v>
      </c>
    </row>
    <row r="400" spans="1:9" s="8" customFormat="1">
      <c r="A400" s="13">
        <v>45770</v>
      </c>
      <c r="B400" s="8" t="s">
        <v>7061</v>
      </c>
      <c r="C400" s="54">
        <v>5300000</v>
      </c>
      <c r="D400" s="54">
        <v>0</v>
      </c>
      <c r="E400" s="54">
        <f t="shared" si="9"/>
        <v>437361116.48000002</v>
      </c>
      <c r="F400" s="8" t="s">
        <v>8</v>
      </c>
      <c r="G400" s="8" t="s">
        <v>14</v>
      </c>
    </row>
    <row r="401" spans="1:9" s="8" customFormat="1">
      <c r="A401" s="13">
        <v>45770</v>
      </c>
      <c r="B401" s="8" t="s">
        <v>7061</v>
      </c>
      <c r="C401" s="54">
        <v>583000</v>
      </c>
      <c r="D401" s="54">
        <v>0</v>
      </c>
      <c r="E401" s="54">
        <f t="shared" si="9"/>
        <v>436778116.48000002</v>
      </c>
      <c r="F401" s="8" t="s">
        <v>920</v>
      </c>
      <c r="G401" s="8" t="s">
        <v>7855</v>
      </c>
      <c r="H401" s="8" t="s">
        <v>7032</v>
      </c>
      <c r="I401" s="8" t="s">
        <v>4596</v>
      </c>
    </row>
    <row r="402" spans="1:9" s="8" customFormat="1">
      <c r="A402" s="13">
        <v>45770</v>
      </c>
      <c r="B402" s="8" t="s">
        <v>7061</v>
      </c>
      <c r="C402" s="54">
        <v>0</v>
      </c>
      <c r="D402" s="54">
        <f>C400+C401-5777000</f>
        <v>106000</v>
      </c>
      <c r="E402" s="54">
        <f t="shared" si="9"/>
        <v>436884116.48000002</v>
      </c>
      <c r="F402" s="8" t="s">
        <v>920</v>
      </c>
      <c r="G402" s="8" t="s">
        <v>4242</v>
      </c>
      <c r="H402" s="8" t="s">
        <v>88</v>
      </c>
      <c r="I402" s="8" t="s">
        <v>4596</v>
      </c>
    </row>
    <row r="403" spans="1:9" s="8" customFormat="1">
      <c r="A403" s="13">
        <v>45770</v>
      </c>
      <c r="B403" s="8" t="s">
        <v>7062</v>
      </c>
      <c r="C403" s="54">
        <v>4600000</v>
      </c>
      <c r="D403" s="54">
        <v>0</v>
      </c>
      <c r="E403" s="54">
        <f t="shared" si="9"/>
        <v>432284116.48000002</v>
      </c>
      <c r="F403" s="8" t="s">
        <v>8</v>
      </c>
      <c r="G403" s="8" t="s">
        <v>14</v>
      </c>
    </row>
    <row r="404" spans="1:9" s="8" customFormat="1">
      <c r="A404" s="13">
        <v>45770</v>
      </c>
      <c r="B404" s="8" t="s">
        <v>7062</v>
      </c>
      <c r="C404" s="54">
        <v>506000</v>
      </c>
      <c r="D404" s="54">
        <v>0</v>
      </c>
      <c r="E404" s="54">
        <f t="shared" si="9"/>
        <v>431778116.48000002</v>
      </c>
      <c r="F404" s="8" t="s">
        <v>920</v>
      </c>
      <c r="G404" s="8" t="s">
        <v>7855</v>
      </c>
      <c r="H404" s="8" t="s">
        <v>7032</v>
      </c>
      <c r="I404" s="8" t="s">
        <v>4596</v>
      </c>
    </row>
    <row r="405" spans="1:9" s="8" customFormat="1">
      <c r="A405" s="13">
        <v>45770</v>
      </c>
      <c r="B405" s="8" t="s">
        <v>7062</v>
      </c>
      <c r="C405" s="54">
        <v>0</v>
      </c>
      <c r="D405" s="54">
        <f>C403+C404-5014000</f>
        <v>92000</v>
      </c>
      <c r="E405" s="54">
        <f t="shared" si="9"/>
        <v>431870116.48000002</v>
      </c>
      <c r="F405" s="8" t="s">
        <v>920</v>
      </c>
      <c r="G405" s="8" t="s">
        <v>4242</v>
      </c>
      <c r="H405" s="8" t="s">
        <v>88</v>
      </c>
      <c r="I405" s="8" t="s">
        <v>4596</v>
      </c>
    </row>
    <row r="406" spans="1:9" s="8" customFormat="1">
      <c r="A406" s="13">
        <v>45770</v>
      </c>
      <c r="B406" s="8" t="s">
        <v>1002</v>
      </c>
      <c r="C406" s="14">
        <v>5500000</v>
      </c>
      <c r="D406" s="14">
        <v>0</v>
      </c>
      <c r="E406" s="14">
        <f t="shared" si="9"/>
        <v>426370116.48000002</v>
      </c>
      <c r="F406" s="8" t="s">
        <v>4</v>
      </c>
      <c r="G406" s="8" t="s">
        <v>5</v>
      </c>
      <c r="H406" s="146" t="s">
        <v>2474</v>
      </c>
    </row>
    <row r="407" spans="1:9" s="8" customFormat="1">
      <c r="A407" s="13">
        <v>45770</v>
      </c>
      <c r="B407" s="8" t="s">
        <v>1003</v>
      </c>
      <c r="C407" s="14">
        <v>1000000</v>
      </c>
      <c r="D407" s="14">
        <v>0</v>
      </c>
      <c r="E407" s="14">
        <f t="shared" si="9"/>
        <v>425370116.48000002</v>
      </c>
      <c r="F407" s="8" t="s">
        <v>62</v>
      </c>
      <c r="G407" s="8" t="s">
        <v>177</v>
      </c>
    </row>
    <row r="408" spans="1:9" s="8" customFormat="1">
      <c r="A408" s="13">
        <v>45770</v>
      </c>
      <c r="B408" s="8" t="s">
        <v>1004</v>
      </c>
      <c r="C408" s="14">
        <v>2500000</v>
      </c>
      <c r="D408" s="14">
        <v>0</v>
      </c>
      <c r="E408" s="14">
        <f t="shared" si="9"/>
        <v>422870116.48000002</v>
      </c>
      <c r="F408" s="8" t="s">
        <v>920</v>
      </c>
      <c r="G408" s="8" t="s">
        <v>400</v>
      </c>
      <c r="H408" s="8" t="s">
        <v>2138</v>
      </c>
    </row>
    <row r="409" spans="1:9" s="8" customFormat="1">
      <c r="A409" s="13">
        <v>45771</v>
      </c>
      <c r="B409" s="8" t="s">
        <v>1005</v>
      </c>
      <c r="C409" s="14">
        <v>0</v>
      </c>
      <c r="D409" s="14">
        <v>46332979</v>
      </c>
      <c r="E409" s="14">
        <f t="shared" si="9"/>
        <v>469203095.48000002</v>
      </c>
      <c r="F409" s="8" t="s">
        <v>2140</v>
      </c>
      <c r="G409" s="8" t="s">
        <v>2141</v>
      </c>
      <c r="H409" s="214" t="s">
        <v>1445</v>
      </c>
      <c r="I409" s="37" t="s">
        <v>1526</v>
      </c>
    </row>
    <row r="410" spans="1:9" s="8" customFormat="1">
      <c r="A410" s="13">
        <v>45771</v>
      </c>
      <c r="B410" s="8" t="s">
        <v>5384</v>
      </c>
      <c r="C410" s="14">
        <v>27521955</v>
      </c>
      <c r="D410" s="14">
        <v>0</v>
      </c>
      <c r="E410" s="14">
        <f t="shared" si="9"/>
        <v>441681140.48000002</v>
      </c>
      <c r="F410" s="8" t="s">
        <v>4</v>
      </c>
      <c r="G410" s="8" t="s">
        <v>5</v>
      </c>
      <c r="H410" s="40" t="s">
        <v>1452</v>
      </c>
    </row>
    <row r="411" spans="1:9" s="8" customFormat="1">
      <c r="A411" s="13">
        <v>45771</v>
      </c>
      <c r="B411" s="8" t="s">
        <v>1006</v>
      </c>
      <c r="C411" s="14">
        <v>35000</v>
      </c>
      <c r="D411" s="14">
        <v>0</v>
      </c>
      <c r="E411" s="14">
        <f t="shared" si="9"/>
        <v>441646140.48000002</v>
      </c>
      <c r="F411" s="8" t="s">
        <v>19</v>
      </c>
      <c r="G411" s="8" t="s">
        <v>189</v>
      </c>
    </row>
    <row r="412" spans="1:9" s="8" customFormat="1">
      <c r="A412" s="13">
        <v>45771</v>
      </c>
      <c r="B412" s="8" t="s">
        <v>1007</v>
      </c>
      <c r="C412" s="14">
        <v>422375</v>
      </c>
      <c r="D412" s="14">
        <v>0</v>
      </c>
      <c r="E412" s="14">
        <f t="shared" si="9"/>
        <v>441223765.48000002</v>
      </c>
      <c r="F412" s="8" t="s">
        <v>19</v>
      </c>
      <c r="G412" s="8" t="s">
        <v>189</v>
      </c>
    </row>
    <row r="413" spans="1:9" s="8" customFormat="1">
      <c r="A413" s="13">
        <v>45771</v>
      </c>
      <c r="B413" s="8" t="s">
        <v>2446</v>
      </c>
      <c r="C413" s="14">
        <v>0</v>
      </c>
      <c r="D413" s="14">
        <v>17878140</v>
      </c>
      <c r="E413" s="14">
        <f t="shared" si="9"/>
        <v>459101905.48000002</v>
      </c>
      <c r="F413" s="8" t="s">
        <v>10</v>
      </c>
      <c r="G413" s="8" t="s">
        <v>18</v>
      </c>
      <c r="H413" s="154" t="s">
        <v>2430</v>
      </c>
      <c r="I413" s="154" t="s">
        <v>2397</v>
      </c>
    </row>
    <row r="414" spans="1:9" s="8" customFormat="1">
      <c r="A414" s="13">
        <v>45771</v>
      </c>
      <c r="B414" s="8" t="s">
        <v>2446</v>
      </c>
      <c r="C414" s="14">
        <f>D413-17875240</f>
        <v>2900</v>
      </c>
      <c r="D414" s="14">
        <v>0</v>
      </c>
      <c r="E414" s="14">
        <f t="shared" si="9"/>
        <v>459099005.48000002</v>
      </c>
      <c r="F414" s="8" t="s">
        <v>19</v>
      </c>
      <c r="G414" s="8" t="s">
        <v>189</v>
      </c>
    </row>
    <row r="415" spans="1:9" s="8" customFormat="1">
      <c r="A415" s="13">
        <v>45776</v>
      </c>
      <c r="B415" s="8" t="s">
        <v>1073</v>
      </c>
      <c r="C415" s="14">
        <v>0</v>
      </c>
      <c r="D415" s="14">
        <v>6000000</v>
      </c>
      <c r="E415" s="14">
        <f t="shared" si="9"/>
        <v>465099005.48000002</v>
      </c>
      <c r="F415" s="8" t="s">
        <v>1400</v>
      </c>
      <c r="G415" s="8" t="s">
        <v>1400</v>
      </c>
    </row>
    <row r="416" spans="1:9" s="8" customFormat="1">
      <c r="A416" s="13">
        <v>45776</v>
      </c>
      <c r="B416" s="8" t="s">
        <v>1074</v>
      </c>
      <c r="C416" s="14">
        <v>150000000</v>
      </c>
      <c r="D416" s="14">
        <v>0</v>
      </c>
      <c r="E416" s="14">
        <f t="shared" si="9"/>
        <v>315099005.48000002</v>
      </c>
      <c r="F416" s="8" t="s">
        <v>920</v>
      </c>
      <c r="G416" s="8" t="s">
        <v>371</v>
      </c>
    </row>
    <row r="417" spans="1:8" s="8" customFormat="1">
      <c r="A417" s="13">
        <v>45776</v>
      </c>
      <c r="B417" s="8" t="s">
        <v>1075</v>
      </c>
      <c r="C417" s="14">
        <v>11500000</v>
      </c>
      <c r="D417" s="14">
        <v>0</v>
      </c>
      <c r="E417" s="14">
        <f t="shared" si="9"/>
        <v>303599005.48000002</v>
      </c>
      <c r="F417" s="8" t="s">
        <v>4</v>
      </c>
      <c r="G417" s="8" t="s">
        <v>5</v>
      </c>
      <c r="H417" s="154" t="s">
        <v>1376</v>
      </c>
    </row>
    <row r="418" spans="1:8" s="8" customFormat="1">
      <c r="A418" s="13">
        <v>45776</v>
      </c>
      <c r="B418" s="8" t="s">
        <v>1076</v>
      </c>
      <c r="C418" s="14">
        <v>165100000</v>
      </c>
      <c r="D418" s="14">
        <v>0</v>
      </c>
      <c r="E418" s="14">
        <f t="shared" si="9"/>
        <v>138499005.48000002</v>
      </c>
      <c r="F418" s="8" t="s">
        <v>4</v>
      </c>
      <c r="G418" s="8" t="s">
        <v>5</v>
      </c>
      <c r="H418" s="154" t="s">
        <v>1376</v>
      </c>
    </row>
    <row r="419" spans="1:8" s="8" customFormat="1">
      <c r="A419" s="13">
        <v>45776</v>
      </c>
      <c r="B419" s="8" t="s">
        <v>1077</v>
      </c>
      <c r="C419" s="14">
        <v>500000</v>
      </c>
      <c r="D419" s="14">
        <v>0</v>
      </c>
      <c r="E419" s="14">
        <f t="shared" si="9"/>
        <v>137999005.48000002</v>
      </c>
      <c r="F419" s="8" t="s">
        <v>4</v>
      </c>
      <c r="G419" s="8" t="s">
        <v>5</v>
      </c>
      <c r="H419" s="146" t="s">
        <v>1609</v>
      </c>
    </row>
    <row r="420" spans="1:8" s="8" customFormat="1">
      <c r="A420" s="13">
        <v>45776</v>
      </c>
      <c r="B420" s="8" t="s">
        <v>1078</v>
      </c>
      <c r="C420" s="14">
        <v>500000</v>
      </c>
      <c r="D420" s="14">
        <v>0</v>
      </c>
      <c r="E420" s="14">
        <f t="shared" si="9"/>
        <v>137499005.48000002</v>
      </c>
      <c r="F420" s="8" t="s">
        <v>4</v>
      </c>
      <c r="G420" s="8" t="s">
        <v>5</v>
      </c>
      <c r="H420" s="146" t="s">
        <v>1609</v>
      </c>
    </row>
    <row r="421" spans="1:8" s="8" customFormat="1">
      <c r="A421" s="13">
        <v>45776</v>
      </c>
      <c r="B421" s="8" t="s">
        <v>1079</v>
      </c>
      <c r="C421" s="14">
        <v>1500000</v>
      </c>
      <c r="D421" s="14">
        <v>0</v>
      </c>
      <c r="E421" s="14">
        <f t="shared" si="9"/>
        <v>135999005.48000002</v>
      </c>
      <c r="F421" s="8" t="s">
        <v>4</v>
      </c>
      <c r="G421" s="8" t="s">
        <v>5</v>
      </c>
      <c r="H421" s="146" t="s">
        <v>1609</v>
      </c>
    </row>
    <row r="422" spans="1:8" s="8" customFormat="1">
      <c r="A422" s="13">
        <v>45776</v>
      </c>
      <c r="B422" s="8" t="s">
        <v>1080</v>
      </c>
      <c r="C422" s="14">
        <v>12500000</v>
      </c>
      <c r="D422" s="14">
        <v>0</v>
      </c>
      <c r="E422" s="14">
        <f t="shared" si="9"/>
        <v>123499005.48000002</v>
      </c>
      <c r="F422" s="8" t="s">
        <v>4</v>
      </c>
      <c r="G422" s="8" t="s">
        <v>5</v>
      </c>
      <c r="H422" s="146" t="s">
        <v>1609</v>
      </c>
    </row>
    <row r="423" spans="1:8" s="8" customFormat="1">
      <c r="A423" s="13">
        <v>45776</v>
      </c>
      <c r="B423" s="8" t="s">
        <v>1081</v>
      </c>
      <c r="C423" s="14">
        <v>12500000</v>
      </c>
      <c r="D423" s="14">
        <v>0</v>
      </c>
      <c r="E423" s="14">
        <f t="shared" si="9"/>
        <v>110999005.48000002</v>
      </c>
      <c r="F423" s="8" t="s">
        <v>4</v>
      </c>
      <c r="G423" s="8" t="s">
        <v>5</v>
      </c>
      <c r="H423" s="146" t="s">
        <v>1609</v>
      </c>
    </row>
    <row r="424" spans="1:8" s="8" customFormat="1">
      <c r="A424" s="13">
        <v>45776</v>
      </c>
      <c r="B424" s="8" t="s">
        <v>1082</v>
      </c>
      <c r="C424" s="14">
        <v>10864000</v>
      </c>
      <c r="D424" s="14">
        <v>0</v>
      </c>
      <c r="E424" s="14">
        <f t="shared" si="9"/>
        <v>100135005.48000002</v>
      </c>
      <c r="F424" s="8" t="s">
        <v>4</v>
      </c>
      <c r="G424" s="8" t="s">
        <v>5</v>
      </c>
      <c r="H424" s="8" t="s">
        <v>1352</v>
      </c>
    </row>
    <row r="425" spans="1:8" s="8" customFormat="1">
      <c r="A425" s="13">
        <v>45776</v>
      </c>
      <c r="B425" s="8" t="s">
        <v>5385</v>
      </c>
      <c r="C425" s="14">
        <v>7630500</v>
      </c>
      <c r="D425" s="14">
        <v>0</v>
      </c>
      <c r="E425" s="14">
        <f t="shared" si="9"/>
        <v>92504505.480000019</v>
      </c>
      <c r="F425" s="8" t="s">
        <v>4</v>
      </c>
      <c r="G425" s="8" t="s">
        <v>5</v>
      </c>
      <c r="H425" s="40" t="s">
        <v>1378</v>
      </c>
    </row>
    <row r="426" spans="1:8" s="8" customFormat="1">
      <c r="A426" s="13">
        <v>45776</v>
      </c>
      <c r="B426" s="8" t="s">
        <v>1083</v>
      </c>
      <c r="C426" s="14">
        <v>7395000</v>
      </c>
      <c r="D426" s="14">
        <v>0</v>
      </c>
      <c r="E426" s="14">
        <f t="shared" si="9"/>
        <v>85109505.480000019</v>
      </c>
      <c r="F426" s="8" t="s">
        <v>4</v>
      </c>
      <c r="G426" s="8" t="s">
        <v>5</v>
      </c>
      <c r="H426" s="8" t="s">
        <v>1378</v>
      </c>
    </row>
    <row r="427" spans="1:8" s="8" customFormat="1">
      <c r="A427" s="13">
        <v>45777</v>
      </c>
      <c r="B427" s="8" t="s">
        <v>334</v>
      </c>
      <c r="C427" s="14">
        <v>30000</v>
      </c>
      <c r="D427" s="14">
        <v>0</v>
      </c>
      <c r="E427" s="14">
        <f t="shared" si="9"/>
        <v>85079505.480000019</v>
      </c>
      <c r="F427" s="8" t="s">
        <v>19</v>
      </c>
      <c r="G427" s="8" t="s">
        <v>189</v>
      </c>
    </row>
    <row r="428" spans="1:8" s="8" customFormat="1">
      <c r="A428" s="13">
        <v>45785</v>
      </c>
      <c r="B428" s="8" t="s">
        <v>1298</v>
      </c>
      <c r="C428" s="14">
        <v>5825000</v>
      </c>
      <c r="D428" s="14">
        <v>0</v>
      </c>
      <c r="E428" s="14">
        <f t="shared" si="9"/>
        <v>79254505.480000019</v>
      </c>
      <c r="F428" s="8" t="s">
        <v>4</v>
      </c>
      <c r="G428" s="8" t="s">
        <v>5</v>
      </c>
      <c r="H428" s="146" t="s">
        <v>1609</v>
      </c>
    </row>
    <row r="429" spans="1:8" s="8" customFormat="1">
      <c r="A429" s="13">
        <v>45785</v>
      </c>
      <c r="B429" s="8" t="s">
        <v>1299</v>
      </c>
      <c r="C429" s="14">
        <v>5000000</v>
      </c>
      <c r="D429" s="14">
        <v>0</v>
      </c>
      <c r="E429" s="14">
        <f t="shared" ref="E429:E507" si="10">E428-C429+D429</f>
        <v>74254505.480000019</v>
      </c>
      <c r="F429" s="8" t="s">
        <v>4</v>
      </c>
      <c r="G429" s="8" t="s">
        <v>5</v>
      </c>
      <c r="H429" s="146" t="s">
        <v>1609</v>
      </c>
    </row>
    <row r="430" spans="1:8" s="8" customFormat="1">
      <c r="A430" s="13">
        <v>45785</v>
      </c>
      <c r="B430" s="8" t="s">
        <v>1300</v>
      </c>
      <c r="C430" s="14">
        <v>750000</v>
      </c>
      <c r="D430" s="14">
        <v>0</v>
      </c>
      <c r="E430" s="14">
        <f t="shared" si="10"/>
        <v>73504505.480000019</v>
      </c>
      <c r="F430" s="8" t="s">
        <v>4</v>
      </c>
      <c r="G430" s="8" t="s">
        <v>5</v>
      </c>
      <c r="H430" s="146" t="s">
        <v>1609</v>
      </c>
    </row>
    <row r="431" spans="1:8" s="8" customFormat="1">
      <c r="A431" s="13">
        <v>45785</v>
      </c>
      <c r="B431" s="8" t="s">
        <v>1301</v>
      </c>
      <c r="C431" s="14">
        <v>3000000</v>
      </c>
      <c r="D431" s="14">
        <v>0</v>
      </c>
      <c r="E431" s="14">
        <f t="shared" si="10"/>
        <v>70504505.480000019</v>
      </c>
      <c r="F431" s="8" t="s">
        <v>4</v>
      </c>
      <c r="G431" s="8" t="s">
        <v>5</v>
      </c>
      <c r="H431" s="146" t="s">
        <v>1609</v>
      </c>
    </row>
    <row r="432" spans="1:8" s="8" customFormat="1">
      <c r="A432" s="13">
        <v>45785</v>
      </c>
      <c r="B432" s="8" t="s">
        <v>1302</v>
      </c>
      <c r="C432" s="14">
        <v>5400000</v>
      </c>
      <c r="D432" s="14">
        <v>0</v>
      </c>
      <c r="E432" s="14">
        <f t="shared" si="10"/>
        <v>65104505.480000019</v>
      </c>
      <c r="F432" s="8" t="s">
        <v>4</v>
      </c>
      <c r="G432" s="8" t="s">
        <v>5</v>
      </c>
      <c r="H432" s="146" t="s">
        <v>1609</v>
      </c>
    </row>
    <row r="433" spans="1:9" s="8" customFormat="1">
      <c r="A433" s="13">
        <v>45785</v>
      </c>
      <c r="B433" s="8" t="s">
        <v>1303</v>
      </c>
      <c r="C433" s="14">
        <v>750000</v>
      </c>
      <c r="D433" s="14">
        <v>0</v>
      </c>
      <c r="E433" s="14">
        <f t="shared" si="10"/>
        <v>64354505.480000019</v>
      </c>
      <c r="F433" s="8" t="s">
        <v>4</v>
      </c>
      <c r="G433" s="8" t="s">
        <v>5</v>
      </c>
      <c r="H433" s="146" t="s">
        <v>1609</v>
      </c>
    </row>
    <row r="434" spans="1:9" s="8" customFormat="1">
      <c r="A434" s="13">
        <v>45785</v>
      </c>
      <c r="B434" s="8" t="s">
        <v>1304</v>
      </c>
      <c r="C434" s="54">
        <v>3640000</v>
      </c>
      <c r="D434" s="54">
        <v>0</v>
      </c>
      <c r="E434" s="54">
        <f t="shared" si="10"/>
        <v>60714505.480000019</v>
      </c>
      <c r="F434" s="8" t="s">
        <v>10</v>
      </c>
      <c r="G434" s="8" t="s">
        <v>446</v>
      </c>
      <c r="H434" s="40" t="s">
        <v>1640</v>
      </c>
      <c r="I434" s="8" t="s">
        <v>26</v>
      </c>
    </row>
    <row r="435" spans="1:9" s="8" customFormat="1">
      <c r="A435" s="13">
        <v>45785</v>
      </c>
      <c r="B435" s="8" t="s">
        <v>1305</v>
      </c>
      <c r="C435" s="54">
        <v>1432760</v>
      </c>
      <c r="D435" s="54">
        <v>0</v>
      </c>
      <c r="E435" s="54">
        <f t="shared" si="10"/>
        <v>59281745.480000019</v>
      </c>
      <c r="F435" s="8" t="s">
        <v>10</v>
      </c>
      <c r="G435" s="8" t="s">
        <v>446</v>
      </c>
      <c r="H435" s="40" t="s">
        <v>1640</v>
      </c>
      <c r="I435" s="8" t="s">
        <v>26</v>
      </c>
    </row>
    <row r="436" spans="1:9" s="8" customFormat="1">
      <c r="A436" s="13">
        <v>45785</v>
      </c>
      <c r="B436" s="8" t="s">
        <v>1306</v>
      </c>
      <c r="C436" s="14">
        <v>817500</v>
      </c>
      <c r="D436" s="14">
        <v>0</v>
      </c>
      <c r="E436" s="14">
        <f t="shared" si="10"/>
        <v>58464245.480000019</v>
      </c>
      <c r="F436" s="8" t="s">
        <v>4</v>
      </c>
      <c r="G436" s="8" t="s">
        <v>5</v>
      </c>
      <c r="H436" s="146" t="s">
        <v>2474</v>
      </c>
    </row>
    <row r="437" spans="1:9" s="8" customFormat="1">
      <c r="A437" s="13">
        <v>45785</v>
      </c>
      <c r="B437" s="8" t="s">
        <v>1307</v>
      </c>
      <c r="C437" s="14">
        <v>3725000</v>
      </c>
      <c r="D437" s="14">
        <v>0</v>
      </c>
      <c r="E437" s="14">
        <f t="shared" si="10"/>
        <v>54739245.480000019</v>
      </c>
      <c r="F437" s="8" t="s">
        <v>4</v>
      </c>
      <c r="G437" s="8" t="s">
        <v>5</v>
      </c>
      <c r="H437" s="146" t="s">
        <v>2474</v>
      </c>
    </row>
    <row r="438" spans="1:9" s="8" customFormat="1">
      <c r="A438" s="13">
        <v>45785</v>
      </c>
      <c r="B438" s="8" t="s">
        <v>1308</v>
      </c>
      <c r="C438" s="14">
        <v>41800000</v>
      </c>
      <c r="D438" s="14">
        <v>0</v>
      </c>
      <c r="E438" s="14">
        <f t="shared" si="10"/>
        <v>12939245.480000019</v>
      </c>
      <c r="F438" s="8" t="s">
        <v>4</v>
      </c>
      <c r="G438" s="8" t="s">
        <v>5</v>
      </c>
      <c r="H438" s="40" t="s">
        <v>1622</v>
      </c>
    </row>
    <row r="439" spans="1:9" s="8" customFormat="1">
      <c r="A439" s="13">
        <v>45785</v>
      </c>
      <c r="B439" s="8" t="s">
        <v>7067</v>
      </c>
      <c r="C439" s="54">
        <v>4600000</v>
      </c>
      <c r="D439" s="54">
        <v>0</v>
      </c>
      <c r="E439" s="54">
        <f t="shared" si="10"/>
        <v>8339245.4800000191</v>
      </c>
      <c r="F439" s="8" t="s">
        <v>8</v>
      </c>
      <c r="G439" s="8" t="s">
        <v>14</v>
      </c>
    </row>
    <row r="440" spans="1:9" s="8" customFormat="1">
      <c r="A440" s="13">
        <v>45785</v>
      </c>
      <c r="B440" s="8" t="s">
        <v>7067</v>
      </c>
      <c r="C440" s="54">
        <v>506000</v>
      </c>
      <c r="D440" s="54">
        <v>0</v>
      </c>
      <c r="E440" s="54">
        <f t="shared" si="10"/>
        <v>7833245.4800000191</v>
      </c>
      <c r="F440" s="8" t="s">
        <v>920</v>
      </c>
      <c r="G440" s="8" t="s">
        <v>7855</v>
      </c>
      <c r="H440" s="8" t="s">
        <v>7032</v>
      </c>
      <c r="I440" s="8" t="s">
        <v>7069</v>
      </c>
    </row>
    <row r="441" spans="1:9" s="8" customFormat="1">
      <c r="A441" s="13">
        <v>45785</v>
      </c>
      <c r="B441" s="8" t="s">
        <v>7067</v>
      </c>
      <c r="C441" s="54">
        <v>0</v>
      </c>
      <c r="D441" s="54">
        <f>C439+C440-5014000</f>
        <v>92000</v>
      </c>
      <c r="E441" s="54">
        <f t="shared" si="10"/>
        <v>7925245.4800000191</v>
      </c>
      <c r="F441" s="8" t="s">
        <v>920</v>
      </c>
      <c r="G441" s="8" t="s">
        <v>4242</v>
      </c>
      <c r="H441" s="8" t="s">
        <v>88</v>
      </c>
      <c r="I441" s="8" t="s">
        <v>7069</v>
      </c>
    </row>
    <row r="442" spans="1:9" s="8" customFormat="1">
      <c r="A442" s="13">
        <v>45785</v>
      </c>
      <c r="B442" s="8" t="s">
        <v>7068</v>
      </c>
      <c r="C442" s="54">
        <v>5300000</v>
      </c>
      <c r="D442" s="54">
        <v>0</v>
      </c>
      <c r="E442" s="54">
        <f t="shared" si="10"/>
        <v>2625245.4800000191</v>
      </c>
      <c r="F442" s="8" t="s">
        <v>8</v>
      </c>
      <c r="G442" s="8" t="s">
        <v>14</v>
      </c>
      <c r="H442" s="8" t="s">
        <v>26</v>
      </c>
    </row>
    <row r="443" spans="1:9" s="8" customFormat="1">
      <c r="A443" s="13">
        <v>45785</v>
      </c>
      <c r="B443" s="8" t="s">
        <v>7068</v>
      </c>
      <c r="C443" s="54">
        <v>583000</v>
      </c>
      <c r="D443" s="54">
        <v>0</v>
      </c>
      <c r="E443" s="54">
        <f t="shared" si="10"/>
        <v>2042245.4800000191</v>
      </c>
      <c r="F443" s="8" t="s">
        <v>920</v>
      </c>
      <c r="G443" s="8" t="s">
        <v>7855</v>
      </c>
      <c r="H443" s="8" t="s">
        <v>7032</v>
      </c>
      <c r="I443" s="8" t="s">
        <v>7069</v>
      </c>
    </row>
    <row r="444" spans="1:9" s="8" customFormat="1">
      <c r="A444" s="13">
        <v>45785</v>
      </c>
      <c r="B444" s="8" t="s">
        <v>7068</v>
      </c>
      <c r="C444" s="54">
        <v>0</v>
      </c>
      <c r="D444" s="54">
        <f>C442+C443-5777000</f>
        <v>106000</v>
      </c>
      <c r="E444" s="54">
        <f t="shared" si="10"/>
        <v>2148245.4800000191</v>
      </c>
      <c r="F444" s="8" t="s">
        <v>920</v>
      </c>
      <c r="G444" s="8" t="s">
        <v>4242</v>
      </c>
      <c r="H444" s="8" t="s">
        <v>88</v>
      </c>
      <c r="I444" s="8" t="s">
        <v>7069</v>
      </c>
    </row>
    <row r="445" spans="1:9" s="8" customFormat="1">
      <c r="A445" s="13">
        <v>45785</v>
      </c>
      <c r="B445" s="8" t="s">
        <v>333</v>
      </c>
      <c r="C445" s="14">
        <v>0</v>
      </c>
      <c r="D445" s="14">
        <v>250000000</v>
      </c>
      <c r="E445" s="14">
        <f t="shared" si="10"/>
        <v>252148245.48000002</v>
      </c>
      <c r="F445" s="80" t="s">
        <v>920</v>
      </c>
      <c r="G445" s="8" t="s">
        <v>4242</v>
      </c>
    </row>
    <row r="446" spans="1:9" s="8" customFormat="1">
      <c r="A446" s="13">
        <v>45785</v>
      </c>
      <c r="B446" s="8" t="s">
        <v>5389</v>
      </c>
      <c r="C446" s="14">
        <v>2278380</v>
      </c>
      <c r="D446" s="14">
        <v>0</v>
      </c>
      <c r="E446" s="14">
        <f t="shared" si="10"/>
        <v>249869865.48000002</v>
      </c>
      <c r="F446" s="8" t="s">
        <v>4</v>
      </c>
      <c r="G446" s="8" t="s">
        <v>5</v>
      </c>
      <c r="H446" s="40" t="s">
        <v>1452</v>
      </c>
    </row>
    <row r="447" spans="1:9" s="8" customFormat="1">
      <c r="A447" s="13">
        <v>45785</v>
      </c>
      <c r="B447" s="8" t="s">
        <v>1309</v>
      </c>
      <c r="C447" s="14">
        <v>35000</v>
      </c>
      <c r="D447" s="14">
        <v>0</v>
      </c>
      <c r="E447" s="14">
        <f t="shared" si="10"/>
        <v>249834865.48000002</v>
      </c>
      <c r="F447" s="8" t="s">
        <v>19</v>
      </c>
      <c r="G447" s="8" t="s">
        <v>189</v>
      </c>
    </row>
    <row r="448" spans="1:9" s="8" customFormat="1">
      <c r="A448" s="13">
        <v>45785</v>
      </c>
      <c r="B448" s="8" t="s">
        <v>1310</v>
      </c>
      <c r="C448" s="14">
        <v>412750</v>
      </c>
      <c r="D448" s="14">
        <v>0</v>
      </c>
      <c r="E448" s="14">
        <f t="shared" si="10"/>
        <v>249422115.48000002</v>
      </c>
      <c r="F448" s="8" t="s">
        <v>19</v>
      </c>
      <c r="G448" s="8" t="s">
        <v>189</v>
      </c>
    </row>
    <row r="449" spans="1:9" s="8" customFormat="1">
      <c r="A449" s="13">
        <v>45785</v>
      </c>
      <c r="B449" s="8" t="s">
        <v>1311</v>
      </c>
      <c r="C449" s="14">
        <v>5014000</v>
      </c>
      <c r="D449" s="14">
        <v>0</v>
      </c>
      <c r="E449" s="14">
        <f t="shared" si="10"/>
        <v>244408115.48000002</v>
      </c>
      <c r="F449" s="8" t="s">
        <v>1400</v>
      </c>
      <c r="G449" s="8" t="s">
        <v>1400</v>
      </c>
    </row>
    <row r="450" spans="1:9" s="8" customFormat="1">
      <c r="A450" s="13">
        <v>45785</v>
      </c>
      <c r="B450" s="8" t="s">
        <v>1312</v>
      </c>
      <c r="C450" s="14">
        <v>5777000</v>
      </c>
      <c r="D450" s="14">
        <v>0</v>
      </c>
      <c r="E450" s="14">
        <f t="shared" si="10"/>
        <v>238631115.48000002</v>
      </c>
      <c r="F450" s="8" t="s">
        <v>1400</v>
      </c>
      <c r="G450" s="8" t="s">
        <v>1400</v>
      </c>
    </row>
    <row r="451" spans="1:9" s="8" customFormat="1">
      <c r="A451" s="13">
        <v>45785</v>
      </c>
      <c r="B451" s="8" t="s">
        <v>378</v>
      </c>
      <c r="C451" s="14">
        <v>9250690</v>
      </c>
      <c r="D451" s="14">
        <v>0</v>
      </c>
      <c r="E451" s="14">
        <f t="shared" si="10"/>
        <v>229380425.48000002</v>
      </c>
      <c r="F451" s="8" t="s">
        <v>920</v>
      </c>
      <c r="G451" s="8" t="s">
        <v>376</v>
      </c>
    </row>
    <row r="452" spans="1:9" s="8" customFormat="1">
      <c r="A452" s="13">
        <v>45785</v>
      </c>
      <c r="B452" s="8" t="s">
        <v>1313</v>
      </c>
      <c r="C452" s="14">
        <v>10000000</v>
      </c>
      <c r="D452" s="14">
        <v>0</v>
      </c>
      <c r="E452" s="14">
        <f t="shared" si="10"/>
        <v>219380425.48000002</v>
      </c>
      <c r="F452" s="8" t="s">
        <v>4</v>
      </c>
      <c r="G452" s="8" t="s">
        <v>5</v>
      </c>
      <c r="H452" s="146" t="s">
        <v>1609</v>
      </c>
    </row>
    <row r="453" spans="1:9" s="8" customFormat="1">
      <c r="A453" s="13">
        <v>45785</v>
      </c>
      <c r="B453" s="8" t="s">
        <v>1314</v>
      </c>
      <c r="C453" s="14">
        <v>3000000</v>
      </c>
      <c r="D453" s="14">
        <v>0</v>
      </c>
      <c r="E453" s="14">
        <f t="shared" si="10"/>
        <v>216380425.48000002</v>
      </c>
      <c r="F453" s="8" t="s">
        <v>4</v>
      </c>
      <c r="G453" s="8" t="s">
        <v>5</v>
      </c>
      <c r="H453" s="146" t="s">
        <v>2474</v>
      </c>
    </row>
    <row r="454" spans="1:9" s="8" customFormat="1">
      <c r="A454" s="13">
        <v>45785</v>
      </c>
      <c r="B454" s="8" t="s">
        <v>333</v>
      </c>
      <c r="C454" s="14">
        <v>0</v>
      </c>
      <c r="D454" s="14">
        <v>250000000</v>
      </c>
      <c r="E454" s="14">
        <f t="shared" si="10"/>
        <v>466380425.48000002</v>
      </c>
      <c r="F454" s="80" t="s">
        <v>920</v>
      </c>
      <c r="G454" s="8" t="s">
        <v>4242</v>
      </c>
    </row>
    <row r="455" spans="1:9" s="8" customFormat="1">
      <c r="A455" s="13">
        <v>45791</v>
      </c>
      <c r="B455" s="8" t="s">
        <v>7065</v>
      </c>
      <c r="C455" s="54">
        <v>675676</v>
      </c>
      <c r="D455" s="54">
        <v>0</v>
      </c>
      <c r="E455" s="54">
        <f t="shared" si="10"/>
        <v>465704749.48000002</v>
      </c>
      <c r="F455" s="8" t="s">
        <v>8</v>
      </c>
      <c r="G455" s="8" t="s">
        <v>9</v>
      </c>
    </row>
    <row r="456" spans="1:9" s="8" customFormat="1">
      <c r="A456" s="13">
        <v>45791</v>
      </c>
      <c r="B456" s="8" t="s">
        <v>7065</v>
      </c>
      <c r="C456" s="54">
        <v>74324</v>
      </c>
      <c r="D456" s="54">
        <v>0</v>
      </c>
      <c r="E456" s="54">
        <f t="shared" si="10"/>
        <v>465630425.48000002</v>
      </c>
      <c r="F456" s="8" t="s">
        <v>920</v>
      </c>
      <c r="G456" s="8" t="s">
        <v>7855</v>
      </c>
      <c r="H456" s="8" t="s">
        <v>7032</v>
      </c>
      <c r="I456" s="8" t="s">
        <v>4596</v>
      </c>
    </row>
    <row r="457" spans="1:9" s="8" customFormat="1">
      <c r="A457" s="13">
        <v>45791</v>
      </c>
      <c r="B457" s="8" t="s">
        <v>7065</v>
      </c>
      <c r="C457" s="54">
        <v>0</v>
      </c>
      <c r="D457" s="54">
        <f>C455+C456-736486</f>
        <v>13514</v>
      </c>
      <c r="E457" s="54">
        <f t="shared" si="10"/>
        <v>465643939.48000002</v>
      </c>
      <c r="F457" s="8" t="s">
        <v>920</v>
      </c>
      <c r="G457" s="8" t="s">
        <v>4242</v>
      </c>
      <c r="H457" s="8" t="s">
        <v>88</v>
      </c>
      <c r="I457" s="8" t="s">
        <v>4596</v>
      </c>
    </row>
    <row r="458" spans="1:9" s="8" customFormat="1">
      <c r="A458" s="13">
        <v>45791</v>
      </c>
      <c r="B458" s="8" t="s">
        <v>1315</v>
      </c>
      <c r="C458" s="14">
        <v>1000000</v>
      </c>
      <c r="D458" s="14">
        <v>0</v>
      </c>
      <c r="E458" s="14">
        <f t="shared" si="10"/>
        <v>464643939.48000002</v>
      </c>
      <c r="F458" s="8" t="s">
        <v>4</v>
      </c>
      <c r="G458" s="8" t="s">
        <v>5</v>
      </c>
      <c r="H458" s="154" t="s">
        <v>1376</v>
      </c>
    </row>
    <row r="459" spans="1:9" s="8" customFormat="1">
      <c r="A459" s="13">
        <v>45792</v>
      </c>
      <c r="B459" s="8" t="s">
        <v>1316</v>
      </c>
      <c r="C459" s="14">
        <v>0</v>
      </c>
      <c r="D459" s="14">
        <v>10791000</v>
      </c>
      <c r="E459" s="14">
        <f t="shared" si="10"/>
        <v>475434939.48000002</v>
      </c>
      <c r="F459" s="8" t="s">
        <v>1400</v>
      </c>
      <c r="G459" s="8" t="s">
        <v>1400</v>
      </c>
    </row>
    <row r="460" spans="1:9" s="8" customFormat="1">
      <c r="A460" s="13">
        <v>45792</v>
      </c>
      <c r="B460" s="8" t="s">
        <v>1335</v>
      </c>
      <c r="C460" s="14">
        <v>0</v>
      </c>
      <c r="D460" s="14">
        <v>19435506</v>
      </c>
      <c r="E460" s="14">
        <f t="shared" si="10"/>
        <v>494870445.48000002</v>
      </c>
      <c r="F460" s="8" t="s">
        <v>2140</v>
      </c>
      <c r="G460" s="8" t="s">
        <v>2141</v>
      </c>
      <c r="H460" s="214" t="s">
        <v>1445</v>
      </c>
      <c r="I460" s="37" t="s">
        <v>1544</v>
      </c>
    </row>
    <row r="461" spans="1:9" s="8" customFormat="1">
      <c r="A461" s="13">
        <v>45793</v>
      </c>
      <c r="B461" s="8" t="s">
        <v>7053</v>
      </c>
      <c r="C461" s="54">
        <v>3500000</v>
      </c>
      <c r="D461" s="54">
        <v>0</v>
      </c>
      <c r="E461" s="54">
        <f t="shared" si="10"/>
        <v>491370445.48000002</v>
      </c>
      <c r="F461" s="8" t="s">
        <v>8</v>
      </c>
      <c r="G461" s="8" t="s">
        <v>32</v>
      </c>
    </row>
    <row r="462" spans="1:9" s="8" customFormat="1">
      <c r="A462" s="13">
        <v>45793</v>
      </c>
      <c r="B462" s="8" t="s">
        <v>7053</v>
      </c>
      <c r="C462" s="54">
        <v>385000</v>
      </c>
      <c r="D462" s="54">
        <v>0</v>
      </c>
      <c r="E462" s="54">
        <f t="shared" si="10"/>
        <v>490985445.48000002</v>
      </c>
      <c r="F462" s="8" t="s">
        <v>920</v>
      </c>
      <c r="G462" s="8" t="s">
        <v>7855</v>
      </c>
      <c r="H462" s="8" t="s">
        <v>7032</v>
      </c>
      <c r="I462" s="8" t="s">
        <v>7052</v>
      </c>
    </row>
    <row r="463" spans="1:9" s="8" customFormat="1">
      <c r="A463" s="13">
        <v>45793</v>
      </c>
      <c r="B463" s="8" t="s">
        <v>7053</v>
      </c>
      <c r="C463" s="54">
        <v>0</v>
      </c>
      <c r="D463" s="54">
        <f>C461+C462-3815000</f>
        <v>70000</v>
      </c>
      <c r="E463" s="54">
        <f t="shared" si="10"/>
        <v>491055445.48000002</v>
      </c>
      <c r="F463" s="8" t="s">
        <v>920</v>
      </c>
      <c r="G463" s="8" t="s">
        <v>4242</v>
      </c>
      <c r="H463" s="8" t="s">
        <v>88</v>
      </c>
      <c r="I463" s="8" t="s">
        <v>7052</v>
      </c>
    </row>
    <row r="464" spans="1:9" s="8" customFormat="1">
      <c r="A464" s="13">
        <v>45793</v>
      </c>
      <c r="B464" s="8" t="s">
        <v>7063</v>
      </c>
      <c r="C464" s="54">
        <v>3500000</v>
      </c>
      <c r="D464" s="54">
        <v>0</v>
      </c>
      <c r="E464" s="54">
        <f t="shared" si="10"/>
        <v>487555445.48000002</v>
      </c>
      <c r="F464" s="8" t="s">
        <v>8</v>
      </c>
      <c r="G464" s="8" t="s">
        <v>32</v>
      </c>
      <c r="I464" s="8" t="s">
        <v>26</v>
      </c>
    </row>
    <row r="465" spans="1:9" s="8" customFormat="1">
      <c r="A465" s="13">
        <v>45793</v>
      </c>
      <c r="B465" s="8" t="s">
        <v>7063</v>
      </c>
      <c r="C465" s="54">
        <v>385000</v>
      </c>
      <c r="D465" s="54">
        <v>0</v>
      </c>
      <c r="E465" s="54">
        <f t="shared" si="10"/>
        <v>487170445.48000002</v>
      </c>
      <c r="F465" s="8" t="s">
        <v>920</v>
      </c>
      <c r="G465" s="8" t="s">
        <v>7855</v>
      </c>
      <c r="H465" s="8" t="s">
        <v>7032</v>
      </c>
      <c r="I465" s="8" t="s">
        <v>4596</v>
      </c>
    </row>
    <row r="466" spans="1:9" s="8" customFormat="1">
      <c r="A466" s="13">
        <v>45793</v>
      </c>
      <c r="B466" s="8" t="s">
        <v>7063</v>
      </c>
      <c r="C466" s="54">
        <v>0</v>
      </c>
      <c r="D466" s="54">
        <f>C464+C465-3815000</f>
        <v>70000</v>
      </c>
      <c r="E466" s="54">
        <f t="shared" si="10"/>
        <v>487240445.48000002</v>
      </c>
      <c r="F466" s="8" t="s">
        <v>920</v>
      </c>
      <c r="G466" s="8" t="s">
        <v>4242</v>
      </c>
      <c r="H466" s="8" t="s">
        <v>88</v>
      </c>
      <c r="I466" s="8" t="s">
        <v>4596</v>
      </c>
    </row>
    <row r="467" spans="1:9" s="8" customFormat="1">
      <c r="A467" s="13">
        <v>45793</v>
      </c>
      <c r="B467" s="8" t="s">
        <v>7074</v>
      </c>
      <c r="C467" s="54">
        <v>3500000</v>
      </c>
      <c r="D467" s="54">
        <v>0</v>
      </c>
      <c r="E467" s="54">
        <f t="shared" si="10"/>
        <v>483740445.48000002</v>
      </c>
      <c r="F467" s="8" t="s">
        <v>8</v>
      </c>
      <c r="G467" s="8" t="s">
        <v>32</v>
      </c>
      <c r="I467" s="8" t="s">
        <v>26</v>
      </c>
    </row>
    <row r="468" spans="1:9" s="8" customFormat="1">
      <c r="A468" s="13">
        <v>45793</v>
      </c>
      <c r="B468" s="8" t="s">
        <v>7074</v>
      </c>
      <c r="C468" s="54">
        <v>385000</v>
      </c>
      <c r="D468" s="54">
        <v>0</v>
      </c>
      <c r="E468" s="54">
        <f t="shared" si="10"/>
        <v>483355445.48000002</v>
      </c>
      <c r="F468" s="8" t="s">
        <v>920</v>
      </c>
      <c r="G468" s="8" t="s">
        <v>7855</v>
      </c>
      <c r="H468" s="8" t="s">
        <v>7032</v>
      </c>
      <c r="I468" s="8" t="s">
        <v>7069</v>
      </c>
    </row>
    <row r="469" spans="1:9" s="8" customFormat="1">
      <c r="A469" s="13">
        <v>45793</v>
      </c>
      <c r="B469" s="8" t="s">
        <v>7074</v>
      </c>
      <c r="C469" s="54">
        <v>0</v>
      </c>
      <c r="D469" s="54">
        <f>C467+C468-3815000</f>
        <v>70000</v>
      </c>
      <c r="E469" s="54">
        <f t="shared" si="10"/>
        <v>483425445.48000002</v>
      </c>
      <c r="F469" s="8" t="s">
        <v>920</v>
      </c>
      <c r="G469" s="8" t="s">
        <v>4242</v>
      </c>
      <c r="H469" s="8" t="s">
        <v>88</v>
      </c>
      <c r="I469" s="8" t="s">
        <v>7069</v>
      </c>
    </row>
    <row r="470" spans="1:9" s="8" customFormat="1">
      <c r="A470" s="13">
        <v>45793</v>
      </c>
      <c r="B470" s="8" t="s">
        <v>1317</v>
      </c>
      <c r="C470" s="14">
        <v>93000000</v>
      </c>
      <c r="D470" s="14">
        <v>0</v>
      </c>
      <c r="E470" s="14">
        <f t="shared" si="10"/>
        <v>390425445.48000002</v>
      </c>
      <c r="F470" s="8" t="s">
        <v>4</v>
      </c>
      <c r="G470" s="8" t="s">
        <v>5</v>
      </c>
      <c r="H470" s="154" t="s">
        <v>1376</v>
      </c>
    </row>
    <row r="471" spans="1:9" s="8" customFormat="1">
      <c r="A471" s="13">
        <v>45793</v>
      </c>
      <c r="B471" s="8" t="s">
        <v>1318</v>
      </c>
      <c r="C471" s="14">
        <v>98175000</v>
      </c>
      <c r="D471" s="14">
        <v>0</v>
      </c>
      <c r="E471" s="14">
        <f t="shared" si="10"/>
        <v>292250445.48000002</v>
      </c>
      <c r="F471" s="8" t="s">
        <v>4</v>
      </c>
      <c r="G471" s="8" t="s">
        <v>5</v>
      </c>
      <c r="H471" s="154" t="s">
        <v>1376</v>
      </c>
    </row>
    <row r="472" spans="1:9" s="8" customFormat="1">
      <c r="A472" s="13">
        <v>45793</v>
      </c>
      <c r="B472" s="8" t="s">
        <v>1319</v>
      </c>
      <c r="C472" s="14">
        <v>148745</v>
      </c>
      <c r="D472" s="14">
        <v>0</v>
      </c>
      <c r="E472" s="14">
        <f t="shared" si="10"/>
        <v>292101700.48000002</v>
      </c>
      <c r="F472" s="8" t="s">
        <v>920</v>
      </c>
      <c r="G472" s="8" t="s">
        <v>400</v>
      </c>
      <c r="H472" s="8" t="s">
        <v>2138</v>
      </c>
    </row>
    <row r="473" spans="1:9" s="8" customFormat="1">
      <c r="A473" s="13">
        <v>45798</v>
      </c>
      <c r="B473" s="8" t="s">
        <v>1320</v>
      </c>
      <c r="C473" s="14">
        <v>916000</v>
      </c>
      <c r="D473" s="14">
        <v>0</v>
      </c>
      <c r="E473" s="14">
        <f t="shared" si="10"/>
        <v>291185700.48000002</v>
      </c>
      <c r="F473" s="8" t="s">
        <v>62</v>
      </c>
      <c r="G473" s="8" t="s">
        <v>70</v>
      </c>
    </row>
    <row r="474" spans="1:9" s="8" customFormat="1">
      <c r="A474" s="13">
        <v>45798</v>
      </c>
      <c r="B474" s="8" t="s">
        <v>1321</v>
      </c>
      <c r="C474" s="14">
        <v>996000</v>
      </c>
      <c r="D474" s="14">
        <v>0</v>
      </c>
      <c r="E474" s="14">
        <f t="shared" si="10"/>
        <v>290189700.48000002</v>
      </c>
      <c r="F474" s="8" t="s">
        <v>62</v>
      </c>
      <c r="G474" s="8" t="s">
        <v>70</v>
      </c>
    </row>
    <row r="475" spans="1:9" s="8" customFormat="1">
      <c r="A475" s="13">
        <v>45798</v>
      </c>
      <c r="B475" s="8" t="s">
        <v>1322</v>
      </c>
      <c r="C475" s="14">
        <v>11000000</v>
      </c>
      <c r="D475" s="14">
        <v>0</v>
      </c>
      <c r="E475" s="14">
        <f t="shared" si="10"/>
        <v>279189700.48000002</v>
      </c>
      <c r="F475" s="8" t="s">
        <v>4</v>
      </c>
      <c r="G475" s="8" t="s">
        <v>5</v>
      </c>
      <c r="H475" s="146" t="s">
        <v>1609</v>
      </c>
    </row>
    <row r="476" spans="1:9" s="8" customFormat="1">
      <c r="A476" s="13">
        <v>45798</v>
      </c>
      <c r="B476" s="8" t="s">
        <v>1323</v>
      </c>
      <c r="C476" s="14">
        <v>100000000</v>
      </c>
      <c r="D476" s="14">
        <v>0</v>
      </c>
      <c r="E476" s="14">
        <f t="shared" si="10"/>
        <v>179189700.48000002</v>
      </c>
      <c r="F476" s="8" t="s">
        <v>4</v>
      </c>
      <c r="G476" s="8" t="s">
        <v>5</v>
      </c>
      <c r="H476" s="154" t="s">
        <v>1376</v>
      </c>
    </row>
    <row r="477" spans="1:9" s="8" customFormat="1">
      <c r="A477" s="13">
        <v>45801</v>
      </c>
      <c r="B477" s="8" t="s">
        <v>1324</v>
      </c>
      <c r="C477" s="14">
        <v>33000000</v>
      </c>
      <c r="D477" s="14">
        <v>0</v>
      </c>
      <c r="E477" s="14">
        <f t="shared" si="10"/>
        <v>146189700.48000002</v>
      </c>
      <c r="F477" s="8" t="s">
        <v>920</v>
      </c>
      <c r="G477" s="8" t="s">
        <v>400</v>
      </c>
      <c r="H477" s="8" t="s">
        <v>2139</v>
      </c>
    </row>
    <row r="478" spans="1:9" s="8" customFormat="1">
      <c r="A478" s="13">
        <v>45801</v>
      </c>
      <c r="B478" s="8" t="s">
        <v>5382</v>
      </c>
      <c r="C478" s="14">
        <v>23950500</v>
      </c>
      <c r="D478" s="14">
        <v>0</v>
      </c>
      <c r="E478" s="14">
        <f t="shared" si="10"/>
        <v>122239200.48000002</v>
      </c>
      <c r="F478" s="8" t="s">
        <v>4</v>
      </c>
      <c r="G478" s="8" t="s">
        <v>5</v>
      </c>
      <c r="H478" s="40" t="s">
        <v>1378</v>
      </c>
    </row>
    <row r="479" spans="1:9" s="8" customFormat="1">
      <c r="A479" s="13">
        <v>45801</v>
      </c>
      <c r="B479" s="8" t="s">
        <v>1325</v>
      </c>
      <c r="C479" s="14">
        <v>94000000</v>
      </c>
      <c r="D479" s="14">
        <v>0</v>
      </c>
      <c r="E479" s="14">
        <f t="shared" si="10"/>
        <v>28239200.480000019</v>
      </c>
      <c r="F479" s="8" t="s">
        <v>4</v>
      </c>
      <c r="G479" s="8" t="s">
        <v>5</v>
      </c>
      <c r="H479" s="154" t="s">
        <v>1376</v>
      </c>
    </row>
    <row r="480" spans="1:9" s="8" customFormat="1">
      <c r="A480" s="13">
        <v>45801</v>
      </c>
      <c r="B480" s="8" t="s">
        <v>1326</v>
      </c>
      <c r="C480" s="14">
        <v>4200000</v>
      </c>
      <c r="D480" s="14">
        <v>0</v>
      </c>
      <c r="E480" s="14">
        <f t="shared" si="10"/>
        <v>24039200.480000019</v>
      </c>
      <c r="F480" s="8" t="s">
        <v>4</v>
      </c>
      <c r="G480" s="8" t="s">
        <v>5</v>
      </c>
      <c r="H480" s="154" t="s">
        <v>1376</v>
      </c>
    </row>
    <row r="481" spans="1:9" s="8" customFormat="1">
      <c r="A481" s="13">
        <v>45804</v>
      </c>
      <c r="B481" s="8" t="s">
        <v>1327</v>
      </c>
      <c r="C481" s="14">
        <v>4200000</v>
      </c>
      <c r="D481" s="14">
        <v>0</v>
      </c>
      <c r="E481" s="14">
        <f t="shared" si="10"/>
        <v>19839200.480000019</v>
      </c>
      <c r="F481" s="8" t="s">
        <v>4</v>
      </c>
      <c r="G481" s="8" t="s">
        <v>5</v>
      </c>
      <c r="H481" s="40" t="s">
        <v>2326</v>
      </c>
    </row>
    <row r="482" spans="1:9" s="8" customFormat="1">
      <c r="A482" s="13">
        <v>45804</v>
      </c>
      <c r="B482" s="8" t="s">
        <v>1328</v>
      </c>
      <c r="C482" s="14">
        <v>1950000</v>
      </c>
      <c r="D482" s="14">
        <v>0</v>
      </c>
      <c r="E482" s="14">
        <f t="shared" si="10"/>
        <v>17889200.480000019</v>
      </c>
      <c r="F482" s="8" t="s">
        <v>4</v>
      </c>
      <c r="G482" s="8" t="s">
        <v>5</v>
      </c>
      <c r="H482" s="154" t="s">
        <v>1376</v>
      </c>
    </row>
    <row r="483" spans="1:9" s="8" customFormat="1">
      <c r="A483" s="13">
        <v>45804</v>
      </c>
      <c r="B483" s="8" t="s">
        <v>1329</v>
      </c>
      <c r="C483" s="14">
        <v>1875000</v>
      </c>
      <c r="D483" s="14">
        <v>0</v>
      </c>
      <c r="E483" s="14">
        <f t="shared" si="10"/>
        <v>16014200.480000019</v>
      </c>
      <c r="F483" s="8" t="s">
        <v>4</v>
      </c>
      <c r="G483" s="8" t="s">
        <v>5</v>
      </c>
      <c r="H483" s="40" t="s">
        <v>7814</v>
      </c>
      <c r="I483" s="40" t="s">
        <v>26</v>
      </c>
    </row>
    <row r="484" spans="1:9" s="8" customFormat="1">
      <c r="A484" s="13">
        <v>45804</v>
      </c>
      <c r="B484" s="8" t="s">
        <v>1330</v>
      </c>
      <c r="C484" s="14">
        <v>4200000</v>
      </c>
      <c r="D484" s="14">
        <v>0</v>
      </c>
      <c r="E484" s="14">
        <f t="shared" si="10"/>
        <v>11814200.480000019</v>
      </c>
      <c r="F484" s="8" t="s">
        <v>4</v>
      </c>
      <c r="G484" s="8" t="s">
        <v>5</v>
      </c>
      <c r="H484" s="154" t="s">
        <v>1376</v>
      </c>
    </row>
    <row r="485" spans="1:9" s="8" customFormat="1">
      <c r="A485" s="13">
        <v>45805</v>
      </c>
      <c r="B485" s="8" t="s">
        <v>333</v>
      </c>
      <c r="C485" s="14">
        <v>0</v>
      </c>
      <c r="D485" s="14">
        <v>250000000</v>
      </c>
      <c r="E485" s="14">
        <f t="shared" si="10"/>
        <v>261814200.48000002</v>
      </c>
      <c r="F485" t="s">
        <v>920</v>
      </c>
      <c r="G485" s="8" t="s">
        <v>4242</v>
      </c>
    </row>
    <row r="486" spans="1:9" s="8" customFormat="1">
      <c r="A486" s="13">
        <v>45805</v>
      </c>
      <c r="B486" s="8" t="s">
        <v>1331</v>
      </c>
      <c r="C486" s="54">
        <v>16380000</v>
      </c>
      <c r="D486" s="54">
        <v>0</v>
      </c>
      <c r="E486" s="54">
        <f t="shared" si="10"/>
        <v>245434200.48000002</v>
      </c>
      <c r="F486" s="8" t="s">
        <v>10</v>
      </c>
      <c r="G486" s="8" t="s">
        <v>446</v>
      </c>
      <c r="H486" s="8" t="s">
        <v>1461</v>
      </c>
      <c r="I486" s="8" t="s">
        <v>26</v>
      </c>
    </row>
    <row r="487" spans="1:9" s="8" customFormat="1">
      <c r="A487" s="13">
        <v>45805</v>
      </c>
      <c r="B487" s="8" t="s">
        <v>1332</v>
      </c>
      <c r="C487" s="14">
        <v>6540000</v>
      </c>
      <c r="D487" s="14">
        <v>0</v>
      </c>
      <c r="E487" s="14">
        <f t="shared" si="10"/>
        <v>238894200.48000002</v>
      </c>
      <c r="F487" s="8" t="s">
        <v>4</v>
      </c>
      <c r="G487" s="8" t="s">
        <v>5</v>
      </c>
      <c r="H487" s="40" t="s">
        <v>2326</v>
      </c>
    </row>
    <row r="488" spans="1:9" s="8" customFormat="1">
      <c r="A488" s="13">
        <v>45805</v>
      </c>
      <c r="B488" s="8" t="s">
        <v>1333</v>
      </c>
      <c r="C488" s="14">
        <v>19436000</v>
      </c>
      <c r="D488" s="14">
        <v>0</v>
      </c>
      <c r="E488" s="14">
        <f t="shared" si="10"/>
        <v>219458200.48000002</v>
      </c>
      <c r="F488" s="8" t="s">
        <v>4</v>
      </c>
      <c r="G488" s="8" t="s">
        <v>5</v>
      </c>
      <c r="H488" s="40" t="s">
        <v>2326</v>
      </c>
    </row>
    <row r="489" spans="1:9" s="8" customFormat="1">
      <c r="A489" s="13">
        <v>45806</v>
      </c>
      <c r="B489" s="8" t="s">
        <v>1334</v>
      </c>
      <c r="C489" s="14">
        <v>15260000</v>
      </c>
      <c r="D489" s="14">
        <v>0</v>
      </c>
      <c r="E489" s="14">
        <f t="shared" si="10"/>
        <v>204198200.48000002</v>
      </c>
      <c r="F489" s="8" t="s">
        <v>4</v>
      </c>
      <c r="G489" s="8" t="s">
        <v>5</v>
      </c>
      <c r="H489" s="40" t="s">
        <v>2326</v>
      </c>
    </row>
    <row r="490" spans="1:9" s="8" customFormat="1">
      <c r="A490" s="13">
        <v>45808</v>
      </c>
      <c r="B490" s="8" t="s">
        <v>334</v>
      </c>
      <c r="C490" s="14">
        <v>30000</v>
      </c>
      <c r="D490" s="14">
        <v>0</v>
      </c>
      <c r="E490" s="14">
        <f t="shared" si="10"/>
        <v>204168200.48000002</v>
      </c>
      <c r="F490" s="8" t="s">
        <v>19</v>
      </c>
      <c r="G490" s="8" t="s">
        <v>189</v>
      </c>
    </row>
    <row r="491" spans="1:9" s="8" customFormat="1">
      <c r="A491" s="13">
        <v>45812</v>
      </c>
      <c r="B491" s="8" t="s">
        <v>1920</v>
      </c>
      <c r="C491" s="54">
        <v>1500000</v>
      </c>
      <c r="D491" s="54">
        <v>0</v>
      </c>
      <c r="E491" s="54">
        <f t="shared" si="10"/>
        <v>202668200.48000002</v>
      </c>
      <c r="F491" s="8" t="s">
        <v>10</v>
      </c>
      <c r="G491" s="8" t="s">
        <v>446</v>
      </c>
      <c r="H491" s="40" t="s">
        <v>2324</v>
      </c>
      <c r="I491" s="8" t="s">
        <v>26</v>
      </c>
    </row>
    <row r="492" spans="1:9" s="8" customFormat="1">
      <c r="A492" s="13">
        <v>45812</v>
      </c>
      <c r="B492" s="8" t="s">
        <v>1921</v>
      </c>
      <c r="C492" s="14">
        <v>3135000</v>
      </c>
      <c r="D492" s="14">
        <v>0</v>
      </c>
      <c r="E492" s="14">
        <f t="shared" si="10"/>
        <v>199533200.48000002</v>
      </c>
      <c r="F492" s="8" t="s">
        <v>4</v>
      </c>
      <c r="G492" s="8" t="s">
        <v>5</v>
      </c>
      <c r="H492" s="40" t="s">
        <v>2326</v>
      </c>
    </row>
    <row r="493" spans="1:9" s="8" customFormat="1">
      <c r="A493" s="13">
        <v>45812</v>
      </c>
      <c r="B493" s="8" t="s">
        <v>1922</v>
      </c>
      <c r="C493" s="14">
        <v>29154000</v>
      </c>
      <c r="D493" s="14">
        <v>0</v>
      </c>
      <c r="E493" s="14">
        <f t="shared" si="10"/>
        <v>170379200.48000002</v>
      </c>
      <c r="F493" s="8" t="s">
        <v>4</v>
      </c>
      <c r="G493" s="8" t="s">
        <v>5</v>
      </c>
      <c r="H493" s="40" t="s">
        <v>2326</v>
      </c>
    </row>
    <row r="494" spans="1:9" s="8" customFormat="1">
      <c r="A494" s="13">
        <v>45812</v>
      </c>
      <c r="B494" s="8" t="s">
        <v>1923</v>
      </c>
      <c r="C494" s="14">
        <v>8400000</v>
      </c>
      <c r="D494" s="14">
        <v>0</v>
      </c>
      <c r="E494" s="14">
        <f t="shared" si="10"/>
        <v>161979200.48000002</v>
      </c>
      <c r="F494" s="8" t="s">
        <v>4</v>
      </c>
      <c r="G494" s="8" t="s">
        <v>5</v>
      </c>
      <c r="H494" s="40" t="s">
        <v>2326</v>
      </c>
    </row>
    <row r="495" spans="1:9" s="8" customFormat="1">
      <c r="A495" s="13">
        <v>45812</v>
      </c>
      <c r="B495" s="8" t="s">
        <v>1924</v>
      </c>
      <c r="C495" s="54">
        <v>1000000</v>
      </c>
      <c r="D495" s="54">
        <v>0</v>
      </c>
      <c r="E495" s="14">
        <f t="shared" si="10"/>
        <v>160979200.48000002</v>
      </c>
      <c r="F495" s="8" t="s">
        <v>10</v>
      </c>
      <c r="G495" s="8" t="s">
        <v>446</v>
      </c>
      <c r="H495" s="40" t="s">
        <v>2324</v>
      </c>
      <c r="I495" s="8" t="s">
        <v>26</v>
      </c>
    </row>
    <row r="496" spans="1:9" s="8" customFormat="1">
      <c r="A496" s="13">
        <v>45812</v>
      </c>
      <c r="B496" s="8" t="s">
        <v>1925</v>
      </c>
      <c r="C496" s="14">
        <v>1000000</v>
      </c>
      <c r="D496" s="14">
        <v>0</v>
      </c>
      <c r="E496" s="14">
        <f t="shared" si="10"/>
        <v>159979200.48000002</v>
      </c>
      <c r="F496" s="8" t="s">
        <v>21</v>
      </c>
      <c r="G496" s="8" t="s">
        <v>187</v>
      </c>
    </row>
    <row r="497" spans="1:9" s="8" customFormat="1">
      <c r="A497" s="13">
        <v>45812</v>
      </c>
      <c r="B497" s="8" t="s">
        <v>1926</v>
      </c>
      <c r="C497" s="54">
        <v>1000000</v>
      </c>
      <c r="D497" s="54">
        <v>0</v>
      </c>
      <c r="E497" s="14">
        <f t="shared" si="10"/>
        <v>158979200.48000002</v>
      </c>
      <c r="F497" s="8" t="s">
        <v>10</v>
      </c>
      <c r="G497" s="8" t="s">
        <v>446</v>
      </c>
      <c r="H497" s="40" t="s">
        <v>2324</v>
      </c>
      <c r="I497" s="8" t="s">
        <v>26</v>
      </c>
    </row>
    <row r="498" spans="1:9" s="8" customFormat="1">
      <c r="A498" s="13">
        <v>45812</v>
      </c>
      <c r="B498" s="8" t="s">
        <v>7071</v>
      </c>
      <c r="C498" s="54">
        <v>11907198</v>
      </c>
      <c r="D498" s="54">
        <v>0</v>
      </c>
      <c r="E498" s="54">
        <f t="shared" si="10"/>
        <v>147072002.48000002</v>
      </c>
      <c r="F498" s="8" t="s">
        <v>4</v>
      </c>
      <c r="G498" s="8" t="s">
        <v>5</v>
      </c>
      <c r="H498" s="8" t="s">
        <v>2238</v>
      </c>
    </row>
    <row r="499" spans="1:9" s="8" customFormat="1">
      <c r="A499" s="13">
        <v>45812</v>
      </c>
      <c r="B499" s="8" t="s">
        <v>7071</v>
      </c>
      <c r="C499" s="54">
        <v>1309791</v>
      </c>
      <c r="D499" s="54">
        <v>0</v>
      </c>
      <c r="E499" s="54">
        <f t="shared" si="10"/>
        <v>145762211.48000002</v>
      </c>
      <c r="F499" s="8" t="s">
        <v>920</v>
      </c>
      <c r="G499" s="8" t="s">
        <v>7855</v>
      </c>
      <c r="H499" s="8" t="s">
        <v>7032</v>
      </c>
      <c r="I499" s="8" t="s">
        <v>7069</v>
      </c>
    </row>
    <row r="500" spans="1:9" s="8" customFormat="1">
      <c r="A500" s="13">
        <v>45812</v>
      </c>
      <c r="B500" s="8" t="s">
        <v>7071</v>
      </c>
      <c r="C500" s="54">
        <v>0</v>
      </c>
      <c r="D500" s="54">
        <f>C498+C499-12978845</f>
        <v>238144</v>
      </c>
      <c r="E500" s="54">
        <f t="shared" si="10"/>
        <v>146000355.48000002</v>
      </c>
      <c r="F500" s="8" t="s">
        <v>920</v>
      </c>
      <c r="G500" s="8" t="s">
        <v>4242</v>
      </c>
      <c r="H500" s="8" t="s">
        <v>88</v>
      </c>
      <c r="I500" s="8" t="s">
        <v>7069</v>
      </c>
    </row>
    <row r="501" spans="1:9" s="8" customFormat="1">
      <c r="A501" s="13">
        <v>45812</v>
      </c>
      <c r="B501" s="8" t="s">
        <v>1927</v>
      </c>
      <c r="C501" s="14">
        <v>1827650</v>
      </c>
      <c r="D501" s="14">
        <v>0</v>
      </c>
      <c r="E501" s="14">
        <f t="shared" si="10"/>
        <v>144172705.48000002</v>
      </c>
      <c r="F501" s="8" t="s">
        <v>62</v>
      </c>
      <c r="G501" s="8" t="s">
        <v>70</v>
      </c>
    </row>
    <row r="502" spans="1:9" s="8" customFormat="1">
      <c r="A502" s="13">
        <v>45812</v>
      </c>
      <c r="B502" s="8" t="s">
        <v>5383</v>
      </c>
      <c r="C502" s="54">
        <v>9262280</v>
      </c>
      <c r="D502" s="54">
        <v>0</v>
      </c>
      <c r="E502" s="54">
        <f t="shared" si="10"/>
        <v>134910425.48000002</v>
      </c>
      <c r="F502" s="8" t="s">
        <v>4</v>
      </c>
      <c r="G502" s="8" t="s">
        <v>5</v>
      </c>
      <c r="H502" s="40" t="s">
        <v>2238</v>
      </c>
    </row>
    <row r="503" spans="1:9" s="8" customFormat="1">
      <c r="A503" s="13">
        <v>45812</v>
      </c>
      <c r="B503" s="8" t="s">
        <v>1928</v>
      </c>
      <c r="C503" s="54">
        <v>2650000</v>
      </c>
      <c r="D503" s="54">
        <v>0</v>
      </c>
      <c r="E503" s="54">
        <f t="shared" si="10"/>
        <v>132260425.48000002</v>
      </c>
      <c r="F503" s="8" t="s">
        <v>4</v>
      </c>
      <c r="G503" s="8" t="s">
        <v>5</v>
      </c>
      <c r="H503" s="40" t="s">
        <v>2238</v>
      </c>
    </row>
    <row r="504" spans="1:9" s="8" customFormat="1">
      <c r="A504" s="13">
        <v>45812</v>
      </c>
      <c r="B504" s="8" t="s">
        <v>7060</v>
      </c>
      <c r="C504" s="54">
        <v>30121834</v>
      </c>
      <c r="D504" s="54">
        <v>0</v>
      </c>
      <c r="E504" s="54">
        <f t="shared" si="10"/>
        <v>102138591.48000002</v>
      </c>
      <c r="F504" s="8" t="s">
        <v>4</v>
      </c>
      <c r="G504" s="8" t="s">
        <v>5</v>
      </c>
      <c r="H504" s="40" t="s">
        <v>2238</v>
      </c>
    </row>
    <row r="505" spans="1:9" s="8" customFormat="1">
      <c r="A505" s="13">
        <v>45812</v>
      </c>
      <c r="B505" s="8" t="s">
        <v>7060</v>
      </c>
      <c r="C505" s="54">
        <v>3313402</v>
      </c>
      <c r="D505" s="54">
        <v>0</v>
      </c>
      <c r="E505" s="54">
        <f t="shared" si="10"/>
        <v>98825189.480000019</v>
      </c>
      <c r="F505" s="8" t="s">
        <v>920</v>
      </c>
      <c r="G505" s="8" t="s">
        <v>7855</v>
      </c>
      <c r="H505" s="8" t="s">
        <v>7032</v>
      </c>
      <c r="I505" s="8" t="s">
        <v>4596</v>
      </c>
    </row>
    <row r="506" spans="1:9" s="8" customFormat="1">
      <c r="A506" s="13">
        <v>45812</v>
      </c>
      <c r="B506" s="8" t="s">
        <v>7060</v>
      </c>
      <c r="C506" s="54">
        <v>0</v>
      </c>
      <c r="D506" s="54">
        <f>C504+C505-32832799</f>
        <v>602437</v>
      </c>
      <c r="E506" s="54">
        <f t="shared" si="10"/>
        <v>99427626.480000019</v>
      </c>
      <c r="F506" s="8" t="s">
        <v>920</v>
      </c>
      <c r="G506" s="8" t="s">
        <v>4242</v>
      </c>
      <c r="H506" s="8" t="s">
        <v>88</v>
      </c>
      <c r="I506" s="8" t="s">
        <v>4596</v>
      </c>
    </row>
    <row r="507" spans="1:9" s="8" customFormat="1">
      <c r="A507" s="13">
        <v>45812</v>
      </c>
      <c r="B507" s="8" t="s">
        <v>7116</v>
      </c>
      <c r="C507" s="54">
        <v>8607444</v>
      </c>
      <c r="D507" s="54">
        <v>0</v>
      </c>
      <c r="E507" s="54">
        <f t="shared" si="10"/>
        <v>90820182.480000019</v>
      </c>
      <c r="F507" s="8" t="s">
        <v>4</v>
      </c>
      <c r="G507" s="8" t="s">
        <v>5</v>
      </c>
      <c r="H507" s="40" t="s">
        <v>2238</v>
      </c>
    </row>
    <row r="508" spans="1:9" s="8" customFormat="1">
      <c r="A508" s="13">
        <v>45812</v>
      </c>
      <c r="B508" s="8" t="s">
        <v>7116</v>
      </c>
      <c r="C508" s="54">
        <v>946819</v>
      </c>
      <c r="D508" s="54">
        <v>0</v>
      </c>
      <c r="E508" s="54">
        <f t="shared" ref="E508:E513" si="11">E507-C508+D508</f>
        <v>89873363.480000019</v>
      </c>
      <c r="F508" s="8" t="s">
        <v>920</v>
      </c>
      <c r="G508" s="8" t="s">
        <v>7855</v>
      </c>
      <c r="H508" s="8" t="s">
        <v>7032</v>
      </c>
      <c r="I508" s="8" t="s">
        <v>7052</v>
      </c>
    </row>
    <row r="509" spans="1:9" s="8" customFormat="1">
      <c r="A509" s="13">
        <v>45812</v>
      </c>
      <c r="B509" s="8" t="s">
        <v>7116</v>
      </c>
      <c r="C509" s="54">
        <v>0</v>
      </c>
      <c r="D509" s="54">
        <f>C507+C508-9382114</f>
        <v>172149</v>
      </c>
      <c r="E509" s="54">
        <f t="shared" si="11"/>
        <v>90045512.480000019</v>
      </c>
      <c r="F509" s="8" t="s">
        <v>920</v>
      </c>
      <c r="G509" s="8" t="s">
        <v>4242</v>
      </c>
      <c r="H509" s="8" t="s">
        <v>88</v>
      </c>
      <c r="I509" s="8" t="s">
        <v>7052</v>
      </c>
    </row>
    <row r="510" spans="1:9" s="8" customFormat="1">
      <c r="A510" s="13">
        <v>45812</v>
      </c>
      <c r="B510" s="8" t="s">
        <v>7116</v>
      </c>
      <c r="C510" s="54">
        <f>9382114-C507-C508+D509</f>
        <v>0</v>
      </c>
      <c r="D510" s="54">
        <v>0</v>
      </c>
      <c r="E510" s="54">
        <f t="shared" si="11"/>
        <v>90045512.480000019</v>
      </c>
      <c r="F510" s="8" t="s">
        <v>4</v>
      </c>
      <c r="G510" s="8" t="s">
        <v>5</v>
      </c>
      <c r="H510" s="40" t="s">
        <v>2238</v>
      </c>
    </row>
    <row r="511" spans="1:9" s="8" customFormat="1">
      <c r="A511" s="13">
        <v>45812</v>
      </c>
      <c r="B511" s="8" t="s">
        <v>1929</v>
      </c>
      <c r="C511" s="14">
        <v>7254370</v>
      </c>
      <c r="D511" s="14">
        <v>0</v>
      </c>
      <c r="E511" s="14">
        <f t="shared" si="11"/>
        <v>82791142.480000019</v>
      </c>
      <c r="F511" s="8" t="s">
        <v>920</v>
      </c>
      <c r="G511" s="8" t="s">
        <v>400</v>
      </c>
      <c r="H511" s="8" t="s">
        <v>5301</v>
      </c>
    </row>
    <row r="512" spans="1:9" s="8" customFormat="1">
      <c r="A512" s="13">
        <v>45812</v>
      </c>
      <c r="B512" s="8" t="s">
        <v>1930</v>
      </c>
      <c r="C512" s="14">
        <v>3294380</v>
      </c>
      <c r="D512" s="14">
        <v>0</v>
      </c>
      <c r="E512" s="14">
        <f t="shared" si="11"/>
        <v>79496762.480000019</v>
      </c>
      <c r="F512" s="8" t="s">
        <v>920</v>
      </c>
      <c r="G512" s="8" t="s">
        <v>400</v>
      </c>
      <c r="H512" s="8" t="s">
        <v>5294</v>
      </c>
    </row>
    <row r="513" spans="1:9" s="8" customFormat="1">
      <c r="A513" s="13">
        <v>45818</v>
      </c>
      <c r="B513" s="8" t="s">
        <v>1931</v>
      </c>
      <c r="C513" s="14">
        <v>66936</v>
      </c>
      <c r="D513" s="14">
        <v>0</v>
      </c>
      <c r="E513" s="14">
        <f t="shared" si="11"/>
        <v>79429826.480000019</v>
      </c>
      <c r="F513" s="8" t="s">
        <v>8</v>
      </c>
      <c r="G513" s="8" t="s">
        <v>31</v>
      </c>
    </row>
    <row r="514" spans="1:9" s="8" customFormat="1">
      <c r="A514" s="13">
        <v>45818</v>
      </c>
      <c r="B514" s="8" t="s">
        <v>1932</v>
      </c>
      <c r="C514" s="14">
        <v>66936</v>
      </c>
      <c r="D514" s="14">
        <v>0</v>
      </c>
      <c r="E514" s="54">
        <f t="shared" ref="E514:E516" si="12">E513-C514+D514</f>
        <v>79362890.480000019</v>
      </c>
      <c r="F514" s="8" t="s">
        <v>8</v>
      </c>
      <c r="G514" s="8" t="s">
        <v>31</v>
      </c>
    </row>
    <row r="515" spans="1:9" s="8" customFormat="1">
      <c r="A515" s="13">
        <v>45818</v>
      </c>
      <c r="B515" s="8" t="s">
        <v>1933</v>
      </c>
      <c r="C515" s="14">
        <v>66936</v>
      </c>
      <c r="D515" s="14">
        <v>0</v>
      </c>
      <c r="E515" s="54">
        <f t="shared" si="12"/>
        <v>79295954.480000019</v>
      </c>
      <c r="F515" s="8" t="s">
        <v>8</v>
      </c>
      <c r="G515" s="8" t="s">
        <v>31</v>
      </c>
    </row>
    <row r="516" spans="1:9" s="8" customFormat="1">
      <c r="A516" s="13">
        <v>45818</v>
      </c>
      <c r="B516" s="8" t="s">
        <v>1934</v>
      </c>
      <c r="C516" s="14">
        <v>66936</v>
      </c>
      <c r="D516" s="14">
        <v>0</v>
      </c>
      <c r="E516" s="54">
        <f t="shared" si="12"/>
        <v>79229018.480000019</v>
      </c>
      <c r="F516" s="8" t="s">
        <v>8</v>
      </c>
      <c r="G516" s="8" t="s">
        <v>31</v>
      </c>
    </row>
    <row r="517" spans="1:9" s="8" customFormat="1">
      <c r="A517" s="13">
        <v>45818</v>
      </c>
      <c r="B517" s="8" t="s">
        <v>1935</v>
      </c>
      <c r="C517" s="14">
        <v>66936</v>
      </c>
      <c r="D517" s="14">
        <v>0</v>
      </c>
      <c r="E517" s="14">
        <f t="shared" ref="E517" si="13">E516-C517+D517</f>
        <v>79162082.480000019</v>
      </c>
      <c r="F517" s="8" t="s">
        <v>8</v>
      </c>
      <c r="G517" s="8" t="s">
        <v>31</v>
      </c>
    </row>
    <row r="518" spans="1:9" s="8" customFormat="1">
      <c r="A518" s="13">
        <v>45818</v>
      </c>
      <c r="B518" s="8" t="s">
        <v>1936</v>
      </c>
      <c r="C518" s="14">
        <v>66936</v>
      </c>
      <c r="D518" s="14">
        <v>0</v>
      </c>
      <c r="E518" s="14">
        <f t="shared" ref="E518:E588" si="14">E517-C518+D518</f>
        <v>79095146.480000019</v>
      </c>
      <c r="F518" s="8" t="s">
        <v>8</v>
      </c>
      <c r="G518" s="8" t="s">
        <v>31</v>
      </c>
    </row>
    <row r="519" spans="1:9" s="8" customFormat="1">
      <c r="A519" s="13">
        <v>45818</v>
      </c>
      <c r="B519" s="8" t="s">
        <v>1937</v>
      </c>
      <c r="C519" s="14">
        <v>103522</v>
      </c>
      <c r="D519" s="14">
        <v>0</v>
      </c>
      <c r="E519" s="14">
        <f t="shared" si="14"/>
        <v>78991624.480000019</v>
      </c>
      <c r="F519" s="8" t="s">
        <v>8</v>
      </c>
      <c r="G519" s="8" t="s">
        <v>31</v>
      </c>
    </row>
    <row r="520" spans="1:9" s="8" customFormat="1">
      <c r="A520" s="13">
        <v>45818</v>
      </c>
      <c r="B520" s="8" t="s">
        <v>7204</v>
      </c>
      <c r="C520" s="14">
        <v>2940000</v>
      </c>
      <c r="D520" s="14">
        <v>0</v>
      </c>
      <c r="E520" s="14">
        <f t="shared" si="14"/>
        <v>76051624.480000019</v>
      </c>
      <c r="F520" s="8" t="s">
        <v>4</v>
      </c>
      <c r="G520" s="8" t="s">
        <v>5</v>
      </c>
      <c r="H520" s="40" t="s">
        <v>2235</v>
      </c>
    </row>
    <row r="521" spans="1:9" s="8" customFormat="1">
      <c r="A521" s="13">
        <v>45818</v>
      </c>
      <c r="B521" s="8" t="s">
        <v>1938</v>
      </c>
      <c r="C521" s="14">
        <v>7700000</v>
      </c>
      <c r="D521" s="14">
        <v>0</v>
      </c>
      <c r="E521" s="14">
        <f t="shared" si="14"/>
        <v>68351624.480000019</v>
      </c>
      <c r="F521" s="8" t="s">
        <v>4</v>
      </c>
      <c r="G521" s="8" t="s">
        <v>5</v>
      </c>
      <c r="H521" s="154" t="s">
        <v>1376</v>
      </c>
    </row>
    <row r="522" spans="1:9" s="8" customFormat="1">
      <c r="A522" s="13">
        <v>45818</v>
      </c>
      <c r="B522" s="8" t="s">
        <v>1939</v>
      </c>
      <c r="C522" s="14">
        <v>2500000</v>
      </c>
      <c r="D522" s="14">
        <v>0</v>
      </c>
      <c r="E522" s="14">
        <f t="shared" si="14"/>
        <v>65851624.480000019</v>
      </c>
      <c r="F522" s="8" t="s">
        <v>4</v>
      </c>
      <c r="G522" s="8" t="s">
        <v>5</v>
      </c>
      <c r="H522" s="40" t="s">
        <v>2326</v>
      </c>
    </row>
    <row r="523" spans="1:9" s="8" customFormat="1">
      <c r="A523" s="13">
        <v>45818</v>
      </c>
      <c r="B523" s="8" t="s">
        <v>7084</v>
      </c>
      <c r="C523" s="54">
        <v>3500000</v>
      </c>
      <c r="D523" s="54">
        <v>0</v>
      </c>
      <c r="E523" s="54">
        <f t="shared" si="14"/>
        <v>62351624.480000019</v>
      </c>
      <c r="F523" s="8" t="s">
        <v>8</v>
      </c>
      <c r="G523" s="8" t="s">
        <v>32</v>
      </c>
    </row>
    <row r="524" spans="1:9" s="8" customFormat="1">
      <c r="A524" s="13">
        <v>45818</v>
      </c>
      <c r="B524" s="8" t="s">
        <v>7084</v>
      </c>
      <c r="C524" s="54">
        <v>385000</v>
      </c>
      <c r="D524" s="54">
        <v>0</v>
      </c>
      <c r="E524" s="54">
        <f t="shared" si="14"/>
        <v>61966624.480000019</v>
      </c>
      <c r="F524" s="8" t="s">
        <v>920</v>
      </c>
      <c r="G524" s="8" t="s">
        <v>7855</v>
      </c>
      <c r="H524" s="8" t="s">
        <v>7032</v>
      </c>
      <c r="I524" s="8" t="s">
        <v>4560</v>
      </c>
    </row>
    <row r="525" spans="1:9" s="8" customFormat="1">
      <c r="A525" s="13">
        <v>45818</v>
      </c>
      <c r="B525" s="8" t="s">
        <v>7084</v>
      </c>
      <c r="C525" s="54">
        <v>0</v>
      </c>
      <c r="D525" s="54">
        <f>C523+C524-3815000</f>
        <v>70000</v>
      </c>
      <c r="E525" s="54">
        <f t="shared" si="14"/>
        <v>62036624.480000019</v>
      </c>
      <c r="F525" s="8" t="s">
        <v>920</v>
      </c>
      <c r="G525" s="8" t="s">
        <v>4242</v>
      </c>
      <c r="H525" s="8" t="s">
        <v>88</v>
      </c>
      <c r="I525" s="8" t="s">
        <v>4560</v>
      </c>
    </row>
    <row r="526" spans="1:9" s="8" customFormat="1">
      <c r="A526" s="13">
        <v>45818</v>
      </c>
      <c r="B526" s="8" t="s">
        <v>7072</v>
      </c>
      <c r="C526" s="54">
        <v>675676</v>
      </c>
      <c r="D526" s="54">
        <v>0</v>
      </c>
      <c r="E526" s="54">
        <f t="shared" si="14"/>
        <v>61360948.480000019</v>
      </c>
      <c r="F526" s="8" t="s">
        <v>8</v>
      </c>
      <c r="G526" s="8" t="s">
        <v>9</v>
      </c>
    </row>
    <row r="527" spans="1:9" s="8" customFormat="1">
      <c r="A527" s="13">
        <v>45818</v>
      </c>
      <c r="B527" s="8" t="s">
        <v>7072</v>
      </c>
      <c r="C527" s="54">
        <v>74324</v>
      </c>
      <c r="D527" s="54">
        <v>0</v>
      </c>
      <c r="E527" s="54">
        <f t="shared" si="14"/>
        <v>61286624.480000019</v>
      </c>
      <c r="F527" s="8" t="s">
        <v>920</v>
      </c>
      <c r="G527" s="8" t="s">
        <v>7855</v>
      </c>
      <c r="H527" s="8" t="s">
        <v>7032</v>
      </c>
      <c r="I527" s="8" t="s">
        <v>7069</v>
      </c>
    </row>
    <row r="528" spans="1:9" s="8" customFormat="1">
      <c r="A528" s="13">
        <v>45818</v>
      </c>
      <c r="B528" s="8" t="s">
        <v>7072</v>
      </c>
      <c r="C528" s="54">
        <v>0</v>
      </c>
      <c r="D528" s="54">
        <f>C526+C527-736486</f>
        <v>13514</v>
      </c>
      <c r="E528" s="54">
        <f t="shared" si="14"/>
        <v>61300138.480000019</v>
      </c>
      <c r="F528" s="8" t="s">
        <v>920</v>
      </c>
      <c r="G528" s="8" t="s">
        <v>4242</v>
      </c>
      <c r="H528" s="8" t="s">
        <v>88</v>
      </c>
      <c r="I528" s="8" t="s">
        <v>7069</v>
      </c>
    </row>
    <row r="529" spans="1:9" s="8" customFormat="1">
      <c r="A529" s="13">
        <v>45818</v>
      </c>
      <c r="B529" s="8" t="s">
        <v>1940</v>
      </c>
      <c r="C529" s="54">
        <v>2000000</v>
      </c>
      <c r="D529" s="54">
        <v>0</v>
      </c>
      <c r="E529" s="14">
        <f t="shared" si="14"/>
        <v>59300138.480000019</v>
      </c>
      <c r="F529" s="8" t="s">
        <v>10</v>
      </c>
      <c r="G529" s="8" t="s">
        <v>446</v>
      </c>
      <c r="H529" s="40" t="s">
        <v>2324</v>
      </c>
      <c r="I529" s="8" t="s">
        <v>26</v>
      </c>
    </row>
    <row r="530" spans="1:9" s="8" customFormat="1">
      <c r="A530" s="13">
        <v>45818</v>
      </c>
      <c r="B530" s="8" t="s">
        <v>1941</v>
      </c>
      <c r="C530" s="54">
        <v>12800000</v>
      </c>
      <c r="D530" s="54">
        <v>0</v>
      </c>
      <c r="E530" s="14">
        <f t="shared" si="14"/>
        <v>46500138.480000019</v>
      </c>
      <c r="F530" s="8" t="s">
        <v>10</v>
      </c>
      <c r="G530" s="8" t="s">
        <v>446</v>
      </c>
      <c r="H530" s="40" t="s">
        <v>2324</v>
      </c>
      <c r="I530" s="8" t="s">
        <v>26</v>
      </c>
    </row>
    <row r="531" spans="1:9" s="8" customFormat="1">
      <c r="A531" s="13">
        <v>45818</v>
      </c>
      <c r="B531" s="8" t="s">
        <v>1942</v>
      </c>
      <c r="C531" s="54">
        <v>560000</v>
      </c>
      <c r="D531" s="54">
        <v>0</v>
      </c>
      <c r="E531" s="14">
        <f t="shared" si="14"/>
        <v>45940138.480000019</v>
      </c>
      <c r="F531" s="8" t="s">
        <v>10</v>
      </c>
      <c r="G531" s="8" t="s">
        <v>446</v>
      </c>
      <c r="H531" s="40" t="s">
        <v>2324</v>
      </c>
      <c r="I531" s="8" t="s">
        <v>26</v>
      </c>
    </row>
    <row r="532" spans="1:9" s="8" customFormat="1">
      <c r="A532" s="13">
        <v>45818</v>
      </c>
      <c r="B532" s="8" t="s">
        <v>1943</v>
      </c>
      <c r="C532" s="14">
        <v>1063000</v>
      </c>
      <c r="D532" s="14">
        <v>0</v>
      </c>
      <c r="E532" s="14">
        <f t="shared" si="14"/>
        <v>44877138.480000019</v>
      </c>
      <c r="F532" s="8" t="s">
        <v>62</v>
      </c>
      <c r="G532" s="8" t="s">
        <v>70</v>
      </c>
    </row>
    <row r="533" spans="1:9" s="8" customFormat="1">
      <c r="A533" s="13">
        <v>45818</v>
      </c>
      <c r="B533" s="8" t="s">
        <v>1944</v>
      </c>
      <c r="C533" s="14">
        <v>3161339</v>
      </c>
      <c r="D533" s="14">
        <v>0</v>
      </c>
      <c r="E533" s="14">
        <f t="shared" si="14"/>
        <v>41715799.480000019</v>
      </c>
      <c r="F533" s="8" t="s">
        <v>920</v>
      </c>
      <c r="G533" s="8" t="s">
        <v>400</v>
      </c>
      <c r="H533" s="8" t="s">
        <v>2139</v>
      </c>
    </row>
    <row r="534" spans="1:9" s="8" customFormat="1">
      <c r="A534" s="13">
        <v>45820</v>
      </c>
      <c r="B534" s="8" t="s">
        <v>1945</v>
      </c>
      <c r="C534" s="14">
        <v>15000000</v>
      </c>
      <c r="D534" s="14">
        <v>0</v>
      </c>
      <c r="E534" s="14">
        <f t="shared" si="14"/>
        <v>26715799.480000019</v>
      </c>
      <c r="F534" s="8" t="s">
        <v>4</v>
      </c>
      <c r="G534" s="8" t="s">
        <v>5</v>
      </c>
      <c r="H534" s="40" t="s">
        <v>2235</v>
      </c>
    </row>
    <row r="535" spans="1:9" s="8" customFormat="1">
      <c r="A535" s="13">
        <v>45820</v>
      </c>
      <c r="B535" s="8" t="s">
        <v>7203</v>
      </c>
      <c r="C535" s="54">
        <f>11760000+D536</f>
        <v>12054000</v>
      </c>
      <c r="D535" s="54">
        <v>0</v>
      </c>
      <c r="E535" s="54">
        <f t="shared" si="14"/>
        <v>14661799.480000019</v>
      </c>
      <c r="F535" s="8" t="s">
        <v>4</v>
      </c>
      <c r="G535" s="8" t="s">
        <v>5</v>
      </c>
      <c r="H535" s="40" t="s">
        <v>2235</v>
      </c>
    </row>
    <row r="536" spans="1:9" s="8" customFormat="1">
      <c r="A536" s="13">
        <v>45820</v>
      </c>
      <c r="B536" s="8" t="s">
        <v>7203</v>
      </c>
      <c r="C536" s="54">
        <v>0</v>
      </c>
      <c r="D536" s="54">
        <v>294000</v>
      </c>
      <c r="E536" s="14">
        <f t="shared" si="14"/>
        <v>14955799.480000019</v>
      </c>
      <c r="F536" s="8" t="s">
        <v>920</v>
      </c>
      <c r="G536" s="8" t="s">
        <v>4242</v>
      </c>
      <c r="H536" s="40" t="s">
        <v>88</v>
      </c>
      <c r="I536" s="8" t="s">
        <v>4560</v>
      </c>
    </row>
    <row r="537" spans="1:9" s="8" customFormat="1">
      <c r="A537" s="13">
        <v>45820</v>
      </c>
      <c r="B537" s="8" t="s">
        <v>1946</v>
      </c>
      <c r="C537" s="14">
        <v>3000000</v>
      </c>
      <c r="D537" s="14">
        <v>0</v>
      </c>
      <c r="E537" s="14">
        <f t="shared" si="14"/>
        <v>11955799.480000019</v>
      </c>
      <c r="F537" s="8" t="s">
        <v>4</v>
      </c>
      <c r="G537" s="8" t="s">
        <v>5</v>
      </c>
      <c r="H537" s="40" t="s">
        <v>2326</v>
      </c>
    </row>
    <row r="538" spans="1:9" s="8" customFormat="1">
      <c r="A538" s="13">
        <v>45820</v>
      </c>
      <c r="B538" s="8" t="s">
        <v>1947</v>
      </c>
      <c r="C538" s="14">
        <v>5000000</v>
      </c>
      <c r="D538" s="14">
        <v>0</v>
      </c>
      <c r="E538" s="14">
        <f t="shared" si="14"/>
        <v>6955799.4800000191</v>
      </c>
      <c r="F538" s="8" t="s">
        <v>4</v>
      </c>
      <c r="G538" s="8" t="s">
        <v>5</v>
      </c>
      <c r="H538" s="40" t="s">
        <v>2326</v>
      </c>
    </row>
    <row r="539" spans="1:9" s="8" customFormat="1">
      <c r="A539" s="13">
        <v>45821</v>
      </c>
      <c r="B539" s="8" t="s">
        <v>1948</v>
      </c>
      <c r="C539" s="14">
        <v>2000000</v>
      </c>
      <c r="D539" s="14">
        <v>0</v>
      </c>
      <c r="E539" s="14">
        <f t="shared" si="14"/>
        <v>4955799.4800000191</v>
      </c>
      <c r="F539" s="8" t="s">
        <v>1400</v>
      </c>
      <c r="G539" s="8" t="s">
        <v>1400</v>
      </c>
    </row>
    <row r="540" spans="1:9" s="8" customFormat="1">
      <c r="A540" s="13">
        <v>45821</v>
      </c>
      <c r="B540" s="8" t="s">
        <v>333</v>
      </c>
      <c r="C540" s="14">
        <v>0</v>
      </c>
      <c r="D540" s="14">
        <v>250000000</v>
      </c>
      <c r="E540" s="14">
        <f t="shared" si="14"/>
        <v>254955799.48000002</v>
      </c>
      <c r="F540" t="s">
        <v>920</v>
      </c>
      <c r="G540" s="8" t="s">
        <v>4242</v>
      </c>
    </row>
    <row r="541" spans="1:9" s="8" customFormat="1">
      <c r="A541" s="13">
        <v>45821</v>
      </c>
      <c r="B541" s="8" t="s">
        <v>1949</v>
      </c>
      <c r="C541" s="14">
        <v>19000000</v>
      </c>
      <c r="D541" s="14">
        <v>0</v>
      </c>
      <c r="E541" s="14">
        <f t="shared" si="14"/>
        <v>235955799.48000002</v>
      </c>
      <c r="F541" s="8" t="s">
        <v>920</v>
      </c>
      <c r="G541" s="8" t="s">
        <v>400</v>
      </c>
      <c r="H541" s="8" t="s">
        <v>5310</v>
      </c>
    </row>
    <row r="542" spans="1:9" s="8" customFormat="1">
      <c r="A542" s="13">
        <v>45821</v>
      </c>
      <c r="B542" s="8" t="s">
        <v>378</v>
      </c>
      <c r="C542" s="14">
        <v>9732901</v>
      </c>
      <c r="D542" s="14">
        <v>0</v>
      </c>
      <c r="E542" s="14">
        <f t="shared" si="14"/>
        <v>226222898.48000002</v>
      </c>
      <c r="F542" s="8" t="s">
        <v>920</v>
      </c>
      <c r="G542" s="8" t="s">
        <v>376</v>
      </c>
    </row>
    <row r="543" spans="1:9" s="8" customFormat="1">
      <c r="A543" s="13">
        <v>45821</v>
      </c>
      <c r="B543" s="8" t="s">
        <v>1950</v>
      </c>
      <c r="C543" s="14">
        <v>67000000</v>
      </c>
      <c r="D543" s="14">
        <v>0</v>
      </c>
      <c r="E543" s="14">
        <f t="shared" si="14"/>
        <v>159222898.48000002</v>
      </c>
      <c r="F543" s="8" t="s">
        <v>4</v>
      </c>
      <c r="G543" s="8" t="s">
        <v>5</v>
      </c>
      <c r="H543" s="40" t="s">
        <v>2326</v>
      </c>
    </row>
    <row r="544" spans="1:9" s="8" customFormat="1">
      <c r="A544" s="13">
        <v>45821</v>
      </c>
      <c r="B544" s="8" t="s">
        <v>1951</v>
      </c>
      <c r="C544" s="14">
        <v>9100000</v>
      </c>
      <c r="D544" s="14">
        <v>0</v>
      </c>
      <c r="E544" s="14">
        <f t="shared" si="14"/>
        <v>150122898.48000002</v>
      </c>
      <c r="F544" s="8" t="s">
        <v>4</v>
      </c>
      <c r="G544" s="8" t="s">
        <v>5</v>
      </c>
      <c r="H544" s="40" t="s">
        <v>2235</v>
      </c>
    </row>
    <row r="545" spans="1:9" s="8" customFormat="1">
      <c r="A545" s="13">
        <v>45821</v>
      </c>
      <c r="B545" s="8" t="s">
        <v>1952</v>
      </c>
      <c r="C545" s="14">
        <v>8500000</v>
      </c>
      <c r="D545" s="14">
        <v>0</v>
      </c>
      <c r="E545" s="14">
        <f t="shared" si="14"/>
        <v>141622898.48000002</v>
      </c>
      <c r="F545" s="8" t="s">
        <v>4</v>
      </c>
      <c r="G545" s="8" t="s">
        <v>5</v>
      </c>
      <c r="H545" s="40" t="s">
        <v>2235</v>
      </c>
    </row>
    <row r="546" spans="1:9" s="8" customFormat="1">
      <c r="A546" s="13">
        <v>45824</v>
      </c>
      <c r="B546" s="8" t="s">
        <v>1953</v>
      </c>
      <c r="C546" s="14">
        <v>0</v>
      </c>
      <c r="D546" s="14">
        <v>2000000</v>
      </c>
      <c r="E546" s="14">
        <f t="shared" si="14"/>
        <v>143622898.48000002</v>
      </c>
      <c r="F546" s="8" t="s">
        <v>1400</v>
      </c>
      <c r="G546" s="8" t="s">
        <v>1400</v>
      </c>
    </row>
    <row r="547" spans="1:9" s="8" customFormat="1">
      <c r="A547" s="13">
        <v>45825</v>
      </c>
      <c r="B547" s="8" t="s">
        <v>1954</v>
      </c>
      <c r="C547" s="54">
        <v>0</v>
      </c>
      <c r="D547" s="54">
        <v>780000</v>
      </c>
      <c r="E547" s="54">
        <f t="shared" si="14"/>
        <v>144402898.48000002</v>
      </c>
      <c r="F547" s="8" t="s">
        <v>10</v>
      </c>
      <c r="G547" s="8" t="s">
        <v>446</v>
      </c>
      <c r="H547" s="8" t="s">
        <v>1461</v>
      </c>
    </row>
    <row r="548" spans="1:9" s="8" customFormat="1">
      <c r="A548" s="13">
        <v>45826</v>
      </c>
      <c r="B548" s="8" t="s">
        <v>333</v>
      </c>
      <c r="C548" s="14">
        <v>0</v>
      </c>
      <c r="D548" s="14">
        <v>250000000</v>
      </c>
      <c r="E548" s="14">
        <f t="shared" si="14"/>
        <v>394402898.48000002</v>
      </c>
      <c r="F548" t="s">
        <v>920</v>
      </c>
      <c r="G548" s="8" t="s">
        <v>4242</v>
      </c>
    </row>
    <row r="549" spans="1:9" s="8" customFormat="1">
      <c r="A549" s="13">
        <v>45826</v>
      </c>
      <c r="B549" s="8" t="s">
        <v>1955</v>
      </c>
      <c r="C549" s="14">
        <v>2000000</v>
      </c>
      <c r="D549" s="14">
        <v>0</v>
      </c>
      <c r="E549" s="14">
        <f t="shared" si="14"/>
        <v>392402898.48000002</v>
      </c>
      <c r="F549" s="8" t="s">
        <v>4</v>
      </c>
      <c r="G549" s="8" t="s">
        <v>5</v>
      </c>
      <c r="H549" s="40" t="s">
        <v>2235</v>
      </c>
    </row>
    <row r="550" spans="1:9" s="8" customFormat="1">
      <c r="A550" s="13">
        <v>45826</v>
      </c>
      <c r="B550" s="8" t="s">
        <v>1956</v>
      </c>
      <c r="C550" s="14">
        <v>2000000</v>
      </c>
      <c r="D550" s="14">
        <v>0</v>
      </c>
      <c r="E550" s="14">
        <f t="shared" si="14"/>
        <v>390402898.48000002</v>
      </c>
      <c r="F550" s="8" t="s">
        <v>4</v>
      </c>
      <c r="G550" s="8" t="s">
        <v>5</v>
      </c>
      <c r="H550" s="40" t="s">
        <v>2235</v>
      </c>
    </row>
    <row r="551" spans="1:9" s="8" customFormat="1">
      <c r="A551" s="13">
        <v>45826</v>
      </c>
      <c r="B551" s="8" t="s">
        <v>1957</v>
      </c>
      <c r="C551" s="14">
        <v>1000000</v>
      </c>
      <c r="D551" s="14">
        <v>0</v>
      </c>
      <c r="E551" s="14">
        <f t="shared" si="14"/>
        <v>389402898.48000002</v>
      </c>
      <c r="F551" s="8" t="s">
        <v>4</v>
      </c>
      <c r="G551" s="8" t="s">
        <v>5</v>
      </c>
      <c r="H551" s="40" t="s">
        <v>2235</v>
      </c>
    </row>
    <row r="552" spans="1:9" s="8" customFormat="1">
      <c r="A552" s="13">
        <v>45826</v>
      </c>
      <c r="B552" s="8" t="s">
        <v>1958</v>
      </c>
      <c r="C552" s="14">
        <v>1500000</v>
      </c>
      <c r="D552" s="14">
        <v>0</v>
      </c>
      <c r="E552" s="14">
        <f t="shared" si="14"/>
        <v>387902898.48000002</v>
      </c>
      <c r="F552" s="8" t="s">
        <v>4</v>
      </c>
      <c r="G552" s="8" t="s">
        <v>5</v>
      </c>
      <c r="H552" s="40" t="s">
        <v>2235</v>
      </c>
    </row>
    <row r="553" spans="1:9" s="8" customFormat="1">
      <c r="A553" s="13">
        <v>45826</v>
      </c>
      <c r="B553" s="8" t="s">
        <v>1959</v>
      </c>
      <c r="C553" s="14">
        <v>1000000</v>
      </c>
      <c r="D553" s="14">
        <v>0</v>
      </c>
      <c r="E553" s="14">
        <f t="shared" si="14"/>
        <v>386902898.48000002</v>
      </c>
      <c r="F553" s="8" t="s">
        <v>4</v>
      </c>
      <c r="G553" s="8" t="s">
        <v>5</v>
      </c>
      <c r="H553" s="40" t="s">
        <v>2235</v>
      </c>
    </row>
    <row r="554" spans="1:9" s="8" customFormat="1">
      <c r="A554" s="13">
        <v>45826</v>
      </c>
      <c r="B554" s="8" t="s">
        <v>1960</v>
      </c>
      <c r="C554" s="14">
        <v>1000000</v>
      </c>
      <c r="D554" s="14">
        <v>0</v>
      </c>
      <c r="E554" s="14">
        <f t="shared" si="14"/>
        <v>385902898.48000002</v>
      </c>
      <c r="F554" s="8" t="s">
        <v>4</v>
      </c>
      <c r="G554" s="8" t="s">
        <v>5</v>
      </c>
      <c r="H554" s="40" t="s">
        <v>2235</v>
      </c>
    </row>
    <row r="555" spans="1:9" s="8" customFormat="1">
      <c r="A555" s="13">
        <v>45826</v>
      </c>
      <c r="B555" s="8" t="s">
        <v>1961</v>
      </c>
      <c r="C555" s="14">
        <v>4680000</v>
      </c>
      <c r="D555" s="14">
        <v>0</v>
      </c>
      <c r="E555" s="14">
        <f t="shared" si="14"/>
        <v>381222898.48000002</v>
      </c>
      <c r="F555" s="8" t="s">
        <v>4</v>
      </c>
      <c r="G555" s="8" t="s">
        <v>5</v>
      </c>
      <c r="H555" s="40" t="s">
        <v>2235</v>
      </c>
    </row>
    <row r="556" spans="1:9" s="8" customFormat="1">
      <c r="A556" s="13">
        <v>45826</v>
      </c>
      <c r="B556" s="8" t="s">
        <v>1962</v>
      </c>
      <c r="C556" s="14">
        <v>1800000</v>
      </c>
      <c r="D556" s="14">
        <v>0</v>
      </c>
      <c r="E556" s="14">
        <f t="shared" si="14"/>
        <v>379422898.48000002</v>
      </c>
      <c r="F556" s="8" t="s">
        <v>4</v>
      </c>
      <c r="G556" s="8" t="s">
        <v>5</v>
      </c>
      <c r="H556" s="40" t="s">
        <v>1636</v>
      </c>
    </row>
    <row r="557" spans="1:9" s="8" customFormat="1">
      <c r="A557" s="13">
        <v>45826</v>
      </c>
      <c r="B557" s="8" t="s">
        <v>7082</v>
      </c>
      <c r="C557" s="54">
        <v>4600000</v>
      </c>
      <c r="D557" s="54">
        <v>0</v>
      </c>
      <c r="E557" s="54">
        <f t="shared" si="14"/>
        <v>374822898.48000002</v>
      </c>
      <c r="F557" s="8" t="s">
        <v>8</v>
      </c>
      <c r="G557" s="8" t="s">
        <v>14</v>
      </c>
    </row>
    <row r="558" spans="1:9" s="8" customFormat="1">
      <c r="A558" s="13">
        <v>45826</v>
      </c>
      <c r="B558" s="8" t="s">
        <v>7082</v>
      </c>
      <c r="C558" s="54">
        <v>506000</v>
      </c>
      <c r="D558" s="54">
        <v>0</v>
      </c>
      <c r="E558" s="54">
        <f t="shared" si="14"/>
        <v>374316898.48000002</v>
      </c>
      <c r="F558" s="8" t="s">
        <v>920</v>
      </c>
      <c r="G558" s="8" t="s">
        <v>7855</v>
      </c>
      <c r="H558" s="8" t="s">
        <v>7032</v>
      </c>
      <c r="I558" s="8" t="s">
        <v>4560</v>
      </c>
    </row>
    <row r="559" spans="1:9" s="8" customFormat="1">
      <c r="A559" s="13">
        <v>45826</v>
      </c>
      <c r="B559" s="8" t="s">
        <v>7082</v>
      </c>
      <c r="C559" s="54">
        <v>0</v>
      </c>
      <c r="D559" s="54">
        <f>C557+C558-5014000</f>
        <v>92000</v>
      </c>
      <c r="E559" s="54">
        <f t="shared" si="14"/>
        <v>374408898.48000002</v>
      </c>
      <c r="F559" s="8" t="s">
        <v>920</v>
      </c>
      <c r="G559" s="8" t="s">
        <v>4242</v>
      </c>
      <c r="H559" s="8" t="s">
        <v>88</v>
      </c>
      <c r="I559" s="8" t="s">
        <v>4560</v>
      </c>
    </row>
    <row r="560" spans="1:9" s="8" customFormat="1">
      <c r="A560" s="13">
        <v>45826</v>
      </c>
      <c r="B560" s="8" t="s">
        <v>1963</v>
      </c>
      <c r="C560" s="14">
        <v>5500000</v>
      </c>
      <c r="D560" s="14">
        <v>0</v>
      </c>
      <c r="E560" s="14">
        <f t="shared" si="14"/>
        <v>368908898.48000002</v>
      </c>
      <c r="F560" s="8" t="s">
        <v>4</v>
      </c>
      <c r="G560" s="8" t="s">
        <v>5</v>
      </c>
      <c r="H560" s="40" t="s">
        <v>2235</v>
      </c>
    </row>
    <row r="561" spans="1:9" s="8" customFormat="1">
      <c r="A561" s="13">
        <v>45826</v>
      </c>
      <c r="B561" s="8" t="s">
        <v>1964</v>
      </c>
      <c r="C561" s="14">
        <v>129476925</v>
      </c>
      <c r="D561" s="14">
        <v>0</v>
      </c>
      <c r="E561" s="14">
        <f t="shared" si="14"/>
        <v>239431973.48000002</v>
      </c>
      <c r="F561" s="8" t="s">
        <v>4</v>
      </c>
      <c r="G561" s="8" t="s">
        <v>5</v>
      </c>
      <c r="H561" s="154" t="s">
        <v>1376</v>
      </c>
    </row>
    <row r="562" spans="1:9" s="8" customFormat="1">
      <c r="A562" s="13">
        <v>45826</v>
      </c>
      <c r="B562" s="8" t="s">
        <v>1965</v>
      </c>
      <c r="C562" s="14">
        <v>3123108</v>
      </c>
      <c r="D562" s="14">
        <v>0</v>
      </c>
      <c r="E562" s="14">
        <f t="shared" si="14"/>
        <v>236308865.48000002</v>
      </c>
      <c r="F562" s="8" t="s">
        <v>4</v>
      </c>
      <c r="G562" s="8" t="s">
        <v>5</v>
      </c>
      <c r="H562" s="40" t="s">
        <v>2235</v>
      </c>
    </row>
    <row r="563" spans="1:9" s="8" customFormat="1">
      <c r="A563" s="13">
        <v>45826</v>
      </c>
      <c r="B563" s="8" t="s">
        <v>1966</v>
      </c>
      <c r="C563" s="14">
        <v>0</v>
      </c>
      <c r="D563" s="14">
        <v>15025205</v>
      </c>
      <c r="E563" s="14">
        <f t="shared" si="14"/>
        <v>251334070.48000002</v>
      </c>
      <c r="F563" s="8" t="s">
        <v>2140</v>
      </c>
      <c r="G563" s="8" t="s">
        <v>2141</v>
      </c>
      <c r="H563" s="154" t="s">
        <v>1445</v>
      </c>
      <c r="I563" s="8" t="s">
        <v>1540</v>
      </c>
    </row>
    <row r="564" spans="1:9" s="8" customFormat="1">
      <c r="A564" s="13">
        <v>45827</v>
      </c>
      <c r="B564" s="8" t="s">
        <v>1967</v>
      </c>
      <c r="C564" s="14">
        <v>232150000</v>
      </c>
      <c r="D564" s="14">
        <v>0</v>
      </c>
      <c r="E564" s="14">
        <f t="shared" si="14"/>
        <v>19184070.480000019</v>
      </c>
      <c r="F564" s="8" t="s">
        <v>4</v>
      </c>
      <c r="G564" s="8" t="s">
        <v>5</v>
      </c>
      <c r="H564" s="40" t="s">
        <v>1622</v>
      </c>
    </row>
    <row r="565" spans="1:9" s="8" customFormat="1">
      <c r="A565" s="13">
        <v>45827</v>
      </c>
      <c r="B565" s="8" t="s">
        <v>1968</v>
      </c>
      <c r="C565" s="14">
        <v>9405000</v>
      </c>
      <c r="D565" s="14">
        <v>0</v>
      </c>
      <c r="E565" s="14">
        <f t="shared" si="14"/>
        <v>9779070.4800000191</v>
      </c>
      <c r="F565" s="8" t="s">
        <v>4</v>
      </c>
      <c r="G565" s="8" t="s">
        <v>5</v>
      </c>
      <c r="H565" s="40" t="s">
        <v>2326</v>
      </c>
    </row>
    <row r="566" spans="1:9" s="8" customFormat="1">
      <c r="A566" s="13">
        <v>45827</v>
      </c>
      <c r="B566" s="8" t="s">
        <v>1969</v>
      </c>
      <c r="C566" s="14">
        <v>8000000</v>
      </c>
      <c r="D566" s="14">
        <v>0</v>
      </c>
      <c r="E566" s="14">
        <f t="shared" si="14"/>
        <v>1779070.4800000191</v>
      </c>
      <c r="F566" s="8" t="s">
        <v>4</v>
      </c>
      <c r="G566" s="8" t="s">
        <v>5</v>
      </c>
      <c r="H566" s="40" t="s">
        <v>2235</v>
      </c>
    </row>
    <row r="567" spans="1:9" s="8" customFormat="1">
      <c r="A567" s="13">
        <v>45827</v>
      </c>
      <c r="B567" s="8" t="s">
        <v>1970</v>
      </c>
      <c r="C567" s="14">
        <v>1000000</v>
      </c>
      <c r="D567" s="14">
        <v>0</v>
      </c>
      <c r="E567" s="14">
        <f t="shared" si="14"/>
        <v>779070.48000001907</v>
      </c>
      <c r="F567" s="8" t="s">
        <v>4</v>
      </c>
      <c r="G567" s="8" t="s">
        <v>5</v>
      </c>
      <c r="H567" s="40" t="s">
        <v>2235</v>
      </c>
    </row>
    <row r="568" spans="1:9" s="8" customFormat="1">
      <c r="A568" s="13">
        <v>45827</v>
      </c>
      <c r="B568" s="8" t="s">
        <v>333</v>
      </c>
      <c r="C568" s="14">
        <v>0</v>
      </c>
      <c r="D568" s="14">
        <v>100000000</v>
      </c>
      <c r="E568" s="14">
        <f t="shared" si="14"/>
        <v>100779070.48000002</v>
      </c>
      <c r="F568" t="s">
        <v>920</v>
      </c>
      <c r="G568" s="8" t="s">
        <v>4242</v>
      </c>
    </row>
    <row r="569" spans="1:9" s="8" customFormat="1">
      <c r="A569" s="13">
        <v>45827</v>
      </c>
      <c r="B569" s="8" t="s">
        <v>1971</v>
      </c>
      <c r="C569" s="14">
        <v>4000000</v>
      </c>
      <c r="D569" s="14">
        <v>0</v>
      </c>
      <c r="E569" s="14">
        <f t="shared" si="14"/>
        <v>96779070.480000019</v>
      </c>
      <c r="F569" s="8" t="s">
        <v>4</v>
      </c>
      <c r="G569" s="8" t="s">
        <v>5</v>
      </c>
      <c r="H569" s="40" t="s">
        <v>2235</v>
      </c>
    </row>
    <row r="570" spans="1:9" s="8" customFormat="1">
      <c r="A570" s="13">
        <v>45833</v>
      </c>
      <c r="B570" s="8" t="s">
        <v>1972</v>
      </c>
      <c r="C570" s="14">
        <v>14000000</v>
      </c>
      <c r="D570" s="14">
        <v>0</v>
      </c>
      <c r="E570" s="14">
        <f t="shared" si="14"/>
        <v>82779070.480000019</v>
      </c>
      <c r="F570" s="8" t="s">
        <v>4</v>
      </c>
      <c r="G570" s="8" t="s">
        <v>5</v>
      </c>
      <c r="H570" s="40" t="s">
        <v>2322</v>
      </c>
    </row>
    <row r="571" spans="1:9" s="8" customFormat="1">
      <c r="A571" s="13">
        <v>45833</v>
      </c>
      <c r="B571" s="8" t="s">
        <v>1973</v>
      </c>
      <c r="C571" s="14">
        <v>6519000</v>
      </c>
      <c r="D571" s="14">
        <v>0</v>
      </c>
      <c r="E571" s="14">
        <f t="shared" si="14"/>
        <v>76260070.480000019</v>
      </c>
      <c r="F571" s="8" t="s">
        <v>920</v>
      </c>
      <c r="G571" s="8" t="s">
        <v>400</v>
      </c>
      <c r="H571" s="8" t="s">
        <v>5418</v>
      </c>
    </row>
    <row r="572" spans="1:9" s="8" customFormat="1">
      <c r="A572" s="13">
        <v>45835</v>
      </c>
      <c r="B572" s="8" t="s">
        <v>1974</v>
      </c>
      <c r="C572" s="14">
        <v>10000000</v>
      </c>
      <c r="D572" s="14">
        <v>0</v>
      </c>
      <c r="E572" s="14">
        <f t="shared" si="14"/>
        <v>66260070.480000019</v>
      </c>
      <c r="F572" s="8" t="s">
        <v>4</v>
      </c>
      <c r="G572" s="8" t="s">
        <v>5</v>
      </c>
      <c r="H572" s="40" t="s">
        <v>2320</v>
      </c>
    </row>
    <row r="573" spans="1:9" s="8" customFormat="1">
      <c r="A573" s="13">
        <v>45838</v>
      </c>
      <c r="B573" s="8" t="s">
        <v>334</v>
      </c>
      <c r="C573" s="14">
        <v>30000</v>
      </c>
      <c r="D573" s="14">
        <v>0</v>
      </c>
      <c r="E573" s="14">
        <f t="shared" si="14"/>
        <v>66230070.480000019</v>
      </c>
      <c r="F573" s="8" t="s">
        <v>19</v>
      </c>
      <c r="G573" s="8" t="s">
        <v>189</v>
      </c>
    </row>
    <row r="574" spans="1:9" s="8" customFormat="1">
      <c r="A574" s="13">
        <v>45839</v>
      </c>
      <c r="B574" s="8" t="s">
        <v>2621</v>
      </c>
      <c r="C574" s="14">
        <v>7000000</v>
      </c>
      <c r="D574" s="14">
        <v>0</v>
      </c>
      <c r="E574" s="14">
        <f t="shared" si="14"/>
        <v>59230070.480000019</v>
      </c>
      <c r="F574" s="8" t="s">
        <v>4</v>
      </c>
      <c r="G574" s="8" t="s">
        <v>5</v>
      </c>
      <c r="H574" s="40" t="s">
        <v>2320</v>
      </c>
    </row>
    <row r="575" spans="1:9" s="8" customFormat="1">
      <c r="A575" s="13">
        <v>45839</v>
      </c>
      <c r="B575" s="8" t="s">
        <v>378</v>
      </c>
      <c r="C575" s="14">
        <v>9033037</v>
      </c>
      <c r="D575" s="14">
        <v>0</v>
      </c>
      <c r="E575" s="14">
        <f t="shared" si="14"/>
        <v>50197033.480000019</v>
      </c>
      <c r="F575" s="8" t="s">
        <v>920</v>
      </c>
      <c r="G575" s="8" t="s">
        <v>376</v>
      </c>
    </row>
    <row r="576" spans="1:9" s="8" customFormat="1">
      <c r="A576" s="13">
        <v>45839</v>
      </c>
      <c r="B576" s="8" t="s">
        <v>2622</v>
      </c>
      <c r="C576" s="14">
        <v>3750000</v>
      </c>
      <c r="D576" s="14">
        <v>0</v>
      </c>
      <c r="E576" s="14">
        <f t="shared" si="14"/>
        <v>46447033.480000019</v>
      </c>
      <c r="F576" s="8" t="s">
        <v>4</v>
      </c>
      <c r="G576" s="8" t="s">
        <v>5</v>
      </c>
      <c r="H576" s="40" t="s">
        <v>2313</v>
      </c>
    </row>
    <row r="577" spans="1:9" s="8" customFormat="1">
      <c r="A577" s="13">
        <v>45839</v>
      </c>
      <c r="B577" s="8" t="s">
        <v>5381</v>
      </c>
      <c r="C577" s="14">
        <v>5401000</v>
      </c>
      <c r="D577" s="14">
        <v>0</v>
      </c>
      <c r="E577" s="14">
        <f t="shared" si="14"/>
        <v>41046033.480000019</v>
      </c>
      <c r="F577" s="8" t="s">
        <v>4</v>
      </c>
      <c r="G577" s="8" t="s">
        <v>5</v>
      </c>
      <c r="H577" s="40" t="s">
        <v>1634</v>
      </c>
    </row>
    <row r="578" spans="1:9" s="8" customFormat="1">
      <c r="A578" s="13">
        <v>45839</v>
      </c>
      <c r="B578" s="8" t="s">
        <v>5394</v>
      </c>
      <c r="C578" s="14">
        <v>8560000</v>
      </c>
      <c r="D578" s="14">
        <v>0</v>
      </c>
      <c r="E578" s="14">
        <f t="shared" si="14"/>
        <v>32486033.480000019</v>
      </c>
      <c r="F578" s="8" t="s">
        <v>4</v>
      </c>
      <c r="G578" s="8" t="s">
        <v>5</v>
      </c>
      <c r="H578" s="8" t="s">
        <v>1378</v>
      </c>
    </row>
    <row r="579" spans="1:9" s="8" customFormat="1">
      <c r="A579" s="13">
        <v>45839</v>
      </c>
      <c r="B579" s="8" t="s">
        <v>5390</v>
      </c>
      <c r="C579" s="14">
        <v>1546000</v>
      </c>
      <c r="D579" s="14">
        <v>0</v>
      </c>
      <c r="E579" s="14">
        <f t="shared" si="14"/>
        <v>30940033.480000019</v>
      </c>
      <c r="F579" s="8" t="s">
        <v>4</v>
      </c>
      <c r="G579" s="8" t="s">
        <v>5</v>
      </c>
      <c r="H579" s="40" t="s">
        <v>1636</v>
      </c>
    </row>
    <row r="580" spans="1:9" s="8" customFormat="1">
      <c r="A580" s="13">
        <v>45839</v>
      </c>
      <c r="B580" s="8" t="s">
        <v>7066</v>
      </c>
      <c r="C580" s="54">
        <v>20100000</v>
      </c>
      <c r="D580" s="54">
        <v>0</v>
      </c>
      <c r="E580" s="54">
        <f t="shared" si="14"/>
        <v>10840033.480000019</v>
      </c>
      <c r="F580" s="8" t="s">
        <v>4</v>
      </c>
      <c r="G580" s="8" t="s">
        <v>5</v>
      </c>
      <c r="H580" s="40" t="s">
        <v>1609</v>
      </c>
    </row>
    <row r="581" spans="1:9" s="8" customFormat="1">
      <c r="A581" s="13">
        <v>45839</v>
      </c>
      <c r="B581" s="8" t="s">
        <v>7066</v>
      </c>
      <c r="C581" s="54">
        <v>2211000</v>
      </c>
      <c r="D581" s="54">
        <v>0</v>
      </c>
      <c r="E581" s="54">
        <f t="shared" si="14"/>
        <v>8629033.4800000191</v>
      </c>
      <c r="F581" s="8" t="s">
        <v>920</v>
      </c>
      <c r="G581" s="8" t="s">
        <v>7855</v>
      </c>
      <c r="H581" s="8" t="s">
        <v>7032</v>
      </c>
      <c r="I581" s="8" t="s">
        <v>4596</v>
      </c>
    </row>
    <row r="582" spans="1:9" s="8" customFormat="1">
      <c r="A582" s="13">
        <v>45839</v>
      </c>
      <c r="B582" s="8" t="s">
        <v>7066</v>
      </c>
      <c r="C582" s="54">
        <v>0</v>
      </c>
      <c r="D582" s="54">
        <f>C580+C581-21909000</f>
        <v>402000</v>
      </c>
      <c r="E582" s="54">
        <f t="shared" si="14"/>
        <v>9031033.4800000191</v>
      </c>
      <c r="F582" s="8" t="s">
        <v>920</v>
      </c>
      <c r="G582" s="8" t="s">
        <v>4242</v>
      </c>
      <c r="H582" s="8" t="s">
        <v>88</v>
      </c>
      <c r="I582" s="8" t="s">
        <v>4596</v>
      </c>
    </row>
    <row r="583" spans="1:9" s="8" customFormat="1">
      <c r="A583" s="13">
        <v>45839</v>
      </c>
      <c r="B583" s="8" t="s">
        <v>2623</v>
      </c>
      <c r="C583" s="14">
        <v>0</v>
      </c>
      <c r="D583" s="14">
        <v>294000</v>
      </c>
      <c r="E583" s="14">
        <f t="shared" si="14"/>
        <v>9325033.4800000191</v>
      </c>
      <c r="F583" s="8" t="s">
        <v>4</v>
      </c>
      <c r="G583" s="8" t="s">
        <v>5</v>
      </c>
      <c r="H583" s="8" t="s">
        <v>2235</v>
      </c>
    </row>
    <row r="584" spans="1:9" s="8" customFormat="1">
      <c r="A584" s="13">
        <v>45839</v>
      </c>
      <c r="B584" s="8" t="s">
        <v>333</v>
      </c>
      <c r="C584" s="14">
        <v>0</v>
      </c>
      <c r="D584" s="14">
        <v>100000000</v>
      </c>
      <c r="E584" s="14">
        <f t="shared" si="14"/>
        <v>109325033.48000002</v>
      </c>
      <c r="F584" t="s">
        <v>920</v>
      </c>
      <c r="G584" s="8" t="s">
        <v>4242</v>
      </c>
    </row>
    <row r="585" spans="1:9" s="8" customFormat="1">
      <c r="A585" s="13">
        <v>45839</v>
      </c>
      <c r="B585" s="8" t="s">
        <v>5378</v>
      </c>
      <c r="C585" s="14">
        <v>84807000</v>
      </c>
      <c r="D585" s="14">
        <v>0</v>
      </c>
      <c r="E585" s="14">
        <f t="shared" si="14"/>
        <v>24518033.480000019</v>
      </c>
      <c r="F585" s="8" t="s">
        <v>4</v>
      </c>
      <c r="G585" s="8" t="s">
        <v>5</v>
      </c>
      <c r="H585" s="8" t="s">
        <v>2316</v>
      </c>
    </row>
    <row r="586" spans="1:9" s="8" customFormat="1">
      <c r="A586" s="13">
        <v>45839</v>
      </c>
      <c r="B586" s="8" t="s">
        <v>2624</v>
      </c>
      <c r="C586" s="14">
        <v>35000</v>
      </c>
      <c r="D586" s="14">
        <v>0</v>
      </c>
      <c r="E586" s="14">
        <f t="shared" si="14"/>
        <v>24483033.480000019</v>
      </c>
      <c r="F586" s="8" t="s">
        <v>19</v>
      </c>
      <c r="G586" s="8" t="s">
        <v>189</v>
      </c>
    </row>
    <row r="587" spans="1:9" s="8" customFormat="1">
      <c r="A587" s="13">
        <v>45839</v>
      </c>
      <c r="B587" s="8" t="s">
        <v>2625</v>
      </c>
      <c r="C587" s="14">
        <v>405000</v>
      </c>
      <c r="D587" s="14">
        <v>0</v>
      </c>
      <c r="E587" s="14">
        <f t="shared" si="14"/>
        <v>24078033.480000019</v>
      </c>
      <c r="F587" s="8" t="s">
        <v>19</v>
      </c>
      <c r="G587" s="8" t="s">
        <v>189</v>
      </c>
    </row>
    <row r="588" spans="1:9" s="8" customFormat="1">
      <c r="A588" s="13">
        <v>45840</v>
      </c>
      <c r="B588" s="8" t="s">
        <v>2626</v>
      </c>
      <c r="C588" s="14">
        <v>0</v>
      </c>
      <c r="D588" s="14">
        <v>250000000</v>
      </c>
      <c r="E588" s="14">
        <f t="shared" si="14"/>
        <v>274078033.48000002</v>
      </c>
      <c r="F588" t="s">
        <v>920</v>
      </c>
      <c r="G588" t="s">
        <v>461</v>
      </c>
    </row>
    <row r="589" spans="1:9" s="8" customFormat="1">
      <c r="A589" s="13">
        <v>45840</v>
      </c>
      <c r="B589" s="8" t="s">
        <v>2627</v>
      </c>
      <c r="C589" s="14">
        <v>55575000</v>
      </c>
      <c r="D589" s="14">
        <v>0</v>
      </c>
      <c r="E589" s="14">
        <f t="shared" ref="E589:E601" si="15">E588-C589+D589</f>
        <v>218503033.48000002</v>
      </c>
      <c r="F589" s="8" t="s">
        <v>920</v>
      </c>
      <c r="G589" s="8" t="s">
        <v>371</v>
      </c>
    </row>
    <row r="590" spans="1:9" s="8" customFormat="1">
      <c r="A590" s="13">
        <v>45842</v>
      </c>
      <c r="B590" s="8" t="s">
        <v>2628</v>
      </c>
      <c r="C590" s="14">
        <v>15000000</v>
      </c>
      <c r="D590" s="14">
        <v>0</v>
      </c>
      <c r="E590" s="14">
        <f t="shared" si="15"/>
        <v>203503033.48000002</v>
      </c>
      <c r="F590" s="8" t="s">
        <v>1400</v>
      </c>
      <c r="G590" s="8" t="s">
        <v>1400</v>
      </c>
    </row>
    <row r="591" spans="1:9" s="8" customFormat="1">
      <c r="A591" s="13">
        <v>45842</v>
      </c>
      <c r="B591" s="8" t="s">
        <v>2629</v>
      </c>
      <c r="C591" s="14">
        <v>569807</v>
      </c>
      <c r="D591" s="14">
        <v>0</v>
      </c>
      <c r="E591" s="14">
        <f t="shared" si="15"/>
        <v>202933226.48000002</v>
      </c>
      <c r="F591" s="8" t="s">
        <v>920</v>
      </c>
      <c r="G591" s="8" t="s">
        <v>400</v>
      </c>
      <c r="H591" s="8" t="s">
        <v>5399</v>
      </c>
    </row>
    <row r="592" spans="1:9" s="8" customFormat="1">
      <c r="A592" s="13">
        <v>45844</v>
      </c>
      <c r="B592" s="8" t="s">
        <v>2630</v>
      </c>
      <c r="C592" s="14">
        <v>14000000</v>
      </c>
      <c r="D592" s="14">
        <v>0</v>
      </c>
      <c r="E592" s="14">
        <f t="shared" si="15"/>
        <v>188933226.48000002</v>
      </c>
      <c r="F592" s="8" t="s">
        <v>4</v>
      </c>
      <c r="G592" s="8" t="s">
        <v>5</v>
      </c>
      <c r="H592" s="40" t="s">
        <v>2320</v>
      </c>
    </row>
    <row r="593" spans="1:9" s="8" customFormat="1">
      <c r="A593" s="13">
        <v>45844</v>
      </c>
      <c r="B593" s="8" t="s">
        <v>2631</v>
      </c>
      <c r="C593" s="14">
        <v>14500000</v>
      </c>
      <c r="D593" s="14">
        <v>0</v>
      </c>
      <c r="E593" s="14">
        <f t="shared" si="15"/>
        <v>174433226.48000002</v>
      </c>
      <c r="F593" s="8" t="s">
        <v>4</v>
      </c>
      <c r="G593" s="8" t="s">
        <v>5</v>
      </c>
      <c r="H593" s="40" t="s">
        <v>2320</v>
      </c>
    </row>
    <row r="594" spans="1:9" s="8" customFormat="1">
      <c r="A594" s="13">
        <v>45844</v>
      </c>
      <c r="B594" s="8" t="s">
        <v>2632</v>
      </c>
      <c r="C594" s="14">
        <v>3000000</v>
      </c>
      <c r="D594" s="14">
        <v>0</v>
      </c>
      <c r="E594" s="14">
        <f t="shared" si="15"/>
        <v>171433226.48000002</v>
      </c>
      <c r="F594" s="8" t="s">
        <v>62</v>
      </c>
      <c r="G594" s="8" t="s">
        <v>176</v>
      </c>
    </row>
    <row r="595" spans="1:9" s="8" customFormat="1">
      <c r="A595" s="13">
        <v>45844</v>
      </c>
      <c r="B595" s="8" t="s">
        <v>7077</v>
      </c>
      <c r="C595" s="54">
        <v>675676</v>
      </c>
      <c r="D595" s="54">
        <v>0</v>
      </c>
      <c r="E595" s="54">
        <f t="shared" si="15"/>
        <v>170757550.48000002</v>
      </c>
      <c r="F595" s="8" t="s">
        <v>8</v>
      </c>
      <c r="G595" s="8" t="s">
        <v>9</v>
      </c>
    </row>
    <row r="596" spans="1:9" s="8" customFormat="1">
      <c r="A596" s="13">
        <v>45844</v>
      </c>
      <c r="B596" s="8" t="s">
        <v>7077</v>
      </c>
      <c r="C596" s="54">
        <v>74324</v>
      </c>
      <c r="D596" s="54">
        <v>0</v>
      </c>
      <c r="E596" s="54">
        <f t="shared" si="15"/>
        <v>170683226.48000002</v>
      </c>
      <c r="F596" s="8" t="s">
        <v>920</v>
      </c>
      <c r="G596" s="8" t="s">
        <v>7855</v>
      </c>
      <c r="H596" s="8" t="s">
        <v>7032</v>
      </c>
      <c r="I596" s="8" t="s">
        <v>4560</v>
      </c>
    </row>
    <row r="597" spans="1:9" s="8" customFormat="1">
      <c r="A597" s="13">
        <v>45844</v>
      </c>
      <c r="B597" s="8" t="s">
        <v>7077</v>
      </c>
      <c r="C597" s="54">
        <v>0</v>
      </c>
      <c r="D597" s="54">
        <f>C595+C596-736486</f>
        <v>13514</v>
      </c>
      <c r="E597" s="54">
        <f t="shared" si="15"/>
        <v>170696740.48000002</v>
      </c>
      <c r="F597" s="8" t="s">
        <v>920</v>
      </c>
      <c r="G597" s="8" t="s">
        <v>4242</v>
      </c>
      <c r="H597" s="8" t="s">
        <v>88</v>
      </c>
      <c r="I597" s="8" t="s">
        <v>4560</v>
      </c>
    </row>
    <row r="598" spans="1:9" s="8" customFormat="1">
      <c r="A598" s="13">
        <v>45844</v>
      </c>
      <c r="B598" s="8" t="s">
        <v>2633</v>
      </c>
      <c r="C598" s="14">
        <v>30000000</v>
      </c>
      <c r="D598" s="14">
        <v>0</v>
      </c>
      <c r="E598" s="14">
        <f t="shared" si="15"/>
        <v>140696740.48000002</v>
      </c>
      <c r="F598" s="8" t="s">
        <v>4</v>
      </c>
      <c r="G598" s="8" t="s">
        <v>5</v>
      </c>
      <c r="H598" s="40" t="s">
        <v>1622</v>
      </c>
    </row>
    <row r="599" spans="1:9" s="8" customFormat="1">
      <c r="A599" s="13">
        <v>45844</v>
      </c>
      <c r="B599" s="8" t="s">
        <v>2634</v>
      </c>
      <c r="C599" s="14">
        <v>7235000</v>
      </c>
      <c r="D599" s="14">
        <v>0</v>
      </c>
      <c r="E599" s="14">
        <f t="shared" si="15"/>
        <v>133461740.48000002</v>
      </c>
      <c r="F599" s="8" t="s">
        <v>4</v>
      </c>
      <c r="G599" s="8" t="s">
        <v>5</v>
      </c>
      <c r="H599" s="40" t="s">
        <v>1622</v>
      </c>
    </row>
    <row r="600" spans="1:9" s="8" customFormat="1">
      <c r="A600" s="13">
        <v>45844</v>
      </c>
      <c r="B600" s="8" t="s">
        <v>2635</v>
      </c>
      <c r="C600" s="14">
        <v>8000000</v>
      </c>
      <c r="D600" s="14">
        <v>0</v>
      </c>
      <c r="E600" s="14">
        <f t="shared" si="15"/>
        <v>125461740.48000002</v>
      </c>
      <c r="F600" s="8" t="s">
        <v>4</v>
      </c>
      <c r="G600" s="8" t="s">
        <v>5</v>
      </c>
      <c r="H600" s="8" t="s">
        <v>2235</v>
      </c>
    </row>
    <row r="601" spans="1:9" s="8" customFormat="1">
      <c r="A601" s="13">
        <v>45844</v>
      </c>
      <c r="B601" s="8" t="s">
        <v>2636</v>
      </c>
      <c r="C601" s="14">
        <v>10000000</v>
      </c>
      <c r="D601" s="14">
        <v>0</v>
      </c>
      <c r="E601" s="14">
        <f t="shared" si="15"/>
        <v>115461740.48000002</v>
      </c>
      <c r="F601" s="8" t="s">
        <v>920</v>
      </c>
      <c r="G601" s="8" t="s">
        <v>400</v>
      </c>
      <c r="H601" s="8" t="s">
        <v>5600</v>
      </c>
    </row>
    <row r="602" spans="1:9" s="8" customFormat="1">
      <c r="A602" s="13">
        <v>45844</v>
      </c>
      <c r="B602" s="8" t="s">
        <v>2637</v>
      </c>
      <c r="C602" s="14">
        <v>66936</v>
      </c>
      <c r="D602" s="14">
        <v>0</v>
      </c>
      <c r="E602" s="14">
        <f t="shared" ref="E602:E664" si="16">E601-C602+D602</f>
        <v>115394804.48000002</v>
      </c>
      <c r="F602" s="8" t="s">
        <v>8</v>
      </c>
      <c r="G602" s="8" t="s">
        <v>31</v>
      </c>
    </row>
    <row r="603" spans="1:9" s="8" customFormat="1">
      <c r="A603" s="13">
        <v>45844</v>
      </c>
      <c r="B603" s="8" t="s">
        <v>2638</v>
      </c>
      <c r="C603" s="14">
        <v>66936</v>
      </c>
      <c r="D603" s="14">
        <v>0</v>
      </c>
      <c r="E603" s="14">
        <f t="shared" si="16"/>
        <v>115327868.48000002</v>
      </c>
      <c r="F603" s="8" t="s">
        <v>8</v>
      </c>
      <c r="G603" s="8" t="s">
        <v>31</v>
      </c>
    </row>
    <row r="604" spans="1:9" s="8" customFormat="1">
      <c r="A604" s="13">
        <v>45844</v>
      </c>
      <c r="B604" s="8" t="s">
        <v>2639</v>
      </c>
      <c r="C604" s="14">
        <v>66936</v>
      </c>
      <c r="D604" s="14">
        <v>0</v>
      </c>
      <c r="E604" s="14">
        <f t="shared" si="16"/>
        <v>115260932.48000002</v>
      </c>
      <c r="F604" s="8" t="s">
        <v>8</v>
      </c>
      <c r="G604" s="8" t="s">
        <v>31</v>
      </c>
    </row>
    <row r="605" spans="1:9" s="8" customFormat="1">
      <c r="A605" s="13">
        <v>45844</v>
      </c>
      <c r="B605" s="8" t="s">
        <v>2640</v>
      </c>
      <c r="C605" s="14">
        <v>66936</v>
      </c>
      <c r="D605" s="14">
        <v>0</v>
      </c>
      <c r="E605" s="14">
        <f t="shared" si="16"/>
        <v>115193996.48000002</v>
      </c>
      <c r="F605" s="8" t="s">
        <v>8</v>
      </c>
      <c r="G605" s="8" t="s">
        <v>31</v>
      </c>
    </row>
    <row r="606" spans="1:9" s="8" customFormat="1">
      <c r="A606" s="13">
        <v>45844</v>
      </c>
      <c r="B606" s="8" t="s">
        <v>2641</v>
      </c>
      <c r="C606" s="14">
        <v>106090</v>
      </c>
      <c r="D606" s="14">
        <v>0</v>
      </c>
      <c r="E606" s="14">
        <f t="shared" si="16"/>
        <v>115087906.48000002</v>
      </c>
      <c r="F606" s="8" t="s">
        <v>8</v>
      </c>
      <c r="G606" s="8" t="s">
        <v>31</v>
      </c>
    </row>
    <row r="607" spans="1:9" s="8" customFormat="1">
      <c r="A607" s="13">
        <v>45844</v>
      </c>
      <c r="B607" s="8" t="s">
        <v>2642</v>
      </c>
      <c r="C607" s="14">
        <v>66936</v>
      </c>
      <c r="D607" s="14">
        <v>0</v>
      </c>
      <c r="E607" s="14">
        <f t="shared" si="16"/>
        <v>115020970.48000002</v>
      </c>
      <c r="F607" s="8" t="s">
        <v>8</v>
      </c>
      <c r="G607" s="8" t="s">
        <v>31</v>
      </c>
    </row>
    <row r="608" spans="1:9" s="8" customFormat="1">
      <c r="A608" s="13">
        <v>45844</v>
      </c>
      <c r="B608" s="8" t="s">
        <v>2643</v>
      </c>
      <c r="C608" s="14">
        <v>66936</v>
      </c>
      <c r="D608" s="14">
        <v>0</v>
      </c>
      <c r="E608" s="14">
        <f t="shared" si="16"/>
        <v>114954034.48000002</v>
      </c>
      <c r="F608" s="8" t="s">
        <v>8</v>
      </c>
      <c r="G608" s="8" t="s">
        <v>31</v>
      </c>
    </row>
    <row r="609" spans="1:9" s="8" customFormat="1">
      <c r="A609" s="13" t="s">
        <v>2620</v>
      </c>
      <c r="B609" s="8" t="s">
        <v>2644</v>
      </c>
      <c r="C609" s="14">
        <v>9350000</v>
      </c>
      <c r="D609" s="14">
        <v>0</v>
      </c>
      <c r="E609" s="14">
        <f t="shared" si="16"/>
        <v>105604034.48000002</v>
      </c>
      <c r="F609" s="8" t="s">
        <v>4</v>
      </c>
      <c r="G609" s="8" t="s">
        <v>5</v>
      </c>
      <c r="H609" s="40" t="s">
        <v>2320</v>
      </c>
    </row>
    <row r="610" spans="1:9" s="8" customFormat="1">
      <c r="A610" s="13">
        <v>45846</v>
      </c>
      <c r="B610" s="8" t="s">
        <v>2645</v>
      </c>
      <c r="C610" s="14">
        <v>82000000</v>
      </c>
      <c r="D610" s="14">
        <v>0</v>
      </c>
      <c r="E610" s="14">
        <f t="shared" si="16"/>
        <v>23604034.480000019</v>
      </c>
      <c r="F610" s="8" t="s">
        <v>920</v>
      </c>
      <c r="G610" s="8" t="s">
        <v>371</v>
      </c>
    </row>
    <row r="611" spans="1:9" s="8" customFormat="1">
      <c r="A611" s="13">
        <v>45849</v>
      </c>
      <c r="B611" s="8" t="s">
        <v>2646</v>
      </c>
      <c r="C611" s="14">
        <v>7000000</v>
      </c>
      <c r="D611" s="14">
        <v>0</v>
      </c>
      <c r="E611" s="14">
        <f t="shared" si="16"/>
        <v>16604034.480000019</v>
      </c>
      <c r="F611" s="8" t="s">
        <v>4</v>
      </c>
      <c r="G611" s="8" t="s">
        <v>5</v>
      </c>
      <c r="H611" s="40" t="s">
        <v>2320</v>
      </c>
    </row>
    <row r="612" spans="1:9" s="8" customFormat="1">
      <c r="A612" s="13">
        <v>45849</v>
      </c>
      <c r="B612" s="8" t="s">
        <v>2647</v>
      </c>
      <c r="C612" s="14">
        <v>4200000</v>
      </c>
      <c r="D612" s="14">
        <v>0</v>
      </c>
      <c r="E612" s="14">
        <f t="shared" si="16"/>
        <v>12404034.480000019</v>
      </c>
      <c r="F612" s="8" t="s">
        <v>4</v>
      </c>
      <c r="G612" s="8" t="s">
        <v>5</v>
      </c>
      <c r="H612" s="40" t="s">
        <v>2320</v>
      </c>
    </row>
    <row r="613" spans="1:9" s="8" customFormat="1">
      <c r="A613" s="13">
        <v>45849</v>
      </c>
      <c r="B613" s="8" t="s">
        <v>2648</v>
      </c>
      <c r="C613" s="14">
        <v>10000000</v>
      </c>
      <c r="D613" s="14">
        <v>0</v>
      </c>
      <c r="E613" s="14">
        <f t="shared" si="16"/>
        <v>2404034.4800000191</v>
      </c>
      <c r="F613" s="8" t="s">
        <v>4</v>
      </c>
      <c r="G613" s="8" t="s">
        <v>5</v>
      </c>
      <c r="H613" s="40" t="s">
        <v>2320</v>
      </c>
    </row>
    <row r="614" spans="1:9" s="8" customFormat="1">
      <c r="A614" s="13">
        <v>45849</v>
      </c>
      <c r="B614" s="8" t="s">
        <v>2649</v>
      </c>
      <c r="C614" s="14">
        <v>2400000</v>
      </c>
      <c r="D614" s="14">
        <v>0</v>
      </c>
      <c r="E614" s="14">
        <f t="shared" si="16"/>
        <v>4034.4800000190735</v>
      </c>
      <c r="F614" s="8" t="s">
        <v>4</v>
      </c>
      <c r="G614" s="8" t="s">
        <v>5</v>
      </c>
      <c r="H614" s="40" t="s">
        <v>2320</v>
      </c>
    </row>
    <row r="615" spans="1:9" s="8" customFormat="1">
      <c r="A615" s="13">
        <v>45849</v>
      </c>
      <c r="B615" s="8" t="s">
        <v>333</v>
      </c>
      <c r="C615" s="14">
        <v>0</v>
      </c>
      <c r="D615" s="14">
        <v>250000000</v>
      </c>
      <c r="E615" s="14">
        <f t="shared" si="16"/>
        <v>250004034.48000002</v>
      </c>
      <c r="F615" t="s">
        <v>920</v>
      </c>
      <c r="G615" s="8" t="s">
        <v>4242</v>
      </c>
    </row>
    <row r="616" spans="1:9" s="8" customFormat="1">
      <c r="A616" s="13">
        <v>45849</v>
      </c>
      <c r="B616" s="8" t="s">
        <v>333</v>
      </c>
      <c r="C616" s="14">
        <v>0</v>
      </c>
      <c r="D616" s="14">
        <v>250000000</v>
      </c>
      <c r="E616" s="14">
        <f t="shared" si="16"/>
        <v>500004034.48000002</v>
      </c>
      <c r="F616" t="s">
        <v>920</v>
      </c>
      <c r="G616" s="8" t="s">
        <v>4242</v>
      </c>
    </row>
    <row r="617" spans="1:9" s="8" customFormat="1">
      <c r="A617" s="13">
        <v>45849</v>
      </c>
      <c r="B617" s="8" t="s">
        <v>5380</v>
      </c>
      <c r="C617" s="14">
        <v>3151000</v>
      </c>
      <c r="D617" s="14">
        <v>0</v>
      </c>
      <c r="E617" s="14">
        <f t="shared" si="16"/>
        <v>496853034.48000002</v>
      </c>
      <c r="F617" s="8" t="s">
        <v>4</v>
      </c>
      <c r="G617" s="8" t="s">
        <v>5</v>
      </c>
      <c r="H617" s="40" t="s">
        <v>1634</v>
      </c>
    </row>
    <row r="618" spans="1:9" s="8" customFormat="1">
      <c r="A618" s="13">
        <v>45849</v>
      </c>
      <c r="B618" s="8" t="s">
        <v>2650</v>
      </c>
      <c r="C618" s="14">
        <v>508160</v>
      </c>
      <c r="D618" s="14">
        <v>0</v>
      </c>
      <c r="E618" s="14">
        <f t="shared" si="16"/>
        <v>496344874.48000002</v>
      </c>
      <c r="F618" s="8" t="s">
        <v>4</v>
      </c>
      <c r="G618" s="8" t="s">
        <v>5</v>
      </c>
      <c r="H618" s="40" t="s">
        <v>1634</v>
      </c>
    </row>
    <row r="619" spans="1:9" s="8" customFormat="1">
      <c r="A619" s="13">
        <v>45849</v>
      </c>
      <c r="B619" s="8" t="s">
        <v>2651</v>
      </c>
      <c r="C619" s="14">
        <v>7000000</v>
      </c>
      <c r="D619" s="14">
        <v>0</v>
      </c>
      <c r="E619" s="14">
        <f t="shared" si="16"/>
        <v>489344874.48000002</v>
      </c>
      <c r="F619" s="8" t="s">
        <v>4</v>
      </c>
      <c r="G619" s="8" t="s">
        <v>5</v>
      </c>
      <c r="H619" s="40" t="s">
        <v>1622</v>
      </c>
    </row>
    <row r="620" spans="1:9" s="8" customFormat="1">
      <c r="A620" s="13">
        <v>45849</v>
      </c>
      <c r="B620" s="8" t="s">
        <v>2652</v>
      </c>
      <c r="C620" s="14">
        <v>950000</v>
      </c>
      <c r="D620" s="14">
        <v>0</v>
      </c>
      <c r="E620" s="14">
        <f t="shared" si="16"/>
        <v>488394874.48000002</v>
      </c>
      <c r="F620" s="8" t="s">
        <v>4</v>
      </c>
      <c r="G620" s="8" t="s">
        <v>5</v>
      </c>
      <c r="H620" s="40" t="s">
        <v>1622</v>
      </c>
    </row>
    <row r="621" spans="1:9" s="8" customFormat="1">
      <c r="A621" s="13">
        <v>45849</v>
      </c>
      <c r="B621" s="8" t="s">
        <v>2653</v>
      </c>
      <c r="C621" s="14">
        <v>5000000</v>
      </c>
      <c r="D621" s="14">
        <v>0</v>
      </c>
      <c r="E621" s="14">
        <f t="shared" si="16"/>
        <v>483394874.48000002</v>
      </c>
      <c r="F621" s="8" t="s">
        <v>4</v>
      </c>
      <c r="G621" s="8" t="s">
        <v>5</v>
      </c>
      <c r="H621" s="40" t="s">
        <v>2320</v>
      </c>
    </row>
    <row r="622" spans="1:9" s="8" customFormat="1">
      <c r="A622" s="13">
        <v>45849</v>
      </c>
      <c r="B622" s="8" t="s">
        <v>7087</v>
      </c>
      <c r="C622" s="54">
        <v>4600000</v>
      </c>
      <c r="D622" s="54">
        <v>0</v>
      </c>
      <c r="E622" s="54">
        <f t="shared" si="16"/>
        <v>478794874.48000002</v>
      </c>
      <c r="F622" s="8" t="s">
        <v>8</v>
      </c>
      <c r="G622" s="8" t="s">
        <v>14</v>
      </c>
    </row>
    <row r="623" spans="1:9" s="8" customFormat="1">
      <c r="A623" s="13">
        <v>45849</v>
      </c>
      <c r="B623" s="8" t="s">
        <v>7087</v>
      </c>
      <c r="C623" s="54">
        <v>506000</v>
      </c>
      <c r="D623" s="54">
        <v>0</v>
      </c>
      <c r="E623" s="54">
        <f t="shared" si="16"/>
        <v>478288874.48000002</v>
      </c>
      <c r="F623" s="8" t="s">
        <v>920</v>
      </c>
      <c r="G623" s="8" t="s">
        <v>7855</v>
      </c>
      <c r="H623" s="8" t="s">
        <v>7032</v>
      </c>
      <c r="I623" s="8" t="s">
        <v>4561</v>
      </c>
    </row>
    <row r="624" spans="1:9" s="8" customFormat="1">
      <c r="A624" s="13">
        <v>45849</v>
      </c>
      <c r="B624" s="8" t="s">
        <v>7087</v>
      </c>
      <c r="C624" s="54">
        <v>0</v>
      </c>
      <c r="D624" s="54">
        <f>C622+C623-5014000</f>
        <v>92000</v>
      </c>
      <c r="E624" s="54">
        <f t="shared" si="16"/>
        <v>478380874.48000002</v>
      </c>
      <c r="F624" s="8" t="s">
        <v>920</v>
      </c>
      <c r="G624" s="8" t="s">
        <v>4242</v>
      </c>
      <c r="H624" s="8" t="s">
        <v>88</v>
      </c>
      <c r="I624" s="8" t="s">
        <v>4561</v>
      </c>
    </row>
    <row r="625" spans="1:9" s="8" customFormat="1">
      <c r="A625" s="13">
        <v>45849</v>
      </c>
      <c r="B625" s="8" t="s">
        <v>7079</v>
      </c>
      <c r="C625" s="54">
        <v>540541</v>
      </c>
      <c r="D625" s="54">
        <v>0</v>
      </c>
      <c r="E625" s="54">
        <f t="shared" si="16"/>
        <v>477840333.48000002</v>
      </c>
      <c r="F625" s="8" t="s">
        <v>8</v>
      </c>
      <c r="G625" s="8" t="s">
        <v>78</v>
      </c>
    </row>
    <row r="626" spans="1:9" s="8" customFormat="1">
      <c r="A626" s="13">
        <v>45849</v>
      </c>
      <c r="B626" s="8" t="s">
        <v>7079</v>
      </c>
      <c r="C626" s="54">
        <v>59460</v>
      </c>
      <c r="D626" s="54">
        <v>0</v>
      </c>
      <c r="E626" s="54">
        <f t="shared" si="16"/>
        <v>477780873.48000002</v>
      </c>
      <c r="F626" s="8" t="s">
        <v>920</v>
      </c>
      <c r="G626" s="8" t="s">
        <v>7855</v>
      </c>
      <c r="H626" s="8" t="s">
        <v>7032</v>
      </c>
      <c r="I626" s="8" t="s">
        <v>4560</v>
      </c>
    </row>
    <row r="627" spans="1:9" s="8" customFormat="1">
      <c r="A627" s="13">
        <v>45849</v>
      </c>
      <c r="B627" s="8" t="s">
        <v>7079</v>
      </c>
      <c r="C627" s="54">
        <v>0</v>
      </c>
      <c r="D627" s="54">
        <f>C625+C626-589190</f>
        <v>10811</v>
      </c>
      <c r="E627" s="54">
        <f t="shared" si="16"/>
        <v>477791684.48000002</v>
      </c>
      <c r="F627" s="8" t="s">
        <v>920</v>
      </c>
      <c r="G627" s="8" t="s">
        <v>4242</v>
      </c>
      <c r="H627" s="8" t="s">
        <v>88</v>
      </c>
      <c r="I627" s="8" t="s">
        <v>4561</v>
      </c>
    </row>
    <row r="628" spans="1:9" s="8" customFormat="1">
      <c r="A628" s="13">
        <v>45849</v>
      </c>
      <c r="B628" s="8" t="s">
        <v>2654</v>
      </c>
      <c r="C628" s="14">
        <v>15800000</v>
      </c>
      <c r="D628" s="14">
        <v>0</v>
      </c>
      <c r="E628" s="14">
        <f t="shared" si="16"/>
        <v>461991684.48000002</v>
      </c>
      <c r="F628" s="8" t="s">
        <v>4</v>
      </c>
      <c r="G628" s="8" t="s">
        <v>5</v>
      </c>
      <c r="H628" s="40" t="s">
        <v>2320</v>
      </c>
    </row>
    <row r="629" spans="1:9" s="8" customFormat="1">
      <c r="A629" s="13">
        <v>45849</v>
      </c>
      <c r="B629" s="8" t="s">
        <v>2655</v>
      </c>
      <c r="C629" s="14">
        <v>98450000</v>
      </c>
      <c r="D629" s="14">
        <v>0</v>
      </c>
      <c r="E629" s="14">
        <f t="shared" si="16"/>
        <v>363541684.48000002</v>
      </c>
      <c r="F629" s="8" t="s">
        <v>4</v>
      </c>
      <c r="G629" s="8" t="s">
        <v>5</v>
      </c>
      <c r="H629" s="40" t="s">
        <v>1622</v>
      </c>
    </row>
    <row r="630" spans="1:9" s="8" customFormat="1">
      <c r="A630" s="13">
        <v>45849</v>
      </c>
      <c r="B630" s="8" t="s">
        <v>2645</v>
      </c>
      <c r="C630" s="14">
        <v>28000000</v>
      </c>
      <c r="D630" s="14">
        <v>0</v>
      </c>
      <c r="E630" s="14">
        <f t="shared" si="16"/>
        <v>335541684.48000002</v>
      </c>
      <c r="F630" s="8" t="s">
        <v>920</v>
      </c>
      <c r="G630" s="8" t="s">
        <v>371</v>
      </c>
    </row>
    <row r="631" spans="1:9" s="8" customFormat="1">
      <c r="A631" s="13">
        <v>45852</v>
      </c>
      <c r="B631" s="8" t="s">
        <v>2656</v>
      </c>
      <c r="C631" s="14">
        <v>0</v>
      </c>
      <c r="D631" s="14">
        <v>78300</v>
      </c>
      <c r="E631" s="14">
        <f t="shared" si="16"/>
        <v>335619984.48000002</v>
      </c>
      <c r="F631" s="8" t="s">
        <v>920</v>
      </c>
      <c r="G631" s="8" t="s">
        <v>464</v>
      </c>
      <c r="H631" s="8" t="s">
        <v>4960</v>
      </c>
    </row>
    <row r="632" spans="1:9" s="8" customFormat="1">
      <c r="A632" s="13">
        <v>45853</v>
      </c>
      <c r="B632" s="8" t="s">
        <v>2657</v>
      </c>
      <c r="C632" s="14">
        <v>10000000</v>
      </c>
      <c r="D632" s="14">
        <v>0</v>
      </c>
      <c r="E632" s="14">
        <f t="shared" si="16"/>
        <v>325619984.48000002</v>
      </c>
      <c r="F632" s="8" t="s">
        <v>920</v>
      </c>
      <c r="G632" s="8" t="s">
        <v>400</v>
      </c>
      <c r="H632" s="8" t="s">
        <v>5601</v>
      </c>
    </row>
    <row r="633" spans="1:9" s="8" customFormat="1">
      <c r="A633" s="13">
        <v>45853</v>
      </c>
      <c r="B633" s="8" t="s">
        <v>2658</v>
      </c>
      <c r="C633" s="14">
        <v>15000000</v>
      </c>
      <c r="D633" s="14">
        <v>0</v>
      </c>
      <c r="E633" s="14">
        <f t="shared" si="16"/>
        <v>310619984.48000002</v>
      </c>
      <c r="F633" s="8" t="s">
        <v>4</v>
      </c>
      <c r="G633" s="8" t="s">
        <v>5</v>
      </c>
      <c r="H633" s="40" t="s">
        <v>2320</v>
      </c>
    </row>
    <row r="634" spans="1:9" s="8" customFormat="1">
      <c r="A634" s="13">
        <v>45853</v>
      </c>
      <c r="B634" s="8" t="s">
        <v>2659</v>
      </c>
      <c r="C634" s="14">
        <v>2000000</v>
      </c>
      <c r="D634" s="14">
        <v>0</v>
      </c>
      <c r="E634" s="14">
        <f t="shared" si="16"/>
        <v>308619984.48000002</v>
      </c>
      <c r="F634" s="8" t="s">
        <v>4</v>
      </c>
      <c r="G634" s="8" t="s">
        <v>5</v>
      </c>
      <c r="H634" s="40" t="s">
        <v>2320</v>
      </c>
    </row>
    <row r="635" spans="1:9" s="8" customFormat="1">
      <c r="A635" s="13">
        <v>45853</v>
      </c>
      <c r="B635" s="8" t="s">
        <v>2660</v>
      </c>
      <c r="C635" s="14">
        <v>3577490</v>
      </c>
      <c r="D635" s="14">
        <v>0</v>
      </c>
      <c r="E635" s="14">
        <f t="shared" si="16"/>
        <v>305042494.48000002</v>
      </c>
      <c r="F635" s="8" t="s">
        <v>62</v>
      </c>
      <c r="G635" s="8" t="s">
        <v>70</v>
      </c>
    </row>
    <row r="636" spans="1:9" s="8" customFormat="1">
      <c r="A636" s="13">
        <v>45853</v>
      </c>
      <c r="B636" s="8" t="s">
        <v>2661</v>
      </c>
      <c r="C636" s="14">
        <v>1000000</v>
      </c>
      <c r="D636" s="14">
        <v>0</v>
      </c>
      <c r="E636" s="14">
        <f t="shared" si="16"/>
        <v>304042494.48000002</v>
      </c>
      <c r="F636" s="8" t="s">
        <v>4</v>
      </c>
      <c r="G636" s="8" t="s">
        <v>5</v>
      </c>
      <c r="H636" s="40" t="s">
        <v>2320</v>
      </c>
    </row>
    <row r="637" spans="1:9" s="8" customFormat="1">
      <c r="A637" s="13">
        <v>45853</v>
      </c>
      <c r="B637" s="8" t="s">
        <v>2662</v>
      </c>
      <c r="C637" s="14">
        <v>2502500</v>
      </c>
      <c r="D637" s="14">
        <v>0</v>
      </c>
      <c r="E637" s="14">
        <f t="shared" si="16"/>
        <v>301539994.48000002</v>
      </c>
      <c r="F637" s="8" t="s">
        <v>1212</v>
      </c>
      <c r="G637" s="8" t="s">
        <v>367</v>
      </c>
      <c r="H637" s="8" t="s">
        <v>3020</v>
      </c>
    </row>
    <row r="638" spans="1:9" s="8" customFormat="1">
      <c r="A638" s="13">
        <v>45853</v>
      </c>
      <c r="B638" s="8" t="s">
        <v>2663</v>
      </c>
      <c r="C638" s="14">
        <v>2200000</v>
      </c>
      <c r="D638" s="14">
        <v>0</v>
      </c>
      <c r="E638" s="14">
        <f t="shared" si="16"/>
        <v>299339994.48000002</v>
      </c>
      <c r="F638" s="8" t="s">
        <v>4</v>
      </c>
      <c r="G638" s="8" t="s">
        <v>5</v>
      </c>
      <c r="H638" s="40" t="s">
        <v>2320</v>
      </c>
    </row>
    <row r="639" spans="1:9" s="8" customFormat="1">
      <c r="A639" s="13">
        <v>45853</v>
      </c>
      <c r="B639" s="8" t="s">
        <v>2664</v>
      </c>
      <c r="C639" s="14">
        <v>1000000</v>
      </c>
      <c r="D639" s="14">
        <v>0</v>
      </c>
      <c r="E639" s="14">
        <f t="shared" si="16"/>
        <v>298339994.48000002</v>
      </c>
      <c r="F639" s="8" t="s">
        <v>4</v>
      </c>
      <c r="G639" s="8" t="s">
        <v>5</v>
      </c>
      <c r="H639" s="40" t="s">
        <v>2320</v>
      </c>
    </row>
    <row r="640" spans="1:9" s="8" customFormat="1">
      <c r="A640" s="13">
        <v>45853</v>
      </c>
      <c r="B640" s="8" t="s">
        <v>2665</v>
      </c>
      <c r="C640" s="14">
        <v>500000</v>
      </c>
      <c r="D640" s="14">
        <v>0</v>
      </c>
      <c r="E640" s="14">
        <f t="shared" si="16"/>
        <v>297839994.48000002</v>
      </c>
      <c r="F640" s="8" t="s">
        <v>4</v>
      </c>
      <c r="G640" s="8" t="s">
        <v>5</v>
      </c>
      <c r="H640" s="40" t="s">
        <v>2320</v>
      </c>
    </row>
    <row r="641" spans="1:8" s="8" customFormat="1">
      <c r="A641" s="13">
        <v>45853</v>
      </c>
      <c r="B641" s="8" t="s">
        <v>2666</v>
      </c>
      <c r="C641" s="14">
        <v>500000</v>
      </c>
      <c r="D641" s="14">
        <v>0</v>
      </c>
      <c r="E641" s="14">
        <f t="shared" si="16"/>
        <v>297339994.48000002</v>
      </c>
      <c r="F641" s="8" t="s">
        <v>4</v>
      </c>
      <c r="G641" s="8" t="s">
        <v>5</v>
      </c>
      <c r="H641" s="40" t="s">
        <v>2320</v>
      </c>
    </row>
    <row r="642" spans="1:8" s="8" customFormat="1">
      <c r="A642" s="13">
        <v>45853</v>
      </c>
      <c r="B642" s="8" t="s">
        <v>2667</v>
      </c>
      <c r="C642" s="14">
        <v>1000000</v>
      </c>
      <c r="D642" s="14">
        <v>0</v>
      </c>
      <c r="E642" s="14">
        <f t="shared" si="16"/>
        <v>296339994.48000002</v>
      </c>
      <c r="F642" s="8" t="s">
        <v>4</v>
      </c>
      <c r="G642" s="8" t="s">
        <v>5</v>
      </c>
      <c r="H642" s="40" t="s">
        <v>2320</v>
      </c>
    </row>
    <row r="643" spans="1:8" s="8" customFormat="1">
      <c r="A643" s="13">
        <v>45853</v>
      </c>
      <c r="B643" s="8" t="s">
        <v>2668</v>
      </c>
      <c r="C643" s="14">
        <v>1000000</v>
      </c>
      <c r="D643" s="14">
        <v>0</v>
      </c>
      <c r="E643" s="14">
        <f t="shared" si="16"/>
        <v>295339994.48000002</v>
      </c>
      <c r="F643" s="8" t="s">
        <v>4</v>
      </c>
      <c r="G643" s="8" t="s">
        <v>5</v>
      </c>
      <c r="H643" s="40" t="s">
        <v>2320</v>
      </c>
    </row>
    <row r="644" spans="1:8" s="8" customFormat="1">
      <c r="A644" s="13">
        <v>45853</v>
      </c>
      <c r="B644" s="8" t="s">
        <v>2669</v>
      </c>
      <c r="C644" s="14">
        <v>7600000</v>
      </c>
      <c r="D644" s="14">
        <v>0</v>
      </c>
      <c r="E644" s="14">
        <f t="shared" si="16"/>
        <v>287739994.48000002</v>
      </c>
      <c r="F644" s="8" t="s">
        <v>4</v>
      </c>
      <c r="G644" s="8" t="s">
        <v>5</v>
      </c>
      <c r="H644" s="40" t="s">
        <v>2320</v>
      </c>
    </row>
    <row r="645" spans="1:8" s="8" customFormat="1">
      <c r="A645" s="13">
        <v>45853</v>
      </c>
      <c r="B645" s="8" t="s">
        <v>2670</v>
      </c>
      <c r="C645" s="14">
        <v>1000000</v>
      </c>
      <c r="D645" s="14">
        <v>0</v>
      </c>
      <c r="E645" s="14">
        <f t="shared" si="16"/>
        <v>286739994.48000002</v>
      </c>
      <c r="F645" s="8" t="s">
        <v>4</v>
      </c>
      <c r="G645" s="8" t="s">
        <v>5</v>
      </c>
      <c r="H645" s="40" t="s">
        <v>2320</v>
      </c>
    </row>
    <row r="646" spans="1:8" s="8" customFormat="1">
      <c r="A646" s="13">
        <v>45853</v>
      </c>
      <c r="B646" s="8" t="s">
        <v>2671</v>
      </c>
      <c r="C646" s="14">
        <v>500000</v>
      </c>
      <c r="D646" s="14">
        <v>0</v>
      </c>
      <c r="E646" s="14">
        <f t="shared" si="16"/>
        <v>286239994.48000002</v>
      </c>
      <c r="F646" s="8" t="s">
        <v>4</v>
      </c>
      <c r="G646" s="8" t="s">
        <v>5</v>
      </c>
      <c r="H646" s="40" t="s">
        <v>2320</v>
      </c>
    </row>
    <row r="647" spans="1:8" s="8" customFormat="1">
      <c r="A647" s="13">
        <v>45853</v>
      </c>
      <c r="B647" s="8" t="s">
        <v>2672</v>
      </c>
      <c r="C647" s="14">
        <v>3000000</v>
      </c>
      <c r="D647" s="14">
        <v>0</v>
      </c>
      <c r="E647" s="14">
        <f t="shared" si="16"/>
        <v>283239994.48000002</v>
      </c>
      <c r="F647" s="8" t="s">
        <v>4</v>
      </c>
      <c r="G647" s="8" t="s">
        <v>5</v>
      </c>
      <c r="H647" s="40" t="s">
        <v>2320</v>
      </c>
    </row>
    <row r="648" spans="1:8" s="8" customFormat="1">
      <c r="A648" s="13">
        <v>45853</v>
      </c>
      <c r="B648" s="8" t="s">
        <v>2673</v>
      </c>
      <c r="C648" s="14">
        <v>3000000</v>
      </c>
      <c r="D648" s="14">
        <v>0</v>
      </c>
      <c r="E648" s="14">
        <f t="shared" si="16"/>
        <v>280239994.48000002</v>
      </c>
      <c r="F648" s="8" t="s">
        <v>4</v>
      </c>
      <c r="G648" s="8" t="s">
        <v>5</v>
      </c>
      <c r="H648" s="40" t="s">
        <v>2320</v>
      </c>
    </row>
    <row r="649" spans="1:8" s="8" customFormat="1">
      <c r="A649" s="13">
        <v>45853</v>
      </c>
      <c r="B649" s="8" t="s">
        <v>2674</v>
      </c>
      <c r="C649" s="14">
        <v>6000000</v>
      </c>
      <c r="D649" s="14">
        <v>0</v>
      </c>
      <c r="E649" s="14">
        <f t="shared" si="16"/>
        <v>274239994.48000002</v>
      </c>
      <c r="F649" s="8" t="s">
        <v>4</v>
      </c>
      <c r="G649" s="8" t="s">
        <v>5</v>
      </c>
      <c r="H649" s="40" t="s">
        <v>2320</v>
      </c>
    </row>
    <row r="650" spans="1:8" s="8" customFormat="1">
      <c r="A650" s="13">
        <v>45853</v>
      </c>
      <c r="B650" s="8" t="s">
        <v>2675</v>
      </c>
      <c r="C650" s="14">
        <v>510000</v>
      </c>
      <c r="D650" s="14">
        <v>0</v>
      </c>
      <c r="E650" s="14">
        <f t="shared" si="16"/>
        <v>273729994.48000002</v>
      </c>
      <c r="F650" s="8" t="s">
        <v>4</v>
      </c>
      <c r="G650" s="8" t="s">
        <v>5</v>
      </c>
      <c r="H650" s="40" t="s">
        <v>2313</v>
      </c>
    </row>
    <row r="651" spans="1:8" s="8" customFormat="1">
      <c r="A651" s="13">
        <v>45853</v>
      </c>
      <c r="B651" s="8" t="s">
        <v>2676</v>
      </c>
      <c r="C651" s="14">
        <v>2598750</v>
      </c>
      <c r="D651" s="14">
        <v>0</v>
      </c>
      <c r="E651" s="14">
        <f t="shared" si="16"/>
        <v>271131244.48000002</v>
      </c>
      <c r="F651" s="8" t="s">
        <v>4</v>
      </c>
      <c r="G651" s="8" t="s">
        <v>5</v>
      </c>
      <c r="H651" s="40" t="s">
        <v>2320</v>
      </c>
    </row>
    <row r="652" spans="1:8" s="8" customFormat="1">
      <c r="A652" s="13">
        <v>45853</v>
      </c>
      <c r="B652" s="8" t="s">
        <v>2677</v>
      </c>
      <c r="C652" s="14">
        <v>3000000</v>
      </c>
      <c r="D652" s="14">
        <v>0</v>
      </c>
      <c r="E652" s="14">
        <f t="shared" si="16"/>
        <v>268131244.48000002</v>
      </c>
      <c r="F652" s="8" t="s">
        <v>4</v>
      </c>
      <c r="G652" s="8" t="s">
        <v>5</v>
      </c>
      <c r="H652" s="8" t="s">
        <v>2326</v>
      </c>
    </row>
    <row r="653" spans="1:8" s="8" customFormat="1">
      <c r="A653" s="13">
        <v>45853</v>
      </c>
      <c r="B653" s="8" t="s">
        <v>2678</v>
      </c>
      <c r="C653" s="14">
        <v>3000000</v>
      </c>
      <c r="D653" s="14">
        <v>0</v>
      </c>
      <c r="E653" s="14">
        <f t="shared" si="16"/>
        <v>265131244.48000002</v>
      </c>
      <c r="F653" s="8" t="s">
        <v>4</v>
      </c>
      <c r="G653" s="8" t="s">
        <v>5</v>
      </c>
      <c r="H653" s="40" t="s">
        <v>2320</v>
      </c>
    </row>
    <row r="654" spans="1:8" s="8" customFormat="1">
      <c r="A654" s="13">
        <v>45853</v>
      </c>
      <c r="B654" s="8" t="s">
        <v>2679</v>
      </c>
      <c r="C654" s="14">
        <v>9900000</v>
      </c>
      <c r="D654" s="14">
        <v>0</v>
      </c>
      <c r="E654" s="14">
        <f t="shared" si="16"/>
        <v>255231244.48000002</v>
      </c>
      <c r="F654" s="8" t="s">
        <v>4</v>
      </c>
      <c r="G654" s="8" t="s">
        <v>5</v>
      </c>
      <c r="H654" s="40" t="s">
        <v>2320</v>
      </c>
    </row>
    <row r="655" spans="1:8" s="8" customFormat="1">
      <c r="A655" s="13">
        <v>45853</v>
      </c>
      <c r="B655" s="8" t="s">
        <v>5379</v>
      </c>
      <c r="C655" s="14">
        <v>11200000</v>
      </c>
      <c r="D655" s="14">
        <v>0</v>
      </c>
      <c r="E655" s="14">
        <f t="shared" si="16"/>
        <v>244031244.48000002</v>
      </c>
      <c r="F655" s="8" t="s">
        <v>21</v>
      </c>
      <c r="G655" s="8" t="s">
        <v>187</v>
      </c>
    </row>
    <row r="656" spans="1:8" s="8" customFormat="1">
      <c r="A656" s="13">
        <v>45853</v>
      </c>
      <c r="B656" s="8" t="s">
        <v>2680</v>
      </c>
      <c r="C656" s="14">
        <v>10000000</v>
      </c>
      <c r="D656" s="14">
        <v>0</v>
      </c>
      <c r="E656" s="14">
        <f t="shared" si="16"/>
        <v>234031244.48000002</v>
      </c>
      <c r="F656" s="8" t="s">
        <v>4</v>
      </c>
      <c r="G656" s="8" t="s">
        <v>5</v>
      </c>
      <c r="H656" s="40" t="s">
        <v>2327</v>
      </c>
    </row>
    <row r="657" spans="1:9" s="8" customFormat="1">
      <c r="A657" s="13">
        <v>45853</v>
      </c>
      <c r="B657" s="8" t="s">
        <v>2681</v>
      </c>
      <c r="C657" s="14">
        <v>3000000</v>
      </c>
      <c r="D657" s="14">
        <v>0</v>
      </c>
      <c r="E657" s="14">
        <f t="shared" si="16"/>
        <v>231031244.48000002</v>
      </c>
      <c r="F657" s="8" t="s">
        <v>4</v>
      </c>
      <c r="G657" s="8" t="s">
        <v>5</v>
      </c>
      <c r="H657" s="40" t="s">
        <v>1622</v>
      </c>
    </row>
    <row r="658" spans="1:9" s="8" customFormat="1">
      <c r="A658" s="13">
        <v>45853</v>
      </c>
      <c r="B658" s="8" t="s">
        <v>7083</v>
      </c>
      <c r="C658" s="54">
        <v>16537736</v>
      </c>
      <c r="D658" s="54">
        <v>0</v>
      </c>
      <c r="E658" s="54">
        <f t="shared" si="16"/>
        <v>214493508.48000002</v>
      </c>
      <c r="F658" s="8" t="s">
        <v>4</v>
      </c>
      <c r="G658" s="8" t="s">
        <v>5</v>
      </c>
      <c r="H658" s="8" t="s">
        <v>2238</v>
      </c>
    </row>
    <row r="659" spans="1:9" s="8" customFormat="1">
      <c r="A659" s="13">
        <v>45853</v>
      </c>
      <c r="B659" s="8" t="s">
        <v>7083</v>
      </c>
      <c r="C659" s="54">
        <v>1819151</v>
      </c>
      <c r="D659" s="54">
        <v>0</v>
      </c>
      <c r="E659" s="54">
        <f t="shared" si="16"/>
        <v>212674357.48000002</v>
      </c>
      <c r="F659" s="8" t="s">
        <v>920</v>
      </c>
      <c r="G659" s="8" t="s">
        <v>7855</v>
      </c>
      <c r="H659" s="8" t="s">
        <v>7032</v>
      </c>
      <c r="I659" s="8" t="s">
        <v>4560</v>
      </c>
    </row>
    <row r="660" spans="1:9" s="8" customFormat="1">
      <c r="A660" s="13">
        <v>45853</v>
      </c>
      <c r="B660" s="8" t="s">
        <v>7083</v>
      </c>
      <c r="C660" s="54">
        <v>0</v>
      </c>
      <c r="D660" s="54">
        <f>C658+C659-18026132</f>
        <v>330755</v>
      </c>
      <c r="E660" s="54">
        <f t="shared" si="16"/>
        <v>213005112.48000002</v>
      </c>
      <c r="F660" s="8" t="s">
        <v>920</v>
      </c>
      <c r="G660" s="8" t="s">
        <v>4242</v>
      </c>
      <c r="H660" s="8" t="s">
        <v>88</v>
      </c>
      <c r="I660" s="8" t="s">
        <v>4560</v>
      </c>
    </row>
    <row r="661" spans="1:9" s="8" customFormat="1">
      <c r="A661" s="13">
        <v>45854</v>
      </c>
      <c r="B661" s="8" t="s">
        <v>2682</v>
      </c>
      <c r="C661" s="14">
        <v>50000000</v>
      </c>
      <c r="D661" s="14">
        <v>0</v>
      </c>
      <c r="E661" s="14">
        <f t="shared" si="16"/>
        <v>163005112.48000002</v>
      </c>
      <c r="F661" s="8" t="s">
        <v>1212</v>
      </c>
      <c r="G661" s="8" t="s">
        <v>367</v>
      </c>
      <c r="H661" s="8" t="s">
        <v>3021</v>
      </c>
    </row>
    <row r="662" spans="1:9" s="8" customFormat="1">
      <c r="A662" s="13">
        <v>45856</v>
      </c>
      <c r="B662" s="8" t="s">
        <v>2683</v>
      </c>
      <c r="C662" s="14">
        <v>66602566</v>
      </c>
      <c r="D662" s="14">
        <v>0</v>
      </c>
      <c r="E662" s="14">
        <f t="shared" si="16"/>
        <v>96402546.480000019</v>
      </c>
      <c r="F662" s="8" t="s">
        <v>4</v>
      </c>
      <c r="G662" s="8" t="s">
        <v>5</v>
      </c>
      <c r="H662" s="40" t="s">
        <v>1622</v>
      </c>
    </row>
    <row r="663" spans="1:9" s="8" customFormat="1">
      <c r="A663" s="13">
        <v>45856</v>
      </c>
      <c r="B663" s="8" t="s">
        <v>2684</v>
      </c>
      <c r="C663" s="14">
        <v>4400000</v>
      </c>
      <c r="D663" s="14">
        <v>0</v>
      </c>
      <c r="E663" s="14">
        <f t="shared" si="16"/>
        <v>92002546.480000019</v>
      </c>
      <c r="F663" s="8" t="s">
        <v>4</v>
      </c>
      <c r="G663" s="8" t="s">
        <v>5</v>
      </c>
      <c r="H663" s="40" t="s">
        <v>1622</v>
      </c>
    </row>
    <row r="664" spans="1:9" s="8" customFormat="1">
      <c r="A664" s="13">
        <v>45856</v>
      </c>
      <c r="B664" s="8" t="s">
        <v>2685</v>
      </c>
      <c r="C664" s="14">
        <v>638000</v>
      </c>
      <c r="D664" s="14">
        <v>0</v>
      </c>
      <c r="E664" s="14">
        <f t="shared" si="16"/>
        <v>91364546.480000019</v>
      </c>
      <c r="F664" s="8" t="s">
        <v>4</v>
      </c>
      <c r="G664" s="8" t="s">
        <v>5</v>
      </c>
      <c r="H664" s="40" t="s">
        <v>1634</v>
      </c>
    </row>
    <row r="665" spans="1:9" s="8" customFormat="1">
      <c r="A665" s="13">
        <v>45856</v>
      </c>
      <c r="B665" s="8" t="s">
        <v>2686</v>
      </c>
      <c r="C665" s="14">
        <v>5610000</v>
      </c>
      <c r="D665" s="14">
        <v>0</v>
      </c>
      <c r="E665" s="14">
        <f t="shared" ref="E665:E731" si="17">E664-C665+D665</f>
        <v>85754546.480000019</v>
      </c>
      <c r="F665" s="8" t="s">
        <v>4</v>
      </c>
      <c r="G665" s="8" t="s">
        <v>5</v>
      </c>
      <c r="H665" s="40" t="s">
        <v>1638</v>
      </c>
      <c r="I665" s="8" t="s">
        <v>26</v>
      </c>
    </row>
    <row r="666" spans="1:9" s="8" customFormat="1">
      <c r="A666" s="13">
        <v>45856</v>
      </c>
      <c r="B666" s="8" t="s">
        <v>333</v>
      </c>
      <c r="C666" s="14">
        <v>0</v>
      </c>
      <c r="D666" s="14">
        <v>100000000</v>
      </c>
      <c r="E666" s="14">
        <f t="shared" si="17"/>
        <v>185754546.48000002</v>
      </c>
      <c r="F666" t="s">
        <v>920</v>
      </c>
      <c r="G666" s="8" t="s">
        <v>4242</v>
      </c>
    </row>
    <row r="667" spans="1:9" s="8" customFormat="1">
      <c r="A667" s="13">
        <v>45856</v>
      </c>
      <c r="B667" s="8" t="s">
        <v>7073</v>
      </c>
      <c r="C667" s="54">
        <v>81081081</v>
      </c>
      <c r="D667" s="54">
        <v>0</v>
      </c>
      <c r="E667" s="54">
        <f t="shared" si="17"/>
        <v>104673465.48000002</v>
      </c>
      <c r="F667" s="8" t="s">
        <v>4</v>
      </c>
      <c r="G667" s="8" t="s">
        <v>5</v>
      </c>
      <c r="H667" s="8" t="s">
        <v>2238</v>
      </c>
    </row>
    <row r="668" spans="1:9" s="8" customFormat="1">
      <c r="A668" s="13">
        <v>45856</v>
      </c>
      <c r="B668" s="8" t="s">
        <v>7073</v>
      </c>
      <c r="C668" s="54">
        <v>8918919</v>
      </c>
      <c r="D668" s="54">
        <v>0</v>
      </c>
      <c r="E668" s="54">
        <f t="shared" si="17"/>
        <v>95754546.480000019</v>
      </c>
      <c r="F668" s="8" t="s">
        <v>920</v>
      </c>
      <c r="G668" s="8" t="s">
        <v>7855</v>
      </c>
      <c r="H668" s="8" t="s">
        <v>7032</v>
      </c>
      <c r="I668" s="8" t="s">
        <v>7069</v>
      </c>
    </row>
    <row r="669" spans="1:9" s="8" customFormat="1">
      <c r="A669" s="13">
        <v>45856</v>
      </c>
      <c r="B669" s="8" t="s">
        <v>7073</v>
      </c>
      <c r="C669" s="54">
        <v>0</v>
      </c>
      <c r="D669" s="54">
        <f>C667+C668-88378378</f>
        <v>1621622</v>
      </c>
      <c r="E669" s="54">
        <f t="shared" si="17"/>
        <v>97376168.480000019</v>
      </c>
      <c r="F669" s="8" t="s">
        <v>920</v>
      </c>
      <c r="G669" s="8" t="s">
        <v>4242</v>
      </c>
      <c r="H669" s="8" t="s">
        <v>88</v>
      </c>
      <c r="I669" s="8" t="s">
        <v>7069</v>
      </c>
    </row>
    <row r="670" spans="1:9" s="8" customFormat="1">
      <c r="A670" s="13">
        <v>45858</v>
      </c>
      <c r="B670" s="8" t="s">
        <v>2687</v>
      </c>
      <c r="C670" s="14">
        <v>11700000</v>
      </c>
      <c r="D670" s="14">
        <v>0</v>
      </c>
      <c r="E670" s="14">
        <f t="shared" si="17"/>
        <v>85676168.480000019</v>
      </c>
      <c r="F670" s="8" t="s">
        <v>1212</v>
      </c>
      <c r="G670" s="8" t="s">
        <v>367</v>
      </c>
      <c r="H670" s="8" t="s">
        <v>3020</v>
      </c>
    </row>
    <row r="671" spans="1:9" s="8" customFormat="1">
      <c r="A671" s="13">
        <v>45860</v>
      </c>
      <c r="B671" s="8" t="s">
        <v>5377</v>
      </c>
      <c r="C671" s="14">
        <v>21647351</v>
      </c>
      <c r="D671" s="14">
        <v>0</v>
      </c>
      <c r="E671" s="14">
        <f t="shared" si="17"/>
        <v>64028817.480000019</v>
      </c>
      <c r="F671" s="8" t="s">
        <v>4</v>
      </c>
      <c r="G671" s="8" t="s">
        <v>5</v>
      </c>
      <c r="H671" s="8" t="s">
        <v>2316</v>
      </c>
    </row>
    <row r="672" spans="1:9" s="8" customFormat="1">
      <c r="A672" s="13">
        <v>45860</v>
      </c>
      <c r="B672" s="8" t="s">
        <v>2624</v>
      </c>
      <c r="C672" s="14">
        <v>35000</v>
      </c>
      <c r="D672" s="14">
        <v>0</v>
      </c>
      <c r="E672" s="14">
        <f t="shared" si="17"/>
        <v>63993817.480000019</v>
      </c>
      <c r="F672" s="8" t="s">
        <v>19</v>
      </c>
      <c r="G672" s="8" t="s">
        <v>189</v>
      </c>
    </row>
    <row r="673" spans="1:8" s="8" customFormat="1">
      <c r="A673" s="13">
        <v>45860</v>
      </c>
      <c r="B673" s="8" t="s">
        <v>2625</v>
      </c>
      <c r="C673" s="14">
        <v>407825</v>
      </c>
      <c r="D673" s="14">
        <v>0</v>
      </c>
      <c r="E673" s="14">
        <f t="shared" si="17"/>
        <v>63585992.480000019</v>
      </c>
      <c r="F673" s="8" t="s">
        <v>19</v>
      </c>
      <c r="G673" s="8" t="s">
        <v>189</v>
      </c>
    </row>
    <row r="674" spans="1:8" s="8" customFormat="1">
      <c r="A674" s="13">
        <v>45860</v>
      </c>
      <c r="B674" s="8" t="s">
        <v>333</v>
      </c>
      <c r="C674" s="14">
        <v>0</v>
      </c>
      <c r="D674" s="14">
        <v>250000000</v>
      </c>
      <c r="E674" s="14">
        <f t="shared" si="17"/>
        <v>313585992.48000002</v>
      </c>
      <c r="F674" t="s">
        <v>920</v>
      </c>
      <c r="G674" s="8" t="s">
        <v>4242</v>
      </c>
    </row>
    <row r="675" spans="1:8" s="8" customFormat="1">
      <c r="A675" s="13">
        <v>45860</v>
      </c>
      <c r="B675" s="8" t="s">
        <v>2688</v>
      </c>
      <c r="C675" s="14">
        <v>4400000</v>
      </c>
      <c r="D675" s="14">
        <v>0</v>
      </c>
      <c r="E675" s="14">
        <f t="shared" si="17"/>
        <v>309185992.48000002</v>
      </c>
      <c r="F675" s="8" t="s">
        <v>4</v>
      </c>
      <c r="G675" s="8" t="s">
        <v>5</v>
      </c>
      <c r="H675" s="40" t="s">
        <v>1622</v>
      </c>
    </row>
    <row r="676" spans="1:8" s="8" customFormat="1">
      <c r="A676" s="13">
        <v>45860</v>
      </c>
      <c r="B676" s="8" t="s">
        <v>2689</v>
      </c>
      <c r="C676" s="14">
        <v>4400000</v>
      </c>
      <c r="D676" s="14">
        <v>0</v>
      </c>
      <c r="E676" s="14">
        <f t="shared" si="17"/>
        <v>304785992.48000002</v>
      </c>
      <c r="F676" s="8" t="s">
        <v>4</v>
      </c>
      <c r="G676" s="8" t="s">
        <v>5</v>
      </c>
      <c r="H676" s="40" t="s">
        <v>1622</v>
      </c>
    </row>
    <row r="677" spans="1:8" s="8" customFormat="1">
      <c r="A677" s="13">
        <v>45860</v>
      </c>
      <c r="B677" s="8" t="s">
        <v>2690</v>
      </c>
      <c r="C677" s="14">
        <v>837200</v>
      </c>
      <c r="D677" s="14">
        <v>0</v>
      </c>
      <c r="E677" s="14">
        <f t="shared" si="17"/>
        <v>303948792.48000002</v>
      </c>
      <c r="F677" s="8" t="s">
        <v>62</v>
      </c>
      <c r="G677" s="8" t="s">
        <v>70</v>
      </c>
    </row>
    <row r="678" spans="1:8" s="8" customFormat="1">
      <c r="A678" s="13">
        <v>45860</v>
      </c>
      <c r="B678" s="8" t="s">
        <v>2691</v>
      </c>
      <c r="C678" s="14">
        <v>5850000</v>
      </c>
      <c r="D678" s="14">
        <v>0</v>
      </c>
      <c r="E678" s="14">
        <f t="shared" si="17"/>
        <v>298098792.48000002</v>
      </c>
      <c r="F678" s="8" t="s">
        <v>4</v>
      </c>
      <c r="G678" s="8" t="s">
        <v>5</v>
      </c>
      <c r="H678" s="40" t="s">
        <v>2320</v>
      </c>
    </row>
    <row r="679" spans="1:8" s="8" customFormat="1">
      <c r="A679" s="13">
        <v>45860</v>
      </c>
      <c r="B679" s="8" t="s">
        <v>2692</v>
      </c>
      <c r="C679" s="14">
        <v>25000000</v>
      </c>
      <c r="D679" s="14">
        <v>0</v>
      </c>
      <c r="E679" s="14">
        <f t="shared" si="17"/>
        <v>273098792.48000002</v>
      </c>
      <c r="F679" s="8" t="s">
        <v>4</v>
      </c>
      <c r="G679" s="8" t="s">
        <v>5</v>
      </c>
      <c r="H679" s="40" t="s">
        <v>2320</v>
      </c>
    </row>
    <row r="680" spans="1:8" s="8" customFormat="1">
      <c r="A680" s="13">
        <v>45860</v>
      </c>
      <c r="B680" s="8" t="s">
        <v>2693</v>
      </c>
      <c r="C680" s="14">
        <v>57375000</v>
      </c>
      <c r="D680" s="14">
        <v>0</v>
      </c>
      <c r="E680" s="14">
        <f t="shared" si="17"/>
        <v>215723792.48000002</v>
      </c>
      <c r="F680" s="8" t="s">
        <v>4</v>
      </c>
      <c r="G680" s="8" t="s">
        <v>5</v>
      </c>
      <c r="H680" s="40" t="s">
        <v>2320</v>
      </c>
    </row>
    <row r="681" spans="1:8" s="8" customFormat="1">
      <c r="A681" s="13">
        <v>45861</v>
      </c>
      <c r="B681" s="8" t="s">
        <v>2694</v>
      </c>
      <c r="C681" s="14">
        <v>50000000</v>
      </c>
      <c r="D681" s="14">
        <v>0</v>
      </c>
      <c r="E681" s="14">
        <f t="shared" si="17"/>
        <v>165723792.48000002</v>
      </c>
      <c r="F681" s="8" t="s">
        <v>920</v>
      </c>
      <c r="G681" s="8" t="s">
        <v>371</v>
      </c>
    </row>
    <row r="682" spans="1:8" s="8" customFormat="1">
      <c r="A682" s="13">
        <v>45862</v>
      </c>
      <c r="B682" s="8" t="s">
        <v>2695</v>
      </c>
      <c r="C682" s="14">
        <v>7500000</v>
      </c>
      <c r="D682" s="14">
        <v>0</v>
      </c>
      <c r="E682" s="14">
        <f t="shared" si="17"/>
        <v>158223792.48000002</v>
      </c>
      <c r="F682" s="8" t="s">
        <v>4</v>
      </c>
      <c r="G682" s="8" t="s">
        <v>5</v>
      </c>
      <c r="H682" s="40" t="s">
        <v>3440</v>
      </c>
    </row>
    <row r="683" spans="1:8" s="8" customFormat="1">
      <c r="A683" s="13">
        <v>45862</v>
      </c>
      <c r="B683" s="8" t="s">
        <v>2696</v>
      </c>
      <c r="C683" s="14">
        <v>5000000</v>
      </c>
      <c r="D683" s="14">
        <v>0</v>
      </c>
      <c r="E683" s="14">
        <f t="shared" si="17"/>
        <v>153223792.48000002</v>
      </c>
      <c r="F683" s="8" t="s">
        <v>920</v>
      </c>
      <c r="G683" s="8" t="s">
        <v>400</v>
      </c>
      <c r="H683" s="8" t="s">
        <v>5602</v>
      </c>
    </row>
    <row r="684" spans="1:8" s="8" customFormat="1">
      <c r="A684" s="13">
        <v>45862</v>
      </c>
      <c r="B684" s="8" t="s">
        <v>2697</v>
      </c>
      <c r="C684" s="14">
        <v>14000000</v>
      </c>
      <c r="D684" s="14">
        <v>0</v>
      </c>
      <c r="E684" s="14">
        <f t="shared" si="17"/>
        <v>139223792.48000002</v>
      </c>
      <c r="F684" s="8" t="s">
        <v>920</v>
      </c>
      <c r="G684" s="8" t="s">
        <v>400</v>
      </c>
      <c r="H684" s="8" t="s">
        <v>5603</v>
      </c>
    </row>
    <row r="685" spans="1:8" s="8" customFormat="1">
      <c r="A685" s="13">
        <v>45863</v>
      </c>
      <c r="B685" s="8" t="s">
        <v>333</v>
      </c>
      <c r="C685" s="14">
        <v>0</v>
      </c>
      <c r="D685" s="14">
        <v>250000000</v>
      </c>
      <c r="E685" s="14">
        <f t="shared" si="17"/>
        <v>389223792.48000002</v>
      </c>
      <c r="F685" s="15" t="s">
        <v>920</v>
      </c>
      <c r="G685" t="s">
        <v>4243</v>
      </c>
    </row>
    <row r="686" spans="1:8" s="8" customFormat="1">
      <c r="A686" s="13">
        <v>45863</v>
      </c>
      <c r="B686" s="8" t="s">
        <v>333</v>
      </c>
      <c r="C686" s="14">
        <v>0</v>
      </c>
      <c r="D686" s="14">
        <v>250000000</v>
      </c>
      <c r="E686" s="14">
        <f t="shared" si="17"/>
        <v>639223792.48000002</v>
      </c>
      <c r="F686" s="15" t="s">
        <v>920</v>
      </c>
      <c r="G686" t="s">
        <v>4243</v>
      </c>
    </row>
    <row r="687" spans="1:8" s="8" customFormat="1">
      <c r="A687" s="13">
        <v>45863</v>
      </c>
      <c r="B687" s="8" t="s">
        <v>333</v>
      </c>
      <c r="C687" s="14">
        <v>0</v>
      </c>
      <c r="D687" s="14">
        <v>150000000</v>
      </c>
      <c r="E687" s="14">
        <f t="shared" si="17"/>
        <v>789223792.48000002</v>
      </c>
      <c r="F687" s="15" t="s">
        <v>920</v>
      </c>
      <c r="G687" t="s">
        <v>4243</v>
      </c>
    </row>
    <row r="688" spans="1:8" s="8" customFormat="1">
      <c r="A688" s="13">
        <v>45863</v>
      </c>
      <c r="B688" s="8" t="s">
        <v>333</v>
      </c>
      <c r="C688" s="14">
        <v>0</v>
      </c>
      <c r="D688" s="14">
        <v>250000000</v>
      </c>
      <c r="E688" s="14">
        <f t="shared" si="17"/>
        <v>1039223792.48</v>
      </c>
      <c r="F688" s="15" t="s">
        <v>920</v>
      </c>
      <c r="G688" t="s">
        <v>4243</v>
      </c>
    </row>
    <row r="689" spans="1:9" s="8" customFormat="1">
      <c r="A689" s="13">
        <v>45863</v>
      </c>
      <c r="B689" s="8" t="s">
        <v>2698</v>
      </c>
      <c r="C689" s="54">
        <f>900000000-C690</f>
        <v>799151036</v>
      </c>
      <c r="D689" s="54">
        <v>0</v>
      </c>
      <c r="E689" s="54">
        <f t="shared" si="17"/>
        <v>240072756.48000002</v>
      </c>
      <c r="F689" s="8" t="s">
        <v>1212</v>
      </c>
      <c r="G689" s="8" t="s">
        <v>367</v>
      </c>
      <c r="H689" s="8" t="s">
        <v>3021</v>
      </c>
    </row>
    <row r="690" spans="1:9" s="8" customFormat="1">
      <c r="A690" s="13">
        <v>45863</v>
      </c>
      <c r="B690" s="8" t="s">
        <v>2698</v>
      </c>
      <c r="C690" s="54">
        <v>100848964</v>
      </c>
      <c r="D690" s="54">
        <v>0</v>
      </c>
      <c r="E690" s="54">
        <f t="shared" si="17"/>
        <v>139223792.48000002</v>
      </c>
      <c r="F690" s="8" t="s">
        <v>920</v>
      </c>
      <c r="G690" s="8" t="s">
        <v>7855</v>
      </c>
      <c r="H690" s="8" t="s">
        <v>7032</v>
      </c>
      <c r="I690" s="8" t="s">
        <v>4561</v>
      </c>
    </row>
    <row r="691" spans="1:9" s="8" customFormat="1">
      <c r="A691" s="13">
        <v>45863</v>
      </c>
      <c r="B691" s="8" t="s">
        <v>2699</v>
      </c>
      <c r="C691" s="14">
        <v>33350</v>
      </c>
      <c r="D691" s="14">
        <v>0</v>
      </c>
      <c r="E691" s="14">
        <f t="shared" si="17"/>
        <v>139190442.48000002</v>
      </c>
      <c r="F691" s="8" t="s">
        <v>4</v>
      </c>
      <c r="G691" s="8" t="s">
        <v>5</v>
      </c>
      <c r="H691" s="40" t="s">
        <v>3232</v>
      </c>
    </row>
    <row r="692" spans="1:9" s="8" customFormat="1">
      <c r="A692" s="13">
        <v>45863</v>
      </c>
      <c r="B692" s="8" t="s">
        <v>7089</v>
      </c>
      <c r="C692" s="54">
        <v>675676</v>
      </c>
      <c r="D692" s="54">
        <v>0</v>
      </c>
      <c r="E692" s="54">
        <f t="shared" si="17"/>
        <v>138514766.48000002</v>
      </c>
      <c r="F692" s="8" t="s">
        <v>8</v>
      </c>
      <c r="G692" s="8" t="s">
        <v>9</v>
      </c>
    </row>
    <row r="693" spans="1:9" s="8" customFormat="1">
      <c r="A693" s="13">
        <v>45863</v>
      </c>
      <c r="B693" s="8" t="s">
        <v>7089</v>
      </c>
      <c r="C693" s="54">
        <v>74324</v>
      </c>
      <c r="D693" s="54">
        <v>0</v>
      </c>
      <c r="E693" s="54">
        <f t="shared" si="17"/>
        <v>138440442.48000002</v>
      </c>
      <c r="F693" s="8" t="s">
        <v>920</v>
      </c>
      <c r="G693" s="8" t="s">
        <v>7855</v>
      </c>
      <c r="H693" s="8" t="s">
        <v>7032</v>
      </c>
      <c r="I693" s="8" t="s">
        <v>4561</v>
      </c>
    </row>
    <row r="694" spans="1:9" s="8" customFormat="1">
      <c r="A694" s="13">
        <v>45863</v>
      </c>
      <c r="B694" s="8" t="s">
        <v>7089</v>
      </c>
      <c r="C694" s="54">
        <v>0</v>
      </c>
      <c r="D694" s="54">
        <f>C692+C693-736486</f>
        <v>13514</v>
      </c>
      <c r="E694" s="54">
        <f t="shared" si="17"/>
        <v>138453956.48000002</v>
      </c>
      <c r="F694" s="8" t="s">
        <v>920</v>
      </c>
      <c r="G694" s="8" t="s">
        <v>4242</v>
      </c>
      <c r="H694" s="8" t="s">
        <v>88</v>
      </c>
      <c r="I694" s="8" t="s">
        <v>4561</v>
      </c>
    </row>
    <row r="695" spans="1:9" s="8" customFormat="1">
      <c r="A695" s="13">
        <v>45863</v>
      </c>
      <c r="B695" s="8" t="s">
        <v>2700</v>
      </c>
      <c r="C695" s="14">
        <v>2500000</v>
      </c>
      <c r="D695" s="14">
        <v>0</v>
      </c>
      <c r="E695" s="14">
        <f t="shared" si="17"/>
        <v>135953956.48000002</v>
      </c>
      <c r="F695" s="8" t="s">
        <v>4</v>
      </c>
      <c r="G695" s="8" t="s">
        <v>5</v>
      </c>
      <c r="H695" s="146" t="s">
        <v>2474</v>
      </c>
    </row>
    <row r="696" spans="1:9" s="8" customFormat="1">
      <c r="A696" s="13">
        <v>45863</v>
      </c>
      <c r="B696" s="8" t="s">
        <v>2701</v>
      </c>
      <c r="C696" s="14">
        <v>33316650</v>
      </c>
      <c r="D696" s="14">
        <v>0</v>
      </c>
      <c r="E696" s="14">
        <f t="shared" si="17"/>
        <v>102637306.48000002</v>
      </c>
      <c r="F696" s="8" t="s">
        <v>4</v>
      </c>
      <c r="G696" s="8" t="s">
        <v>5</v>
      </c>
      <c r="H696" s="40" t="s">
        <v>3232</v>
      </c>
    </row>
    <row r="697" spans="1:9" s="8" customFormat="1">
      <c r="A697" s="13">
        <v>45867</v>
      </c>
      <c r="B697" s="8" t="s">
        <v>5425</v>
      </c>
      <c r="C697" s="14">
        <v>0</v>
      </c>
      <c r="D697" s="14">
        <v>15000000</v>
      </c>
      <c r="E697" s="14">
        <f t="shared" si="17"/>
        <v>117637306.48000002</v>
      </c>
      <c r="F697" s="8" t="s">
        <v>1400</v>
      </c>
      <c r="G697" s="8" t="s">
        <v>1400</v>
      </c>
    </row>
    <row r="698" spans="1:9" s="8" customFormat="1">
      <c r="A698" s="13">
        <v>45867</v>
      </c>
      <c r="B698" s="8" t="s">
        <v>2702</v>
      </c>
      <c r="C698" s="14">
        <v>15500000</v>
      </c>
      <c r="D698" s="14">
        <v>0</v>
      </c>
      <c r="E698" s="14">
        <f t="shared" si="17"/>
        <v>102137306.48000002</v>
      </c>
      <c r="F698" s="8" t="s">
        <v>4</v>
      </c>
      <c r="G698" s="8" t="s">
        <v>5</v>
      </c>
      <c r="H698" s="40" t="s">
        <v>3232</v>
      </c>
    </row>
    <row r="699" spans="1:9" s="8" customFormat="1">
      <c r="A699" s="13">
        <v>45867</v>
      </c>
      <c r="B699" s="8" t="s">
        <v>2703</v>
      </c>
      <c r="C699" s="14">
        <v>6800000</v>
      </c>
      <c r="D699" s="14">
        <v>0</v>
      </c>
      <c r="E699" s="14">
        <f t="shared" si="17"/>
        <v>95337306.480000019</v>
      </c>
      <c r="F699" s="8" t="s">
        <v>4</v>
      </c>
      <c r="G699" s="8" t="s">
        <v>5</v>
      </c>
      <c r="H699" s="40" t="s">
        <v>2316</v>
      </c>
    </row>
    <row r="700" spans="1:9" s="8" customFormat="1">
      <c r="A700" s="13">
        <v>45867</v>
      </c>
      <c r="B700" s="8" t="s">
        <v>2704</v>
      </c>
      <c r="C700" s="14">
        <v>5434000</v>
      </c>
      <c r="D700" s="14">
        <v>0</v>
      </c>
      <c r="E700" s="14">
        <f t="shared" si="17"/>
        <v>89903306.480000019</v>
      </c>
      <c r="F700" s="8" t="s">
        <v>4</v>
      </c>
      <c r="G700" s="8" t="s">
        <v>5</v>
      </c>
      <c r="H700" s="40" t="s">
        <v>3232</v>
      </c>
    </row>
    <row r="701" spans="1:9" s="8" customFormat="1">
      <c r="A701" s="13">
        <v>45867</v>
      </c>
      <c r="B701" s="8" t="s">
        <v>2705</v>
      </c>
      <c r="C701" s="14">
        <v>28192000</v>
      </c>
      <c r="D701" s="14">
        <v>0</v>
      </c>
      <c r="E701" s="14">
        <f t="shared" si="17"/>
        <v>61711306.480000019</v>
      </c>
      <c r="F701" s="8" t="s">
        <v>4</v>
      </c>
      <c r="G701" s="8" t="s">
        <v>5</v>
      </c>
      <c r="H701" s="40" t="s">
        <v>3232</v>
      </c>
    </row>
    <row r="702" spans="1:9" s="8" customFormat="1">
      <c r="A702" s="13">
        <v>45867</v>
      </c>
      <c r="B702" s="8" t="s">
        <v>7137</v>
      </c>
      <c r="C702" s="54">
        <v>5777000</v>
      </c>
      <c r="D702" s="54">
        <v>0</v>
      </c>
      <c r="E702" s="54">
        <f t="shared" si="17"/>
        <v>55934306.480000019</v>
      </c>
      <c r="F702" s="8" t="s">
        <v>8</v>
      </c>
      <c r="G702" s="8" t="s">
        <v>14</v>
      </c>
    </row>
    <row r="703" spans="1:9" s="8" customFormat="1">
      <c r="A703" s="13">
        <v>45867</v>
      </c>
      <c r="B703" s="8" t="s">
        <v>7137</v>
      </c>
      <c r="C703" s="54">
        <v>115540</v>
      </c>
      <c r="D703" s="54">
        <v>0</v>
      </c>
      <c r="E703" s="54">
        <f t="shared" si="17"/>
        <v>55818766.480000019</v>
      </c>
      <c r="F703" s="8" t="s">
        <v>8</v>
      </c>
      <c r="G703" s="8" t="s">
        <v>14</v>
      </c>
    </row>
    <row r="704" spans="1:9" s="8" customFormat="1">
      <c r="A704" s="13">
        <v>45867</v>
      </c>
      <c r="B704" s="8" t="s">
        <v>7137</v>
      </c>
      <c r="C704" s="54">
        <v>0</v>
      </c>
      <c r="D704" s="54">
        <f>C702+C703-5777000</f>
        <v>115540</v>
      </c>
      <c r="E704" s="54">
        <f t="shared" si="17"/>
        <v>55934306.480000019</v>
      </c>
      <c r="F704" s="8" t="s">
        <v>920</v>
      </c>
      <c r="G704" s="8" t="s">
        <v>4242</v>
      </c>
      <c r="H704" s="8" t="s">
        <v>88</v>
      </c>
      <c r="I704" s="8" t="s">
        <v>4561</v>
      </c>
    </row>
    <row r="705" spans="1:9" s="8" customFormat="1">
      <c r="A705" s="13">
        <v>45867</v>
      </c>
      <c r="B705" s="8" t="s">
        <v>2706</v>
      </c>
      <c r="C705" s="14">
        <v>2625000</v>
      </c>
      <c r="D705" s="14">
        <v>0</v>
      </c>
      <c r="E705" s="14">
        <f t="shared" si="17"/>
        <v>53309306.480000019</v>
      </c>
      <c r="F705" s="8" t="s">
        <v>4</v>
      </c>
      <c r="G705" s="8" t="s">
        <v>5</v>
      </c>
      <c r="H705" s="40" t="s">
        <v>3232</v>
      </c>
    </row>
    <row r="706" spans="1:9" s="8" customFormat="1">
      <c r="A706" s="13">
        <v>45867</v>
      </c>
      <c r="B706" s="8" t="s">
        <v>2707</v>
      </c>
      <c r="C706" s="14">
        <v>10002500</v>
      </c>
      <c r="D706" s="14">
        <v>0</v>
      </c>
      <c r="E706" s="14">
        <f t="shared" si="17"/>
        <v>43306806.480000019</v>
      </c>
      <c r="F706" s="8" t="s">
        <v>4</v>
      </c>
      <c r="G706" s="8" t="s">
        <v>5</v>
      </c>
      <c r="H706" s="40" t="s">
        <v>3232</v>
      </c>
    </row>
    <row r="707" spans="1:9" s="8" customFormat="1">
      <c r="A707" s="13">
        <v>45867</v>
      </c>
      <c r="B707" s="8" t="s">
        <v>2708</v>
      </c>
      <c r="C707" s="14">
        <v>31595000</v>
      </c>
      <c r="D707" s="14">
        <v>0</v>
      </c>
      <c r="E707" s="14">
        <f t="shared" si="17"/>
        <v>11711806.480000019</v>
      </c>
      <c r="F707" s="8" t="s">
        <v>4</v>
      </c>
      <c r="G707" s="8" t="s">
        <v>5</v>
      </c>
      <c r="H707" s="40" t="s">
        <v>3232</v>
      </c>
    </row>
    <row r="708" spans="1:9" s="8" customFormat="1">
      <c r="A708" s="13">
        <v>45867</v>
      </c>
      <c r="B708" s="8" t="s">
        <v>378</v>
      </c>
      <c r="C708" s="14">
        <v>9559931</v>
      </c>
      <c r="D708" s="14">
        <v>0</v>
      </c>
      <c r="E708" s="14">
        <f t="shared" si="17"/>
        <v>2151875.4800000191</v>
      </c>
      <c r="F708" s="8" t="s">
        <v>920</v>
      </c>
      <c r="G708" s="8" t="s">
        <v>376</v>
      </c>
    </row>
    <row r="709" spans="1:9" s="8" customFormat="1">
      <c r="A709" s="13">
        <v>45868</v>
      </c>
      <c r="B709" s="8" t="s">
        <v>333</v>
      </c>
      <c r="C709" s="14">
        <v>0</v>
      </c>
      <c r="D709" s="14">
        <v>250000000</v>
      </c>
      <c r="E709" s="14">
        <f t="shared" si="17"/>
        <v>252151875.48000002</v>
      </c>
      <c r="F709" t="s">
        <v>920</v>
      </c>
      <c r="G709" s="8" t="s">
        <v>4242</v>
      </c>
    </row>
    <row r="710" spans="1:9" s="8" customFormat="1">
      <c r="A710" s="13">
        <v>45868</v>
      </c>
      <c r="B710" s="8" t="s">
        <v>2709</v>
      </c>
      <c r="C710" s="14">
        <v>6000000</v>
      </c>
      <c r="D710" s="14">
        <v>0</v>
      </c>
      <c r="E710" s="14">
        <f t="shared" si="17"/>
        <v>246151875.48000002</v>
      </c>
      <c r="F710" s="8" t="s">
        <v>920</v>
      </c>
      <c r="G710" s="8" t="s">
        <v>400</v>
      </c>
      <c r="H710" s="8" t="s">
        <v>5604</v>
      </c>
    </row>
    <row r="711" spans="1:9" s="8" customFormat="1">
      <c r="A711" s="13">
        <v>45869</v>
      </c>
      <c r="B711" s="8" t="s">
        <v>334</v>
      </c>
      <c r="C711" s="14">
        <v>30000</v>
      </c>
      <c r="D711" s="14">
        <v>0</v>
      </c>
      <c r="E711" s="14">
        <f t="shared" si="17"/>
        <v>246121875.48000002</v>
      </c>
      <c r="F711" s="8" t="s">
        <v>19</v>
      </c>
      <c r="G711" s="8" t="s">
        <v>189</v>
      </c>
    </row>
    <row r="712" spans="1:9" s="8" customFormat="1">
      <c r="A712" s="13">
        <v>45871</v>
      </c>
      <c r="B712" s="8" t="s">
        <v>5794</v>
      </c>
      <c r="C712" s="14">
        <v>22500000</v>
      </c>
      <c r="D712" s="14">
        <v>0</v>
      </c>
      <c r="E712" s="14">
        <f t="shared" si="17"/>
        <v>223621875.48000002</v>
      </c>
      <c r="F712" s="8" t="s">
        <v>4</v>
      </c>
      <c r="G712" s="8" t="s">
        <v>5</v>
      </c>
      <c r="H712" s="8" t="s">
        <v>3334</v>
      </c>
      <c r="I712" s="8" t="s">
        <v>26</v>
      </c>
    </row>
    <row r="713" spans="1:9" s="8" customFormat="1">
      <c r="A713" s="13">
        <v>45871</v>
      </c>
      <c r="B713" s="8" t="s">
        <v>5795</v>
      </c>
      <c r="C713" s="14">
        <v>3690000</v>
      </c>
      <c r="D713" s="14">
        <v>0</v>
      </c>
      <c r="E713" s="14">
        <f t="shared" si="17"/>
        <v>219931875.48000002</v>
      </c>
      <c r="F713" s="8" t="s">
        <v>4</v>
      </c>
      <c r="G713" s="8" t="s">
        <v>5</v>
      </c>
      <c r="H713" s="8" t="s">
        <v>3334</v>
      </c>
      <c r="I713" s="8" t="s">
        <v>26</v>
      </c>
    </row>
    <row r="714" spans="1:9" s="8" customFormat="1">
      <c r="A714" s="13">
        <v>45875</v>
      </c>
      <c r="B714" s="8" t="s">
        <v>2710</v>
      </c>
      <c r="C714" s="14">
        <v>2000000</v>
      </c>
      <c r="D714" s="14">
        <v>0</v>
      </c>
      <c r="E714" s="14">
        <f t="shared" si="17"/>
        <v>217931875.48000002</v>
      </c>
      <c r="F714" s="8" t="s">
        <v>4</v>
      </c>
      <c r="G714" s="8" t="s">
        <v>5</v>
      </c>
      <c r="H714" s="40" t="s">
        <v>3232</v>
      </c>
    </row>
    <row r="715" spans="1:9" s="8" customFormat="1">
      <c r="A715" s="13">
        <v>45875</v>
      </c>
      <c r="B715" s="8" t="s">
        <v>2711</v>
      </c>
      <c r="C715" s="14">
        <v>22500000</v>
      </c>
      <c r="D715" s="14">
        <v>0</v>
      </c>
      <c r="E715" s="14">
        <f t="shared" si="17"/>
        <v>195431875.48000002</v>
      </c>
      <c r="F715" s="8" t="s">
        <v>4</v>
      </c>
      <c r="G715" s="8" t="s">
        <v>5</v>
      </c>
      <c r="H715" s="40" t="s">
        <v>3334</v>
      </c>
    </row>
    <row r="716" spans="1:9" s="8" customFormat="1">
      <c r="A716" s="13">
        <v>45875</v>
      </c>
      <c r="B716" s="8" t="s">
        <v>7096</v>
      </c>
      <c r="C716" s="54">
        <v>3500000</v>
      </c>
      <c r="D716" s="54">
        <v>0</v>
      </c>
      <c r="E716" s="54">
        <f t="shared" si="17"/>
        <v>191931875.48000002</v>
      </c>
      <c r="F716" s="8" t="s">
        <v>8</v>
      </c>
      <c r="G716" s="8" t="s">
        <v>32</v>
      </c>
    </row>
    <row r="717" spans="1:9" s="8" customFormat="1">
      <c r="A717" s="13">
        <v>45875</v>
      </c>
      <c r="B717" s="8" t="s">
        <v>7096</v>
      </c>
      <c r="C717" s="54">
        <v>385000</v>
      </c>
      <c r="D717" s="54">
        <v>0</v>
      </c>
      <c r="E717" s="54">
        <f t="shared" si="17"/>
        <v>191546875.48000002</v>
      </c>
      <c r="F717" s="8" t="s">
        <v>920</v>
      </c>
      <c r="G717" s="8" t="s">
        <v>7855</v>
      </c>
      <c r="H717" s="8" t="s">
        <v>7032</v>
      </c>
      <c r="I717" s="8" t="s">
        <v>4562</v>
      </c>
    </row>
    <row r="718" spans="1:9" s="8" customFormat="1">
      <c r="A718" s="13">
        <v>45875</v>
      </c>
      <c r="B718" s="8" t="s">
        <v>7096</v>
      </c>
      <c r="C718" s="54">
        <v>0</v>
      </c>
      <c r="D718" s="54">
        <f>C716+C717-3815000</f>
        <v>70000</v>
      </c>
      <c r="E718" s="54">
        <f t="shared" si="17"/>
        <v>191616875.48000002</v>
      </c>
      <c r="F718" s="8" t="s">
        <v>920</v>
      </c>
      <c r="G718" s="8" t="s">
        <v>4242</v>
      </c>
      <c r="H718" s="8" t="s">
        <v>88</v>
      </c>
      <c r="I718" s="8" t="s">
        <v>4562</v>
      </c>
    </row>
    <row r="719" spans="1:9" s="8" customFormat="1">
      <c r="A719" s="13">
        <v>45875</v>
      </c>
      <c r="B719" s="8" t="s">
        <v>7095</v>
      </c>
      <c r="C719" s="54">
        <v>3500000</v>
      </c>
      <c r="D719" s="54">
        <v>0</v>
      </c>
      <c r="E719" s="54">
        <f t="shared" si="17"/>
        <v>188116875.48000002</v>
      </c>
      <c r="F719" s="8" t="s">
        <v>8</v>
      </c>
      <c r="G719" s="8" t="s">
        <v>32</v>
      </c>
    </row>
    <row r="720" spans="1:9" s="8" customFormat="1">
      <c r="A720" s="13">
        <v>45875</v>
      </c>
      <c r="B720" s="8" t="s">
        <v>7095</v>
      </c>
      <c r="C720" s="54">
        <v>385000</v>
      </c>
      <c r="D720" s="54">
        <v>0</v>
      </c>
      <c r="E720" s="54">
        <f t="shared" si="17"/>
        <v>187731875.48000002</v>
      </c>
      <c r="F720" s="8" t="s">
        <v>920</v>
      </c>
      <c r="G720" s="8" t="s">
        <v>7855</v>
      </c>
      <c r="H720" s="8" t="s">
        <v>7032</v>
      </c>
      <c r="I720" s="8" t="s">
        <v>4561</v>
      </c>
    </row>
    <row r="721" spans="1:9" s="8" customFormat="1">
      <c r="A721" s="13">
        <v>45875</v>
      </c>
      <c r="B721" s="8" t="s">
        <v>7095</v>
      </c>
      <c r="C721" s="54">
        <v>0</v>
      </c>
      <c r="D721" s="54">
        <f>C719+C720-3815000</f>
        <v>70000</v>
      </c>
      <c r="E721" s="54">
        <f t="shared" si="17"/>
        <v>187801875.48000002</v>
      </c>
      <c r="F721" s="8" t="s">
        <v>920</v>
      </c>
      <c r="G721" s="8" t="s">
        <v>4242</v>
      </c>
      <c r="H721" s="8" t="s">
        <v>88</v>
      </c>
      <c r="I721" s="8" t="s">
        <v>4561</v>
      </c>
    </row>
    <row r="722" spans="1:9" s="8" customFormat="1">
      <c r="A722" s="13">
        <v>45875</v>
      </c>
      <c r="B722" s="8" t="s">
        <v>2712</v>
      </c>
      <c r="C722" s="14">
        <v>1800000</v>
      </c>
      <c r="D722" s="14">
        <v>0</v>
      </c>
      <c r="E722" s="14">
        <f t="shared" si="17"/>
        <v>186001875.48000002</v>
      </c>
      <c r="F722" s="8" t="s">
        <v>4</v>
      </c>
      <c r="G722" s="8" t="s">
        <v>5</v>
      </c>
      <c r="H722" s="40" t="s">
        <v>3334</v>
      </c>
    </row>
    <row r="723" spans="1:9" s="8" customFormat="1">
      <c r="A723" s="13">
        <v>45875</v>
      </c>
      <c r="B723" s="8" t="s">
        <v>2713</v>
      </c>
      <c r="C723" s="14">
        <v>7500000</v>
      </c>
      <c r="D723" s="14">
        <v>0</v>
      </c>
      <c r="E723" s="14">
        <f t="shared" si="17"/>
        <v>178501875.48000002</v>
      </c>
      <c r="F723" s="8" t="s">
        <v>4</v>
      </c>
      <c r="G723" s="8" t="s">
        <v>5</v>
      </c>
      <c r="H723" s="40" t="s">
        <v>3232</v>
      </c>
    </row>
    <row r="724" spans="1:9" s="8" customFormat="1">
      <c r="A724" s="13">
        <v>45875</v>
      </c>
      <c r="B724" s="8" t="s">
        <v>2714</v>
      </c>
      <c r="C724" s="14">
        <v>3300000</v>
      </c>
      <c r="D724" s="14">
        <v>0</v>
      </c>
      <c r="E724" s="14">
        <f t="shared" si="17"/>
        <v>175201875.48000002</v>
      </c>
      <c r="F724" s="8" t="s">
        <v>4</v>
      </c>
      <c r="G724" s="8" t="s">
        <v>5</v>
      </c>
      <c r="H724" s="40" t="s">
        <v>3334</v>
      </c>
    </row>
    <row r="725" spans="1:9" s="8" customFormat="1">
      <c r="A725" s="13">
        <v>45875</v>
      </c>
      <c r="B725" s="8" t="s">
        <v>2715</v>
      </c>
      <c r="C725" s="14">
        <v>6500000</v>
      </c>
      <c r="D725" s="14">
        <v>0</v>
      </c>
      <c r="E725" s="14">
        <f t="shared" si="17"/>
        <v>168701875.48000002</v>
      </c>
      <c r="F725" s="8" t="s">
        <v>4</v>
      </c>
      <c r="G725" s="8" t="s">
        <v>5</v>
      </c>
      <c r="H725" s="40" t="s">
        <v>3334</v>
      </c>
    </row>
    <row r="726" spans="1:9" s="8" customFormat="1">
      <c r="A726" s="13">
        <v>45875</v>
      </c>
      <c r="B726" s="8" t="s">
        <v>2716</v>
      </c>
      <c r="C726" s="14">
        <v>1204328</v>
      </c>
      <c r="D726" s="14">
        <v>0</v>
      </c>
      <c r="E726" s="14">
        <f t="shared" si="17"/>
        <v>167497547.48000002</v>
      </c>
      <c r="F726" s="8" t="s">
        <v>4</v>
      </c>
      <c r="G726" s="8" t="s">
        <v>5</v>
      </c>
      <c r="H726" s="8" t="s">
        <v>1634</v>
      </c>
    </row>
    <row r="727" spans="1:9" s="8" customFormat="1">
      <c r="A727" s="13">
        <v>45875</v>
      </c>
      <c r="B727" s="8" t="s">
        <v>2717</v>
      </c>
      <c r="C727" s="14">
        <v>1750000</v>
      </c>
      <c r="D727" s="14">
        <v>0</v>
      </c>
      <c r="E727" s="14">
        <f t="shared" si="17"/>
        <v>165747547.48000002</v>
      </c>
      <c r="F727" s="8" t="s">
        <v>4</v>
      </c>
      <c r="G727" s="8" t="s">
        <v>5</v>
      </c>
      <c r="H727" s="40" t="s">
        <v>1622</v>
      </c>
    </row>
    <row r="728" spans="1:9" s="8" customFormat="1">
      <c r="A728" s="13">
        <v>45875</v>
      </c>
      <c r="B728" s="8" t="s">
        <v>2718</v>
      </c>
      <c r="C728" s="14">
        <v>15500000</v>
      </c>
      <c r="D728" s="14">
        <v>0</v>
      </c>
      <c r="E728" s="14">
        <f t="shared" si="17"/>
        <v>150247547.48000002</v>
      </c>
      <c r="F728" s="8" t="s">
        <v>4</v>
      </c>
      <c r="G728" s="8" t="s">
        <v>5</v>
      </c>
      <c r="H728" s="40" t="s">
        <v>3232</v>
      </c>
    </row>
    <row r="729" spans="1:9" s="8" customFormat="1">
      <c r="A729" s="13">
        <v>45875</v>
      </c>
      <c r="B729" s="8" t="s">
        <v>2719</v>
      </c>
      <c r="C729" s="14">
        <v>2677500</v>
      </c>
      <c r="D729" s="14">
        <v>0</v>
      </c>
      <c r="E729" s="14">
        <f t="shared" si="17"/>
        <v>147570047.48000002</v>
      </c>
      <c r="F729" s="8" t="s">
        <v>4</v>
      </c>
      <c r="G729" s="8" t="s">
        <v>5</v>
      </c>
      <c r="H729" s="8" t="s">
        <v>2316</v>
      </c>
    </row>
    <row r="730" spans="1:9" s="8" customFormat="1">
      <c r="A730" s="13">
        <v>45875</v>
      </c>
      <c r="B730" s="8" t="s">
        <v>2720</v>
      </c>
      <c r="C730" s="14">
        <v>1000000</v>
      </c>
      <c r="D730" s="14">
        <v>0</v>
      </c>
      <c r="E730" s="14">
        <f t="shared" si="17"/>
        <v>146570047.48000002</v>
      </c>
      <c r="F730" s="8" t="s">
        <v>21</v>
      </c>
      <c r="G730" s="8" t="s">
        <v>187</v>
      </c>
    </row>
    <row r="731" spans="1:9" s="8" customFormat="1">
      <c r="A731" s="13">
        <v>45875</v>
      </c>
      <c r="B731" s="8" t="s">
        <v>2721</v>
      </c>
      <c r="C731" s="14">
        <v>14750000</v>
      </c>
      <c r="D731" s="14">
        <v>0</v>
      </c>
      <c r="E731" s="14">
        <f t="shared" si="17"/>
        <v>131820047.48000002</v>
      </c>
      <c r="F731" s="8" t="s">
        <v>4</v>
      </c>
      <c r="G731" s="8" t="s">
        <v>5</v>
      </c>
      <c r="H731" s="40" t="s">
        <v>1622</v>
      </c>
    </row>
    <row r="732" spans="1:9" s="8" customFormat="1">
      <c r="A732" s="13">
        <v>45875</v>
      </c>
      <c r="B732" s="8" t="s">
        <v>2722</v>
      </c>
      <c r="C732" s="14">
        <v>3318227</v>
      </c>
      <c r="D732" s="14">
        <v>0</v>
      </c>
      <c r="E732" s="14">
        <f t="shared" ref="E732:E799" si="18">E731-C732+D732</f>
        <v>128501820.48000002</v>
      </c>
      <c r="F732" s="8" t="s">
        <v>4</v>
      </c>
      <c r="G732" s="8" t="s">
        <v>5</v>
      </c>
      <c r="H732" s="40" t="s">
        <v>1376</v>
      </c>
    </row>
    <row r="733" spans="1:9" s="8" customFormat="1">
      <c r="A733" s="13">
        <v>45875</v>
      </c>
      <c r="B733" s="8" t="s">
        <v>5746</v>
      </c>
      <c r="C733" s="14">
        <v>0</v>
      </c>
      <c r="D733" s="14">
        <v>620000</v>
      </c>
      <c r="E733" s="14">
        <f t="shared" si="18"/>
        <v>129121820.48000002</v>
      </c>
      <c r="F733" s="8" t="s">
        <v>4</v>
      </c>
      <c r="G733" s="8" t="s">
        <v>5</v>
      </c>
      <c r="H733" s="8" t="s">
        <v>3232</v>
      </c>
    </row>
    <row r="734" spans="1:9" s="8" customFormat="1">
      <c r="A734" s="13">
        <v>45875</v>
      </c>
      <c r="B734" s="8" t="s">
        <v>2723</v>
      </c>
      <c r="C734" s="14">
        <v>2048629</v>
      </c>
      <c r="D734" s="14">
        <v>0</v>
      </c>
      <c r="E734" s="14">
        <f t="shared" si="18"/>
        <v>127073191.48000002</v>
      </c>
      <c r="F734" s="8" t="s">
        <v>920</v>
      </c>
      <c r="G734" s="8" t="s">
        <v>400</v>
      </c>
      <c r="H734" s="8" t="s">
        <v>5605</v>
      </c>
    </row>
    <row r="735" spans="1:9" s="8" customFormat="1">
      <c r="A735" s="13">
        <v>45876</v>
      </c>
      <c r="B735" s="8" t="s">
        <v>2724</v>
      </c>
      <c r="C735" s="14">
        <v>0</v>
      </c>
      <c r="D735" s="14">
        <v>964360</v>
      </c>
      <c r="E735" s="14">
        <f t="shared" si="18"/>
        <v>128037551.48000002</v>
      </c>
      <c r="F735" s="8" t="s">
        <v>920</v>
      </c>
      <c r="G735" s="8" t="s">
        <v>464</v>
      </c>
      <c r="H735" s="8" t="s">
        <v>5603</v>
      </c>
    </row>
    <row r="736" spans="1:9" s="8" customFormat="1">
      <c r="A736" s="13">
        <v>45877</v>
      </c>
      <c r="B736" s="8" t="s">
        <v>2725</v>
      </c>
      <c r="C736" s="14">
        <v>8610000</v>
      </c>
      <c r="D736" s="14">
        <v>0</v>
      </c>
      <c r="E736" s="14">
        <f t="shared" si="18"/>
        <v>119427551.48000002</v>
      </c>
      <c r="F736" s="8" t="s">
        <v>4</v>
      </c>
      <c r="G736" s="8" t="s">
        <v>5</v>
      </c>
      <c r="H736" s="40" t="s">
        <v>3334</v>
      </c>
    </row>
    <row r="737" spans="1:8" s="8" customFormat="1">
      <c r="A737" s="13">
        <v>45877</v>
      </c>
      <c r="B737" s="8" t="s">
        <v>2726</v>
      </c>
      <c r="C737" s="14">
        <v>2276000</v>
      </c>
      <c r="D737" s="14">
        <v>0</v>
      </c>
      <c r="E737" s="14">
        <f t="shared" si="18"/>
        <v>117151551.48000002</v>
      </c>
      <c r="F737" s="8" t="s">
        <v>4</v>
      </c>
      <c r="G737" s="8" t="s">
        <v>5</v>
      </c>
      <c r="H737" s="40" t="s">
        <v>3334</v>
      </c>
    </row>
    <row r="738" spans="1:8" s="8" customFormat="1">
      <c r="A738" s="13">
        <v>45877</v>
      </c>
      <c r="B738" s="8" t="s">
        <v>2727</v>
      </c>
      <c r="C738" s="14">
        <v>1500000</v>
      </c>
      <c r="D738" s="14">
        <v>0</v>
      </c>
      <c r="E738" s="14">
        <f t="shared" si="18"/>
        <v>115651551.48000002</v>
      </c>
      <c r="F738" s="8" t="s">
        <v>4</v>
      </c>
      <c r="G738" s="8" t="s">
        <v>5</v>
      </c>
      <c r="H738" s="40" t="s">
        <v>3232</v>
      </c>
    </row>
    <row r="739" spans="1:8" s="8" customFormat="1">
      <c r="A739" s="13">
        <v>45877</v>
      </c>
      <c r="B739" s="8" t="s">
        <v>2728</v>
      </c>
      <c r="C739" s="14">
        <v>8885000</v>
      </c>
      <c r="D739" s="14">
        <v>0</v>
      </c>
      <c r="E739" s="14">
        <f t="shared" si="18"/>
        <v>106766551.48000002</v>
      </c>
      <c r="F739" s="8" t="s">
        <v>4</v>
      </c>
      <c r="G739" s="8" t="s">
        <v>5</v>
      </c>
      <c r="H739" s="40" t="s">
        <v>3334</v>
      </c>
    </row>
    <row r="740" spans="1:8" s="8" customFormat="1">
      <c r="A740" s="13">
        <v>45877</v>
      </c>
      <c r="B740" s="8" t="s">
        <v>2729</v>
      </c>
      <c r="C740" s="14">
        <v>10534000</v>
      </c>
      <c r="D740" s="14">
        <v>0</v>
      </c>
      <c r="E740" s="14">
        <f t="shared" si="18"/>
        <v>96232551.480000019</v>
      </c>
      <c r="F740" s="8" t="s">
        <v>8</v>
      </c>
      <c r="G740" s="8" t="s">
        <v>178</v>
      </c>
    </row>
    <row r="741" spans="1:8" s="8" customFormat="1">
      <c r="A741" s="13">
        <v>45877</v>
      </c>
      <c r="B741" s="8" t="s">
        <v>2730</v>
      </c>
      <c r="C741" s="14">
        <v>685000</v>
      </c>
      <c r="D741" s="14">
        <v>0</v>
      </c>
      <c r="E741" s="14">
        <f t="shared" si="18"/>
        <v>95547551.480000019</v>
      </c>
      <c r="F741" s="8" t="s">
        <v>21</v>
      </c>
      <c r="G741" s="8" t="s">
        <v>187</v>
      </c>
    </row>
    <row r="742" spans="1:8" s="8" customFormat="1">
      <c r="A742" s="13">
        <v>45877</v>
      </c>
      <c r="B742" s="8" t="s">
        <v>2731</v>
      </c>
      <c r="C742" s="14">
        <v>13000000</v>
      </c>
      <c r="D742" s="14">
        <v>0</v>
      </c>
      <c r="E742" s="14">
        <f t="shared" si="18"/>
        <v>82547551.480000019</v>
      </c>
      <c r="F742" s="8" t="s">
        <v>4</v>
      </c>
      <c r="G742" s="8" t="s">
        <v>5</v>
      </c>
      <c r="H742" s="40" t="s">
        <v>3440</v>
      </c>
    </row>
    <row r="743" spans="1:8" s="8" customFormat="1">
      <c r="A743" s="13">
        <v>45877</v>
      </c>
      <c r="B743" s="8" t="s">
        <v>2732</v>
      </c>
      <c r="C743" s="14">
        <v>1500000</v>
      </c>
      <c r="D743" s="14">
        <v>0</v>
      </c>
      <c r="E743" s="14">
        <f t="shared" si="18"/>
        <v>81047551.480000019</v>
      </c>
      <c r="F743" s="8" t="s">
        <v>4</v>
      </c>
      <c r="G743" s="8" t="s">
        <v>5</v>
      </c>
      <c r="H743" s="40" t="s">
        <v>3232</v>
      </c>
    </row>
    <row r="744" spans="1:8" s="8" customFormat="1">
      <c r="A744" s="13">
        <v>45877</v>
      </c>
      <c r="B744" s="8" t="s">
        <v>2733</v>
      </c>
      <c r="C744" s="14">
        <v>4000000</v>
      </c>
      <c r="D744" s="14">
        <v>0</v>
      </c>
      <c r="E744" s="14">
        <f t="shared" si="18"/>
        <v>77047551.480000019</v>
      </c>
      <c r="F744" s="8" t="s">
        <v>4</v>
      </c>
      <c r="G744" s="8" t="s">
        <v>5</v>
      </c>
      <c r="H744" s="40" t="s">
        <v>3334</v>
      </c>
    </row>
    <row r="745" spans="1:8" s="8" customFormat="1">
      <c r="A745" s="13">
        <v>45877</v>
      </c>
      <c r="B745" s="8" t="s">
        <v>2734</v>
      </c>
      <c r="C745" s="14">
        <v>5000000</v>
      </c>
      <c r="D745" s="14">
        <v>0</v>
      </c>
      <c r="E745" s="14">
        <f t="shared" si="18"/>
        <v>72047551.480000019</v>
      </c>
      <c r="F745" s="8" t="s">
        <v>4</v>
      </c>
      <c r="G745" s="8" t="s">
        <v>5</v>
      </c>
      <c r="H745" s="40" t="s">
        <v>3334</v>
      </c>
    </row>
    <row r="746" spans="1:8" s="8" customFormat="1">
      <c r="A746" s="13">
        <v>45877</v>
      </c>
      <c r="B746" s="8" t="s">
        <v>2735</v>
      </c>
      <c r="C746" s="14">
        <v>3300000</v>
      </c>
      <c r="D746" s="14">
        <v>0</v>
      </c>
      <c r="E746" s="14">
        <f t="shared" si="18"/>
        <v>68747551.480000019</v>
      </c>
      <c r="F746" s="8" t="s">
        <v>4</v>
      </c>
      <c r="G746" s="8" t="s">
        <v>5</v>
      </c>
      <c r="H746" s="40" t="s">
        <v>3334</v>
      </c>
    </row>
    <row r="747" spans="1:8" s="8" customFormat="1">
      <c r="A747" s="13">
        <v>45877</v>
      </c>
      <c r="B747" s="8" t="s">
        <v>2736</v>
      </c>
      <c r="C747" s="14">
        <v>66936</v>
      </c>
      <c r="D747" s="14">
        <v>0</v>
      </c>
      <c r="E747" s="14">
        <f t="shared" si="18"/>
        <v>68680615.480000019</v>
      </c>
      <c r="F747" s="8" t="s">
        <v>8</v>
      </c>
      <c r="G747" s="8" t="s">
        <v>31</v>
      </c>
    </row>
    <row r="748" spans="1:8" s="8" customFormat="1">
      <c r="A748" s="13">
        <v>45877</v>
      </c>
      <c r="B748" s="8" t="s">
        <v>2737</v>
      </c>
      <c r="C748" s="14">
        <v>66936</v>
      </c>
      <c r="D748" s="14">
        <v>0</v>
      </c>
      <c r="E748" s="14">
        <f t="shared" si="18"/>
        <v>68613679.480000019</v>
      </c>
      <c r="F748" s="8" t="s">
        <v>8</v>
      </c>
      <c r="G748" s="8" t="s">
        <v>31</v>
      </c>
    </row>
    <row r="749" spans="1:8" s="8" customFormat="1">
      <c r="A749" s="13">
        <v>45877</v>
      </c>
      <c r="B749" s="8" t="s">
        <v>2738</v>
      </c>
      <c r="C749" s="14">
        <v>66936</v>
      </c>
      <c r="D749" s="14">
        <v>0</v>
      </c>
      <c r="E749" s="14">
        <f t="shared" si="18"/>
        <v>68546743.480000019</v>
      </c>
      <c r="F749" s="8" t="s">
        <v>8</v>
      </c>
      <c r="G749" s="8" t="s">
        <v>31</v>
      </c>
    </row>
    <row r="750" spans="1:8" s="8" customFormat="1">
      <c r="A750" s="13">
        <v>45877</v>
      </c>
      <c r="B750" s="8" t="s">
        <v>2739</v>
      </c>
      <c r="C750" s="14">
        <v>73061</v>
      </c>
      <c r="D750" s="14">
        <v>0</v>
      </c>
      <c r="E750" s="14">
        <f t="shared" si="18"/>
        <v>68473682.480000019</v>
      </c>
      <c r="F750" s="8" t="s">
        <v>8</v>
      </c>
      <c r="G750" s="8" t="s">
        <v>31</v>
      </c>
    </row>
    <row r="751" spans="1:8" s="8" customFormat="1">
      <c r="A751" s="13">
        <v>45877</v>
      </c>
      <c r="B751" s="8" t="s">
        <v>2740</v>
      </c>
      <c r="C751" s="14">
        <v>67214</v>
      </c>
      <c r="D751" s="14">
        <v>0</v>
      </c>
      <c r="E751" s="14">
        <f t="shared" si="18"/>
        <v>68406468.480000019</v>
      </c>
      <c r="F751" s="8" t="s">
        <v>8</v>
      </c>
      <c r="G751" s="8" t="s">
        <v>31</v>
      </c>
    </row>
    <row r="752" spans="1:8" s="8" customFormat="1">
      <c r="A752" s="13">
        <v>45877</v>
      </c>
      <c r="B752" s="8" t="s">
        <v>2741</v>
      </c>
      <c r="C752" s="55">
        <v>66936</v>
      </c>
      <c r="D752" s="14">
        <v>0</v>
      </c>
      <c r="E752" s="14">
        <f t="shared" si="18"/>
        <v>68339532.480000019</v>
      </c>
      <c r="F752" s="8" t="s">
        <v>8</v>
      </c>
      <c r="G752" s="8" t="s">
        <v>31</v>
      </c>
    </row>
    <row r="753" spans="1:9" s="8" customFormat="1">
      <c r="A753" s="13">
        <v>45877</v>
      </c>
      <c r="B753" s="8" t="s">
        <v>2742</v>
      </c>
      <c r="C753" s="14">
        <v>149123</v>
      </c>
      <c r="D753" s="14">
        <v>0</v>
      </c>
      <c r="E753" s="14">
        <f t="shared" si="18"/>
        <v>68190409.480000019</v>
      </c>
      <c r="F753" s="8" t="s">
        <v>8</v>
      </c>
      <c r="G753" s="8" t="s">
        <v>31</v>
      </c>
    </row>
    <row r="754" spans="1:9" s="8" customFormat="1">
      <c r="A754" s="13">
        <v>45877</v>
      </c>
      <c r="B754" s="8" t="s">
        <v>2743</v>
      </c>
      <c r="C754" s="14">
        <v>9769441</v>
      </c>
      <c r="D754" s="14">
        <v>0</v>
      </c>
      <c r="E754" s="14">
        <f t="shared" si="18"/>
        <v>58420968.480000019</v>
      </c>
      <c r="F754" s="8" t="s">
        <v>920</v>
      </c>
      <c r="G754" s="8" t="s">
        <v>400</v>
      </c>
      <c r="H754" s="8" t="s">
        <v>5601</v>
      </c>
    </row>
    <row r="755" spans="1:9" s="8" customFormat="1">
      <c r="A755" s="13">
        <v>45877</v>
      </c>
      <c r="B755" s="8" t="s">
        <v>2744</v>
      </c>
      <c r="C755" s="14">
        <v>3663890</v>
      </c>
      <c r="D755" s="14">
        <v>0</v>
      </c>
      <c r="E755" s="14">
        <f t="shared" si="18"/>
        <v>54757078.480000019</v>
      </c>
      <c r="F755" s="8" t="s">
        <v>4</v>
      </c>
      <c r="G755" s="8" t="s">
        <v>5</v>
      </c>
      <c r="H755" s="8" t="s">
        <v>2313</v>
      </c>
    </row>
    <row r="756" spans="1:9" s="8" customFormat="1">
      <c r="A756" s="13">
        <v>45877</v>
      </c>
      <c r="B756" s="8" t="s">
        <v>2745</v>
      </c>
      <c r="C756" s="14">
        <v>9000000</v>
      </c>
      <c r="D756" s="14">
        <v>0</v>
      </c>
      <c r="E756" s="14">
        <f t="shared" si="18"/>
        <v>45757078.480000019</v>
      </c>
      <c r="F756" s="8" t="s">
        <v>1212</v>
      </c>
      <c r="G756" s="8" t="s">
        <v>367</v>
      </c>
      <c r="H756" s="8" t="s">
        <v>3020</v>
      </c>
    </row>
    <row r="757" spans="1:9" s="8" customFormat="1">
      <c r="A757" s="13">
        <v>45879</v>
      </c>
      <c r="B757" s="8" t="s">
        <v>2746</v>
      </c>
      <c r="C757" s="14">
        <v>0</v>
      </c>
      <c r="D757" s="14">
        <v>3978044</v>
      </c>
      <c r="E757" s="14">
        <f t="shared" si="18"/>
        <v>49735122.480000019</v>
      </c>
      <c r="F757" s="8" t="s">
        <v>920</v>
      </c>
      <c r="G757" s="8" t="s">
        <v>464</v>
      </c>
      <c r="H757" s="8" t="s">
        <v>5310</v>
      </c>
    </row>
    <row r="758" spans="1:9" s="8" customFormat="1">
      <c r="A758" s="13">
        <v>45880</v>
      </c>
      <c r="B758" s="8" t="s">
        <v>2747</v>
      </c>
      <c r="C758" s="14">
        <v>0</v>
      </c>
      <c r="D758" s="14">
        <v>5251338</v>
      </c>
      <c r="E758" s="14">
        <f t="shared" si="18"/>
        <v>54986460.480000019</v>
      </c>
      <c r="F758" s="8" t="s">
        <v>920</v>
      </c>
      <c r="G758" s="8" t="s">
        <v>464</v>
      </c>
      <c r="H758" s="8" t="s">
        <v>5165</v>
      </c>
    </row>
    <row r="759" spans="1:9" s="8" customFormat="1">
      <c r="A759" s="13">
        <v>45880</v>
      </c>
      <c r="B759" s="8" t="s">
        <v>2748</v>
      </c>
      <c r="C759" s="14">
        <v>0</v>
      </c>
      <c r="D759" s="14">
        <v>599750</v>
      </c>
      <c r="E759" s="14">
        <f t="shared" si="18"/>
        <v>55586210.480000019</v>
      </c>
      <c r="F759" s="8" t="s">
        <v>920</v>
      </c>
      <c r="G759" s="8" t="s">
        <v>464</v>
      </c>
      <c r="H759" s="8" t="s">
        <v>5604</v>
      </c>
    </row>
    <row r="760" spans="1:9" s="8" customFormat="1">
      <c r="A760" s="13">
        <v>45881</v>
      </c>
      <c r="B760" s="8" t="s">
        <v>333</v>
      </c>
      <c r="C760" s="14">
        <v>0</v>
      </c>
      <c r="D760" s="14">
        <v>250000000</v>
      </c>
      <c r="E760" s="14">
        <f t="shared" si="18"/>
        <v>305586210.48000002</v>
      </c>
      <c r="F760" s="15" t="s">
        <v>920</v>
      </c>
      <c r="G760" t="s">
        <v>4243</v>
      </c>
    </row>
    <row r="761" spans="1:9" s="8" customFormat="1">
      <c r="A761" s="13">
        <v>45882</v>
      </c>
      <c r="B761" s="8" t="s">
        <v>2749</v>
      </c>
      <c r="C761" s="14">
        <v>2000000</v>
      </c>
      <c r="D761" s="14">
        <v>0</v>
      </c>
      <c r="E761" s="14">
        <f t="shared" si="18"/>
        <v>303586210.48000002</v>
      </c>
      <c r="F761" s="8" t="s">
        <v>4</v>
      </c>
      <c r="G761" s="8" t="s">
        <v>5</v>
      </c>
      <c r="H761" s="40" t="s">
        <v>3232</v>
      </c>
    </row>
    <row r="762" spans="1:9" s="8" customFormat="1">
      <c r="A762" s="13">
        <v>45882</v>
      </c>
      <c r="B762" s="8" t="s">
        <v>2750</v>
      </c>
      <c r="C762" s="14">
        <v>7200000</v>
      </c>
      <c r="D762" s="14">
        <v>0</v>
      </c>
      <c r="E762" s="14">
        <f t="shared" si="18"/>
        <v>296386210.48000002</v>
      </c>
      <c r="F762" s="8" t="s">
        <v>4</v>
      </c>
      <c r="G762" s="8" t="s">
        <v>5</v>
      </c>
      <c r="H762" s="40" t="s">
        <v>3334</v>
      </c>
    </row>
    <row r="763" spans="1:9" s="8" customFormat="1">
      <c r="A763" s="13">
        <v>45882</v>
      </c>
      <c r="B763" s="8" t="s">
        <v>2751</v>
      </c>
      <c r="C763" s="14">
        <v>1300000</v>
      </c>
      <c r="D763" s="14">
        <v>0</v>
      </c>
      <c r="E763" s="14">
        <f t="shared" si="18"/>
        <v>295086210.48000002</v>
      </c>
      <c r="F763" s="8" t="s">
        <v>21</v>
      </c>
      <c r="G763" s="8" t="s">
        <v>419</v>
      </c>
    </row>
    <row r="764" spans="1:9" s="8" customFormat="1">
      <c r="A764" s="13">
        <v>45882</v>
      </c>
      <c r="B764" s="8" t="s">
        <v>7094</v>
      </c>
      <c r="C764" s="54">
        <v>4600000</v>
      </c>
      <c r="D764" s="54">
        <v>0</v>
      </c>
      <c r="E764" s="54">
        <f t="shared" si="18"/>
        <v>290486210.48000002</v>
      </c>
      <c r="F764" s="8" t="s">
        <v>8</v>
      </c>
      <c r="G764" s="8" t="s">
        <v>14</v>
      </c>
    </row>
    <row r="765" spans="1:9" s="8" customFormat="1">
      <c r="A765" s="13">
        <v>45882</v>
      </c>
      <c r="B765" s="8" t="s">
        <v>7094</v>
      </c>
      <c r="C765" s="54">
        <v>506000</v>
      </c>
      <c r="D765" s="54">
        <v>0</v>
      </c>
      <c r="E765" s="54">
        <f t="shared" si="18"/>
        <v>289980210.48000002</v>
      </c>
      <c r="F765" s="8" t="s">
        <v>920</v>
      </c>
      <c r="G765" s="8" t="s">
        <v>7855</v>
      </c>
      <c r="H765" s="8" t="s">
        <v>7032</v>
      </c>
      <c r="I765" s="8" t="s">
        <v>4562</v>
      </c>
    </row>
    <row r="766" spans="1:9" s="8" customFormat="1">
      <c r="A766" s="13">
        <v>45882</v>
      </c>
      <c r="B766" s="8" t="s">
        <v>7094</v>
      </c>
      <c r="C766" s="54">
        <v>0</v>
      </c>
      <c r="D766" s="54">
        <f>C764+C765-5014000</f>
        <v>92000</v>
      </c>
      <c r="E766" s="54">
        <f t="shared" si="18"/>
        <v>290072210.48000002</v>
      </c>
      <c r="F766" s="8" t="s">
        <v>920</v>
      </c>
      <c r="G766" s="8" t="s">
        <v>4242</v>
      </c>
      <c r="H766" s="8" t="s">
        <v>88</v>
      </c>
      <c r="I766" s="8" t="s">
        <v>4562</v>
      </c>
    </row>
    <row r="767" spans="1:9" s="8" customFormat="1">
      <c r="A767" s="13">
        <v>45882</v>
      </c>
      <c r="B767" s="8" t="s">
        <v>2752</v>
      </c>
      <c r="C767" s="14">
        <v>1444400</v>
      </c>
      <c r="D767" s="14">
        <v>0</v>
      </c>
      <c r="E767" s="14">
        <f t="shared" si="18"/>
        <v>288627810.48000002</v>
      </c>
      <c r="F767" s="8" t="s">
        <v>4</v>
      </c>
      <c r="G767" s="8" t="s">
        <v>5</v>
      </c>
      <c r="H767" s="40" t="s">
        <v>3232</v>
      </c>
    </row>
    <row r="768" spans="1:9" s="8" customFormat="1">
      <c r="A768" s="13">
        <v>45882</v>
      </c>
      <c r="B768" s="8" t="s">
        <v>2753</v>
      </c>
      <c r="C768" s="14">
        <v>9097500</v>
      </c>
      <c r="D768" s="14">
        <v>0</v>
      </c>
      <c r="E768" s="14">
        <f t="shared" si="18"/>
        <v>279530310.48000002</v>
      </c>
      <c r="F768" s="8" t="s">
        <v>4</v>
      </c>
      <c r="G768" s="8" t="s">
        <v>5</v>
      </c>
      <c r="H768" s="40" t="s">
        <v>3232</v>
      </c>
    </row>
    <row r="769" spans="1:8" s="8" customFormat="1">
      <c r="A769" s="13">
        <v>45882</v>
      </c>
      <c r="B769" s="8" t="s">
        <v>2754</v>
      </c>
      <c r="C769" s="14">
        <v>400000</v>
      </c>
      <c r="D769" s="14">
        <v>0</v>
      </c>
      <c r="E769" s="14">
        <f t="shared" si="18"/>
        <v>279130310.48000002</v>
      </c>
      <c r="F769" s="8" t="s">
        <v>21</v>
      </c>
      <c r="G769" s="8" t="s">
        <v>419</v>
      </c>
    </row>
    <row r="770" spans="1:8" s="8" customFormat="1">
      <c r="A770" s="13">
        <v>45882</v>
      </c>
      <c r="B770" s="8" t="s">
        <v>2755</v>
      </c>
      <c r="C770" s="14">
        <v>12400000</v>
      </c>
      <c r="D770" s="14">
        <v>0</v>
      </c>
      <c r="E770" s="14">
        <f t="shared" si="18"/>
        <v>266730310.48000002</v>
      </c>
      <c r="F770" s="8" t="s">
        <v>4</v>
      </c>
      <c r="G770" s="8" t="s">
        <v>5</v>
      </c>
      <c r="H770" s="40" t="s">
        <v>3440</v>
      </c>
    </row>
    <row r="771" spans="1:8" s="8" customFormat="1">
      <c r="A771" s="13">
        <v>45882</v>
      </c>
      <c r="B771" s="8" t="s">
        <v>2756</v>
      </c>
      <c r="C771" s="14">
        <v>3500000</v>
      </c>
      <c r="D771" s="14">
        <v>0</v>
      </c>
      <c r="E771" s="14">
        <f t="shared" si="18"/>
        <v>263230310.48000002</v>
      </c>
      <c r="F771" s="8" t="s">
        <v>4</v>
      </c>
      <c r="G771" s="8" t="s">
        <v>5</v>
      </c>
      <c r="H771" s="40" t="s">
        <v>3232</v>
      </c>
    </row>
    <row r="772" spans="1:8" s="8" customFormat="1">
      <c r="A772" s="13">
        <v>45882</v>
      </c>
      <c r="B772" s="8" t="s">
        <v>2757</v>
      </c>
      <c r="C772" s="14">
        <v>500000</v>
      </c>
      <c r="D772" s="14">
        <v>0</v>
      </c>
      <c r="E772" s="14">
        <f t="shared" si="18"/>
        <v>262730310.48000002</v>
      </c>
      <c r="F772" s="8" t="s">
        <v>4</v>
      </c>
      <c r="G772" s="8" t="s">
        <v>5</v>
      </c>
      <c r="H772" s="40" t="s">
        <v>3334</v>
      </c>
    </row>
    <row r="773" spans="1:8" s="8" customFormat="1">
      <c r="A773" s="13">
        <v>45882</v>
      </c>
      <c r="B773" s="8" t="s">
        <v>2758</v>
      </c>
      <c r="C773" s="14">
        <v>500000</v>
      </c>
      <c r="D773" s="14">
        <v>0</v>
      </c>
      <c r="E773" s="14">
        <f t="shared" si="18"/>
        <v>262230310.48000002</v>
      </c>
      <c r="F773" s="8" t="s">
        <v>4</v>
      </c>
      <c r="G773" s="8" t="s">
        <v>5</v>
      </c>
      <c r="H773" s="40" t="s">
        <v>3334</v>
      </c>
    </row>
    <row r="774" spans="1:8" s="8" customFormat="1">
      <c r="A774" s="13">
        <v>45882</v>
      </c>
      <c r="B774" s="8" t="s">
        <v>2759</v>
      </c>
      <c r="C774" s="14">
        <v>500000</v>
      </c>
      <c r="D774" s="14">
        <v>0</v>
      </c>
      <c r="E774" s="14">
        <f t="shared" si="18"/>
        <v>261730310.48000002</v>
      </c>
      <c r="F774" s="8" t="s">
        <v>4</v>
      </c>
      <c r="G774" s="8" t="s">
        <v>5</v>
      </c>
      <c r="H774" s="40" t="s">
        <v>3334</v>
      </c>
    </row>
    <row r="775" spans="1:8" s="8" customFormat="1">
      <c r="A775" s="13">
        <v>45882</v>
      </c>
      <c r="B775" s="8" t="s">
        <v>2760</v>
      </c>
      <c r="C775" s="14">
        <v>1000000</v>
      </c>
      <c r="D775" s="14">
        <v>0</v>
      </c>
      <c r="E775" s="14">
        <f t="shared" si="18"/>
        <v>260730310.48000002</v>
      </c>
      <c r="F775" s="8" t="s">
        <v>4</v>
      </c>
      <c r="G775" s="8" t="s">
        <v>5</v>
      </c>
      <c r="H775" s="40" t="s">
        <v>3334</v>
      </c>
    </row>
    <row r="776" spans="1:8" s="8" customFormat="1">
      <c r="A776" s="13">
        <v>45882</v>
      </c>
      <c r="B776" s="8" t="s">
        <v>2761</v>
      </c>
      <c r="C776" s="14">
        <v>2250000</v>
      </c>
      <c r="D776" s="14">
        <v>0</v>
      </c>
      <c r="E776" s="14">
        <f t="shared" si="18"/>
        <v>258480310.48000002</v>
      </c>
      <c r="F776" s="8" t="s">
        <v>4</v>
      </c>
      <c r="G776" s="8" t="s">
        <v>5</v>
      </c>
      <c r="H776" s="40" t="s">
        <v>3334</v>
      </c>
    </row>
    <row r="777" spans="1:8" s="8" customFormat="1">
      <c r="A777" s="13">
        <v>45882</v>
      </c>
      <c r="B777" s="8" t="s">
        <v>2762</v>
      </c>
      <c r="C777" s="14">
        <v>1500000</v>
      </c>
      <c r="D777" s="14">
        <v>0</v>
      </c>
      <c r="E777" s="14">
        <f t="shared" si="18"/>
        <v>256980310.48000002</v>
      </c>
      <c r="F777" s="8" t="s">
        <v>4</v>
      </c>
      <c r="G777" s="8" t="s">
        <v>5</v>
      </c>
      <c r="H777" s="40" t="s">
        <v>3334</v>
      </c>
    </row>
    <row r="778" spans="1:8" s="8" customFormat="1">
      <c r="A778" s="13">
        <v>45882</v>
      </c>
      <c r="B778" s="8" t="s">
        <v>2763</v>
      </c>
      <c r="C778" s="14">
        <v>16100000</v>
      </c>
      <c r="D778" s="14">
        <v>0</v>
      </c>
      <c r="E778" s="14">
        <f t="shared" si="18"/>
        <v>240880310.48000002</v>
      </c>
      <c r="F778" s="8" t="s">
        <v>4</v>
      </c>
      <c r="G778" s="8" t="s">
        <v>5</v>
      </c>
      <c r="H778" s="40" t="s">
        <v>3457</v>
      </c>
    </row>
    <row r="779" spans="1:8" s="8" customFormat="1">
      <c r="A779" s="13">
        <v>45882</v>
      </c>
      <c r="B779" s="8" t="s">
        <v>2764</v>
      </c>
      <c r="C779" s="14">
        <v>4000000</v>
      </c>
      <c r="D779" s="14">
        <v>0</v>
      </c>
      <c r="E779" s="14">
        <f t="shared" si="18"/>
        <v>236880310.48000002</v>
      </c>
      <c r="F779" s="8" t="s">
        <v>4</v>
      </c>
      <c r="G779" s="8" t="s">
        <v>5</v>
      </c>
      <c r="H779" s="40" t="s">
        <v>1622</v>
      </c>
    </row>
    <row r="780" spans="1:8" s="8" customFormat="1">
      <c r="A780" s="13">
        <v>45882</v>
      </c>
      <c r="B780" s="8" t="s">
        <v>2765</v>
      </c>
      <c r="C780" s="14">
        <v>4902000</v>
      </c>
      <c r="D780" s="14">
        <v>0</v>
      </c>
      <c r="E780" s="14">
        <f t="shared" si="18"/>
        <v>231978310.48000002</v>
      </c>
      <c r="F780" s="8" t="s">
        <v>4</v>
      </c>
      <c r="G780" s="8" t="s">
        <v>5</v>
      </c>
      <c r="H780" s="40" t="s">
        <v>3232</v>
      </c>
    </row>
    <row r="781" spans="1:8" s="8" customFormat="1">
      <c r="A781" s="13">
        <v>45882</v>
      </c>
      <c r="B781" s="8" t="s">
        <v>2766</v>
      </c>
      <c r="C781" s="14">
        <v>550000</v>
      </c>
      <c r="D781" s="14">
        <v>0</v>
      </c>
      <c r="E781" s="14">
        <f t="shared" si="18"/>
        <v>231428310.48000002</v>
      </c>
      <c r="F781" s="8" t="s">
        <v>8</v>
      </c>
      <c r="G781" s="8" t="s">
        <v>78</v>
      </c>
    </row>
    <row r="782" spans="1:8" s="8" customFormat="1">
      <c r="A782" s="13">
        <v>45882</v>
      </c>
      <c r="B782" s="8" t="s">
        <v>2767</v>
      </c>
      <c r="C782" s="14">
        <v>25492500</v>
      </c>
      <c r="D782" s="14">
        <v>0</v>
      </c>
      <c r="E782" s="14">
        <f t="shared" si="18"/>
        <v>205935810.48000002</v>
      </c>
      <c r="F782" s="8" t="s">
        <v>4</v>
      </c>
      <c r="G782" s="8" t="s">
        <v>5</v>
      </c>
      <c r="H782" s="40" t="s">
        <v>3232</v>
      </c>
    </row>
    <row r="783" spans="1:8" s="8" customFormat="1">
      <c r="A783" s="13">
        <v>45882</v>
      </c>
      <c r="B783" s="8" t="s">
        <v>2768</v>
      </c>
      <c r="C783" s="14">
        <v>15000000</v>
      </c>
      <c r="D783" s="14">
        <v>0</v>
      </c>
      <c r="E783" s="14">
        <f t="shared" si="18"/>
        <v>190935810.48000002</v>
      </c>
      <c r="F783" s="8" t="s">
        <v>4</v>
      </c>
      <c r="G783" s="8" t="s">
        <v>5</v>
      </c>
      <c r="H783" s="40" t="s">
        <v>3334</v>
      </c>
    </row>
    <row r="784" spans="1:8" s="8" customFormat="1">
      <c r="A784" s="13">
        <v>45882</v>
      </c>
      <c r="B784" s="8" t="s">
        <v>2769</v>
      </c>
      <c r="C784" s="14">
        <v>3500000</v>
      </c>
      <c r="D784" s="14">
        <v>0</v>
      </c>
      <c r="E784" s="14">
        <f t="shared" si="18"/>
        <v>187435810.48000002</v>
      </c>
      <c r="F784" s="8" t="s">
        <v>4</v>
      </c>
      <c r="G784" s="8" t="s">
        <v>5</v>
      </c>
      <c r="H784" s="40" t="s">
        <v>3232</v>
      </c>
    </row>
    <row r="785" spans="1:9" s="8" customFormat="1">
      <c r="A785" s="13">
        <v>45882</v>
      </c>
      <c r="B785" s="8" t="s">
        <v>2770</v>
      </c>
      <c r="C785" s="14">
        <v>3734541</v>
      </c>
      <c r="D785" s="14">
        <v>0</v>
      </c>
      <c r="E785" s="14">
        <f t="shared" si="18"/>
        <v>183701269.48000002</v>
      </c>
      <c r="F785" s="8" t="s">
        <v>4</v>
      </c>
      <c r="G785" s="8" t="s">
        <v>5</v>
      </c>
      <c r="H785" s="40" t="s">
        <v>1622</v>
      </c>
    </row>
    <row r="786" spans="1:9" s="8" customFormat="1">
      <c r="A786" s="13">
        <v>45882</v>
      </c>
      <c r="B786" s="8" t="s">
        <v>2771</v>
      </c>
      <c r="C786" s="14">
        <v>5400000</v>
      </c>
      <c r="D786" s="14">
        <v>0</v>
      </c>
      <c r="E786" s="14">
        <f t="shared" si="18"/>
        <v>178301269.48000002</v>
      </c>
      <c r="F786" s="8" t="s">
        <v>4</v>
      </c>
      <c r="G786" s="8" t="s">
        <v>5</v>
      </c>
      <c r="H786" s="40" t="s">
        <v>3334</v>
      </c>
    </row>
    <row r="787" spans="1:9" s="8" customFormat="1">
      <c r="A787" s="13">
        <v>45882</v>
      </c>
      <c r="B787" s="8" t="s">
        <v>5391</v>
      </c>
      <c r="C787" s="14">
        <v>5646000</v>
      </c>
      <c r="D787" s="14">
        <v>0</v>
      </c>
      <c r="E787" s="14">
        <f t="shared" si="18"/>
        <v>172655269.48000002</v>
      </c>
      <c r="F787" s="8" t="s">
        <v>4</v>
      </c>
      <c r="G787" s="8" t="s">
        <v>5</v>
      </c>
      <c r="H787" s="40" t="s">
        <v>1634</v>
      </c>
    </row>
    <row r="788" spans="1:9" s="8" customFormat="1">
      <c r="A788" s="13">
        <v>45882</v>
      </c>
      <c r="B788" s="8" t="s">
        <v>7085</v>
      </c>
      <c r="C788" s="54">
        <v>862500</v>
      </c>
      <c r="D788" s="54">
        <v>0</v>
      </c>
      <c r="E788" s="54">
        <f t="shared" si="18"/>
        <v>171792769.48000002</v>
      </c>
      <c r="F788" s="8" t="s">
        <v>62</v>
      </c>
      <c r="G788" s="8" t="s">
        <v>177</v>
      </c>
    </row>
    <row r="789" spans="1:9" s="8" customFormat="1">
      <c r="A789" s="13">
        <v>45882</v>
      </c>
      <c r="B789" s="8" t="s">
        <v>7085</v>
      </c>
      <c r="C789" s="54">
        <v>94875</v>
      </c>
      <c r="D789" s="54">
        <v>0</v>
      </c>
      <c r="E789" s="54">
        <f t="shared" si="18"/>
        <v>171697894.48000002</v>
      </c>
      <c r="F789" s="8" t="s">
        <v>920</v>
      </c>
      <c r="G789" s="8" t="s">
        <v>7855</v>
      </c>
      <c r="H789" s="8" t="s">
        <v>7032</v>
      </c>
      <c r="I789" s="8" t="s">
        <v>4561</v>
      </c>
    </row>
    <row r="790" spans="1:9" s="8" customFormat="1">
      <c r="A790" s="13">
        <v>45882</v>
      </c>
      <c r="B790" s="8" t="s">
        <v>7085</v>
      </c>
      <c r="C790" s="54">
        <v>0</v>
      </c>
      <c r="D790" s="54">
        <f>C788+C789-940125</f>
        <v>17250</v>
      </c>
      <c r="E790" s="54">
        <f t="shared" si="18"/>
        <v>171715144.48000002</v>
      </c>
      <c r="F790" s="8" t="s">
        <v>920</v>
      </c>
      <c r="G790" s="8" t="s">
        <v>4242</v>
      </c>
      <c r="H790" s="8" t="s">
        <v>88</v>
      </c>
      <c r="I790" s="8" t="s">
        <v>4562</v>
      </c>
    </row>
    <row r="791" spans="1:9" s="8" customFormat="1">
      <c r="A791" s="13">
        <v>45882</v>
      </c>
      <c r="B791" s="8" t="s">
        <v>2772</v>
      </c>
      <c r="C791" s="14">
        <v>30383750</v>
      </c>
      <c r="D791" s="14">
        <v>0</v>
      </c>
      <c r="E791" s="14">
        <f t="shared" si="18"/>
        <v>141331394.48000002</v>
      </c>
      <c r="F791" s="8" t="s">
        <v>4</v>
      </c>
      <c r="G791" s="8" t="s">
        <v>5</v>
      </c>
      <c r="H791" s="40" t="s">
        <v>2320</v>
      </c>
    </row>
    <row r="792" spans="1:9" s="8" customFormat="1">
      <c r="A792" s="13">
        <v>45882</v>
      </c>
      <c r="B792" s="8" t="s">
        <v>2773</v>
      </c>
      <c r="C792" s="14">
        <v>6000000</v>
      </c>
      <c r="D792" s="14">
        <v>0</v>
      </c>
      <c r="E792" s="14">
        <f t="shared" si="18"/>
        <v>135331394.48000002</v>
      </c>
      <c r="F792" s="8" t="s">
        <v>920</v>
      </c>
      <c r="G792" s="8" t="s">
        <v>400</v>
      </c>
      <c r="H792" s="8" t="s">
        <v>5606</v>
      </c>
    </row>
    <row r="793" spans="1:9" s="8" customFormat="1">
      <c r="A793" s="13">
        <v>45882</v>
      </c>
      <c r="B793" s="8" t="s">
        <v>2774</v>
      </c>
      <c r="C793" s="14">
        <v>9000000</v>
      </c>
      <c r="D793" s="14">
        <v>0</v>
      </c>
      <c r="E793" s="14">
        <f t="shared" si="18"/>
        <v>126331394.48000002</v>
      </c>
      <c r="F793" s="8" t="s">
        <v>1212</v>
      </c>
      <c r="G793" s="8" t="s">
        <v>367</v>
      </c>
      <c r="H793" s="8" t="s">
        <v>3020</v>
      </c>
    </row>
    <row r="794" spans="1:9" s="8" customFormat="1">
      <c r="A794" s="13">
        <v>45884</v>
      </c>
      <c r="B794" s="8" t="s">
        <v>2775</v>
      </c>
      <c r="C794" s="14">
        <v>0</v>
      </c>
      <c r="D794" s="14">
        <v>5646901</v>
      </c>
      <c r="E794" s="14">
        <f t="shared" si="18"/>
        <v>131978295.48000002</v>
      </c>
      <c r="F794" s="8" t="s">
        <v>8</v>
      </c>
      <c r="G794" s="8" t="s">
        <v>178</v>
      </c>
    </row>
    <row r="795" spans="1:9" s="8" customFormat="1">
      <c r="A795" s="13">
        <v>45884</v>
      </c>
      <c r="B795" s="8" t="s">
        <v>2776</v>
      </c>
      <c r="C795" s="14">
        <v>0</v>
      </c>
      <c r="D795" s="14">
        <v>719047</v>
      </c>
      <c r="E795" s="14">
        <f t="shared" si="18"/>
        <v>132697342.48000002</v>
      </c>
      <c r="F795" s="8" t="s">
        <v>8</v>
      </c>
      <c r="G795" s="8" t="s">
        <v>178</v>
      </c>
    </row>
    <row r="796" spans="1:9" s="8" customFormat="1">
      <c r="A796" s="13">
        <v>45884</v>
      </c>
      <c r="B796" s="8" t="s">
        <v>2777</v>
      </c>
      <c r="C796" s="14">
        <v>20290100</v>
      </c>
      <c r="D796" s="14">
        <v>0</v>
      </c>
      <c r="E796" s="14">
        <f t="shared" si="18"/>
        <v>112407242.48000002</v>
      </c>
      <c r="F796" s="8" t="s">
        <v>1212</v>
      </c>
      <c r="G796" s="8" t="s">
        <v>367</v>
      </c>
      <c r="H796" s="8" t="s">
        <v>3020</v>
      </c>
    </row>
    <row r="797" spans="1:9" s="8" customFormat="1">
      <c r="A797" s="13">
        <v>45887</v>
      </c>
      <c r="B797" s="8" t="s">
        <v>2778</v>
      </c>
      <c r="C797" s="14">
        <v>7539000</v>
      </c>
      <c r="D797" s="14">
        <v>0</v>
      </c>
      <c r="E797" s="14">
        <f t="shared" si="18"/>
        <v>104868242.48000002</v>
      </c>
      <c r="F797" s="8" t="s">
        <v>1212</v>
      </c>
      <c r="G797" s="8" t="s">
        <v>367</v>
      </c>
      <c r="H797" s="8" t="s">
        <v>3020</v>
      </c>
    </row>
    <row r="798" spans="1:9" s="8" customFormat="1">
      <c r="A798" s="13">
        <v>45887</v>
      </c>
      <c r="B798" s="8" t="s">
        <v>2779</v>
      </c>
      <c r="C798" s="14">
        <v>900000</v>
      </c>
      <c r="D798" s="14">
        <v>0</v>
      </c>
      <c r="E798" s="14">
        <f t="shared" si="18"/>
        <v>103968242.48000002</v>
      </c>
      <c r="F798" s="8" t="s">
        <v>1212</v>
      </c>
      <c r="G798" s="8" t="s">
        <v>367</v>
      </c>
      <c r="H798" s="8" t="s">
        <v>3020</v>
      </c>
    </row>
    <row r="799" spans="1:9" s="8" customFormat="1">
      <c r="A799" s="13">
        <v>45888</v>
      </c>
      <c r="B799" s="8" t="s">
        <v>2780</v>
      </c>
      <c r="C799" s="14">
        <v>0</v>
      </c>
      <c r="D799" s="14">
        <v>335666447</v>
      </c>
      <c r="E799" s="14">
        <f t="shared" si="18"/>
        <v>439634689.48000002</v>
      </c>
      <c r="F799" s="8" t="s">
        <v>2140</v>
      </c>
      <c r="G799" s="8" t="s">
        <v>2141</v>
      </c>
      <c r="H799" s="8" t="s">
        <v>2320</v>
      </c>
      <c r="I799" s="8" t="s">
        <v>3397</v>
      </c>
    </row>
    <row r="800" spans="1:9" s="8" customFormat="1">
      <c r="A800" s="13">
        <v>45888</v>
      </c>
      <c r="B800" s="8" t="s">
        <v>2781</v>
      </c>
      <c r="C800" s="14">
        <v>0</v>
      </c>
      <c r="D800" s="14">
        <v>447555262</v>
      </c>
      <c r="E800" s="14">
        <f t="shared" ref="E800:E868" si="19">E799-C800+D800</f>
        <v>887189951.48000002</v>
      </c>
      <c r="F800" s="8" t="s">
        <v>2140</v>
      </c>
      <c r="G800" s="8" t="s">
        <v>2141</v>
      </c>
      <c r="H800" s="8" t="s">
        <v>2320</v>
      </c>
      <c r="I800" s="8" t="s">
        <v>3399</v>
      </c>
    </row>
    <row r="801" spans="1:9" s="8" customFormat="1">
      <c r="A801" s="13">
        <v>45889</v>
      </c>
      <c r="B801" s="8" t="s">
        <v>2782</v>
      </c>
      <c r="C801" s="14">
        <v>0</v>
      </c>
      <c r="D801" s="14">
        <v>7326000</v>
      </c>
      <c r="E801" s="14">
        <f t="shared" si="19"/>
        <v>894515951.48000002</v>
      </c>
      <c r="F801" s="8" t="s">
        <v>2140</v>
      </c>
      <c r="G801" s="8" t="s">
        <v>2141</v>
      </c>
      <c r="H801" s="8" t="s">
        <v>3440</v>
      </c>
      <c r="I801" s="8" t="s">
        <v>3438</v>
      </c>
    </row>
    <row r="802" spans="1:9" s="8" customFormat="1">
      <c r="A802" s="13">
        <v>45890</v>
      </c>
      <c r="B802" s="8" t="s">
        <v>2783</v>
      </c>
      <c r="C802" s="14">
        <v>4000000</v>
      </c>
      <c r="D802" s="14">
        <v>0</v>
      </c>
      <c r="E802" s="14">
        <f t="shared" si="19"/>
        <v>890515951.48000002</v>
      </c>
      <c r="F802" s="8" t="s">
        <v>4</v>
      </c>
      <c r="G802" s="8" t="s">
        <v>5</v>
      </c>
      <c r="H802" s="40" t="s">
        <v>3440</v>
      </c>
    </row>
    <row r="803" spans="1:9" s="8" customFormat="1">
      <c r="A803" s="13">
        <v>45890</v>
      </c>
      <c r="B803" s="8" t="s">
        <v>2784</v>
      </c>
      <c r="C803" s="14">
        <v>3000000</v>
      </c>
      <c r="D803" s="14">
        <v>0</v>
      </c>
      <c r="E803" s="14">
        <f t="shared" si="19"/>
        <v>887515951.48000002</v>
      </c>
      <c r="F803" s="8" t="s">
        <v>4</v>
      </c>
      <c r="G803" s="8" t="s">
        <v>5</v>
      </c>
      <c r="H803" s="40" t="s">
        <v>3440</v>
      </c>
    </row>
    <row r="804" spans="1:9" s="8" customFormat="1">
      <c r="A804" s="13">
        <v>45890</v>
      </c>
      <c r="B804" s="8" t="s">
        <v>2785</v>
      </c>
      <c r="C804" s="14">
        <v>12400000</v>
      </c>
      <c r="D804" s="14">
        <v>0</v>
      </c>
      <c r="E804" s="14">
        <f t="shared" si="19"/>
        <v>875115951.48000002</v>
      </c>
      <c r="F804" s="8" t="s">
        <v>4</v>
      </c>
      <c r="G804" s="8" t="s">
        <v>5</v>
      </c>
      <c r="H804" s="40" t="s">
        <v>3440</v>
      </c>
    </row>
    <row r="805" spans="1:9" s="8" customFormat="1">
      <c r="A805" s="13">
        <v>45890</v>
      </c>
      <c r="B805" s="8" t="s">
        <v>2786</v>
      </c>
      <c r="C805" s="14">
        <v>750000</v>
      </c>
      <c r="D805" s="14">
        <v>0</v>
      </c>
      <c r="E805" s="14">
        <f t="shared" si="19"/>
        <v>874365951.48000002</v>
      </c>
      <c r="F805" s="8" t="s">
        <v>4</v>
      </c>
      <c r="G805" s="8" t="s">
        <v>5</v>
      </c>
      <c r="H805" s="40" t="s">
        <v>3457</v>
      </c>
    </row>
    <row r="806" spans="1:9" s="8" customFormat="1">
      <c r="A806" s="13">
        <v>45890</v>
      </c>
      <c r="B806" s="8" t="s">
        <v>2787</v>
      </c>
      <c r="C806" s="14">
        <v>10000000</v>
      </c>
      <c r="D806" s="14">
        <v>0</v>
      </c>
      <c r="E806" s="14">
        <f t="shared" si="19"/>
        <v>864365951.48000002</v>
      </c>
      <c r="F806" s="8" t="s">
        <v>4</v>
      </c>
      <c r="G806" s="8" t="s">
        <v>5</v>
      </c>
      <c r="H806" s="40" t="s">
        <v>3334</v>
      </c>
    </row>
    <row r="807" spans="1:9" s="8" customFormat="1">
      <c r="A807" s="13">
        <v>45890</v>
      </c>
      <c r="B807" s="8" t="s">
        <v>2788</v>
      </c>
      <c r="C807" s="14">
        <v>750000</v>
      </c>
      <c r="D807" s="14">
        <v>0</v>
      </c>
      <c r="E807" s="14">
        <f t="shared" si="19"/>
        <v>863615951.48000002</v>
      </c>
      <c r="F807" s="8" t="s">
        <v>4</v>
      </c>
      <c r="G807" s="8" t="s">
        <v>5</v>
      </c>
      <c r="H807" s="40" t="s">
        <v>3457</v>
      </c>
    </row>
    <row r="808" spans="1:9" s="8" customFormat="1">
      <c r="A808" s="13">
        <v>45890</v>
      </c>
      <c r="B808" s="8" t="s">
        <v>7205</v>
      </c>
      <c r="C808" s="14">
        <v>23517000</v>
      </c>
      <c r="D808" s="14">
        <v>0</v>
      </c>
      <c r="E808" s="14">
        <f t="shared" si="19"/>
        <v>840098951.48000002</v>
      </c>
      <c r="F808" s="8" t="s">
        <v>4</v>
      </c>
      <c r="G808" s="8" t="s">
        <v>5</v>
      </c>
      <c r="H808" s="40" t="s">
        <v>3440</v>
      </c>
    </row>
    <row r="809" spans="1:9" s="8" customFormat="1">
      <c r="A809" s="13">
        <v>45890</v>
      </c>
      <c r="B809" s="8" t="s">
        <v>2789</v>
      </c>
      <c r="C809" s="14">
        <v>8337038</v>
      </c>
      <c r="D809" s="14">
        <v>0</v>
      </c>
      <c r="E809" s="14">
        <f t="shared" si="19"/>
        <v>831761913.48000002</v>
      </c>
      <c r="F809" s="8" t="s">
        <v>4</v>
      </c>
      <c r="G809" s="8" t="s">
        <v>5</v>
      </c>
      <c r="H809" s="40" t="s">
        <v>1622</v>
      </c>
    </row>
    <row r="810" spans="1:9" s="8" customFormat="1">
      <c r="A810" s="13">
        <v>45890</v>
      </c>
      <c r="B810" s="8" t="s">
        <v>2790</v>
      </c>
      <c r="C810" s="14">
        <v>1500000</v>
      </c>
      <c r="D810" s="14">
        <v>0</v>
      </c>
      <c r="E810" s="14">
        <f t="shared" si="19"/>
        <v>830261913.48000002</v>
      </c>
      <c r="F810" s="8" t="s">
        <v>4</v>
      </c>
      <c r="G810" s="8" t="s">
        <v>5</v>
      </c>
      <c r="H810" s="40" t="s">
        <v>3232</v>
      </c>
    </row>
    <row r="811" spans="1:9" s="8" customFormat="1">
      <c r="A811" s="13">
        <v>45890</v>
      </c>
      <c r="B811" s="8" t="s">
        <v>2791</v>
      </c>
      <c r="C811" s="14">
        <v>685000</v>
      </c>
      <c r="D811" s="14">
        <v>0</v>
      </c>
      <c r="E811" s="14">
        <f t="shared" si="19"/>
        <v>829576913.48000002</v>
      </c>
      <c r="F811" s="8" t="s">
        <v>21</v>
      </c>
      <c r="G811" s="8" t="s">
        <v>187</v>
      </c>
    </row>
    <row r="812" spans="1:9" s="8" customFormat="1">
      <c r="A812" s="13">
        <v>45890</v>
      </c>
      <c r="B812" s="8" t="s">
        <v>2792</v>
      </c>
      <c r="C812" s="14">
        <v>1500000</v>
      </c>
      <c r="D812" s="14">
        <v>0</v>
      </c>
      <c r="E812" s="14">
        <f t="shared" si="19"/>
        <v>828076913.48000002</v>
      </c>
      <c r="F812" s="8" t="s">
        <v>4</v>
      </c>
      <c r="G812" s="8" t="s">
        <v>5</v>
      </c>
      <c r="H812" s="40" t="s">
        <v>3232</v>
      </c>
    </row>
    <row r="813" spans="1:9" s="8" customFormat="1">
      <c r="A813" s="13">
        <v>45890</v>
      </c>
      <c r="B813" s="8" t="s">
        <v>2793</v>
      </c>
      <c r="C813" s="14">
        <v>10100000</v>
      </c>
      <c r="D813" s="14">
        <v>0</v>
      </c>
      <c r="E813" s="14">
        <f t="shared" si="19"/>
        <v>817976913.48000002</v>
      </c>
      <c r="F813" s="8" t="s">
        <v>4</v>
      </c>
      <c r="G813" s="8" t="s">
        <v>5</v>
      </c>
      <c r="H813" s="40" t="s">
        <v>3232</v>
      </c>
    </row>
    <row r="814" spans="1:9" s="8" customFormat="1">
      <c r="A814" s="13">
        <v>45890</v>
      </c>
      <c r="B814" s="8" t="s">
        <v>2794</v>
      </c>
      <c r="C814" s="54">
        <v>7500000</v>
      </c>
      <c r="D814" s="54">
        <v>0</v>
      </c>
      <c r="E814" s="14">
        <f t="shared" si="19"/>
        <v>810476913.48000002</v>
      </c>
      <c r="F814" s="8" t="s">
        <v>10</v>
      </c>
      <c r="G814" s="8" t="s">
        <v>446</v>
      </c>
      <c r="H814" s="40" t="s">
        <v>6141</v>
      </c>
    </row>
    <row r="815" spans="1:9" s="8" customFormat="1">
      <c r="A815" s="13">
        <v>45890</v>
      </c>
      <c r="B815" s="8" t="s">
        <v>7138</v>
      </c>
      <c r="C815" s="54">
        <v>5777000</v>
      </c>
      <c r="D815" s="54">
        <v>0</v>
      </c>
      <c r="E815" s="54">
        <f t="shared" si="19"/>
        <v>804699913.48000002</v>
      </c>
      <c r="F815" s="8" t="s">
        <v>8</v>
      </c>
      <c r="G815" s="8" t="s">
        <v>14</v>
      </c>
    </row>
    <row r="816" spans="1:9" s="8" customFormat="1">
      <c r="A816" s="13">
        <v>45890</v>
      </c>
      <c r="B816" s="8" t="s">
        <v>7138</v>
      </c>
      <c r="C816" s="54">
        <v>115540</v>
      </c>
      <c r="D816" s="54">
        <v>0</v>
      </c>
      <c r="E816" s="54">
        <f t="shared" si="19"/>
        <v>804584373.48000002</v>
      </c>
      <c r="F816" s="8" t="s">
        <v>8</v>
      </c>
      <c r="G816" s="8" t="s">
        <v>14</v>
      </c>
    </row>
    <row r="817" spans="1:9" s="8" customFormat="1">
      <c r="A817" s="13">
        <v>45890</v>
      </c>
      <c r="B817" s="8" t="s">
        <v>7138</v>
      </c>
      <c r="C817" s="54">
        <v>0</v>
      </c>
      <c r="D817" s="54">
        <f>C815+C816-5777000</f>
        <v>115540</v>
      </c>
      <c r="E817" s="54">
        <f t="shared" si="19"/>
        <v>804699913.48000002</v>
      </c>
      <c r="F817" s="8" t="s">
        <v>920</v>
      </c>
      <c r="G817" s="8" t="s">
        <v>4242</v>
      </c>
      <c r="H817" s="8" t="s">
        <v>88</v>
      </c>
      <c r="I817" s="8" t="s">
        <v>4562</v>
      </c>
    </row>
    <row r="818" spans="1:9" s="8" customFormat="1">
      <c r="A818" s="13">
        <v>45890</v>
      </c>
      <c r="B818" s="8" t="s">
        <v>2795</v>
      </c>
      <c r="C818" s="14">
        <v>1850000</v>
      </c>
      <c r="D818" s="14">
        <v>0</v>
      </c>
      <c r="E818" s="14">
        <f t="shared" si="19"/>
        <v>802849913.48000002</v>
      </c>
      <c r="F818" s="8" t="s">
        <v>4</v>
      </c>
      <c r="G818" s="8" t="s">
        <v>5</v>
      </c>
      <c r="H818" s="40" t="s">
        <v>3232</v>
      </c>
    </row>
    <row r="819" spans="1:9" s="8" customFormat="1">
      <c r="A819" s="13">
        <v>45890</v>
      </c>
      <c r="B819" s="8" t="s">
        <v>7090</v>
      </c>
      <c r="C819" s="54">
        <v>675676</v>
      </c>
      <c r="D819" s="54">
        <v>0</v>
      </c>
      <c r="E819" s="54">
        <f t="shared" si="19"/>
        <v>802174237.48000002</v>
      </c>
      <c r="F819" s="8" t="s">
        <v>8</v>
      </c>
      <c r="G819" s="8" t="s">
        <v>9</v>
      </c>
    </row>
    <row r="820" spans="1:9" s="8" customFormat="1">
      <c r="A820" s="13">
        <v>45890</v>
      </c>
      <c r="B820" s="8" t="s">
        <v>7090</v>
      </c>
      <c r="C820" s="54">
        <v>74324</v>
      </c>
      <c r="D820" s="54">
        <v>0</v>
      </c>
      <c r="E820" s="54">
        <f t="shared" si="19"/>
        <v>802099913.48000002</v>
      </c>
      <c r="F820" s="8" t="s">
        <v>920</v>
      </c>
      <c r="G820" s="8" t="s">
        <v>7855</v>
      </c>
      <c r="H820" s="8" t="s">
        <v>7032</v>
      </c>
      <c r="I820" s="8" t="s">
        <v>4562</v>
      </c>
    </row>
    <row r="821" spans="1:9" s="8" customFormat="1">
      <c r="A821" s="13">
        <v>45890</v>
      </c>
      <c r="B821" s="8" t="s">
        <v>7090</v>
      </c>
      <c r="C821" s="54">
        <v>0</v>
      </c>
      <c r="D821" s="54">
        <f>C819+C820-736486</f>
        <v>13514</v>
      </c>
      <c r="E821" s="14">
        <f t="shared" si="19"/>
        <v>802113427.48000002</v>
      </c>
      <c r="F821" s="8" t="s">
        <v>920</v>
      </c>
      <c r="G821" s="8" t="s">
        <v>4242</v>
      </c>
      <c r="H821" s="8" t="s">
        <v>88</v>
      </c>
      <c r="I821" s="8" t="s">
        <v>4562</v>
      </c>
    </row>
    <row r="822" spans="1:9" s="8" customFormat="1">
      <c r="A822" s="13">
        <v>45890</v>
      </c>
      <c r="B822" s="8" t="s">
        <v>2796</v>
      </c>
      <c r="C822" s="14">
        <v>950000</v>
      </c>
      <c r="D822" s="14">
        <v>0</v>
      </c>
      <c r="E822" s="14">
        <f t="shared" si="19"/>
        <v>801163427.48000002</v>
      </c>
      <c r="F822" s="8" t="s">
        <v>4</v>
      </c>
      <c r="G822" s="8" t="s">
        <v>5</v>
      </c>
      <c r="H822" s="40" t="s">
        <v>3334</v>
      </c>
    </row>
    <row r="823" spans="1:9" s="8" customFormat="1">
      <c r="A823" s="13">
        <v>45890</v>
      </c>
      <c r="B823" s="8" t="s">
        <v>378</v>
      </c>
      <c r="C823" s="14">
        <v>9329176</v>
      </c>
      <c r="D823" s="14">
        <v>0</v>
      </c>
      <c r="E823" s="14">
        <f t="shared" si="19"/>
        <v>791834251.48000002</v>
      </c>
      <c r="F823" s="8" t="s">
        <v>920</v>
      </c>
      <c r="G823" s="8" t="s">
        <v>376</v>
      </c>
    </row>
    <row r="824" spans="1:9" s="8" customFormat="1">
      <c r="A824" s="13">
        <v>45890</v>
      </c>
      <c r="B824" s="8" t="s">
        <v>5392</v>
      </c>
      <c r="C824" s="14">
        <v>6513500</v>
      </c>
      <c r="D824" s="14">
        <v>0</v>
      </c>
      <c r="E824" s="14">
        <f t="shared" si="19"/>
        <v>785320751.48000002</v>
      </c>
      <c r="F824" s="8" t="s">
        <v>4</v>
      </c>
      <c r="G824" s="8" t="s">
        <v>5</v>
      </c>
      <c r="H824" s="40" t="s">
        <v>1378</v>
      </c>
    </row>
    <row r="825" spans="1:9" s="8" customFormat="1">
      <c r="A825" s="13">
        <v>45890</v>
      </c>
      <c r="B825" s="8" t="s">
        <v>2797</v>
      </c>
      <c r="C825" s="14">
        <v>15000000</v>
      </c>
      <c r="D825" s="14">
        <v>0</v>
      </c>
      <c r="E825" s="14">
        <f t="shared" si="19"/>
        <v>770320751.48000002</v>
      </c>
      <c r="F825" s="8" t="s">
        <v>920</v>
      </c>
      <c r="G825" s="8" t="s">
        <v>400</v>
      </c>
      <c r="H825" s="8" t="s">
        <v>5607</v>
      </c>
    </row>
    <row r="826" spans="1:9" s="8" customFormat="1">
      <c r="A826" s="13">
        <v>45890</v>
      </c>
      <c r="B826" s="8" t="s">
        <v>2798</v>
      </c>
      <c r="C826" s="14">
        <v>188235</v>
      </c>
      <c r="D826" s="14">
        <v>0</v>
      </c>
      <c r="E826" s="14">
        <f t="shared" si="19"/>
        <v>770132516.48000002</v>
      </c>
      <c r="F826" s="8" t="s">
        <v>920</v>
      </c>
      <c r="G826" s="8" t="s">
        <v>400</v>
      </c>
      <c r="H826" s="8" t="s">
        <v>5602</v>
      </c>
    </row>
    <row r="827" spans="1:9" s="8" customFormat="1">
      <c r="A827" s="13">
        <v>45890</v>
      </c>
      <c r="B827" s="8" t="s">
        <v>2799</v>
      </c>
      <c r="C827" s="14">
        <v>6000000</v>
      </c>
      <c r="D827" s="14">
        <v>0</v>
      </c>
      <c r="E827" s="14">
        <f t="shared" si="19"/>
        <v>764132516.48000002</v>
      </c>
      <c r="F827" s="8" t="s">
        <v>4</v>
      </c>
      <c r="G827" s="8" t="s">
        <v>5</v>
      </c>
      <c r="H827" s="40" t="s">
        <v>3457</v>
      </c>
    </row>
    <row r="828" spans="1:9" s="8" customFormat="1">
      <c r="A828" s="13">
        <v>45893</v>
      </c>
      <c r="B828" s="8" t="s">
        <v>2800</v>
      </c>
      <c r="C828" s="14">
        <v>4769000</v>
      </c>
      <c r="D828" s="14">
        <v>0</v>
      </c>
      <c r="E828" s="14">
        <f t="shared" si="19"/>
        <v>759363516.48000002</v>
      </c>
      <c r="F828" s="8" t="s">
        <v>1212</v>
      </c>
      <c r="G828" s="8" t="s">
        <v>367</v>
      </c>
      <c r="H828" s="8" t="s">
        <v>3020</v>
      </c>
    </row>
    <row r="829" spans="1:9" s="8" customFormat="1">
      <c r="A829" s="13">
        <v>45893</v>
      </c>
      <c r="B829" s="8" t="s">
        <v>2801</v>
      </c>
      <c r="C829" s="14">
        <v>4750000</v>
      </c>
      <c r="D829" s="14">
        <v>0</v>
      </c>
      <c r="E829" s="14">
        <f t="shared" si="19"/>
        <v>754613516.48000002</v>
      </c>
      <c r="F829" s="8" t="s">
        <v>1212</v>
      </c>
      <c r="G829" s="8" t="s">
        <v>367</v>
      </c>
      <c r="H829" s="8" t="s">
        <v>3020</v>
      </c>
    </row>
    <row r="830" spans="1:9" s="8" customFormat="1">
      <c r="A830" s="13">
        <v>45896</v>
      </c>
      <c r="B830" s="8" t="s">
        <v>2802</v>
      </c>
      <c r="C830" s="14">
        <v>0</v>
      </c>
      <c r="D830" s="14">
        <v>281300</v>
      </c>
      <c r="E830" s="14">
        <f t="shared" si="19"/>
        <v>754894816.48000002</v>
      </c>
      <c r="F830" s="8" t="s">
        <v>920</v>
      </c>
      <c r="G830" s="8" t="s">
        <v>464</v>
      </c>
      <c r="H830" s="8" t="s">
        <v>5607</v>
      </c>
    </row>
    <row r="831" spans="1:9" s="8" customFormat="1">
      <c r="A831" s="13">
        <v>45896</v>
      </c>
      <c r="B831" s="8" t="s">
        <v>2803</v>
      </c>
      <c r="C831" s="14">
        <v>500000</v>
      </c>
      <c r="D831" s="14">
        <v>0</v>
      </c>
      <c r="E831" s="14">
        <f t="shared" si="19"/>
        <v>754394816.48000002</v>
      </c>
      <c r="F831" s="8" t="s">
        <v>4</v>
      </c>
      <c r="G831" s="8" t="s">
        <v>5</v>
      </c>
      <c r="H831" s="40" t="s">
        <v>3440</v>
      </c>
    </row>
    <row r="832" spans="1:9" s="8" customFormat="1">
      <c r="A832" s="13">
        <v>45896</v>
      </c>
      <c r="B832" s="8" t="s">
        <v>2804</v>
      </c>
      <c r="C832" s="14">
        <v>4650000</v>
      </c>
      <c r="D832" s="14">
        <v>0</v>
      </c>
      <c r="E832" s="14">
        <f t="shared" si="19"/>
        <v>749744816.48000002</v>
      </c>
      <c r="F832" s="8" t="s">
        <v>4</v>
      </c>
      <c r="G832" s="8" t="s">
        <v>5</v>
      </c>
      <c r="H832" s="40" t="s">
        <v>3440</v>
      </c>
    </row>
    <row r="833" spans="1:8" s="8" customFormat="1">
      <c r="A833" s="13">
        <v>45896</v>
      </c>
      <c r="B833" s="8" t="s">
        <v>2805</v>
      </c>
      <c r="C833" s="14">
        <v>11500000</v>
      </c>
      <c r="D833" s="14">
        <v>0</v>
      </c>
      <c r="E833" s="14">
        <f t="shared" si="19"/>
        <v>738244816.48000002</v>
      </c>
      <c r="F833" s="8" t="s">
        <v>4</v>
      </c>
      <c r="G833" s="8" t="s">
        <v>5</v>
      </c>
      <c r="H833" s="40" t="s">
        <v>3440</v>
      </c>
    </row>
    <row r="834" spans="1:8" s="8" customFormat="1">
      <c r="A834" s="13">
        <v>45896</v>
      </c>
      <c r="B834" s="8" t="s">
        <v>2806</v>
      </c>
      <c r="C834" s="14">
        <v>7000000</v>
      </c>
      <c r="D834" s="14">
        <v>0</v>
      </c>
      <c r="E834" s="14">
        <f t="shared" si="19"/>
        <v>731244816.48000002</v>
      </c>
      <c r="F834" s="8" t="s">
        <v>4</v>
      </c>
      <c r="G834" s="8" t="s">
        <v>5</v>
      </c>
      <c r="H834" s="40" t="s">
        <v>3440</v>
      </c>
    </row>
    <row r="835" spans="1:8" s="8" customFormat="1">
      <c r="A835" s="13">
        <v>45896</v>
      </c>
      <c r="B835" s="8" t="s">
        <v>2807</v>
      </c>
      <c r="C835" s="14">
        <v>500000</v>
      </c>
      <c r="D835" s="14">
        <v>0</v>
      </c>
      <c r="E835" s="14">
        <f t="shared" si="19"/>
        <v>730744816.48000002</v>
      </c>
      <c r="F835" s="8" t="s">
        <v>4</v>
      </c>
      <c r="G835" s="8" t="s">
        <v>5</v>
      </c>
      <c r="H835" s="40" t="s">
        <v>3440</v>
      </c>
    </row>
    <row r="836" spans="1:8" s="8" customFormat="1">
      <c r="A836" s="13">
        <v>45896</v>
      </c>
      <c r="B836" s="8" t="s">
        <v>2808</v>
      </c>
      <c r="C836" s="14">
        <v>60000000</v>
      </c>
      <c r="D836" s="14">
        <v>0</v>
      </c>
      <c r="E836" s="14">
        <f t="shared" si="19"/>
        <v>670744816.48000002</v>
      </c>
      <c r="F836" s="8" t="s">
        <v>4</v>
      </c>
      <c r="G836" s="8" t="s">
        <v>5</v>
      </c>
      <c r="H836" s="40" t="s">
        <v>3440</v>
      </c>
    </row>
    <row r="837" spans="1:8" s="8" customFormat="1">
      <c r="A837" s="13">
        <v>45896</v>
      </c>
      <c r="B837" s="8" t="s">
        <v>2809</v>
      </c>
      <c r="C837" s="14">
        <v>1000000</v>
      </c>
      <c r="D837" s="14">
        <v>0</v>
      </c>
      <c r="E837" s="14">
        <f t="shared" si="19"/>
        <v>669744816.48000002</v>
      </c>
      <c r="F837" s="8" t="s">
        <v>4</v>
      </c>
      <c r="G837" s="8" t="s">
        <v>5</v>
      </c>
      <c r="H837" s="40" t="s">
        <v>3440</v>
      </c>
    </row>
    <row r="838" spans="1:8" s="8" customFormat="1">
      <c r="A838" s="13">
        <v>45896</v>
      </c>
      <c r="B838" s="8" t="s">
        <v>2810</v>
      </c>
      <c r="C838" s="14">
        <v>1000000</v>
      </c>
      <c r="D838" s="14">
        <v>0</v>
      </c>
      <c r="E838" s="14">
        <f t="shared" si="19"/>
        <v>668744816.48000002</v>
      </c>
      <c r="F838" s="8" t="s">
        <v>4</v>
      </c>
      <c r="G838" s="8" t="s">
        <v>5</v>
      </c>
      <c r="H838" s="40" t="s">
        <v>3440</v>
      </c>
    </row>
    <row r="839" spans="1:8" s="8" customFormat="1">
      <c r="A839" s="13">
        <v>45896</v>
      </c>
      <c r="B839" s="8" t="s">
        <v>2811</v>
      </c>
      <c r="C839" s="14">
        <v>1000000</v>
      </c>
      <c r="D839" s="14">
        <v>0</v>
      </c>
      <c r="E839" s="14">
        <f t="shared" si="19"/>
        <v>667744816.48000002</v>
      </c>
      <c r="F839" s="8" t="s">
        <v>4</v>
      </c>
      <c r="G839" s="8" t="s">
        <v>5</v>
      </c>
      <c r="H839" s="40" t="s">
        <v>3440</v>
      </c>
    </row>
    <row r="840" spans="1:8" s="8" customFormat="1">
      <c r="A840" s="13">
        <v>45896</v>
      </c>
      <c r="B840" s="8" t="s">
        <v>2812</v>
      </c>
      <c r="C840" s="14">
        <v>1500000</v>
      </c>
      <c r="D840" s="14">
        <v>0</v>
      </c>
      <c r="E840" s="14">
        <f t="shared" si="19"/>
        <v>666244816.48000002</v>
      </c>
      <c r="F840" s="8" t="s">
        <v>4</v>
      </c>
      <c r="G840" s="8" t="s">
        <v>5</v>
      </c>
      <c r="H840" s="40" t="s">
        <v>3440</v>
      </c>
    </row>
    <row r="841" spans="1:8" s="8" customFormat="1">
      <c r="A841" s="13">
        <v>45896</v>
      </c>
      <c r="B841" s="8" t="s">
        <v>2813</v>
      </c>
      <c r="C841" s="14">
        <v>1000000</v>
      </c>
      <c r="D841" s="14">
        <v>0</v>
      </c>
      <c r="E841" s="14">
        <f t="shared" si="19"/>
        <v>665244816.48000002</v>
      </c>
      <c r="F841" s="8" t="s">
        <v>4</v>
      </c>
      <c r="G841" s="8" t="s">
        <v>5</v>
      </c>
      <c r="H841" s="40" t="s">
        <v>3440</v>
      </c>
    </row>
    <row r="842" spans="1:8" s="8" customFormat="1">
      <c r="A842" s="13">
        <v>45896</v>
      </c>
      <c r="B842" s="8" t="s">
        <v>2814</v>
      </c>
      <c r="C842" s="14">
        <v>1000000</v>
      </c>
      <c r="D842" s="14">
        <v>0</v>
      </c>
      <c r="E842" s="14">
        <f t="shared" si="19"/>
        <v>664244816.48000002</v>
      </c>
      <c r="F842" s="8" t="s">
        <v>4</v>
      </c>
      <c r="G842" s="8" t="s">
        <v>5</v>
      </c>
      <c r="H842" s="40" t="s">
        <v>3440</v>
      </c>
    </row>
    <row r="843" spans="1:8" s="8" customFormat="1">
      <c r="A843" s="13">
        <v>45896</v>
      </c>
      <c r="B843" s="8" t="s">
        <v>2815</v>
      </c>
      <c r="C843" s="14">
        <v>3450000</v>
      </c>
      <c r="D843" s="14">
        <v>0</v>
      </c>
      <c r="E843" s="14">
        <f t="shared" si="19"/>
        <v>660794816.48000002</v>
      </c>
      <c r="F843" s="8" t="s">
        <v>4</v>
      </c>
      <c r="G843" s="8" t="s">
        <v>5</v>
      </c>
      <c r="H843" s="40" t="s">
        <v>3440</v>
      </c>
    </row>
    <row r="844" spans="1:8" s="8" customFormat="1">
      <c r="A844" s="13">
        <v>45896</v>
      </c>
      <c r="B844" s="8" t="s">
        <v>2816</v>
      </c>
      <c r="C844" s="14">
        <v>2800000</v>
      </c>
      <c r="D844" s="14">
        <v>0</v>
      </c>
      <c r="E844" s="14">
        <f t="shared" si="19"/>
        <v>657994816.48000002</v>
      </c>
      <c r="F844" s="8" t="s">
        <v>4</v>
      </c>
      <c r="G844" s="8" t="s">
        <v>5</v>
      </c>
      <c r="H844" s="40" t="s">
        <v>3440</v>
      </c>
    </row>
    <row r="845" spans="1:8" s="8" customFormat="1">
      <c r="A845" s="13">
        <v>45896</v>
      </c>
      <c r="B845" s="8" t="s">
        <v>2817</v>
      </c>
      <c r="C845" s="14">
        <v>4000000</v>
      </c>
      <c r="D845" s="14">
        <v>0</v>
      </c>
      <c r="E845" s="14">
        <f t="shared" si="19"/>
        <v>653994816.48000002</v>
      </c>
      <c r="F845" s="8" t="s">
        <v>4</v>
      </c>
      <c r="G845" s="8" t="s">
        <v>5</v>
      </c>
      <c r="H845" s="40" t="s">
        <v>3440</v>
      </c>
    </row>
    <row r="846" spans="1:8" s="8" customFormat="1">
      <c r="A846" s="13">
        <v>45896</v>
      </c>
      <c r="B846" s="8" t="s">
        <v>2818</v>
      </c>
      <c r="C846" s="14">
        <v>850000</v>
      </c>
      <c r="D846" s="14">
        <v>0</v>
      </c>
      <c r="E846" s="14">
        <f t="shared" si="19"/>
        <v>653144816.48000002</v>
      </c>
      <c r="F846" s="8" t="s">
        <v>4</v>
      </c>
      <c r="G846" s="8" t="s">
        <v>5</v>
      </c>
      <c r="H846" s="40" t="s">
        <v>3440</v>
      </c>
    </row>
    <row r="847" spans="1:8" s="8" customFormat="1">
      <c r="A847" s="13">
        <v>45896</v>
      </c>
      <c r="B847" s="8" t="s">
        <v>2819</v>
      </c>
      <c r="C847" s="14">
        <v>1500000</v>
      </c>
      <c r="D847" s="14">
        <v>0</v>
      </c>
      <c r="E847" s="14">
        <f t="shared" si="19"/>
        <v>651644816.48000002</v>
      </c>
      <c r="F847" s="8" t="s">
        <v>8</v>
      </c>
      <c r="G847" s="8" t="s">
        <v>185</v>
      </c>
    </row>
    <row r="848" spans="1:8" s="8" customFormat="1">
      <c r="A848" s="13">
        <v>45896</v>
      </c>
      <c r="B848" s="8" t="s">
        <v>2820</v>
      </c>
      <c r="C848" s="14">
        <v>5900000</v>
      </c>
      <c r="D848" s="14">
        <v>0</v>
      </c>
      <c r="E848" s="14">
        <f t="shared" si="19"/>
        <v>645744816.48000002</v>
      </c>
      <c r="F848" s="8" t="s">
        <v>4</v>
      </c>
      <c r="G848" s="8" t="s">
        <v>5</v>
      </c>
      <c r="H848" s="40" t="s">
        <v>3457</v>
      </c>
    </row>
    <row r="849" spans="1:9" s="8" customFormat="1">
      <c r="A849" s="13">
        <v>45896</v>
      </c>
      <c r="B849" s="8" t="s">
        <v>2821</v>
      </c>
      <c r="C849" s="14">
        <v>101635000</v>
      </c>
      <c r="D849" s="14">
        <v>0</v>
      </c>
      <c r="E849" s="14">
        <f t="shared" si="19"/>
        <v>544109816.48000002</v>
      </c>
      <c r="F849" s="8" t="s">
        <v>4</v>
      </c>
      <c r="G849" s="8" t="s">
        <v>5</v>
      </c>
      <c r="H849" s="40" t="s">
        <v>1622</v>
      </c>
    </row>
    <row r="850" spans="1:9" s="8" customFormat="1">
      <c r="A850" s="13">
        <v>45896</v>
      </c>
      <c r="B850" s="8" t="s">
        <v>5375</v>
      </c>
      <c r="C850" s="14">
        <v>811000</v>
      </c>
      <c r="D850" s="14">
        <v>0</v>
      </c>
      <c r="E850" s="14">
        <f t="shared" si="19"/>
        <v>543298816.48000002</v>
      </c>
      <c r="F850" s="8" t="s">
        <v>4</v>
      </c>
      <c r="G850" s="8" t="s">
        <v>5</v>
      </c>
      <c r="H850" s="40" t="s">
        <v>1634</v>
      </c>
    </row>
    <row r="851" spans="1:9" s="8" customFormat="1">
      <c r="A851" s="13">
        <v>45897</v>
      </c>
      <c r="B851" s="8" t="s">
        <v>2834</v>
      </c>
      <c r="C851" s="14">
        <v>0</v>
      </c>
      <c r="D851" s="14">
        <v>10000000</v>
      </c>
      <c r="E851" s="14">
        <f t="shared" si="19"/>
        <v>553298816.48000002</v>
      </c>
      <c r="F851" s="8" t="s">
        <v>1400</v>
      </c>
      <c r="G851" s="8" t="s">
        <v>1400</v>
      </c>
    </row>
    <row r="852" spans="1:9" s="8" customFormat="1">
      <c r="A852" s="13">
        <v>45897</v>
      </c>
      <c r="B852" s="8" t="s">
        <v>2835</v>
      </c>
      <c r="C852" s="14">
        <v>0</v>
      </c>
      <c r="D852" s="14">
        <v>919100</v>
      </c>
      <c r="E852" s="14">
        <f t="shared" si="19"/>
        <v>554217916.48000002</v>
      </c>
      <c r="F852" s="8" t="s">
        <v>920</v>
      </c>
      <c r="G852" s="8" t="s">
        <v>464</v>
      </c>
      <c r="H852" s="8" t="s">
        <v>5606</v>
      </c>
    </row>
    <row r="853" spans="1:9" s="8" customFormat="1">
      <c r="A853" s="13">
        <v>45897</v>
      </c>
      <c r="B853" s="8" t="s">
        <v>2836</v>
      </c>
      <c r="C853" s="14">
        <v>0</v>
      </c>
      <c r="D853" s="14">
        <v>929164</v>
      </c>
      <c r="E853" s="14">
        <f t="shared" si="19"/>
        <v>555147080.48000002</v>
      </c>
      <c r="F853" s="8" t="s">
        <v>920</v>
      </c>
      <c r="G853" s="8" t="s">
        <v>464</v>
      </c>
      <c r="H853" s="8" t="s">
        <v>5600</v>
      </c>
    </row>
    <row r="854" spans="1:9" s="8" customFormat="1">
      <c r="A854" s="13">
        <v>45897</v>
      </c>
      <c r="B854" s="8" t="s">
        <v>7206</v>
      </c>
      <c r="C854" s="54">
        <f>62125200+D855</f>
        <v>63873000</v>
      </c>
      <c r="D854" s="54">
        <v>0</v>
      </c>
      <c r="E854" s="54">
        <f t="shared" si="19"/>
        <v>491274080.48000002</v>
      </c>
      <c r="F854" s="8" t="s">
        <v>4</v>
      </c>
      <c r="G854" s="8" t="s">
        <v>5</v>
      </c>
      <c r="H854" s="40" t="s">
        <v>3440</v>
      </c>
    </row>
    <row r="855" spans="1:9" s="8" customFormat="1">
      <c r="A855" s="13">
        <v>45897</v>
      </c>
      <c r="B855" s="8" t="s">
        <v>7206</v>
      </c>
      <c r="C855" s="54">
        <v>0</v>
      </c>
      <c r="D855" s="54">
        <v>1747800</v>
      </c>
      <c r="E855" s="14">
        <f t="shared" si="19"/>
        <v>493021880.48000002</v>
      </c>
      <c r="F855" s="8" t="s">
        <v>920</v>
      </c>
      <c r="G855" s="8" t="s">
        <v>4242</v>
      </c>
      <c r="H855" s="8" t="s">
        <v>88</v>
      </c>
      <c r="I855" s="8" t="s">
        <v>4562</v>
      </c>
    </row>
    <row r="856" spans="1:9" s="8" customFormat="1">
      <c r="A856" s="13">
        <v>45897</v>
      </c>
      <c r="B856" s="8" t="s">
        <v>2837</v>
      </c>
      <c r="C856" s="14">
        <v>103150000</v>
      </c>
      <c r="D856" s="14">
        <v>0</v>
      </c>
      <c r="E856" s="14">
        <f t="shared" si="19"/>
        <v>389871880.48000002</v>
      </c>
      <c r="F856" s="8" t="s">
        <v>4</v>
      </c>
      <c r="G856" s="8" t="s">
        <v>5</v>
      </c>
      <c r="H856" s="40" t="s">
        <v>1376</v>
      </c>
    </row>
    <row r="857" spans="1:9" s="8" customFormat="1">
      <c r="A857" s="13">
        <v>45897</v>
      </c>
      <c r="B857" s="8" t="s">
        <v>2838</v>
      </c>
      <c r="C857" s="14">
        <v>3000000</v>
      </c>
      <c r="D857" s="14">
        <v>0</v>
      </c>
      <c r="E857" s="14">
        <f t="shared" si="19"/>
        <v>386871880.48000002</v>
      </c>
      <c r="F857" s="8" t="s">
        <v>4</v>
      </c>
      <c r="G857" s="8" t="s">
        <v>5</v>
      </c>
      <c r="H857" s="40" t="s">
        <v>3440</v>
      </c>
    </row>
    <row r="858" spans="1:9" s="8" customFormat="1">
      <c r="A858" s="13">
        <v>45897</v>
      </c>
      <c r="B858" s="8" t="s">
        <v>2839</v>
      </c>
      <c r="C858" s="14">
        <v>3500000</v>
      </c>
      <c r="D858" s="14">
        <v>0</v>
      </c>
      <c r="E858" s="14">
        <f t="shared" si="19"/>
        <v>383371880.48000002</v>
      </c>
      <c r="F858" s="8" t="s">
        <v>4</v>
      </c>
      <c r="G858" s="8" t="s">
        <v>5</v>
      </c>
      <c r="H858" s="40" t="s">
        <v>3440</v>
      </c>
    </row>
    <row r="859" spans="1:9" s="8" customFormat="1">
      <c r="A859" s="13">
        <v>45897</v>
      </c>
      <c r="B859" s="8" t="s">
        <v>2840</v>
      </c>
      <c r="C859" s="14">
        <v>3000000</v>
      </c>
      <c r="D859" s="14">
        <v>0</v>
      </c>
      <c r="E859" s="14">
        <f t="shared" si="19"/>
        <v>380371880.48000002</v>
      </c>
      <c r="F859" s="8" t="s">
        <v>4</v>
      </c>
      <c r="G859" s="8" t="s">
        <v>5</v>
      </c>
      <c r="H859" s="40" t="s">
        <v>3440</v>
      </c>
    </row>
    <row r="860" spans="1:9" s="8" customFormat="1">
      <c r="A860" s="13">
        <v>45897</v>
      </c>
      <c r="B860" s="8" t="s">
        <v>3019</v>
      </c>
      <c r="C860" s="14">
        <v>5250000</v>
      </c>
      <c r="D860" s="14">
        <v>0</v>
      </c>
      <c r="E860" s="14">
        <f t="shared" si="19"/>
        <v>375121880.48000002</v>
      </c>
      <c r="F860" s="8" t="s">
        <v>4</v>
      </c>
      <c r="G860" s="8" t="s">
        <v>5</v>
      </c>
      <c r="H860" s="40" t="s">
        <v>3440</v>
      </c>
    </row>
    <row r="861" spans="1:9" s="8" customFormat="1">
      <c r="A861" s="13">
        <v>45897</v>
      </c>
      <c r="B861" s="8" t="s">
        <v>2822</v>
      </c>
      <c r="C861" s="14">
        <v>2650000</v>
      </c>
      <c r="D861" s="14">
        <v>0</v>
      </c>
      <c r="E861" s="14">
        <f t="shared" si="19"/>
        <v>372471880.48000002</v>
      </c>
      <c r="F861" s="8" t="s">
        <v>4</v>
      </c>
      <c r="G861" s="8" t="s">
        <v>5</v>
      </c>
      <c r="H861" s="40" t="s">
        <v>3440</v>
      </c>
    </row>
    <row r="862" spans="1:9" s="8" customFormat="1">
      <c r="A862" s="13">
        <v>45897</v>
      </c>
      <c r="B862" s="8" t="s">
        <v>2823</v>
      </c>
      <c r="C862" s="14">
        <v>10450000</v>
      </c>
      <c r="D862" s="14">
        <v>0</v>
      </c>
      <c r="E862" s="14">
        <f t="shared" si="19"/>
        <v>362021880.48000002</v>
      </c>
      <c r="F862" s="8" t="s">
        <v>4</v>
      </c>
      <c r="G862" s="8" t="s">
        <v>5</v>
      </c>
      <c r="H862" s="40" t="s">
        <v>3440</v>
      </c>
    </row>
    <row r="863" spans="1:9" s="8" customFormat="1">
      <c r="A863" s="13">
        <v>45897</v>
      </c>
      <c r="B863" s="8" t="s">
        <v>2824</v>
      </c>
      <c r="C863" s="14">
        <v>600000</v>
      </c>
      <c r="D863" s="14">
        <v>0</v>
      </c>
      <c r="E863" s="14">
        <f t="shared" si="19"/>
        <v>361421880.48000002</v>
      </c>
      <c r="F863" s="8" t="s">
        <v>4</v>
      </c>
      <c r="G863" s="8" t="s">
        <v>5</v>
      </c>
      <c r="H863" s="40" t="s">
        <v>3440</v>
      </c>
    </row>
    <row r="864" spans="1:9" s="8" customFormat="1">
      <c r="A864" s="13">
        <v>45897</v>
      </c>
      <c r="B864" s="8" t="s">
        <v>2825</v>
      </c>
      <c r="C864" s="14">
        <v>10000000</v>
      </c>
      <c r="D864" s="14">
        <v>0</v>
      </c>
      <c r="E864" s="14">
        <f t="shared" si="19"/>
        <v>351421880.48000002</v>
      </c>
      <c r="F864" s="8" t="s">
        <v>4</v>
      </c>
      <c r="G864" s="8" t="s">
        <v>5</v>
      </c>
      <c r="H864" s="40" t="s">
        <v>3440</v>
      </c>
    </row>
    <row r="865" spans="1:9" s="8" customFormat="1">
      <c r="A865" s="13">
        <v>45897</v>
      </c>
      <c r="B865" s="8" t="s">
        <v>2826</v>
      </c>
      <c r="C865" s="14">
        <v>8500000</v>
      </c>
      <c r="D865" s="14">
        <v>0</v>
      </c>
      <c r="E865" s="14">
        <f t="shared" si="19"/>
        <v>342921880.48000002</v>
      </c>
      <c r="F865" s="8" t="s">
        <v>4</v>
      </c>
      <c r="G865" s="8" t="s">
        <v>5</v>
      </c>
      <c r="H865" s="40" t="s">
        <v>3440</v>
      </c>
    </row>
    <row r="866" spans="1:9" s="8" customFormat="1">
      <c r="A866" s="13">
        <v>45897</v>
      </c>
      <c r="B866" s="8" t="s">
        <v>2827</v>
      </c>
      <c r="C866" s="14">
        <v>9000000</v>
      </c>
      <c r="D866" s="14">
        <v>0</v>
      </c>
      <c r="E866" s="14">
        <f t="shared" si="19"/>
        <v>333921880.48000002</v>
      </c>
      <c r="F866" s="8" t="s">
        <v>4</v>
      </c>
      <c r="G866" s="8" t="s">
        <v>5</v>
      </c>
      <c r="H866" s="40" t="s">
        <v>3440</v>
      </c>
    </row>
    <row r="867" spans="1:9" s="8" customFormat="1">
      <c r="A867" s="13">
        <v>45897</v>
      </c>
      <c r="B867" s="8" t="s">
        <v>2828</v>
      </c>
      <c r="C867" s="14">
        <v>8500000</v>
      </c>
      <c r="D867" s="14">
        <v>0</v>
      </c>
      <c r="E867" s="14">
        <f t="shared" si="19"/>
        <v>325421880.48000002</v>
      </c>
      <c r="F867" s="8" t="s">
        <v>4</v>
      </c>
      <c r="G867" s="8" t="s">
        <v>5</v>
      </c>
      <c r="H867" s="40" t="s">
        <v>3440</v>
      </c>
    </row>
    <row r="868" spans="1:9" s="8" customFormat="1">
      <c r="A868" s="13">
        <v>45897</v>
      </c>
      <c r="B868" s="8" t="s">
        <v>2829</v>
      </c>
      <c r="C868" s="14">
        <v>27100000</v>
      </c>
      <c r="D868" s="14">
        <v>0</v>
      </c>
      <c r="E868" s="14">
        <f t="shared" si="19"/>
        <v>298321880.48000002</v>
      </c>
      <c r="F868" s="8" t="s">
        <v>4</v>
      </c>
      <c r="G868" s="8" t="s">
        <v>5</v>
      </c>
      <c r="H868" s="40" t="s">
        <v>3440</v>
      </c>
    </row>
    <row r="869" spans="1:9" s="8" customFormat="1">
      <c r="A869" s="13">
        <v>45897</v>
      </c>
      <c r="B869" s="8" t="s">
        <v>5395</v>
      </c>
      <c r="C869" s="14">
        <v>3056250</v>
      </c>
      <c r="D869" s="14">
        <v>0</v>
      </c>
      <c r="E869" s="14">
        <f t="shared" ref="E869:E940" si="20">E868-C869+D869</f>
        <v>295265630.48000002</v>
      </c>
      <c r="F869" s="8" t="s">
        <v>4</v>
      </c>
      <c r="G869" s="8" t="s">
        <v>5</v>
      </c>
      <c r="H869" s="8" t="s">
        <v>2238</v>
      </c>
    </row>
    <row r="870" spans="1:9" s="8" customFormat="1">
      <c r="A870" s="13">
        <v>45897</v>
      </c>
      <c r="B870" s="8" t="s">
        <v>2830</v>
      </c>
      <c r="C870" s="14">
        <v>48850000</v>
      </c>
      <c r="D870" s="14">
        <v>0</v>
      </c>
      <c r="E870" s="14">
        <f t="shared" si="20"/>
        <v>246415630.48000002</v>
      </c>
      <c r="F870" s="8" t="s">
        <v>4</v>
      </c>
      <c r="G870" s="8" t="s">
        <v>5</v>
      </c>
      <c r="H870" s="40" t="s">
        <v>1376</v>
      </c>
    </row>
    <row r="871" spans="1:9" s="8" customFormat="1">
      <c r="A871" s="13">
        <v>45897</v>
      </c>
      <c r="B871" s="8" t="s">
        <v>2831</v>
      </c>
      <c r="C871" s="14">
        <v>8000000</v>
      </c>
      <c r="D871" s="14">
        <v>0</v>
      </c>
      <c r="E871" s="14">
        <f t="shared" si="20"/>
        <v>238415630.48000002</v>
      </c>
      <c r="F871" s="8" t="s">
        <v>4</v>
      </c>
      <c r="G871" s="8" t="s">
        <v>5</v>
      </c>
      <c r="H871" s="40" t="s">
        <v>3334</v>
      </c>
    </row>
    <row r="872" spans="1:9" s="8" customFormat="1">
      <c r="A872" s="13">
        <v>45898</v>
      </c>
      <c r="B872" s="8" t="s">
        <v>2832</v>
      </c>
      <c r="C872" s="14">
        <v>0</v>
      </c>
      <c r="D872" s="14">
        <v>191888814</v>
      </c>
      <c r="E872" s="14">
        <f t="shared" si="20"/>
        <v>430304444.48000002</v>
      </c>
      <c r="F872" s="8" t="s">
        <v>2140</v>
      </c>
      <c r="G872" s="8" t="s">
        <v>2141</v>
      </c>
      <c r="H872" s="8" t="s">
        <v>2316</v>
      </c>
      <c r="I872" s="8" t="s">
        <v>3446</v>
      </c>
    </row>
    <row r="873" spans="1:9" s="8" customFormat="1">
      <c r="A873" s="13">
        <v>45899</v>
      </c>
      <c r="B873" s="8" t="s">
        <v>2833</v>
      </c>
      <c r="C873" s="14">
        <v>2800000</v>
      </c>
      <c r="D873" s="14">
        <v>0</v>
      </c>
      <c r="E873" s="14">
        <f t="shared" si="20"/>
        <v>427504444.48000002</v>
      </c>
      <c r="F873" s="8" t="s">
        <v>1212</v>
      </c>
      <c r="G873" s="8" t="s">
        <v>367</v>
      </c>
      <c r="H873" s="8" t="s">
        <v>3020</v>
      </c>
    </row>
    <row r="874" spans="1:9">
      <c r="A874" s="13">
        <v>45900</v>
      </c>
      <c r="B874" s="8" t="s">
        <v>334</v>
      </c>
      <c r="C874" s="14">
        <v>30000</v>
      </c>
      <c r="D874" s="14">
        <v>0</v>
      </c>
      <c r="E874" s="14">
        <f t="shared" si="20"/>
        <v>427474444.48000002</v>
      </c>
      <c r="F874" t="s">
        <v>19</v>
      </c>
      <c r="G874" t="s">
        <v>189</v>
      </c>
    </row>
    <row r="875" spans="1:9" s="8" customFormat="1">
      <c r="A875" s="13">
        <v>45901</v>
      </c>
      <c r="B875" s="8" t="s">
        <v>5747</v>
      </c>
      <c r="C875" s="54">
        <v>0</v>
      </c>
      <c r="D875" s="54">
        <v>80000</v>
      </c>
      <c r="E875" s="14">
        <f t="shared" si="20"/>
        <v>427554444.48000002</v>
      </c>
      <c r="F875" s="8" t="s">
        <v>10</v>
      </c>
      <c r="G875" s="8" t="s">
        <v>446</v>
      </c>
      <c r="H875" s="8" t="s">
        <v>3283</v>
      </c>
      <c r="I875" s="8" t="s">
        <v>26</v>
      </c>
    </row>
    <row r="876" spans="1:9">
      <c r="A876" s="13">
        <v>45902</v>
      </c>
      <c r="B876" s="8" t="s">
        <v>3486</v>
      </c>
      <c r="C876" s="14">
        <v>28250000</v>
      </c>
      <c r="D876" s="14">
        <v>0</v>
      </c>
      <c r="E876" s="14">
        <f t="shared" si="20"/>
        <v>399304444.48000002</v>
      </c>
      <c r="F876" s="8" t="s">
        <v>920</v>
      </c>
      <c r="G876" s="8" t="s">
        <v>400</v>
      </c>
      <c r="H876" s="8" t="s">
        <v>5608</v>
      </c>
    </row>
    <row r="877" spans="1:9">
      <c r="A877" s="13">
        <v>45902</v>
      </c>
      <c r="B877" s="8" t="s">
        <v>3487</v>
      </c>
      <c r="C877" s="14">
        <v>2045222</v>
      </c>
      <c r="D877" s="14">
        <v>0</v>
      </c>
      <c r="E877" s="14">
        <f t="shared" si="20"/>
        <v>397259222.48000002</v>
      </c>
      <c r="F877" s="8" t="s">
        <v>920</v>
      </c>
      <c r="G877" s="8" t="s">
        <v>400</v>
      </c>
      <c r="H877" s="40" t="s">
        <v>5135</v>
      </c>
    </row>
    <row r="878" spans="1:9">
      <c r="A878" s="13">
        <v>45902</v>
      </c>
      <c r="B878" s="8" t="s">
        <v>7197</v>
      </c>
      <c r="C878" s="54">
        <f>51940000+D879</f>
        <v>53000000</v>
      </c>
      <c r="D878" s="54">
        <v>0</v>
      </c>
      <c r="E878" s="54">
        <f t="shared" si="20"/>
        <v>344259222.48000002</v>
      </c>
      <c r="F878" s="8" t="s">
        <v>4</v>
      </c>
      <c r="G878" s="8" t="s">
        <v>5</v>
      </c>
      <c r="H878" s="40" t="s">
        <v>3440</v>
      </c>
    </row>
    <row r="879" spans="1:9" s="8" customFormat="1">
      <c r="A879" s="13">
        <v>45902</v>
      </c>
      <c r="B879" s="8" t="s">
        <v>7197</v>
      </c>
      <c r="C879" s="54">
        <v>0</v>
      </c>
      <c r="D879" s="54">
        <v>1060000</v>
      </c>
      <c r="E879" s="14">
        <f t="shared" si="20"/>
        <v>345319222.48000002</v>
      </c>
      <c r="F879" s="8" t="s">
        <v>920</v>
      </c>
      <c r="G879" s="8" t="s">
        <v>4242</v>
      </c>
      <c r="H879" s="8" t="s">
        <v>88</v>
      </c>
      <c r="I879" s="8" t="s">
        <v>4564</v>
      </c>
    </row>
    <row r="880" spans="1:9">
      <c r="A880" s="13">
        <v>45902</v>
      </c>
      <c r="B880" s="8" t="s">
        <v>7196</v>
      </c>
      <c r="C880" s="54">
        <f>80850000+D881</f>
        <v>82500000</v>
      </c>
      <c r="D880" s="54">
        <v>0</v>
      </c>
      <c r="E880" s="54">
        <f t="shared" si="20"/>
        <v>262819222.48000002</v>
      </c>
      <c r="F880" s="8" t="s">
        <v>4</v>
      </c>
      <c r="G880" s="8" t="s">
        <v>5</v>
      </c>
      <c r="H880" s="40" t="s">
        <v>3440</v>
      </c>
    </row>
    <row r="881" spans="1:9">
      <c r="A881" s="13">
        <v>45902</v>
      </c>
      <c r="B881" s="8" t="s">
        <v>7196</v>
      </c>
      <c r="C881" s="54">
        <v>0</v>
      </c>
      <c r="D881" s="54">
        <v>1650000</v>
      </c>
      <c r="E881" s="14">
        <f t="shared" si="20"/>
        <v>264469222.48000002</v>
      </c>
      <c r="F881" s="40" t="s">
        <v>920</v>
      </c>
      <c r="G881" s="40" t="s">
        <v>4242</v>
      </c>
      <c r="H881" s="40" t="s">
        <v>88</v>
      </c>
      <c r="I881" s="40" t="s">
        <v>4563</v>
      </c>
    </row>
    <row r="882" spans="1:9">
      <c r="A882" s="13">
        <v>45902</v>
      </c>
      <c r="B882" s="8" t="s">
        <v>3488</v>
      </c>
      <c r="C882" s="14">
        <v>3500000</v>
      </c>
      <c r="D882" s="14">
        <v>0</v>
      </c>
      <c r="E882" s="14">
        <f t="shared" si="20"/>
        <v>260969222.48000002</v>
      </c>
      <c r="F882" s="8" t="s">
        <v>4</v>
      </c>
      <c r="G882" s="8" t="s">
        <v>5</v>
      </c>
      <c r="H882" s="40" t="s">
        <v>3457</v>
      </c>
    </row>
    <row r="883" spans="1:9">
      <c r="A883" s="13">
        <v>45902</v>
      </c>
      <c r="B883" s="8" t="s">
        <v>5376</v>
      </c>
      <c r="C883" s="14">
        <v>2491000</v>
      </c>
      <c r="D883" s="14">
        <v>0</v>
      </c>
      <c r="E883" s="14">
        <f t="shared" si="20"/>
        <v>258478222.48000002</v>
      </c>
      <c r="F883" s="8" t="s">
        <v>4</v>
      </c>
      <c r="G883" s="8" t="s">
        <v>5</v>
      </c>
      <c r="H883" s="40" t="s">
        <v>1634</v>
      </c>
    </row>
    <row r="884" spans="1:9" s="8" customFormat="1">
      <c r="A884" s="13">
        <v>45903</v>
      </c>
      <c r="B884" s="8" t="s">
        <v>3489</v>
      </c>
      <c r="C884" s="14">
        <v>15145000</v>
      </c>
      <c r="D884" s="14">
        <v>0</v>
      </c>
      <c r="E884" s="14">
        <f t="shared" si="20"/>
        <v>243333222.48000002</v>
      </c>
      <c r="F884" s="8" t="s">
        <v>6</v>
      </c>
      <c r="G884" s="8" t="s">
        <v>7</v>
      </c>
      <c r="H884" s="8" t="s">
        <v>4612</v>
      </c>
    </row>
    <row r="885" spans="1:9">
      <c r="A885" s="13">
        <v>45908</v>
      </c>
      <c r="B885" s="8" t="s">
        <v>3490</v>
      </c>
      <c r="C885" s="14">
        <v>4769000</v>
      </c>
      <c r="D885" s="14">
        <v>0</v>
      </c>
      <c r="E885" s="14">
        <f t="shared" si="20"/>
        <v>238564222.48000002</v>
      </c>
      <c r="F885" s="8" t="s">
        <v>1212</v>
      </c>
      <c r="G885" t="s">
        <v>367</v>
      </c>
      <c r="H885" t="s">
        <v>3020</v>
      </c>
    </row>
    <row r="886" spans="1:9">
      <c r="A886" s="13">
        <v>45909</v>
      </c>
      <c r="B886" s="8" t="s">
        <v>3491</v>
      </c>
      <c r="C886" s="54">
        <v>50050000</v>
      </c>
      <c r="D886" s="54">
        <v>0</v>
      </c>
      <c r="E886" s="14">
        <f t="shared" si="20"/>
        <v>188514222.48000002</v>
      </c>
      <c r="F886" s="8" t="s">
        <v>10</v>
      </c>
      <c r="G886" s="8" t="s">
        <v>446</v>
      </c>
      <c r="H886" s="40" t="s">
        <v>3470</v>
      </c>
      <c r="I886" s="40" t="s">
        <v>26</v>
      </c>
    </row>
    <row r="887" spans="1:9">
      <c r="A887" s="13">
        <v>45909</v>
      </c>
      <c r="B887" s="8" t="s">
        <v>3492</v>
      </c>
      <c r="C887" s="14">
        <v>620000</v>
      </c>
      <c r="D887" s="14">
        <v>0</v>
      </c>
      <c r="E887" s="14">
        <f t="shared" si="20"/>
        <v>187894222.48000002</v>
      </c>
      <c r="F887" t="s">
        <v>21</v>
      </c>
      <c r="G887" t="s">
        <v>187</v>
      </c>
    </row>
    <row r="888" spans="1:9">
      <c r="A888" s="13">
        <v>45909</v>
      </c>
      <c r="B888" s="8" t="s">
        <v>378</v>
      </c>
      <c r="C888" s="14">
        <v>9593978</v>
      </c>
      <c r="D888" s="14">
        <v>0</v>
      </c>
      <c r="E888" s="14">
        <f t="shared" si="20"/>
        <v>178300244.48000002</v>
      </c>
      <c r="F888" t="s">
        <v>920</v>
      </c>
      <c r="G888" t="s">
        <v>376</v>
      </c>
    </row>
    <row r="889" spans="1:9">
      <c r="A889" s="13">
        <v>45909</v>
      </c>
      <c r="B889" s="8" t="s">
        <v>7100</v>
      </c>
      <c r="C889" s="54">
        <v>3500000</v>
      </c>
      <c r="D889" s="54">
        <v>0</v>
      </c>
      <c r="E889" s="14">
        <f t="shared" si="20"/>
        <v>174800244.48000002</v>
      </c>
      <c r="F889" t="s">
        <v>8</v>
      </c>
      <c r="G889" s="8" t="s">
        <v>32</v>
      </c>
    </row>
    <row r="890" spans="1:9">
      <c r="A890" s="13">
        <v>45909</v>
      </c>
      <c r="B890" s="8" t="s">
        <v>7100</v>
      </c>
      <c r="C890" s="54">
        <v>385000</v>
      </c>
      <c r="D890" s="54">
        <v>0</v>
      </c>
      <c r="E890" s="14">
        <f t="shared" si="20"/>
        <v>174415244.48000002</v>
      </c>
      <c r="F890" t="s">
        <v>920</v>
      </c>
      <c r="G890" t="s">
        <v>7855</v>
      </c>
      <c r="H890" t="s">
        <v>7032</v>
      </c>
      <c r="I890" t="s">
        <v>4563</v>
      </c>
    </row>
    <row r="891" spans="1:9" s="8" customFormat="1">
      <c r="A891" s="13">
        <v>45909</v>
      </c>
      <c r="B891" s="8" t="s">
        <v>7100</v>
      </c>
      <c r="C891" s="54">
        <v>0</v>
      </c>
      <c r="D891" s="54">
        <f>C889+C890-3815000</f>
        <v>70000</v>
      </c>
      <c r="E891" s="14">
        <f t="shared" si="20"/>
        <v>174485244.48000002</v>
      </c>
      <c r="F891" s="8" t="s">
        <v>920</v>
      </c>
      <c r="G891" s="8" t="s">
        <v>4242</v>
      </c>
      <c r="H891" s="8" t="s">
        <v>88</v>
      </c>
      <c r="I891" s="8" t="s">
        <v>4563</v>
      </c>
    </row>
    <row r="892" spans="1:9">
      <c r="A892" s="13">
        <v>45909</v>
      </c>
      <c r="B892" s="8" t="s">
        <v>3493</v>
      </c>
      <c r="C892" s="14">
        <v>933100</v>
      </c>
      <c r="D892" s="14">
        <v>0</v>
      </c>
      <c r="E892" s="14">
        <f t="shared" si="20"/>
        <v>173552144.48000002</v>
      </c>
      <c r="F892" t="s">
        <v>21</v>
      </c>
      <c r="G892" t="s">
        <v>187</v>
      </c>
    </row>
    <row r="893" spans="1:9">
      <c r="A893" s="13">
        <v>45909</v>
      </c>
      <c r="B893" s="8" t="s">
        <v>5374</v>
      </c>
      <c r="C893" s="14">
        <v>750100</v>
      </c>
      <c r="D893" s="14">
        <v>0</v>
      </c>
      <c r="E893" s="14">
        <f t="shared" si="20"/>
        <v>172802044.48000002</v>
      </c>
      <c r="F893" s="8" t="s">
        <v>4</v>
      </c>
      <c r="G893" s="8" t="s">
        <v>5</v>
      </c>
      <c r="H893" s="40" t="s">
        <v>2238</v>
      </c>
    </row>
    <row r="894" spans="1:9">
      <c r="A894" s="13">
        <v>45909</v>
      </c>
      <c r="B894" s="8" t="s">
        <v>3494</v>
      </c>
      <c r="C894" s="14">
        <v>3000000</v>
      </c>
      <c r="D894" s="14">
        <v>0</v>
      </c>
      <c r="E894" s="14">
        <f t="shared" si="20"/>
        <v>169802044.48000002</v>
      </c>
      <c r="F894" s="8" t="s">
        <v>920</v>
      </c>
      <c r="G894" s="8" t="s">
        <v>400</v>
      </c>
      <c r="H894" s="8" t="s">
        <v>5620</v>
      </c>
    </row>
    <row r="895" spans="1:9">
      <c r="A895" s="13">
        <v>45909</v>
      </c>
      <c r="B895" s="8" t="s">
        <v>3495</v>
      </c>
      <c r="C895" s="14">
        <v>2495000</v>
      </c>
      <c r="D895" s="14">
        <v>0</v>
      </c>
      <c r="E895" s="14">
        <f t="shared" si="20"/>
        <v>167307044.48000002</v>
      </c>
      <c r="F895" s="8" t="s">
        <v>1212</v>
      </c>
      <c r="G895" t="s">
        <v>367</v>
      </c>
      <c r="H895" t="s">
        <v>3020</v>
      </c>
    </row>
    <row r="896" spans="1:9">
      <c r="A896" s="13">
        <v>45911</v>
      </c>
      <c r="B896" s="8" t="s">
        <v>3496</v>
      </c>
      <c r="C896" s="14">
        <v>4750000</v>
      </c>
      <c r="D896" s="14">
        <v>0</v>
      </c>
      <c r="E896" s="14">
        <f t="shared" si="20"/>
        <v>162557044.48000002</v>
      </c>
      <c r="F896" s="8" t="s">
        <v>1212</v>
      </c>
      <c r="G896" t="s">
        <v>367</v>
      </c>
      <c r="H896" t="s">
        <v>3020</v>
      </c>
    </row>
    <row r="897" spans="1:9">
      <c r="A897" s="13">
        <v>45911</v>
      </c>
      <c r="B897" s="8" t="s">
        <v>3497</v>
      </c>
      <c r="C897" s="14">
        <v>0</v>
      </c>
      <c r="D897" s="14">
        <v>250000000</v>
      </c>
      <c r="E897" s="14">
        <f t="shared" si="20"/>
        <v>412557044.48000002</v>
      </c>
      <c r="F897" t="s">
        <v>920</v>
      </c>
      <c r="G897" t="s">
        <v>4237</v>
      </c>
    </row>
    <row r="898" spans="1:9">
      <c r="A898" s="13">
        <v>45916</v>
      </c>
      <c r="B898" s="8" t="s">
        <v>3498</v>
      </c>
      <c r="C898" s="14">
        <v>0</v>
      </c>
      <c r="D898" s="14">
        <v>696281701</v>
      </c>
      <c r="E898" s="14">
        <f t="shared" si="20"/>
        <v>1108838745.48</v>
      </c>
      <c r="F898" t="s">
        <v>2140</v>
      </c>
      <c r="G898" t="s">
        <v>2141</v>
      </c>
      <c r="H898" t="s">
        <v>3232</v>
      </c>
      <c r="I898" t="s">
        <v>3452</v>
      </c>
    </row>
    <row r="899" spans="1:9">
      <c r="A899" s="13">
        <v>45917</v>
      </c>
      <c r="B899" s="8" t="s">
        <v>3499</v>
      </c>
      <c r="C899" s="14">
        <v>2386300</v>
      </c>
      <c r="D899" s="14">
        <v>0</v>
      </c>
      <c r="E899" s="14">
        <f t="shared" si="20"/>
        <v>1106452445.48</v>
      </c>
      <c r="F899" t="s">
        <v>8</v>
      </c>
      <c r="G899" t="s">
        <v>78</v>
      </c>
    </row>
    <row r="900" spans="1:9">
      <c r="A900" s="13">
        <v>45917</v>
      </c>
      <c r="B900" s="8" t="s">
        <v>3500</v>
      </c>
      <c r="C900" s="14">
        <v>1900000</v>
      </c>
      <c r="D900" s="14">
        <v>0</v>
      </c>
      <c r="E900" s="14">
        <f t="shared" si="20"/>
        <v>1104552445.48</v>
      </c>
      <c r="F900" t="s">
        <v>8</v>
      </c>
      <c r="G900" t="s">
        <v>78</v>
      </c>
    </row>
    <row r="901" spans="1:9">
      <c r="A901" s="13">
        <v>45917</v>
      </c>
      <c r="B901" s="8" t="s">
        <v>3501</v>
      </c>
      <c r="C901" s="14">
        <v>660000</v>
      </c>
      <c r="D901" s="14">
        <v>0</v>
      </c>
      <c r="E901" s="14">
        <f t="shared" si="20"/>
        <v>1103892445.48</v>
      </c>
      <c r="F901" s="8" t="s">
        <v>1212</v>
      </c>
      <c r="G901" t="s">
        <v>367</v>
      </c>
      <c r="H901" t="s">
        <v>3020</v>
      </c>
    </row>
    <row r="902" spans="1:9">
      <c r="A902" s="13">
        <v>45917</v>
      </c>
      <c r="B902" s="8" t="s">
        <v>7099</v>
      </c>
      <c r="C902" s="54">
        <v>675676</v>
      </c>
      <c r="D902" s="54">
        <v>0</v>
      </c>
      <c r="E902" s="54">
        <f t="shared" si="20"/>
        <v>1103216769.48</v>
      </c>
      <c r="F902" t="s">
        <v>8</v>
      </c>
      <c r="G902" t="s">
        <v>9</v>
      </c>
    </row>
    <row r="903" spans="1:9">
      <c r="A903" s="13">
        <v>45917</v>
      </c>
      <c r="B903" s="8" t="s">
        <v>7099</v>
      </c>
      <c r="C903" s="54">
        <v>74324</v>
      </c>
      <c r="D903" s="54">
        <v>0</v>
      </c>
      <c r="E903" s="54">
        <f t="shared" si="20"/>
        <v>1103142445.48</v>
      </c>
      <c r="F903" t="s">
        <v>920</v>
      </c>
      <c r="G903" t="s">
        <v>7855</v>
      </c>
      <c r="H903" t="s">
        <v>7032</v>
      </c>
      <c r="I903" t="s">
        <v>4563</v>
      </c>
    </row>
    <row r="904" spans="1:9">
      <c r="A904" s="13">
        <v>45917</v>
      </c>
      <c r="B904" s="8" t="s">
        <v>7099</v>
      </c>
      <c r="C904" s="54">
        <v>0</v>
      </c>
      <c r="D904" s="54">
        <f>C902+C903-736486</f>
        <v>13514</v>
      </c>
      <c r="E904" s="54">
        <f t="shared" si="20"/>
        <v>1103155959.48</v>
      </c>
      <c r="F904" t="s">
        <v>920</v>
      </c>
      <c r="G904" t="s">
        <v>4242</v>
      </c>
      <c r="H904" t="s">
        <v>88</v>
      </c>
      <c r="I904" t="s">
        <v>4563</v>
      </c>
    </row>
    <row r="905" spans="1:9">
      <c r="A905" s="13">
        <v>45917</v>
      </c>
      <c r="B905" s="8" t="s">
        <v>5368</v>
      </c>
      <c r="C905" s="54">
        <v>14021500</v>
      </c>
      <c r="D905" s="54">
        <v>0</v>
      </c>
      <c r="E905" s="14">
        <f t="shared" si="20"/>
        <v>1089134459.48</v>
      </c>
      <c r="F905" s="8" t="s">
        <v>10</v>
      </c>
      <c r="G905" s="8" t="s">
        <v>446</v>
      </c>
      <c r="H905" s="40" t="s">
        <v>4086</v>
      </c>
      <c r="I905" s="40" t="s">
        <v>26</v>
      </c>
    </row>
    <row r="906" spans="1:9">
      <c r="A906" s="13">
        <v>45917</v>
      </c>
      <c r="B906" s="8" t="s">
        <v>3502</v>
      </c>
      <c r="C906" s="14">
        <v>1927000</v>
      </c>
      <c r="D906" s="14">
        <v>0</v>
      </c>
      <c r="E906" s="14">
        <f t="shared" si="20"/>
        <v>1087207459.48</v>
      </c>
      <c r="F906" s="8" t="s">
        <v>1212</v>
      </c>
      <c r="G906" t="s">
        <v>367</v>
      </c>
      <c r="H906" t="s">
        <v>3020</v>
      </c>
    </row>
    <row r="907" spans="1:9">
      <c r="A907" s="13">
        <v>45917</v>
      </c>
      <c r="B907" s="8" t="s">
        <v>3503</v>
      </c>
      <c r="C907" s="14">
        <v>1250000</v>
      </c>
      <c r="D907" s="14">
        <v>0</v>
      </c>
      <c r="E907" s="14">
        <f t="shared" si="20"/>
        <v>1085957459.48</v>
      </c>
      <c r="F907" s="8" t="s">
        <v>1212</v>
      </c>
      <c r="G907" t="s">
        <v>367</v>
      </c>
      <c r="H907" t="s">
        <v>3020</v>
      </c>
    </row>
    <row r="908" spans="1:9">
      <c r="A908" s="13">
        <v>45917</v>
      </c>
      <c r="B908" s="8" t="s">
        <v>3504</v>
      </c>
      <c r="C908" s="14">
        <v>1250000</v>
      </c>
      <c r="D908" s="14">
        <v>0</v>
      </c>
      <c r="E908" s="14">
        <f t="shared" si="20"/>
        <v>1084707459.48</v>
      </c>
      <c r="F908" t="s">
        <v>8</v>
      </c>
      <c r="G908" t="s">
        <v>180</v>
      </c>
      <c r="H908" t="s">
        <v>26</v>
      </c>
    </row>
    <row r="909" spans="1:9">
      <c r="A909" s="13">
        <v>45917</v>
      </c>
      <c r="B909" s="8" t="s">
        <v>3505</v>
      </c>
      <c r="C909" s="14">
        <v>176350</v>
      </c>
      <c r="D909" s="14">
        <v>0</v>
      </c>
      <c r="E909" s="14">
        <f t="shared" si="20"/>
        <v>1084531109.48</v>
      </c>
      <c r="F909" t="s">
        <v>8</v>
      </c>
      <c r="G909" t="s">
        <v>78</v>
      </c>
    </row>
    <row r="910" spans="1:9">
      <c r="A910" s="13">
        <v>45917</v>
      </c>
      <c r="B910" s="8" t="s">
        <v>3506</v>
      </c>
      <c r="C910" s="14">
        <v>66936</v>
      </c>
      <c r="D910" s="14">
        <v>0</v>
      </c>
      <c r="E910" s="14">
        <f t="shared" si="20"/>
        <v>1084464173.48</v>
      </c>
      <c r="F910" t="s">
        <v>8</v>
      </c>
      <c r="G910" t="s">
        <v>31</v>
      </c>
    </row>
    <row r="911" spans="1:9">
      <c r="A911" s="13">
        <v>45917</v>
      </c>
      <c r="B911" s="8" t="s">
        <v>3507</v>
      </c>
      <c r="C911" s="14">
        <v>66936</v>
      </c>
      <c r="D911" s="14">
        <v>0</v>
      </c>
      <c r="E911" s="14">
        <f t="shared" si="20"/>
        <v>1084397237.48</v>
      </c>
      <c r="F911" t="s">
        <v>8</v>
      </c>
      <c r="G911" t="s">
        <v>31</v>
      </c>
    </row>
    <row r="912" spans="1:9">
      <c r="A912" s="13">
        <v>45917</v>
      </c>
      <c r="B912" s="8" t="s">
        <v>3508</v>
      </c>
      <c r="C912" s="14">
        <v>66936</v>
      </c>
      <c r="D912" s="14">
        <v>0</v>
      </c>
      <c r="E912" s="14">
        <f t="shared" si="20"/>
        <v>1084330301.48</v>
      </c>
      <c r="F912" t="s">
        <v>8</v>
      </c>
      <c r="G912" t="s">
        <v>31</v>
      </c>
    </row>
    <row r="913" spans="1:9">
      <c r="A913" s="13">
        <v>45917</v>
      </c>
      <c r="B913" s="8" t="s">
        <v>3509</v>
      </c>
      <c r="C913" s="14">
        <v>66936</v>
      </c>
      <c r="D913" s="14">
        <v>0</v>
      </c>
      <c r="E913" s="14">
        <f t="shared" si="20"/>
        <v>1084263365.48</v>
      </c>
      <c r="F913" t="s">
        <v>8</v>
      </c>
      <c r="G913" t="s">
        <v>31</v>
      </c>
    </row>
    <row r="914" spans="1:9">
      <c r="A914" s="13">
        <v>45917</v>
      </c>
      <c r="B914" s="8" t="s">
        <v>3510</v>
      </c>
      <c r="C914" s="14">
        <v>70266</v>
      </c>
      <c r="D914" s="14">
        <v>0</v>
      </c>
      <c r="E914" s="14">
        <f t="shared" si="20"/>
        <v>1084193099.48</v>
      </c>
      <c r="F914" t="s">
        <v>8</v>
      </c>
      <c r="G914" t="s">
        <v>31</v>
      </c>
    </row>
    <row r="915" spans="1:9">
      <c r="A915" s="13">
        <v>45917</v>
      </c>
      <c r="B915" s="8" t="s">
        <v>3511</v>
      </c>
      <c r="C915" s="14">
        <v>66936</v>
      </c>
      <c r="D915" s="14">
        <v>0</v>
      </c>
      <c r="E915" s="14">
        <f t="shared" si="20"/>
        <v>1084126163.48</v>
      </c>
      <c r="F915" t="s">
        <v>8</v>
      </c>
      <c r="G915" t="s">
        <v>31</v>
      </c>
    </row>
    <row r="916" spans="1:9">
      <c r="A916" s="13">
        <v>45917</v>
      </c>
      <c r="B916" s="8" t="s">
        <v>3512</v>
      </c>
      <c r="C916" s="14">
        <v>75883</v>
      </c>
      <c r="D916" s="14">
        <v>0</v>
      </c>
      <c r="E916" s="14">
        <f t="shared" si="20"/>
        <v>1084050280.48</v>
      </c>
      <c r="F916" t="s">
        <v>8</v>
      </c>
      <c r="G916" t="s">
        <v>31</v>
      </c>
    </row>
    <row r="917" spans="1:9">
      <c r="A917" s="13">
        <v>45923</v>
      </c>
      <c r="B917" s="8" t="s">
        <v>3513</v>
      </c>
      <c r="C917" s="14">
        <v>8400000</v>
      </c>
      <c r="D917" s="14">
        <v>0</v>
      </c>
      <c r="E917" s="14">
        <f t="shared" si="20"/>
        <v>1075650280.48</v>
      </c>
      <c r="F917" s="8" t="s">
        <v>4</v>
      </c>
      <c r="G917" s="8" t="s">
        <v>5</v>
      </c>
      <c r="H917" s="40" t="s">
        <v>4077</v>
      </c>
      <c r="I917" s="40" t="s">
        <v>26</v>
      </c>
    </row>
    <row r="918" spans="1:9">
      <c r="A918" s="13">
        <v>45923</v>
      </c>
      <c r="B918" s="8" t="s">
        <v>3514</v>
      </c>
      <c r="C918" s="54">
        <v>550000</v>
      </c>
      <c r="D918" s="54">
        <v>0</v>
      </c>
      <c r="E918" s="14">
        <f t="shared" si="20"/>
        <v>1075100280.48</v>
      </c>
      <c r="F918" s="8" t="s">
        <v>10</v>
      </c>
      <c r="G918" s="8" t="s">
        <v>446</v>
      </c>
      <c r="H918" s="40" t="s">
        <v>4086</v>
      </c>
      <c r="I918" s="40" t="s">
        <v>26</v>
      </c>
    </row>
    <row r="919" spans="1:9">
      <c r="A919" s="13">
        <v>45923</v>
      </c>
      <c r="B919" s="8" t="s">
        <v>3515</v>
      </c>
      <c r="C919" s="54">
        <v>4182300</v>
      </c>
      <c r="D919" s="54">
        <v>0</v>
      </c>
      <c r="E919" s="14">
        <f t="shared" si="20"/>
        <v>1070917980.48</v>
      </c>
      <c r="F919" s="8" t="s">
        <v>10</v>
      </c>
      <c r="G919" s="8" t="s">
        <v>446</v>
      </c>
      <c r="H919" s="40" t="s">
        <v>4086</v>
      </c>
      <c r="I919" s="40" t="s">
        <v>26</v>
      </c>
    </row>
    <row r="920" spans="1:9" s="8" customFormat="1">
      <c r="A920" s="13">
        <v>45923</v>
      </c>
      <c r="B920" s="8" t="s">
        <v>7139</v>
      </c>
      <c r="C920" s="54">
        <v>5777000</v>
      </c>
      <c r="D920" s="54">
        <v>0</v>
      </c>
      <c r="E920" s="54">
        <f t="shared" si="20"/>
        <v>1065140980.48</v>
      </c>
      <c r="F920" s="8" t="s">
        <v>8</v>
      </c>
      <c r="G920" s="8" t="s">
        <v>14</v>
      </c>
    </row>
    <row r="921" spans="1:9" s="8" customFormat="1">
      <c r="A921" s="13">
        <v>45923</v>
      </c>
      <c r="B921" s="8" t="s">
        <v>7139</v>
      </c>
      <c r="C921" s="54">
        <v>115540</v>
      </c>
      <c r="D921" s="54">
        <v>0</v>
      </c>
      <c r="E921" s="54">
        <f t="shared" si="20"/>
        <v>1065025440.48</v>
      </c>
      <c r="F921" s="8" t="s">
        <v>8</v>
      </c>
      <c r="G921" s="8" t="s">
        <v>14</v>
      </c>
    </row>
    <row r="922" spans="1:9" s="8" customFormat="1">
      <c r="A922" s="13">
        <v>45923</v>
      </c>
      <c r="B922" s="8" t="s">
        <v>7139</v>
      </c>
      <c r="C922" s="54">
        <v>0</v>
      </c>
      <c r="D922" s="54">
        <f>C920+C921-5777000</f>
        <v>115540</v>
      </c>
      <c r="E922" s="54">
        <f t="shared" si="20"/>
        <v>1065140980.48</v>
      </c>
      <c r="F922" s="8" t="s">
        <v>920</v>
      </c>
      <c r="G922" s="8" t="s">
        <v>4242</v>
      </c>
      <c r="H922" s="8" t="s">
        <v>88</v>
      </c>
      <c r="I922" s="8" t="s">
        <v>4563</v>
      </c>
    </row>
    <row r="923" spans="1:9">
      <c r="A923" s="13">
        <v>45923</v>
      </c>
      <c r="B923" s="8" t="s">
        <v>3516</v>
      </c>
      <c r="C923" s="54">
        <v>23512500</v>
      </c>
      <c r="D923" s="54">
        <v>0</v>
      </c>
      <c r="E923" s="14">
        <f t="shared" si="20"/>
        <v>1041628480.48</v>
      </c>
      <c r="F923" s="8" t="s">
        <v>10</v>
      </c>
      <c r="G923" s="8" t="s">
        <v>446</v>
      </c>
      <c r="H923" s="40" t="s">
        <v>3470</v>
      </c>
      <c r="I923" s="40" t="s">
        <v>26</v>
      </c>
    </row>
    <row r="924" spans="1:9">
      <c r="A924" s="13">
        <v>45923</v>
      </c>
      <c r="B924" s="8" t="s">
        <v>3517</v>
      </c>
      <c r="C924" s="54">
        <v>3240000</v>
      </c>
      <c r="D924" s="54">
        <v>0</v>
      </c>
      <c r="E924" s="14">
        <f t="shared" si="20"/>
        <v>1038388480.48</v>
      </c>
      <c r="F924" s="8" t="s">
        <v>10</v>
      </c>
      <c r="G924" s="8" t="s">
        <v>446</v>
      </c>
      <c r="H924" s="40" t="s">
        <v>4087</v>
      </c>
      <c r="I924" s="40" t="s">
        <v>26</v>
      </c>
    </row>
    <row r="925" spans="1:9">
      <c r="A925" s="13">
        <v>45930</v>
      </c>
      <c r="B925" s="8" t="s">
        <v>3518</v>
      </c>
      <c r="C925" s="54">
        <v>2400000</v>
      </c>
      <c r="D925" s="54">
        <v>0</v>
      </c>
      <c r="E925" s="14">
        <f t="shared" si="20"/>
        <v>1035988480.48</v>
      </c>
      <c r="F925" s="8" t="s">
        <v>10</v>
      </c>
      <c r="G925" s="8" t="s">
        <v>446</v>
      </c>
      <c r="H925" s="40" t="s">
        <v>4093</v>
      </c>
      <c r="I925" s="40" t="s">
        <v>26</v>
      </c>
    </row>
    <row r="926" spans="1:9">
      <c r="A926" s="13">
        <v>45930</v>
      </c>
      <c r="B926" s="8" t="s">
        <v>3519</v>
      </c>
      <c r="C926" s="14">
        <v>38680000</v>
      </c>
      <c r="D926" s="14">
        <v>0</v>
      </c>
      <c r="E926" s="14">
        <f t="shared" si="20"/>
        <v>997308480.48000002</v>
      </c>
      <c r="F926" s="8" t="s">
        <v>4</v>
      </c>
      <c r="G926" s="8" t="s">
        <v>5</v>
      </c>
      <c r="H926" s="40" t="s">
        <v>4097</v>
      </c>
    </row>
    <row r="927" spans="1:9">
      <c r="A927" s="13">
        <v>45930</v>
      </c>
      <c r="B927" s="8" t="s">
        <v>2791</v>
      </c>
      <c r="C927" s="14">
        <v>815000</v>
      </c>
      <c r="D927" s="14">
        <v>0</v>
      </c>
      <c r="E927" s="14">
        <f t="shared" si="20"/>
        <v>996493480.48000002</v>
      </c>
      <c r="F927" t="s">
        <v>21</v>
      </c>
      <c r="G927" t="s">
        <v>187</v>
      </c>
    </row>
    <row r="928" spans="1:9">
      <c r="A928" s="13">
        <v>45930</v>
      </c>
      <c r="B928" s="8" t="s">
        <v>3520</v>
      </c>
      <c r="C928" s="54">
        <v>23101903</v>
      </c>
      <c r="D928" s="54">
        <v>0</v>
      </c>
      <c r="E928" s="54">
        <f t="shared" si="20"/>
        <v>973391577.48000002</v>
      </c>
      <c r="F928" s="8" t="s">
        <v>10</v>
      </c>
      <c r="G928" s="8" t="s">
        <v>446</v>
      </c>
      <c r="H928" s="40" t="s">
        <v>4089</v>
      </c>
      <c r="I928" s="8" t="s">
        <v>26</v>
      </c>
    </row>
    <row r="929" spans="1:9">
      <c r="A929" s="13">
        <v>45930</v>
      </c>
      <c r="B929" s="8" t="s">
        <v>3521</v>
      </c>
      <c r="C929" s="54">
        <v>3202500</v>
      </c>
      <c r="D929" s="54">
        <v>0</v>
      </c>
      <c r="E929" s="54">
        <f t="shared" si="20"/>
        <v>970189077.48000002</v>
      </c>
      <c r="F929" s="8" t="s">
        <v>10</v>
      </c>
      <c r="G929" s="8" t="s">
        <v>446</v>
      </c>
      <c r="H929" s="40" t="s">
        <v>4087</v>
      </c>
      <c r="I929" s="40" t="s">
        <v>26</v>
      </c>
    </row>
    <row r="930" spans="1:9">
      <c r="A930" s="13">
        <v>45930</v>
      </c>
      <c r="B930" s="8" t="s">
        <v>5373</v>
      </c>
      <c r="C930" s="54">
        <v>701000</v>
      </c>
      <c r="D930" s="54">
        <v>0</v>
      </c>
      <c r="E930" s="54">
        <f t="shared" si="20"/>
        <v>969488077.48000002</v>
      </c>
      <c r="F930" s="8" t="s">
        <v>10</v>
      </c>
      <c r="G930" s="8" t="s">
        <v>446</v>
      </c>
      <c r="H930" s="40" t="s">
        <v>4086</v>
      </c>
      <c r="I930" s="40" t="s">
        <v>26</v>
      </c>
    </row>
    <row r="931" spans="1:9">
      <c r="A931" s="13">
        <v>45930</v>
      </c>
      <c r="B931" s="8" t="s">
        <v>3522</v>
      </c>
      <c r="C931" s="54">
        <v>2800000</v>
      </c>
      <c r="D931" s="54">
        <v>0</v>
      </c>
      <c r="E931" s="54">
        <f t="shared" si="20"/>
        <v>966688077.48000002</v>
      </c>
      <c r="F931" s="8" t="s">
        <v>10</v>
      </c>
      <c r="G931" s="8" t="s">
        <v>446</v>
      </c>
      <c r="H931" s="40" t="s">
        <v>4087</v>
      </c>
      <c r="I931" s="40" t="s">
        <v>26</v>
      </c>
    </row>
    <row r="932" spans="1:9">
      <c r="A932" s="13">
        <v>45930</v>
      </c>
      <c r="B932" s="8" t="s">
        <v>5642</v>
      </c>
      <c r="C932" s="14">
        <v>15000000</v>
      </c>
      <c r="D932" s="14">
        <v>0</v>
      </c>
      <c r="E932" s="14">
        <f t="shared" si="20"/>
        <v>951688077.48000002</v>
      </c>
      <c r="F932" t="s">
        <v>1400</v>
      </c>
      <c r="G932" t="s">
        <v>1400</v>
      </c>
    </row>
    <row r="933" spans="1:9" s="8" customFormat="1">
      <c r="A933" s="13">
        <v>45930</v>
      </c>
      <c r="B933" s="8" t="s">
        <v>3523</v>
      </c>
      <c r="C933" s="14">
        <v>15000000</v>
      </c>
      <c r="D933" s="14">
        <v>0</v>
      </c>
      <c r="E933" s="14">
        <f t="shared" si="20"/>
        <v>936688077.48000002</v>
      </c>
      <c r="F933" s="8" t="s">
        <v>920</v>
      </c>
      <c r="G933" s="8" t="s">
        <v>400</v>
      </c>
      <c r="H933" s="8" t="s">
        <v>5641</v>
      </c>
    </row>
    <row r="934" spans="1:9">
      <c r="A934" s="13">
        <v>45930</v>
      </c>
      <c r="B934" s="8" t="s">
        <v>3524</v>
      </c>
      <c r="C934" s="14">
        <v>60000000</v>
      </c>
      <c r="D934" s="14">
        <v>0</v>
      </c>
      <c r="E934" s="14">
        <f t="shared" si="20"/>
        <v>876688077.48000002</v>
      </c>
      <c r="F934" s="8" t="s">
        <v>920</v>
      </c>
      <c r="G934" s="8" t="s">
        <v>400</v>
      </c>
      <c r="H934" s="8" t="s">
        <v>5636</v>
      </c>
    </row>
    <row r="935" spans="1:9">
      <c r="A935" s="13">
        <v>45930</v>
      </c>
      <c r="B935" s="8" t="s">
        <v>334</v>
      </c>
      <c r="C935" s="14">
        <v>30000</v>
      </c>
      <c r="D935" s="14">
        <v>0</v>
      </c>
      <c r="E935" s="14">
        <f t="shared" si="20"/>
        <v>876658077.48000002</v>
      </c>
      <c r="F935" t="s">
        <v>19</v>
      </c>
      <c r="G935" t="s">
        <v>189</v>
      </c>
    </row>
    <row r="936" spans="1:9">
      <c r="A936" s="13">
        <v>45931</v>
      </c>
      <c r="B936" s="8" t="s">
        <v>3770</v>
      </c>
      <c r="C936" s="14">
        <v>0</v>
      </c>
      <c r="D936" s="14">
        <v>4486250</v>
      </c>
      <c r="E936" s="14">
        <f t="shared" si="20"/>
        <v>881144327.48000002</v>
      </c>
      <c r="F936" t="s">
        <v>2140</v>
      </c>
      <c r="G936" t="s">
        <v>2141</v>
      </c>
      <c r="H936" t="s">
        <v>1445</v>
      </c>
      <c r="I936" t="s">
        <v>4041</v>
      </c>
    </row>
    <row r="937" spans="1:9">
      <c r="A937" s="13">
        <v>45931</v>
      </c>
      <c r="B937" s="8" t="s">
        <v>3771</v>
      </c>
      <c r="C937" s="14">
        <v>0</v>
      </c>
      <c r="D937" s="14">
        <v>7333993</v>
      </c>
      <c r="E937" s="14">
        <f t="shared" si="20"/>
        <v>888478320.48000002</v>
      </c>
      <c r="F937" s="8" t="s">
        <v>920</v>
      </c>
      <c r="G937" s="8" t="s">
        <v>464</v>
      </c>
      <c r="H937" s="8" t="s">
        <v>5608</v>
      </c>
    </row>
    <row r="938" spans="1:9">
      <c r="A938" s="13">
        <v>45931</v>
      </c>
      <c r="B938" s="8" t="s">
        <v>3772</v>
      </c>
      <c r="C938" s="14">
        <v>4000000</v>
      </c>
      <c r="D938" s="14">
        <v>0</v>
      </c>
      <c r="E938" s="14">
        <f t="shared" si="20"/>
        <v>884478320.48000002</v>
      </c>
      <c r="F938" s="8" t="s">
        <v>4</v>
      </c>
      <c r="G938" s="8" t="s">
        <v>5</v>
      </c>
      <c r="H938" s="40" t="s">
        <v>4098</v>
      </c>
    </row>
    <row r="939" spans="1:9" s="8" customFormat="1">
      <c r="A939" s="13">
        <v>45931</v>
      </c>
      <c r="B939" s="8" t="s">
        <v>7098</v>
      </c>
      <c r="C939" s="54">
        <v>4600000</v>
      </c>
      <c r="D939" s="54">
        <v>0</v>
      </c>
      <c r="E939" s="54">
        <f t="shared" si="20"/>
        <v>879878320.48000002</v>
      </c>
      <c r="F939" s="8" t="s">
        <v>8</v>
      </c>
      <c r="G939" s="8" t="s">
        <v>14</v>
      </c>
    </row>
    <row r="940" spans="1:9">
      <c r="A940" s="13">
        <v>45931</v>
      </c>
      <c r="B940" s="8" t="s">
        <v>7098</v>
      </c>
      <c r="C940" s="54">
        <v>506000</v>
      </c>
      <c r="D940" s="54">
        <v>0</v>
      </c>
      <c r="E940" s="54">
        <f t="shared" si="20"/>
        <v>879372320.48000002</v>
      </c>
      <c r="F940" t="s">
        <v>920</v>
      </c>
      <c r="G940" t="s">
        <v>7855</v>
      </c>
      <c r="H940" t="s">
        <v>7032</v>
      </c>
      <c r="I940" t="s">
        <v>4563</v>
      </c>
    </row>
    <row r="941" spans="1:9">
      <c r="A941" s="13">
        <v>45931</v>
      </c>
      <c r="B941" s="8" t="s">
        <v>7098</v>
      </c>
      <c r="C941" s="54">
        <v>0</v>
      </c>
      <c r="D941" s="54">
        <f>C939+C940-5014000</f>
        <v>92000</v>
      </c>
      <c r="E941" s="54">
        <f t="shared" ref="E941:E945" si="21">E940-C941+D941</f>
        <v>879464320.48000002</v>
      </c>
      <c r="F941" t="s">
        <v>920</v>
      </c>
      <c r="G941" t="s">
        <v>4242</v>
      </c>
      <c r="H941" t="s">
        <v>88</v>
      </c>
      <c r="I941" t="s">
        <v>4563</v>
      </c>
    </row>
    <row r="942" spans="1:9">
      <c r="A942" s="13">
        <v>45931</v>
      </c>
      <c r="B942" s="8" t="s">
        <v>415</v>
      </c>
      <c r="C942" s="14">
        <v>9958067</v>
      </c>
      <c r="D942" s="14">
        <v>0</v>
      </c>
      <c r="E942" s="14">
        <f t="shared" si="21"/>
        <v>869506253.48000002</v>
      </c>
      <c r="F942" t="s">
        <v>920</v>
      </c>
      <c r="G942" t="s">
        <v>376</v>
      </c>
    </row>
    <row r="943" spans="1:9">
      <c r="A943" s="13">
        <v>45931</v>
      </c>
      <c r="B943" s="8" t="s">
        <v>3773</v>
      </c>
      <c r="C943" s="14">
        <v>5000000</v>
      </c>
      <c r="D943" s="14">
        <v>0</v>
      </c>
      <c r="E943" s="14">
        <f t="shared" si="21"/>
        <v>864506253.48000002</v>
      </c>
      <c r="F943" t="s">
        <v>920</v>
      </c>
      <c r="G943" t="s">
        <v>400</v>
      </c>
      <c r="H943" s="8" t="s">
        <v>5644</v>
      </c>
    </row>
    <row r="944" spans="1:9">
      <c r="A944" s="13">
        <v>45931</v>
      </c>
      <c r="B944" s="8" t="s">
        <v>3774</v>
      </c>
      <c r="C944" s="14">
        <v>250000000</v>
      </c>
      <c r="D944" s="14">
        <v>0</v>
      </c>
      <c r="E944" s="14">
        <f t="shared" si="21"/>
        <v>614506253.48000002</v>
      </c>
      <c r="F944" t="s">
        <v>920</v>
      </c>
      <c r="G944" t="s">
        <v>4241</v>
      </c>
    </row>
    <row r="945" spans="1:8">
      <c r="A945" s="13">
        <v>45931</v>
      </c>
      <c r="B945" s="8" t="s">
        <v>3775</v>
      </c>
      <c r="C945" s="14">
        <v>2500</v>
      </c>
      <c r="D945" s="14">
        <v>0</v>
      </c>
      <c r="E945" s="14">
        <f t="shared" si="21"/>
        <v>614503753.48000002</v>
      </c>
      <c r="F945" t="s">
        <v>19</v>
      </c>
      <c r="G945" t="s">
        <v>189</v>
      </c>
    </row>
    <row r="946" spans="1:8">
      <c r="A946" s="13">
        <v>45931</v>
      </c>
      <c r="B946" s="8" t="s">
        <v>3774</v>
      </c>
      <c r="C946" s="14">
        <v>250000000</v>
      </c>
      <c r="D946" s="14">
        <v>0</v>
      </c>
      <c r="E946" s="14">
        <f t="shared" ref="E946:E1011" si="22">E945-C946+D946</f>
        <v>364503753.48000002</v>
      </c>
      <c r="F946" t="s">
        <v>920</v>
      </c>
      <c r="G946" t="s">
        <v>4241</v>
      </c>
    </row>
    <row r="947" spans="1:8">
      <c r="A947" s="13">
        <v>45931</v>
      </c>
      <c r="B947" s="8" t="s">
        <v>3775</v>
      </c>
      <c r="C947" s="14">
        <v>2500</v>
      </c>
      <c r="D947" s="14">
        <v>0</v>
      </c>
      <c r="E947" s="14">
        <f t="shared" si="22"/>
        <v>364501253.48000002</v>
      </c>
      <c r="F947" t="s">
        <v>19</v>
      </c>
      <c r="G947" t="s">
        <v>189</v>
      </c>
    </row>
    <row r="948" spans="1:8">
      <c r="A948" s="13">
        <v>45931</v>
      </c>
      <c r="B948" s="8" t="s">
        <v>3774</v>
      </c>
      <c r="C948" s="14">
        <v>250000000</v>
      </c>
      <c r="D948" s="14">
        <v>0</v>
      </c>
      <c r="E948" s="14">
        <f t="shared" si="22"/>
        <v>114501253.48000002</v>
      </c>
      <c r="F948" t="s">
        <v>920</v>
      </c>
      <c r="G948" t="s">
        <v>4241</v>
      </c>
    </row>
    <row r="949" spans="1:8">
      <c r="A949" s="13">
        <v>45931</v>
      </c>
      <c r="B949" s="8" t="s">
        <v>3775</v>
      </c>
      <c r="C949" s="14">
        <v>2500</v>
      </c>
      <c r="D949" s="14">
        <v>0</v>
      </c>
      <c r="E949" s="14">
        <f t="shared" si="22"/>
        <v>114498753.48000002</v>
      </c>
      <c r="F949" t="s">
        <v>19</v>
      </c>
      <c r="G949" t="s">
        <v>189</v>
      </c>
    </row>
    <row r="950" spans="1:8">
      <c r="A950" s="13">
        <v>45931</v>
      </c>
      <c r="B950" s="8" t="s">
        <v>3774</v>
      </c>
      <c r="C950" s="14">
        <v>50000000</v>
      </c>
      <c r="D950" s="14">
        <v>0</v>
      </c>
      <c r="E950" s="14">
        <f t="shared" si="22"/>
        <v>64498753.480000019</v>
      </c>
      <c r="F950" t="s">
        <v>920</v>
      </c>
      <c r="G950" t="s">
        <v>4241</v>
      </c>
    </row>
    <row r="951" spans="1:8">
      <c r="A951" s="13">
        <v>45931</v>
      </c>
      <c r="B951" s="8" t="s">
        <v>3775</v>
      </c>
      <c r="C951" s="14">
        <v>2500</v>
      </c>
      <c r="D951" s="14">
        <v>0</v>
      </c>
      <c r="E951" s="14">
        <f t="shared" si="22"/>
        <v>64496253.480000019</v>
      </c>
      <c r="F951" t="s">
        <v>19</v>
      </c>
      <c r="G951" t="s">
        <v>189</v>
      </c>
    </row>
    <row r="952" spans="1:8">
      <c r="A952" s="13">
        <v>45931</v>
      </c>
      <c r="B952" s="8" t="s">
        <v>3776</v>
      </c>
      <c r="C952" s="14">
        <v>28589000</v>
      </c>
      <c r="D952" s="14">
        <v>0</v>
      </c>
      <c r="E952" s="14">
        <f t="shared" si="22"/>
        <v>35907253.480000019</v>
      </c>
      <c r="F952" t="s">
        <v>4</v>
      </c>
      <c r="G952" t="s">
        <v>5</v>
      </c>
      <c r="H952" s="40" t="s">
        <v>4097</v>
      </c>
    </row>
    <row r="953" spans="1:8">
      <c r="A953" s="13">
        <v>45932</v>
      </c>
      <c r="B953" s="8" t="s">
        <v>3777</v>
      </c>
      <c r="C953" s="14">
        <v>10000000</v>
      </c>
      <c r="D953" s="14">
        <v>0</v>
      </c>
      <c r="E953" s="14">
        <f t="shared" si="22"/>
        <v>25907253.480000019</v>
      </c>
      <c r="F953" s="8" t="s">
        <v>4</v>
      </c>
      <c r="G953" s="8" t="s">
        <v>5</v>
      </c>
      <c r="H953" s="40" t="s">
        <v>4098</v>
      </c>
    </row>
    <row r="954" spans="1:8">
      <c r="A954" s="13">
        <v>45932</v>
      </c>
      <c r="B954" s="8" t="s">
        <v>3778</v>
      </c>
      <c r="C954" s="14">
        <v>6500000</v>
      </c>
      <c r="D954" s="14">
        <v>0</v>
      </c>
      <c r="E954" s="14">
        <f t="shared" si="22"/>
        <v>19407253.480000019</v>
      </c>
      <c r="F954" s="8" t="s">
        <v>4</v>
      </c>
      <c r="G954" s="8" t="s">
        <v>5</v>
      </c>
      <c r="H954" s="40" t="s">
        <v>4098</v>
      </c>
    </row>
    <row r="955" spans="1:8">
      <c r="A955" s="13">
        <v>45933</v>
      </c>
      <c r="B955" s="8" t="s">
        <v>3774</v>
      </c>
      <c r="C955" s="14">
        <v>15000000</v>
      </c>
      <c r="D955" s="14">
        <v>0</v>
      </c>
      <c r="E955" s="14">
        <f t="shared" si="22"/>
        <v>4407253.4800000191</v>
      </c>
      <c r="F955" s="80" t="s">
        <v>920</v>
      </c>
      <c r="G955" t="s">
        <v>4241</v>
      </c>
    </row>
    <row r="956" spans="1:8">
      <c r="A956" s="13">
        <v>45933</v>
      </c>
      <c r="B956" s="8" t="s">
        <v>3775</v>
      </c>
      <c r="C956" s="14">
        <v>2500</v>
      </c>
      <c r="D956" s="14">
        <v>0</v>
      </c>
      <c r="E956" s="14">
        <f t="shared" si="22"/>
        <v>4404753.4800000191</v>
      </c>
      <c r="F956" t="s">
        <v>19</v>
      </c>
      <c r="G956" t="s">
        <v>189</v>
      </c>
    </row>
    <row r="957" spans="1:8">
      <c r="A957" s="13">
        <v>45936</v>
      </c>
      <c r="B957" s="8" t="s">
        <v>3779</v>
      </c>
      <c r="C957" s="14">
        <v>0</v>
      </c>
      <c r="D957" s="14">
        <v>250000000</v>
      </c>
      <c r="E957" s="14">
        <f t="shared" si="22"/>
        <v>254404753.48000002</v>
      </c>
      <c r="F957" s="80" t="s">
        <v>920</v>
      </c>
      <c r="G957" t="s">
        <v>4237</v>
      </c>
    </row>
    <row r="958" spans="1:8">
      <c r="A958" s="13">
        <v>45936</v>
      </c>
      <c r="B958" s="8" t="s">
        <v>3779</v>
      </c>
      <c r="C958" s="14">
        <v>0</v>
      </c>
      <c r="D958" s="14">
        <v>150000000</v>
      </c>
      <c r="E958" s="14">
        <f t="shared" si="22"/>
        <v>404404753.48000002</v>
      </c>
      <c r="F958" s="80" t="s">
        <v>920</v>
      </c>
      <c r="G958" t="s">
        <v>4237</v>
      </c>
    </row>
    <row r="959" spans="1:8">
      <c r="A959" s="13">
        <v>45936</v>
      </c>
      <c r="B959" s="8" t="s">
        <v>3780</v>
      </c>
      <c r="C959" s="14">
        <v>123182500</v>
      </c>
      <c r="D959" s="14">
        <v>0</v>
      </c>
      <c r="E959" s="14">
        <f t="shared" si="22"/>
        <v>281222253.48000002</v>
      </c>
      <c r="F959" s="8" t="s">
        <v>4</v>
      </c>
      <c r="G959" s="8" t="s">
        <v>5</v>
      </c>
      <c r="H959" s="40" t="s">
        <v>4098</v>
      </c>
    </row>
    <row r="960" spans="1:8">
      <c r="A960" s="13">
        <v>45936</v>
      </c>
      <c r="B960" s="8" t="s">
        <v>7115</v>
      </c>
      <c r="C960" s="54">
        <v>3500000</v>
      </c>
      <c r="D960" s="54">
        <v>0</v>
      </c>
      <c r="E960" s="14">
        <f t="shared" si="22"/>
        <v>277722253.48000002</v>
      </c>
      <c r="F960" s="80" t="s">
        <v>8</v>
      </c>
      <c r="G960" s="8" t="s">
        <v>32</v>
      </c>
    </row>
    <row r="961" spans="1:9">
      <c r="A961" s="13">
        <v>45936</v>
      </c>
      <c r="B961" s="8" t="s">
        <v>7115</v>
      </c>
      <c r="C961" s="54">
        <v>385000</v>
      </c>
      <c r="D961" s="54">
        <v>0</v>
      </c>
      <c r="E961" s="14">
        <f t="shared" si="22"/>
        <v>277337253.48000002</v>
      </c>
      <c r="F961" t="s">
        <v>920</v>
      </c>
      <c r="G961" t="s">
        <v>7855</v>
      </c>
      <c r="H961" t="s">
        <v>7032</v>
      </c>
      <c r="I961" t="s">
        <v>4564</v>
      </c>
    </row>
    <row r="962" spans="1:9" s="8" customFormat="1">
      <c r="A962" s="13">
        <v>45936</v>
      </c>
      <c r="B962" s="8" t="s">
        <v>7115</v>
      </c>
      <c r="C962" s="54">
        <v>0</v>
      </c>
      <c r="D962" s="54">
        <f>C960+C961-3815000</f>
        <v>70000</v>
      </c>
      <c r="E962" s="14">
        <f t="shared" si="22"/>
        <v>277407253.48000002</v>
      </c>
      <c r="F962" s="8" t="s">
        <v>920</v>
      </c>
      <c r="G962" s="8" t="s">
        <v>4242</v>
      </c>
      <c r="H962" s="8" t="s">
        <v>88</v>
      </c>
      <c r="I962" s="8" t="s">
        <v>4564</v>
      </c>
    </row>
    <row r="963" spans="1:9">
      <c r="A963" s="13">
        <v>45936</v>
      </c>
      <c r="B963" s="8" t="s">
        <v>7209</v>
      </c>
      <c r="C963" s="54">
        <v>132000000</v>
      </c>
      <c r="D963" s="54">
        <v>0</v>
      </c>
      <c r="E963" s="54">
        <f t="shared" si="22"/>
        <v>145407253.48000002</v>
      </c>
      <c r="F963" s="8" t="s">
        <v>4</v>
      </c>
      <c r="G963" s="8" t="s">
        <v>5</v>
      </c>
      <c r="H963" s="40" t="s">
        <v>4098</v>
      </c>
    </row>
    <row r="964" spans="1:9">
      <c r="A964" s="13">
        <v>45936</v>
      </c>
      <c r="B964" s="8" t="s">
        <v>7198</v>
      </c>
      <c r="C964" s="54">
        <v>0</v>
      </c>
      <c r="D964" s="54">
        <v>0</v>
      </c>
      <c r="E964" s="54">
        <f t="shared" si="22"/>
        <v>145407253.48000002</v>
      </c>
      <c r="F964" s="8" t="s">
        <v>4</v>
      </c>
      <c r="G964" s="8" t="s">
        <v>5</v>
      </c>
      <c r="H964" s="40" t="s">
        <v>4098</v>
      </c>
    </row>
    <row r="965" spans="1:9">
      <c r="A965" s="13">
        <v>45936</v>
      </c>
      <c r="B965" s="8" t="s">
        <v>7198</v>
      </c>
      <c r="C965" s="54">
        <v>0</v>
      </c>
      <c r="D965" s="54">
        <v>0</v>
      </c>
      <c r="E965" s="54">
        <f t="shared" si="22"/>
        <v>145407253.48000002</v>
      </c>
      <c r="F965" s="8" t="s">
        <v>4</v>
      </c>
      <c r="G965" s="8" t="s">
        <v>5</v>
      </c>
      <c r="H965" s="40" t="s">
        <v>4098</v>
      </c>
    </row>
    <row r="966" spans="1:9">
      <c r="A966" s="13">
        <v>45936</v>
      </c>
      <c r="B966" s="8" t="s">
        <v>3781</v>
      </c>
      <c r="C966" s="14">
        <v>10000000</v>
      </c>
      <c r="D966" s="14">
        <v>0</v>
      </c>
      <c r="E966" s="14">
        <f t="shared" si="22"/>
        <v>135407253.48000002</v>
      </c>
      <c r="F966" s="8" t="s">
        <v>4</v>
      </c>
      <c r="G966" s="8" t="s">
        <v>5</v>
      </c>
      <c r="H966" s="40" t="s">
        <v>4098</v>
      </c>
    </row>
    <row r="967" spans="1:9">
      <c r="A967" s="13">
        <v>45936</v>
      </c>
      <c r="B967" s="8" t="s">
        <v>3782</v>
      </c>
      <c r="C967" s="14">
        <v>2000000</v>
      </c>
      <c r="D967" s="14">
        <v>0</v>
      </c>
      <c r="E967" s="14">
        <f t="shared" si="22"/>
        <v>133407253.48000002</v>
      </c>
      <c r="F967" s="8" t="s">
        <v>4</v>
      </c>
      <c r="G967" s="8" t="s">
        <v>5</v>
      </c>
      <c r="H967" s="40" t="s">
        <v>4098</v>
      </c>
    </row>
    <row r="968" spans="1:9">
      <c r="A968" s="13">
        <v>45936</v>
      </c>
      <c r="B968" s="8" t="s">
        <v>3783</v>
      </c>
      <c r="C968" s="14">
        <v>8000000</v>
      </c>
      <c r="D968" s="14">
        <v>0</v>
      </c>
      <c r="E968" s="14">
        <f t="shared" si="22"/>
        <v>125407253.48000002</v>
      </c>
      <c r="F968" s="8" t="s">
        <v>4</v>
      </c>
      <c r="G968" s="8" t="s">
        <v>5</v>
      </c>
      <c r="H968" s="40" t="s">
        <v>4098</v>
      </c>
    </row>
    <row r="969" spans="1:9">
      <c r="A969" s="13">
        <v>45936</v>
      </c>
      <c r="B969" s="8" t="s">
        <v>3784</v>
      </c>
      <c r="C969" s="14">
        <v>6000000</v>
      </c>
      <c r="D969" s="14">
        <v>0</v>
      </c>
      <c r="E969" s="14">
        <f t="shared" si="22"/>
        <v>119407253.48000002</v>
      </c>
      <c r="F969" s="8" t="s">
        <v>4</v>
      </c>
      <c r="G969" s="8" t="s">
        <v>5</v>
      </c>
      <c r="H969" s="40" t="s">
        <v>4098</v>
      </c>
    </row>
    <row r="970" spans="1:9">
      <c r="A970" s="13">
        <v>45936</v>
      </c>
      <c r="B970" s="8" t="s">
        <v>3785</v>
      </c>
      <c r="C970" s="14">
        <v>6000000</v>
      </c>
      <c r="D970" s="14">
        <v>0</v>
      </c>
      <c r="E970" s="14">
        <f t="shared" si="22"/>
        <v>113407253.48000002</v>
      </c>
      <c r="F970" s="8" t="s">
        <v>4</v>
      </c>
      <c r="G970" s="8" t="s">
        <v>5</v>
      </c>
      <c r="H970" s="40" t="s">
        <v>4098</v>
      </c>
    </row>
    <row r="971" spans="1:9">
      <c r="A971" s="13">
        <v>45936</v>
      </c>
      <c r="B971" s="8" t="s">
        <v>3786</v>
      </c>
      <c r="C971" s="14">
        <v>8000000</v>
      </c>
      <c r="D971" s="14">
        <v>0</v>
      </c>
      <c r="E971" s="14">
        <f t="shared" si="22"/>
        <v>105407253.48000002</v>
      </c>
      <c r="F971" s="8" t="s">
        <v>4</v>
      </c>
      <c r="G971" s="8" t="s">
        <v>5</v>
      </c>
      <c r="H971" s="40" t="s">
        <v>4098</v>
      </c>
    </row>
    <row r="972" spans="1:9">
      <c r="A972" s="13">
        <v>45936</v>
      </c>
      <c r="B972" s="8" t="s">
        <v>3787</v>
      </c>
      <c r="C972" s="14">
        <v>10000000</v>
      </c>
      <c r="D972" s="14">
        <v>0</v>
      </c>
      <c r="E972" s="14">
        <f t="shared" si="22"/>
        <v>95407253.480000019</v>
      </c>
      <c r="F972" s="8" t="s">
        <v>4</v>
      </c>
      <c r="G972" s="8" t="s">
        <v>5</v>
      </c>
      <c r="H972" s="40" t="s">
        <v>4098</v>
      </c>
    </row>
    <row r="973" spans="1:9">
      <c r="A973" s="13">
        <v>45936</v>
      </c>
      <c r="B973" s="8" t="s">
        <v>3788</v>
      </c>
      <c r="C973" s="14">
        <v>10000000</v>
      </c>
      <c r="D973" s="14">
        <v>0</v>
      </c>
      <c r="E973" s="14">
        <f t="shared" si="22"/>
        <v>85407253.480000019</v>
      </c>
      <c r="F973" s="8" t="s">
        <v>4</v>
      </c>
      <c r="G973" s="8" t="s">
        <v>5</v>
      </c>
      <c r="H973" s="40" t="s">
        <v>4098</v>
      </c>
    </row>
    <row r="974" spans="1:9">
      <c r="A974" s="13">
        <v>45936</v>
      </c>
      <c r="B974" s="8" t="s">
        <v>3789</v>
      </c>
      <c r="C974" s="14">
        <v>10000000</v>
      </c>
      <c r="D974" s="14">
        <v>0</v>
      </c>
      <c r="E974" s="14">
        <f t="shared" si="22"/>
        <v>75407253.480000019</v>
      </c>
      <c r="F974" s="8" t="s">
        <v>4</v>
      </c>
      <c r="G974" s="8" t="s">
        <v>5</v>
      </c>
      <c r="H974" s="40" t="s">
        <v>4098</v>
      </c>
    </row>
    <row r="975" spans="1:9">
      <c r="A975" s="13">
        <v>45936</v>
      </c>
      <c r="B975" s="8" t="s">
        <v>3790</v>
      </c>
      <c r="C975" s="14">
        <v>1000000</v>
      </c>
      <c r="D975" s="14">
        <v>0</v>
      </c>
      <c r="E975" s="14">
        <f t="shared" si="22"/>
        <v>74407253.480000019</v>
      </c>
      <c r="F975" s="8" t="s">
        <v>4</v>
      </c>
      <c r="G975" s="8" t="s">
        <v>5</v>
      </c>
      <c r="H975" s="40" t="s">
        <v>4098</v>
      </c>
    </row>
    <row r="976" spans="1:9">
      <c r="A976" s="13">
        <v>45936</v>
      </c>
      <c r="B976" s="8" t="s">
        <v>3791</v>
      </c>
      <c r="C976" s="14">
        <v>650000</v>
      </c>
      <c r="D976" s="14">
        <v>0</v>
      </c>
      <c r="E976" s="14">
        <f t="shared" si="22"/>
        <v>73757253.480000019</v>
      </c>
      <c r="F976" s="80" t="s">
        <v>21</v>
      </c>
      <c r="G976" t="s">
        <v>187</v>
      </c>
    </row>
    <row r="977" spans="1:8">
      <c r="A977" s="13">
        <v>45936</v>
      </c>
      <c r="B977" s="8" t="s">
        <v>3792</v>
      </c>
      <c r="C977" s="14">
        <v>5000000</v>
      </c>
      <c r="D977" s="14">
        <v>0</v>
      </c>
      <c r="E977" s="14">
        <f t="shared" si="22"/>
        <v>68757253.480000019</v>
      </c>
      <c r="F977" s="8" t="s">
        <v>4</v>
      </c>
      <c r="G977" s="8" t="s">
        <v>5</v>
      </c>
      <c r="H977" s="40" t="s">
        <v>4098</v>
      </c>
    </row>
    <row r="978" spans="1:8">
      <c r="A978" s="13">
        <v>45936</v>
      </c>
      <c r="B978" s="8" t="s">
        <v>3793</v>
      </c>
      <c r="C978" s="14">
        <v>550000</v>
      </c>
      <c r="D978" s="14">
        <v>0</v>
      </c>
      <c r="E978" s="14">
        <f t="shared" si="22"/>
        <v>68207253.480000019</v>
      </c>
      <c r="F978" s="80" t="s">
        <v>21</v>
      </c>
      <c r="G978" t="s">
        <v>187</v>
      </c>
    </row>
    <row r="979" spans="1:8">
      <c r="A979" s="13">
        <v>45936</v>
      </c>
      <c r="B979" s="8" t="s">
        <v>3794</v>
      </c>
      <c r="C979" s="14">
        <v>38680000</v>
      </c>
      <c r="D979" s="14">
        <v>0</v>
      </c>
      <c r="E979" s="14">
        <f t="shared" si="22"/>
        <v>29527253.480000019</v>
      </c>
      <c r="F979" s="8" t="s">
        <v>4</v>
      </c>
      <c r="G979" s="8" t="s">
        <v>5</v>
      </c>
      <c r="H979" s="40" t="s">
        <v>4097</v>
      </c>
    </row>
    <row r="980" spans="1:8">
      <c r="A980" s="13">
        <v>45936</v>
      </c>
      <c r="B980" s="8" t="s">
        <v>3795</v>
      </c>
      <c r="C980" s="14">
        <v>0</v>
      </c>
      <c r="D980" s="14">
        <v>250000000</v>
      </c>
      <c r="E980" s="14">
        <f t="shared" si="22"/>
        <v>279527253.48000002</v>
      </c>
      <c r="F980" s="80" t="s">
        <v>6</v>
      </c>
      <c r="G980" t="s">
        <v>24</v>
      </c>
      <c r="H980" t="s">
        <v>25</v>
      </c>
    </row>
    <row r="981" spans="1:8">
      <c r="A981" s="13">
        <v>45936</v>
      </c>
      <c r="B981" s="8" t="s">
        <v>3795</v>
      </c>
      <c r="C981" s="14">
        <v>0</v>
      </c>
      <c r="D981" s="14">
        <v>250000000</v>
      </c>
      <c r="E981" s="14">
        <f t="shared" si="22"/>
        <v>529527253.48000002</v>
      </c>
      <c r="F981" s="80" t="s">
        <v>6</v>
      </c>
      <c r="G981" t="s">
        <v>24</v>
      </c>
      <c r="H981" t="s">
        <v>25</v>
      </c>
    </row>
    <row r="982" spans="1:8">
      <c r="A982" s="13">
        <v>45936</v>
      </c>
      <c r="B982" s="8" t="s">
        <v>3796</v>
      </c>
      <c r="C982" s="14">
        <v>0</v>
      </c>
      <c r="D982" s="14">
        <v>250000000</v>
      </c>
      <c r="E982" s="14">
        <f t="shared" si="22"/>
        <v>779527253.48000002</v>
      </c>
      <c r="F982" s="80" t="s">
        <v>6</v>
      </c>
      <c r="G982" t="s">
        <v>24</v>
      </c>
      <c r="H982" t="s">
        <v>25</v>
      </c>
    </row>
    <row r="983" spans="1:8">
      <c r="A983" s="13">
        <v>45936</v>
      </c>
      <c r="B983" s="8" t="s">
        <v>3797</v>
      </c>
      <c r="C983" s="14">
        <v>6000000</v>
      </c>
      <c r="D983" s="14">
        <v>0</v>
      </c>
      <c r="E983" s="14">
        <f t="shared" si="22"/>
        <v>773527253.48000002</v>
      </c>
      <c r="F983" t="s">
        <v>920</v>
      </c>
      <c r="G983" t="s">
        <v>400</v>
      </c>
      <c r="H983" s="8" t="s">
        <v>5653</v>
      </c>
    </row>
    <row r="984" spans="1:8" s="204" customFormat="1">
      <c r="A984" s="13">
        <v>45936</v>
      </c>
      <c r="B984" s="8" t="s">
        <v>3798</v>
      </c>
      <c r="C984" s="14">
        <v>12800000</v>
      </c>
      <c r="D984" s="14">
        <v>0</v>
      </c>
      <c r="E984" s="14">
        <f t="shared" si="22"/>
        <v>760727253.48000002</v>
      </c>
      <c r="F984" s="8" t="s">
        <v>920</v>
      </c>
      <c r="G984" s="8" t="s">
        <v>400</v>
      </c>
      <c r="H984" s="8" t="s">
        <v>5652</v>
      </c>
    </row>
    <row r="985" spans="1:8">
      <c r="A985" s="13">
        <v>45936</v>
      </c>
      <c r="B985" s="8" t="s">
        <v>3799</v>
      </c>
      <c r="C985" s="14">
        <v>2419500</v>
      </c>
      <c r="D985" s="14">
        <v>0</v>
      </c>
      <c r="E985" s="14">
        <f t="shared" si="22"/>
        <v>758307753.48000002</v>
      </c>
      <c r="F985" s="8" t="s">
        <v>920</v>
      </c>
      <c r="G985" s="8" t="s">
        <v>400</v>
      </c>
      <c r="H985" s="8" t="s">
        <v>5636</v>
      </c>
    </row>
    <row r="986" spans="1:8">
      <c r="A986" s="13">
        <v>45936</v>
      </c>
      <c r="B986" s="8" t="s">
        <v>7211</v>
      </c>
      <c r="C986" s="54">
        <v>72045000</v>
      </c>
      <c r="D986" s="54">
        <v>0</v>
      </c>
      <c r="E986" s="54">
        <f t="shared" si="22"/>
        <v>686262753.48000002</v>
      </c>
      <c r="F986" s="8" t="s">
        <v>4</v>
      </c>
      <c r="G986" s="8" t="s">
        <v>5</v>
      </c>
      <c r="H986" s="40" t="s">
        <v>4098</v>
      </c>
    </row>
    <row r="987" spans="1:8">
      <c r="A987" s="13">
        <v>45936</v>
      </c>
      <c r="B987" s="8" t="s">
        <v>3800</v>
      </c>
      <c r="C987" s="14">
        <v>34075000</v>
      </c>
      <c r="D987" s="14">
        <v>0</v>
      </c>
      <c r="E987" s="14">
        <f t="shared" si="22"/>
        <v>652187753.48000002</v>
      </c>
      <c r="F987" s="8" t="s">
        <v>4</v>
      </c>
      <c r="G987" s="8" t="s">
        <v>5</v>
      </c>
      <c r="H987" s="40" t="s">
        <v>4098</v>
      </c>
    </row>
    <row r="988" spans="1:8">
      <c r="A988" s="13">
        <v>45936</v>
      </c>
      <c r="B988" s="8" t="s">
        <v>3801</v>
      </c>
      <c r="C988" s="14">
        <v>34075000</v>
      </c>
      <c r="D988" s="14">
        <v>0</v>
      </c>
      <c r="E988" s="14">
        <f t="shared" si="22"/>
        <v>618112753.48000002</v>
      </c>
      <c r="F988" s="8" t="s">
        <v>4</v>
      </c>
      <c r="G988" s="8" t="s">
        <v>5</v>
      </c>
      <c r="H988" s="40" t="s">
        <v>4098</v>
      </c>
    </row>
    <row r="989" spans="1:8">
      <c r="A989" s="13">
        <v>45936</v>
      </c>
      <c r="B989" s="8" t="s">
        <v>3802</v>
      </c>
      <c r="C989" s="14">
        <v>37890000</v>
      </c>
      <c r="D989" s="14">
        <v>0</v>
      </c>
      <c r="E989" s="14">
        <f t="shared" si="22"/>
        <v>580222753.48000002</v>
      </c>
      <c r="F989" s="8" t="s">
        <v>4</v>
      </c>
      <c r="G989" s="8" t="s">
        <v>5</v>
      </c>
      <c r="H989" s="40" t="s">
        <v>4098</v>
      </c>
    </row>
    <row r="990" spans="1:8">
      <c r="A990" s="13">
        <v>45936</v>
      </c>
      <c r="B990" s="8" t="s">
        <v>3803</v>
      </c>
      <c r="C990" s="14">
        <v>80613500</v>
      </c>
      <c r="D990" s="14">
        <v>0</v>
      </c>
      <c r="E990" s="14">
        <f t="shared" si="22"/>
        <v>499609253.48000002</v>
      </c>
      <c r="F990" s="8" t="s">
        <v>4</v>
      </c>
      <c r="G990" s="8" t="s">
        <v>5</v>
      </c>
      <c r="H990" s="40" t="s">
        <v>4098</v>
      </c>
    </row>
    <row r="991" spans="1:8">
      <c r="A991" s="13">
        <v>45936</v>
      </c>
      <c r="B991" s="8" t="s">
        <v>3804</v>
      </c>
      <c r="C991" s="14">
        <v>3000000</v>
      </c>
      <c r="D991" s="14">
        <v>0</v>
      </c>
      <c r="E991" s="14">
        <f t="shared" si="22"/>
        <v>496609253.48000002</v>
      </c>
      <c r="F991" s="8" t="s">
        <v>4</v>
      </c>
      <c r="G991" s="8" t="s">
        <v>5</v>
      </c>
      <c r="H991" s="40" t="s">
        <v>4098</v>
      </c>
    </row>
    <row r="992" spans="1:8">
      <c r="A992" s="13">
        <v>45936</v>
      </c>
      <c r="B992" s="8" t="s">
        <v>3805</v>
      </c>
      <c r="C992" s="14">
        <v>5000000</v>
      </c>
      <c r="D992" s="14">
        <v>0</v>
      </c>
      <c r="E992" s="14">
        <f t="shared" si="22"/>
        <v>491609253.48000002</v>
      </c>
      <c r="F992" t="s">
        <v>920</v>
      </c>
      <c r="G992" t="s">
        <v>400</v>
      </c>
      <c r="H992" s="8" t="s">
        <v>5679</v>
      </c>
    </row>
    <row r="993" spans="1:9" s="8" customFormat="1">
      <c r="A993" s="13">
        <v>45936</v>
      </c>
      <c r="B993" s="8" t="s">
        <v>3806</v>
      </c>
      <c r="C993" s="14">
        <v>5000000</v>
      </c>
      <c r="D993" s="14">
        <v>0</v>
      </c>
      <c r="E993" s="14">
        <f t="shared" si="22"/>
        <v>486609253.48000002</v>
      </c>
      <c r="F993" s="8" t="s">
        <v>920</v>
      </c>
      <c r="G993" s="8" t="s">
        <v>400</v>
      </c>
      <c r="H993" s="8" t="s">
        <v>5678</v>
      </c>
    </row>
    <row r="994" spans="1:9" s="8" customFormat="1">
      <c r="A994" s="13">
        <v>45936</v>
      </c>
      <c r="B994" s="8" t="s">
        <v>3807</v>
      </c>
      <c r="C994" s="14">
        <v>10000000</v>
      </c>
      <c r="D994" s="14">
        <v>0</v>
      </c>
      <c r="E994" s="14">
        <f t="shared" si="22"/>
        <v>476609253.48000002</v>
      </c>
      <c r="F994" s="8" t="s">
        <v>920</v>
      </c>
      <c r="G994" s="8" t="s">
        <v>400</v>
      </c>
      <c r="H994" s="8" t="s">
        <v>5677</v>
      </c>
    </row>
    <row r="995" spans="1:9">
      <c r="A995" s="13">
        <v>45936</v>
      </c>
      <c r="B995" s="8" t="s">
        <v>3808</v>
      </c>
      <c r="C995" s="14">
        <v>359946</v>
      </c>
      <c r="D995" s="14">
        <v>0</v>
      </c>
      <c r="E995" s="14">
        <f t="shared" si="22"/>
        <v>476249307.48000002</v>
      </c>
      <c r="F995" s="8" t="s">
        <v>4</v>
      </c>
      <c r="G995" s="8" t="s">
        <v>5</v>
      </c>
      <c r="H995" s="40" t="s">
        <v>4098</v>
      </c>
    </row>
    <row r="996" spans="1:9">
      <c r="A996" s="13">
        <v>45936</v>
      </c>
      <c r="B996" s="8" t="s">
        <v>3809</v>
      </c>
      <c r="C996" s="14">
        <v>0</v>
      </c>
      <c r="D996" s="14">
        <v>150000000</v>
      </c>
      <c r="E996" s="14">
        <f t="shared" si="22"/>
        <v>626249307.48000002</v>
      </c>
      <c r="F996" s="80" t="s">
        <v>920</v>
      </c>
      <c r="G996" s="8" t="s">
        <v>381</v>
      </c>
    </row>
    <row r="997" spans="1:9">
      <c r="A997" s="13">
        <v>45937</v>
      </c>
      <c r="B997" s="8" t="s">
        <v>7101</v>
      </c>
      <c r="C997" s="54">
        <v>76422500</v>
      </c>
      <c r="D997" s="54">
        <v>0</v>
      </c>
      <c r="E997" s="54">
        <f t="shared" si="22"/>
        <v>549826807.48000002</v>
      </c>
      <c r="F997" s="8" t="s">
        <v>4</v>
      </c>
      <c r="G997" s="8" t="s">
        <v>5</v>
      </c>
      <c r="H997" s="40" t="s">
        <v>4098</v>
      </c>
    </row>
    <row r="998" spans="1:9">
      <c r="A998" s="13">
        <v>45937</v>
      </c>
      <c r="B998" s="8" t="s">
        <v>7101</v>
      </c>
      <c r="C998" s="54">
        <f>84828975-C997</f>
        <v>8406475</v>
      </c>
      <c r="D998" s="54">
        <v>0</v>
      </c>
      <c r="E998" s="54">
        <f t="shared" si="22"/>
        <v>541420332.48000002</v>
      </c>
      <c r="F998" s="8" t="s">
        <v>920</v>
      </c>
      <c r="G998" s="8" t="s">
        <v>7855</v>
      </c>
      <c r="H998" s="40" t="s">
        <v>7032</v>
      </c>
      <c r="I998" t="s">
        <v>4564</v>
      </c>
    </row>
    <row r="999" spans="1:9">
      <c r="A999" s="13">
        <v>45937</v>
      </c>
      <c r="B999" s="8" t="s">
        <v>3810</v>
      </c>
      <c r="C999" s="14">
        <v>6000000</v>
      </c>
      <c r="D999" s="14">
        <v>0</v>
      </c>
      <c r="E999" s="14">
        <f t="shared" si="22"/>
        <v>535420332.48000002</v>
      </c>
      <c r="F999" s="8" t="s">
        <v>4</v>
      </c>
      <c r="G999" s="8" t="s">
        <v>5</v>
      </c>
      <c r="H999" s="40" t="s">
        <v>4098</v>
      </c>
    </row>
    <row r="1000" spans="1:9">
      <c r="A1000" s="13">
        <v>45937</v>
      </c>
      <c r="B1000" s="8" t="s">
        <v>3773</v>
      </c>
      <c r="C1000" s="14">
        <v>1592383</v>
      </c>
      <c r="D1000" s="14">
        <v>0</v>
      </c>
      <c r="E1000" s="14">
        <f t="shared" si="22"/>
        <v>533827949.48000002</v>
      </c>
      <c r="F1000" t="s">
        <v>920</v>
      </c>
      <c r="G1000" t="s">
        <v>400</v>
      </c>
      <c r="H1000" s="8" t="s">
        <v>5644</v>
      </c>
    </row>
    <row r="1001" spans="1:9" s="8" customFormat="1">
      <c r="A1001" s="13">
        <v>45937</v>
      </c>
      <c r="B1001" s="8" t="s">
        <v>7127</v>
      </c>
      <c r="C1001" s="54">
        <v>96140000</v>
      </c>
      <c r="D1001" s="54">
        <v>0</v>
      </c>
      <c r="E1001" s="54">
        <f t="shared" si="22"/>
        <v>437687949.48000002</v>
      </c>
      <c r="F1001" s="8" t="s">
        <v>4</v>
      </c>
      <c r="G1001" s="8" t="s">
        <v>5</v>
      </c>
      <c r="H1001" s="8" t="s">
        <v>4098</v>
      </c>
    </row>
    <row r="1002" spans="1:9">
      <c r="A1002" s="13">
        <v>45937</v>
      </c>
      <c r="B1002" s="8" t="s">
        <v>3811</v>
      </c>
      <c r="C1002" s="14">
        <v>73500000</v>
      </c>
      <c r="D1002" s="14">
        <v>0</v>
      </c>
      <c r="E1002" s="14">
        <f t="shared" si="22"/>
        <v>364187949.48000002</v>
      </c>
      <c r="F1002" s="8" t="s">
        <v>4</v>
      </c>
      <c r="G1002" s="8" t="s">
        <v>5</v>
      </c>
      <c r="H1002" s="40" t="s">
        <v>4098</v>
      </c>
    </row>
    <row r="1003" spans="1:9">
      <c r="A1003" s="13">
        <v>45937</v>
      </c>
      <c r="B1003" s="8" t="s">
        <v>3812</v>
      </c>
      <c r="C1003" s="14">
        <v>9562500</v>
      </c>
      <c r="D1003" s="14">
        <v>0</v>
      </c>
      <c r="E1003" s="14">
        <f t="shared" si="22"/>
        <v>354625449.48000002</v>
      </c>
      <c r="F1003" s="8" t="s">
        <v>4</v>
      </c>
      <c r="G1003" s="8" t="s">
        <v>5</v>
      </c>
      <c r="H1003" s="40" t="s">
        <v>4098</v>
      </c>
    </row>
    <row r="1004" spans="1:9" s="8" customFormat="1">
      <c r="A1004" s="13">
        <v>45938</v>
      </c>
      <c r="B1004" s="8" t="s">
        <v>3813</v>
      </c>
      <c r="C1004" s="54">
        <v>0</v>
      </c>
      <c r="D1004" s="54">
        <v>6000000</v>
      </c>
      <c r="E1004" s="54">
        <f t="shared" si="22"/>
        <v>360625449.48000002</v>
      </c>
      <c r="F1004" s="8" t="s">
        <v>10</v>
      </c>
      <c r="G1004" s="8" t="s">
        <v>446</v>
      </c>
      <c r="H1004" s="8" t="s">
        <v>6141</v>
      </c>
    </row>
    <row r="1005" spans="1:9">
      <c r="A1005" s="13">
        <v>45938</v>
      </c>
      <c r="B1005" s="8" t="s">
        <v>3814</v>
      </c>
      <c r="C1005" s="14">
        <v>2000000</v>
      </c>
      <c r="D1005" s="14">
        <v>0</v>
      </c>
      <c r="E1005" s="14">
        <f t="shared" si="22"/>
        <v>358625449.48000002</v>
      </c>
      <c r="F1005" s="8" t="s">
        <v>4</v>
      </c>
      <c r="G1005" s="8" t="s">
        <v>5</v>
      </c>
      <c r="H1005" s="40" t="s">
        <v>4098</v>
      </c>
    </row>
    <row r="1006" spans="1:9">
      <c r="A1006" s="13">
        <v>45938</v>
      </c>
      <c r="B1006" s="8" t="s">
        <v>3815</v>
      </c>
      <c r="C1006" s="14">
        <v>62815000</v>
      </c>
      <c r="D1006" s="14">
        <v>0</v>
      </c>
      <c r="E1006" s="14">
        <f t="shared" si="22"/>
        <v>295810449.48000002</v>
      </c>
      <c r="F1006" s="8" t="s">
        <v>4</v>
      </c>
      <c r="G1006" s="8" t="s">
        <v>5</v>
      </c>
      <c r="H1006" s="40" t="s">
        <v>4098</v>
      </c>
    </row>
    <row r="1007" spans="1:9">
      <c r="A1007" s="13">
        <v>45938</v>
      </c>
      <c r="B1007" s="8" t="s">
        <v>3816</v>
      </c>
      <c r="C1007" s="14">
        <v>48500000</v>
      </c>
      <c r="D1007" s="14">
        <v>0</v>
      </c>
      <c r="E1007" s="14">
        <f t="shared" si="22"/>
        <v>247310449.48000002</v>
      </c>
      <c r="F1007" s="8" t="s">
        <v>4</v>
      </c>
      <c r="G1007" s="8" t="s">
        <v>5</v>
      </c>
      <c r="H1007" s="40" t="s">
        <v>4098</v>
      </c>
    </row>
    <row r="1008" spans="1:9">
      <c r="A1008" s="13">
        <v>45938</v>
      </c>
      <c r="B1008" s="8" t="s">
        <v>3817</v>
      </c>
      <c r="C1008" s="14">
        <v>11000000</v>
      </c>
      <c r="D1008" s="14">
        <v>0</v>
      </c>
      <c r="E1008" s="14">
        <f t="shared" si="22"/>
        <v>236310449.48000002</v>
      </c>
      <c r="F1008" s="8" t="s">
        <v>4</v>
      </c>
      <c r="G1008" s="8" t="s">
        <v>5</v>
      </c>
      <c r="H1008" s="40" t="s">
        <v>4098</v>
      </c>
    </row>
    <row r="1009" spans="1:9">
      <c r="A1009" s="13">
        <v>45938</v>
      </c>
      <c r="B1009" s="8" t="s">
        <v>3774</v>
      </c>
      <c r="C1009" s="14">
        <v>119000000</v>
      </c>
      <c r="D1009" s="14">
        <v>0</v>
      </c>
      <c r="E1009" s="14">
        <f t="shared" si="22"/>
        <v>117310449.48000002</v>
      </c>
      <c r="F1009" s="80" t="s">
        <v>920</v>
      </c>
      <c r="G1009" t="s">
        <v>4241</v>
      </c>
    </row>
    <row r="1010" spans="1:9">
      <c r="A1010" s="13">
        <v>45938</v>
      </c>
      <c r="B1010" s="8" t="s">
        <v>3775</v>
      </c>
      <c r="C1010" s="14">
        <v>2500</v>
      </c>
      <c r="D1010" s="14">
        <v>0</v>
      </c>
      <c r="E1010" s="14">
        <f t="shared" si="22"/>
        <v>117307949.48000002</v>
      </c>
      <c r="F1010" t="s">
        <v>19</v>
      </c>
      <c r="G1010" t="s">
        <v>189</v>
      </c>
    </row>
    <row r="1011" spans="1:9">
      <c r="A1011" s="13">
        <v>45938</v>
      </c>
      <c r="B1011" s="8" t="s">
        <v>3818</v>
      </c>
      <c r="C1011" s="14">
        <v>0</v>
      </c>
      <c r="D1011" s="14">
        <v>14645000</v>
      </c>
      <c r="E1011" s="14">
        <f t="shared" si="22"/>
        <v>131952949.48000002</v>
      </c>
      <c r="F1011" s="80" t="s">
        <v>920</v>
      </c>
      <c r="G1011" t="s">
        <v>461</v>
      </c>
    </row>
    <row r="1012" spans="1:9">
      <c r="A1012" s="13">
        <v>45938</v>
      </c>
      <c r="B1012" s="8" t="s">
        <v>3819</v>
      </c>
      <c r="C1012" s="14">
        <v>0</v>
      </c>
      <c r="D1012" s="14">
        <v>10000000</v>
      </c>
      <c r="E1012" s="14">
        <f t="shared" ref="E1012:E1081" si="23">E1011-C1012+D1012</f>
        <v>141952949.48000002</v>
      </c>
      <c r="F1012" t="s">
        <v>6</v>
      </c>
      <c r="G1012" t="s">
        <v>24</v>
      </c>
      <c r="H1012" t="s">
        <v>4101</v>
      </c>
    </row>
    <row r="1013" spans="1:9" s="8" customFormat="1">
      <c r="A1013" s="13">
        <v>45938</v>
      </c>
      <c r="B1013" s="8" t="s">
        <v>3820</v>
      </c>
      <c r="C1013" s="54">
        <v>2660000</v>
      </c>
      <c r="D1013" s="54">
        <v>0</v>
      </c>
      <c r="E1013" s="54">
        <f t="shared" si="23"/>
        <v>139292949.48000002</v>
      </c>
      <c r="F1013" s="8" t="s">
        <v>4</v>
      </c>
      <c r="G1013" s="8" t="s">
        <v>5</v>
      </c>
      <c r="H1013" s="8" t="s">
        <v>4098</v>
      </c>
    </row>
    <row r="1014" spans="1:9">
      <c r="A1014" s="13">
        <v>45938</v>
      </c>
      <c r="B1014" s="8" t="s">
        <v>3821</v>
      </c>
      <c r="C1014" s="14">
        <v>7880000</v>
      </c>
      <c r="D1014" s="14">
        <v>0</v>
      </c>
      <c r="E1014" s="14">
        <f t="shared" si="23"/>
        <v>131412949.48000002</v>
      </c>
      <c r="F1014" s="8" t="s">
        <v>4</v>
      </c>
      <c r="G1014" s="8" t="s">
        <v>5</v>
      </c>
      <c r="H1014" s="40" t="s">
        <v>4098</v>
      </c>
    </row>
    <row r="1015" spans="1:9">
      <c r="A1015" s="13">
        <v>45938</v>
      </c>
      <c r="B1015" s="8" t="s">
        <v>3822</v>
      </c>
      <c r="C1015" s="14">
        <v>128205000</v>
      </c>
      <c r="D1015" s="14">
        <v>0</v>
      </c>
      <c r="E1015" s="14">
        <f t="shared" si="23"/>
        <v>3207949.4800000191</v>
      </c>
      <c r="F1015" s="8" t="s">
        <v>4</v>
      </c>
      <c r="G1015" s="8" t="s">
        <v>5</v>
      </c>
      <c r="H1015" s="40" t="s">
        <v>4098</v>
      </c>
    </row>
    <row r="1016" spans="1:9">
      <c r="A1016" s="13">
        <v>45938</v>
      </c>
      <c r="B1016" s="8" t="s">
        <v>3823</v>
      </c>
      <c r="C1016" s="14">
        <v>0</v>
      </c>
      <c r="D1016" s="14">
        <v>50000000</v>
      </c>
      <c r="E1016" s="14">
        <f t="shared" si="23"/>
        <v>53207949.480000019</v>
      </c>
      <c r="F1016" t="s">
        <v>6</v>
      </c>
      <c r="G1016" t="s">
        <v>24</v>
      </c>
      <c r="H1016" t="s">
        <v>25</v>
      </c>
    </row>
    <row r="1017" spans="1:9">
      <c r="A1017" s="13">
        <v>45938</v>
      </c>
      <c r="B1017" s="8" t="s">
        <v>3774</v>
      </c>
      <c r="C1017" s="14">
        <v>50000000</v>
      </c>
      <c r="D1017" s="14">
        <v>0</v>
      </c>
      <c r="E1017" s="14">
        <f t="shared" si="23"/>
        <v>3207949.4800000191</v>
      </c>
      <c r="F1017" s="80" t="s">
        <v>920</v>
      </c>
      <c r="G1017" t="s">
        <v>4241</v>
      </c>
    </row>
    <row r="1018" spans="1:9">
      <c r="A1018" s="13">
        <v>45938</v>
      </c>
      <c r="B1018" s="8" t="s">
        <v>3775</v>
      </c>
      <c r="C1018" s="14">
        <v>2500</v>
      </c>
      <c r="D1018" s="14">
        <v>0</v>
      </c>
      <c r="E1018" s="14">
        <f t="shared" si="23"/>
        <v>3205449.4800000191</v>
      </c>
      <c r="F1018" t="s">
        <v>19</v>
      </c>
      <c r="G1018" t="s">
        <v>189</v>
      </c>
    </row>
    <row r="1019" spans="1:9">
      <c r="A1019" s="13">
        <v>45939</v>
      </c>
      <c r="B1019" s="8" t="s">
        <v>3824</v>
      </c>
      <c r="C1019" s="14">
        <v>0</v>
      </c>
      <c r="D1019" s="14">
        <v>4486250</v>
      </c>
      <c r="E1019" s="14">
        <f t="shared" si="23"/>
        <v>7691699.4800000191</v>
      </c>
      <c r="F1019" t="s">
        <v>2140</v>
      </c>
      <c r="G1019" t="s">
        <v>2141</v>
      </c>
      <c r="H1019" t="s">
        <v>1445</v>
      </c>
      <c r="I1019" t="s">
        <v>4044</v>
      </c>
    </row>
    <row r="1020" spans="1:9">
      <c r="A1020" s="13">
        <v>45939</v>
      </c>
      <c r="B1020" s="8" t="s">
        <v>372</v>
      </c>
      <c r="C1020" s="14">
        <v>0</v>
      </c>
      <c r="D1020" s="14">
        <v>250000000</v>
      </c>
      <c r="E1020" s="14">
        <f t="shared" si="23"/>
        <v>257691699.48000002</v>
      </c>
      <c r="F1020" t="s">
        <v>920</v>
      </c>
      <c r="G1020" s="8" t="s">
        <v>4242</v>
      </c>
    </row>
    <row r="1021" spans="1:9">
      <c r="A1021" s="13">
        <v>45939</v>
      </c>
      <c r="B1021" s="8" t="s">
        <v>3825</v>
      </c>
      <c r="C1021" s="14">
        <v>66400000</v>
      </c>
      <c r="D1021" s="14">
        <v>0</v>
      </c>
      <c r="E1021" s="14">
        <f t="shared" si="23"/>
        <v>191291699.48000002</v>
      </c>
      <c r="F1021" s="8" t="s">
        <v>4</v>
      </c>
      <c r="G1021" s="8" t="s">
        <v>5</v>
      </c>
      <c r="H1021" s="40" t="s">
        <v>4098</v>
      </c>
    </row>
    <row r="1022" spans="1:9">
      <c r="A1022" s="13">
        <v>45939</v>
      </c>
      <c r="B1022" s="8" t="s">
        <v>3826</v>
      </c>
      <c r="C1022" s="54">
        <v>2050000</v>
      </c>
      <c r="D1022" s="54">
        <v>0</v>
      </c>
      <c r="E1022" s="54">
        <f t="shared" si="23"/>
        <v>189241699.48000002</v>
      </c>
      <c r="F1022" t="s">
        <v>62</v>
      </c>
      <c r="G1022" t="s">
        <v>177</v>
      </c>
    </row>
    <row r="1023" spans="1:9">
      <c r="A1023" s="13">
        <v>45939</v>
      </c>
      <c r="B1023" s="8" t="s">
        <v>3827</v>
      </c>
      <c r="C1023" s="14">
        <v>1000000</v>
      </c>
      <c r="D1023" s="14">
        <v>0</v>
      </c>
      <c r="E1023" s="14">
        <f t="shared" si="23"/>
        <v>188241699.48000002</v>
      </c>
      <c r="F1023" s="8" t="s">
        <v>4</v>
      </c>
      <c r="G1023" s="8" t="s">
        <v>5</v>
      </c>
      <c r="H1023" s="40" t="s">
        <v>4097</v>
      </c>
    </row>
    <row r="1024" spans="1:9">
      <c r="A1024" s="13">
        <v>45939</v>
      </c>
      <c r="B1024" s="8" t="s">
        <v>3828</v>
      </c>
      <c r="C1024" s="14">
        <v>1000000</v>
      </c>
      <c r="D1024" s="14">
        <v>0</v>
      </c>
      <c r="E1024" s="14">
        <f t="shared" si="23"/>
        <v>187241699.48000002</v>
      </c>
      <c r="F1024" s="8" t="s">
        <v>4</v>
      </c>
      <c r="G1024" s="8" t="s">
        <v>5</v>
      </c>
      <c r="H1024" s="40" t="s">
        <v>4097</v>
      </c>
    </row>
    <row r="1025" spans="1:9">
      <c r="A1025" s="13">
        <v>45939</v>
      </c>
      <c r="B1025" s="8" t="s">
        <v>3829</v>
      </c>
      <c r="C1025" s="14">
        <v>1000000</v>
      </c>
      <c r="D1025" s="14">
        <v>0</v>
      </c>
      <c r="E1025" s="14">
        <f t="shared" si="23"/>
        <v>186241699.48000002</v>
      </c>
      <c r="F1025" s="8" t="s">
        <v>4</v>
      </c>
      <c r="G1025" s="8" t="s">
        <v>5</v>
      </c>
      <c r="H1025" s="40" t="s">
        <v>4097</v>
      </c>
    </row>
    <row r="1026" spans="1:9">
      <c r="A1026" s="13">
        <v>45939</v>
      </c>
      <c r="B1026" s="8" t="s">
        <v>3830</v>
      </c>
      <c r="C1026" s="14">
        <v>500000</v>
      </c>
      <c r="D1026" s="14">
        <v>0</v>
      </c>
      <c r="E1026" s="14">
        <f t="shared" si="23"/>
        <v>185741699.48000002</v>
      </c>
      <c r="F1026" s="8" t="s">
        <v>4</v>
      </c>
      <c r="G1026" s="8" t="s">
        <v>5</v>
      </c>
      <c r="H1026" s="40" t="s">
        <v>4097</v>
      </c>
    </row>
    <row r="1027" spans="1:9">
      <c r="A1027" s="13">
        <v>45939</v>
      </c>
      <c r="B1027" s="8" t="s">
        <v>3831</v>
      </c>
      <c r="C1027" s="14">
        <v>1500000</v>
      </c>
      <c r="D1027" s="14">
        <v>0</v>
      </c>
      <c r="E1027" s="14">
        <f t="shared" si="23"/>
        <v>184241699.48000002</v>
      </c>
      <c r="F1027" s="8" t="s">
        <v>4</v>
      </c>
      <c r="G1027" s="8" t="s">
        <v>5</v>
      </c>
      <c r="H1027" s="40" t="s">
        <v>4097</v>
      </c>
    </row>
    <row r="1028" spans="1:9">
      <c r="A1028" s="13">
        <v>45939</v>
      </c>
      <c r="B1028" s="8" t="s">
        <v>3832</v>
      </c>
      <c r="C1028" s="14">
        <v>1775000</v>
      </c>
      <c r="D1028" s="14">
        <v>0</v>
      </c>
      <c r="E1028" s="14">
        <f t="shared" si="23"/>
        <v>182466699.48000002</v>
      </c>
      <c r="F1028" s="8" t="s">
        <v>4</v>
      </c>
      <c r="G1028" s="8" t="s">
        <v>5</v>
      </c>
      <c r="H1028" s="40" t="s">
        <v>4098</v>
      </c>
    </row>
    <row r="1029" spans="1:9">
      <c r="A1029" s="13">
        <v>45939</v>
      </c>
      <c r="B1029" s="8" t="s">
        <v>3833</v>
      </c>
      <c r="C1029" s="14">
        <v>48495000</v>
      </c>
      <c r="D1029" s="14">
        <v>0</v>
      </c>
      <c r="E1029" s="14">
        <f t="shared" si="23"/>
        <v>133971699.48000002</v>
      </c>
      <c r="F1029" s="8" t="s">
        <v>4</v>
      </c>
      <c r="G1029" s="8" t="s">
        <v>5</v>
      </c>
      <c r="H1029" s="40" t="s">
        <v>4077</v>
      </c>
      <c r="I1029" s="40" t="s">
        <v>26</v>
      </c>
    </row>
    <row r="1030" spans="1:9">
      <c r="A1030" s="13">
        <v>45939</v>
      </c>
      <c r="B1030" s="8" t="s">
        <v>3834</v>
      </c>
      <c r="C1030" s="14">
        <v>8100000</v>
      </c>
      <c r="D1030" s="14">
        <v>0</v>
      </c>
      <c r="E1030" s="14">
        <f t="shared" si="23"/>
        <v>125871699.48000002</v>
      </c>
      <c r="F1030" s="8" t="s">
        <v>4</v>
      </c>
      <c r="G1030" s="8" t="s">
        <v>5</v>
      </c>
      <c r="H1030" s="40" t="s">
        <v>4097</v>
      </c>
    </row>
    <row r="1031" spans="1:9">
      <c r="A1031" s="13">
        <v>45939</v>
      </c>
      <c r="B1031" s="8" t="s">
        <v>3835</v>
      </c>
      <c r="C1031" s="14">
        <v>17000000</v>
      </c>
      <c r="D1031" s="14">
        <v>0</v>
      </c>
      <c r="E1031" s="14">
        <f t="shared" si="23"/>
        <v>108871699.48000002</v>
      </c>
      <c r="F1031" s="8" t="s">
        <v>4</v>
      </c>
      <c r="G1031" s="8" t="s">
        <v>5</v>
      </c>
      <c r="H1031" s="40" t="s">
        <v>4097</v>
      </c>
    </row>
    <row r="1032" spans="1:9">
      <c r="A1032" s="13">
        <v>45939</v>
      </c>
      <c r="B1032" s="8" t="s">
        <v>3836</v>
      </c>
      <c r="C1032" s="14">
        <v>26000000</v>
      </c>
      <c r="D1032" s="14">
        <v>0</v>
      </c>
      <c r="E1032" s="14">
        <f t="shared" si="23"/>
        <v>82871699.480000019</v>
      </c>
      <c r="F1032" s="8" t="s">
        <v>4</v>
      </c>
      <c r="G1032" s="8" t="s">
        <v>5</v>
      </c>
      <c r="H1032" s="40" t="s">
        <v>4097</v>
      </c>
    </row>
    <row r="1033" spans="1:9">
      <c r="A1033" s="13">
        <v>45939</v>
      </c>
      <c r="B1033" s="8" t="s">
        <v>3837</v>
      </c>
      <c r="C1033" s="54">
        <v>66790000</v>
      </c>
      <c r="D1033" s="54">
        <v>0</v>
      </c>
      <c r="E1033" s="54">
        <f t="shared" si="23"/>
        <v>16081699.480000019</v>
      </c>
      <c r="F1033" s="8" t="s">
        <v>10</v>
      </c>
      <c r="G1033" s="8" t="s">
        <v>446</v>
      </c>
      <c r="H1033" s="40" t="s">
        <v>4095</v>
      </c>
      <c r="I1033" s="40" t="s">
        <v>277</v>
      </c>
    </row>
    <row r="1034" spans="1:9">
      <c r="A1034" s="13">
        <v>45939</v>
      </c>
      <c r="B1034" s="8" t="s">
        <v>3838</v>
      </c>
      <c r="C1034" s="14">
        <v>6715000</v>
      </c>
      <c r="D1034" s="14">
        <v>0</v>
      </c>
      <c r="E1034" s="14">
        <f t="shared" si="23"/>
        <v>9366699.4800000191</v>
      </c>
      <c r="F1034" s="80" t="s">
        <v>920</v>
      </c>
      <c r="G1034" t="s">
        <v>371</v>
      </c>
    </row>
    <row r="1035" spans="1:9">
      <c r="A1035" s="13">
        <v>45940</v>
      </c>
      <c r="B1035" s="8" t="s">
        <v>3839</v>
      </c>
      <c r="C1035" s="14">
        <v>0</v>
      </c>
      <c r="D1035" s="14">
        <v>20606287</v>
      </c>
      <c r="E1035" s="14">
        <f t="shared" si="23"/>
        <v>29972986.480000019</v>
      </c>
      <c r="F1035" t="s">
        <v>2140</v>
      </c>
      <c r="G1035" t="s">
        <v>2141</v>
      </c>
      <c r="H1035" s="8" t="s">
        <v>2316</v>
      </c>
      <c r="I1035" t="s">
        <v>3447</v>
      </c>
    </row>
    <row r="1036" spans="1:9">
      <c r="A1036" s="13">
        <v>45940</v>
      </c>
      <c r="B1036" s="8" t="s">
        <v>3840</v>
      </c>
      <c r="C1036" s="14">
        <v>0</v>
      </c>
      <c r="D1036" s="14">
        <v>250000000</v>
      </c>
      <c r="E1036" s="14">
        <f t="shared" si="23"/>
        <v>279972986.48000002</v>
      </c>
      <c r="F1036" s="80" t="s">
        <v>920</v>
      </c>
      <c r="G1036" s="8" t="s">
        <v>4242</v>
      </c>
    </row>
    <row r="1037" spans="1:9">
      <c r="A1037" s="13">
        <v>45940</v>
      </c>
      <c r="B1037" s="8" t="s">
        <v>7105</v>
      </c>
      <c r="C1037" s="54">
        <v>68500000</v>
      </c>
      <c r="D1037" s="54">
        <v>0</v>
      </c>
      <c r="E1037" s="54">
        <f t="shared" si="23"/>
        <v>211472986.48000002</v>
      </c>
      <c r="F1037" s="8" t="s">
        <v>10</v>
      </c>
      <c r="G1037" s="8" t="s">
        <v>446</v>
      </c>
      <c r="H1037" s="40" t="s">
        <v>4095</v>
      </c>
      <c r="I1037" s="40" t="s">
        <v>26</v>
      </c>
    </row>
    <row r="1038" spans="1:9">
      <c r="A1038" s="13">
        <v>45940</v>
      </c>
      <c r="B1038" s="8" t="s">
        <v>7105</v>
      </c>
      <c r="C1038" s="54">
        <v>7535000</v>
      </c>
      <c r="D1038" s="54">
        <v>0</v>
      </c>
      <c r="E1038" s="54">
        <f t="shared" si="23"/>
        <v>203937986.48000002</v>
      </c>
      <c r="F1038" s="8" t="s">
        <v>920</v>
      </c>
      <c r="G1038" s="8" t="s">
        <v>7855</v>
      </c>
      <c r="H1038" s="40" t="s">
        <v>7032</v>
      </c>
      <c r="I1038" t="s">
        <v>4564</v>
      </c>
    </row>
    <row r="1039" spans="1:9" s="8" customFormat="1">
      <c r="A1039" s="13">
        <v>45940</v>
      </c>
      <c r="B1039" s="8" t="s">
        <v>7105</v>
      </c>
      <c r="C1039" s="54">
        <v>0</v>
      </c>
      <c r="D1039" s="54">
        <f>C1037+C1038-74665000</f>
        <v>1370000</v>
      </c>
      <c r="E1039" s="54">
        <f t="shared" si="23"/>
        <v>205307986.48000002</v>
      </c>
      <c r="F1039" s="8" t="s">
        <v>6</v>
      </c>
      <c r="G1039" s="8" t="s">
        <v>53</v>
      </c>
      <c r="H1039" s="8" t="s">
        <v>7125</v>
      </c>
      <c r="I1039" s="8" t="s">
        <v>4564</v>
      </c>
    </row>
    <row r="1040" spans="1:9">
      <c r="A1040" s="13">
        <v>45943</v>
      </c>
      <c r="B1040" s="8" t="s">
        <v>3842</v>
      </c>
      <c r="C1040" s="14">
        <v>0</v>
      </c>
      <c r="D1040" s="14">
        <v>17944998</v>
      </c>
      <c r="E1040" s="14">
        <f t="shared" si="23"/>
        <v>223252984.48000002</v>
      </c>
      <c r="F1040" t="s">
        <v>2140</v>
      </c>
      <c r="G1040" t="s">
        <v>2141</v>
      </c>
      <c r="H1040" t="s">
        <v>1445</v>
      </c>
      <c r="I1040" t="s">
        <v>4056</v>
      </c>
    </row>
    <row r="1041" spans="1:9">
      <c r="A1041" s="13">
        <v>45943</v>
      </c>
      <c r="B1041" s="8" t="s">
        <v>3843</v>
      </c>
      <c r="C1041" s="54">
        <v>84375000</v>
      </c>
      <c r="D1041" s="54">
        <v>0</v>
      </c>
      <c r="E1041" s="14">
        <f t="shared" si="23"/>
        <v>138877984.48000002</v>
      </c>
      <c r="F1041" s="8" t="s">
        <v>10</v>
      </c>
      <c r="G1041" s="8" t="s">
        <v>446</v>
      </c>
      <c r="H1041" s="40" t="s">
        <v>4095</v>
      </c>
      <c r="I1041" s="40" t="s">
        <v>26</v>
      </c>
    </row>
    <row r="1042" spans="1:9">
      <c r="A1042" s="13">
        <v>45943</v>
      </c>
      <c r="B1042" s="8" t="s">
        <v>3844</v>
      </c>
      <c r="C1042" s="14">
        <v>2200000</v>
      </c>
      <c r="D1042" s="14">
        <v>0</v>
      </c>
      <c r="E1042" s="14">
        <f t="shared" si="23"/>
        <v>136677984.48000002</v>
      </c>
      <c r="F1042" s="8" t="s">
        <v>4</v>
      </c>
      <c r="G1042" s="8" t="s">
        <v>5</v>
      </c>
      <c r="H1042" s="40" t="s">
        <v>4097</v>
      </c>
    </row>
    <row r="1043" spans="1:9">
      <c r="A1043" s="13">
        <v>45943</v>
      </c>
      <c r="B1043" s="8" t="s">
        <v>3845</v>
      </c>
      <c r="C1043" s="14">
        <v>66936</v>
      </c>
      <c r="D1043" s="14">
        <v>0</v>
      </c>
      <c r="E1043" s="14">
        <f t="shared" si="23"/>
        <v>136611048.48000002</v>
      </c>
      <c r="F1043" t="s">
        <v>8</v>
      </c>
      <c r="G1043" t="s">
        <v>31</v>
      </c>
    </row>
    <row r="1044" spans="1:9">
      <c r="A1044" s="13">
        <v>45943</v>
      </c>
      <c r="B1044" s="8" t="s">
        <v>3846</v>
      </c>
      <c r="C1044" s="14">
        <v>66936</v>
      </c>
      <c r="D1044" s="14">
        <v>0</v>
      </c>
      <c r="E1044" s="14">
        <f t="shared" si="23"/>
        <v>136544112.48000002</v>
      </c>
      <c r="F1044" t="s">
        <v>8</v>
      </c>
      <c r="G1044" t="s">
        <v>31</v>
      </c>
    </row>
    <row r="1045" spans="1:9">
      <c r="A1045" s="13">
        <v>45943</v>
      </c>
      <c r="B1045" s="8" t="s">
        <v>3847</v>
      </c>
      <c r="C1045" s="14">
        <v>87703</v>
      </c>
      <c r="D1045" s="14">
        <v>0</v>
      </c>
      <c r="E1045" s="14">
        <f t="shared" si="23"/>
        <v>136456409.48000002</v>
      </c>
      <c r="F1045" t="s">
        <v>8</v>
      </c>
      <c r="G1045" t="s">
        <v>31</v>
      </c>
    </row>
    <row r="1046" spans="1:9">
      <c r="A1046" s="13">
        <v>45943</v>
      </c>
      <c r="B1046" s="8" t="s">
        <v>3848</v>
      </c>
      <c r="C1046" s="55">
        <v>66936</v>
      </c>
      <c r="D1046" s="14">
        <v>0</v>
      </c>
      <c r="E1046" s="14">
        <f t="shared" si="23"/>
        <v>136389473.48000002</v>
      </c>
      <c r="F1046" t="s">
        <v>8</v>
      </c>
      <c r="G1046" t="s">
        <v>31</v>
      </c>
    </row>
    <row r="1047" spans="1:9">
      <c r="A1047" s="13">
        <v>45943</v>
      </c>
      <c r="B1047" s="8" t="s">
        <v>3849</v>
      </c>
      <c r="C1047" s="14">
        <v>73971</v>
      </c>
      <c r="D1047" s="14">
        <v>0</v>
      </c>
      <c r="E1047" s="14">
        <f t="shared" si="23"/>
        <v>136315502.48000002</v>
      </c>
      <c r="F1047" t="s">
        <v>8</v>
      </c>
      <c r="G1047" t="s">
        <v>31</v>
      </c>
    </row>
    <row r="1048" spans="1:9">
      <c r="A1048" s="13">
        <v>45943</v>
      </c>
      <c r="B1048" s="8" t="s">
        <v>3850</v>
      </c>
      <c r="C1048" s="55">
        <v>66936</v>
      </c>
      <c r="D1048" s="14">
        <v>0</v>
      </c>
      <c r="E1048" s="14">
        <f t="shared" si="23"/>
        <v>136248566.48000002</v>
      </c>
      <c r="F1048" t="s">
        <v>8</v>
      </c>
      <c r="G1048" t="s">
        <v>31</v>
      </c>
    </row>
    <row r="1049" spans="1:9">
      <c r="A1049" s="13">
        <v>45943</v>
      </c>
      <c r="B1049" s="8" t="s">
        <v>3851</v>
      </c>
      <c r="C1049" s="55">
        <v>66936</v>
      </c>
      <c r="D1049" s="14">
        <v>0</v>
      </c>
      <c r="E1049" s="14">
        <f t="shared" si="23"/>
        <v>136181630.48000002</v>
      </c>
      <c r="F1049" t="s">
        <v>8</v>
      </c>
      <c r="G1049" t="s">
        <v>31</v>
      </c>
    </row>
    <row r="1050" spans="1:9">
      <c r="A1050" s="13">
        <v>45943</v>
      </c>
      <c r="B1050" s="8" t="s">
        <v>3838</v>
      </c>
      <c r="C1050" s="14">
        <v>2500000</v>
      </c>
      <c r="D1050" s="14">
        <v>0</v>
      </c>
      <c r="E1050" s="14">
        <f t="shared" si="23"/>
        <v>133681630.48000002</v>
      </c>
      <c r="F1050" s="80" t="s">
        <v>920</v>
      </c>
      <c r="G1050" t="s">
        <v>371</v>
      </c>
    </row>
    <row r="1051" spans="1:9">
      <c r="A1051" s="13">
        <v>45943</v>
      </c>
      <c r="B1051" s="8" t="s">
        <v>3852</v>
      </c>
      <c r="C1051" s="14">
        <v>40000000</v>
      </c>
      <c r="D1051" s="14">
        <v>0</v>
      </c>
      <c r="E1051" s="14">
        <f t="shared" si="23"/>
        <v>93681630.480000019</v>
      </c>
      <c r="F1051" t="s">
        <v>920</v>
      </c>
      <c r="G1051" t="s">
        <v>400</v>
      </c>
      <c r="H1051" s="8" t="s">
        <v>5716</v>
      </c>
    </row>
    <row r="1052" spans="1:9">
      <c r="A1052" s="13">
        <v>45943</v>
      </c>
      <c r="B1052" s="8" t="s">
        <v>3853</v>
      </c>
      <c r="C1052" s="14">
        <v>10000000</v>
      </c>
      <c r="D1052" s="14">
        <v>0</v>
      </c>
      <c r="E1052" s="14">
        <f t="shared" si="23"/>
        <v>83681630.480000019</v>
      </c>
      <c r="F1052" t="s">
        <v>920</v>
      </c>
      <c r="G1052" t="s">
        <v>400</v>
      </c>
      <c r="H1052" s="8" t="s">
        <v>5701</v>
      </c>
    </row>
    <row r="1053" spans="1:9">
      <c r="A1053" s="13">
        <v>45945</v>
      </c>
      <c r="B1053" s="8" t="s">
        <v>3854</v>
      </c>
      <c r="C1053" s="14">
        <v>0</v>
      </c>
      <c r="D1053" s="14">
        <v>4486250</v>
      </c>
      <c r="E1053" s="14">
        <f t="shared" si="23"/>
        <v>88167880.480000019</v>
      </c>
      <c r="F1053" t="s">
        <v>2140</v>
      </c>
      <c r="G1053" t="s">
        <v>2141</v>
      </c>
      <c r="H1053" t="s">
        <v>1445</v>
      </c>
      <c r="I1053" t="s">
        <v>4046</v>
      </c>
    </row>
    <row r="1054" spans="1:9">
      <c r="A1054" s="13">
        <v>45945</v>
      </c>
      <c r="B1054" s="8" t="s">
        <v>7212</v>
      </c>
      <c r="C1054" s="54">
        <f>72045000+D1055</f>
        <v>74985612</v>
      </c>
      <c r="D1054" s="54">
        <v>0</v>
      </c>
      <c r="E1054" s="54">
        <f t="shared" si="23"/>
        <v>13182268.480000019</v>
      </c>
      <c r="F1054" s="8" t="s">
        <v>4</v>
      </c>
      <c r="G1054" s="8" t="s">
        <v>5</v>
      </c>
      <c r="H1054" s="40" t="s">
        <v>4098</v>
      </c>
    </row>
    <row r="1055" spans="1:9">
      <c r="A1055" s="13">
        <v>45945</v>
      </c>
      <c r="B1055" s="8" t="s">
        <v>7199</v>
      </c>
      <c r="C1055" s="54">
        <v>0</v>
      </c>
      <c r="D1055" s="54">
        <v>2940612</v>
      </c>
      <c r="E1055" s="54">
        <f t="shared" si="23"/>
        <v>16122880.480000019</v>
      </c>
      <c r="F1055" s="40" t="s">
        <v>920</v>
      </c>
      <c r="G1055" s="40" t="s">
        <v>4242</v>
      </c>
      <c r="H1055" s="40" t="s">
        <v>88</v>
      </c>
      <c r="I1055" s="40" t="s">
        <v>4564</v>
      </c>
    </row>
    <row r="1056" spans="1:9">
      <c r="A1056" s="13">
        <v>45945</v>
      </c>
      <c r="B1056" s="8" t="s">
        <v>3840</v>
      </c>
      <c r="C1056" s="14">
        <v>0</v>
      </c>
      <c r="D1056" s="14">
        <v>250000000</v>
      </c>
      <c r="E1056" s="14">
        <f t="shared" si="23"/>
        <v>266122880.48000002</v>
      </c>
      <c r="F1056" s="80" t="s">
        <v>920</v>
      </c>
      <c r="G1056" s="8" t="s">
        <v>4242</v>
      </c>
    </row>
    <row r="1057" spans="1:9">
      <c r="A1057" s="13">
        <v>45946</v>
      </c>
      <c r="B1057" s="8" t="s">
        <v>3855</v>
      </c>
      <c r="C1057" s="14">
        <v>0</v>
      </c>
      <c r="D1057" s="14">
        <v>5981667</v>
      </c>
      <c r="E1057" s="14">
        <f t="shared" si="23"/>
        <v>272104547.48000002</v>
      </c>
      <c r="F1057" t="s">
        <v>2140</v>
      </c>
      <c r="G1057" t="s">
        <v>2141</v>
      </c>
      <c r="H1057" t="s">
        <v>1445</v>
      </c>
      <c r="I1057" t="s">
        <v>4050</v>
      </c>
    </row>
    <row r="1058" spans="1:9">
      <c r="A1058" s="13">
        <v>45946</v>
      </c>
      <c r="B1058" s="8" t="s">
        <v>3856</v>
      </c>
      <c r="C1058" s="14">
        <v>1106500</v>
      </c>
      <c r="D1058" s="14">
        <v>0</v>
      </c>
      <c r="E1058" s="14">
        <f t="shared" si="23"/>
        <v>270998047.48000002</v>
      </c>
      <c r="F1058" s="8" t="s">
        <v>4</v>
      </c>
      <c r="G1058" s="8" t="s">
        <v>5</v>
      </c>
      <c r="H1058" s="40" t="s">
        <v>4098</v>
      </c>
    </row>
    <row r="1059" spans="1:9">
      <c r="A1059" s="13">
        <v>45946</v>
      </c>
      <c r="B1059" s="8" t="s">
        <v>3857</v>
      </c>
      <c r="C1059" s="14">
        <v>7500000</v>
      </c>
      <c r="D1059" s="14">
        <v>0</v>
      </c>
      <c r="E1059" s="14">
        <f t="shared" si="23"/>
        <v>263498047.48000002</v>
      </c>
      <c r="F1059" s="8" t="s">
        <v>4</v>
      </c>
      <c r="G1059" s="8" t="s">
        <v>5</v>
      </c>
      <c r="H1059" s="40" t="s">
        <v>4098</v>
      </c>
    </row>
    <row r="1060" spans="1:9">
      <c r="A1060" s="13">
        <v>45946</v>
      </c>
      <c r="B1060" s="8" t="s">
        <v>3858</v>
      </c>
      <c r="C1060" s="14">
        <v>54945000</v>
      </c>
      <c r="D1060" s="14">
        <v>0</v>
      </c>
      <c r="E1060" s="14">
        <f t="shared" si="23"/>
        <v>208553047.48000002</v>
      </c>
      <c r="F1060" s="8" t="s">
        <v>4</v>
      </c>
      <c r="G1060" s="8" t="s">
        <v>5</v>
      </c>
      <c r="H1060" s="40" t="s">
        <v>4098</v>
      </c>
    </row>
    <row r="1061" spans="1:9">
      <c r="A1061" s="13">
        <v>45946</v>
      </c>
      <c r="B1061" s="8" t="s">
        <v>7109</v>
      </c>
      <c r="C1061" s="54">
        <v>675676</v>
      </c>
      <c r="D1061" s="54">
        <v>0</v>
      </c>
      <c r="E1061" s="14">
        <f t="shared" si="23"/>
        <v>207877371.48000002</v>
      </c>
      <c r="F1061" t="s">
        <v>8</v>
      </c>
      <c r="G1061" t="s">
        <v>9</v>
      </c>
    </row>
    <row r="1062" spans="1:9">
      <c r="A1062" s="13">
        <v>45946</v>
      </c>
      <c r="B1062" s="8" t="s">
        <v>7109</v>
      </c>
      <c r="C1062" s="54">
        <v>74324</v>
      </c>
      <c r="D1062" s="54">
        <v>0</v>
      </c>
      <c r="E1062" s="14">
        <f t="shared" si="23"/>
        <v>207803047.48000002</v>
      </c>
      <c r="F1062" s="8" t="s">
        <v>920</v>
      </c>
      <c r="G1062" s="8" t="s">
        <v>7855</v>
      </c>
      <c r="H1062" s="40" t="s">
        <v>7032</v>
      </c>
      <c r="I1062" t="s">
        <v>4564</v>
      </c>
    </row>
    <row r="1063" spans="1:9" s="8" customFormat="1">
      <c r="A1063" s="13">
        <v>45946</v>
      </c>
      <c r="B1063" s="8" t="s">
        <v>7109</v>
      </c>
      <c r="C1063" s="55">
        <v>0</v>
      </c>
      <c r="D1063" s="55">
        <f>C1061+C1062-736486</f>
        <v>13514</v>
      </c>
      <c r="E1063" s="14">
        <f t="shared" si="23"/>
        <v>207816561.48000002</v>
      </c>
      <c r="F1063" s="8" t="s">
        <v>920</v>
      </c>
      <c r="G1063" s="8" t="s">
        <v>4242</v>
      </c>
      <c r="H1063" s="8" t="s">
        <v>88</v>
      </c>
      <c r="I1063" s="8" t="s">
        <v>4564</v>
      </c>
    </row>
    <row r="1064" spans="1:9">
      <c r="A1064" s="13">
        <v>45946</v>
      </c>
      <c r="B1064" s="8" t="s">
        <v>3859</v>
      </c>
      <c r="C1064" s="14">
        <v>325000</v>
      </c>
      <c r="D1064" s="14">
        <v>0</v>
      </c>
      <c r="E1064" s="14">
        <f t="shared" si="23"/>
        <v>207491561.48000002</v>
      </c>
      <c r="F1064" s="8" t="s">
        <v>4</v>
      </c>
      <c r="G1064" s="8" t="s">
        <v>5</v>
      </c>
      <c r="H1064" s="40" t="s">
        <v>4098</v>
      </c>
    </row>
    <row r="1065" spans="1:9">
      <c r="A1065" s="13">
        <v>45946</v>
      </c>
      <c r="B1065" s="8" t="s">
        <v>3860</v>
      </c>
      <c r="C1065" s="14">
        <v>30928750</v>
      </c>
      <c r="D1065" s="14">
        <v>0</v>
      </c>
      <c r="E1065" s="14">
        <f t="shared" si="23"/>
        <v>176562811.48000002</v>
      </c>
      <c r="F1065" s="8" t="s">
        <v>4</v>
      </c>
      <c r="G1065" s="8" t="s">
        <v>5</v>
      </c>
      <c r="H1065" s="40" t="s">
        <v>4077</v>
      </c>
      <c r="I1065" s="40" t="s">
        <v>26</v>
      </c>
    </row>
    <row r="1066" spans="1:9">
      <c r="A1066" s="13">
        <v>45946</v>
      </c>
      <c r="B1066" s="8" t="s">
        <v>3861</v>
      </c>
      <c r="C1066" s="14">
        <v>86195000</v>
      </c>
      <c r="D1066" s="14">
        <v>0</v>
      </c>
      <c r="E1066" s="14">
        <f t="shared" si="23"/>
        <v>90367811.480000019</v>
      </c>
      <c r="F1066" s="8" t="s">
        <v>4</v>
      </c>
      <c r="G1066" s="8" t="s">
        <v>5</v>
      </c>
      <c r="H1066" s="40" t="s">
        <v>4098</v>
      </c>
    </row>
    <row r="1067" spans="1:9">
      <c r="A1067" s="13">
        <v>45946</v>
      </c>
      <c r="B1067" s="8" t="s">
        <v>3862</v>
      </c>
      <c r="C1067" s="14">
        <v>6500000</v>
      </c>
      <c r="D1067" s="14">
        <v>0</v>
      </c>
      <c r="E1067" s="14">
        <f t="shared" si="23"/>
        <v>83867811.480000019</v>
      </c>
      <c r="F1067" s="8" t="s">
        <v>1212</v>
      </c>
      <c r="G1067" t="s">
        <v>367</v>
      </c>
      <c r="H1067" t="s">
        <v>3020</v>
      </c>
    </row>
    <row r="1068" spans="1:9">
      <c r="A1068" s="13">
        <v>45946</v>
      </c>
      <c r="B1068" s="8" t="s">
        <v>3863</v>
      </c>
      <c r="C1068" s="14">
        <v>2250000</v>
      </c>
      <c r="D1068" s="14">
        <v>0</v>
      </c>
      <c r="E1068" s="14">
        <f t="shared" si="23"/>
        <v>81617811.480000019</v>
      </c>
      <c r="F1068" s="8" t="s">
        <v>4</v>
      </c>
      <c r="G1068" s="8" t="s">
        <v>5</v>
      </c>
      <c r="H1068" s="40" t="s">
        <v>4098</v>
      </c>
    </row>
    <row r="1069" spans="1:9">
      <c r="A1069" s="13">
        <v>45946</v>
      </c>
      <c r="B1069" s="8" t="s">
        <v>3864</v>
      </c>
      <c r="C1069" s="14">
        <v>750000</v>
      </c>
      <c r="D1069" s="14">
        <v>0</v>
      </c>
      <c r="E1069" s="14">
        <f t="shared" si="23"/>
        <v>80867811.480000019</v>
      </c>
      <c r="F1069" s="8" t="s">
        <v>4</v>
      </c>
      <c r="G1069" s="8" t="s">
        <v>5</v>
      </c>
      <c r="H1069" s="40" t="s">
        <v>4098</v>
      </c>
    </row>
    <row r="1070" spans="1:9">
      <c r="A1070" s="13">
        <v>45946</v>
      </c>
      <c r="B1070" s="8" t="s">
        <v>3840</v>
      </c>
      <c r="C1070" s="14">
        <v>0</v>
      </c>
      <c r="D1070" s="14">
        <v>60000000</v>
      </c>
      <c r="E1070" s="14">
        <f t="shared" si="23"/>
        <v>140867811.48000002</v>
      </c>
      <c r="F1070" s="80" t="s">
        <v>920</v>
      </c>
      <c r="G1070" s="8" t="s">
        <v>4242</v>
      </c>
    </row>
    <row r="1071" spans="1:9">
      <c r="A1071" s="13">
        <v>45946</v>
      </c>
      <c r="B1071" s="8" t="s">
        <v>3865</v>
      </c>
      <c r="C1071" s="14">
        <v>2250000</v>
      </c>
      <c r="D1071" s="14">
        <v>0</v>
      </c>
      <c r="E1071" s="14">
        <f t="shared" si="23"/>
        <v>138617811.48000002</v>
      </c>
      <c r="F1071" s="8" t="s">
        <v>4</v>
      </c>
      <c r="G1071" s="8" t="s">
        <v>5</v>
      </c>
      <c r="H1071" s="40" t="s">
        <v>4098</v>
      </c>
    </row>
    <row r="1072" spans="1:9">
      <c r="A1072" s="13">
        <v>45946</v>
      </c>
      <c r="B1072" s="8" t="s">
        <v>3866</v>
      </c>
      <c r="C1072" s="14">
        <v>1250000</v>
      </c>
      <c r="D1072" s="14">
        <v>0</v>
      </c>
      <c r="E1072" s="14">
        <f t="shared" si="23"/>
        <v>137367811.48000002</v>
      </c>
      <c r="F1072" s="8" t="s">
        <v>4</v>
      </c>
      <c r="G1072" s="8" t="s">
        <v>5</v>
      </c>
      <c r="H1072" s="40" t="s">
        <v>4098</v>
      </c>
    </row>
    <row r="1073" spans="1:9">
      <c r="A1073" s="13">
        <v>45946</v>
      </c>
      <c r="B1073" s="8" t="s">
        <v>3867</v>
      </c>
      <c r="C1073" s="14">
        <v>16900000</v>
      </c>
      <c r="D1073" s="14">
        <v>0</v>
      </c>
      <c r="E1073" s="14">
        <f t="shared" si="23"/>
        <v>120467811.48000002</v>
      </c>
      <c r="F1073" s="8" t="s">
        <v>4</v>
      </c>
      <c r="G1073" s="8" t="s">
        <v>5</v>
      </c>
      <c r="H1073" s="40" t="s">
        <v>4098</v>
      </c>
    </row>
    <row r="1074" spans="1:9">
      <c r="A1074" s="13">
        <v>45946</v>
      </c>
      <c r="B1074" s="8" t="s">
        <v>3868</v>
      </c>
      <c r="C1074" s="14">
        <v>74666050</v>
      </c>
      <c r="D1074" s="14">
        <v>0</v>
      </c>
      <c r="E1074" s="14">
        <f t="shared" si="23"/>
        <v>45801761.480000019</v>
      </c>
      <c r="F1074" s="8" t="s">
        <v>4</v>
      </c>
      <c r="G1074" s="8" t="s">
        <v>5</v>
      </c>
      <c r="H1074" t="s">
        <v>3334</v>
      </c>
    </row>
    <row r="1075" spans="1:9">
      <c r="A1075" s="13">
        <v>45946</v>
      </c>
      <c r="B1075" s="8" t="s">
        <v>3869</v>
      </c>
      <c r="C1075" s="14">
        <v>300000</v>
      </c>
      <c r="D1075" s="14">
        <v>0</v>
      </c>
      <c r="E1075" s="14">
        <f t="shared" si="23"/>
        <v>45501761.480000019</v>
      </c>
      <c r="F1075" s="8" t="s">
        <v>4</v>
      </c>
      <c r="G1075" s="8" t="s">
        <v>5</v>
      </c>
      <c r="H1075" s="40" t="s">
        <v>4098</v>
      </c>
    </row>
    <row r="1076" spans="1:9">
      <c r="A1076" s="13">
        <v>45946</v>
      </c>
      <c r="B1076" s="8" t="s">
        <v>3870</v>
      </c>
      <c r="C1076" s="14">
        <v>6000000</v>
      </c>
      <c r="D1076" s="14">
        <v>0</v>
      </c>
      <c r="E1076" s="14">
        <f t="shared" si="23"/>
        <v>39501761.480000019</v>
      </c>
      <c r="F1076" s="8" t="s">
        <v>4</v>
      </c>
      <c r="G1076" s="8" t="s">
        <v>5</v>
      </c>
      <c r="H1076" s="40" t="s">
        <v>4098</v>
      </c>
    </row>
    <row r="1077" spans="1:9">
      <c r="A1077" s="13">
        <v>45946</v>
      </c>
      <c r="B1077" s="8" t="s">
        <v>3838</v>
      </c>
      <c r="C1077" s="14">
        <v>13550000</v>
      </c>
      <c r="D1077" s="14">
        <v>0</v>
      </c>
      <c r="E1077" s="14">
        <f t="shared" si="23"/>
        <v>25951761.480000019</v>
      </c>
      <c r="F1077" s="80" t="s">
        <v>920</v>
      </c>
      <c r="G1077" t="s">
        <v>371</v>
      </c>
    </row>
    <row r="1078" spans="1:9">
      <c r="A1078" s="13">
        <v>45951</v>
      </c>
      <c r="B1078" s="8" t="s">
        <v>5643</v>
      </c>
      <c r="C1078" s="14">
        <v>0</v>
      </c>
      <c r="D1078" s="14">
        <v>15000000</v>
      </c>
      <c r="E1078" s="14">
        <f t="shared" si="23"/>
        <v>40951761.480000019</v>
      </c>
      <c r="F1078" t="s">
        <v>1400</v>
      </c>
      <c r="G1078" t="s">
        <v>1400</v>
      </c>
    </row>
    <row r="1079" spans="1:9">
      <c r="A1079" s="13">
        <v>45951</v>
      </c>
      <c r="B1079" s="8" t="s">
        <v>3871</v>
      </c>
      <c r="C1079" s="14">
        <v>0</v>
      </c>
      <c r="D1079" s="14">
        <v>500000000</v>
      </c>
      <c r="E1079" s="14">
        <f t="shared" si="23"/>
        <v>540951761.48000002</v>
      </c>
      <c r="F1079" t="s">
        <v>2140</v>
      </c>
      <c r="G1079" t="s">
        <v>2141</v>
      </c>
      <c r="H1079" t="s">
        <v>3440</v>
      </c>
      <c r="I1079" t="s">
        <v>4072</v>
      </c>
    </row>
    <row r="1080" spans="1:9">
      <c r="A1080" s="13">
        <v>45951</v>
      </c>
      <c r="B1080" s="8" t="s">
        <v>3871</v>
      </c>
      <c r="C1080" s="14">
        <v>0</v>
      </c>
      <c r="D1080" s="14">
        <v>500000000</v>
      </c>
      <c r="E1080" s="14">
        <f t="shared" si="23"/>
        <v>1040951761.48</v>
      </c>
      <c r="F1080" t="s">
        <v>2140</v>
      </c>
      <c r="G1080" t="s">
        <v>2141</v>
      </c>
      <c r="H1080" t="s">
        <v>3440</v>
      </c>
      <c r="I1080" t="s">
        <v>4072</v>
      </c>
    </row>
    <row r="1081" spans="1:9">
      <c r="A1081" s="13">
        <v>45951</v>
      </c>
      <c r="B1081" s="8" t="s">
        <v>3871</v>
      </c>
      <c r="C1081" s="14">
        <v>0</v>
      </c>
      <c r="D1081" s="14">
        <v>406750510</v>
      </c>
      <c r="E1081" s="14">
        <f t="shared" si="23"/>
        <v>1447702271.48</v>
      </c>
      <c r="F1081" t="s">
        <v>2140</v>
      </c>
      <c r="G1081" t="s">
        <v>2141</v>
      </c>
      <c r="H1081" t="s">
        <v>3440</v>
      </c>
      <c r="I1081" t="s">
        <v>4072</v>
      </c>
    </row>
    <row r="1082" spans="1:9">
      <c r="A1082" s="13">
        <v>45952</v>
      </c>
      <c r="B1082" s="8" t="s">
        <v>3872</v>
      </c>
      <c r="C1082" s="14">
        <v>0</v>
      </c>
      <c r="D1082" s="14">
        <v>2134206</v>
      </c>
      <c r="E1082" s="14">
        <f t="shared" ref="E1082:E1095" si="24">E1081-C1082+D1082</f>
        <v>1449836477.48</v>
      </c>
      <c r="F1082" t="s">
        <v>920</v>
      </c>
      <c r="G1082" t="s">
        <v>464</v>
      </c>
      <c r="H1082" s="8" t="s">
        <v>5679</v>
      </c>
    </row>
    <row r="1083" spans="1:9">
      <c r="A1083" s="13">
        <v>45952</v>
      </c>
      <c r="B1083" s="8" t="s">
        <v>3871</v>
      </c>
      <c r="C1083" s="14">
        <v>0</v>
      </c>
      <c r="D1083" s="14">
        <v>500000000</v>
      </c>
      <c r="E1083" s="14">
        <f t="shared" si="24"/>
        <v>1949836477.48</v>
      </c>
      <c r="F1083" s="80" t="s">
        <v>2140</v>
      </c>
      <c r="G1083" s="80" t="s">
        <v>2141</v>
      </c>
      <c r="H1083" t="s">
        <v>3440</v>
      </c>
      <c r="I1083" t="s">
        <v>4072</v>
      </c>
    </row>
    <row r="1084" spans="1:9">
      <c r="A1084" s="13">
        <v>45952</v>
      </c>
      <c r="B1084" s="8" t="s">
        <v>5372</v>
      </c>
      <c r="C1084" s="14">
        <v>7501000</v>
      </c>
      <c r="D1084" s="14">
        <v>0</v>
      </c>
      <c r="E1084" s="14">
        <f t="shared" si="24"/>
        <v>1942335477.48</v>
      </c>
      <c r="F1084" t="s">
        <v>4</v>
      </c>
      <c r="G1084" t="s">
        <v>5</v>
      </c>
      <c r="H1084" s="40" t="s">
        <v>1627</v>
      </c>
    </row>
    <row r="1085" spans="1:9" s="8" customFormat="1">
      <c r="A1085" s="13">
        <v>45952</v>
      </c>
      <c r="B1085" s="8" t="s">
        <v>7140</v>
      </c>
      <c r="C1085" s="54">
        <v>5777000</v>
      </c>
      <c r="D1085" s="54">
        <v>0</v>
      </c>
      <c r="E1085" s="54">
        <f t="shared" si="24"/>
        <v>1936558477.48</v>
      </c>
      <c r="F1085" s="8" t="s">
        <v>8</v>
      </c>
      <c r="G1085" s="8" t="s">
        <v>14</v>
      </c>
    </row>
    <row r="1086" spans="1:9" s="8" customFormat="1">
      <c r="A1086" s="13">
        <v>45952</v>
      </c>
      <c r="B1086" s="8" t="s">
        <v>7140</v>
      </c>
      <c r="C1086" s="54">
        <v>115540</v>
      </c>
      <c r="D1086" s="54">
        <v>0</v>
      </c>
      <c r="E1086" s="54">
        <f t="shared" si="24"/>
        <v>1936442937.48</v>
      </c>
      <c r="F1086" s="8" t="s">
        <v>8</v>
      </c>
      <c r="G1086" s="8" t="s">
        <v>14</v>
      </c>
    </row>
    <row r="1087" spans="1:9" s="8" customFormat="1">
      <c r="A1087" s="13">
        <v>45952</v>
      </c>
      <c r="B1087" s="8" t="s">
        <v>7140</v>
      </c>
      <c r="C1087" s="54">
        <v>0</v>
      </c>
      <c r="D1087" s="54">
        <f>C1085+C1086-5777000</f>
        <v>115540</v>
      </c>
      <c r="E1087" s="54">
        <f t="shared" si="24"/>
        <v>1936558477.48</v>
      </c>
      <c r="F1087" s="8" t="s">
        <v>920</v>
      </c>
      <c r="G1087" s="8" t="s">
        <v>4242</v>
      </c>
      <c r="H1087" s="8" t="s">
        <v>88</v>
      </c>
      <c r="I1087" s="8" t="s">
        <v>4564</v>
      </c>
    </row>
    <row r="1088" spans="1:9">
      <c r="A1088" s="13">
        <v>45952</v>
      </c>
      <c r="B1088" s="8" t="s">
        <v>3873</v>
      </c>
      <c r="C1088" s="14">
        <v>2400000</v>
      </c>
      <c r="D1088" s="14">
        <v>0</v>
      </c>
      <c r="E1088" s="14">
        <f t="shared" si="24"/>
        <v>1934158477.48</v>
      </c>
      <c r="F1088" s="8" t="s">
        <v>4</v>
      </c>
      <c r="G1088" s="8" t="s">
        <v>5</v>
      </c>
      <c r="H1088" s="40" t="s">
        <v>1636</v>
      </c>
    </row>
    <row r="1089" spans="1:9">
      <c r="A1089" s="13">
        <v>45952</v>
      </c>
      <c r="B1089" s="8" t="s">
        <v>3874</v>
      </c>
      <c r="C1089" s="14">
        <v>759100</v>
      </c>
      <c r="D1089" s="14">
        <v>0</v>
      </c>
      <c r="E1089" s="14">
        <f t="shared" si="24"/>
        <v>1933399377.48</v>
      </c>
      <c r="F1089" s="8" t="s">
        <v>1212</v>
      </c>
      <c r="G1089" t="s">
        <v>367</v>
      </c>
      <c r="H1089" t="s">
        <v>3020</v>
      </c>
    </row>
    <row r="1090" spans="1:9" s="8" customFormat="1">
      <c r="A1090" s="13">
        <v>45952</v>
      </c>
      <c r="B1090" s="8" t="s">
        <v>7128</v>
      </c>
      <c r="C1090" s="54">
        <f>196204100-96140000-18</f>
        <v>100064082</v>
      </c>
      <c r="D1090" s="54">
        <v>0</v>
      </c>
      <c r="E1090" s="54">
        <f t="shared" si="24"/>
        <v>1833335295.48</v>
      </c>
      <c r="F1090" s="8" t="s">
        <v>4</v>
      </c>
      <c r="G1090" s="8" t="s">
        <v>5</v>
      </c>
      <c r="H1090" s="8" t="s">
        <v>4098</v>
      </c>
    </row>
    <row r="1091" spans="1:9" s="8" customFormat="1">
      <c r="A1091" s="13">
        <v>45952</v>
      </c>
      <c r="B1091" s="8" t="s">
        <v>7128</v>
      </c>
      <c r="C1091" s="54">
        <v>0</v>
      </c>
      <c r="D1091" s="54">
        <f>C1090-96140000</f>
        <v>3924082</v>
      </c>
      <c r="E1091" s="14">
        <f t="shared" si="24"/>
        <v>1837259377.48</v>
      </c>
      <c r="F1091" s="8" t="s">
        <v>6</v>
      </c>
      <c r="G1091" s="8" t="s">
        <v>53</v>
      </c>
      <c r="H1091" s="8" t="s">
        <v>7125</v>
      </c>
      <c r="I1091" s="8" t="s">
        <v>4565</v>
      </c>
    </row>
    <row r="1092" spans="1:9" s="8" customFormat="1">
      <c r="A1092" s="13">
        <v>45952</v>
      </c>
      <c r="B1092" s="8" t="s">
        <v>3875</v>
      </c>
      <c r="C1092" s="54">
        <v>4482500</v>
      </c>
      <c r="D1092" s="54">
        <v>0</v>
      </c>
      <c r="E1092" s="54">
        <f t="shared" si="24"/>
        <v>1832776877.48</v>
      </c>
      <c r="F1092" s="8" t="s">
        <v>4</v>
      </c>
      <c r="G1092" s="8" t="s">
        <v>5</v>
      </c>
      <c r="H1092" s="8" t="s">
        <v>4098</v>
      </c>
    </row>
    <row r="1093" spans="1:9" s="8" customFormat="1">
      <c r="A1093" s="13">
        <v>45952</v>
      </c>
      <c r="B1093" s="8" t="s">
        <v>7130</v>
      </c>
      <c r="C1093" s="54">
        <v>10000000</v>
      </c>
      <c r="D1093" s="54">
        <v>0</v>
      </c>
      <c r="E1093" s="54">
        <f t="shared" si="24"/>
        <v>1822776877.48</v>
      </c>
      <c r="F1093" s="8" t="s">
        <v>4</v>
      </c>
      <c r="G1093" s="8" t="s">
        <v>5</v>
      </c>
      <c r="H1093" s="8" t="s">
        <v>4098</v>
      </c>
    </row>
    <row r="1094" spans="1:9">
      <c r="A1094" s="13">
        <v>45952</v>
      </c>
      <c r="B1094" s="8" t="s">
        <v>7130</v>
      </c>
      <c r="C1094" s="54">
        <v>0</v>
      </c>
      <c r="D1094" s="54">
        <f>C1093-9800000</f>
        <v>200000</v>
      </c>
      <c r="E1094" s="14">
        <f t="shared" si="24"/>
        <v>1822976877.48</v>
      </c>
      <c r="F1094" s="8" t="s">
        <v>6</v>
      </c>
      <c r="G1094" s="8" t="s">
        <v>53</v>
      </c>
      <c r="H1094" s="40" t="s">
        <v>7125</v>
      </c>
      <c r="I1094" t="s">
        <v>4565</v>
      </c>
    </row>
    <row r="1095" spans="1:9">
      <c r="A1095" s="13">
        <v>45952</v>
      </c>
      <c r="B1095" s="8" t="s">
        <v>3876</v>
      </c>
      <c r="C1095" s="14">
        <v>10000000</v>
      </c>
      <c r="D1095" s="14">
        <v>0</v>
      </c>
      <c r="E1095" s="14">
        <f t="shared" si="24"/>
        <v>1812976877.48</v>
      </c>
      <c r="F1095" s="8" t="s">
        <v>4</v>
      </c>
      <c r="G1095" s="8" t="s">
        <v>5</v>
      </c>
      <c r="H1095" s="40" t="s">
        <v>4097</v>
      </c>
    </row>
    <row r="1096" spans="1:9">
      <c r="A1096" s="13">
        <v>45952</v>
      </c>
      <c r="B1096" s="8" t="s">
        <v>3774</v>
      </c>
      <c r="C1096" s="14">
        <v>250000000</v>
      </c>
      <c r="D1096" s="14">
        <v>0</v>
      </c>
      <c r="E1096" s="14">
        <f t="shared" ref="E1096:E1142" si="25">E1095-C1096+D1096</f>
        <v>1562976877.48</v>
      </c>
      <c r="F1096" s="80" t="s">
        <v>920</v>
      </c>
      <c r="G1096" t="s">
        <v>4241</v>
      </c>
    </row>
    <row r="1097" spans="1:9">
      <c r="A1097" s="13">
        <v>45952</v>
      </c>
      <c r="B1097" s="8" t="s">
        <v>3775</v>
      </c>
      <c r="C1097" s="14">
        <v>2500</v>
      </c>
      <c r="D1097" s="14">
        <v>0</v>
      </c>
      <c r="E1097" s="14">
        <f t="shared" si="25"/>
        <v>1562974377.48</v>
      </c>
      <c r="F1097" t="s">
        <v>19</v>
      </c>
      <c r="G1097" t="s">
        <v>189</v>
      </c>
    </row>
    <row r="1098" spans="1:9">
      <c r="A1098" s="13">
        <v>45953</v>
      </c>
      <c r="B1098" s="8" t="s">
        <v>3877</v>
      </c>
      <c r="C1098" s="14">
        <v>0</v>
      </c>
      <c r="D1098" s="14">
        <v>48073</v>
      </c>
      <c r="E1098" s="14">
        <f t="shared" si="25"/>
        <v>1563022450.48</v>
      </c>
      <c r="F1098" t="s">
        <v>920</v>
      </c>
      <c r="G1098" t="s">
        <v>464</v>
      </c>
      <c r="H1098" s="8" t="s">
        <v>5653</v>
      </c>
    </row>
    <row r="1099" spans="1:9">
      <c r="A1099" s="13">
        <v>45953</v>
      </c>
      <c r="B1099" s="8" t="s">
        <v>3878</v>
      </c>
      <c r="C1099" s="14">
        <v>0</v>
      </c>
      <c r="D1099" s="14">
        <v>76659742</v>
      </c>
      <c r="E1099" s="14">
        <f t="shared" si="25"/>
        <v>1639682192.48</v>
      </c>
      <c r="F1099" t="s">
        <v>2140</v>
      </c>
      <c r="G1099" t="s">
        <v>2141</v>
      </c>
      <c r="H1099" s="8" t="s">
        <v>2316</v>
      </c>
      <c r="I1099" t="s">
        <v>3444</v>
      </c>
    </row>
    <row r="1100" spans="1:9" s="8" customFormat="1">
      <c r="A1100" s="13">
        <v>45953</v>
      </c>
      <c r="B1100" s="8" t="s">
        <v>3879</v>
      </c>
      <c r="C1100" s="54">
        <v>12781650</v>
      </c>
      <c r="D1100" s="54">
        <v>0</v>
      </c>
      <c r="E1100" s="54">
        <f t="shared" si="25"/>
        <v>1626900542.48</v>
      </c>
      <c r="F1100" s="8" t="s">
        <v>4</v>
      </c>
      <c r="G1100" s="8" t="s">
        <v>5</v>
      </c>
      <c r="H1100" s="8" t="s">
        <v>4098</v>
      </c>
    </row>
    <row r="1101" spans="1:9">
      <c r="A1101" s="13">
        <v>45953</v>
      </c>
      <c r="B1101" s="8" t="s">
        <v>3880</v>
      </c>
      <c r="C1101" s="14">
        <v>15000000</v>
      </c>
      <c r="D1101" s="14">
        <v>0</v>
      </c>
      <c r="E1101" s="14">
        <f t="shared" si="25"/>
        <v>1611900542.48</v>
      </c>
      <c r="F1101" s="8" t="s">
        <v>4</v>
      </c>
      <c r="G1101" s="8" t="s">
        <v>5</v>
      </c>
      <c r="H1101" s="40" t="s">
        <v>4077</v>
      </c>
      <c r="I1101" s="40" t="s">
        <v>26</v>
      </c>
    </row>
    <row r="1102" spans="1:9" s="8" customFormat="1">
      <c r="A1102" s="13">
        <v>45953</v>
      </c>
      <c r="B1102" s="8" t="s">
        <v>3881</v>
      </c>
      <c r="C1102" s="54">
        <v>52792500</v>
      </c>
      <c r="D1102" s="54">
        <v>0</v>
      </c>
      <c r="E1102" s="54">
        <f t="shared" si="25"/>
        <v>1559108042.48</v>
      </c>
      <c r="F1102" s="8" t="s">
        <v>4</v>
      </c>
      <c r="G1102" s="8" t="s">
        <v>5</v>
      </c>
      <c r="H1102" s="8" t="s">
        <v>4098</v>
      </c>
    </row>
    <row r="1103" spans="1:9" s="8" customFormat="1">
      <c r="A1103" s="13">
        <v>45953</v>
      </c>
      <c r="B1103" s="8" t="s">
        <v>7102</v>
      </c>
      <c r="C1103" s="54">
        <v>18865000</v>
      </c>
      <c r="D1103" s="54">
        <v>0</v>
      </c>
      <c r="E1103" s="54">
        <f t="shared" si="25"/>
        <v>1540243042.48</v>
      </c>
      <c r="F1103" s="8" t="s">
        <v>4</v>
      </c>
      <c r="G1103" s="8" t="s">
        <v>5</v>
      </c>
      <c r="H1103" s="8" t="s">
        <v>4098</v>
      </c>
    </row>
    <row r="1104" spans="1:9">
      <c r="A1104" s="13">
        <v>45953</v>
      </c>
      <c r="B1104" s="8" t="s">
        <v>7102</v>
      </c>
      <c r="C1104" s="54">
        <v>2075150</v>
      </c>
      <c r="D1104" s="54">
        <v>0</v>
      </c>
      <c r="E1104" s="54">
        <f t="shared" si="25"/>
        <v>1538167892.48</v>
      </c>
      <c r="F1104" s="8" t="s">
        <v>920</v>
      </c>
      <c r="G1104" s="8" t="s">
        <v>7855</v>
      </c>
      <c r="H1104" s="40" t="s">
        <v>7032</v>
      </c>
      <c r="I1104" t="s">
        <v>4564</v>
      </c>
    </row>
    <row r="1105" spans="1:9" s="8" customFormat="1">
      <c r="A1105" s="13">
        <v>45953</v>
      </c>
      <c r="B1105" s="8" t="s">
        <v>7102</v>
      </c>
      <c r="C1105" s="54">
        <v>0</v>
      </c>
      <c r="D1105" s="54">
        <f>C1103+C1104-20562850</f>
        <v>377300</v>
      </c>
      <c r="E1105" s="54">
        <f t="shared" si="25"/>
        <v>1538545192.48</v>
      </c>
      <c r="F1105" s="8" t="s">
        <v>920</v>
      </c>
      <c r="G1105" s="8" t="s">
        <v>4242</v>
      </c>
      <c r="H1105" s="8" t="s">
        <v>88</v>
      </c>
      <c r="I1105" s="8" t="s">
        <v>4564</v>
      </c>
    </row>
    <row r="1106" spans="1:9" s="8" customFormat="1">
      <c r="A1106" s="13">
        <v>45953</v>
      </c>
      <c r="B1106" s="8" t="s">
        <v>7103</v>
      </c>
      <c r="C1106" s="54">
        <v>76422500</v>
      </c>
      <c r="D1106" s="54">
        <v>0</v>
      </c>
      <c r="E1106" s="54">
        <f t="shared" si="25"/>
        <v>1462122692.48</v>
      </c>
      <c r="F1106" s="8" t="s">
        <v>4</v>
      </c>
      <c r="G1106" s="8" t="s">
        <v>5</v>
      </c>
      <c r="H1106" s="8" t="s">
        <v>4098</v>
      </c>
    </row>
    <row r="1107" spans="1:9">
      <c r="A1107" s="13">
        <v>45953</v>
      </c>
      <c r="B1107" s="8" t="s">
        <v>7103</v>
      </c>
      <c r="C1107" s="54">
        <v>8406475</v>
      </c>
      <c r="D1107" s="54">
        <v>0</v>
      </c>
      <c r="E1107" s="54">
        <f t="shared" si="25"/>
        <v>1453716217.48</v>
      </c>
      <c r="F1107" s="8" t="s">
        <v>920</v>
      </c>
      <c r="G1107" s="8" t="s">
        <v>7855</v>
      </c>
      <c r="H1107" s="40" t="s">
        <v>7032</v>
      </c>
      <c r="I1107" t="s">
        <v>4564</v>
      </c>
    </row>
    <row r="1108" spans="1:9" s="8" customFormat="1">
      <c r="A1108" s="13">
        <v>45953</v>
      </c>
      <c r="B1108" s="8" t="s">
        <v>7103</v>
      </c>
      <c r="C1108" s="54">
        <v>0</v>
      </c>
      <c r="D1108" s="54">
        <f>C1106+C1107-81772075</f>
        <v>3056900</v>
      </c>
      <c r="E1108" s="54">
        <f t="shared" si="25"/>
        <v>1456773117.48</v>
      </c>
      <c r="F1108" s="8" t="s">
        <v>920</v>
      </c>
      <c r="G1108" s="8" t="s">
        <v>4242</v>
      </c>
      <c r="H1108" s="8" t="s">
        <v>88</v>
      </c>
      <c r="I1108" s="8" t="s">
        <v>4564</v>
      </c>
    </row>
    <row r="1109" spans="1:9">
      <c r="A1109" s="13">
        <v>45953</v>
      </c>
      <c r="B1109" s="8" t="s">
        <v>3882</v>
      </c>
      <c r="C1109" s="14">
        <v>80613500</v>
      </c>
      <c r="D1109" s="14">
        <v>0</v>
      </c>
      <c r="E1109" s="54">
        <f t="shared" si="25"/>
        <v>1376159617.48</v>
      </c>
      <c r="F1109" s="8" t="s">
        <v>4</v>
      </c>
      <c r="G1109" s="8" t="s">
        <v>5</v>
      </c>
      <c r="H1109" s="40" t="s">
        <v>4098</v>
      </c>
    </row>
    <row r="1110" spans="1:9">
      <c r="A1110" s="13">
        <v>45953</v>
      </c>
      <c r="B1110" s="8" t="s">
        <v>7210</v>
      </c>
      <c r="C1110" s="54">
        <f>83600000+D1111</f>
        <v>88000000</v>
      </c>
      <c r="D1110" s="54">
        <v>0</v>
      </c>
      <c r="E1110" s="54">
        <f t="shared" si="25"/>
        <v>1288159617.48</v>
      </c>
      <c r="F1110" s="8" t="s">
        <v>4</v>
      </c>
      <c r="G1110" s="8" t="s">
        <v>5</v>
      </c>
      <c r="H1110" s="40" t="s">
        <v>4098</v>
      </c>
    </row>
    <row r="1111" spans="1:9">
      <c r="A1111" s="13">
        <v>45953</v>
      </c>
      <c r="B1111" s="8" t="s">
        <v>7210</v>
      </c>
      <c r="C1111" s="54">
        <v>0</v>
      </c>
      <c r="D1111" s="54">
        <v>4400000</v>
      </c>
      <c r="E1111" s="54">
        <f t="shared" si="25"/>
        <v>1292559617.48</v>
      </c>
      <c r="F1111" s="40" t="s">
        <v>920</v>
      </c>
      <c r="G1111" s="40" t="s">
        <v>4242</v>
      </c>
      <c r="H1111" s="40" t="s">
        <v>88</v>
      </c>
      <c r="I1111" s="40" t="s">
        <v>4564</v>
      </c>
    </row>
    <row r="1112" spans="1:9">
      <c r="A1112" s="13">
        <v>45953</v>
      </c>
      <c r="B1112" s="8" t="s">
        <v>3883</v>
      </c>
      <c r="C1112" s="14">
        <v>8888920</v>
      </c>
      <c r="D1112" s="14">
        <v>0</v>
      </c>
      <c r="E1112" s="54">
        <f t="shared" si="25"/>
        <v>1283670697.48</v>
      </c>
      <c r="F1112" s="8" t="s">
        <v>4</v>
      </c>
      <c r="G1112" s="8" t="s">
        <v>5</v>
      </c>
      <c r="H1112" s="40" t="s">
        <v>1609</v>
      </c>
    </row>
    <row r="1113" spans="1:9">
      <c r="A1113" s="13">
        <v>45953</v>
      </c>
      <c r="B1113" s="8" t="s">
        <v>3884</v>
      </c>
      <c r="C1113" s="14">
        <v>62815000</v>
      </c>
      <c r="D1113" s="14">
        <v>0</v>
      </c>
      <c r="E1113" s="54">
        <f t="shared" si="25"/>
        <v>1220855697.48</v>
      </c>
      <c r="F1113" s="8" t="s">
        <v>4</v>
      </c>
      <c r="G1113" s="8" t="s">
        <v>5</v>
      </c>
      <c r="H1113" s="40" t="s">
        <v>4098</v>
      </c>
    </row>
    <row r="1114" spans="1:9">
      <c r="A1114" s="13">
        <v>45953</v>
      </c>
      <c r="B1114" s="8" t="s">
        <v>3885</v>
      </c>
      <c r="C1114" s="14">
        <v>3500000</v>
      </c>
      <c r="D1114" s="14">
        <v>0</v>
      </c>
      <c r="E1114" s="54">
        <f t="shared" si="25"/>
        <v>1217355697.48</v>
      </c>
      <c r="F1114" s="8" t="s">
        <v>4</v>
      </c>
      <c r="G1114" s="8" t="s">
        <v>5</v>
      </c>
      <c r="H1114" s="40" t="s">
        <v>4097</v>
      </c>
    </row>
    <row r="1115" spans="1:9">
      <c r="A1115" s="13">
        <v>45953</v>
      </c>
      <c r="B1115" s="8" t="s">
        <v>7108</v>
      </c>
      <c r="C1115" s="54">
        <v>40000000</v>
      </c>
      <c r="D1115" s="54">
        <v>0</v>
      </c>
      <c r="E1115" s="54">
        <f t="shared" si="25"/>
        <v>1177355697.48</v>
      </c>
      <c r="F1115" s="8" t="s">
        <v>4</v>
      </c>
      <c r="G1115" s="8" t="s">
        <v>5</v>
      </c>
      <c r="H1115" s="40" t="s">
        <v>4097</v>
      </c>
    </row>
    <row r="1116" spans="1:9">
      <c r="A1116" s="13">
        <v>45953</v>
      </c>
      <c r="B1116" s="8" t="s">
        <v>7108</v>
      </c>
      <c r="C1116" s="54">
        <v>4400000</v>
      </c>
      <c r="D1116" s="54">
        <v>0</v>
      </c>
      <c r="E1116" s="54">
        <f t="shared" si="25"/>
        <v>1172955697.48</v>
      </c>
      <c r="F1116" s="8" t="s">
        <v>920</v>
      </c>
      <c r="G1116" s="8" t="s">
        <v>7855</v>
      </c>
      <c r="H1116" s="40" t="s">
        <v>7032</v>
      </c>
      <c r="I1116" t="s">
        <v>4564</v>
      </c>
    </row>
    <row r="1117" spans="1:9">
      <c r="A1117" s="13">
        <v>45953</v>
      </c>
      <c r="B1117" s="8" t="s">
        <v>7108</v>
      </c>
      <c r="C1117" s="54">
        <v>0</v>
      </c>
      <c r="D1117" s="54">
        <f>C1115+C1116-43600000</f>
        <v>800000</v>
      </c>
      <c r="E1117" s="54">
        <f t="shared" si="25"/>
        <v>1173755697.48</v>
      </c>
      <c r="F1117" s="8" t="s">
        <v>6</v>
      </c>
      <c r="G1117" s="8" t="s">
        <v>53</v>
      </c>
      <c r="H1117" s="8" t="s">
        <v>7125</v>
      </c>
      <c r="I1117" t="s">
        <v>4564</v>
      </c>
    </row>
    <row r="1118" spans="1:9">
      <c r="A1118" s="13">
        <v>45953</v>
      </c>
      <c r="B1118" s="8" t="s">
        <v>3886</v>
      </c>
      <c r="C1118" s="14">
        <v>1250000</v>
      </c>
      <c r="D1118" s="14">
        <v>0</v>
      </c>
      <c r="E1118" s="54">
        <f t="shared" si="25"/>
        <v>1172505697.48</v>
      </c>
      <c r="F1118" s="8" t="s">
        <v>4</v>
      </c>
      <c r="G1118" s="8" t="s">
        <v>5</v>
      </c>
      <c r="H1118" s="40" t="s">
        <v>4098</v>
      </c>
    </row>
    <row r="1119" spans="1:9">
      <c r="A1119" s="13">
        <v>45953</v>
      </c>
      <c r="B1119" s="8" t="s">
        <v>3887</v>
      </c>
      <c r="C1119" s="14">
        <v>500000</v>
      </c>
      <c r="D1119" s="14">
        <v>0</v>
      </c>
      <c r="E1119" s="54">
        <f t="shared" si="25"/>
        <v>1172005697.48</v>
      </c>
      <c r="F1119" s="8" t="s">
        <v>4</v>
      </c>
      <c r="G1119" s="8" t="s">
        <v>5</v>
      </c>
      <c r="H1119" s="40" t="s">
        <v>4098</v>
      </c>
    </row>
    <row r="1120" spans="1:9">
      <c r="A1120" s="13">
        <v>45953</v>
      </c>
      <c r="B1120" s="8" t="s">
        <v>3888</v>
      </c>
      <c r="C1120" s="14">
        <v>500000</v>
      </c>
      <c r="D1120" s="14">
        <v>0</v>
      </c>
      <c r="E1120" s="54">
        <f t="shared" si="25"/>
        <v>1171505697.48</v>
      </c>
      <c r="F1120" s="8" t="s">
        <v>4</v>
      </c>
      <c r="G1120" s="8" t="s">
        <v>5</v>
      </c>
      <c r="H1120" s="40" t="s">
        <v>4098</v>
      </c>
    </row>
    <row r="1121" spans="1:9">
      <c r="A1121" s="13">
        <v>45953</v>
      </c>
      <c r="B1121" s="8" t="s">
        <v>3889</v>
      </c>
      <c r="C1121" s="14">
        <v>1000000</v>
      </c>
      <c r="D1121" s="14">
        <v>0</v>
      </c>
      <c r="E1121" s="54">
        <f t="shared" si="25"/>
        <v>1170505697.48</v>
      </c>
      <c r="F1121" s="8" t="s">
        <v>4</v>
      </c>
      <c r="G1121" s="8" t="s">
        <v>5</v>
      </c>
      <c r="H1121" s="40" t="s">
        <v>4098</v>
      </c>
    </row>
    <row r="1122" spans="1:9">
      <c r="A1122" s="13">
        <v>45953</v>
      </c>
      <c r="B1122" s="8" t="s">
        <v>3890</v>
      </c>
      <c r="C1122" s="14">
        <v>1000000</v>
      </c>
      <c r="D1122" s="14">
        <v>0</v>
      </c>
      <c r="E1122" s="54">
        <f t="shared" si="25"/>
        <v>1169505697.48</v>
      </c>
      <c r="F1122" s="8" t="s">
        <v>4</v>
      </c>
      <c r="G1122" s="8" t="s">
        <v>5</v>
      </c>
      <c r="H1122" s="40" t="s">
        <v>4098</v>
      </c>
    </row>
    <row r="1123" spans="1:9">
      <c r="A1123" s="13">
        <v>45953</v>
      </c>
      <c r="B1123" s="8" t="s">
        <v>3891</v>
      </c>
      <c r="C1123" s="14">
        <v>6000000</v>
      </c>
      <c r="D1123" s="14">
        <v>0</v>
      </c>
      <c r="E1123" s="54">
        <f t="shared" si="25"/>
        <v>1163505697.48</v>
      </c>
      <c r="F1123" s="8" t="s">
        <v>4</v>
      </c>
      <c r="G1123" s="8" t="s">
        <v>5</v>
      </c>
      <c r="H1123" s="40" t="s">
        <v>4080</v>
      </c>
    </row>
    <row r="1124" spans="1:9">
      <c r="A1124" s="13">
        <v>45953</v>
      </c>
      <c r="B1124" s="8" t="s">
        <v>3774</v>
      </c>
      <c r="C1124" s="14">
        <v>250000000</v>
      </c>
      <c r="D1124" s="14">
        <v>0</v>
      </c>
      <c r="E1124" s="54">
        <f t="shared" si="25"/>
        <v>913505697.48000002</v>
      </c>
      <c r="F1124" s="80" t="s">
        <v>920</v>
      </c>
      <c r="G1124" t="s">
        <v>4241</v>
      </c>
    </row>
    <row r="1125" spans="1:9">
      <c r="A1125" s="13">
        <v>45953</v>
      </c>
      <c r="B1125" s="8" t="s">
        <v>3775</v>
      </c>
      <c r="C1125" s="14">
        <v>2500</v>
      </c>
      <c r="D1125" s="14">
        <v>0</v>
      </c>
      <c r="E1125" s="14">
        <f t="shared" si="25"/>
        <v>913503197.48000002</v>
      </c>
      <c r="F1125" t="s">
        <v>19</v>
      </c>
      <c r="G1125" t="s">
        <v>189</v>
      </c>
    </row>
    <row r="1126" spans="1:9">
      <c r="A1126" s="13">
        <v>45953</v>
      </c>
      <c r="B1126" s="8" t="s">
        <v>3774</v>
      </c>
      <c r="C1126" s="14">
        <v>250000000</v>
      </c>
      <c r="D1126" s="14">
        <v>0</v>
      </c>
      <c r="E1126" s="14">
        <f t="shared" si="25"/>
        <v>663503197.48000002</v>
      </c>
      <c r="F1126" s="80" t="s">
        <v>920</v>
      </c>
      <c r="G1126" t="s">
        <v>4241</v>
      </c>
    </row>
    <row r="1127" spans="1:9">
      <c r="A1127" s="13">
        <v>45953</v>
      </c>
      <c r="B1127" s="8" t="s">
        <v>3775</v>
      </c>
      <c r="C1127" s="14">
        <v>2500</v>
      </c>
      <c r="D1127" s="14">
        <v>0</v>
      </c>
      <c r="E1127" s="14">
        <f t="shared" si="25"/>
        <v>663500697.48000002</v>
      </c>
      <c r="F1127" t="s">
        <v>19</v>
      </c>
      <c r="G1127" t="s">
        <v>189</v>
      </c>
    </row>
    <row r="1128" spans="1:9">
      <c r="A1128" s="13">
        <v>45953</v>
      </c>
      <c r="B1128" s="8" t="s">
        <v>3774</v>
      </c>
      <c r="C1128" s="14">
        <v>250000000</v>
      </c>
      <c r="D1128" s="14">
        <v>0</v>
      </c>
      <c r="E1128" s="14">
        <f t="shared" si="25"/>
        <v>413500697.48000002</v>
      </c>
      <c r="F1128" s="80" t="s">
        <v>920</v>
      </c>
      <c r="G1128" t="s">
        <v>4241</v>
      </c>
    </row>
    <row r="1129" spans="1:9">
      <c r="A1129" s="13">
        <v>45953</v>
      </c>
      <c r="B1129" s="8" t="s">
        <v>3775</v>
      </c>
      <c r="C1129" s="14">
        <v>2500</v>
      </c>
      <c r="D1129" s="14">
        <v>0</v>
      </c>
      <c r="E1129" s="14">
        <f t="shared" si="25"/>
        <v>413498197.48000002</v>
      </c>
      <c r="F1129" t="s">
        <v>19</v>
      </c>
      <c r="G1129" t="s">
        <v>189</v>
      </c>
    </row>
    <row r="1130" spans="1:9">
      <c r="A1130" s="13">
        <v>45953</v>
      </c>
      <c r="B1130" s="8" t="s">
        <v>3774</v>
      </c>
      <c r="C1130" s="14">
        <v>250000000</v>
      </c>
      <c r="D1130" s="14">
        <v>0</v>
      </c>
      <c r="E1130" s="14">
        <f t="shared" si="25"/>
        <v>163498197.48000002</v>
      </c>
      <c r="F1130" s="80" t="s">
        <v>920</v>
      </c>
      <c r="G1130" t="s">
        <v>4241</v>
      </c>
    </row>
    <row r="1131" spans="1:9">
      <c r="A1131" s="13">
        <v>45953</v>
      </c>
      <c r="B1131" s="8" t="s">
        <v>3775</v>
      </c>
      <c r="C1131" s="14">
        <v>2500</v>
      </c>
      <c r="D1131" s="14">
        <v>0</v>
      </c>
      <c r="E1131" s="14">
        <f t="shared" si="25"/>
        <v>163495697.48000002</v>
      </c>
      <c r="F1131" t="s">
        <v>19</v>
      </c>
      <c r="G1131" t="s">
        <v>189</v>
      </c>
    </row>
    <row r="1132" spans="1:9">
      <c r="A1132" s="13">
        <v>45959</v>
      </c>
      <c r="B1132" s="8" t="s">
        <v>3892</v>
      </c>
      <c r="C1132" s="14">
        <v>0</v>
      </c>
      <c r="D1132" s="14">
        <v>4486250</v>
      </c>
      <c r="E1132" s="14">
        <f t="shared" si="25"/>
        <v>167981947.48000002</v>
      </c>
      <c r="F1132" t="s">
        <v>2140</v>
      </c>
      <c r="G1132" t="s">
        <v>2141</v>
      </c>
      <c r="H1132" t="s">
        <v>1445</v>
      </c>
      <c r="I1132" t="s">
        <v>4048</v>
      </c>
    </row>
    <row r="1133" spans="1:9">
      <c r="A1133" s="13">
        <v>45960</v>
      </c>
      <c r="B1133" s="8" t="s">
        <v>3893</v>
      </c>
      <c r="C1133" s="14">
        <v>1750000</v>
      </c>
      <c r="D1133" s="14">
        <v>0</v>
      </c>
      <c r="E1133" s="14">
        <f t="shared" si="25"/>
        <v>166231947.48000002</v>
      </c>
      <c r="F1133" s="8" t="s">
        <v>4</v>
      </c>
      <c r="G1133" s="8" t="s">
        <v>5</v>
      </c>
      <c r="H1133" s="40" t="s">
        <v>4098</v>
      </c>
    </row>
    <row r="1134" spans="1:9">
      <c r="A1134" s="13">
        <v>45960</v>
      </c>
      <c r="B1134" s="8" t="s">
        <v>3894</v>
      </c>
      <c r="C1134" s="14">
        <v>3000000</v>
      </c>
      <c r="D1134" s="14">
        <v>0</v>
      </c>
      <c r="E1134" s="14">
        <f t="shared" si="25"/>
        <v>163231947.48000002</v>
      </c>
      <c r="F1134" s="8" t="s">
        <v>4</v>
      </c>
      <c r="G1134" s="8" t="s">
        <v>5</v>
      </c>
      <c r="H1134" s="40" t="s">
        <v>4080</v>
      </c>
    </row>
    <row r="1135" spans="1:9">
      <c r="A1135" s="13">
        <v>45960</v>
      </c>
      <c r="B1135" s="8" t="s">
        <v>3895</v>
      </c>
      <c r="C1135" s="54">
        <v>65562000</v>
      </c>
      <c r="D1135" s="54">
        <v>0</v>
      </c>
      <c r="E1135" s="54">
        <f t="shared" si="25"/>
        <v>97669947.480000019</v>
      </c>
      <c r="F1135" s="8" t="s">
        <v>10</v>
      </c>
      <c r="G1135" s="8" t="s">
        <v>446</v>
      </c>
      <c r="H1135" s="40" t="s">
        <v>4095</v>
      </c>
      <c r="I1135" s="40" t="s">
        <v>26</v>
      </c>
    </row>
    <row r="1136" spans="1:9">
      <c r="A1136" s="13">
        <v>45960</v>
      </c>
      <c r="B1136" s="8" t="s">
        <v>3896</v>
      </c>
      <c r="C1136" s="14">
        <v>0</v>
      </c>
      <c r="D1136" s="14">
        <v>940294</v>
      </c>
      <c r="E1136" s="14">
        <f t="shared" si="25"/>
        <v>98610241.480000019</v>
      </c>
      <c r="F1136" s="8" t="s">
        <v>920</v>
      </c>
      <c r="G1136" s="8" t="s">
        <v>464</v>
      </c>
      <c r="H1136" s="8" t="s">
        <v>5620</v>
      </c>
    </row>
    <row r="1137" spans="1:9" s="8" customFormat="1">
      <c r="A1137" s="13">
        <v>45960</v>
      </c>
      <c r="B1137" s="8" t="s">
        <v>3897</v>
      </c>
      <c r="C1137" s="14">
        <v>2437500</v>
      </c>
      <c r="D1137" s="14">
        <v>0</v>
      </c>
      <c r="E1137" s="14">
        <f t="shared" si="25"/>
        <v>96172741.480000019</v>
      </c>
      <c r="F1137" s="8" t="s">
        <v>920</v>
      </c>
      <c r="G1137" s="8" t="s">
        <v>400</v>
      </c>
      <c r="H1137" s="8" t="s">
        <v>5738</v>
      </c>
    </row>
    <row r="1138" spans="1:9" s="8" customFormat="1">
      <c r="A1138" s="13">
        <v>45961</v>
      </c>
      <c r="B1138" s="8" t="s">
        <v>4009</v>
      </c>
      <c r="C1138" s="14">
        <v>12000000</v>
      </c>
      <c r="D1138" s="14">
        <v>0</v>
      </c>
      <c r="E1138" s="14">
        <f t="shared" si="25"/>
        <v>84172741.480000019</v>
      </c>
      <c r="F1138" s="8" t="s">
        <v>10</v>
      </c>
      <c r="G1138" s="8" t="s">
        <v>11</v>
      </c>
      <c r="H1138" s="8" t="s">
        <v>5740</v>
      </c>
    </row>
    <row r="1139" spans="1:9" s="8" customFormat="1">
      <c r="A1139" s="13">
        <v>45961</v>
      </c>
      <c r="B1139" s="8" t="s">
        <v>4010</v>
      </c>
      <c r="C1139" s="14">
        <v>22500000</v>
      </c>
      <c r="D1139" s="14">
        <v>0</v>
      </c>
      <c r="E1139" s="14">
        <f t="shared" si="25"/>
        <v>61672741.480000019</v>
      </c>
      <c r="F1139" s="8" t="s">
        <v>920</v>
      </c>
      <c r="G1139" s="8" t="s">
        <v>400</v>
      </c>
      <c r="H1139" s="8" t="s">
        <v>5739</v>
      </c>
    </row>
    <row r="1140" spans="1:9">
      <c r="A1140" s="13">
        <v>45961</v>
      </c>
      <c r="B1140" s="8" t="s">
        <v>4011</v>
      </c>
      <c r="C1140" s="14">
        <v>1429201</v>
      </c>
      <c r="D1140" s="14">
        <v>0</v>
      </c>
      <c r="E1140" s="14">
        <f t="shared" si="25"/>
        <v>60243540.480000019</v>
      </c>
      <c r="F1140" t="s">
        <v>920</v>
      </c>
      <c r="G1140" t="s">
        <v>400</v>
      </c>
      <c r="H1140" s="8" t="s">
        <v>5701</v>
      </c>
    </row>
    <row r="1141" spans="1:9">
      <c r="A1141" s="13">
        <v>45961</v>
      </c>
      <c r="B1141" s="8" t="s">
        <v>334</v>
      </c>
      <c r="C1141" s="14">
        <v>30000</v>
      </c>
      <c r="D1141" s="14">
        <v>0</v>
      </c>
      <c r="E1141" s="14">
        <f t="shared" si="25"/>
        <v>60213540.480000019</v>
      </c>
      <c r="F1141" t="s">
        <v>19</v>
      </c>
      <c r="G1141" t="s">
        <v>189</v>
      </c>
    </row>
    <row r="1142" spans="1:9">
      <c r="A1142" s="13">
        <v>45963</v>
      </c>
      <c r="B1142" s="8" t="s">
        <v>4164</v>
      </c>
      <c r="C1142" s="14">
        <v>10000000</v>
      </c>
      <c r="D1142" s="14">
        <v>0</v>
      </c>
      <c r="E1142" s="14">
        <f t="shared" si="25"/>
        <v>50213540.480000019</v>
      </c>
      <c r="F1142" t="s">
        <v>6</v>
      </c>
      <c r="G1142" t="s">
        <v>24</v>
      </c>
      <c r="H1142" t="s">
        <v>4101</v>
      </c>
    </row>
    <row r="1143" spans="1:9">
      <c r="A1143" s="13">
        <v>45966</v>
      </c>
      <c r="B1143" s="8" t="s">
        <v>372</v>
      </c>
      <c r="C1143" s="14">
        <v>0</v>
      </c>
      <c r="D1143" s="14">
        <v>250000000</v>
      </c>
      <c r="E1143" s="14">
        <f t="shared" ref="E1143:E1207" si="26">E1142-C1143+D1143</f>
        <v>300213540.48000002</v>
      </c>
      <c r="F1143" t="s">
        <v>920</v>
      </c>
      <c r="G1143" s="8" t="s">
        <v>4242</v>
      </c>
    </row>
    <row r="1144" spans="1:9">
      <c r="A1144" s="13">
        <v>45966</v>
      </c>
      <c r="B1144" s="8" t="s">
        <v>5370</v>
      </c>
      <c r="C1144" s="14">
        <v>51007320</v>
      </c>
      <c r="D1144" s="14">
        <v>0</v>
      </c>
      <c r="E1144" s="14">
        <f t="shared" si="26"/>
        <v>249206220.48000002</v>
      </c>
      <c r="F1144" t="s">
        <v>4</v>
      </c>
      <c r="G1144" t="s">
        <v>5</v>
      </c>
      <c r="H1144" s="40" t="s">
        <v>4077</v>
      </c>
      <c r="I1144" s="40" t="s">
        <v>26</v>
      </c>
    </row>
    <row r="1145" spans="1:9">
      <c r="A1145" s="13">
        <v>45966</v>
      </c>
      <c r="B1145" s="8" t="s">
        <v>4165</v>
      </c>
      <c r="C1145" s="14">
        <v>35000</v>
      </c>
      <c r="D1145" s="14">
        <v>0</v>
      </c>
      <c r="E1145" s="14">
        <f t="shared" si="26"/>
        <v>249171220.48000002</v>
      </c>
      <c r="F1145" t="s">
        <v>19</v>
      </c>
      <c r="G1145" t="s">
        <v>189</v>
      </c>
    </row>
    <row r="1146" spans="1:9">
      <c r="A1146" s="13">
        <v>45966</v>
      </c>
      <c r="B1146" s="8" t="s">
        <v>4166</v>
      </c>
      <c r="C1146" s="14">
        <v>326970</v>
      </c>
      <c r="D1146" s="14">
        <v>0</v>
      </c>
      <c r="E1146" s="14">
        <f t="shared" si="26"/>
        <v>248844250.48000002</v>
      </c>
      <c r="F1146" t="s">
        <v>19</v>
      </c>
      <c r="G1146" t="s">
        <v>189</v>
      </c>
    </row>
    <row r="1147" spans="1:9">
      <c r="A1147" s="13">
        <v>45966</v>
      </c>
      <c r="B1147" s="8" t="s">
        <v>4167</v>
      </c>
      <c r="C1147" s="14">
        <v>10000000</v>
      </c>
      <c r="D1147" s="14">
        <v>0</v>
      </c>
      <c r="E1147" s="14">
        <f t="shared" si="26"/>
        <v>238844250.48000002</v>
      </c>
      <c r="F1147" t="s">
        <v>920</v>
      </c>
      <c r="G1147" t="s">
        <v>376</v>
      </c>
    </row>
    <row r="1148" spans="1:9" s="8" customFormat="1">
      <c r="A1148" s="13">
        <v>45966</v>
      </c>
      <c r="B1148" s="8" t="s">
        <v>4168</v>
      </c>
      <c r="C1148" s="14">
        <v>800000</v>
      </c>
      <c r="D1148" s="14">
        <v>0</v>
      </c>
      <c r="E1148" s="14">
        <f t="shared" si="26"/>
        <v>238044250.48000002</v>
      </c>
      <c r="F1148" s="8" t="s">
        <v>4</v>
      </c>
      <c r="G1148" s="8" t="s">
        <v>5</v>
      </c>
      <c r="H1148" s="8" t="s">
        <v>5748</v>
      </c>
      <c r="I1148" s="8" t="s">
        <v>26</v>
      </c>
    </row>
    <row r="1149" spans="1:9">
      <c r="A1149" s="13">
        <v>45966</v>
      </c>
      <c r="B1149" s="8" t="s">
        <v>4169</v>
      </c>
      <c r="C1149" s="14">
        <v>1600000</v>
      </c>
      <c r="D1149" s="14">
        <v>0</v>
      </c>
      <c r="E1149" s="14">
        <f t="shared" si="26"/>
        <v>236444250.48000002</v>
      </c>
      <c r="F1149" t="s">
        <v>4</v>
      </c>
      <c r="G1149" t="s">
        <v>5</v>
      </c>
      <c r="H1149" s="40" t="s">
        <v>4077</v>
      </c>
      <c r="I1149" s="40" t="s">
        <v>26</v>
      </c>
    </row>
    <row r="1150" spans="1:9">
      <c r="A1150" s="13">
        <v>45966</v>
      </c>
      <c r="B1150" s="8" t="s">
        <v>7131</v>
      </c>
      <c r="C1150" s="54">
        <v>28750000</v>
      </c>
      <c r="D1150" s="54">
        <v>0</v>
      </c>
      <c r="E1150" s="54">
        <f t="shared" si="26"/>
        <v>207694250.48000002</v>
      </c>
      <c r="F1150" s="8" t="s">
        <v>10</v>
      </c>
      <c r="G1150" s="8" t="s">
        <v>446</v>
      </c>
      <c r="H1150" s="40" t="s">
        <v>4095</v>
      </c>
      <c r="I1150" s="40" t="s">
        <v>26</v>
      </c>
    </row>
    <row r="1151" spans="1:9">
      <c r="A1151" s="13">
        <v>45966</v>
      </c>
      <c r="B1151" s="8" t="s">
        <v>7131</v>
      </c>
      <c r="C1151" s="54">
        <v>0</v>
      </c>
      <c r="D1151" s="54">
        <f>C1150-28175000</f>
        <v>575000</v>
      </c>
      <c r="E1151" s="54">
        <f t="shared" si="26"/>
        <v>208269250.48000002</v>
      </c>
      <c r="F1151" s="8" t="s">
        <v>6</v>
      </c>
      <c r="G1151" s="8" t="s">
        <v>53</v>
      </c>
      <c r="H1151" s="40" t="s">
        <v>7125</v>
      </c>
      <c r="I1151" s="40" t="s">
        <v>4565</v>
      </c>
    </row>
    <row r="1152" spans="1:9">
      <c r="A1152" s="13">
        <v>45966</v>
      </c>
      <c r="B1152" s="8" t="s">
        <v>4171</v>
      </c>
      <c r="C1152" s="14">
        <v>950000</v>
      </c>
      <c r="D1152" s="14">
        <v>0</v>
      </c>
      <c r="E1152" s="14">
        <f t="shared" si="26"/>
        <v>207319250.48000002</v>
      </c>
      <c r="F1152" t="s">
        <v>4</v>
      </c>
      <c r="G1152" t="s">
        <v>5</v>
      </c>
      <c r="H1152" s="40" t="s">
        <v>4097</v>
      </c>
    </row>
    <row r="1153" spans="1:9">
      <c r="A1153" s="13">
        <v>45966</v>
      </c>
      <c r="B1153" s="8" t="s">
        <v>4172</v>
      </c>
      <c r="C1153" s="14">
        <v>650000</v>
      </c>
      <c r="D1153" s="14">
        <v>0</v>
      </c>
      <c r="E1153" s="14">
        <f t="shared" si="26"/>
        <v>206669250.48000002</v>
      </c>
      <c r="F1153" t="s">
        <v>21</v>
      </c>
      <c r="G1153" t="s">
        <v>187</v>
      </c>
    </row>
    <row r="1154" spans="1:9">
      <c r="A1154" s="13">
        <v>45966</v>
      </c>
      <c r="B1154" s="8" t="s">
        <v>415</v>
      </c>
      <c r="C1154" s="14">
        <v>5916568</v>
      </c>
      <c r="D1154" s="14">
        <v>0</v>
      </c>
      <c r="E1154" s="14">
        <f t="shared" si="26"/>
        <v>200752682.48000002</v>
      </c>
      <c r="F1154" t="s">
        <v>920</v>
      </c>
      <c r="G1154" t="s">
        <v>376</v>
      </c>
    </row>
    <row r="1155" spans="1:9">
      <c r="A1155" s="13">
        <v>45967</v>
      </c>
      <c r="B1155" s="8" t="s">
        <v>4173</v>
      </c>
      <c r="C1155" s="14">
        <v>0</v>
      </c>
      <c r="D1155" s="14">
        <v>50000000</v>
      </c>
      <c r="E1155" s="14">
        <f t="shared" si="26"/>
        <v>250752682.48000002</v>
      </c>
      <c r="F1155" t="s">
        <v>920</v>
      </c>
      <c r="G1155" s="8" t="s">
        <v>4242</v>
      </c>
    </row>
    <row r="1156" spans="1:9">
      <c r="A1156" s="13">
        <v>45967</v>
      </c>
      <c r="B1156" s="8" t="s">
        <v>4173</v>
      </c>
      <c r="C1156" s="14">
        <v>0</v>
      </c>
      <c r="D1156" s="14">
        <v>50000000</v>
      </c>
      <c r="E1156" s="14">
        <f t="shared" si="26"/>
        <v>300752682.48000002</v>
      </c>
      <c r="F1156" t="s">
        <v>920</v>
      </c>
      <c r="G1156" s="8" t="s">
        <v>4242</v>
      </c>
    </row>
    <row r="1157" spans="1:9" s="8" customFormat="1">
      <c r="A1157" s="13">
        <v>45967</v>
      </c>
      <c r="B1157" s="8" t="s">
        <v>4174</v>
      </c>
      <c r="C1157" s="14">
        <v>300000000</v>
      </c>
      <c r="D1157" s="14">
        <v>0</v>
      </c>
      <c r="E1157" s="14">
        <f t="shared" si="26"/>
        <v>752682.48000001907</v>
      </c>
      <c r="F1157" s="8" t="s">
        <v>920</v>
      </c>
      <c r="G1157" s="8" t="s">
        <v>400</v>
      </c>
      <c r="H1157" s="8" t="s">
        <v>5741</v>
      </c>
    </row>
    <row r="1158" spans="1:9">
      <c r="A1158" s="13">
        <v>45968</v>
      </c>
      <c r="B1158" s="8" t="s">
        <v>4175</v>
      </c>
      <c r="C1158" s="14">
        <v>124875</v>
      </c>
      <c r="D1158" s="14">
        <v>0</v>
      </c>
      <c r="E1158" s="14">
        <f t="shared" si="26"/>
        <v>627807.48000001907</v>
      </c>
      <c r="F1158" t="s">
        <v>4</v>
      </c>
      <c r="G1158" t="s">
        <v>5</v>
      </c>
      <c r="H1158" s="40" t="s">
        <v>4077</v>
      </c>
      <c r="I1158" s="40" t="s">
        <v>26</v>
      </c>
    </row>
    <row r="1159" spans="1:9">
      <c r="A1159" s="13">
        <v>45968</v>
      </c>
      <c r="B1159" s="8" t="s">
        <v>372</v>
      </c>
      <c r="C1159" s="14">
        <v>0</v>
      </c>
      <c r="D1159" s="14">
        <v>100000000</v>
      </c>
      <c r="E1159" s="14">
        <f t="shared" si="26"/>
        <v>100627807.48000002</v>
      </c>
      <c r="F1159" t="s">
        <v>920</v>
      </c>
      <c r="G1159" s="8" t="s">
        <v>4242</v>
      </c>
    </row>
    <row r="1160" spans="1:9" s="8" customFormat="1">
      <c r="A1160" s="13">
        <v>45973</v>
      </c>
      <c r="B1160" s="8" t="s">
        <v>4176</v>
      </c>
      <c r="C1160" s="14">
        <v>8000000</v>
      </c>
      <c r="D1160" s="14">
        <v>0</v>
      </c>
      <c r="E1160" s="14">
        <f t="shared" si="26"/>
        <v>92627807.480000019</v>
      </c>
      <c r="F1160" s="8" t="s">
        <v>4</v>
      </c>
      <c r="G1160" s="8" t="s">
        <v>5</v>
      </c>
      <c r="H1160" s="8" t="s">
        <v>5748</v>
      </c>
      <c r="I1160" s="8" t="s">
        <v>26</v>
      </c>
    </row>
    <row r="1161" spans="1:9">
      <c r="A1161" s="13">
        <v>45973</v>
      </c>
      <c r="B1161" s="8" t="s">
        <v>4177</v>
      </c>
      <c r="C1161" s="14">
        <v>3054000</v>
      </c>
      <c r="D1161" s="14">
        <v>0</v>
      </c>
      <c r="E1161" s="14">
        <f t="shared" si="26"/>
        <v>89573807.480000019</v>
      </c>
      <c r="F1161" t="s">
        <v>8</v>
      </c>
      <c r="G1161" t="s">
        <v>78</v>
      </c>
    </row>
    <row r="1162" spans="1:9">
      <c r="A1162" s="13">
        <v>45973</v>
      </c>
      <c r="B1162" s="8" t="s">
        <v>7107</v>
      </c>
      <c r="C1162" s="54">
        <v>862500</v>
      </c>
      <c r="D1162" s="54">
        <v>0</v>
      </c>
      <c r="E1162" s="54">
        <f t="shared" si="26"/>
        <v>88711307.480000019</v>
      </c>
      <c r="F1162" t="s">
        <v>62</v>
      </c>
      <c r="G1162" t="s">
        <v>177</v>
      </c>
    </row>
    <row r="1163" spans="1:9">
      <c r="A1163" s="13">
        <v>45973</v>
      </c>
      <c r="B1163" s="8" t="s">
        <v>7107</v>
      </c>
      <c r="C1163" s="54">
        <v>94875</v>
      </c>
      <c r="D1163" s="54">
        <v>0</v>
      </c>
      <c r="E1163" s="54">
        <f t="shared" si="26"/>
        <v>88616432.480000019</v>
      </c>
      <c r="F1163" s="8" t="s">
        <v>920</v>
      </c>
      <c r="G1163" s="8" t="s">
        <v>7855</v>
      </c>
      <c r="H1163" s="40" t="s">
        <v>7032</v>
      </c>
      <c r="I1163" t="s">
        <v>4564</v>
      </c>
    </row>
    <row r="1164" spans="1:9">
      <c r="A1164" s="13">
        <v>45973</v>
      </c>
      <c r="B1164" s="8" t="s">
        <v>7107</v>
      </c>
      <c r="C1164" s="54">
        <v>0</v>
      </c>
      <c r="D1164" s="54">
        <f>C1162+C1163-940125</f>
        <v>17250</v>
      </c>
      <c r="E1164" s="54">
        <f t="shared" si="26"/>
        <v>88633682.480000019</v>
      </c>
      <c r="F1164" t="s">
        <v>6</v>
      </c>
      <c r="G1164" t="s">
        <v>53</v>
      </c>
      <c r="H1164" s="8" t="s">
        <v>7125</v>
      </c>
      <c r="I1164" t="s">
        <v>4565</v>
      </c>
    </row>
    <row r="1165" spans="1:9" s="8" customFormat="1">
      <c r="A1165" s="13">
        <v>45973</v>
      </c>
      <c r="B1165" s="8" t="s">
        <v>4178</v>
      </c>
      <c r="C1165" s="14">
        <v>12000000</v>
      </c>
      <c r="D1165" s="14">
        <v>0</v>
      </c>
      <c r="E1165" s="14">
        <f t="shared" si="26"/>
        <v>76633682.480000019</v>
      </c>
      <c r="F1165" s="8" t="s">
        <v>4</v>
      </c>
      <c r="G1165" s="8" t="s">
        <v>5</v>
      </c>
      <c r="H1165" s="8" t="s">
        <v>5748</v>
      </c>
      <c r="I1165" s="8" t="s">
        <v>26</v>
      </c>
    </row>
    <row r="1166" spans="1:9" s="8" customFormat="1">
      <c r="A1166" s="13">
        <v>45973</v>
      </c>
      <c r="B1166" s="8" t="s">
        <v>4179</v>
      </c>
      <c r="C1166" s="14">
        <v>2000000</v>
      </c>
      <c r="D1166" s="14">
        <v>0</v>
      </c>
      <c r="E1166" s="14">
        <f t="shared" si="26"/>
        <v>74633682.480000019</v>
      </c>
      <c r="F1166" s="8" t="s">
        <v>4</v>
      </c>
      <c r="G1166" s="8" t="s">
        <v>5</v>
      </c>
      <c r="H1166" s="8" t="s">
        <v>5748</v>
      </c>
      <c r="I1166" s="8" t="s">
        <v>26</v>
      </c>
    </row>
    <row r="1167" spans="1:9" s="8" customFormat="1">
      <c r="A1167" s="13">
        <v>45973</v>
      </c>
      <c r="B1167" s="8" t="s">
        <v>4180</v>
      </c>
      <c r="C1167" s="14">
        <v>1000000</v>
      </c>
      <c r="D1167" s="14">
        <v>0</v>
      </c>
      <c r="E1167" s="14">
        <f t="shared" si="26"/>
        <v>73633682.480000019</v>
      </c>
      <c r="F1167" s="8" t="s">
        <v>4</v>
      </c>
      <c r="G1167" s="8" t="s">
        <v>5</v>
      </c>
      <c r="H1167" s="8" t="s">
        <v>5748</v>
      </c>
      <c r="I1167" s="8" t="s">
        <v>26</v>
      </c>
    </row>
    <row r="1168" spans="1:9" s="8" customFormat="1">
      <c r="A1168" s="13">
        <v>45973</v>
      </c>
      <c r="B1168" s="8" t="s">
        <v>4181</v>
      </c>
      <c r="C1168" s="14">
        <v>1000000</v>
      </c>
      <c r="D1168" s="14">
        <v>0</v>
      </c>
      <c r="E1168" s="14">
        <f t="shared" si="26"/>
        <v>72633682.480000019</v>
      </c>
      <c r="F1168" s="8" t="s">
        <v>4</v>
      </c>
      <c r="G1168" s="8" t="s">
        <v>5</v>
      </c>
      <c r="H1168" s="8" t="s">
        <v>5748</v>
      </c>
      <c r="I1168" s="8" t="s">
        <v>26</v>
      </c>
    </row>
    <row r="1169" spans="1:9" s="8" customFormat="1">
      <c r="A1169" s="13">
        <v>45973</v>
      </c>
      <c r="B1169" s="8" t="s">
        <v>4182</v>
      </c>
      <c r="C1169" s="14">
        <v>1500000</v>
      </c>
      <c r="D1169" s="14">
        <v>0</v>
      </c>
      <c r="E1169" s="14">
        <f t="shared" si="26"/>
        <v>71133682.480000019</v>
      </c>
      <c r="F1169" s="8" t="s">
        <v>4</v>
      </c>
      <c r="G1169" s="8" t="s">
        <v>5</v>
      </c>
      <c r="H1169" s="8" t="s">
        <v>5748</v>
      </c>
      <c r="I1169" s="8" t="s">
        <v>26</v>
      </c>
    </row>
    <row r="1170" spans="1:9" s="8" customFormat="1">
      <c r="A1170" s="13">
        <v>45973</v>
      </c>
      <c r="B1170" s="8" t="s">
        <v>4183</v>
      </c>
      <c r="C1170" s="14">
        <v>5400000</v>
      </c>
      <c r="D1170" s="14">
        <v>0</v>
      </c>
      <c r="E1170" s="14">
        <f t="shared" si="26"/>
        <v>65733682.480000019</v>
      </c>
      <c r="F1170" s="8" t="s">
        <v>4</v>
      </c>
      <c r="G1170" s="8" t="s">
        <v>5</v>
      </c>
      <c r="H1170" s="8" t="s">
        <v>5748</v>
      </c>
      <c r="I1170" s="8" t="s">
        <v>26</v>
      </c>
    </row>
    <row r="1171" spans="1:9">
      <c r="A1171" s="13">
        <v>45973</v>
      </c>
      <c r="B1171" s="8" t="s">
        <v>4184</v>
      </c>
      <c r="C1171" s="54">
        <v>1626910</v>
      </c>
      <c r="D1171" s="54">
        <v>0</v>
      </c>
      <c r="E1171" s="54">
        <f t="shared" si="26"/>
        <v>64106772.480000019</v>
      </c>
      <c r="F1171" s="8" t="s">
        <v>10</v>
      </c>
      <c r="G1171" s="8" t="s">
        <v>446</v>
      </c>
      <c r="H1171" s="40" t="s">
        <v>3283</v>
      </c>
      <c r="I1171" t="s">
        <v>26</v>
      </c>
    </row>
    <row r="1172" spans="1:9">
      <c r="A1172" s="13">
        <v>45973</v>
      </c>
      <c r="B1172" s="8" t="s">
        <v>4185</v>
      </c>
      <c r="C1172" s="14">
        <v>12338000</v>
      </c>
      <c r="D1172" s="14">
        <v>0</v>
      </c>
      <c r="E1172" s="14">
        <f t="shared" si="26"/>
        <v>51768772.480000019</v>
      </c>
      <c r="F1172" t="s">
        <v>4</v>
      </c>
      <c r="G1172" t="s">
        <v>5</v>
      </c>
      <c r="H1172" s="40" t="s">
        <v>4077</v>
      </c>
      <c r="I1172" s="40" t="s">
        <v>26</v>
      </c>
    </row>
    <row r="1173" spans="1:9">
      <c r="A1173" s="13">
        <v>45975</v>
      </c>
      <c r="B1173" s="8" t="s">
        <v>3840</v>
      </c>
      <c r="C1173" s="14">
        <v>0</v>
      </c>
      <c r="D1173" s="14">
        <v>179000000</v>
      </c>
      <c r="E1173" s="14">
        <f t="shared" si="26"/>
        <v>230768772.48000002</v>
      </c>
      <c r="F1173" t="s">
        <v>920</v>
      </c>
      <c r="G1173" s="8" t="s">
        <v>4242</v>
      </c>
    </row>
    <row r="1174" spans="1:9" s="8" customFormat="1">
      <c r="A1174" s="13">
        <v>45975</v>
      </c>
      <c r="B1174" s="8" t="s">
        <v>4186</v>
      </c>
      <c r="C1174" s="14">
        <v>2000000</v>
      </c>
      <c r="D1174" s="14">
        <v>0</v>
      </c>
      <c r="E1174" s="14">
        <f t="shared" si="26"/>
        <v>228768772.48000002</v>
      </c>
      <c r="F1174" s="8" t="s">
        <v>4</v>
      </c>
      <c r="G1174" s="8" t="s">
        <v>5</v>
      </c>
      <c r="H1174" s="8" t="s">
        <v>5748</v>
      </c>
      <c r="I1174" s="8" t="s">
        <v>26</v>
      </c>
    </row>
    <row r="1175" spans="1:9" s="8" customFormat="1">
      <c r="A1175" s="13">
        <v>45975</v>
      </c>
      <c r="B1175" s="8" t="s">
        <v>4187</v>
      </c>
      <c r="C1175" s="54">
        <v>577000</v>
      </c>
      <c r="D1175" s="54">
        <v>0</v>
      </c>
      <c r="E1175" s="14">
        <f t="shared" si="26"/>
        <v>228191772.48000002</v>
      </c>
      <c r="F1175" s="8" t="s">
        <v>10</v>
      </c>
      <c r="G1175" s="8" t="s">
        <v>446</v>
      </c>
      <c r="H1175" s="8" t="s">
        <v>4631</v>
      </c>
      <c r="I1175" s="8" t="s">
        <v>277</v>
      </c>
    </row>
    <row r="1176" spans="1:9">
      <c r="A1176" s="13">
        <v>45975</v>
      </c>
      <c r="B1176" s="8" t="s">
        <v>5393</v>
      </c>
      <c r="C1176" s="14">
        <v>8056000</v>
      </c>
      <c r="D1176" s="14">
        <v>0</v>
      </c>
      <c r="E1176" s="14">
        <f t="shared" si="26"/>
        <v>220135772.48000002</v>
      </c>
      <c r="F1176" t="s">
        <v>4</v>
      </c>
      <c r="G1176" t="s">
        <v>5</v>
      </c>
      <c r="H1176" s="40" t="s">
        <v>1634</v>
      </c>
    </row>
    <row r="1177" spans="1:9">
      <c r="A1177" s="13">
        <v>45975</v>
      </c>
      <c r="B1177" s="8" t="s">
        <v>7112</v>
      </c>
      <c r="C1177" s="54">
        <v>199900</v>
      </c>
      <c r="D1177" s="54">
        <v>0</v>
      </c>
      <c r="E1177" s="54">
        <f t="shared" si="26"/>
        <v>219935872.48000002</v>
      </c>
      <c r="F1177" t="s">
        <v>8</v>
      </c>
      <c r="G1177" s="8" t="s">
        <v>32</v>
      </c>
    </row>
    <row r="1178" spans="1:9">
      <c r="A1178" s="13">
        <v>45975</v>
      </c>
      <c r="B1178" s="8" t="s">
        <v>7112</v>
      </c>
      <c r="C1178" s="54">
        <v>21989</v>
      </c>
      <c r="D1178" s="54">
        <v>0</v>
      </c>
      <c r="E1178" s="54">
        <f t="shared" si="26"/>
        <v>219913883.48000002</v>
      </c>
      <c r="F1178" t="s">
        <v>920</v>
      </c>
      <c r="G1178" t="s">
        <v>7855</v>
      </c>
      <c r="H1178" t="s">
        <v>7032</v>
      </c>
      <c r="I1178" t="s">
        <v>4565</v>
      </c>
    </row>
    <row r="1179" spans="1:9" s="280" customFormat="1">
      <c r="A1179" s="279">
        <v>45975</v>
      </c>
      <c r="B1179" s="280" t="s">
        <v>7112</v>
      </c>
      <c r="C1179" s="281">
        <v>0</v>
      </c>
      <c r="D1179" s="281">
        <f>C1177+C1178-217451</f>
        <v>4438</v>
      </c>
      <c r="E1179" s="281">
        <f t="shared" si="26"/>
        <v>219918321.48000002</v>
      </c>
      <c r="F1179" s="280" t="s">
        <v>6</v>
      </c>
      <c r="G1179" s="280" t="s">
        <v>53</v>
      </c>
      <c r="H1179" s="280" t="s">
        <v>7151</v>
      </c>
      <c r="I1179" s="337">
        <v>45962</v>
      </c>
    </row>
    <row r="1180" spans="1:9">
      <c r="A1180" s="13">
        <v>45975</v>
      </c>
      <c r="B1180" s="8" t="s">
        <v>4188</v>
      </c>
      <c r="C1180" s="14">
        <v>1400000</v>
      </c>
      <c r="D1180" s="14">
        <v>0</v>
      </c>
      <c r="E1180" s="14">
        <f t="shared" si="26"/>
        <v>218518321.48000002</v>
      </c>
      <c r="F1180" t="s">
        <v>4</v>
      </c>
      <c r="G1180" t="s">
        <v>5</v>
      </c>
      <c r="H1180" t="s">
        <v>4077</v>
      </c>
      <c r="I1180" s="40" t="s">
        <v>26</v>
      </c>
    </row>
    <row r="1181" spans="1:9">
      <c r="A1181" s="13">
        <v>45975</v>
      </c>
      <c r="B1181" s="8" t="s">
        <v>4189</v>
      </c>
      <c r="C1181" s="14">
        <v>0</v>
      </c>
      <c r="D1181" s="14">
        <v>18567631</v>
      </c>
      <c r="E1181" s="14">
        <f t="shared" si="26"/>
        <v>237085952.48000002</v>
      </c>
      <c r="F1181" t="s">
        <v>920</v>
      </c>
      <c r="G1181" t="s">
        <v>381</v>
      </c>
    </row>
    <row r="1182" spans="1:9">
      <c r="A1182" s="13">
        <v>45975</v>
      </c>
      <c r="B1182" s="8" t="s">
        <v>4190</v>
      </c>
      <c r="C1182" s="14">
        <v>0</v>
      </c>
      <c r="D1182" s="14">
        <v>67000000</v>
      </c>
      <c r="E1182" s="14">
        <f t="shared" si="26"/>
        <v>304085952.48000002</v>
      </c>
      <c r="F1182" t="s">
        <v>6</v>
      </c>
      <c r="G1182" t="s">
        <v>24</v>
      </c>
      <c r="H1182" t="s">
        <v>4101</v>
      </c>
    </row>
    <row r="1183" spans="1:9" s="8" customFormat="1">
      <c r="A1183" s="13">
        <v>45975</v>
      </c>
      <c r="B1183" s="8" t="s">
        <v>4191</v>
      </c>
      <c r="C1183" s="14">
        <v>300000000</v>
      </c>
      <c r="D1183" s="14">
        <v>0</v>
      </c>
      <c r="E1183" s="14">
        <f t="shared" si="26"/>
        <v>4085952.4800000191</v>
      </c>
      <c r="F1183" s="8" t="s">
        <v>920</v>
      </c>
      <c r="G1183" s="8" t="s">
        <v>400</v>
      </c>
      <c r="H1183" s="8" t="s">
        <v>5742</v>
      </c>
    </row>
    <row r="1184" spans="1:9">
      <c r="A1184" s="13">
        <v>45975</v>
      </c>
      <c r="B1184" s="8" t="s">
        <v>4192</v>
      </c>
      <c r="C1184" s="14">
        <v>4000000</v>
      </c>
      <c r="D1184" s="14">
        <v>0</v>
      </c>
      <c r="E1184" s="14">
        <f t="shared" si="26"/>
        <v>85952.480000019073</v>
      </c>
      <c r="F1184" t="s">
        <v>920</v>
      </c>
      <c r="G1184" t="s">
        <v>4241</v>
      </c>
    </row>
    <row r="1185" spans="1:9">
      <c r="A1185" s="13">
        <v>45975</v>
      </c>
      <c r="B1185" s="8" t="s">
        <v>4193</v>
      </c>
      <c r="C1185" s="14">
        <v>2500</v>
      </c>
      <c r="D1185" s="14">
        <v>0</v>
      </c>
      <c r="E1185" s="14">
        <f t="shared" si="26"/>
        <v>83452.480000019073</v>
      </c>
      <c r="F1185" t="s">
        <v>19</v>
      </c>
      <c r="G1185" t="s">
        <v>189</v>
      </c>
    </row>
    <row r="1186" spans="1:9" s="8" customFormat="1">
      <c r="A1186" s="13">
        <v>45978</v>
      </c>
      <c r="B1186" s="8" t="s">
        <v>4194</v>
      </c>
      <c r="C1186" s="14">
        <v>0</v>
      </c>
      <c r="D1186" s="14">
        <v>178211</v>
      </c>
      <c r="E1186" s="14">
        <f t="shared" si="26"/>
        <v>261663.48000001907</v>
      </c>
      <c r="F1186" s="8" t="s">
        <v>920</v>
      </c>
      <c r="G1186" s="8" t="s">
        <v>464</v>
      </c>
      <c r="H1186" s="8" t="s">
        <v>5977</v>
      </c>
    </row>
    <row r="1187" spans="1:9">
      <c r="A1187" s="13">
        <v>45981</v>
      </c>
      <c r="B1187" s="8" t="s">
        <v>4190</v>
      </c>
      <c r="C1187" s="14">
        <v>0</v>
      </c>
      <c r="D1187" s="14">
        <v>175000000</v>
      </c>
      <c r="E1187" s="14">
        <f t="shared" si="26"/>
        <v>175261663.48000002</v>
      </c>
      <c r="F1187" t="s">
        <v>6</v>
      </c>
      <c r="G1187" t="s">
        <v>24</v>
      </c>
      <c r="H1187" t="s">
        <v>4101</v>
      </c>
    </row>
    <row r="1188" spans="1:9" s="8" customFormat="1">
      <c r="A1188" s="13">
        <v>45981</v>
      </c>
      <c r="B1188" s="8" t="s">
        <v>7114</v>
      </c>
      <c r="C1188" s="54">
        <v>4600000</v>
      </c>
      <c r="D1188" s="54">
        <v>0</v>
      </c>
      <c r="E1188" s="54">
        <f t="shared" si="26"/>
        <v>170661663.48000002</v>
      </c>
      <c r="F1188" s="8" t="s">
        <v>8</v>
      </c>
      <c r="G1188" s="8" t="s">
        <v>14</v>
      </c>
    </row>
    <row r="1189" spans="1:9">
      <c r="A1189" s="13">
        <v>45981</v>
      </c>
      <c r="B1189" s="8" t="s">
        <v>7114</v>
      </c>
      <c r="C1189" s="54">
        <v>506000</v>
      </c>
      <c r="D1189" s="54">
        <v>0</v>
      </c>
      <c r="E1189" s="54">
        <f t="shared" si="26"/>
        <v>170155663.48000002</v>
      </c>
      <c r="F1189" t="s">
        <v>920</v>
      </c>
      <c r="G1189" t="s">
        <v>7855</v>
      </c>
      <c r="H1189" t="s">
        <v>7032</v>
      </c>
      <c r="I1189" t="s">
        <v>4565</v>
      </c>
    </row>
    <row r="1190" spans="1:9">
      <c r="A1190" s="13">
        <v>45981</v>
      </c>
      <c r="B1190" s="8" t="s">
        <v>7114</v>
      </c>
      <c r="C1190" s="54">
        <v>0</v>
      </c>
      <c r="D1190" s="54">
        <f>C1188+C1189-5014000</f>
        <v>92000</v>
      </c>
      <c r="E1190" s="54">
        <f t="shared" si="26"/>
        <v>170247663.48000002</v>
      </c>
      <c r="F1190" t="s">
        <v>6</v>
      </c>
      <c r="G1190" t="s">
        <v>53</v>
      </c>
      <c r="H1190" s="8" t="s">
        <v>7125</v>
      </c>
      <c r="I1190" t="s">
        <v>4565</v>
      </c>
    </row>
    <row r="1191" spans="1:9">
      <c r="A1191" s="13">
        <v>45981</v>
      </c>
      <c r="B1191" s="8" t="s">
        <v>7111</v>
      </c>
      <c r="C1191" s="54">
        <v>675676</v>
      </c>
      <c r="D1191" s="54">
        <v>0</v>
      </c>
      <c r="E1191" s="54">
        <f t="shared" si="26"/>
        <v>169571987.48000002</v>
      </c>
      <c r="F1191" t="s">
        <v>8</v>
      </c>
      <c r="G1191" t="s">
        <v>9</v>
      </c>
    </row>
    <row r="1192" spans="1:9">
      <c r="A1192" s="13">
        <v>45981</v>
      </c>
      <c r="B1192" s="8" t="s">
        <v>7111</v>
      </c>
      <c r="C1192" s="54">
        <v>74324</v>
      </c>
      <c r="D1192" s="54">
        <v>0</v>
      </c>
      <c r="E1192" s="54">
        <f t="shared" si="26"/>
        <v>169497663.48000002</v>
      </c>
      <c r="F1192" t="s">
        <v>920</v>
      </c>
      <c r="G1192" t="s">
        <v>7855</v>
      </c>
      <c r="H1192" t="s">
        <v>7032</v>
      </c>
      <c r="I1192" t="s">
        <v>4565</v>
      </c>
    </row>
    <row r="1193" spans="1:9">
      <c r="A1193" s="13">
        <v>45981</v>
      </c>
      <c r="B1193" s="8" t="s">
        <v>7111</v>
      </c>
      <c r="C1193" s="54">
        <v>0</v>
      </c>
      <c r="D1193" s="54">
        <f>C1191+C1192-736486</f>
        <v>13514</v>
      </c>
      <c r="E1193" s="54">
        <f t="shared" si="26"/>
        <v>169511177.48000002</v>
      </c>
      <c r="F1193" t="s">
        <v>6</v>
      </c>
      <c r="G1193" t="s">
        <v>53</v>
      </c>
      <c r="H1193" s="8" t="s">
        <v>7125</v>
      </c>
      <c r="I1193" t="s">
        <v>4565</v>
      </c>
    </row>
    <row r="1194" spans="1:9" s="8" customFormat="1">
      <c r="A1194" s="13">
        <v>45981</v>
      </c>
      <c r="B1194" s="8" t="s">
        <v>4195</v>
      </c>
      <c r="C1194" s="54">
        <v>1000000</v>
      </c>
      <c r="D1194" s="54">
        <v>0</v>
      </c>
      <c r="E1194" s="14">
        <f t="shared" si="26"/>
        <v>168511177.48000002</v>
      </c>
      <c r="F1194" s="8" t="s">
        <v>10</v>
      </c>
      <c r="G1194" s="8" t="s">
        <v>446</v>
      </c>
      <c r="H1194" s="8" t="s">
        <v>4631</v>
      </c>
      <c r="I1194" s="8" t="s">
        <v>26</v>
      </c>
    </row>
    <row r="1195" spans="1:9" s="8" customFormat="1">
      <c r="A1195" s="13">
        <v>45981</v>
      </c>
      <c r="B1195" s="8" t="s">
        <v>4196</v>
      </c>
      <c r="C1195" s="54">
        <v>1500000</v>
      </c>
      <c r="D1195" s="54">
        <v>0</v>
      </c>
      <c r="E1195" s="14">
        <f t="shared" si="26"/>
        <v>167011177.48000002</v>
      </c>
      <c r="F1195" s="8" t="s">
        <v>10</v>
      </c>
      <c r="G1195" s="8" t="s">
        <v>446</v>
      </c>
      <c r="H1195" s="8" t="s">
        <v>4631</v>
      </c>
      <c r="I1195" s="8" t="s">
        <v>26</v>
      </c>
    </row>
    <row r="1196" spans="1:9" s="8" customFormat="1">
      <c r="A1196" s="13">
        <v>45981</v>
      </c>
      <c r="B1196" s="8" t="s">
        <v>4197</v>
      </c>
      <c r="C1196" s="54">
        <v>1718500</v>
      </c>
      <c r="D1196" s="54">
        <v>0</v>
      </c>
      <c r="E1196" s="14">
        <f t="shared" si="26"/>
        <v>165292677.48000002</v>
      </c>
      <c r="F1196" s="8" t="s">
        <v>10</v>
      </c>
      <c r="G1196" s="8" t="s">
        <v>446</v>
      </c>
      <c r="H1196" s="8" t="s">
        <v>4631</v>
      </c>
      <c r="I1196" s="8" t="s">
        <v>26</v>
      </c>
    </row>
    <row r="1197" spans="1:9">
      <c r="A1197" s="13">
        <v>45981</v>
      </c>
      <c r="B1197" s="8" t="s">
        <v>4198</v>
      </c>
      <c r="C1197" s="14">
        <v>655875</v>
      </c>
      <c r="D1197" s="14">
        <v>0</v>
      </c>
      <c r="E1197" s="14">
        <f t="shared" si="26"/>
        <v>164636802.48000002</v>
      </c>
      <c r="F1197" t="s">
        <v>4</v>
      </c>
      <c r="G1197" t="s">
        <v>5</v>
      </c>
      <c r="H1197" t="s">
        <v>4077</v>
      </c>
      <c r="I1197" s="40" t="s">
        <v>26</v>
      </c>
    </row>
    <row r="1198" spans="1:9" s="8" customFormat="1">
      <c r="A1198" s="13">
        <v>45981</v>
      </c>
      <c r="B1198" s="8" t="s">
        <v>4199</v>
      </c>
      <c r="C1198" s="14">
        <v>5000000</v>
      </c>
      <c r="D1198" s="14">
        <v>0</v>
      </c>
      <c r="E1198" s="14">
        <f t="shared" si="26"/>
        <v>159636802.48000002</v>
      </c>
      <c r="F1198" s="8" t="s">
        <v>4</v>
      </c>
      <c r="G1198" s="8" t="s">
        <v>5</v>
      </c>
      <c r="H1198" s="8" t="s">
        <v>5748</v>
      </c>
      <c r="I1198" s="8" t="s">
        <v>26</v>
      </c>
    </row>
    <row r="1199" spans="1:9">
      <c r="A1199" s="13">
        <v>45981</v>
      </c>
      <c r="B1199" s="8" t="s">
        <v>4200</v>
      </c>
      <c r="C1199" s="54">
        <v>11848120</v>
      </c>
      <c r="D1199" s="54">
        <v>0</v>
      </c>
      <c r="E1199" s="14">
        <f t="shared" si="26"/>
        <v>147788682.48000002</v>
      </c>
      <c r="F1199" s="8" t="s">
        <v>10</v>
      </c>
      <c r="G1199" s="8" t="s">
        <v>446</v>
      </c>
      <c r="H1199" t="s">
        <v>4089</v>
      </c>
      <c r="I1199" s="8" t="s">
        <v>26</v>
      </c>
    </row>
    <row r="1200" spans="1:9">
      <c r="A1200" s="13">
        <v>45981</v>
      </c>
      <c r="B1200" s="8" t="s">
        <v>5369</v>
      </c>
      <c r="C1200" s="14">
        <v>3401000</v>
      </c>
      <c r="D1200" s="14">
        <v>0</v>
      </c>
      <c r="E1200" s="14">
        <f t="shared" si="26"/>
        <v>144387682.48000002</v>
      </c>
      <c r="F1200" t="s">
        <v>4</v>
      </c>
      <c r="G1200" t="s">
        <v>5</v>
      </c>
      <c r="H1200" s="40" t="s">
        <v>1627</v>
      </c>
    </row>
    <row r="1201" spans="1:9">
      <c r="A1201" s="13">
        <v>45981</v>
      </c>
      <c r="B1201" s="8" t="s">
        <v>5371</v>
      </c>
      <c r="C1201" s="54">
        <v>717501</v>
      </c>
      <c r="D1201" s="54">
        <v>0</v>
      </c>
      <c r="E1201" s="54">
        <f t="shared" si="26"/>
        <v>143670181.48000002</v>
      </c>
      <c r="F1201" s="8" t="s">
        <v>10</v>
      </c>
      <c r="G1201" s="8" t="s">
        <v>446</v>
      </c>
      <c r="H1201" s="40" t="s">
        <v>4095</v>
      </c>
      <c r="I1201" s="40" t="s">
        <v>26</v>
      </c>
    </row>
    <row r="1202" spans="1:9">
      <c r="A1202" s="13">
        <v>45981</v>
      </c>
      <c r="B1202" s="8" t="s">
        <v>3774</v>
      </c>
      <c r="C1202" s="14">
        <v>140000000</v>
      </c>
      <c r="D1202" s="14">
        <v>0</v>
      </c>
      <c r="E1202" s="14">
        <f t="shared" si="26"/>
        <v>3670181.4800000191</v>
      </c>
      <c r="F1202" t="s">
        <v>920</v>
      </c>
      <c r="G1202" t="s">
        <v>4241</v>
      </c>
    </row>
    <row r="1203" spans="1:9">
      <c r="A1203" s="13">
        <v>45981</v>
      </c>
      <c r="B1203" s="8" t="s">
        <v>3775</v>
      </c>
      <c r="C1203" s="14">
        <v>2500</v>
      </c>
      <c r="D1203" s="14">
        <v>0</v>
      </c>
      <c r="E1203" s="14">
        <f t="shared" si="26"/>
        <v>3667681.4800000191</v>
      </c>
      <c r="F1203" t="s">
        <v>19</v>
      </c>
      <c r="G1203" t="s">
        <v>189</v>
      </c>
    </row>
    <row r="1204" spans="1:9">
      <c r="A1204" s="13">
        <v>45982</v>
      </c>
      <c r="B1204" s="8" t="s">
        <v>4190</v>
      </c>
      <c r="C1204" s="14">
        <v>0</v>
      </c>
      <c r="D1204" s="14">
        <v>100000000</v>
      </c>
      <c r="E1204" s="14">
        <f t="shared" si="26"/>
        <v>103667681.48000002</v>
      </c>
      <c r="F1204" t="s">
        <v>6</v>
      </c>
      <c r="G1204" t="s">
        <v>24</v>
      </c>
      <c r="H1204" t="s">
        <v>4101</v>
      </c>
    </row>
    <row r="1205" spans="1:9">
      <c r="A1205" s="13">
        <v>45982</v>
      </c>
      <c r="B1205" s="8" t="s">
        <v>4201</v>
      </c>
      <c r="C1205" s="14">
        <v>103000000</v>
      </c>
      <c r="D1205" s="14">
        <v>0</v>
      </c>
      <c r="E1205" s="14">
        <f t="shared" si="26"/>
        <v>667681.48000001907</v>
      </c>
      <c r="F1205" t="s">
        <v>920</v>
      </c>
      <c r="G1205" t="s">
        <v>350</v>
      </c>
    </row>
    <row r="1206" spans="1:9">
      <c r="A1206" s="13">
        <v>45982</v>
      </c>
      <c r="B1206" s="8" t="s">
        <v>4202</v>
      </c>
      <c r="C1206" s="14">
        <v>2500</v>
      </c>
      <c r="D1206" s="14">
        <v>0</v>
      </c>
      <c r="E1206" s="14">
        <f t="shared" si="26"/>
        <v>665181.48000001907</v>
      </c>
      <c r="F1206" t="s">
        <v>19</v>
      </c>
      <c r="G1206" t="s">
        <v>189</v>
      </c>
    </row>
    <row r="1207" spans="1:9">
      <c r="A1207" s="13">
        <v>45986</v>
      </c>
      <c r="B1207" s="8" t="s">
        <v>4632</v>
      </c>
      <c r="C1207" s="14">
        <v>71936</v>
      </c>
      <c r="D1207" s="14">
        <v>0</v>
      </c>
      <c r="E1207" s="14">
        <f t="shared" si="26"/>
        <v>593245.48000001907</v>
      </c>
      <c r="F1207" t="s">
        <v>8</v>
      </c>
      <c r="G1207" t="s">
        <v>31</v>
      </c>
    </row>
    <row r="1208" spans="1:9">
      <c r="A1208" s="13">
        <v>45986</v>
      </c>
      <c r="B1208" s="8" t="s">
        <v>4633</v>
      </c>
      <c r="C1208" s="14">
        <v>71936</v>
      </c>
      <c r="D1208" s="14">
        <v>0</v>
      </c>
      <c r="E1208" s="14">
        <f t="shared" ref="E1208:E1277" si="27">E1207-C1208+D1208</f>
        <v>521309.48000001907</v>
      </c>
      <c r="F1208" t="s">
        <v>8</v>
      </c>
      <c r="G1208" t="s">
        <v>31</v>
      </c>
    </row>
    <row r="1209" spans="1:9">
      <c r="A1209" s="13">
        <v>45986</v>
      </c>
      <c r="B1209" s="8" t="s">
        <v>4634</v>
      </c>
      <c r="C1209" s="14">
        <v>71936</v>
      </c>
      <c r="D1209" s="14">
        <v>0</v>
      </c>
      <c r="E1209" s="14">
        <f t="shared" si="27"/>
        <v>449373.48000001907</v>
      </c>
      <c r="F1209" t="s">
        <v>8</v>
      </c>
      <c r="G1209" t="s">
        <v>31</v>
      </c>
    </row>
    <row r="1210" spans="1:9">
      <c r="A1210" s="13">
        <v>45986</v>
      </c>
      <c r="B1210" s="8" t="s">
        <v>4635</v>
      </c>
      <c r="C1210" s="14">
        <v>71936</v>
      </c>
      <c r="D1210" s="14">
        <v>0</v>
      </c>
      <c r="E1210" s="14">
        <f t="shared" si="27"/>
        <v>377437.48000001907</v>
      </c>
      <c r="F1210" t="s">
        <v>8</v>
      </c>
      <c r="G1210" t="s">
        <v>31</v>
      </c>
    </row>
    <row r="1211" spans="1:9">
      <c r="A1211" s="13">
        <v>45986</v>
      </c>
      <c r="B1211" s="8" t="s">
        <v>4636</v>
      </c>
      <c r="C1211" s="14">
        <v>109587</v>
      </c>
      <c r="D1211" s="14">
        <v>0</v>
      </c>
      <c r="E1211" s="14">
        <f t="shared" si="27"/>
        <v>267850.48000001907</v>
      </c>
      <c r="F1211" t="s">
        <v>8</v>
      </c>
      <c r="G1211" t="s">
        <v>31</v>
      </c>
    </row>
    <row r="1212" spans="1:9">
      <c r="A1212" s="13">
        <v>45986</v>
      </c>
      <c r="B1212" s="8" t="s">
        <v>4637</v>
      </c>
      <c r="C1212" s="14">
        <v>96689</v>
      </c>
      <c r="D1212" s="14">
        <v>0</v>
      </c>
      <c r="E1212" s="14">
        <f t="shared" si="27"/>
        <v>171161.48000001907</v>
      </c>
      <c r="F1212" t="s">
        <v>8</v>
      </c>
      <c r="G1212" t="s">
        <v>31</v>
      </c>
    </row>
    <row r="1213" spans="1:9">
      <c r="A1213" s="13">
        <v>45986</v>
      </c>
      <c r="B1213" s="8" t="s">
        <v>4638</v>
      </c>
      <c r="C1213" s="14">
        <v>71936</v>
      </c>
      <c r="D1213" s="14">
        <v>0</v>
      </c>
      <c r="E1213" s="14">
        <f t="shared" si="27"/>
        <v>99225.480000019073</v>
      </c>
      <c r="F1213" t="s">
        <v>8</v>
      </c>
      <c r="G1213" t="s">
        <v>31</v>
      </c>
    </row>
    <row r="1214" spans="1:9">
      <c r="A1214" s="13">
        <v>45986</v>
      </c>
      <c r="B1214" s="8" t="s">
        <v>4639</v>
      </c>
      <c r="C1214" s="14">
        <v>0</v>
      </c>
      <c r="D1214" s="14">
        <v>250000000</v>
      </c>
      <c r="E1214" s="14">
        <f t="shared" si="27"/>
        <v>250099225.48000002</v>
      </c>
      <c r="F1214" t="s">
        <v>920</v>
      </c>
      <c r="G1214" t="s">
        <v>4242</v>
      </c>
    </row>
    <row r="1215" spans="1:9">
      <c r="A1215" s="13">
        <v>45986</v>
      </c>
      <c r="B1215" s="8" t="s">
        <v>4639</v>
      </c>
      <c r="C1215" s="14">
        <v>0</v>
      </c>
      <c r="D1215" s="14">
        <v>100000000</v>
      </c>
      <c r="E1215" s="14">
        <f t="shared" si="27"/>
        <v>350099225.48000002</v>
      </c>
      <c r="F1215" t="s">
        <v>920</v>
      </c>
      <c r="G1215" t="s">
        <v>4242</v>
      </c>
    </row>
    <row r="1216" spans="1:9" s="8" customFormat="1">
      <c r="A1216" s="13">
        <v>45986</v>
      </c>
      <c r="B1216" s="8" t="s">
        <v>4640</v>
      </c>
      <c r="C1216" s="14">
        <v>45074720</v>
      </c>
      <c r="D1216" s="14">
        <v>0</v>
      </c>
      <c r="E1216" s="14">
        <f t="shared" si="27"/>
        <v>305024505.48000002</v>
      </c>
      <c r="F1216" s="8" t="s">
        <v>4</v>
      </c>
      <c r="G1216" s="8" t="s">
        <v>5</v>
      </c>
      <c r="H1216" s="8" t="s">
        <v>5748</v>
      </c>
      <c r="I1216" s="8" t="s">
        <v>26</v>
      </c>
    </row>
    <row r="1217" spans="1:9" s="8" customFormat="1">
      <c r="A1217" s="13">
        <v>45986</v>
      </c>
      <c r="B1217" s="8" t="s">
        <v>4641</v>
      </c>
      <c r="C1217" s="54">
        <v>17500000</v>
      </c>
      <c r="D1217" s="54">
        <v>0</v>
      </c>
      <c r="E1217" s="54">
        <f t="shared" si="27"/>
        <v>287524505.48000002</v>
      </c>
      <c r="F1217" s="8" t="s">
        <v>10</v>
      </c>
      <c r="G1217" s="8" t="s">
        <v>446</v>
      </c>
      <c r="H1217" s="8" t="s">
        <v>5749</v>
      </c>
      <c r="I1217" s="8" t="s">
        <v>26</v>
      </c>
    </row>
    <row r="1218" spans="1:9" s="8" customFormat="1">
      <c r="A1218" s="13">
        <v>45986</v>
      </c>
      <c r="B1218" s="8" t="s">
        <v>4642</v>
      </c>
      <c r="C1218" s="54">
        <v>200000000</v>
      </c>
      <c r="D1218" s="54">
        <v>0</v>
      </c>
      <c r="E1218" s="54">
        <f t="shared" si="27"/>
        <v>87524505.480000019</v>
      </c>
      <c r="F1218" s="8" t="s">
        <v>10</v>
      </c>
      <c r="G1218" s="8" t="s">
        <v>446</v>
      </c>
      <c r="H1218" s="8" t="s">
        <v>5751</v>
      </c>
      <c r="I1218" s="8" t="s">
        <v>26</v>
      </c>
    </row>
    <row r="1219" spans="1:9">
      <c r="A1219" s="13">
        <v>45986</v>
      </c>
      <c r="B1219" s="8" t="s">
        <v>4643</v>
      </c>
      <c r="C1219" s="14">
        <v>685000</v>
      </c>
      <c r="D1219" s="14">
        <v>0</v>
      </c>
      <c r="E1219" s="14">
        <f t="shared" si="27"/>
        <v>86839505.480000019</v>
      </c>
      <c r="F1219" t="s">
        <v>21</v>
      </c>
      <c r="G1219" t="s">
        <v>187</v>
      </c>
    </row>
    <row r="1220" spans="1:9" s="8" customFormat="1">
      <c r="A1220" s="13">
        <v>45986</v>
      </c>
      <c r="B1220" s="8" t="s">
        <v>4644</v>
      </c>
      <c r="C1220" s="14">
        <v>19950000</v>
      </c>
      <c r="D1220" s="14">
        <v>0</v>
      </c>
      <c r="E1220" s="14">
        <f t="shared" si="27"/>
        <v>66889505.480000019</v>
      </c>
      <c r="F1220" s="8" t="s">
        <v>4</v>
      </c>
      <c r="G1220" s="8" t="s">
        <v>5</v>
      </c>
      <c r="H1220" s="8" t="s">
        <v>5750</v>
      </c>
      <c r="I1220" s="8" t="s">
        <v>26</v>
      </c>
    </row>
    <row r="1221" spans="1:9" s="8" customFormat="1">
      <c r="A1221" s="13">
        <v>45986</v>
      </c>
      <c r="B1221" s="8" t="s">
        <v>4645</v>
      </c>
      <c r="C1221" s="14">
        <v>1500000</v>
      </c>
      <c r="D1221" s="14">
        <v>0</v>
      </c>
      <c r="E1221" s="14">
        <f t="shared" si="27"/>
        <v>65389505.480000019</v>
      </c>
      <c r="F1221" s="8" t="s">
        <v>4</v>
      </c>
      <c r="G1221" s="8" t="s">
        <v>5</v>
      </c>
      <c r="H1221" s="8" t="s">
        <v>5750</v>
      </c>
      <c r="I1221" s="8" t="s">
        <v>26</v>
      </c>
    </row>
    <row r="1222" spans="1:9" s="8" customFormat="1">
      <c r="A1222" s="13">
        <v>45986</v>
      </c>
      <c r="B1222" s="8" t="s">
        <v>4646</v>
      </c>
      <c r="C1222" s="14">
        <v>6125000</v>
      </c>
      <c r="D1222" s="14">
        <v>0</v>
      </c>
      <c r="E1222" s="14">
        <f t="shared" si="27"/>
        <v>59264505.480000019</v>
      </c>
      <c r="F1222" s="8" t="s">
        <v>4</v>
      </c>
      <c r="G1222" s="8" t="s">
        <v>5</v>
      </c>
      <c r="H1222" s="8" t="s">
        <v>5750</v>
      </c>
      <c r="I1222" s="8" t="s">
        <v>277</v>
      </c>
    </row>
    <row r="1223" spans="1:9" s="8" customFormat="1">
      <c r="A1223" s="13">
        <v>45986</v>
      </c>
      <c r="B1223" s="8" t="s">
        <v>4647</v>
      </c>
      <c r="C1223" s="14">
        <v>5500000</v>
      </c>
      <c r="D1223" s="14">
        <v>0</v>
      </c>
      <c r="E1223" s="14">
        <f t="shared" si="27"/>
        <v>53764505.480000019</v>
      </c>
      <c r="F1223" s="8" t="s">
        <v>4</v>
      </c>
      <c r="G1223" s="8" t="s">
        <v>5</v>
      </c>
      <c r="H1223" s="8" t="s">
        <v>5750</v>
      </c>
      <c r="I1223" s="8" t="s">
        <v>6100</v>
      </c>
    </row>
    <row r="1224" spans="1:9" s="8" customFormat="1">
      <c r="A1224" s="13">
        <v>45986</v>
      </c>
      <c r="B1224" s="8" t="s">
        <v>4648</v>
      </c>
      <c r="C1224" s="54">
        <v>7000000</v>
      </c>
      <c r="D1224" s="54">
        <v>0</v>
      </c>
      <c r="E1224" s="14">
        <f t="shared" si="27"/>
        <v>46764505.480000019</v>
      </c>
      <c r="F1224" s="8" t="s">
        <v>10</v>
      </c>
      <c r="G1224" s="8" t="s">
        <v>446</v>
      </c>
      <c r="H1224" s="8" t="s">
        <v>4631</v>
      </c>
      <c r="I1224" s="8" t="s">
        <v>26</v>
      </c>
    </row>
    <row r="1225" spans="1:9" s="8" customFormat="1">
      <c r="A1225" s="13">
        <v>45986</v>
      </c>
      <c r="B1225" s="8" t="s">
        <v>7106</v>
      </c>
      <c r="C1225" s="54">
        <v>4600000</v>
      </c>
      <c r="D1225" s="54">
        <v>0</v>
      </c>
      <c r="E1225" s="54">
        <f t="shared" si="27"/>
        <v>42164505.480000019</v>
      </c>
      <c r="F1225" s="8" t="s">
        <v>8</v>
      </c>
      <c r="G1225" s="8" t="s">
        <v>14</v>
      </c>
    </row>
    <row r="1226" spans="1:9">
      <c r="A1226" s="13">
        <v>45986</v>
      </c>
      <c r="B1226" s="8" t="s">
        <v>7106</v>
      </c>
      <c r="C1226" s="54">
        <v>506000</v>
      </c>
      <c r="D1226" s="54">
        <v>0</v>
      </c>
      <c r="E1226" s="54">
        <f t="shared" si="27"/>
        <v>41658505.480000019</v>
      </c>
      <c r="F1226" s="8" t="s">
        <v>920</v>
      </c>
      <c r="G1226" s="8" t="s">
        <v>7855</v>
      </c>
      <c r="H1226" s="40" t="s">
        <v>7032</v>
      </c>
      <c r="I1226" t="s">
        <v>4564</v>
      </c>
    </row>
    <row r="1227" spans="1:9" s="8" customFormat="1">
      <c r="A1227" s="13">
        <v>45986</v>
      </c>
      <c r="B1227" s="8" t="s">
        <v>7106</v>
      </c>
      <c r="C1227" s="54">
        <v>0</v>
      </c>
      <c r="D1227" s="54">
        <f>C1225+C1226-5014000</f>
        <v>92000</v>
      </c>
      <c r="E1227" s="14">
        <f t="shared" si="27"/>
        <v>41750505.480000019</v>
      </c>
      <c r="F1227" s="8" t="s">
        <v>920</v>
      </c>
      <c r="G1227" s="8" t="s">
        <v>4242</v>
      </c>
      <c r="H1227" s="8" t="s">
        <v>88</v>
      </c>
      <c r="I1227" s="8" t="s">
        <v>4564</v>
      </c>
    </row>
    <row r="1228" spans="1:9" s="8" customFormat="1">
      <c r="A1228" s="13">
        <v>45986</v>
      </c>
      <c r="B1228" s="8" t="s">
        <v>4649</v>
      </c>
      <c r="C1228" s="14">
        <v>5500000</v>
      </c>
      <c r="D1228" s="14">
        <v>0</v>
      </c>
      <c r="E1228" s="14">
        <f t="shared" si="27"/>
        <v>36250505.480000019</v>
      </c>
      <c r="F1228" s="8" t="s">
        <v>4</v>
      </c>
      <c r="G1228" s="8" t="s">
        <v>5</v>
      </c>
      <c r="H1228" s="8" t="s">
        <v>5750</v>
      </c>
      <c r="I1228" s="8" t="s">
        <v>26</v>
      </c>
    </row>
    <row r="1229" spans="1:9" s="8" customFormat="1">
      <c r="A1229" s="13">
        <v>45986</v>
      </c>
      <c r="B1229" s="8" t="s">
        <v>4650</v>
      </c>
      <c r="C1229" s="54">
        <v>7000000</v>
      </c>
      <c r="D1229" s="54">
        <v>0</v>
      </c>
      <c r="E1229" s="14">
        <f t="shared" si="27"/>
        <v>29250505.480000019</v>
      </c>
      <c r="F1229" s="8" t="s">
        <v>10</v>
      </c>
      <c r="G1229" s="8" t="s">
        <v>446</v>
      </c>
      <c r="H1229" s="8" t="s">
        <v>4631</v>
      </c>
      <c r="I1229" s="8" t="s">
        <v>26</v>
      </c>
    </row>
    <row r="1230" spans="1:9" s="8" customFormat="1">
      <c r="A1230" s="13">
        <v>45986</v>
      </c>
      <c r="B1230" s="8" t="s">
        <v>7141</v>
      </c>
      <c r="C1230" s="54">
        <v>5777000</v>
      </c>
      <c r="D1230" s="54">
        <v>0</v>
      </c>
      <c r="E1230" s="54">
        <f t="shared" si="27"/>
        <v>23473505.480000019</v>
      </c>
      <c r="F1230" s="8" t="s">
        <v>8</v>
      </c>
      <c r="G1230" s="8" t="s">
        <v>14</v>
      </c>
    </row>
    <row r="1231" spans="1:9" s="8" customFormat="1">
      <c r="A1231" s="13">
        <v>45986</v>
      </c>
      <c r="B1231" s="8" t="s">
        <v>7141</v>
      </c>
      <c r="C1231" s="54">
        <v>115540</v>
      </c>
      <c r="D1231" s="54">
        <v>0</v>
      </c>
      <c r="E1231" s="54">
        <f t="shared" si="27"/>
        <v>23357965.480000019</v>
      </c>
      <c r="F1231" s="8" t="s">
        <v>8</v>
      </c>
      <c r="G1231" s="8" t="s">
        <v>14</v>
      </c>
    </row>
    <row r="1232" spans="1:9" s="8" customFormat="1">
      <c r="A1232" s="13">
        <v>45986</v>
      </c>
      <c r="B1232" s="8" t="s">
        <v>7141</v>
      </c>
      <c r="C1232" s="54">
        <v>0</v>
      </c>
      <c r="D1232" s="54">
        <f>C1230+C1231-5777000</f>
        <v>115540</v>
      </c>
      <c r="E1232" s="54">
        <f t="shared" si="27"/>
        <v>23473505.480000019</v>
      </c>
      <c r="F1232" s="8" t="s">
        <v>6</v>
      </c>
      <c r="G1232" s="8" t="s">
        <v>53</v>
      </c>
      <c r="H1232" s="8" t="s">
        <v>7125</v>
      </c>
      <c r="I1232" s="8" t="s">
        <v>4565</v>
      </c>
    </row>
    <row r="1233" spans="1:9" s="8" customFormat="1">
      <c r="A1233" s="13">
        <v>45986</v>
      </c>
      <c r="B1233" s="8" t="s">
        <v>4651</v>
      </c>
      <c r="C1233" s="54">
        <v>6125000</v>
      </c>
      <c r="D1233" s="54">
        <v>0</v>
      </c>
      <c r="E1233" s="14">
        <f t="shared" si="27"/>
        <v>17348505.480000019</v>
      </c>
      <c r="F1233" s="8" t="s">
        <v>10</v>
      </c>
      <c r="G1233" s="8" t="s">
        <v>446</v>
      </c>
      <c r="H1233" s="8" t="s">
        <v>4631</v>
      </c>
      <c r="I1233" s="8" t="s">
        <v>26</v>
      </c>
    </row>
    <row r="1234" spans="1:9" s="8" customFormat="1">
      <c r="A1234" s="13">
        <v>45986</v>
      </c>
      <c r="B1234" s="8" t="s">
        <v>4652</v>
      </c>
      <c r="C1234" s="54">
        <v>5400000</v>
      </c>
      <c r="D1234" s="54">
        <v>0</v>
      </c>
      <c r="E1234" s="14">
        <f t="shared" si="27"/>
        <v>11948505.480000019</v>
      </c>
      <c r="F1234" s="8" t="s">
        <v>10</v>
      </c>
      <c r="G1234" s="8" t="s">
        <v>446</v>
      </c>
      <c r="H1234" s="8" t="s">
        <v>4631</v>
      </c>
      <c r="I1234" s="8" t="s">
        <v>26</v>
      </c>
    </row>
    <row r="1235" spans="1:9">
      <c r="A1235" s="13">
        <v>45986</v>
      </c>
      <c r="B1235" s="8" t="s">
        <v>4639</v>
      </c>
      <c r="C1235" s="14">
        <v>0</v>
      </c>
      <c r="D1235" s="14">
        <v>250000000</v>
      </c>
      <c r="E1235" s="14">
        <f t="shared" si="27"/>
        <v>261948505.48000002</v>
      </c>
      <c r="F1235" t="s">
        <v>920</v>
      </c>
      <c r="G1235" t="s">
        <v>4242</v>
      </c>
    </row>
    <row r="1236" spans="1:9">
      <c r="A1236" s="13">
        <v>45986</v>
      </c>
      <c r="B1236" s="8" t="s">
        <v>4639</v>
      </c>
      <c r="C1236" s="14">
        <v>0</v>
      </c>
      <c r="D1236" s="14">
        <v>150000000</v>
      </c>
      <c r="E1236" s="14">
        <f t="shared" si="27"/>
        <v>411948505.48000002</v>
      </c>
      <c r="F1236" t="s">
        <v>920</v>
      </c>
      <c r="G1236" t="s">
        <v>4242</v>
      </c>
    </row>
    <row r="1237" spans="1:9" s="8" customFormat="1">
      <c r="A1237" s="13">
        <v>45986</v>
      </c>
      <c r="B1237" s="8" t="s">
        <v>4653</v>
      </c>
      <c r="C1237" s="14">
        <v>200000000</v>
      </c>
      <c r="D1237" s="14">
        <v>0</v>
      </c>
      <c r="E1237" s="14">
        <f t="shared" si="27"/>
        <v>211948505.48000002</v>
      </c>
      <c r="F1237" s="8" t="s">
        <v>920</v>
      </c>
      <c r="G1237" s="8" t="s">
        <v>400</v>
      </c>
      <c r="H1237" s="8" t="s">
        <v>5743</v>
      </c>
    </row>
    <row r="1238" spans="1:9" s="8" customFormat="1">
      <c r="A1238" s="13">
        <v>45986</v>
      </c>
      <c r="B1238" s="8" t="s">
        <v>4654</v>
      </c>
      <c r="C1238" s="14">
        <v>200000000</v>
      </c>
      <c r="D1238" s="14">
        <v>0</v>
      </c>
      <c r="E1238" s="14">
        <f t="shared" si="27"/>
        <v>11948505.480000019</v>
      </c>
      <c r="F1238" s="8" t="s">
        <v>920</v>
      </c>
      <c r="G1238" s="8" t="s">
        <v>400</v>
      </c>
      <c r="H1238" s="8" t="s">
        <v>5744</v>
      </c>
    </row>
    <row r="1239" spans="1:9">
      <c r="A1239" s="13">
        <v>45989</v>
      </c>
      <c r="B1239" s="8" t="s">
        <v>4655</v>
      </c>
      <c r="C1239" s="14">
        <v>0</v>
      </c>
      <c r="D1239" s="14">
        <v>56841</v>
      </c>
      <c r="E1239" s="14">
        <f t="shared" si="27"/>
        <v>12005346.480000019</v>
      </c>
      <c r="F1239" s="80" t="s">
        <v>920</v>
      </c>
      <c r="G1239" s="80" t="s">
        <v>377</v>
      </c>
      <c r="H1239" t="s">
        <v>26</v>
      </c>
    </row>
    <row r="1240" spans="1:9">
      <c r="A1240" s="13">
        <v>45990</v>
      </c>
      <c r="B1240" s="8" t="s">
        <v>4656</v>
      </c>
      <c r="C1240" s="14">
        <v>0</v>
      </c>
      <c r="D1240" s="14">
        <v>12058000</v>
      </c>
      <c r="E1240" s="14">
        <f t="shared" si="27"/>
        <v>24063346.480000019</v>
      </c>
      <c r="F1240" s="80" t="s">
        <v>1400</v>
      </c>
      <c r="G1240" s="80" t="s">
        <v>1400</v>
      </c>
    </row>
    <row r="1241" spans="1:9" s="8" customFormat="1">
      <c r="A1241" s="13">
        <v>45990</v>
      </c>
      <c r="B1241" s="8" t="s">
        <v>4657</v>
      </c>
      <c r="C1241" s="54">
        <v>18639000</v>
      </c>
      <c r="D1241" s="54">
        <v>0</v>
      </c>
      <c r="E1241" s="14">
        <f t="shared" si="27"/>
        <v>5424346.4800000191</v>
      </c>
      <c r="F1241" s="8" t="s">
        <v>10</v>
      </c>
      <c r="G1241" s="8" t="s">
        <v>446</v>
      </c>
      <c r="H1241" s="8" t="s">
        <v>5752</v>
      </c>
      <c r="I1241" s="8" t="s">
        <v>26</v>
      </c>
    </row>
    <row r="1242" spans="1:9">
      <c r="A1242" s="13">
        <v>45990</v>
      </c>
      <c r="B1242" s="8" t="s">
        <v>4658</v>
      </c>
      <c r="C1242" s="54">
        <v>550000</v>
      </c>
      <c r="D1242" s="54">
        <v>0</v>
      </c>
      <c r="E1242" s="14">
        <f t="shared" si="27"/>
        <v>4874346.4800000191</v>
      </c>
      <c r="F1242" s="80" t="s">
        <v>10</v>
      </c>
      <c r="G1242" s="80" t="s">
        <v>446</v>
      </c>
      <c r="H1242" s="40" t="s">
        <v>4096</v>
      </c>
      <c r="I1242" t="s">
        <v>26</v>
      </c>
    </row>
    <row r="1243" spans="1:9">
      <c r="A1243" s="13">
        <v>45990</v>
      </c>
      <c r="B1243" s="8" t="s">
        <v>4659</v>
      </c>
      <c r="C1243" s="54">
        <v>1985445</v>
      </c>
      <c r="D1243" s="54">
        <v>0</v>
      </c>
      <c r="E1243" s="14">
        <f t="shared" si="27"/>
        <v>2888901.4800000191</v>
      </c>
      <c r="F1243" s="80" t="s">
        <v>10</v>
      </c>
      <c r="G1243" s="80" t="s">
        <v>446</v>
      </c>
      <c r="H1243" s="40" t="s">
        <v>4096</v>
      </c>
      <c r="I1243" t="s">
        <v>26</v>
      </c>
    </row>
    <row r="1244" spans="1:9">
      <c r="A1244" s="13">
        <v>45990</v>
      </c>
      <c r="B1244" s="8" t="s">
        <v>4660</v>
      </c>
      <c r="C1244" s="14">
        <v>685000</v>
      </c>
      <c r="D1244" s="14">
        <v>0</v>
      </c>
      <c r="E1244" s="14">
        <f t="shared" si="27"/>
        <v>2203901.4800000191</v>
      </c>
      <c r="F1244" s="80" t="s">
        <v>21</v>
      </c>
      <c r="G1244" s="80" t="s">
        <v>187</v>
      </c>
    </row>
    <row r="1245" spans="1:9">
      <c r="A1245" s="13">
        <v>45990</v>
      </c>
      <c r="B1245" s="8" t="s">
        <v>4661</v>
      </c>
      <c r="C1245" s="14">
        <v>0</v>
      </c>
      <c r="D1245" s="14">
        <v>110000</v>
      </c>
      <c r="E1245" s="14">
        <f t="shared" si="27"/>
        <v>2313901.4800000191</v>
      </c>
      <c r="F1245" s="80" t="s">
        <v>920</v>
      </c>
      <c r="G1245" s="80" t="s">
        <v>351</v>
      </c>
    </row>
    <row r="1246" spans="1:9">
      <c r="A1246" s="13">
        <v>45990</v>
      </c>
      <c r="B1246" s="8" t="s">
        <v>4662</v>
      </c>
      <c r="C1246" s="14">
        <v>0</v>
      </c>
      <c r="D1246" s="14">
        <v>250000000</v>
      </c>
      <c r="E1246" s="14">
        <f t="shared" si="27"/>
        <v>252313901.48000002</v>
      </c>
      <c r="F1246" s="80" t="s">
        <v>920</v>
      </c>
      <c r="G1246" s="80" t="s">
        <v>461</v>
      </c>
    </row>
    <row r="1247" spans="1:9">
      <c r="A1247" s="13">
        <v>45990</v>
      </c>
      <c r="B1247" s="8" t="s">
        <v>4663</v>
      </c>
      <c r="C1247" s="14">
        <v>12058000</v>
      </c>
      <c r="D1247" s="14">
        <v>0</v>
      </c>
      <c r="E1247" s="14">
        <f t="shared" si="27"/>
        <v>240255901.48000002</v>
      </c>
      <c r="F1247" s="80" t="s">
        <v>1400</v>
      </c>
      <c r="G1247" s="80" t="s">
        <v>1400</v>
      </c>
    </row>
    <row r="1248" spans="1:9">
      <c r="A1248" s="13">
        <v>45990</v>
      </c>
      <c r="B1248" s="8" t="s">
        <v>4664</v>
      </c>
      <c r="C1248" s="54">
        <v>17479820</v>
      </c>
      <c r="D1248" s="54">
        <v>0</v>
      </c>
      <c r="E1248" s="54">
        <f t="shared" si="27"/>
        <v>222776081.48000002</v>
      </c>
      <c r="F1248" s="8" t="s">
        <v>10</v>
      </c>
      <c r="G1248" s="8" t="s">
        <v>446</v>
      </c>
      <c r="H1248" s="40" t="s">
        <v>4089</v>
      </c>
      <c r="I1248" s="8" t="s">
        <v>26</v>
      </c>
    </row>
    <row r="1249" spans="1:9" s="8" customFormat="1">
      <c r="A1249" s="13">
        <v>45990</v>
      </c>
      <c r="B1249" s="8" t="s">
        <v>4665</v>
      </c>
      <c r="C1249" s="14">
        <v>7500000</v>
      </c>
      <c r="D1249" s="14">
        <v>0</v>
      </c>
      <c r="E1249" s="14">
        <f t="shared" si="27"/>
        <v>215276081.48000002</v>
      </c>
      <c r="F1249" s="8" t="s">
        <v>4</v>
      </c>
      <c r="G1249" s="8" t="s">
        <v>5</v>
      </c>
      <c r="H1249" s="8" t="s">
        <v>5956</v>
      </c>
      <c r="I1249" s="8" t="s">
        <v>26</v>
      </c>
    </row>
    <row r="1250" spans="1:9">
      <c r="A1250" s="13">
        <v>45991</v>
      </c>
      <c r="B1250" s="8" t="s">
        <v>5798</v>
      </c>
      <c r="C1250" s="14">
        <v>30000</v>
      </c>
      <c r="D1250" s="14">
        <v>0</v>
      </c>
      <c r="E1250" s="14">
        <f t="shared" si="27"/>
        <v>215246081.48000002</v>
      </c>
      <c r="F1250" s="80" t="s">
        <v>19</v>
      </c>
      <c r="G1250" s="80" t="s">
        <v>189</v>
      </c>
    </row>
    <row r="1251" spans="1:9">
      <c r="A1251" s="13">
        <v>45992</v>
      </c>
      <c r="B1251" s="8" t="s">
        <v>5904</v>
      </c>
      <c r="C1251" s="14">
        <v>10000000</v>
      </c>
      <c r="D1251" s="14">
        <v>0</v>
      </c>
      <c r="E1251" s="14">
        <f t="shared" si="27"/>
        <v>205246081.48000002</v>
      </c>
      <c r="F1251" s="80" t="s">
        <v>920</v>
      </c>
      <c r="G1251" s="80" t="s">
        <v>376</v>
      </c>
    </row>
    <row r="1252" spans="1:9" s="8" customFormat="1">
      <c r="A1252" s="13">
        <v>45992</v>
      </c>
      <c r="B1252" s="8" t="s">
        <v>6473</v>
      </c>
      <c r="C1252" s="14">
        <v>5000000</v>
      </c>
      <c r="D1252" s="14">
        <v>0</v>
      </c>
      <c r="E1252" s="14">
        <f t="shared" si="27"/>
        <v>200246081.48000002</v>
      </c>
      <c r="F1252" s="8" t="s">
        <v>920</v>
      </c>
      <c r="G1252" s="8" t="s">
        <v>400</v>
      </c>
      <c r="H1252" s="8" t="s">
        <v>6474</v>
      </c>
    </row>
    <row r="1253" spans="1:9">
      <c r="A1253" s="13">
        <v>45993</v>
      </c>
      <c r="B1253" s="8" t="s">
        <v>3774</v>
      </c>
      <c r="C1253" s="14">
        <v>50750000</v>
      </c>
      <c r="D1253" s="14">
        <v>0</v>
      </c>
      <c r="E1253" s="14">
        <f t="shared" si="27"/>
        <v>149496081.48000002</v>
      </c>
      <c r="F1253" s="80" t="s">
        <v>920</v>
      </c>
      <c r="G1253" s="80" t="s">
        <v>4241</v>
      </c>
    </row>
    <row r="1254" spans="1:9">
      <c r="A1254" s="13">
        <v>45993</v>
      </c>
      <c r="B1254" s="8" t="s">
        <v>3775</v>
      </c>
      <c r="C1254" s="14">
        <v>2500</v>
      </c>
      <c r="D1254" s="14">
        <v>0</v>
      </c>
      <c r="E1254" s="14">
        <f t="shared" si="27"/>
        <v>149493581.48000002</v>
      </c>
      <c r="F1254" s="80" t="s">
        <v>19</v>
      </c>
      <c r="G1254" s="80" t="s">
        <v>189</v>
      </c>
    </row>
    <row r="1255" spans="1:9">
      <c r="A1255" s="13">
        <v>45993</v>
      </c>
      <c r="B1255" s="8" t="s">
        <v>3774</v>
      </c>
      <c r="C1255" s="14">
        <v>68100000</v>
      </c>
      <c r="D1255" s="14">
        <v>0</v>
      </c>
      <c r="E1255" s="14">
        <f t="shared" si="27"/>
        <v>81393581.480000019</v>
      </c>
      <c r="F1255" s="80" t="s">
        <v>920</v>
      </c>
      <c r="G1255" s="80" t="s">
        <v>4241</v>
      </c>
    </row>
    <row r="1256" spans="1:9">
      <c r="A1256" s="13">
        <v>45993</v>
      </c>
      <c r="B1256" s="8" t="s">
        <v>3775</v>
      </c>
      <c r="C1256" s="14">
        <v>2500</v>
      </c>
      <c r="D1256" s="14">
        <v>0</v>
      </c>
      <c r="E1256" s="14">
        <f t="shared" si="27"/>
        <v>81391081.480000019</v>
      </c>
      <c r="F1256" s="80" t="s">
        <v>19</v>
      </c>
      <c r="G1256" s="80" t="s">
        <v>189</v>
      </c>
    </row>
    <row r="1257" spans="1:9">
      <c r="A1257" s="13">
        <v>45995</v>
      </c>
      <c r="B1257" s="8" t="s">
        <v>372</v>
      </c>
      <c r="C1257" s="14">
        <v>0</v>
      </c>
      <c r="D1257" s="14">
        <v>250000000</v>
      </c>
      <c r="E1257" s="14">
        <f t="shared" si="27"/>
        <v>331391081.48000002</v>
      </c>
      <c r="F1257" s="80" t="s">
        <v>920</v>
      </c>
      <c r="G1257" s="80" t="s">
        <v>4242</v>
      </c>
    </row>
    <row r="1258" spans="1:9">
      <c r="A1258" s="13">
        <v>45995</v>
      </c>
      <c r="B1258" s="8" t="s">
        <v>372</v>
      </c>
      <c r="C1258" s="14">
        <v>0</v>
      </c>
      <c r="D1258" s="14">
        <v>250000000</v>
      </c>
      <c r="E1258" s="14">
        <f t="shared" si="27"/>
        <v>581391081.48000002</v>
      </c>
      <c r="F1258" s="80" t="s">
        <v>920</v>
      </c>
      <c r="G1258" s="80" t="s">
        <v>4242</v>
      </c>
    </row>
    <row r="1259" spans="1:9">
      <c r="A1259" s="13">
        <v>45995</v>
      </c>
      <c r="B1259" s="8" t="s">
        <v>5905</v>
      </c>
      <c r="C1259" s="14">
        <v>250000000</v>
      </c>
      <c r="D1259" s="14">
        <v>0</v>
      </c>
      <c r="E1259" s="14">
        <f t="shared" si="27"/>
        <v>331391081.48000002</v>
      </c>
      <c r="F1259" s="80" t="s">
        <v>6</v>
      </c>
      <c r="G1259" s="80" t="s">
        <v>24</v>
      </c>
      <c r="H1259" t="s">
        <v>25</v>
      </c>
    </row>
    <row r="1260" spans="1:9">
      <c r="A1260" s="13">
        <v>45995</v>
      </c>
      <c r="B1260" s="8" t="s">
        <v>5906</v>
      </c>
      <c r="C1260" s="14">
        <v>2500</v>
      </c>
      <c r="D1260" s="14">
        <v>0</v>
      </c>
      <c r="E1260" s="14">
        <f t="shared" si="27"/>
        <v>331388581.48000002</v>
      </c>
      <c r="F1260" s="80" t="s">
        <v>19</v>
      </c>
      <c r="G1260" s="80" t="s">
        <v>189</v>
      </c>
    </row>
    <row r="1261" spans="1:9">
      <c r="A1261" s="13">
        <v>45995</v>
      </c>
      <c r="B1261" s="8" t="s">
        <v>5905</v>
      </c>
      <c r="C1261" s="14">
        <v>250000000</v>
      </c>
      <c r="D1261" s="14">
        <v>0</v>
      </c>
      <c r="E1261" s="14">
        <f t="shared" si="27"/>
        <v>81388581.480000019</v>
      </c>
      <c r="F1261" s="80" t="s">
        <v>6</v>
      </c>
      <c r="G1261" s="80" t="s">
        <v>24</v>
      </c>
      <c r="H1261" t="s">
        <v>25</v>
      </c>
    </row>
    <row r="1262" spans="1:9">
      <c r="A1262" s="13">
        <v>45995</v>
      </c>
      <c r="B1262" s="8" t="s">
        <v>5906</v>
      </c>
      <c r="C1262" s="14">
        <v>2500</v>
      </c>
      <c r="D1262" s="14">
        <v>0</v>
      </c>
      <c r="E1262" s="14">
        <f t="shared" si="27"/>
        <v>81386081.480000019</v>
      </c>
      <c r="F1262" s="80" t="s">
        <v>19</v>
      </c>
      <c r="G1262" s="80" t="s">
        <v>189</v>
      </c>
    </row>
    <row r="1263" spans="1:9">
      <c r="A1263" s="13">
        <v>45996</v>
      </c>
      <c r="B1263" s="8" t="s">
        <v>5907</v>
      </c>
      <c r="C1263" s="14">
        <v>0</v>
      </c>
      <c r="D1263" s="14">
        <v>386728824</v>
      </c>
      <c r="E1263" s="14">
        <f t="shared" si="27"/>
        <v>468114905.48000002</v>
      </c>
      <c r="F1263" s="80" t="s">
        <v>2140</v>
      </c>
      <c r="G1263" s="80" t="s">
        <v>2141</v>
      </c>
      <c r="H1263" s="154" t="s">
        <v>2320</v>
      </c>
      <c r="I1263" s="37" t="s">
        <v>3462</v>
      </c>
    </row>
    <row r="1264" spans="1:9" s="8" customFormat="1">
      <c r="A1264" s="13">
        <v>45996</v>
      </c>
      <c r="B1264" s="8" t="s">
        <v>5908</v>
      </c>
      <c r="C1264" s="14">
        <v>2500000</v>
      </c>
      <c r="D1264" s="14">
        <v>0</v>
      </c>
      <c r="E1264" s="14">
        <f t="shared" si="27"/>
        <v>465614905.48000002</v>
      </c>
      <c r="F1264" s="8" t="s">
        <v>4</v>
      </c>
      <c r="G1264" s="8" t="s">
        <v>5</v>
      </c>
      <c r="H1264" s="8" t="s">
        <v>5750</v>
      </c>
      <c r="I1264" s="8" t="s">
        <v>26</v>
      </c>
    </row>
    <row r="1265" spans="1:9" s="8" customFormat="1">
      <c r="A1265" s="13">
        <v>45996</v>
      </c>
      <c r="B1265" s="8" t="s">
        <v>5909</v>
      </c>
      <c r="C1265" s="14">
        <v>10200000</v>
      </c>
      <c r="D1265" s="14">
        <v>0</v>
      </c>
      <c r="E1265" s="14">
        <f t="shared" si="27"/>
        <v>455414905.48000002</v>
      </c>
      <c r="F1265" s="8" t="s">
        <v>4</v>
      </c>
      <c r="G1265" s="8" t="s">
        <v>5</v>
      </c>
      <c r="H1265" s="8" t="s">
        <v>5750</v>
      </c>
      <c r="I1265" s="8" t="s">
        <v>26</v>
      </c>
    </row>
    <row r="1266" spans="1:9">
      <c r="A1266" s="13">
        <v>45996</v>
      </c>
      <c r="B1266" s="8" t="s">
        <v>5910</v>
      </c>
      <c r="C1266" s="14">
        <v>4500000</v>
      </c>
      <c r="D1266" s="14">
        <v>0</v>
      </c>
      <c r="E1266" s="14">
        <f t="shared" si="27"/>
        <v>450914905.48000002</v>
      </c>
      <c r="F1266" s="80" t="s">
        <v>4</v>
      </c>
      <c r="G1266" s="80" t="s">
        <v>5</v>
      </c>
      <c r="H1266" t="s">
        <v>5748</v>
      </c>
    </row>
    <row r="1267" spans="1:9" s="8" customFormat="1">
      <c r="A1267" s="13">
        <v>45996</v>
      </c>
      <c r="B1267" s="8" t="s">
        <v>5911</v>
      </c>
      <c r="C1267" s="54">
        <v>10625000</v>
      </c>
      <c r="D1267" s="54">
        <v>0</v>
      </c>
      <c r="E1267" s="14">
        <f t="shared" si="27"/>
        <v>440289905.48000002</v>
      </c>
      <c r="F1267" s="8" t="s">
        <v>10</v>
      </c>
      <c r="G1267" s="8" t="s">
        <v>446</v>
      </c>
      <c r="H1267" s="8" t="s">
        <v>4631</v>
      </c>
      <c r="I1267" s="8" t="s">
        <v>26</v>
      </c>
    </row>
    <row r="1268" spans="1:9">
      <c r="A1268" s="13">
        <v>45996</v>
      </c>
      <c r="B1268" s="8" t="s">
        <v>7076</v>
      </c>
      <c r="C1268" s="54">
        <v>6162500</v>
      </c>
      <c r="D1268" s="54">
        <v>0</v>
      </c>
      <c r="E1268" s="54">
        <f t="shared" si="27"/>
        <v>434127405.48000002</v>
      </c>
      <c r="F1268" s="80" t="s">
        <v>4</v>
      </c>
      <c r="G1268" s="80" t="s">
        <v>5</v>
      </c>
      <c r="H1268" t="s">
        <v>2326</v>
      </c>
    </row>
    <row r="1269" spans="1:9">
      <c r="A1269" s="13">
        <v>45996</v>
      </c>
      <c r="B1269" s="8" t="s">
        <v>7076</v>
      </c>
      <c r="C1269" s="54">
        <v>67788</v>
      </c>
      <c r="D1269" s="54">
        <v>0</v>
      </c>
      <c r="E1269" s="54">
        <f t="shared" si="27"/>
        <v>434059617.48000002</v>
      </c>
      <c r="F1269" s="8" t="s">
        <v>920</v>
      </c>
      <c r="G1269" s="8" t="s">
        <v>7855</v>
      </c>
      <c r="H1269" s="8" t="s">
        <v>7032</v>
      </c>
      <c r="I1269" s="8" t="s">
        <v>4560</v>
      </c>
    </row>
    <row r="1270" spans="1:9" s="280" customFormat="1">
      <c r="A1270" s="279">
        <v>45996</v>
      </c>
      <c r="B1270" s="280" t="s">
        <v>7076</v>
      </c>
      <c r="C1270" s="281">
        <v>0</v>
      </c>
      <c r="D1270" s="281">
        <f>C1268+C1269-6107038</f>
        <v>123250</v>
      </c>
      <c r="E1270" s="281">
        <f t="shared" si="27"/>
        <v>434182867.48000002</v>
      </c>
      <c r="F1270" s="280" t="s">
        <v>6</v>
      </c>
      <c r="G1270" s="280" t="s">
        <v>53</v>
      </c>
      <c r="H1270" s="280" t="s">
        <v>7151</v>
      </c>
      <c r="I1270" s="337">
        <v>45809</v>
      </c>
    </row>
    <row r="1271" spans="1:9" s="8" customFormat="1">
      <c r="A1271" s="13">
        <v>45999</v>
      </c>
      <c r="B1271" s="8" t="s">
        <v>6128</v>
      </c>
      <c r="C1271" s="54">
        <v>0</v>
      </c>
      <c r="D1271" s="54">
        <v>67948000</v>
      </c>
      <c r="E1271" s="14">
        <f t="shared" si="27"/>
        <v>502130867.48000002</v>
      </c>
      <c r="F1271" s="8" t="s">
        <v>10</v>
      </c>
      <c r="G1271" s="8" t="s">
        <v>446</v>
      </c>
      <c r="H1271" s="8" t="s">
        <v>5751</v>
      </c>
    </row>
    <row r="1272" spans="1:9">
      <c r="A1272" s="13">
        <v>46001</v>
      </c>
      <c r="B1272" s="8" t="s">
        <v>6104</v>
      </c>
      <c r="C1272" s="14">
        <v>7500000</v>
      </c>
      <c r="D1272" s="14">
        <v>0</v>
      </c>
      <c r="E1272" s="14">
        <f t="shared" si="27"/>
        <v>494630867.48000002</v>
      </c>
      <c r="F1272" s="80" t="s">
        <v>4</v>
      </c>
      <c r="G1272" s="80" t="s">
        <v>5</v>
      </c>
      <c r="H1272" t="s">
        <v>6123</v>
      </c>
    </row>
    <row r="1273" spans="1:9">
      <c r="A1273" s="13">
        <v>46001</v>
      </c>
      <c r="B1273" s="8" t="s">
        <v>6105</v>
      </c>
      <c r="C1273" s="54">
        <v>21819000</v>
      </c>
      <c r="D1273" s="54">
        <v>0</v>
      </c>
      <c r="E1273" s="54">
        <f t="shared" si="27"/>
        <v>472811867.48000002</v>
      </c>
      <c r="F1273" s="8" t="s">
        <v>10</v>
      </c>
      <c r="G1273" s="8" t="s">
        <v>446</v>
      </c>
      <c r="H1273" t="s">
        <v>5752</v>
      </c>
    </row>
    <row r="1274" spans="1:9">
      <c r="A1274" s="13">
        <v>46001</v>
      </c>
      <c r="B1274" s="8" t="s">
        <v>6106</v>
      </c>
      <c r="C1274" s="54">
        <v>31137000</v>
      </c>
      <c r="D1274" s="54">
        <v>0</v>
      </c>
      <c r="E1274" s="54">
        <f t="shared" si="27"/>
        <v>441674867.48000002</v>
      </c>
      <c r="F1274" s="8" t="s">
        <v>10</v>
      </c>
      <c r="G1274" s="8" t="s">
        <v>446</v>
      </c>
      <c r="H1274" t="s">
        <v>5749</v>
      </c>
    </row>
    <row r="1275" spans="1:9">
      <c r="A1275" s="13">
        <v>46001</v>
      </c>
      <c r="B1275" s="8" t="s">
        <v>6107</v>
      </c>
      <c r="C1275" s="54">
        <v>6000000</v>
      </c>
      <c r="D1275" s="54">
        <v>0</v>
      </c>
      <c r="E1275" s="54">
        <f t="shared" si="27"/>
        <v>435674867.48000002</v>
      </c>
      <c r="F1275" s="8" t="s">
        <v>10</v>
      </c>
      <c r="G1275" s="8" t="s">
        <v>446</v>
      </c>
      <c r="H1275" t="s">
        <v>5752</v>
      </c>
    </row>
    <row r="1276" spans="1:9">
      <c r="A1276" s="13">
        <v>46001</v>
      </c>
      <c r="B1276" s="8" t="s">
        <v>6108</v>
      </c>
      <c r="C1276" s="54">
        <v>6000000</v>
      </c>
      <c r="D1276" s="54">
        <v>0</v>
      </c>
      <c r="E1276" s="54">
        <f t="shared" si="27"/>
        <v>429674867.48000002</v>
      </c>
      <c r="F1276" s="8" t="s">
        <v>10</v>
      </c>
      <c r="G1276" s="8" t="s">
        <v>446</v>
      </c>
      <c r="H1276" t="s">
        <v>5749</v>
      </c>
    </row>
    <row r="1277" spans="1:9">
      <c r="A1277" s="13">
        <v>46001</v>
      </c>
      <c r="B1277" s="8" t="s">
        <v>6109</v>
      </c>
      <c r="C1277" s="14">
        <v>3000000</v>
      </c>
      <c r="D1277" s="14">
        <v>0</v>
      </c>
      <c r="E1277" s="14">
        <f t="shared" si="27"/>
        <v>426674867.48000002</v>
      </c>
      <c r="F1277" s="80" t="s">
        <v>4</v>
      </c>
      <c r="G1277" s="80" t="s">
        <v>5</v>
      </c>
      <c r="H1277" t="s">
        <v>5750</v>
      </c>
    </row>
    <row r="1278" spans="1:9">
      <c r="A1278" s="13">
        <v>46001</v>
      </c>
      <c r="B1278" s="8" t="s">
        <v>6110</v>
      </c>
      <c r="C1278" s="54">
        <v>14700000</v>
      </c>
      <c r="D1278" s="54">
        <v>0</v>
      </c>
      <c r="E1278" s="54">
        <f t="shared" ref="E1278:E1344" si="28">E1277-C1278+D1278</f>
        <v>411974867.48000002</v>
      </c>
      <c r="F1278" s="8" t="s">
        <v>10</v>
      </c>
      <c r="G1278" s="8" t="s">
        <v>446</v>
      </c>
      <c r="H1278" t="s">
        <v>4631</v>
      </c>
    </row>
    <row r="1279" spans="1:9" s="8" customFormat="1">
      <c r="A1279" s="13">
        <v>46001</v>
      </c>
      <c r="B1279" s="8" t="s">
        <v>6111</v>
      </c>
      <c r="C1279" s="14">
        <v>5000000</v>
      </c>
      <c r="D1279" s="14">
        <v>0</v>
      </c>
      <c r="E1279" s="14">
        <f t="shared" si="28"/>
        <v>406974867.48000002</v>
      </c>
      <c r="F1279" s="8" t="s">
        <v>10</v>
      </c>
      <c r="G1279" s="8" t="s">
        <v>11</v>
      </c>
      <c r="H1279" s="8" t="s">
        <v>6120</v>
      </c>
    </row>
    <row r="1280" spans="1:9">
      <c r="A1280" s="13">
        <v>46001</v>
      </c>
      <c r="B1280" s="8" t="s">
        <v>3798</v>
      </c>
      <c r="C1280" s="14">
        <v>1001500</v>
      </c>
      <c r="D1280" s="14">
        <v>0</v>
      </c>
      <c r="E1280" s="14">
        <f t="shared" si="28"/>
        <v>405973367.48000002</v>
      </c>
      <c r="F1280" s="8" t="s">
        <v>920</v>
      </c>
      <c r="G1280" s="8" t="s">
        <v>400</v>
      </c>
      <c r="H1280" s="8" t="s">
        <v>6139</v>
      </c>
    </row>
    <row r="1281" spans="1:9">
      <c r="A1281" s="13">
        <v>46002</v>
      </c>
      <c r="B1281" s="8" t="s">
        <v>6112</v>
      </c>
      <c r="C1281" s="14">
        <v>900000</v>
      </c>
      <c r="D1281" s="14">
        <v>0</v>
      </c>
      <c r="E1281" s="14">
        <f t="shared" si="28"/>
        <v>405073367.48000002</v>
      </c>
      <c r="F1281" s="80" t="s">
        <v>8</v>
      </c>
      <c r="G1281" s="80" t="s">
        <v>31</v>
      </c>
    </row>
    <row r="1282" spans="1:9">
      <c r="A1282" s="13">
        <v>46002</v>
      </c>
      <c r="B1282" s="8" t="s">
        <v>6113</v>
      </c>
      <c r="C1282" s="54">
        <v>6125000</v>
      </c>
      <c r="D1282" s="54">
        <v>0</v>
      </c>
      <c r="E1282" s="54">
        <f t="shared" si="28"/>
        <v>398948367.48000002</v>
      </c>
      <c r="F1282" s="8" t="s">
        <v>10</v>
      </c>
      <c r="G1282" s="8" t="s">
        <v>446</v>
      </c>
      <c r="H1282" t="s">
        <v>5752</v>
      </c>
    </row>
    <row r="1283" spans="1:9">
      <c r="A1283" s="13">
        <v>46002</v>
      </c>
      <c r="B1283" s="8" t="s">
        <v>6114</v>
      </c>
      <c r="C1283" s="14">
        <v>9000000</v>
      </c>
      <c r="D1283" s="14">
        <v>0</v>
      </c>
      <c r="E1283" s="14">
        <f t="shared" si="28"/>
        <v>389948367.48000002</v>
      </c>
      <c r="F1283" s="80" t="s">
        <v>4</v>
      </c>
      <c r="G1283" s="80" t="s">
        <v>5</v>
      </c>
      <c r="H1283" t="s">
        <v>6123</v>
      </c>
    </row>
    <row r="1284" spans="1:9">
      <c r="A1284" s="13">
        <v>46002</v>
      </c>
      <c r="B1284" s="8" t="s">
        <v>6115</v>
      </c>
      <c r="C1284" s="14">
        <v>2300000</v>
      </c>
      <c r="D1284" s="14">
        <v>0</v>
      </c>
      <c r="E1284" s="14">
        <f t="shared" si="28"/>
        <v>387648367.48000002</v>
      </c>
      <c r="F1284" s="80" t="s">
        <v>4</v>
      </c>
      <c r="G1284" s="80" t="s">
        <v>5</v>
      </c>
      <c r="H1284" t="s">
        <v>6123</v>
      </c>
      <c r="I1284" s="52" t="s">
        <v>26</v>
      </c>
    </row>
    <row r="1285" spans="1:9" s="8" customFormat="1">
      <c r="A1285" s="13">
        <v>46002</v>
      </c>
      <c r="B1285" s="8" t="s">
        <v>6116</v>
      </c>
      <c r="C1285" s="14">
        <v>66298650</v>
      </c>
      <c r="D1285" s="14">
        <v>0</v>
      </c>
      <c r="E1285" s="14">
        <f t="shared" si="28"/>
        <v>321349717.48000002</v>
      </c>
      <c r="F1285" s="8" t="s">
        <v>920</v>
      </c>
      <c r="G1285" s="8" t="s">
        <v>400</v>
      </c>
      <c r="H1285" s="8" t="s">
        <v>6121</v>
      </c>
    </row>
    <row r="1286" spans="1:9">
      <c r="A1286" s="13">
        <v>46002</v>
      </c>
      <c r="B1286" s="8" t="s">
        <v>6117</v>
      </c>
      <c r="C1286" s="14">
        <v>250000000</v>
      </c>
      <c r="D1286" s="14">
        <v>0</v>
      </c>
      <c r="E1286" s="14">
        <f t="shared" si="28"/>
        <v>71349717.480000019</v>
      </c>
      <c r="F1286" s="80" t="s">
        <v>6</v>
      </c>
      <c r="G1286" s="80" t="s">
        <v>24</v>
      </c>
      <c r="H1286" t="s">
        <v>25</v>
      </c>
    </row>
    <row r="1287" spans="1:9">
      <c r="A1287" s="13">
        <v>46002</v>
      </c>
      <c r="B1287" s="8" t="s">
        <v>6118</v>
      </c>
      <c r="C1287" s="14">
        <v>2500</v>
      </c>
      <c r="D1287" s="14">
        <v>0</v>
      </c>
      <c r="E1287" s="14">
        <f t="shared" si="28"/>
        <v>71347217.480000019</v>
      </c>
      <c r="F1287" s="80" t="s">
        <v>19</v>
      </c>
      <c r="G1287" s="80" t="s">
        <v>189</v>
      </c>
    </row>
    <row r="1288" spans="1:9">
      <c r="A1288" s="13">
        <v>46003</v>
      </c>
      <c r="B1288" s="8" t="s">
        <v>6119</v>
      </c>
      <c r="C1288" s="14">
        <v>0</v>
      </c>
      <c r="D1288" s="14">
        <v>202841600</v>
      </c>
      <c r="E1288" s="14">
        <f t="shared" si="28"/>
        <v>274188817.48000002</v>
      </c>
      <c r="F1288" s="80" t="s">
        <v>2140</v>
      </c>
      <c r="G1288" s="80" t="s">
        <v>2141</v>
      </c>
      <c r="H1288" t="s">
        <v>5748</v>
      </c>
      <c r="I1288" t="s">
        <v>6122</v>
      </c>
    </row>
    <row r="1289" spans="1:9" s="40" customFormat="1">
      <c r="A1289" s="13">
        <v>46006</v>
      </c>
      <c r="B1289" s="8" t="s">
        <v>6385</v>
      </c>
      <c r="C1289" s="54">
        <v>0</v>
      </c>
      <c r="D1289" s="54">
        <v>5981667</v>
      </c>
      <c r="E1289" s="54">
        <f t="shared" si="28"/>
        <v>280170484.48000002</v>
      </c>
      <c r="F1289" s="40" t="s">
        <v>2140</v>
      </c>
      <c r="G1289" s="40" t="s">
        <v>2141</v>
      </c>
      <c r="H1289" s="154" t="s">
        <v>1445</v>
      </c>
      <c r="I1289" s="40" t="s">
        <v>4054</v>
      </c>
    </row>
    <row r="1290" spans="1:9">
      <c r="A1290" s="13">
        <v>46006</v>
      </c>
      <c r="B1290" s="8" t="s">
        <v>6276</v>
      </c>
      <c r="C1290" s="54">
        <v>0</v>
      </c>
      <c r="D1290" s="54">
        <v>9233040</v>
      </c>
      <c r="E1290" s="54">
        <f t="shared" si="28"/>
        <v>289403524.48000002</v>
      </c>
      <c r="F1290" s="80" t="s">
        <v>920</v>
      </c>
      <c r="G1290" s="80" t="s">
        <v>464</v>
      </c>
      <c r="H1290" t="s">
        <v>5742</v>
      </c>
    </row>
    <row r="1291" spans="1:9">
      <c r="A1291" s="13">
        <v>46006</v>
      </c>
      <c r="B1291" s="8" t="s">
        <v>6277</v>
      </c>
      <c r="C1291" s="54">
        <v>0</v>
      </c>
      <c r="D1291" s="54">
        <v>29512500</v>
      </c>
      <c r="E1291" s="54">
        <f t="shared" si="28"/>
        <v>318916024.48000002</v>
      </c>
      <c r="F1291" s="80" t="s">
        <v>920</v>
      </c>
      <c r="G1291" s="80" t="s">
        <v>464</v>
      </c>
      <c r="H1291" t="s">
        <v>6307</v>
      </c>
    </row>
    <row r="1292" spans="1:9">
      <c r="A1292" s="13">
        <v>46007</v>
      </c>
      <c r="B1292" s="8" t="s">
        <v>6278</v>
      </c>
      <c r="C1292" s="54">
        <v>0</v>
      </c>
      <c r="D1292" s="54">
        <v>513500</v>
      </c>
      <c r="E1292" s="54">
        <f t="shared" si="28"/>
        <v>319429524.48000002</v>
      </c>
      <c r="F1292" s="80" t="s">
        <v>920</v>
      </c>
      <c r="G1292" s="80" t="s">
        <v>464</v>
      </c>
      <c r="H1292" t="s">
        <v>5678</v>
      </c>
    </row>
    <row r="1293" spans="1:9">
      <c r="A1293" s="13">
        <v>46007</v>
      </c>
      <c r="B1293" s="8" t="s">
        <v>6278</v>
      </c>
      <c r="C1293" s="54">
        <v>0</v>
      </c>
      <c r="D1293" s="54">
        <v>114000</v>
      </c>
      <c r="E1293" s="54">
        <f t="shared" si="28"/>
        <v>319543524.48000002</v>
      </c>
      <c r="F1293" s="80" t="s">
        <v>920</v>
      </c>
      <c r="G1293" s="80" t="s">
        <v>464</v>
      </c>
      <c r="H1293" t="s">
        <v>26</v>
      </c>
    </row>
    <row r="1294" spans="1:9">
      <c r="A1294" s="13">
        <v>46008</v>
      </c>
      <c r="B1294" s="8" t="s">
        <v>6279</v>
      </c>
      <c r="C1294" s="54">
        <v>38000000</v>
      </c>
      <c r="D1294" s="54">
        <v>0</v>
      </c>
      <c r="E1294" s="54">
        <f t="shared" si="28"/>
        <v>281543524.48000002</v>
      </c>
      <c r="F1294" s="80" t="s">
        <v>8</v>
      </c>
      <c r="G1294" s="80" t="s">
        <v>33</v>
      </c>
    </row>
    <row r="1295" spans="1:9" s="8" customFormat="1">
      <c r="A1295" s="13">
        <v>46008</v>
      </c>
      <c r="B1295" s="8" t="s">
        <v>7142</v>
      </c>
      <c r="C1295" s="54">
        <v>5777000</v>
      </c>
      <c r="D1295" s="54">
        <v>0</v>
      </c>
      <c r="E1295" s="54">
        <f t="shared" si="28"/>
        <v>275766524.48000002</v>
      </c>
      <c r="F1295" s="8" t="s">
        <v>8</v>
      </c>
      <c r="G1295" s="8" t="s">
        <v>14</v>
      </c>
    </row>
    <row r="1296" spans="1:9" s="8" customFormat="1">
      <c r="A1296" s="13">
        <v>46008</v>
      </c>
      <c r="B1296" s="8" t="s">
        <v>7142</v>
      </c>
      <c r="C1296" s="54">
        <v>115540</v>
      </c>
      <c r="D1296" s="54">
        <v>0</v>
      </c>
      <c r="E1296" s="54">
        <f t="shared" si="28"/>
        <v>275650984.48000002</v>
      </c>
      <c r="F1296" s="8" t="s">
        <v>8</v>
      </c>
      <c r="G1296" s="8" t="s">
        <v>14</v>
      </c>
    </row>
    <row r="1297" spans="1:9" s="8" customFormat="1">
      <c r="A1297" s="13">
        <v>46008</v>
      </c>
      <c r="B1297" s="8" t="s">
        <v>7142</v>
      </c>
      <c r="C1297" s="54">
        <v>0</v>
      </c>
      <c r="D1297" s="54">
        <f>C1295+C1296-5777000</f>
        <v>115540</v>
      </c>
      <c r="E1297" s="54">
        <f t="shared" si="28"/>
        <v>275766524.48000002</v>
      </c>
      <c r="F1297" s="8" t="s">
        <v>6</v>
      </c>
      <c r="G1297" s="8" t="s">
        <v>53</v>
      </c>
      <c r="H1297" s="8" t="s">
        <v>7125</v>
      </c>
      <c r="I1297" s="8" t="s">
        <v>6537</v>
      </c>
    </row>
    <row r="1298" spans="1:9">
      <c r="A1298" s="13">
        <v>46008</v>
      </c>
      <c r="B1298" s="8" t="s">
        <v>6280</v>
      </c>
      <c r="C1298" s="54">
        <v>5500000</v>
      </c>
      <c r="D1298" s="54">
        <v>0</v>
      </c>
      <c r="E1298" s="54">
        <f t="shared" si="28"/>
        <v>270266524.48000002</v>
      </c>
      <c r="F1298" s="80" t="s">
        <v>4</v>
      </c>
      <c r="G1298" s="80" t="s">
        <v>5</v>
      </c>
      <c r="H1298" t="s">
        <v>6123</v>
      </c>
    </row>
    <row r="1299" spans="1:9">
      <c r="A1299" s="13">
        <v>46008</v>
      </c>
      <c r="B1299" s="8" t="s">
        <v>6281</v>
      </c>
      <c r="C1299" s="54">
        <v>10000000</v>
      </c>
      <c r="D1299" s="54">
        <v>0</v>
      </c>
      <c r="E1299" s="54">
        <f t="shared" si="28"/>
        <v>260266524.48000002</v>
      </c>
      <c r="F1299" s="80" t="s">
        <v>4</v>
      </c>
      <c r="G1299" s="80" t="s">
        <v>5</v>
      </c>
      <c r="H1299" t="s">
        <v>6293</v>
      </c>
    </row>
    <row r="1300" spans="1:9" s="8" customFormat="1">
      <c r="A1300" s="13">
        <v>46008</v>
      </c>
      <c r="B1300" s="8" t="s">
        <v>7133</v>
      </c>
      <c r="C1300" s="54">
        <v>4600000</v>
      </c>
      <c r="D1300" s="54">
        <v>0</v>
      </c>
      <c r="E1300" s="54">
        <f t="shared" si="28"/>
        <v>255666524.48000002</v>
      </c>
      <c r="F1300" s="8" t="s">
        <v>8</v>
      </c>
      <c r="G1300" s="8" t="s">
        <v>14</v>
      </c>
    </row>
    <row r="1301" spans="1:9">
      <c r="A1301" s="13">
        <v>46008</v>
      </c>
      <c r="B1301" s="8" t="s">
        <v>7133</v>
      </c>
      <c r="C1301" s="54">
        <v>506000</v>
      </c>
      <c r="D1301" s="54">
        <v>0</v>
      </c>
      <c r="E1301" s="54">
        <f t="shared" si="28"/>
        <v>255160524.48000002</v>
      </c>
      <c r="F1301" s="80" t="s">
        <v>920</v>
      </c>
      <c r="G1301" s="80" t="s">
        <v>7855</v>
      </c>
      <c r="H1301" t="s">
        <v>7032</v>
      </c>
      <c r="I1301" t="s">
        <v>6537</v>
      </c>
    </row>
    <row r="1302" spans="1:9">
      <c r="A1302" s="13">
        <v>46008</v>
      </c>
      <c r="B1302" s="8" t="s">
        <v>7133</v>
      </c>
      <c r="C1302" s="54">
        <v>0</v>
      </c>
      <c r="D1302" s="54">
        <f>C1300+C1301-5014000</f>
        <v>92000</v>
      </c>
      <c r="E1302" s="54">
        <f t="shared" si="28"/>
        <v>255252524.48000002</v>
      </c>
      <c r="F1302" s="80" t="s">
        <v>6</v>
      </c>
      <c r="G1302" s="80" t="s">
        <v>53</v>
      </c>
      <c r="H1302" t="s">
        <v>7125</v>
      </c>
      <c r="I1302" t="s">
        <v>6537</v>
      </c>
    </row>
    <row r="1303" spans="1:9">
      <c r="A1303" s="13">
        <v>46008</v>
      </c>
      <c r="B1303" s="8" t="s">
        <v>7132</v>
      </c>
      <c r="C1303" s="54">
        <v>675676</v>
      </c>
      <c r="D1303" s="54">
        <v>0</v>
      </c>
      <c r="E1303" s="54">
        <f t="shared" si="28"/>
        <v>254576848.48000002</v>
      </c>
      <c r="F1303" s="80" t="s">
        <v>8</v>
      </c>
      <c r="G1303" s="80" t="s">
        <v>9</v>
      </c>
    </row>
    <row r="1304" spans="1:9">
      <c r="A1304" s="13">
        <v>46008</v>
      </c>
      <c r="B1304" s="8" t="s">
        <v>7132</v>
      </c>
      <c r="C1304" s="54">
        <v>74324</v>
      </c>
      <c r="D1304" s="54">
        <v>0</v>
      </c>
      <c r="E1304" s="54">
        <f t="shared" si="28"/>
        <v>254502524.48000002</v>
      </c>
      <c r="F1304" s="80" t="s">
        <v>920</v>
      </c>
      <c r="G1304" s="80" t="s">
        <v>7855</v>
      </c>
      <c r="H1304" t="s">
        <v>7032</v>
      </c>
      <c r="I1304" t="s">
        <v>6537</v>
      </c>
    </row>
    <row r="1305" spans="1:9">
      <c r="A1305" s="13">
        <v>46008</v>
      </c>
      <c r="B1305" s="8" t="s">
        <v>7132</v>
      </c>
      <c r="C1305" s="54">
        <v>0</v>
      </c>
      <c r="D1305" s="54">
        <f>C1303+C1304-736486</f>
        <v>13514</v>
      </c>
      <c r="E1305" s="54">
        <f t="shared" si="28"/>
        <v>254516038.48000002</v>
      </c>
      <c r="F1305" s="80" t="s">
        <v>6</v>
      </c>
      <c r="G1305" s="80" t="s">
        <v>53</v>
      </c>
      <c r="H1305" t="s">
        <v>7125</v>
      </c>
      <c r="I1305" t="s">
        <v>6537</v>
      </c>
    </row>
    <row r="1306" spans="1:9">
      <c r="A1306" s="13">
        <v>46008</v>
      </c>
      <c r="B1306" s="8" t="s">
        <v>6282</v>
      </c>
      <c r="C1306" s="54">
        <v>500000</v>
      </c>
      <c r="D1306" s="54">
        <v>0</v>
      </c>
      <c r="E1306" s="54">
        <f t="shared" si="28"/>
        <v>254016038.48000002</v>
      </c>
      <c r="F1306" s="80" t="s">
        <v>4</v>
      </c>
      <c r="G1306" s="80" t="s">
        <v>5</v>
      </c>
      <c r="H1306" t="s">
        <v>6123</v>
      </c>
    </row>
    <row r="1307" spans="1:9">
      <c r="A1307" s="13">
        <v>46008</v>
      </c>
      <c r="B1307" s="8" t="s">
        <v>6283</v>
      </c>
      <c r="C1307" s="54">
        <v>500000</v>
      </c>
      <c r="D1307" s="54">
        <v>0</v>
      </c>
      <c r="E1307" s="54">
        <f t="shared" si="28"/>
        <v>253516038.48000002</v>
      </c>
      <c r="F1307" s="80" t="s">
        <v>4</v>
      </c>
      <c r="G1307" s="80" t="s">
        <v>5</v>
      </c>
      <c r="H1307" t="s">
        <v>6123</v>
      </c>
    </row>
    <row r="1308" spans="1:9">
      <c r="A1308" s="13">
        <v>46008</v>
      </c>
      <c r="B1308" s="8" t="s">
        <v>6284</v>
      </c>
      <c r="C1308" s="54">
        <v>1500000</v>
      </c>
      <c r="D1308" s="54">
        <v>0</v>
      </c>
      <c r="E1308" s="54">
        <f t="shared" si="28"/>
        <v>252016038.48000002</v>
      </c>
      <c r="F1308" s="80" t="s">
        <v>4</v>
      </c>
      <c r="G1308" s="80" t="s">
        <v>5</v>
      </c>
      <c r="H1308" t="s">
        <v>6123</v>
      </c>
    </row>
    <row r="1309" spans="1:9">
      <c r="A1309" s="13">
        <v>46008</v>
      </c>
      <c r="B1309" s="8" t="s">
        <v>6285</v>
      </c>
      <c r="C1309" s="54">
        <v>1000000</v>
      </c>
      <c r="D1309" s="54">
        <v>0</v>
      </c>
      <c r="E1309" s="54">
        <f t="shared" si="28"/>
        <v>251016038.48000002</v>
      </c>
      <c r="F1309" s="80" t="s">
        <v>4</v>
      </c>
      <c r="G1309" s="80" t="s">
        <v>5</v>
      </c>
      <c r="H1309" t="s">
        <v>6123</v>
      </c>
    </row>
    <row r="1310" spans="1:9">
      <c r="A1310" s="13">
        <v>46008</v>
      </c>
      <c r="B1310" s="8" t="s">
        <v>6286</v>
      </c>
      <c r="C1310" s="54">
        <v>41232423</v>
      </c>
      <c r="D1310" s="54">
        <v>0</v>
      </c>
      <c r="E1310" s="54">
        <f t="shared" si="28"/>
        <v>209783615.48000002</v>
      </c>
      <c r="F1310" s="80" t="s">
        <v>920</v>
      </c>
      <c r="G1310" s="80" t="s">
        <v>400</v>
      </c>
      <c r="H1310" t="s">
        <v>6294</v>
      </c>
    </row>
    <row r="1311" spans="1:9">
      <c r="A1311" s="13">
        <v>46008</v>
      </c>
      <c r="B1311" s="8" t="s">
        <v>6441</v>
      </c>
      <c r="C1311" s="54">
        <v>0</v>
      </c>
      <c r="D1311" s="54">
        <v>5126280</v>
      </c>
      <c r="E1311" s="54">
        <f t="shared" si="28"/>
        <v>214909895.48000002</v>
      </c>
      <c r="F1311" s="80" t="s">
        <v>920</v>
      </c>
      <c r="G1311" s="80" t="s">
        <v>464</v>
      </c>
      <c r="H1311" t="s">
        <v>5741</v>
      </c>
    </row>
    <row r="1312" spans="1:9">
      <c r="A1312" s="13">
        <v>46009</v>
      </c>
      <c r="B1312" s="8" t="s">
        <v>6442</v>
      </c>
      <c r="C1312" s="54">
        <v>0</v>
      </c>
      <c r="D1312" s="54">
        <v>101755</v>
      </c>
      <c r="E1312" s="54">
        <f t="shared" si="28"/>
        <v>215011650.48000002</v>
      </c>
      <c r="F1312" s="80" t="s">
        <v>920</v>
      </c>
      <c r="G1312" s="80" t="s">
        <v>464</v>
      </c>
      <c r="H1312" t="s">
        <v>6474</v>
      </c>
    </row>
    <row r="1313" spans="1:8">
      <c r="A1313" s="13">
        <v>46009</v>
      </c>
      <c r="B1313" s="8" t="s">
        <v>6443</v>
      </c>
      <c r="C1313" s="54">
        <v>1000000</v>
      </c>
      <c r="D1313" s="54">
        <v>0</v>
      </c>
      <c r="E1313" s="54">
        <f t="shared" si="28"/>
        <v>214011650.48000002</v>
      </c>
      <c r="F1313" s="8" t="s">
        <v>10</v>
      </c>
      <c r="G1313" s="8" t="s">
        <v>446</v>
      </c>
      <c r="H1313" t="s">
        <v>5751</v>
      </c>
    </row>
    <row r="1314" spans="1:8">
      <c r="A1314" s="13">
        <v>46009</v>
      </c>
      <c r="B1314" s="8" t="s">
        <v>6444</v>
      </c>
      <c r="C1314" s="54">
        <v>2250000</v>
      </c>
      <c r="D1314" s="54">
        <v>0</v>
      </c>
      <c r="E1314" s="54">
        <f t="shared" si="28"/>
        <v>211761650.48000002</v>
      </c>
      <c r="F1314" s="8" t="s">
        <v>10</v>
      </c>
      <c r="G1314" s="8" t="s">
        <v>446</v>
      </c>
      <c r="H1314" t="s">
        <v>5749</v>
      </c>
    </row>
    <row r="1315" spans="1:8">
      <c r="A1315" s="13">
        <v>46009</v>
      </c>
      <c r="B1315" s="8" t="s">
        <v>6445</v>
      </c>
      <c r="C1315" s="54">
        <v>34623600</v>
      </c>
      <c r="D1315" s="54">
        <v>0</v>
      </c>
      <c r="E1315" s="54">
        <f t="shared" si="28"/>
        <v>177138050.48000002</v>
      </c>
      <c r="F1315" s="80" t="s">
        <v>4</v>
      </c>
      <c r="G1315" s="80" t="s">
        <v>5</v>
      </c>
      <c r="H1315" t="s">
        <v>6293</v>
      </c>
    </row>
    <row r="1316" spans="1:8">
      <c r="A1316" s="13">
        <v>46009</v>
      </c>
      <c r="B1316" s="8" t="s">
        <v>6446</v>
      </c>
      <c r="C1316" s="54">
        <v>4100000</v>
      </c>
      <c r="D1316" s="54">
        <v>0</v>
      </c>
      <c r="E1316" s="54">
        <f t="shared" si="28"/>
        <v>173038050.48000002</v>
      </c>
      <c r="F1316" s="80" t="s">
        <v>10</v>
      </c>
      <c r="G1316" s="80" t="s">
        <v>446</v>
      </c>
      <c r="H1316" t="s">
        <v>6472</v>
      </c>
    </row>
    <row r="1317" spans="1:8">
      <c r="A1317" s="13">
        <v>46014</v>
      </c>
      <c r="B1317" s="8" t="s">
        <v>6447</v>
      </c>
      <c r="C1317" s="54">
        <v>7000000</v>
      </c>
      <c r="D1317" s="54">
        <v>0</v>
      </c>
      <c r="E1317" s="54">
        <f t="shared" si="28"/>
        <v>166038050.48000002</v>
      </c>
      <c r="F1317" s="80" t="s">
        <v>4</v>
      </c>
      <c r="G1317" s="80" t="s">
        <v>5</v>
      </c>
      <c r="H1317" t="s">
        <v>6293</v>
      </c>
    </row>
    <row r="1318" spans="1:8">
      <c r="A1318" s="13">
        <v>46014</v>
      </c>
      <c r="B1318" s="8" t="s">
        <v>6448</v>
      </c>
      <c r="C1318" s="54">
        <v>5400000</v>
      </c>
      <c r="D1318" s="54">
        <v>0</v>
      </c>
      <c r="E1318" s="54">
        <f t="shared" si="28"/>
        <v>160638050.48000002</v>
      </c>
      <c r="F1318" s="80" t="s">
        <v>4</v>
      </c>
      <c r="G1318" s="80" t="s">
        <v>5</v>
      </c>
      <c r="H1318" t="s">
        <v>6293</v>
      </c>
    </row>
    <row r="1319" spans="1:8">
      <c r="A1319" s="13">
        <v>46014</v>
      </c>
      <c r="B1319" s="8" t="s">
        <v>6449</v>
      </c>
      <c r="C1319" s="54">
        <v>7500000</v>
      </c>
      <c r="D1319" s="54">
        <v>0</v>
      </c>
      <c r="E1319" s="54">
        <f t="shared" si="28"/>
        <v>153138050.48000002</v>
      </c>
      <c r="F1319" s="80" t="s">
        <v>4</v>
      </c>
      <c r="G1319" s="80" t="s">
        <v>5</v>
      </c>
      <c r="H1319" t="s">
        <v>6293</v>
      </c>
    </row>
    <row r="1320" spans="1:8">
      <c r="A1320" s="13">
        <v>46014</v>
      </c>
      <c r="B1320" s="8" t="s">
        <v>6450</v>
      </c>
      <c r="C1320" s="54">
        <v>7500000</v>
      </c>
      <c r="D1320" s="54">
        <v>0</v>
      </c>
      <c r="E1320" s="54">
        <f t="shared" si="28"/>
        <v>145638050.48000002</v>
      </c>
      <c r="F1320" s="80" t="s">
        <v>10</v>
      </c>
      <c r="G1320" s="80" t="s">
        <v>446</v>
      </c>
      <c r="H1320" t="s">
        <v>6001</v>
      </c>
    </row>
    <row r="1321" spans="1:8">
      <c r="A1321" s="13">
        <v>46014</v>
      </c>
      <c r="B1321" s="8" t="s">
        <v>6451</v>
      </c>
      <c r="C1321" s="54">
        <v>4480000</v>
      </c>
      <c r="D1321" s="54">
        <v>0</v>
      </c>
      <c r="E1321" s="54">
        <f t="shared" si="28"/>
        <v>141158050.48000002</v>
      </c>
      <c r="F1321" s="80" t="s">
        <v>10</v>
      </c>
      <c r="G1321" s="80" t="s">
        <v>446</v>
      </c>
      <c r="H1321" t="s">
        <v>6472</v>
      </c>
    </row>
    <row r="1322" spans="1:8">
      <c r="A1322" s="13">
        <v>46014</v>
      </c>
      <c r="B1322" s="8" t="s">
        <v>6452</v>
      </c>
      <c r="C1322" s="54">
        <v>1500000</v>
      </c>
      <c r="D1322" s="54">
        <v>0</v>
      </c>
      <c r="E1322" s="54">
        <f t="shared" si="28"/>
        <v>139658050.48000002</v>
      </c>
      <c r="F1322" s="80" t="s">
        <v>8</v>
      </c>
      <c r="G1322" s="80" t="s">
        <v>31</v>
      </c>
    </row>
    <row r="1323" spans="1:8">
      <c r="A1323" s="13">
        <v>46014</v>
      </c>
      <c r="B1323" s="8" t="s">
        <v>6453</v>
      </c>
      <c r="C1323" s="54">
        <v>55000000</v>
      </c>
      <c r="D1323" s="54">
        <v>0</v>
      </c>
      <c r="E1323" s="54">
        <f t="shared" si="28"/>
        <v>84658050.480000019</v>
      </c>
      <c r="F1323" s="80" t="s">
        <v>4</v>
      </c>
      <c r="G1323" s="80" t="s">
        <v>5</v>
      </c>
      <c r="H1323" s="40" t="s">
        <v>6003</v>
      </c>
    </row>
    <row r="1324" spans="1:8">
      <c r="A1324" s="13">
        <v>46014</v>
      </c>
      <c r="B1324" s="8" t="s">
        <v>6454</v>
      </c>
      <c r="C1324" s="54">
        <v>1600000</v>
      </c>
      <c r="D1324" s="54">
        <v>0</v>
      </c>
      <c r="E1324" s="54">
        <f t="shared" si="28"/>
        <v>83058050.480000019</v>
      </c>
      <c r="F1324" s="80" t="s">
        <v>10</v>
      </c>
      <c r="G1324" s="80" t="s">
        <v>446</v>
      </c>
      <c r="H1324" t="s">
        <v>6472</v>
      </c>
    </row>
    <row r="1325" spans="1:8">
      <c r="A1325" s="13">
        <v>46014</v>
      </c>
      <c r="B1325" s="8" t="s">
        <v>6455</v>
      </c>
      <c r="C1325" s="54">
        <v>12250000</v>
      </c>
      <c r="D1325" s="54">
        <v>0</v>
      </c>
      <c r="E1325" s="54">
        <f t="shared" si="28"/>
        <v>70808050.480000019</v>
      </c>
      <c r="F1325" s="80" t="s">
        <v>10</v>
      </c>
      <c r="G1325" s="80" t="s">
        <v>446</v>
      </c>
      <c r="H1325" t="s">
        <v>6001</v>
      </c>
    </row>
    <row r="1326" spans="1:8">
      <c r="A1326" s="13">
        <v>46014</v>
      </c>
      <c r="B1326" s="8" t="s">
        <v>6456</v>
      </c>
      <c r="C1326" s="54">
        <v>2500000</v>
      </c>
      <c r="D1326" s="54">
        <v>0</v>
      </c>
      <c r="E1326" s="54">
        <f t="shared" si="28"/>
        <v>68308050.480000019</v>
      </c>
      <c r="F1326" s="80" t="s">
        <v>4</v>
      </c>
      <c r="G1326" s="80" t="s">
        <v>5</v>
      </c>
      <c r="H1326" t="s">
        <v>6123</v>
      </c>
    </row>
    <row r="1327" spans="1:8">
      <c r="A1327" s="13">
        <v>46014</v>
      </c>
      <c r="B1327" s="8" t="s">
        <v>6457</v>
      </c>
      <c r="C1327" s="54">
        <v>5980000</v>
      </c>
      <c r="D1327" s="54">
        <v>0</v>
      </c>
      <c r="E1327" s="54">
        <f t="shared" si="28"/>
        <v>62328050.480000019</v>
      </c>
      <c r="F1327" s="80" t="s">
        <v>4</v>
      </c>
      <c r="G1327" s="80" t="s">
        <v>5</v>
      </c>
      <c r="H1327" t="s">
        <v>6123</v>
      </c>
    </row>
    <row r="1328" spans="1:8">
      <c r="A1328" s="13">
        <v>46019</v>
      </c>
      <c r="B1328" s="8" t="s">
        <v>333</v>
      </c>
      <c r="C1328" s="54">
        <v>0</v>
      </c>
      <c r="D1328" s="54">
        <v>250000000</v>
      </c>
      <c r="E1328" s="54">
        <f t="shared" si="28"/>
        <v>312328050.48000002</v>
      </c>
      <c r="F1328" s="80" t="s">
        <v>920</v>
      </c>
      <c r="G1328" s="80" t="s">
        <v>4242</v>
      </c>
    </row>
    <row r="1329" spans="1:9">
      <c r="A1329" s="13">
        <v>46019</v>
      </c>
      <c r="B1329" s="8" t="s">
        <v>333</v>
      </c>
      <c r="C1329" s="54">
        <v>0</v>
      </c>
      <c r="D1329" s="54">
        <v>250000000</v>
      </c>
      <c r="E1329" s="54">
        <f t="shared" si="28"/>
        <v>562328050.48000002</v>
      </c>
      <c r="F1329" s="80" t="s">
        <v>920</v>
      </c>
      <c r="G1329" s="80" t="s">
        <v>4242</v>
      </c>
    </row>
    <row r="1330" spans="1:9">
      <c r="A1330" s="13">
        <v>46019</v>
      </c>
      <c r="B1330" s="8" t="s">
        <v>333</v>
      </c>
      <c r="C1330" s="54">
        <v>0</v>
      </c>
      <c r="D1330" s="54">
        <v>250000000</v>
      </c>
      <c r="E1330" s="54">
        <f t="shared" si="28"/>
        <v>812328050.48000002</v>
      </c>
      <c r="F1330" s="80" t="s">
        <v>920</v>
      </c>
      <c r="G1330" s="80" t="s">
        <v>4242</v>
      </c>
    </row>
    <row r="1331" spans="1:9">
      <c r="A1331" s="13">
        <v>46019</v>
      </c>
      <c r="B1331" s="8" t="s">
        <v>6458</v>
      </c>
      <c r="C1331" s="54">
        <v>700000</v>
      </c>
      <c r="D1331" s="54">
        <v>0</v>
      </c>
      <c r="E1331" s="54">
        <f t="shared" si="28"/>
        <v>811628050.48000002</v>
      </c>
      <c r="F1331" s="80" t="s">
        <v>10</v>
      </c>
      <c r="G1331" s="80" t="s">
        <v>446</v>
      </c>
      <c r="H1331" t="s">
        <v>6472</v>
      </c>
    </row>
    <row r="1332" spans="1:9">
      <c r="A1332" s="13">
        <v>46019</v>
      </c>
      <c r="B1332" s="8" t="s">
        <v>6459</v>
      </c>
      <c r="C1332" s="54">
        <v>104954400</v>
      </c>
      <c r="D1332" s="54">
        <v>0</v>
      </c>
      <c r="E1332" s="54">
        <f t="shared" si="28"/>
        <v>706673650.48000002</v>
      </c>
      <c r="F1332" s="80" t="s">
        <v>10</v>
      </c>
      <c r="G1332" s="80" t="s">
        <v>446</v>
      </c>
      <c r="H1332" t="s">
        <v>6001</v>
      </c>
    </row>
    <row r="1333" spans="1:9">
      <c r="A1333" s="13">
        <v>46019</v>
      </c>
      <c r="B1333" s="8" t="s">
        <v>6460</v>
      </c>
      <c r="C1333" s="54">
        <v>1000000</v>
      </c>
      <c r="D1333" s="54">
        <v>0</v>
      </c>
      <c r="E1333" s="54">
        <f t="shared" si="28"/>
        <v>705673650.48000002</v>
      </c>
      <c r="F1333" s="80" t="s">
        <v>4</v>
      </c>
      <c r="G1333" s="80" t="s">
        <v>5</v>
      </c>
      <c r="H1333" t="s">
        <v>6293</v>
      </c>
    </row>
    <row r="1334" spans="1:9">
      <c r="A1334" s="13">
        <v>46019</v>
      </c>
      <c r="B1334" s="8" t="s">
        <v>6461</v>
      </c>
      <c r="C1334" s="54">
        <v>6466000</v>
      </c>
      <c r="D1334" s="54">
        <v>0</v>
      </c>
      <c r="E1334" s="54">
        <f t="shared" si="28"/>
        <v>699207650.48000002</v>
      </c>
      <c r="F1334" s="80" t="s">
        <v>62</v>
      </c>
      <c r="G1334" s="80" t="s">
        <v>177</v>
      </c>
    </row>
    <row r="1335" spans="1:9">
      <c r="A1335" s="13">
        <v>46020</v>
      </c>
      <c r="B1335" s="8" t="s">
        <v>6462</v>
      </c>
      <c r="C1335" s="54">
        <v>0</v>
      </c>
      <c r="D1335" s="54">
        <v>2562900</v>
      </c>
      <c r="E1335" s="54">
        <f t="shared" si="28"/>
        <v>701770550.48000002</v>
      </c>
      <c r="F1335" s="80" t="s">
        <v>920</v>
      </c>
      <c r="G1335" s="80" t="s">
        <v>464</v>
      </c>
      <c r="H1335" s="8" t="s">
        <v>5677</v>
      </c>
    </row>
    <row r="1336" spans="1:9">
      <c r="A1336" s="13">
        <v>46022</v>
      </c>
      <c r="B1336" s="8" t="s">
        <v>6463</v>
      </c>
      <c r="C1336" s="54">
        <v>4000000</v>
      </c>
      <c r="D1336" s="54">
        <v>0</v>
      </c>
      <c r="E1336" s="54">
        <f t="shared" si="28"/>
        <v>697770550.48000002</v>
      </c>
      <c r="F1336" s="80" t="s">
        <v>4</v>
      </c>
      <c r="G1336" s="80" t="s">
        <v>5</v>
      </c>
      <c r="H1336" t="s">
        <v>6293</v>
      </c>
    </row>
    <row r="1337" spans="1:9">
      <c r="A1337" s="13">
        <v>46022</v>
      </c>
      <c r="B1337" s="8" t="s">
        <v>6464</v>
      </c>
      <c r="C1337" s="54">
        <v>10900000</v>
      </c>
      <c r="D1337" s="54">
        <v>0</v>
      </c>
      <c r="E1337" s="54">
        <f t="shared" si="28"/>
        <v>686870550.48000002</v>
      </c>
      <c r="F1337" s="80" t="s">
        <v>6</v>
      </c>
      <c r="G1337" s="80" t="s">
        <v>7</v>
      </c>
      <c r="H1337" s="8" t="s">
        <v>442</v>
      </c>
      <c r="I1337" s="8" t="s">
        <v>34</v>
      </c>
    </row>
    <row r="1338" spans="1:9">
      <c r="A1338" s="13">
        <v>46022</v>
      </c>
      <c r="B1338" s="8" t="s">
        <v>6465</v>
      </c>
      <c r="C1338" s="54">
        <v>2107800</v>
      </c>
      <c r="D1338" s="54">
        <v>0</v>
      </c>
      <c r="E1338" s="54">
        <f t="shared" si="28"/>
        <v>684762750.48000002</v>
      </c>
      <c r="F1338" s="80" t="s">
        <v>62</v>
      </c>
      <c r="G1338" s="80" t="s">
        <v>70</v>
      </c>
    </row>
    <row r="1339" spans="1:9">
      <c r="A1339" s="13">
        <v>46022</v>
      </c>
      <c r="B1339" s="8" t="s">
        <v>6466</v>
      </c>
      <c r="C1339" s="54">
        <v>1000000</v>
      </c>
      <c r="D1339" s="54">
        <v>0</v>
      </c>
      <c r="E1339" s="54">
        <f t="shared" si="28"/>
        <v>683762750.48000002</v>
      </c>
      <c r="F1339" s="80" t="s">
        <v>8</v>
      </c>
      <c r="G1339" s="80" t="s">
        <v>185</v>
      </c>
    </row>
    <row r="1340" spans="1:9">
      <c r="A1340" s="13">
        <v>46022</v>
      </c>
      <c r="B1340" s="8" t="s">
        <v>6467</v>
      </c>
      <c r="C1340" s="54">
        <v>1000000</v>
      </c>
      <c r="D1340" s="54">
        <v>0</v>
      </c>
      <c r="E1340" s="54">
        <f t="shared" si="28"/>
        <v>682762750.48000002</v>
      </c>
      <c r="F1340" s="80" t="s">
        <v>10</v>
      </c>
      <c r="G1340" s="80" t="s">
        <v>446</v>
      </c>
      <c r="H1340" t="s">
        <v>6472</v>
      </c>
    </row>
    <row r="1341" spans="1:9">
      <c r="A1341" s="13">
        <v>46022</v>
      </c>
      <c r="B1341" s="8" t="s">
        <v>6468</v>
      </c>
      <c r="C1341" s="54">
        <v>4000000</v>
      </c>
      <c r="D1341" s="54">
        <v>0</v>
      </c>
      <c r="E1341" s="54">
        <f t="shared" si="28"/>
        <v>678762750.48000002</v>
      </c>
      <c r="F1341" s="80" t="s">
        <v>4</v>
      </c>
      <c r="G1341" s="80" t="s">
        <v>5</v>
      </c>
      <c r="H1341" s="80" t="s">
        <v>6123</v>
      </c>
    </row>
    <row r="1342" spans="1:9">
      <c r="A1342" s="13">
        <v>46022</v>
      </c>
      <c r="B1342" s="8" t="s">
        <v>6469</v>
      </c>
      <c r="C1342" s="54">
        <v>3000000</v>
      </c>
      <c r="D1342" s="54">
        <v>0</v>
      </c>
      <c r="E1342" s="54">
        <f t="shared" si="28"/>
        <v>675762750.48000002</v>
      </c>
      <c r="F1342" s="80" t="s">
        <v>4</v>
      </c>
      <c r="G1342" s="80" t="s">
        <v>5</v>
      </c>
      <c r="H1342" s="80" t="s">
        <v>6123</v>
      </c>
    </row>
    <row r="1343" spans="1:9">
      <c r="A1343" s="13">
        <v>46022</v>
      </c>
      <c r="B1343" s="8" t="s">
        <v>6470</v>
      </c>
      <c r="C1343" s="54">
        <v>4351616</v>
      </c>
      <c r="D1343" s="54">
        <v>0</v>
      </c>
      <c r="E1343" s="54">
        <f t="shared" si="28"/>
        <v>671411134.48000002</v>
      </c>
      <c r="F1343" s="80" t="s">
        <v>8</v>
      </c>
      <c r="G1343" s="80" t="s">
        <v>78</v>
      </c>
    </row>
    <row r="1344" spans="1:9">
      <c r="A1344" s="13">
        <v>46022</v>
      </c>
      <c r="B1344" s="8" t="s">
        <v>334</v>
      </c>
      <c r="C1344" s="54">
        <v>30000</v>
      </c>
      <c r="D1344" s="54">
        <v>0</v>
      </c>
      <c r="E1344" s="54">
        <f t="shared" si="28"/>
        <v>671381134.48000002</v>
      </c>
      <c r="F1344" s="80" t="s">
        <v>19</v>
      </c>
      <c r="G1344" s="80" t="s">
        <v>189</v>
      </c>
    </row>
    <row r="1345" spans="2:4">
      <c r="B1345" s="8"/>
      <c r="C1345" s="14"/>
      <c r="D1345" s="14"/>
    </row>
    <row r="1346" spans="2:4">
      <c r="C1346" s="144">
        <f>SUBTOTAL(9,C5:C1345)</f>
        <v>21427970567</v>
      </c>
      <c r="D1346" s="144">
        <f>SUBTOTAL(9,D5:D1345)</f>
        <v>20171481855</v>
      </c>
    </row>
    <row r="1347" spans="2:4">
      <c r="D1347" s="139">
        <f>D1346-C1346</f>
        <v>-1256488712</v>
      </c>
    </row>
  </sheetData>
  <autoFilter ref="A4:I1344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2"/>
  <sheetViews>
    <sheetView topLeftCell="A1394" zoomScaleNormal="157" workbookViewId="0">
      <selection activeCell="C9" sqref="C9"/>
    </sheetView>
  </sheetViews>
  <sheetFormatPr defaultColWidth="11.5546875" defaultRowHeight="15"/>
  <cols>
    <col min="1" max="1" width="11.6640625" style="5" customWidth="1"/>
    <col min="2" max="2" width="104.6640625" customWidth="1"/>
    <col min="3" max="4" width="21.109375" style="1" customWidth="1"/>
    <col min="5" max="5" width="19.109375" style="1" customWidth="1"/>
    <col min="6" max="6" width="26.44140625" customWidth="1"/>
    <col min="7" max="7" width="38.33203125" customWidth="1"/>
    <col min="8" max="8" width="52" customWidth="1"/>
    <col min="9" max="9" width="49.109375" customWidth="1"/>
    <col min="10" max="10" width="66.33203125" customWidth="1"/>
  </cols>
  <sheetData>
    <row r="1" spans="1:9" ht="15.75">
      <c r="A1" s="6" t="s">
        <v>15</v>
      </c>
      <c r="B1" s="9" t="s">
        <v>16</v>
      </c>
      <c r="C1" s="1">
        <v>1981982</v>
      </c>
      <c r="D1" s="1">
        <v>-385000</v>
      </c>
      <c r="E1" s="1">
        <f>C1+D1</f>
        <v>1596982</v>
      </c>
      <c r="F1" s="52" t="s">
        <v>26</v>
      </c>
      <c r="G1" s="52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52" t="s">
        <v>26</v>
      </c>
    </row>
    <row r="3" spans="1:9">
      <c r="C3" s="1" t="s">
        <v>26</v>
      </c>
    </row>
    <row r="4" spans="1:9" ht="15.75">
      <c r="A4" s="4" t="s">
        <v>3</v>
      </c>
      <c r="B4" s="3" t="s">
        <v>511</v>
      </c>
      <c r="C4" s="10"/>
      <c r="D4" s="10"/>
      <c r="E4" s="10">
        <v>1858077450.7699983</v>
      </c>
    </row>
    <row r="5" spans="1:9">
      <c r="A5" s="5">
        <v>45659</v>
      </c>
      <c r="B5" t="s">
        <v>338</v>
      </c>
      <c r="C5" s="11">
        <v>0</v>
      </c>
      <c r="D5" s="11">
        <v>19526993</v>
      </c>
      <c r="E5" s="11">
        <f>E4-C5+D5</f>
        <v>1877604443.7699983</v>
      </c>
      <c r="F5" t="s">
        <v>10</v>
      </c>
      <c r="G5" t="s">
        <v>18</v>
      </c>
      <c r="H5" t="s">
        <v>500</v>
      </c>
      <c r="I5" t="s">
        <v>2408</v>
      </c>
    </row>
    <row r="6" spans="1:9">
      <c r="A6" s="5">
        <v>45660</v>
      </c>
      <c r="B6" t="s">
        <v>652</v>
      </c>
      <c r="C6" s="11">
        <v>30000000</v>
      </c>
      <c r="D6" s="11">
        <v>0</v>
      </c>
      <c r="E6" s="11">
        <f t="shared" ref="E6:E69" si="0">E5-C6+D6</f>
        <v>1847604443.7699983</v>
      </c>
      <c r="F6" t="s">
        <v>4</v>
      </c>
      <c r="G6" t="s">
        <v>5</v>
      </c>
      <c r="H6" t="s">
        <v>919</v>
      </c>
    </row>
    <row r="7" spans="1:9">
      <c r="A7" s="5">
        <v>45660</v>
      </c>
      <c r="B7" t="s">
        <v>656</v>
      </c>
      <c r="C7" s="11">
        <v>2500</v>
      </c>
      <c r="D7" s="11">
        <v>0</v>
      </c>
      <c r="E7" s="11">
        <f t="shared" si="0"/>
        <v>1847601943.7699983</v>
      </c>
      <c r="F7" t="s">
        <v>19</v>
      </c>
      <c r="G7" t="s">
        <v>189</v>
      </c>
    </row>
    <row r="8" spans="1:9" s="40" customFormat="1">
      <c r="A8" s="218">
        <v>45660</v>
      </c>
      <c r="B8" s="40" t="s">
        <v>653</v>
      </c>
      <c r="C8" s="39">
        <v>0</v>
      </c>
      <c r="D8" s="39">
        <v>20094957</v>
      </c>
      <c r="E8" s="11">
        <f t="shared" si="0"/>
        <v>1867696900.7699983</v>
      </c>
      <c r="F8" s="40" t="s">
        <v>10</v>
      </c>
      <c r="G8" s="40" t="s">
        <v>99</v>
      </c>
      <c r="H8" s="40" t="s">
        <v>2179</v>
      </c>
    </row>
    <row r="9" spans="1:9">
      <c r="A9" s="5">
        <v>45663</v>
      </c>
      <c r="B9" t="s">
        <v>654</v>
      </c>
      <c r="C9" s="11">
        <v>121566475</v>
      </c>
      <c r="D9" s="11">
        <v>0</v>
      </c>
      <c r="E9" s="11">
        <f t="shared" si="0"/>
        <v>1746130425.7699983</v>
      </c>
      <c r="F9" t="s">
        <v>6</v>
      </c>
      <c r="G9" t="s">
        <v>50</v>
      </c>
      <c r="H9" t="s">
        <v>368</v>
      </c>
    </row>
    <row r="10" spans="1:9">
      <c r="A10" s="5">
        <v>45663</v>
      </c>
      <c r="B10" t="s">
        <v>655</v>
      </c>
      <c r="C10" s="11">
        <v>2500</v>
      </c>
      <c r="D10" s="11">
        <v>0</v>
      </c>
      <c r="E10" s="11">
        <f t="shared" si="0"/>
        <v>1746127925.7699983</v>
      </c>
      <c r="F10" t="s">
        <v>19</v>
      </c>
      <c r="G10" t="s">
        <v>189</v>
      </c>
    </row>
    <row r="11" spans="1:9">
      <c r="A11" s="5">
        <v>45664</v>
      </c>
      <c r="B11" t="s">
        <v>4308</v>
      </c>
      <c r="C11" s="11">
        <v>0</v>
      </c>
      <c r="D11" s="11">
        <v>2300000</v>
      </c>
      <c r="E11" s="11">
        <f t="shared" si="0"/>
        <v>1748427925.7699983</v>
      </c>
      <c r="F11" t="s">
        <v>10</v>
      </c>
      <c r="G11" t="s">
        <v>18</v>
      </c>
      <c r="H11" t="s">
        <v>2421</v>
      </c>
      <c r="I11" t="s">
        <v>2376</v>
      </c>
    </row>
    <row r="12" spans="1:9">
      <c r="A12" s="5">
        <v>45664</v>
      </c>
      <c r="B12" t="s">
        <v>4308</v>
      </c>
      <c r="C12" s="11">
        <v>0</v>
      </c>
      <c r="D12" s="11">
        <f>39775000-D11</f>
        <v>37475000</v>
      </c>
      <c r="E12" s="11">
        <f t="shared" si="0"/>
        <v>1785902925.7699983</v>
      </c>
      <c r="F12" t="s">
        <v>10</v>
      </c>
      <c r="G12" t="s">
        <v>18</v>
      </c>
      <c r="H12" t="s">
        <v>2421</v>
      </c>
      <c r="I12" t="s">
        <v>2377</v>
      </c>
    </row>
    <row r="13" spans="1:9">
      <c r="A13" s="5">
        <v>45664</v>
      </c>
      <c r="B13" t="s">
        <v>4309</v>
      </c>
      <c r="C13" s="11">
        <v>0</v>
      </c>
      <c r="D13" s="11">
        <v>32329220</v>
      </c>
      <c r="E13" s="11">
        <f t="shared" si="0"/>
        <v>1818232145.7699983</v>
      </c>
      <c r="F13" t="s">
        <v>10</v>
      </c>
      <c r="G13" t="s">
        <v>18</v>
      </c>
      <c r="H13" t="s">
        <v>440</v>
      </c>
      <c r="I13" t="s">
        <v>2404</v>
      </c>
    </row>
    <row r="14" spans="1:9">
      <c r="A14" s="5">
        <v>45664</v>
      </c>
      <c r="B14" t="s">
        <v>4309</v>
      </c>
      <c r="C14" s="11">
        <v>0</v>
      </c>
      <c r="D14" s="11">
        <f>59383042-D13</f>
        <v>27053822</v>
      </c>
      <c r="E14" s="11">
        <f t="shared" si="0"/>
        <v>1845285967.7699983</v>
      </c>
      <c r="F14" t="s">
        <v>10</v>
      </c>
      <c r="G14" t="s">
        <v>18</v>
      </c>
      <c r="H14" t="s">
        <v>440</v>
      </c>
      <c r="I14" t="s">
        <v>2412</v>
      </c>
    </row>
    <row r="15" spans="1:9" ht="15.75">
      <c r="A15" s="5">
        <v>45665</v>
      </c>
      <c r="B15" t="s">
        <v>657</v>
      </c>
      <c r="C15" s="11">
        <v>12100000</v>
      </c>
      <c r="D15" s="11">
        <v>0</v>
      </c>
      <c r="E15" s="11">
        <f t="shared" si="0"/>
        <v>1833185967.7699983</v>
      </c>
      <c r="F15" t="s">
        <v>4</v>
      </c>
      <c r="G15" t="s">
        <v>5</v>
      </c>
      <c r="H15" s="43" t="s">
        <v>1352</v>
      </c>
    </row>
    <row r="16" spans="1:9">
      <c r="A16" s="5">
        <v>45665</v>
      </c>
      <c r="B16" t="s">
        <v>658</v>
      </c>
      <c r="C16" s="11">
        <v>8035098</v>
      </c>
      <c r="D16" s="11">
        <v>0</v>
      </c>
      <c r="E16" s="11">
        <f t="shared" si="0"/>
        <v>1825150869.7699983</v>
      </c>
      <c r="F16" t="s">
        <v>6</v>
      </c>
      <c r="G16" t="s">
        <v>7</v>
      </c>
      <c r="H16" t="s">
        <v>428</v>
      </c>
    </row>
    <row r="17" spans="1:9">
      <c r="A17" s="5">
        <v>45665</v>
      </c>
      <c r="B17" t="s">
        <v>659</v>
      </c>
      <c r="C17" s="11">
        <v>5662500</v>
      </c>
      <c r="D17" s="11">
        <v>0</v>
      </c>
      <c r="E17" s="11">
        <f t="shared" si="0"/>
        <v>1819488369.7699983</v>
      </c>
      <c r="F17" t="s">
        <v>6</v>
      </c>
      <c r="G17" t="s">
        <v>7</v>
      </c>
      <c r="H17" s="40" t="s">
        <v>441</v>
      </c>
    </row>
    <row r="18" spans="1:9">
      <c r="A18" s="5">
        <v>45667</v>
      </c>
      <c r="B18" t="s">
        <v>660</v>
      </c>
      <c r="C18" s="11">
        <v>0</v>
      </c>
      <c r="D18" s="11">
        <v>1522574150</v>
      </c>
      <c r="E18" s="11">
        <f t="shared" si="0"/>
        <v>3342062519.7699986</v>
      </c>
      <c r="F18" t="s">
        <v>10</v>
      </c>
      <c r="G18" t="s">
        <v>18</v>
      </c>
      <c r="H18" t="s">
        <v>440</v>
      </c>
      <c r="I18" t="s">
        <v>2384</v>
      </c>
    </row>
    <row r="19" spans="1:9" ht="15.75">
      <c r="A19" s="5">
        <v>45667</v>
      </c>
      <c r="B19" t="s">
        <v>338</v>
      </c>
      <c r="C19" s="11">
        <v>0</v>
      </c>
      <c r="D19" s="11">
        <v>177870000</v>
      </c>
      <c r="E19" s="11">
        <f t="shared" si="0"/>
        <v>3519932519.7699986</v>
      </c>
      <c r="F19" t="s">
        <v>10</v>
      </c>
      <c r="G19" t="s">
        <v>18</v>
      </c>
      <c r="H19" s="37" t="s">
        <v>428</v>
      </c>
      <c r="I19" t="s">
        <v>2144</v>
      </c>
    </row>
    <row r="20" spans="1:9" ht="15.75">
      <c r="A20" s="5">
        <v>45667</v>
      </c>
      <c r="B20" t="s">
        <v>2437</v>
      </c>
      <c r="C20" s="11">
        <v>0</v>
      </c>
      <c r="D20" s="11">
        <v>425758149</v>
      </c>
      <c r="E20" s="11">
        <f t="shared" si="0"/>
        <v>3945690668.7699986</v>
      </c>
      <c r="F20" t="s">
        <v>10</v>
      </c>
      <c r="G20" t="s">
        <v>18</v>
      </c>
      <c r="H20" s="154" t="s">
        <v>2422</v>
      </c>
      <c r="I20" t="s">
        <v>2379</v>
      </c>
    </row>
    <row r="21" spans="1:9" ht="15.75">
      <c r="A21" s="5">
        <v>45667</v>
      </c>
      <c r="B21" t="s">
        <v>2437</v>
      </c>
      <c r="C21" s="11">
        <v>0</v>
      </c>
      <c r="D21" s="11">
        <f>510246281-D20</f>
        <v>84488132</v>
      </c>
      <c r="E21" s="11">
        <f t="shared" si="0"/>
        <v>4030178800.7699986</v>
      </c>
      <c r="F21" t="s">
        <v>10</v>
      </c>
      <c r="G21" t="s">
        <v>18</v>
      </c>
      <c r="H21" s="154" t="s">
        <v>2432</v>
      </c>
      <c r="I21" t="s">
        <v>2438</v>
      </c>
    </row>
    <row r="22" spans="1:9" ht="15.75">
      <c r="A22" s="5">
        <v>45667</v>
      </c>
      <c r="B22" t="s">
        <v>661</v>
      </c>
      <c r="C22" s="11">
        <v>6709676</v>
      </c>
      <c r="D22" s="11">
        <v>0</v>
      </c>
      <c r="E22" s="11">
        <f t="shared" si="0"/>
        <v>4023469124.7699986</v>
      </c>
      <c r="F22" t="s">
        <v>62</v>
      </c>
      <c r="G22" t="s">
        <v>251</v>
      </c>
      <c r="H22" s="8" t="s">
        <v>89</v>
      </c>
    </row>
    <row r="23" spans="1:9">
      <c r="A23" s="5">
        <v>45667</v>
      </c>
      <c r="B23" t="s">
        <v>339</v>
      </c>
      <c r="C23" s="11">
        <v>11361168</v>
      </c>
      <c r="D23" s="11">
        <v>0</v>
      </c>
      <c r="E23" s="11">
        <f t="shared" si="0"/>
        <v>4012107956.7699986</v>
      </c>
      <c r="F23" t="s">
        <v>62</v>
      </c>
      <c r="G23" t="s">
        <v>252</v>
      </c>
      <c r="H23" t="s">
        <v>89</v>
      </c>
    </row>
    <row r="24" spans="1:9">
      <c r="A24" s="5">
        <v>45667</v>
      </c>
      <c r="B24" t="s">
        <v>662</v>
      </c>
      <c r="C24" s="11">
        <v>1067000</v>
      </c>
      <c r="D24" s="11">
        <v>0</v>
      </c>
      <c r="E24" s="11">
        <f t="shared" si="0"/>
        <v>4011040956.7699986</v>
      </c>
      <c r="F24" t="s">
        <v>6</v>
      </c>
      <c r="G24" t="s">
        <v>7</v>
      </c>
      <c r="H24" s="40" t="s">
        <v>435</v>
      </c>
    </row>
    <row r="25" spans="1:9">
      <c r="A25" s="5">
        <v>45667</v>
      </c>
      <c r="B25" t="s">
        <v>663</v>
      </c>
      <c r="C25" s="11">
        <v>3355964</v>
      </c>
      <c r="D25" s="11">
        <v>0</v>
      </c>
      <c r="E25" s="11">
        <f t="shared" si="0"/>
        <v>4007684992.7699986</v>
      </c>
      <c r="F25" t="s">
        <v>6</v>
      </c>
      <c r="G25" t="s">
        <v>7</v>
      </c>
      <c r="H25" s="40" t="s">
        <v>429</v>
      </c>
    </row>
    <row r="26" spans="1:9" s="8" customFormat="1" ht="15.75">
      <c r="A26" s="5">
        <v>45667</v>
      </c>
      <c r="B26" s="8" t="s">
        <v>664</v>
      </c>
      <c r="C26" s="11">
        <v>2500</v>
      </c>
      <c r="D26" s="54">
        <v>0</v>
      </c>
      <c r="E26" s="11">
        <f t="shared" si="0"/>
        <v>4007682492.7699986</v>
      </c>
      <c r="F26" t="s">
        <v>19</v>
      </c>
      <c r="G26" t="s">
        <v>189</v>
      </c>
    </row>
    <row r="27" spans="1:9">
      <c r="A27" s="5">
        <v>45667</v>
      </c>
      <c r="B27" t="s">
        <v>665</v>
      </c>
      <c r="C27" s="11">
        <v>2138888</v>
      </c>
      <c r="D27" s="11">
        <v>0</v>
      </c>
      <c r="E27" s="11">
        <f t="shared" si="0"/>
        <v>4005543604.7699986</v>
      </c>
      <c r="F27" t="s">
        <v>6</v>
      </c>
      <c r="G27" t="s">
        <v>7</v>
      </c>
      <c r="H27" s="40" t="s">
        <v>435</v>
      </c>
    </row>
    <row r="28" spans="1:9" ht="15.75">
      <c r="A28" s="5">
        <v>45667</v>
      </c>
      <c r="B28" t="s">
        <v>666</v>
      </c>
      <c r="C28" s="11">
        <v>5178800</v>
      </c>
      <c r="D28" s="11">
        <v>0</v>
      </c>
      <c r="E28" s="11">
        <f t="shared" si="0"/>
        <v>4000364804.7699986</v>
      </c>
      <c r="F28" t="s">
        <v>6</v>
      </c>
      <c r="G28" t="s">
        <v>7</v>
      </c>
      <c r="H28" t="s">
        <v>420</v>
      </c>
      <c r="I28" s="153"/>
    </row>
    <row r="29" spans="1:9" ht="15.75">
      <c r="A29" s="5">
        <v>45667</v>
      </c>
      <c r="B29" t="s">
        <v>667</v>
      </c>
      <c r="C29" s="11">
        <v>2500</v>
      </c>
      <c r="D29" s="11">
        <v>0</v>
      </c>
      <c r="E29" s="11">
        <f t="shared" si="0"/>
        <v>4000362304.7699986</v>
      </c>
      <c r="F29" t="s">
        <v>19</v>
      </c>
      <c r="G29" t="s">
        <v>189</v>
      </c>
      <c r="I29" s="153"/>
    </row>
    <row r="30" spans="1:9">
      <c r="A30" s="5">
        <v>45667</v>
      </c>
      <c r="B30" t="s">
        <v>668</v>
      </c>
      <c r="C30" s="11">
        <v>4901737</v>
      </c>
      <c r="D30" s="11">
        <v>0</v>
      </c>
      <c r="E30" s="11">
        <f t="shared" si="0"/>
        <v>3995460567.7699986</v>
      </c>
      <c r="F30" t="s">
        <v>6</v>
      </c>
      <c r="G30" t="s">
        <v>7</v>
      </c>
      <c r="H30" s="40" t="s">
        <v>505</v>
      </c>
    </row>
    <row r="31" spans="1:9">
      <c r="A31" s="5">
        <v>45667</v>
      </c>
      <c r="B31" t="s">
        <v>669</v>
      </c>
      <c r="C31" s="11">
        <v>4613332</v>
      </c>
      <c r="D31" s="11">
        <v>0</v>
      </c>
      <c r="E31" s="11">
        <f t="shared" si="0"/>
        <v>3990847235.7699986</v>
      </c>
      <c r="F31" t="s">
        <v>6</v>
      </c>
      <c r="G31" t="s">
        <v>7</v>
      </c>
      <c r="H31" s="40" t="s">
        <v>505</v>
      </c>
    </row>
    <row r="32" spans="1:9">
      <c r="A32" s="5">
        <v>45667</v>
      </c>
      <c r="B32" t="s">
        <v>670</v>
      </c>
      <c r="C32" s="11">
        <v>1021300</v>
      </c>
      <c r="D32" s="11">
        <v>0</v>
      </c>
      <c r="E32" s="11">
        <f t="shared" si="0"/>
        <v>3989825935.7699986</v>
      </c>
      <c r="F32" t="s">
        <v>6</v>
      </c>
      <c r="G32" t="s">
        <v>7</v>
      </c>
      <c r="H32" t="s">
        <v>428</v>
      </c>
    </row>
    <row r="33" spans="1:9">
      <c r="A33" s="5">
        <v>45667</v>
      </c>
      <c r="B33" t="s">
        <v>671</v>
      </c>
      <c r="C33" s="11">
        <v>2909066</v>
      </c>
      <c r="D33" s="11">
        <v>0</v>
      </c>
      <c r="E33" s="11">
        <f t="shared" si="0"/>
        <v>3986916869.7699986</v>
      </c>
      <c r="F33" t="s">
        <v>6</v>
      </c>
      <c r="G33" t="s">
        <v>7</v>
      </c>
      <c r="H33" s="40" t="s">
        <v>435</v>
      </c>
    </row>
    <row r="34" spans="1:9">
      <c r="A34" s="5">
        <v>45667</v>
      </c>
      <c r="B34" t="s">
        <v>672</v>
      </c>
      <c r="C34" s="11">
        <v>2500</v>
      </c>
      <c r="D34" s="11">
        <v>0</v>
      </c>
      <c r="E34" s="11">
        <f t="shared" si="0"/>
        <v>3986914369.7699986</v>
      </c>
      <c r="F34" t="s">
        <v>19</v>
      </c>
      <c r="G34" t="s">
        <v>189</v>
      </c>
      <c r="H34" s="40"/>
    </row>
    <row r="35" spans="1:9">
      <c r="A35" s="5">
        <v>45667</v>
      </c>
      <c r="B35" t="s">
        <v>673</v>
      </c>
      <c r="C35" s="11">
        <v>2755030</v>
      </c>
      <c r="D35" s="11">
        <v>0</v>
      </c>
      <c r="E35" s="11">
        <f t="shared" si="0"/>
        <v>3984159339.7699986</v>
      </c>
      <c r="F35" t="s">
        <v>6</v>
      </c>
      <c r="G35" t="s">
        <v>7</v>
      </c>
      <c r="H35" s="40" t="s">
        <v>417</v>
      </c>
    </row>
    <row r="36" spans="1:9" ht="15.75">
      <c r="A36" s="5">
        <v>45667</v>
      </c>
      <c r="B36" t="s">
        <v>674</v>
      </c>
      <c r="C36" s="11">
        <v>2500</v>
      </c>
      <c r="D36" s="11">
        <v>0</v>
      </c>
      <c r="E36" s="11">
        <f t="shared" si="0"/>
        <v>3984156839.7699986</v>
      </c>
      <c r="F36" t="s">
        <v>19</v>
      </c>
      <c r="G36" t="s">
        <v>189</v>
      </c>
      <c r="H36" s="8"/>
    </row>
    <row r="37" spans="1:9">
      <c r="A37" s="5">
        <v>45667</v>
      </c>
      <c r="B37" t="s">
        <v>675</v>
      </c>
      <c r="C37" s="11">
        <v>4586171</v>
      </c>
      <c r="D37" s="11">
        <v>0</v>
      </c>
      <c r="E37" s="11">
        <f t="shared" si="0"/>
        <v>3979570668.7699986</v>
      </c>
      <c r="F37" t="s">
        <v>6</v>
      </c>
      <c r="G37" t="s">
        <v>7</v>
      </c>
      <c r="H37" s="40" t="s">
        <v>441</v>
      </c>
    </row>
    <row r="38" spans="1:9" ht="15.75">
      <c r="A38" s="5">
        <v>45667</v>
      </c>
      <c r="B38" t="s">
        <v>676</v>
      </c>
      <c r="C38" s="11">
        <v>2500</v>
      </c>
      <c r="D38" s="11">
        <v>0</v>
      </c>
      <c r="E38" s="11">
        <f t="shared" si="0"/>
        <v>3979568168.7699986</v>
      </c>
      <c r="F38" t="s">
        <v>19</v>
      </c>
      <c r="G38" t="s">
        <v>189</v>
      </c>
      <c r="H38" s="8"/>
    </row>
    <row r="39" spans="1:9" ht="15.75">
      <c r="A39" s="5">
        <v>45667</v>
      </c>
      <c r="B39" t="s">
        <v>677</v>
      </c>
      <c r="C39" s="11">
        <v>11360105</v>
      </c>
      <c r="D39" s="11">
        <v>0</v>
      </c>
      <c r="E39" s="11">
        <f t="shared" si="0"/>
        <v>3968208063.7699986</v>
      </c>
      <c r="F39" t="s">
        <v>6</v>
      </c>
      <c r="G39" t="s">
        <v>7</v>
      </c>
      <c r="H39" t="s">
        <v>436</v>
      </c>
      <c r="I39" s="153"/>
    </row>
    <row r="40" spans="1:9">
      <c r="A40" s="5">
        <v>45667</v>
      </c>
      <c r="B40" t="s">
        <v>678</v>
      </c>
      <c r="C40" s="11">
        <v>2500</v>
      </c>
      <c r="D40" s="11">
        <v>0</v>
      </c>
      <c r="E40" s="11">
        <f t="shared" si="0"/>
        <v>3968205563.7699986</v>
      </c>
      <c r="F40" t="s">
        <v>19</v>
      </c>
      <c r="G40" t="s">
        <v>189</v>
      </c>
    </row>
    <row r="41" spans="1:9">
      <c r="A41" s="5">
        <v>45670</v>
      </c>
      <c r="B41" t="s">
        <v>679</v>
      </c>
      <c r="C41" s="11">
        <v>0</v>
      </c>
      <c r="D41" s="11">
        <v>15809204</v>
      </c>
      <c r="E41" s="11">
        <f t="shared" si="0"/>
        <v>3984014767.7699986</v>
      </c>
      <c r="F41" t="s">
        <v>10</v>
      </c>
      <c r="G41" t="s">
        <v>18</v>
      </c>
      <c r="H41" s="40" t="s">
        <v>440</v>
      </c>
      <c r="I41" t="s">
        <v>2407</v>
      </c>
    </row>
    <row r="42" spans="1:9" ht="15.75">
      <c r="A42" s="5">
        <v>45670</v>
      </c>
      <c r="B42" t="s">
        <v>680</v>
      </c>
      <c r="C42" s="11">
        <v>15000000</v>
      </c>
      <c r="D42" s="11">
        <v>0</v>
      </c>
      <c r="E42" s="11">
        <f t="shared" si="0"/>
        <v>3969014767.7699986</v>
      </c>
      <c r="F42" t="s">
        <v>4</v>
      </c>
      <c r="G42" t="s">
        <v>5</v>
      </c>
      <c r="H42" s="43" t="s">
        <v>1352</v>
      </c>
    </row>
    <row r="43" spans="1:9" ht="15.75">
      <c r="A43" s="5">
        <v>45670</v>
      </c>
      <c r="B43" t="s">
        <v>7035</v>
      </c>
      <c r="C43" s="11">
        <v>1146750000</v>
      </c>
      <c r="D43" s="11">
        <v>0</v>
      </c>
      <c r="E43" s="11">
        <f t="shared" si="0"/>
        <v>2822264767.7699986</v>
      </c>
      <c r="F43" t="s">
        <v>4</v>
      </c>
      <c r="G43" t="s">
        <v>5</v>
      </c>
      <c r="H43" s="43" t="s">
        <v>1352</v>
      </c>
    </row>
    <row r="44" spans="1:9" ht="15.75">
      <c r="A44" s="5">
        <v>45670</v>
      </c>
      <c r="B44" t="s">
        <v>7035</v>
      </c>
      <c r="C44" s="11">
        <v>126142500</v>
      </c>
      <c r="D44" s="11">
        <v>0</v>
      </c>
      <c r="E44" s="11">
        <f t="shared" si="0"/>
        <v>2696122267.7699986</v>
      </c>
      <c r="F44" t="s">
        <v>920</v>
      </c>
      <c r="G44" t="s">
        <v>7856</v>
      </c>
      <c r="H44" s="43" t="s">
        <v>7032</v>
      </c>
      <c r="I44" t="s">
        <v>89</v>
      </c>
    </row>
    <row r="45" spans="1:9" s="40" customFormat="1" ht="15.75">
      <c r="A45" s="218">
        <v>45670</v>
      </c>
      <c r="B45" s="40" t="s">
        <v>7035</v>
      </c>
      <c r="C45" s="39">
        <v>0</v>
      </c>
      <c r="D45" s="39">
        <f>C43+C44-1158217500</f>
        <v>114675000</v>
      </c>
      <c r="E45" s="11">
        <f t="shared" si="0"/>
        <v>2810797267.7699986</v>
      </c>
      <c r="F45" s="40" t="s">
        <v>1400</v>
      </c>
      <c r="G45" s="40" t="s">
        <v>1400</v>
      </c>
      <c r="H45" s="43" t="s">
        <v>88</v>
      </c>
      <c r="I45" s="40" t="s">
        <v>89</v>
      </c>
    </row>
    <row r="46" spans="1:9" ht="15.75">
      <c r="A46" s="5">
        <v>45671</v>
      </c>
      <c r="B46" t="s">
        <v>4594</v>
      </c>
      <c r="C46" s="11">
        <v>13513</v>
      </c>
      <c r="D46" s="11">
        <v>0</v>
      </c>
      <c r="E46" s="11">
        <f t="shared" si="0"/>
        <v>2810783754.7699986</v>
      </c>
      <c r="F46" s="8" t="s">
        <v>920</v>
      </c>
      <c r="G46" s="8" t="s">
        <v>4242</v>
      </c>
      <c r="H46" s="8" t="s">
        <v>88</v>
      </c>
      <c r="I46" s="310">
        <v>45627</v>
      </c>
    </row>
    <row r="47" spans="1:9" s="8" customFormat="1" ht="15.75">
      <c r="A47" s="13">
        <v>45671</v>
      </c>
      <c r="B47" s="8" t="s">
        <v>4593</v>
      </c>
      <c r="C47" s="54">
        <v>2400000</v>
      </c>
      <c r="D47" s="54">
        <v>0</v>
      </c>
      <c r="E47" s="54">
        <f t="shared" si="0"/>
        <v>2808383754.7699986</v>
      </c>
      <c r="F47" s="8" t="s">
        <v>920</v>
      </c>
      <c r="G47" s="8" t="s">
        <v>4242</v>
      </c>
      <c r="H47" s="8" t="s">
        <v>88</v>
      </c>
      <c r="I47" s="8" t="s">
        <v>89</v>
      </c>
    </row>
    <row r="48" spans="1:9">
      <c r="A48" s="5">
        <v>45671</v>
      </c>
      <c r="B48" t="s">
        <v>918</v>
      </c>
      <c r="C48" s="11">
        <v>21419217</v>
      </c>
      <c r="D48" s="11">
        <v>0</v>
      </c>
      <c r="E48" s="11">
        <f t="shared" si="0"/>
        <v>2786964537.7699986</v>
      </c>
      <c r="F48" t="s">
        <v>6</v>
      </c>
      <c r="G48" t="s">
        <v>13</v>
      </c>
      <c r="H48" t="s">
        <v>23</v>
      </c>
    </row>
    <row r="49" spans="1:9" ht="15.75">
      <c r="A49" s="5">
        <v>45671</v>
      </c>
      <c r="B49" t="s">
        <v>681</v>
      </c>
      <c r="C49" s="11">
        <v>3000000</v>
      </c>
      <c r="D49" s="11">
        <v>0</v>
      </c>
      <c r="E49" s="11">
        <f t="shared" si="0"/>
        <v>2783964537.7699986</v>
      </c>
      <c r="F49" t="s">
        <v>4</v>
      </c>
      <c r="G49" t="s">
        <v>5</v>
      </c>
      <c r="H49" s="43" t="s">
        <v>1352</v>
      </c>
    </row>
    <row r="50" spans="1:9" ht="15.75">
      <c r="A50" s="5">
        <v>45672</v>
      </c>
      <c r="B50" t="s">
        <v>682</v>
      </c>
      <c r="C50" s="11">
        <v>16938750</v>
      </c>
      <c r="D50" s="11">
        <v>0</v>
      </c>
      <c r="E50" s="11">
        <f t="shared" si="0"/>
        <v>2767025787.7699986</v>
      </c>
      <c r="F50" t="s">
        <v>4</v>
      </c>
      <c r="G50" t="s">
        <v>5</v>
      </c>
      <c r="H50" s="43" t="s">
        <v>1352</v>
      </c>
    </row>
    <row r="51" spans="1:9" s="8" customFormat="1" ht="15.75">
      <c r="A51" s="5">
        <v>45672</v>
      </c>
      <c r="B51" s="8" t="s">
        <v>683</v>
      </c>
      <c r="C51" s="54">
        <v>49811936</v>
      </c>
      <c r="D51" s="11">
        <v>0</v>
      </c>
      <c r="E51" s="11">
        <f t="shared" si="0"/>
        <v>2717213851.7699986</v>
      </c>
      <c r="F51" s="8" t="s">
        <v>6</v>
      </c>
      <c r="G51" s="8" t="s">
        <v>50</v>
      </c>
      <c r="H51" s="8" t="s">
        <v>51</v>
      </c>
    </row>
    <row r="52" spans="1:9" ht="15.75">
      <c r="A52" s="5">
        <v>45673</v>
      </c>
      <c r="B52" t="s">
        <v>684</v>
      </c>
      <c r="C52" s="11">
        <v>19500000</v>
      </c>
      <c r="D52" s="11">
        <v>0</v>
      </c>
      <c r="E52" s="11">
        <f t="shared" si="0"/>
        <v>2697713851.7699986</v>
      </c>
      <c r="F52" t="s">
        <v>4</v>
      </c>
      <c r="G52" t="s">
        <v>5</v>
      </c>
      <c r="H52" s="43" t="s">
        <v>1352</v>
      </c>
    </row>
    <row r="53" spans="1:9" s="40" customFormat="1" ht="15.75">
      <c r="A53" s="5">
        <v>45673</v>
      </c>
      <c r="B53" s="40" t="s">
        <v>685</v>
      </c>
      <c r="C53" s="39">
        <v>19150000</v>
      </c>
      <c r="D53" s="11">
        <v>0</v>
      </c>
      <c r="E53" s="11">
        <f t="shared" si="0"/>
        <v>2678563851.7699986</v>
      </c>
      <c r="F53" t="s">
        <v>4</v>
      </c>
      <c r="G53" t="s">
        <v>5</v>
      </c>
      <c r="H53" s="43" t="s">
        <v>1352</v>
      </c>
    </row>
    <row r="54" spans="1:9" ht="15.75">
      <c r="A54" s="5">
        <v>45673</v>
      </c>
      <c r="B54" t="s">
        <v>686</v>
      </c>
      <c r="C54" s="11">
        <v>153018000</v>
      </c>
      <c r="D54" s="11">
        <v>0</v>
      </c>
      <c r="E54" s="11">
        <f t="shared" si="0"/>
        <v>2525545851.7699986</v>
      </c>
      <c r="F54" t="s">
        <v>4</v>
      </c>
      <c r="G54" t="s">
        <v>5</v>
      </c>
      <c r="H54" s="43" t="s">
        <v>1352</v>
      </c>
    </row>
    <row r="55" spans="1:9" ht="15.75">
      <c r="A55" s="5">
        <v>45673</v>
      </c>
      <c r="B55" t="s">
        <v>687</v>
      </c>
      <c r="C55" s="11">
        <v>2500</v>
      </c>
      <c r="D55" s="11">
        <v>0</v>
      </c>
      <c r="E55" s="11">
        <f t="shared" si="0"/>
        <v>2525543351.7699986</v>
      </c>
      <c r="F55" t="s">
        <v>19</v>
      </c>
      <c r="G55" t="s">
        <v>189</v>
      </c>
      <c r="H55" s="8"/>
    </row>
    <row r="56" spans="1:9" ht="15.75">
      <c r="A56" s="5">
        <v>45673</v>
      </c>
      <c r="B56" t="s">
        <v>7033</v>
      </c>
      <c r="C56" s="11">
        <v>10917117</v>
      </c>
      <c r="D56" s="11">
        <v>0</v>
      </c>
      <c r="E56" s="11">
        <f t="shared" si="0"/>
        <v>2514626234.7699986</v>
      </c>
      <c r="F56" t="s">
        <v>4</v>
      </c>
      <c r="G56" t="s">
        <v>5</v>
      </c>
      <c r="H56" s="43" t="s">
        <v>1352</v>
      </c>
    </row>
    <row r="57" spans="1:9" ht="15.75">
      <c r="A57" s="5">
        <v>45673</v>
      </c>
      <c r="B57" t="s">
        <v>7033</v>
      </c>
      <c r="C57" s="11">
        <v>1200883</v>
      </c>
      <c r="D57" s="11">
        <v>0</v>
      </c>
      <c r="E57" s="11">
        <f t="shared" si="0"/>
        <v>2513425351.7699986</v>
      </c>
      <c r="F57" t="s">
        <v>920</v>
      </c>
      <c r="G57" t="s">
        <v>7856</v>
      </c>
      <c r="H57" s="43" t="s">
        <v>7032</v>
      </c>
      <c r="I57" t="s">
        <v>89</v>
      </c>
    </row>
    <row r="58" spans="1:9" s="307" customFormat="1" ht="15.75">
      <c r="A58" s="306">
        <v>45673</v>
      </c>
      <c r="B58" s="307" t="s">
        <v>7033</v>
      </c>
      <c r="C58" s="308">
        <v>0</v>
      </c>
      <c r="D58" s="308">
        <f>C56+C57-11899658</f>
        <v>218342</v>
      </c>
      <c r="E58" s="11">
        <f t="shared" si="0"/>
        <v>2513643693.7699986</v>
      </c>
      <c r="F58" s="307" t="s">
        <v>6</v>
      </c>
      <c r="G58" s="307" t="s">
        <v>53</v>
      </c>
      <c r="H58" s="318" t="s">
        <v>2182</v>
      </c>
      <c r="I58" s="338">
        <v>45658</v>
      </c>
    </row>
    <row r="59" spans="1:9" ht="15.75">
      <c r="A59" s="5">
        <v>45673</v>
      </c>
      <c r="B59" t="s">
        <v>688</v>
      </c>
      <c r="C59" s="11">
        <v>28661325</v>
      </c>
      <c r="D59" s="11">
        <v>0</v>
      </c>
      <c r="E59" s="11">
        <f t="shared" si="0"/>
        <v>2484982368.7699986</v>
      </c>
      <c r="F59" t="s">
        <v>4</v>
      </c>
      <c r="G59" t="s">
        <v>5</v>
      </c>
      <c r="H59" s="43" t="s">
        <v>1352</v>
      </c>
    </row>
    <row r="60" spans="1:9" s="40" customFormat="1" ht="15.75">
      <c r="A60" s="5">
        <v>45673</v>
      </c>
      <c r="B60" s="40" t="s">
        <v>379</v>
      </c>
      <c r="C60" s="39">
        <v>250000000</v>
      </c>
      <c r="D60" s="11">
        <v>0</v>
      </c>
      <c r="E60" s="11">
        <f t="shared" si="0"/>
        <v>2234982368.7699986</v>
      </c>
      <c r="F60" s="40" t="s">
        <v>920</v>
      </c>
      <c r="G60" s="8" t="s">
        <v>4242</v>
      </c>
    </row>
    <row r="61" spans="1:9" s="40" customFormat="1">
      <c r="A61" s="5">
        <v>45673</v>
      </c>
      <c r="B61" s="40" t="s">
        <v>689</v>
      </c>
      <c r="C61" s="11">
        <v>2500</v>
      </c>
      <c r="D61" s="11">
        <v>0</v>
      </c>
      <c r="E61" s="11">
        <f t="shared" si="0"/>
        <v>2234979868.7699986</v>
      </c>
      <c r="F61" t="s">
        <v>19</v>
      </c>
      <c r="G61" t="s">
        <v>189</v>
      </c>
    </row>
    <row r="62" spans="1:9" ht="15.75">
      <c r="A62" s="5">
        <v>45673</v>
      </c>
      <c r="B62" t="s">
        <v>380</v>
      </c>
      <c r="C62" s="11">
        <v>250000000</v>
      </c>
      <c r="D62" s="11">
        <v>0</v>
      </c>
      <c r="E62" s="11">
        <f t="shared" si="0"/>
        <v>1984979868.7699986</v>
      </c>
      <c r="F62" t="s">
        <v>920</v>
      </c>
      <c r="G62" s="8" t="s">
        <v>4242</v>
      </c>
      <c r="H62" s="8"/>
    </row>
    <row r="63" spans="1:9">
      <c r="A63" s="5">
        <v>45673</v>
      </c>
      <c r="B63" t="s">
        <v>690</v>
      </c>
      <c r="C63" s="11">
        <v>2500</v>
      </c>
      <c r="D63" s="11">
        <v>0</v>
      </c>
      <c r="E63" s="11">
        <f t="shared" si="0"/>
        <v>1984977368.7699986</v>
      </c>
      <c r="F63" t="s">
        <v>19</v>
      </c>
      <c r="G63" t="s">
        <v>189</v>
      </c>
    </row>
    <row r="64" spans="1:9">
      <c r="A64" s="5">
        <v>45674</v>
      </c>
      <c r="B64" t="s">
        <v>691</v>
      </c>
      <c r="C64" s="11">
        <v>0</v>
      </c>
      <c r="D64" s="11">
        <v>1000000000</v>
      </c>
      <c r="E64" s="11">
        <f t="shared" si="0"/>
        <v>2984977368.7699986</v>
      </c>
      <c r="F64" t="s">
        <v>920</v>
      </c>
      <c r="G64" t="s">
        <v>4245</v>
      </c>
    </row>
    <row r="65" spans="1:9" s="40" customFormat="1" ht="15.75">
      <c r="A65" s="218">
        <v>45674</v>
      </c>
      <c r="B65" s="40" t="s">
        <v>423</v>
      </c>
      <c r="C65" s="39">
        <v>0</v>
      </c>
      <c r="D65" s="39">
        <v>12358584</v>
      </c>
      <c r="E65" s="11">
        <f t="shared" si="0"/>
        <v>2997335952.7699986</v>
      </c>
      <c r="F65" s="40" t="s">
        <v>10</v>
      </c>
      <c r="G65" s="40" t="s">
        <v>18</v>
      </c>
      <c r="H65" s="154" t="s">
        <v>437</v>
      </c>
      <c r="I65" s="154" t="s">
        <v>2410</v>
      </c>
    </row>
    <row r="66" spans="1:9" ht="15.75">
      <c r="A66" s="5">
        <v>45674</v>
      </c>
      <c r="B66" t="s">
        <v>2439</v>
      </c>
      <c r="C66" s="11">
        <v>0</v>
      </c>
      <c r="D66" s="11">
        <v>89448156</v>
      </c>
      <c r="E66" s="11">
        <f t="shared" si="0"/>
        <v>3086784108.7699986</v>
      </c>
      <c r="F66" t="s">
        <v>10</v>
      </c>
      <c r="G66" t="s">
        <v>18</v>
      </c>
      <c r="H66" s="154" t="s">
        <v>2429</v>
      </c>
      <c r="I66" t="s">
        <v>2440</v>
      </c>
    </row>
    <row r="67" spans="1:9" ht="15.75">
      <c r="A67" s="5">
        <v>45674</v>
      </c>
      <c r="B67" t="s">
        <v>2439</v>
      </c>
      <c r="C67" s="11">
        <v>0</v>
      </c>
      <c r="D67" s="11">
        <f>106854916-D66</f>
        <v>17406760</v>
      </c>
      <c r="E67" s="11">
        <f t="shared" si="0"/>
        <v>3104190868.7699986</v>
      </c>
      <c r="F67" t="s">
        <v>10</v>
      </c>
      <c r="G67" t="s">
        <v>18</v>
      </c>
      <c r="H67" s="154" t="s">
        <v>506</v>
      </c>
      <c r="I67" t="s">
        <v>2413</v>
      </c>
    </row>
    <row r="68" spans="1:9" s="8" customFormat="1" ht="15.75">
      <c r="A68" s="5">
        <v>45674</v>
      </c>
      <c r="B68" s="8" t="s">
        <v>692</v>
      </c>
      <c r="C68" s="54">
        <v>3300000</v>
      </c>
      <c r="D68" s="54">
        <v>0</v>
      </c>
      <c r="E68" s="11">
        <f t="shared" si="0"/>
        <v>3100890868.7699986</v>
      </c>
      <c r="F68" s="8" t="s">
        <v>4</v>
      </c>
      <c r="G68" s="8" t="s">
        <v>5</v>
      </c>
      <c r="H68" s="43" t="s">
        <v>1352</v>
      </c>
    </row>
    <row r="69" spans="1:9" s="8" customFormat="1" ht="15.75">
      <c r="A69" s="13">
        <v>45677</v>
      </c>
      <c r="B69" s="8" t="s">
        <v>423</v>
      </c>
      <c r="C69" s="54">
        <v>0</v>
      </c>
      <c r="D69" s="54">
        <v>24027532</v>
      </c>
      <c r="E69" s="11">
        <f t="shared" si="0"/>
        <v>3124918400.7699986</v>
      </c>
      <c r="F69" t="s">
        <v>10</v>
      </c>
      <c r="G69" t="s">
        <v>18</v>
      </c>
      <c r="H69" s="154" t="s">
        <v>429</v>
      </c>
      <c r="I69" t="s">
        <v>2441</v>
      </c>
    </row>
    <row r="70" spans="1:9" ht="15.75">
      <c r="A70" s="13">
        <v>45677</v>
      </c>
      <c r="B70" t="s">
        <v>382</v>
      </c>
      <c r="C70" s="11">
        <v>0</v>
      </c>
      <c r="D70" s="11">
        <v>27788222</v>
      </c>
      <c r="E70" s="11">
        <f t="shared" ref="E70:E133" si="1">E69-C70+D70</f>
        <v>3152706622.7699986</v>
      </c>
      <c r="F70" t="s">
        <v>10</v>
      </c>
      <c r="G70" t="s">
        <v>18</v>
      </c>
      <c r="H70" s="154" t="s">
        <v>421</v>
      </c>
      <c r="I70" t="s">
        <v>2145</v>
      </c>
    </row>
    <row r="71" spans="1:9" ht="15.75">
      <c r="A71" s="5">
        <v>45678</v>
      </c>
      <c r="B71" t="s">
        <v>693</v>
      </c>
      <c r="C71" s="11">
        <v>0</v>
      </c>
      <c r="D71" s="11">
        <v>15701404</v>
      </c>
      <c r="E71" s="11">
        <f t="shared" si="1"/>
        <v>3168408026.7699986</v>
      </c>
      <c r="F71" t="s">
        <v>10</v>
      </c>
      <c r="G71" t="s">
        <v>18</v>
      </c>
      <c r="H71" s="8" t="s">
        <v>440</v>
      </c>
      <c r="I71" t="s">
        <v>2405</v>
      </c>
    </row>
    <row r="72" spans="1:9" s="8" customFormat="1" ht="15.75">
      <c r="A72" s="13">
        <v>45679</v>
      </c>
      <c r="B72" s="8" t="s">
        <v>382</v>
      </c>
      <c r="C72" s="54">
        <v>0</v>
      </c>
      <c r="D72" s="54">
        <v>111153374</v>
      </c>
      <c r="E72" s="11">
        <f t="shared" si="1"/>
        <v>3279561400.7699986</v>
      </c>
      <c r="F72" t="s">
        <v>10</v>
      </c>
      <c r="G72" t="s">
        <v>18</v>
      </c>
      <c r="H72" s="154" t="s">
        <v>2435</v>
      </c>
      <c r="I72" t="s">
        <v>2146</v>
      </c>
    </row>
    <row r="73" spans="1:9" ht="15.75">
      <c r="A73" s="13">
        <v>45679</v>
      </c>
      <c r="B73" t="s">
        <v>694</v>
      </c>
      <c r="C73" s="11">
        <v>4500000</v>
      </c>
      <c r="D73" s="11">
        <v>0</v>
      </c>
      <c r="E73" s="11">
        <f t="shared" si="1"/>
        <v>3275061400.7699986</v>
      </c>
      <c r="F73" t="s">
        <v>4</v>
      </c>
      <c r="G73" t="s">
        <v>5</v>
      </c>
      <c r="H73" s="43" t="s">
        <v>1352</v>
      </c>
    </row>
    <row r="74" spans="1:9" ht="15.75">
      <c r="A74" s="13">
        <v>45679</v>
      </c>
      <c r="B74" t="s">
        <v>695</v>
      </c>
      <c r="C74" s="11">
        <v>2500</v>
      </c>
      <c r="D74" s="11">
        <v>0</v>
      </c>
      <c r="E74" s="11">
        <f t="shared" si="1"/>
        <v>3275058900.7699986</v>
      </c>
      <c r="F74" t="s">
        <v>19</v>
      </c>
      <c r="G74" t="s">
        <v>189</v>
      </c>
      <c r="H74" s="8"/>
    </row>
    <row r="75" spans="1:9">
      <c r="A75" s="5">
        <v>45681</v>
      </c>
      <c r="B75" t="s">
        <v>696</v>
      </c>
      <c r="C75" s="11">
        <v>3019900</v>
      </c>
      <c r="D75" s="11">
        <v>0</v>
      </c>
      <c r="E75" s="11">
        <f t="shared" si="1"/>
        <v>3272039000.7699986</v>
      </c>
      <c r="F75" s="80" t="s">
        <v>6</v>
      </c>
      <c r="G75" s="80" t="s">
        <v>7</v>
      </c>
      <c r="H75" s="40" t="s">
        <v>435</v>
      </c>
    </row>
    <row r="76" spans="1:9" ht="15.75">
      <c r="A76" s="5">
        <v>45681</v>
      </c>
      <c r="B76" t="s">
        <v>697</v>
      </c>
      <c r="C76" s="11">
        <v>4119228</v>
      </c>
      <c r="D76" s="11">
        <v>0</v>
      </c>
      <c r="E76" s="11">
        <f t="shared" si="1"/>
        <v>3267919772.7699986</v>
      </c>
      <c r="F76" t="s">
        <v>4</v>
      </c>
      <c r="G76" t="s">
        <v>5</v>
      </c>
      <c r="H76" s="43" t="s">
        <v>1352</v>
      </c>
    </row>
    <row r="77" spans="1:9">
      <c r="A77" s="5">
        <v>45681</v>
      </c>
      <c r="B77" t="s">
        <v>698</v>
      </c>
      <c r="C77" s="11">
        <v>2500</v>
      </c>
      <c r="D77" s="11">
        <v>0</v>
      </c>
      <c r="E77" s="11">
        <f t="shared" si="1"/>
        <v>3267917272.7699986</v>
      </c>
      <c r="F77" t="s">
        <v>19</v>
      </c>
      <c r="G77" t="s">
        <v>189</v>
      </c>
      <c r="H77" s="40"/>
    </row>
    <row r="78" spans="1:9">
      <c r="A78" s="5">
        <v>45681</v>
      </c>
      <c r="B78" t="s">
        <v>699</v>
      </c>
      <c r="C78" s="11">
        <v>155000000</v>
      </c>
      <c r="D78" s="11">
        <v>0</v>
      </c>
      <c r="E78" s="11">
        <f t="shared" si="1"/>
        <v>3112917272.7699986</v>
      </c>
      <c r="F78" t="s">
        <v>920</v>
      </c>
      <c r="G78" t="s">
        <v>4246</v>
      </c>
    </row>
    <row r="79" spans="1:9" s="40" customFormat="1">
      <c r="A79" s="5">
        <v>45681</v>
      </c>
      <c r="B79" s="40" t="s">
        <v>700</v>
      </c>
      <c r="C79" s="11">
        <v>2500</v>
      </c>
      <c r="D79" s="11">
        <v>0</v>
      </c>
      <c r="E79" s="11">
        <f t="shared" si="1"/>
        <v>3112914772.7699986</v>
      </c>
      <c r="F79" t="s">
        <v>19</v>
      </c>
      <c r="G79" t="s">
        <v>189</v>
      </c>
    </row>
    <row r="80" spans="1:9" ht="15.75">
      <c r="A80" s="5">
        <v>45681</v>
      </c>
      <c r="B80" t="s">
        <v>4592</v>
      </c>
      <c r="C80" s="11">
        <v>11822877</v>
      </c>
      <c r="D80" s="11">
        <v>0</v>
      </c>
      <c r="E80" s="11">
        <f t="shared" si="1"/>
        <v>3101091895.7699986</v>
      </c>
      <c r="F80" s="80" t="s">
        <v>6</v>
      </c>
      <c r="G80" s="80" t="s">
        <v>53</v>
      </c>
      <c r="H80" s="40" t="s">
        <v>7147</v>
      </c>
      <c r="I80" s="17" t="s">
        <v>7173</v>
      </c>
    </row>
    <row r="81" spans="1:8">
      <c r="A81" s="5">
        <v>45681</v>
      </c>
      <c r="B81" t="s">
        <v>701</v>
      </c>
      <c r="C81" s="11">
        <v>2597500</v>
      </c>
      <c r="D81" s="11">
        <v>0</v>
      </c>
      <c r="E81" s="11">
        <f t="shared" si="1"/>
        <v>3098494395.7699986</v>
      </c>
      <c r="F81" s="80" t="s">
        <v>6</v>
      </c>
      <c r="G81" s="80" t="s">
        <v>7</v>
      </c>
      <c r="H81" s="40" t="s">
        <v>505</v>
      </c>
    </row>
    <row r="82" spans="1:8">
      <c r="A82" s="5">
        <v>45681</v>
      </c>
      <c r="B82" t="s">
        <v>702</v>
      </c>
      <c r="C82" s="11">
        <v>2500</v>
      </c>
      <c r="D82" s="11">
        <v>0</v>
      </c>
      <c r="E82" s="11">
        <f t="shared" si="1"/>
        <v>3098491895.7699986</v>
      </c>
      <c r="F82" t="s">
        <v>19</v>
      </c>
      <c r="G82" t="s">
        <v>189</v>
      </c>
    </row>
    <row r="83" spans="1:8" ht="15.75">
      <c r="A83" s="5">
        <v>45681</v>
      </c>
      <c r="B83" t="s">
        <v>703</v>
      </c>
      <c r="C83" s="11">
        <v>102012000</v>
      </c>
      <c r="D83" s="11">
        <v>0</v>
      </c>
      <c r="E83" s="11">
        <f t="shared" si="1"/>
        <v>2996479895.7699986</v>
      </c>
      <c r="F83" t="s">
        <v>4</v>
      </c>
      <c r="G83" t="s">
        <v>5</v>
      </c>
      <c r="H83" s="43" t="s">
        <v>1352</v>
      </c>
    </row>
    <row r="84" spans="1:8">
      <c r="A84" s="5">
        <v>45681</v>
      </c>
      <c r="B84" t="s">
        <v>704</v>
      </c>
      <c r="C84" s="11">
        <v>2500</v>
      </c>
      <c r="D84" s="11">
        <v>0</v>
      </c>
      <c r="E84" s="11">
        <f t="shared" si="1"/>
        <v>2996477395.7699986</v>
      </c>
      <c r="F84" t="s">
        <v>19</v>
      </c>
      <c r="G84" t="s">
        <v>189</v>
      </c>
    </row>
    <row r="85" spans="1:8">
      <c r="A85" s="5">
        <v>45685</v>
      </c>
      <c r="B85" t="s">
        <v>705</v>
      </c>
      <c r="C85" s="11">
        <v>200000000</v>
      </c>
      <c r="D85" s="11">
        <v>0</v>
      </c>
      <c r="E85" s="11">
        <f t="shared" si="1"/>
        <v>2796477395.7699986</v>
      </c>
      <c r="F85" t="s">
        <v>62</v>
      </c>
      <c r="G85" t="s">
        <v>23</v>
      </c>
    </row>
    <row r="86" spans="1:8">
      <c r="A86" s="5">
        <v>45685</v>
      </c>
      <c r="B86" t="s">
        <v>706</v>
      </c>
      <c r="C86" s="11">
        <v>2500</v>
      </c>
      <c r="D86" s="11">
        <v>0</v>
      </c>
      <c r="E86" s="11">
        <f t="shared" si="1"/>
        <v>2796474895.7699986</v>
      </c>
      <c r="F86" t="s">
        <v>19</v>
      </c>
      <c r="G86" t="s">
        <v>189</v>
      </c>
      <c r="H86" s="40"/>
    </row>
    <row r="87" spans="1:8">
      <c r="A87" s="5">
        <v>45687</v>
      </c>
      <c r="B87" t="s">
        <v>707</v>
      </c>
      <c r="C87" s="11">
        <v>2647400</v>
      </c>
      <c r="D87" s="11">
        <v>0</v>
      </c>
      <c r="E87" s="11">
        <f t="shared" si="1"/>
        <v>2793827495.7699986</v>
      </c>
      <c r="F87" s="80" t="s">
        <v>8</v>
      </c>
      <c r="G87" s="80" t="s">
        <v>33</v>
      </c>
      <c r="H87" s="40"/>
    </row>
    <row r="88" spans="1:8" ht="15.75">
      <c r="A88" s="5">
        <v>45687</v>
      </c>
      <c r="B88" t="s">
        <v>708</v>
      </c>
      <c r="C88" s="11">
        <v>37660000</v>
      </c>
      <c r="D88" s="11">
        <v>0</v>
      </c>
      <c r="E88" s="11">
        <f t="shared" si="1"/>
        <v>2756167495.7699986</v>
      </c>
      <c r="F88" t="s">
        <v>4</v>
      </c>
      <c r="G88" t="s">
        <v>5</v>
      </c>
      <c r="H88" s="43" t="s">
        <v>1352</v>
      </c>
    </row>
    <row r="89" spans="1:8">
      <c r="A89" s="5">
        <v>45687</v>
      </c>
      <c r="B89" t="s">
        <v>709</v>
      </c>
      <c r="C89" s="11">
        <v>2500</v>
      </c>
      <c r="D89" s="11">
        <v>0</v>
      </c>
      <c r="E89" s="11">
        <f t="shared" si="1"/>
        <v>2756164995.7699986</v>
      </c>
      <c r="F89" s="80" t="s">
        <v>19</v>
      </c>
      <c r="G89" s="80" t="s">
        <v>189</v>
      </c>
    </row>
    <row r="90" spans="1:8">
      <c r="A90" s="5">
        <v>45688</v>
      </c>
      <c r="B90" t="s">
        <v>335</v>
      </c>
      <c r="C90" s="11">
        <v>25000</v>
      </c>
      <c r="D90" s="11">
        <v>0</v>
      </c>
      <c r="E90" s="11">
        <f t="shared" si="1"/>
        <v>2756139995.7699986</v>
      </c>
      <c r="F90" t="s">
        <v>19</v>
      </c>
      <c r="G90" t="s">
        <v>189</v>
      </c>
    </row>
    <row r="91" spans="1:8">
      <c r="A91" s="5">
        <v>45688</v>
      </c>
      <c r="B91" t="s">
        <v>336</v>
      </c>
      <c r="C91" s="11">
        <v>0</v>
      </c>
      <c r="D91" s="11">
        <v>4374466.42</v>
      </c>
      <c r="E91" s="11">
        <f t="shared" si="1"/>
        <v>2760514462.1899986</v>
      </c>
      <c r="F91" s="80" t="s">
        <v>190</v>
      </c>
      <c r="G91" s="80" t="s">
        <v>79</v>
      </c>
    </row>
    <row r="92" spans="1:8">
      <c r="A92" s="5">
        <v>45688</v>
      </c>
      <c r="B92" t="s">
        <v>337</v>
      </c>
      <c r="C92" s="11">
        <v>874893.28</v>
      </c>
      <c r="D92" s="11">
        <v>0</v>
      </c>
      <c r="E92" s="11">
        <f t="shared" si="1"/>
        <v>2759639568.9099984</v>
      </c>
      <c r="F92" s="80" t="s">
        <v>190</v>
      </c>
      <c r="G92" s="80" t="s">
        <v>79</v>
      </c>
    </row>
    <row r="93" spans="1:8" s="40" customFormat="1">
      <c r="A93" s="218">
        <v>45692</v>
      </c>
      <c r="B93" s="40" t="s">
        <v>710</v>
      </c>
      <c r="C93" s="39">
        <v>45473708</v>
      </c>
      <c r="D93" s="39">
        <v>0</v>
      </c>
      <c r="E93" s="11">
        <f t="shared" si="1"/>
        <v>2714165860.9099984</v>
      </c>
      <c r="F93" s="40" t="s">
        <v>920</v>
      </c>
      <c r="G93" s="40" t="s">
        <v>4250</v>
      </c>
      <c r="H93" s="40" t="s">
        <v>368</v>
      </c>
    </row>
    <row r="94" spans="1:8">
      <c r="A94" s="5">
        <v>45692</v>
      </c>
      <c r="B94" t="s">
        <v>711</v>
      </c>
      <c r="C94" s="11">
        <v>2500</v>
      </c>
      <c r="D94" s="11">
        <v>0</v>
      </c>
      <c r="E94" s="11">
        <f t="shared" si="1"/>
        <v>2714163360.9099984</v>
      </c>
      <c r="F94" s="80" t="s">
        <v>19</v>
      </c>
      <c r="G94" s="80" t="s">
        <v>189</v>
      </c>
    </row>
    <row r="95" spans="1:8" s="40" customFormat="1">
      <c r="A95" s="218">
        <v>45692</v>
      </c>
      <c r="B95" s="40" t="s">
        <v>712</v>
      </c>
      <c r="C95" s="39">
        <v>5406515</v>
      </c>
      <c r="D95" s="39">
        <v>0</v>
      </c>
      <c r="E95" s="11">
        <f t="shared" si="1"/>
        <v>2708756845.9099984</v>
      </c>
      <c r="F95" s="40" t="s">
        <v>920</v>
      </c>
      <c r="G95" s="40" t="s">
        <v>4250</v>
      </c>
      <c r="H95" s="40" t="s">
        <v>100</v>
      </c>
    </row>
    <row r="96" spans="1:8">
      <c r="A96" s="5">
        <v>45692</v>
      </c>
      <c r="B96" t="s">
        <v>713</v>
      </c>
      <c r="C96" s="11">
        <v>2500</v>
      </c>
      <c r="D96" s="11">
        <v>0</v>
      </c>
      <c r="E96" s="11">
        <f t="shared" si="1"/>
        <v>2708754345.9099984</v>
      </c>
      <c r="F96" s="80" t="s">
        <v>19</v>
      </c>
      <c r="G96" s="80" t="s">
        <v>189</v>
      </c>
    </row>
    <row r="97" spans="1:9">
      <c r="A97" s="5">
        <v>45692</v>
      </c>
      <c r="B97" t="s">
        <v>7122</v>
      </c>
      <c r="C97" s="11">
        <v>18018020</v>
      </c>
      <c r="D97" s="11">
        <v>0</v>
      </c>
      <c r="E97" s="11">
        <f t="shared" si="1"/>
        <v>2690736325.9099984</v>
      </c>
      <c r="F97" t="s">
        <v>6</v>
      </c>
      <c r="G97" t="s">
        <v>13</v>
      </c>
      <c r="H97" t="s">
        <v>77</v>
      </c>
    </row>
    <row r="98" spans="1:9" s="78" customFormat="1">
      <c r="A98" s="319">
        <v>45692</v>
      </c>
      <c r="B98" s="78" t="s">
        <v>7122</v>
      </c>
      <c r="C98" s="309">
        <v>1981982</v>
      </c>
      <c r="D98" s="309">
        <v>0</v>
      </c>
      <c r="E98" s="309">
        <f t="shared" si="1"/>
        <v>2688754343.9099984</v>
      </c>
      <c r="F98" s="78" t="s">
        <v>10</v>
      </c>
      <c r="G98" s="78" t="s">
        <v>94</v>
      </c>
      <c r="H98" s="78" t="s">
        <v>2169</v>
      </c>
      <c r="I98" s="78" t="s">
        <v>6537</v>
      </c>
    </row>
    <row r="99" spans="1:9" s="40" customFormat="1">
      <c r="A99" s="218">
        <v>45692</v>
      </c>
      <c r="B99" s="40" t="s">
        <v>7122</v>
      </c>
      <c r="C99" s="39">
        <v>0</v>
      </c>
      <c r="D99" s="39">
        <f>C97+C98-18198200</f>
        <v>1801802</v>
      </c>
      <c r="E99" s="11">
        <f t="shared" si="1"/>
        <v>2690556145.9099984</v>
      </c>
      <c r="F99" s="40" t="s">
        <v>6</v>
      </c>
      <c r="G99" s="40" t="s">
        <v>53</v>
      </c>
      <c r="H99" s="40" t="s">
        <v>7172</v>
      </c>
      <c r="I99" s="317" t="s">
        <v>6537</v>
      </c>
    </row>
    <row r="100" spans="1:9" ht="15.75">
      <c r="A100" s="5">
        <v>45692</v>
      </c>
      <c r="B100" t="s">
        <v>715</v>
      </c>
      <c r="C100" s="11">
        <v>8856507</v>
      </c>
      <c r="D100" s="11">
        <v>0</v>
      </c>
      <c r="E100" s="11">
        <f t="shared" si="1"/>
        <v>2681699638.9099984</v>
      </c>
      <c r="F100" s="80" t="s">
        <v>4</v>
      </c>
      <c r="G100" s="80" t="s">
        <v>5</v>
      </c>
      <c r="H100" s="146" t="s">
        <v>2216</v>
      </c>
    </row>
    <row r="101" spans="1:9" ht="15.75">
      <c r="A101" s="113">
        <v>45694</v>
      </c>
      <c r="B101" t="s">
        <v>379</v>
      </c>
      <c r="C101" s="11">
        <v>250000000</v>
      </c>
      <c r="D101" s="11">
        <v>0</v>
      </c>
      <c r="E101" s="11">
        <f t="shared" si="1"/>
        <v>2431699638.9099984</v>
      </c>
      <c r="F101" s="80" t="s">
        <v>920</v>
      </c>
      <c r="G101" s="8" t="s">
        <v>4242</v>
      </c>
    </row>
    <row r="102" spans="1:9">
      <c r="A102" s="113">
        <v>45694</v>
      </c>
      <c r="B102" t="s">
        <v>716</v>
      </c>
      <c r="C102" s="11">
        <v>2500</v>
      </c>
      <c r="D102" s="11">
        <v>0</v>
      </c>
      <c r="E102" s="11">
        <f t="shared" si="1"/>
        <v>2431697138.9099984</v>
      </c>
      <c r="F102" s="80" t="s">
        <v>19</v>
      </c>
      <c r="G102" s="80" t="s">
        <v>189</v>
      </c>
    </row>
    <row r="103" spans="1:9" ht="15.75">
      <c r="A103" s="113">
        <v>45694</v>
      </c>
      <c r="B103" t="s">
        <v>380</v>
      </c>
      <c r="C103" s="11">
        <v>250000000</v>
      </c>
      <c r="D103" s="11">
        <v>0</v>
      </c>
      <c r="E103" s="11">
        <f t="shared" si="1"/>
        <v>2181697138.9099984</v>
      </c>
      <c r="F103" s="80" t="s">
        <v>920</v>
      </c>
      <c r="G103" s="8" t="s">
        <v>4242</v>
      </c>
    </row>
    <row r="104" spans="1:9">
      <c r="A104" s="113">
        <v>45694</v>
      </c>
      <c r="B104" t="s">
        <v>717</v>
      </c>
      <c r="C104" s="11">
        <v>2500</v>
      </c>
      <c r="D104" s="11">
        <v>0</v>
      </c>
      <c r="E104" s="11">
        <f t="shared" si="1"/>
        <v>2181694638.9099984</v>
      </c>
      <c r="F104" s="80" t="s">
        <v>19</v>
      </c>
      <c r="G104" s="80" t="s">
        <v>189</v>
      </c>
    </row>
    <row r="105" spans="1:9">
      <c r="A105" s="113">
        <v>45694</v>
      </c>
      <c r="B105" t="s">
        <v>718</v>
      </c>
      <c r="C105" s="11">
        <v>4467500</v>
      </c>
      <c r="D105" s="11">
        <v>0</v>
      </c>
      <c r="E105" s="11">
        <f t="shared" si="1"/>
        <v>2177227138.9099984</v>
      </c>
      <c r="F105" s="80" t="s">
        <v>62</v>
      </c>
      <c r="G105" t="s">
        <v>177</v>
      </c>
    </row>
    <row r="106" spans="1:9">
      <c r="A106" s="113">
        <v>45694</v>
      </c>
      <c r="B106" t="s">
        <v>719</v>
      </c>
      <c r="C106" s="11">
        <v>2500</v>
      </c>
      <c r="D106" s="11">
        <v>0</v>
      </c>
      <c r="E106" s="11">
        <f t="shared" si="1"/>
        <v>2177224638.9099984</v>
      </c>
      <c r="F106" s="80" t="s">
        <v>19</v>
      </c>
      <c r="G106" s="80" t="s">
        <v>189</v>
      </c>
    </row>
    <row r="107" spans="1:9" ht="15.75">
      <c r="A107" s="113">
        <v>45694</v>
      </c>
      <c r="B107" t="s">
        <v>720</v>
      </c>
      <c r="C107" s="11">
        <v>28255000</v>
      </c>
      <c r="D107" s="11">
        <v>0</v>
      </c>
      <c r="E107" s="11">
        <f t="shared" si="1"/>
        <v>2148969638.9099984</v>
      </c>
      <c r="F107" t="s">
        <v>4</v>
      </c>
      <c r="G107" t="s">
        <v>5</v>
      </c>
      <c r="H107" s="43" t="s">
        <v>1352</v>
      </c>
    </row>
    <row r="108" spans="1:9">
      <c r="A108" s="113">
        <v>45694</v>
      </c>
      <c r="B108" t="s">
        <v>721</v>
      </c>
      <c r="C108" s="11">
        <v>2500</v>
      </c>
      <c r="D108" s="11">
        <v>0</v>
      </c>
      <c r="E108" s="11">
        <f t="shared" si="1"/>
        <v>2148967138.9099984</v>
      </c>
      <c r="F108" s="80" t="s">
        <v>19</v>
      </c>
      <c r="G108" s="80" t="s">
        <v>189</v>
      </c>
    </row>
    <row r="109" spans="1:9" ht="15.75">
      <c r="A109" s="113">
        <v>45694</v>
      </c>
      <c r="B109" t="s">
        <v>374</v>
      </c>
      <c r="C109" s="11">
        <v>250000000</v>
      </c>
      <c r="D109" s="11">
        <v>0</v>
      </c>
      <c r="E109" s="11">
        <f t="shared" si="1"/>
        <v>1898967138.9099984</v>
      </c>
      <c r="F109" s="80" t="s">
        <v>920</v>
      </c>
      <c r="G109" s="8" t="s">
        <v>4242</v>
      </c>
    </row>
    <row r="110" spans="1:9">
      <c r="A110" s="113">
        <v>45694</v>
      </c>
      <c r="B110" t="s">
        <v>722</v>
      </c>
      <c r="C110" s="11">
        <v>2500</v>
      </c>
      <c r="D110" s="11">
        <v>0</v>
      </c>
      <c r="E110" s="11">
        <f t="shared" si="1"/>
        <v>1898964638.9099984</v>
      </c>
      <c r="F110" s="80" t="s">
        <v>19</v>
      </c>
      <c r="G110" s="80" t="s">
        <v>189</v>
      </c>
    </row>
    <row r="111" spans="1:9" ht="15.75">
      <c r="A111" s="113">
        <v>45694</v>
      </c>
      <c r="B111" t="s">
        <v>375</v>
      </c>
      <c r="C111" s="11">
        <v>250000000</v>
      </c>
      <c r="D111" s="11">
        <v>0</v>
      </c>
      <c r="E111" s="11">
        <f t="shared" si="1"/>
        <v>1648964638.9099984</v>
      </c>
      <c r="F111" s="80" t="s">
        <v>920</v>
      </c>
      <c r="G111" s="8" t="s">
        <v>4242</v>
      </c>
    </row>
    <row r="112" spans="1:9">
      <c r="A112" s="113">
        <v>45694</v>
      </c>
      <c r="B112" t="s">
        <v>723</v>
      </c>
      <c r="C112" s="11">
        <v>2500</v>
      </c>
      <c r="D112" s="11">
        <v>0</v>
      </c>
      <c r="E112" s="11">
        <f t="shared" si="1"/>
        <v>1648962138.9099984</v>
      </c>
      <c r="F112" s="80" t="s">
        <v>19</v>
      </c>
      <c r="G112" s="80" t="s">
        <v>189</v>
      </c>
    </row>
    <row r="113" spans="1:8">
      <c r="A113" s="5">
        <v>45695</v>
      </c>
      <c r="B113" t="s">
        <v>724</v>
      </c>
      <c r="C113" s="11">
        <v>150224667</v>
      </c>
      <c r="D113" s="11">
        <v>0</v>
      </c>
      <c r="E113" s="11">
        <f t="shared" si="1"/>
        <v>1498737471.9099984</v>
      </c>
      <c r="F113" s="80" t="s">
        <v>920</v>
      </c>
      <c r="G113" t="s">
        <v>4247</v>
      </c>
    </row>
    <row r="114" spans="1:8">
      <c r="A114" s="113">
        <v>45695</v>
      </c>
      <c r="B114" t="s">
        <v>725</v>
      </c>
      <c r="C114" s="11">
        <v>2500</v>
      </c>
      <c r="D114" s="11">
        <v>0</v>
      </c>
      <c r="E114" s="11">
        <f t="shared" si="1"/>
        <v>1498734971.9099984</v>
      </c>
      <c r="F114" s="80" t="s">
        <v>19</v>
      </c>
      <c r="G114" s="80" t="s">
        <v>189</v>
      </c>
    </row>
    <row r="115" spans="1:8" ht="15.75">
      <c r="A115" s="5">
        <v>45699</v>
      </c>
      <c r="B115" t="s">
        <v>726</v>
      </c>
      <c r="C115" s="11">
        <v>4500000</v>
      </c>
      <c r="D115" s="11">
        <v>0</v>
      </c>
      <c r="E115" s="11">
        <f t="shared" si="1"/>
        <v>1494234971.9099984</v>
      </c>
      <c r="F115" t="s">
        <v>4</v>
      </c>
      <c r="G115" t="s">
        <v>5</v>
      </c>
      <c r="H115" s="43" t="s">
        <v>1352</v>
      </c>
    </row>
    <row r="116" spans="1:8">
      <c r="A116" s="5">
        <v>45699</v>
      </c>
      <c r="B116" t="s">
        <v>727</v>
      </c>
      <c r="C116" s="11">
        <v>2500</v>
      </c>
      <c r="D116" s="11">
        <v>0</v>
      </c>
      <c r="E116" s="11">
        <f t="shared" si="1"/>
        <v>1494232471.9099984</v>
      </c>
      <c r="F116" s="80" t="s">
        <v>19</v>
      </c>
      <c r="G116" s="80" t="s">
        <v>189</v>
      </c>
    </row>
    <row r="117" spans="1:8">
      <c r="A117" s="5">
        <v>45702</v>
      </c>
      <c r="B117" t="s">
        <v>728</v>
      </c>
      <c r="C117" s="11">
        <v>2095985</v>
      </c>
      <c r="D117" s="11">
        <v>0</v>
      </c>
      <c r="E117" s="11">
        <f t="shared" si="1"/>
        <v>1492136486.9099984</v>
      </c>
      <c r="F117" s="80" t="s">
        <v>6</v>
      </c>
      <c r="G117" s="80" t="s">
        <v>7</v>
      </c>
      <c r="H117" s="40" t="s">
        <v>505</v>
      </c>
    </row>
    <row r="118" spans="1:8">
      <c r="A118" s="5">
        <v>45702</v>
      </c>
      <c r="B118" t="s">
        <v>729</v>
      </c>
      <c r="C118" s="11">
        <v>2500</v>
      </c>
      <c r="D118" s="11">
        <v>0</v>
      </c>
      <c r="E118" s="11">
        <f t="shared" si="1"/>
        <v>1492133986.9099984</v>
      </c>
      <c r="F118" s="80" t="s">
        <v>19</v>
      </c>
      <c r="G118" s="80" t="s">
        <v>189</v>
      </c>
    </row>
    <row r="119" spans="1:8">
      <c r="A119" s="5">
        <v>45702</v>
      </c>
      <c r="B119" t="s">
        <v>730</v>
      </c>
      <c r="C119" s="11">
        <v>5600000</v>
      </c>
      <c r="D119" s="11">
        <v>0</v>
      </c>
      <c r="E119" s="11">
        <f t="shared" si="1"/>
        <v>1486533986.9099984</v>
      </c>
      <c r="F119" t="s">
        <v>4</v>
      </c>
      <c r="G119" t="s">
        <v>5</v>
      </c>
      <c r="H119" s="40" t="s">
        <v>1615</v>
      </c>
    </row>
    <row r="120" spans="1:8" ht="15.75">
      <c r="A120" s="5">
        <v>45702</v>
      </c>
      <c r="B120" t="s">
        <v>374</v>
      </c>
      <c r="C120" s="11">
        <v>250000000</v>
      </c>
      <c r="D120" s="11">
        <v>0</v>
      </c>
      <c r="E120" s="11">
        <f t="shared" si="1"/>
        <v>1236533986.9099984</v>
      </c>
      <c r="F120" t="s">
        <v>920</v>
      </c>
      <c r="G120" s="8" t="s">
        <v>4242</v>
      </c>
    </row>
    <row r="121" spans="1:8">
      <c r="A121" s="5">
        <v>45702</v>
      </c>
      <c r="B121" t="s">
        <v>731</v>
      </c>
      <c r="C121" s="11">
        <v>2500</v>
      </c>
      <c r="D121" s="11">
        <v>0</v>
      </c>
      <c r="E121" s="11">
        <f t="shared" si="1"/>
        <v>1236531486.9099984</v>
      </c>
      <c r="F121" s="80" t="s">
        <v>19</v>
      </c>
      <c r="G121" s="80" t="s">
        <v>189</v>
      </c>
    </row>
    <row r="122" spans="1:8" ht="15.75">
      <c r="A122" s="5">
        <v>45702</v>
      </c>
      <c r="B122" t="s">
        <v>373</v>
      </c>
      <c r="C122" s="11">
        <v>250000000</v>
      </c>
      <c r="D122" s="11">
        <v>0</v>
      </c>
      <c r="E122" s="11">
        <f t="shared" si="1"/>
        <v>986531486.90999842</v>
      </c>
      <c r="F122" t="s">
        <v>920</v>
      </c>
      <c r="G122" s="8" t="s">
        <v>4242</v>
      </c>
    </row>
    <row r="123" spans="1:8">
      <c r="A123" s="5">
        <v>45702</v>
      </c>
      <c r="B123" t="s">
        <v>732</v>
      </c>
      <c r="C123" s="11">
        <v>2500</v>
      </c>
      <c r="D123" s="11">
        <v>0</v>
      </c>
      <c r="E123" s="11">
        <f t="shared" si="1"/>
        <v>986528986.90999842</v>
      </c>
      <c r="F123" s="80" t="s">
        <v>19</v>
      </c>
      <c r="G123" s="80" t="s">
        <v>189</v>
      </c>
    </row>
    <row r="124" spans="1:8" s="40" customFormat="1">
      <c r="A124" s="218">
        <v>45704</v>
      </c>
      <c r="B124" s="40" t="s">
        <v>651</v>
      </c>
      <c r="C124" s="39">
        <v>19344433</v>
      </c>
      <c r="D124" s="39">
        <v>0</v>
      </c>
      <c r="E124" s="11">
        <f t="shared" si="1"/>
        <v>967184553.90999842</v>
      </c>
      <c r="F124" s="40" t="s">
        <v>920</v>
      </c>
      <c r="G124" s="40" t="s">
        <v>4250</v>
      </c>
      <c r="H124" s="40" t="s">
        <v>51</v>
      </c>
    </row>
    <row r="125" spans="1:8" s="40" customFormat="1">
      <c r="A125" s="218">
        <v>45709</v>
      </c>
      <c r="B125" s="40" t="s">
        <v>1214</v>
      </c>
      <c r="C125" s="39">
        <v>0</v>
      </c>
      <c r="D125" s="39">
        <v>101246448.40000001</v>
      </c>
      <c r="E125" s="11">
        <f t="shared" si="1"/>
        <v>1068431002.3099984</v>
      </c>
      <c r="F125" s="40" t="s">
        <v>10</v>
      </c>
      <c r="G125" s="40" t="s">
        <v>99</v>
      </c>
      <c r="H125" s="40" t="s">
        <v>2179</v>
      </c>
    </row>
    <row r="126" spans="1:8" ht="15.75">
      <c r="A126" s="5">
        <v>45709</v>
      </c>
      <c r="B126" t="s">
        <v>882</v>
      </c>
      <c r="C126" s="11">
        <v>10200000</v>
      </c>
      <c r="D126" s="11">
        <v>0</v>
      </c>
      <c r="E126" s="11">
        <f t="shared" si="1"/>
        <v>1058231002.3099984</v>
      </c>
      <c r="F126" t="s">
        <v>4</v>
      </c>
      <c r="G126" t="s">
        <v>5</v>
      </c>
      <c r="H126" s="154" t="s">
        <v>1368</v>
      </c>
    </row>
    <row r="127" spans="1:8" ht="15.75">
      <c r="A127" s="5">
        <v>45709</v>
      </c>
      <c r="B127" t="s">
        <v>883</v>
      </c>
      <c r="C127" s="11">
        <v>22000000</v>
      </c>
      <c r="D127" s="11">
        <v>0</v>
      </c>
      <c r="E127" s="11">
        <f t="shared" si="1"/>
        <v>1036231002.3099984</v>
      </c>
      <c r="F127" t="s">
        <v>4</v>
      </c>
      <c r="G127" t="s">
        <v>5</v>
      </c>
      <c r="H127" s="154" t="s">
        <v>1445</v>
      </c>
    </row>
    <row r="128" spans="1:8">
      <c r="A128" s="5">
        <v>45709</v>
      </c>
      <c r="B128" t="s">
        <v>884</v>
      </c>
      <c r="C128" s="11">
        <v>2500</v>
      </c>
      <c r="D128" s="11">
        <v>0</v>
      </c>
      <c r="E128" s="11">
        <f t="shared" si="1"/>
        <v>1036228502.3099984</v>
      </c>
      <c r="F128" s="80" t="s">
        <v>19</v>
      </c>
      <c r="G128" s="80" t="s">
        <v>189</v>
      </c>
    </row>
    <row r="129" spans="1:9" ht="15.75">
      <c r="A129" s="5">
        <v>45714</v>
      </c>
      <c r="B129" t="s">
        <v>885</v>
      </c>
      <c r="C129" s="11">
        <v>2314300</v>
      </c>
      <c r="D129" s="11">
        <v>0</v>
      </c>
      <c r="E129" s="11">
        <f t="shared" si="1"/>
        <v>1033914202.3099984</v>
      </c>
      <c r="F129" t="s">
        <v>4</v>
      </c>
      <c r="G129" t="s">
        <v>5</v>
      </c>
      <c r="H129" s="146" t="s">
        <v>2216</v>
      </c>
    </row>
    <row r="130" spans="1:9">
      <c r="A130" s="5">
        <v>45714</v>
      </c>
      <c r="B130" t="s">
        <v>886</v>
      </c>
      <c r="C130" s="11">
        <v>3713570</v>
      </c>
      <c r="D130" s="11">
        <v>0</v>
      </c>
      <c r="E130" s="11">
        <f t="shared" si="1"/>
        <v>1030200632.3099984</v>
      </c>
      <c r="F130" t="s">
        <v>4</v>
      </c>
      <c r="G130" t="s">
        <v>5</v>
      </c>
      <c r="H130" s="40" t="s">
        <v>1593</v>
      </c>
    </row>
    <row r="131" spans="1:9">
      <c r="A131" s="5">
        <v>45714</v>
      </c>
      <c r="B131" t="s">
        <v>887</v>
      </c>
      <c r="C131" s="11">
        <v>4919000</v>
      </c>
      <c r="D131" s="11">
        <v>0</v>
      </c>
      <c r="E131" s="11">
        <f t="shared" si="1"/>
        <v>1025281632.3099984</v>
      </c>
      <c r="F131" s="80" t="s">
        <v>62</v>
      </c>
      <c r="G131" t="s">
        <v>177</v>
      </c>
    </row>
    <row r="132" spans="1:9">
      <c r="A132" s="5">
        <v>45714</v>
      </c>
      <c r="B132" t="s">
        <v>888</v>
      </c>
      <c r="C132" s="11">
        <v>7067269</v>
      </c>
      <c r="D132" s="11">
        <v>0</v>
      </c>
      <c r="E132" s="11">
        <f t="shared" si="1"/>
        <v>1018214363.3099984</v>
      </c>
      <c r="F132" t="s">
        <v>10</v>
      </c>
      <c r="G132" t="s">
        <v>446</v>
      </c>
      <c r="H132" s="40" t="s">
        <v>1629</v>
      </c>
      <c r="I132" t="s">
        <v>26</v>
      </c>
    </row>
    <row r="133" spans="1:9">
      <c r="A133" s="5">
        <v>45714</v>
      </c>
      <c r="B133" t="s">
        <v>889</v>
      </c>
      <c r="C133" s="11">
        <v>7199850</v>
      </c>
      <c r="D133" s="11">
        <v>0</v>
      </c>
      <c r="E133" s="11">
        <f t="shared" si="1"/>
        <v>1011014513.3099984</v>
      </c>
      <c r="F133" t="s">
        <v>4</v>
      </c>
      <c r="G133" t="s">
        <v>5</v>
      </c>
      <c r="H133" t="s">
        <v>1615</v>
      </c>
    </row>
    <row r="134" spans="1:9">
      <c r="A134" s="5">
        <v>45714</v>
      </c>
      <c r="B134" t="s">
        <v>890</v>
      </c>
      <c r="C134" s="11">
        <v>11620000</v>
      </c>
      <c r="D134" s="11">
        <v>0</v>
      </c>
      <c r="E134" s="11">
        <f t="shared" ref="E134:E197" si="2">E133-C134+D134</f>
        <v>999394513.30999839</v>
      </c>
      <c r="F134" t="s">
        <v>4</v>
      </c>
      <c r="G134" t="s">
        <v>5</v>
      </c>
      <c r="H134" s="40" t="s">
        <v>6600</v>
      </c>
    </row>
    <row r="135" spans="1:9" ht="15.75">
      <c r="A135" s="5">
        <v>45714</v>
      </c>
      <c r="B135" t="s">
        <v>7042</v>
      </c>
      <c r="C135" s="11">
        <v>13777500</v>
      </c>
      <c r="D135" s="11">
        <v>0</v>
      </c>
      <c r="E135" s="11">
        <f t="shared" si="2"/>
        <v>985617013.30999839</v>
      </c>
      <c r="F135" t="s">
        <v>4</v>
      </c>
      <c r="G135" t="s">
        <v>5</v>
      </c>
      <c r="H135" s="43" t="s">
        <v>1352</v>
      </c>
    </row>
    <row r="136" spans="1:9" ht="15.75">
      <c r="A136" s="5">
        <v>45714</v>
      </c>
      <c r="B136" t="s">
        <v>7042</v>
      </c>
      <c r="C136" s="11">
        <v>1515525</v>
      </c>
      <c r="D136" s="11">
        <v>0</v>
      </c>
      <c r="E136" s="11">
        <f t="shared" si="2"/>
        <v>984101488.30999839</v>
      </c>
      <c r="F136" t="s">
        <v>920</v>
      </c>
      <c r="G136" t="s">
        <v>7856</v>
      </c>
      <c r="H136" s="43" t="s">
        <v>7032</v>
      </c>
      <c r="I136" t="s">
        <v>4567</v>
      </c>
    </row>
    <row r="137" spans="1:9" s="40" customFormat="1" ht="15.75">
      <c r="A137" s="218">
        <v>45714</v>
      </c>
      <c r="B137" s="40" t="s">
        <v>7042</v>
      </c>
      <c r="C137" s="39">
        <v>0</v>
      </c>
      <c r="D137" s="39">
        <f>C135+C136-13915275</f>
        <v>1377750</v>
      </c>
      <c r="E137" s="11">
        <f t="shared" si="2"/>
        <v>985479238.30999839</v>
      </c>
      <c r="F137" s="40" t="s">
        <v>1400</v>
      </c>
      <c r="G137" s="40" t="s">
        <v>1400</v>
      </c>
      <c r="H137" s="43" t="s">
        <v>88</v>
      </c>
      <c r="I137" s="40" t="s">
        <v>4567</v>
      </c>
    </row>
    <row r="138" spans="1:9">
      <c r="A138" s="5">
        <v>45714</v>
      </c>
      <c r="B138" t="s">
        <v>891</v>
      </c>
      <c r="C138" s="11">
        <v>2500</v>
      </c>
      <c r="D138" s="11">
        <v>0</v>
      </c>
      <c r="E138" s="11">
        <f t="shared" si="2"/>
        <v>985476738.30999839</v>
      </c>
      <c r="F138" s="80" t="s">
        <v>19</v>
      </c>
      <c r="G138" s="80" t="s">
        <v>189</v>
      </c>
    </row>
    <row r="139" spans="1:9">
      <c r="A139" s="5">
        <v>45714</v>
      </c>
      <c r="B139" t="s">
        <v>892</v>
      </c>
      <c r="C139" s="11">
        <v>2500</v>
      </c>
      <c r="D139" s="11">
        <v>0</v>
      </c>
      <c r="E139" s="11">
        <f t="shared" si="2"/>
        <v>985474238.30999839</v>
      </c>
      <c r="F139" s="80" t="s">
        <v>19</v>
      </c>
      <c r="G139" s="80" t="s">
        <v>189</v>
      </c>
    </row>
    <row r="140" spans="1:9" ht="15.75">
      <c r="A140" s="5">
        <v>45714</v>
      </c>
      <c r="B140" t="s">
        <v>4590</v>
      </c>
      <c r="C140" s="11">
        <v>92000</v>
      </c>
      <c r="D140" s="11">
        <v>0</v>
      </c>
      <c r="E140" s="11">
        <f t="shared" si="2"/>
        <v>985382238.30999839</v>
      </c>
      <c r="F140" t="s">
        <v>6</v>
      </c>
      <c r="G140" t="s">
        <v>53</v>
      </c>
      <c r="H140" s="17" t="s">
        <v>2182</v>
      </c>
      <c r="I140" t="s">
        <v>7120</v>
      </c>
    </row>
    <row r="141" spans="1:9" ht="15.75">
      <c r="A141" s="5">
        <v>45714</v>
      </c>
      <c r="B141" t="s">
        <v>4591</v>
      </c>
      <c r="C141" s="11">
        <v>106000</v>
      </c>
      <c r="D141" s="11">
        <v>0</v>
      </c>
      <c r="E141" s="11">
        <f t="shared" si="2"/>
        <v>985276238.30999839</v>
      </c>
      <c r="F141" t="s">
        <v>6</v>
      </c>
      <c r="G141" t="s">
        <v>53</v>
      </c>
      <c r="H141" s="17" t="s">
        <v>2182</v>
      </c>
      <c r="I141" t="s">
        <v>7120</v>
      </c>
    </row>
    <row r="142" spans="1:9">
      <c r="A142" s="5">
        <v>45714</v>
      </c>
      <c r="B142" t="s">
        <v>893</v>
      </c>
      <c r="C142" s="11">
        <v>2480450</v>
      </c>
      <c r="D142" s="11">
        <v>0</v>
      </c>
      <c r="E142" s="11">
        <f t="shared" si="2"/>
        <v>982795788.30999839</v>
      </c>
      <c r="F142" t="s">
        <v>8</v>
      </c>
      <c r="G142" t="s">
        <v>33</v>
      </c>
    </row>
    <row r="143" spans="1:9">
      <c r="A143" s="5">
        <v>45714</v>
      </c>
      <c r="B143" t="s">
        <v>894</v>
      </c>
      <c r="C143" s="11">
        <v>2582043</v>
      </c>
      <c r="D143" s="11">
        <v>0</v>
      </c>
      <c r="E143" s="11">
        <f t="shared" si="2"/>
        <v>980213745.30999839</v>
      </c>
      <c r="F143" t="s">
        <v>4</v>
      </c>
      <c r="G143" t="s">
        <v>5</v>
      </c>
      <c r="H143" s="40" t="s">
        <v>1615</v>
      </c>
    </row>
    <row r="144" spans="1:9">
      <c r="A144" s="5">
        <v>45714</v>
      </c>
      <c r="B144" t="s">
        <v>895</v>
      </c>
      <c r="C144" s="11">
        <v>3923969</v>
      </c>
      <c r="D144" s="11">
        <v>0</v>
      </c>
      <c r="E144" s="11">
        <f t="shared" si="2"/>
        <v>976289776.30999839</v>
      </c>
      <c r="F144" t="s">
        <v>21</v>
      </c>
      <c r="G144" t="s">
        <v>187</v>
      </c>
    </row>
    <row r="145" spans="1:9" s="40" customFormat="1">
      <c r="A145" s="218">
        <v>45714</v>
      </c>
      <c r="B145" s="40" t="s">
        <v>5753</v>
      </c>
      <c r="C145" s="39">
        <v>16798892</v>
      </c>
      <c r="D145" s="39">
        <v>0</v>
      </c>
      <c r="E145" s="11">
        <f t="shared" si="2"/>
        <v>959490884.30999839</v>
      </c>
      <c r="F145" s="40" t="s">
        <v>4</v>
      </c>
      <c r="G145" s="40" t="s">
        <v>5</v>
      </c>
      <c r="H145" s="40" t="s">
        <v>1615</v>
      </c>
    </row>
    <row r="146" spans="1:9">
      <c r="A146" s="5">
        <v>45714</v>
      </c>
      <c r="B146" t="s">
        <v>7031</v>
      </c>
      <c r="C146" s="11">
        <v>18018020</v>
      </c>
      <c r="D146" s="11">
        <v>0</v>
      </c>
      <c r="E146" s="11">
        <f t="shared" si="2"/>
        <v>941472864.30999839</v>
      </c>
      <c r="F146" t="s">
        <v>8</v>
      </c>
      <c r="G146" t="s">
        <v>77</v>
      </c>
      <c r="H146" t="s">
        <v>89</v>
      </c>
    </row>
    <row r="147" spans="1:9">
      <c r="A147" s="5">
        <v>45714</v>
      </c>
      <c r="B147" t="s">
        <v>7031</v>
      </c>
      <c r="C147" s="11">
        <v>1981982</v>
      </c>
      <c r="D147" s="11">
        <v>0</v>
      </c>
      <c r="E147" s="11">
        <f t="shared" si="2"/>
        <v>939490882.30999839</v>
      </c>
      <c r="F147" t="s">
        <v>920</v>
      </c>
      <c r="G147" t="s">
        <v>7856</v>
      </c>
      <c r="H147" t="s">
        <v>7032</v>
      </c>
      <c r="I147" t="s">
        <v>89</v>
      </c>
    </row>
    <row r="148" spans="1:9" s="40" customFormat="1">
      <c r="A148" s="218">
        <v>45714</v>
      </c>
      <c r="B148" s="40" t="s">
        <v>7031</v>
      </c>
      <c r="C148" s="39">
        <v>0</v>
      </c>
      <c r="D148" s="39">
        <f>C146+C147-18198200</f>
        <v>1801802</v>
      </c>
      <c r="E148" s="11">
        <f t="shared" si="2"/>
        <v>941292684.30999839</v>
      </c>
      <c r="F148" s="40" t="s">
        <v>1400</v>
      </c>
      <c r="G148" s="40" t="s">
        <v>1400</v>
      </c>
      <c r="H148" s="40" t="s">
        <v>2170</v>
      </c>
      <c r="I148" s="40" t="s">
        <v>89</v>
      </c>
    </row>
    <row r="149" spans="1:9" ht="15.75">
      <c r="A149" s="5">
        <v>45714</v>
      </c>
      <c r="B149" t="s">
        <v>7043</v>
      </c>
      <c r="C149" s="11">
        <v>62150000</v>
      </c>
      <c r="D149" s="11">
        <v>0</v>
      </c>
      <c r="E149" s="11">
        <f t="shared" si="2"/>
        <v>879142684.30999839</v>
      </c>
      <c r="F149" t="s">
        <v>4</v>
      </c>
      <c r="G149" t="s">
        <v>5</v>
      </c>
      <c r="H149" s="43" t="s">
        <v>1352</v>
      </c>
    </row>
    <row r="150" spans="1:9" ht="15.75">
      <c r="A150" s="5">
        <v>45714</v>
      </c>
      <c r="B150" t="s">
        <v>7043</v>
      </c>
      <c r="C150" s="11">
        <v>6836500</v>
      </c>
      <c r="D150" s="11">
        <v>0</v>
      </c>
      <c r="E150" s="11">
        <f t="shared" si="2"/>
        <v>872306184.30999839</v>
      </c>
      <c r="F150" t="s">
        <v>920</v>
      </c>
      <c r="G150" t="s">
        <v>7856</v>
      </c>
      <c r="H150" s="43" t="s">
        <v>7032</v>
      </c>
      <c r="I150" t="s">
        <v>4567</v>
      </c>
    </row>
    <row r="151" spans="1:9" s="40" customFormat="1" ht="15.75">
      <c r="A151" s="218">
        <v>45714</v>
      </c>
      <c r="B151" s="40" t="s">
        <v>7043</v>
      </c>
      <c r="C151" s="39">
        <v>0</v>
      </c>
      <c r="D151" s="39">
        <f>C149+C150-62771500</f>
        <v>6215000</v>
      </c>
      <c r="E151" s="11">
        <f t="shared" si="2"/>
        <v>878521184.30999839</v>
      </c>
      <c r="F151" s="40" t="s">
        <v>1400</v>
      </c>
      <c r="G151" s="40" t="s">
        <v>1400</v>
      </c>
      <c r="H151" s="43" t="s">
        <v>88</v>
      </c>
      <c r="I151" s="40" t="s">
        <v>4567</v>
      </c>
    </row>
    <row r="152" spans="1:9" ht="15.75">
      <c r="A152" s="5">
        <v>45715</v>
      </c>
      <c r="B152" t="s">
        <v>896</v>
      </c>
      <c r="C152" s="11">
        <v>250000000</v>
      </c>
      <c r="D152" s="11">
        <v>0</v>
      </c>
      <c r="E152" s="11">
        <f t="shared" si="2"/>
        <v>628521184.30999839</v>
      </c>
      <c r="F152" t="s">
        <v>920</v>
      </c>
      <c r="G152" s="8" t="s">
        <v>4242</v>
      </c>
    </row>
    <row r="153" spans="1:9">
      <c r="A153" s="5">
        <v>45715</v>
      </c>
      <c r="B153" t="s">
        <v>897</v>
      </c>
      <c r="C153" s="11">
        <v>2500</v>
      </c>
      <c r="D153" s="11">
        <v>0</v>
      </c>
      <c r="E153" s="11">
        <f t="shared" si="2"/>
        <v>628518684.30999839</v>
      </c>
      <c r="F153" s="80" t="s">
        <v>19</v>
      </c>
      <c r="G153" s="80" t="s">
        <v>189</v>
      </c>
    </row>
    <row r="154" spans="1:9">
      <c r="A154" s="5">
        <v>45715</v>
      </c>
      <c r="B154" t="s">
        <v>898</v>
      </c>
      <c r="C154" s="11">
        <v>250000000</v>
      </c>
      <c r="D154" s="11">
        <v>0</v>
      </c>
      <c r="E154" s="11">
        <f t="shared" si="2"/>
        <v>378518684.30999839</v>
      </c>
      <c r="F154" t="s">
        <v>62</v>
      </c>
      <c r="G154" t="s">
        <v>23</v>
      </c>
    </row>
    <row r="155" spans="1:9">
      <c r="A155" s="5">
        <v>45715</v>
      </c>
      <c r="B155" t="s">
        <v>899</v>
      </c>
      <c r="C155" s="11">
        <v>2500</v>
      </c>
      <c r="D155" s="11">
        <v>0</v>
      </c>
      <c r="E155" s="11">
        <f t="shared" si="2"/>
        <v>378516184.30999839</v>
      </c>
      <c r="F155" s="80" t="s">
        <v>19</v>
      </c>
      <c r="G155" s="80" t="s">
        <v>189</v>
      </c>
    </row>
    <row r="156" spans="1:9" ht="15.75">
      <c r="A156" s="5">
        <v>45715</v>
      </c>
      <c r="B156" t="s">
        <v>374</v>
      </c>
      <c r="C156" s="11">
        <v>250000000</v>
      </c>
      <c r="D156" s="11">
        <v>0</v>
      </c>
      <c r="E156" s="11">
        <f t="shared" si="2"/>
        <v>128516184.30999839</v>
      </c>
      <c r="F156" t="s">
        <v>920</v>
      </c>
      <c r="G156" s="8" t="s">
        <v>4242</v>
      </c>
    </row>
    <row r="157" spans="1:9">
      <c r="A157" s="5">
        <v>45715</v>
      </c>
      <c r="B157" t="s">
        <v>900</v>
      </c>
      <c r="C157" s="11">
        <v>2500</v>
      </c>
      <c r="D157" s="11">
        <v>0</v>
      </c>
      <c r="E157" s="11">
        <f t="shared" si="2"/>
        <v>128513684.30999839</v>
      </c>
      <c r="F157" s="80" t="s">
        <v>19</v>
      </c>
      <c r="G157" s="80" t="s">
        <v>189</v>
      </c>
    </row>
    <row r="158" spans="1:9">
      <c r="A158" s="5">
        <v>45716</v>
      </c>
      <c r="B158" t="s">
        <v>901</v>
      </c>
      <c r="C158" s="11">
        <v>25000</v>
      </c>
      <c r="D158" s="11">
        <v>0</v>
      </c>
      <c r="E158" s="11">
        <f t="shared" si="2"/>
        <v>128488684.30999839</v>
      </c>
      <c r="F158" t="s">
        <v>19</v>
      </c>
      <c r="G158" t="s">
        <v>189</v>
      </c>
    </row>
    <row r="159" spans="1:9">
      <c r="A159" s="5">
        <v>45716</v>
      </c>
      <c r="B159" t="s">
        <v>902</v>
      </c>
      <c r="C159" s="11">
        <v>0</v>
      </c>
      <c r="D159" s="11">
        <v>1881410.79</v>
      </c>
      <c r="E159" s="11">
        <f t="shared" si="2"/>
        <v>130370095.0999984</v>
      </c>
      <c r="F159" t="s">
        <v>190</v>
      </c>
      <c r="G159" t="s">
        <v>79</v>
      </c>
    </row>
    <row r="160" spans="1:9">
      <c r="A160" s="5">
        <v>45716</v>
      </c>
      <c r="B160" t="s">
        <v>383</v>
      </c>
      <c r="C160" s="11">
        <v>376282.16</v>
      </c>
      <c r="D160" s="11">
        <v>0</v>
      </c>
      <c r="E160" s="11">
        <f t="shared" si="2"/>
        <v>129993812.9399984</v>
      </c>
      <c r="F160" t="s">
        <v>190</v>
      </c>
      <c r="G160" t="s">
        <v>79</v>
      </c>
    </row>
    <row r="161" spans="1:8">
      <c r="A161" s="5">
        <v>45719</v>
      </c>
      <c r="B161" t="s">
        <v>1880</v>
      </c>
      <c r="C161" s="11">
        <v>13419352</v>
      </c>
      <c r="D161" s="11">
        <v>0</v>
      </c>
      <c r="E161" s="11">
        <f t="shared" si="2"/>
        <v>116574460.9399984</v>
      </c>
      <c r="F161" t="s">
        <v>62</v>
      </c>
      <c r="G161" t="s">
        <v>251</v>
      </c>
      <c r="H161" t="s">
        <v>1267</v>
      </c>
    </row>
    <row r="162" spans="1:8">
      <c r="A162" s="5">
        <v>45719</v>
      </c>
      <c r="B162" t="s">
        <v>339</v>
      </c>
      <c r="C162" s="11">
        <v>13669968</v>
      </c>
      <c r="D162" s="11">
        <v>0</v>
      </c>
      <c r="E162" s="11">
        <f t="shared" si="2"/>
        <v>102904492.9399984</v>
      </c>
      <c r="F162" t="s">
        <v>62</v>
      </c>
      <c r="G162" t="s">
        <v>252</v>
      </c>
      <c r="H162" t="s">
        <v>4567</v>
      </c>
    </row>
    <row r="163" spans="1:8" ht="15.75">
      <c r="A163" s="5">
        <v>45720</v>
      </c>
      <c r="B163" t="s">
        <v>1084</v>
      </c>
      <c r="C163" s="11">
        <v>1779000</v>
      </c>
      <c r="D163" s="11">
        <v>0</v>
      </c>
      <c r="E163" s="11">
        <f t="shared" si="2"/>
        <v>101125492.9399984</v>
      </c>
      <c r="F163" t="s">
        <v>4</v>
      </c>
      <c r="G163" t="s">
        <v>5</v>
      </c>
      <c r="H163" s="154" t="s">
        <v>1376</v>
      </c>
    </row>
    <row r="164" spans="1:8">
      <c r="A164" s="5">
        <v>45720</v>
      </c>
      <c r="B164" t="s">
        <v>1085</v>
      </c>
      <c r="C164" s="11">
        <v>3465049</v>
      </c>
      <c r="D164" s="11">
        <v>0</v>
      </c>
      <c r="E164" s="11">
        <f t="shared" si="2"/>
        <v>97660443.939998403</v>
      </c>
      <c r="F164" t="s">
        <v>4</v>
      </c>
      <c r="G164" t="s">
        <v>5</v>
      </c>
      <c r="H164" s="40" t="s">
        <v>6600</v>
      </c>
    </row>
    <row r="165" spans="1:8">
      <c r="A165" s="5">
        <v>45720</v>
      </c>
      <c r="B165" t="s">
        <v>1086</v>
      </c>
      <c r="C165" s="11">
        <v>2500</v>
      </c>
      <c r="D165" s="11">
        <v>0</v>
      </c>
      <c r="E165" s="11">
        <f t="shared" si="2"/>
        <v>97657943.939998403</v>
      </c>
      <c r="F165" s="80" t="s">
        <v>19</v>
      </c>
      <c r="G165" s="80" t="s">
        <v>189</v>
      </c>
    </row>
    <row r="166" spans="1:8">
      <c r="A166" s="5">
        <v>45720</v>
      </c>
      <c r="B166" t="s">
        <v>1087</v>
      </c>
      <c r="C166" s="11">
        <v>4410000</v>
      </c>
      <c r="D166" s="11">
        <v>0</v>
      </c>
      <c r="E166" s="11">
        <f t="shared" si="2"/>
        <v>93247943.939998403</v>
      </c>
      <c r="F166" t="s">
        <v>4</v>
      </c>
      <c r="G166" t="s">
        <v>5</v>
      </c>
      <c r="H166" t="s">
        <v>1368</v>
      </c>
    </row>
    <row r="167" spans="1:8">
      <c r="A167" s="5">
        <v>45720</v>
      </c>
      <c r="B167" t="s">
        <v>1088</v>
      </c>
      <c r="C167" s="11">
        <v>2500</v>
      </c>
      <c r="D167" s="11">
        <v>0</v>
      </c>
      <c r="E167" s="11">
        <f t="shared" si="2"/>
        <v>93245443.939998403</v>
      </c>
      <c r="F167" s="80" t="s">
        <v>19</v>
      </c>
      <c r="G167" s="80" t="s">
        <v>189</v>
      </c>
    </row>
    <row r="168" spans="1:8">
      <c r="A168" s="5">
        <v>45720</v>
      </c>
      <c r="B168" t="s">
        <v>1089</v>
      </c>
      <c r="C168" s="11">
        <v>3181200</v>
      </c>
      <c r="D168" s="11">
        <v>0</v>
      </c>
      <c r="E168" s="11">
        <f t="shared" si="2"/>
        <v>90064243.939998403</v>
      </c>
      <c r="F168" t="s">
        <v>4</v>
      </c>
      <c r="G168" t="s">
        <v>5</v>
      </c>
      <c r="H168" s="40" t="s">
        <v>6600</v>
      </c>
    </row>
    <row r="169" spans="1:8" ht="15.75">
      <c r="A169" s="5">
        <v>45720</v>
      </c>
      <c r="B169" t="s">
        <v>1090</v>
      </c>
      <c r="C169" s="11">
        <v>1050000</v>
      </c>
      <c r="D169" s="11">
        <v>0</v>
      </c>
      <c r="E169" s="11">
        <f t="shared" si="2"/>
        <v>89014243.939998403</v>
      </c>
      <c r="F169" t="s">
        <v>4</v>
      </c>
      <c r="G169" t="s">
        <v>5</v>
      </c>
      <c r="H169" s="154" t="s">
        <v>1445</v>
      </c>
    </row>
    <row r="170" spans="1:8">
      <c r="A170" s="5">
        <v>45720</v>
      </c>
      <c r="B170" t="s">
        <v>1091</v>
      </c>
      <c r="C170" s="11">
        <v>2500</v>
      </c>
      <c r="D170" s="11">
        <v>0</v>
      </c>
      <c r="E170" s="11">
        <f t="shared" si="2"/>
        <v>89011743.939998403</v>
      </c>
      <c r="F170" s="80" t="s">
        <v>19</v>
      </c>
      <c r="G170" s="80" t="s">
        <v>189</v>
      </c>
    </row>
    <row r="171" spans="1:8">
      <c r="A171" s="5">
        <v>45720</v>
      </c>
      <c r="B171" t="s">
        <v>1092</v>
      </c>
      <c r="C171" s="11">
        <v>1129150</v>
      </c>
      <c r="D171" s="11">
        <v>0</v>
      </c>
      <c r="E171" s="11">
        <f t="shared" si="2"/>
        <v>87882593.939998403</v>
      </c>
      <c r="F171" t="s">
        <v>4</v>
      </c>
      <c r="G171" t="s">
        <v>5</v>
      </c>
      <c r="H171" s="40" t="s">
        <v>6600</v>
      </c>
    </row>
    <row r="172" spans="1:8">
      <c r="A172" s="5">
        <v>45720</v>
      </c>
      <c r="B172" t="s">
        <v>1093</v>
      </c>
      <c r="C172" s="11">
        <v>555400</v>
      </c>
      <c r="D172" s="11">
        <v>0</v>
      </c>
      <c r="E172" s="11">
        <f t="shared" si="2"/>
        <v>87327193.939998403</v>
      </c>
      <c r="F172" t="s">
        <v>4</v>
      </c>
      <c r="G172" t="s">
        <v>5</v>
      </c>
      <c r="H172" s="40" t="s">
        <v>6600</v>
      </c>
    </row>
    <row r="173" spans="1:8">
      <c r="A173" s="5">
        <v>45720</v>
      </c>
      <c r="B173" t="s">
        <v>1094</v>
      </c>
      <c r="C173" s="11">
        <v>2500</v>
      </c>
      <c r="D173" s="11">
        <v>0</v>
      </c>
      <c r="E173" s="11">
        <f t="shared" si="2"/>
        <v>87324693.939998403</v>
      </c>
      <c r="F173" s="80" t="s">
        <v>19</v>
      </c>
      <c r="G173" s="80" t="s">
        <v>189</v>
      </c>
    </row>
    <row r="174" spans="1:8" ht="15.75">
      <c r="A174" s="5">
        <v>45720</v>
      </c>
      <c r="B174" t="s">
        <v>1095</v>
      </c>
      <c r="C174" s="11">
        <v>2652650</v>
      </c>
      <c r="D174" s="11">
        <v>0</v>
      </c>
      <c r="E174" s="11">
        <f t="shared" si="2"/>
        <v>84672043.939998403</v>
      </c>
      <c r="F174" t="s">
        <v>4</v>
      </c>
      <c r="G174" t="s">
        <v>5</v>
      </c>
      <c r="H174" s="154" t="s">
        <v>1445</v>
      </c>
    </row>
    <row r="175" spans="1:8">
      <c r="A175" s="5">
        <v>45720</v>
      </c>
      <c r="B175" t="s">
        <v>1096</v>
      </c>
      <c r="C175" s="11">
        <v>0</v>
      </c>
      <c r="D175" s="11">
        <v>1000000000</v>
      </c>
      <c r="E175" s="11">
        <f t="shared" si="2"/>
        <v>1084672043.9399984</v>
      </c>
      <c r="F175" t="s">
        <v>920</v>
      </c>
      <c r="G175" t="s">
        <v>4251</v>
      </c>
    </row>
    <row r="176" spans="1:8">
      <c r="A176" s="5">
        <v>45720</v>
      </c>
      <c r="B176" t="s">
        <v>1097</v>
      </c>
      <c r="C176" s="11">
        <v>767016</v>
      </c>
      <c r="D176" s="11">
        <v>0</v>
      </c>
      <c r="E176" s="11">
        <f t="shared" si="2"/>
        <v>1083905027.9399984</v>
      </c>
      <c r="F176" t="s">
        <v>4</v>
      </c>
      <c r="G176" t="s">
        <v>5</v>
      </c>
      <c r="H176" s="40" t="s">
        <v>1593</v>
      </c>
    </row>
    <row r="177" spans="1:9">
      <c r="A177" s="5">
        <v>45720</v>
      </c>
      <c r="B177" t="s">
        <v>7039</v>
      </c>
      <c r="C177" s="11">
        <v>18018020</v>
      </c>
      <c r="D177" s="11">
        <v>0</v>
      </c>
      <c r="E177" s="11">
        <f t="shared" si="2"/>
        <v>1065887007.9399984</v>
      </c>
      <c r="F177" t="s">
        <v>8</v>
      </c>
      <c r="G177" t="s">
        <v>77</v>
      </c>
      <c r="H177" t="s">
        <v>4567</v>
      </c>
    </row>
    <row r="178" spans="1:9" ht="15.75">
      <c r="A178" s="5">
        <v>45720</v>
      </c>
      <c r="B178" t="s">
        <v>7039</v>
      </c>
      <c r="C178" s="11">
        <v>1981982</v>
      </c>
      <c r="D178" s="11">
        <v>0</v>
      </c>
      <c r="E178" s="11">
        <f t="shared" si="2"/>
        <v>1063905025.9399984</v>
      </c>
      <c r="F178" t="s">
        <v>920</v>
      </c>
      <c r="G178" t="s">
        <v>7856</v>
      </c>
      <c r="H178" s="43" t="s">
        <v>7032</v>
      </c>
      <c r="I178" t="s">
        <v>4567</v>
      </c>
    </row>
    <row r="179" spans="1:9" s="40" customFormat="1">
      <c r="A179" s="218">
        <v>45720</v>
      </c>
      <c r="B179" s="40" t="s">
        <v>7039</v>
      </c>
      <c r="C179" s="39">
        <v>0</v>
      </c>
      <c r="D179" s="39">
        <f>C177+C178-18198200</f>
        <v>1801802</v>
      </c>
      <c r="E179" s="11">
        <f t="shared" si="2"/>
        <v>1065706827.9399984</v>
      </c>
      <c r="F179" s="40" t="s">
        <v>1400</v>
      </c>
      <c r="G179" s="40" t="s">
        <v>1400</v>
      </c>
      <c r="H179" s="40" t="s">
        <v>2170</v>
      </c>
      <c r="I179" s="40" t="s">
        <v>4567</v>
      </c>
    </row>
    <row r="180" spans="1:9">
      <c r="A180" s="5">
        <v>45720</v>
      </c>
      <c r="B180" t="s">
        <v>1098</v>
      </c>
      <c r="C180" s="11">
        <v>2500</v>
      </c>
      <c r="D180" s="11">
        <v>0</v>
      </c>
      <c r="E180" s="11">
        <f t="shared" si="2"/>
        <v>1065704327.9399984</v>
      </c>
      <c r="F180" s="80" t="s">
        <v>19</v>
      </c>
      <c r="G180" s="80" t="s">
        <v>189</v>
      </c>
    </row>
    <row r="181" spans="1:9" ht="15.75">
      <c r="A181" s="5">
        <v>45720</v>
      </c>
      <c r="B181" t="s">
        <v>1099</v>
      </c>
      <c r="C181" s="11">
        <v>1784280</v>
      </c>
      <c r="D181" s="11">
        <v>0</v>
      </c>
      <c r="E181" s="11">
        <f t="shared" si="2"/>
        <v>1063920047.9399984</v>
      </c>
      <c r="F181" t="s">
        <v>4</v>
      </c>
      <c r="G181" t="s">
        <v>5</v>
      </c>
      <c r="H181" s="154" t="s">
        <v>1376</v>
      </c>
    </row>
    <row r="182" spans="1:9" ht="15.75">
      <c r="A182" s="5">
        <v>45720</v>
      </c>
      <c r="B182" t="s">
        <v>1100</v>
      </c>
      <c r="C182" s="11">
        <v>27750000</v>
      </c>
      <c r="D182" s="11">
        <v>0</v>
      </c>
      <c r="E182" s="11">
        <f t="shared" si="2"/>
        <v>1036170047.9399984</v>
      </c>
      <c r="F182" t="s">
        <v>4</v>
      </c>
      <c r="G182" t="s">
        <v>5</v>
      </c>
      <c r="H182" s="154" t="s">
        <v>2473</v>
      </c>
    </row>
    <row r="183" spans="1:9">
      <c r="A183" s="5">
        <v>45720</v>
      </c>
      <c r="B183" t="s">
        <v>1101</v>
      </c>
      <c r="C183" s="11">
        <v>2500</v>
      </c>
      <c r="D183" s="11">
        <v>0</v>
      </c>
      <c r="E183" s="11">
        <f t="shared" si="2"/>
        <v>1036167547.9399984</v>
      </c>
      <c r="F183" s="80" t="s">
        <v>19</v>
      </c>
      <c r="G183" s="80" t="s">
        <v>189</v>
      </c>
    </row>
    <row r="184" spans="1:9">
      <c r="A184" s="5">
        <v>45720</v>
      </c>
      <c r="B184" t="s">
        <v>1102</v>
      </c>
      <c r="C184" s="11">
        <v>907855</v>
      </c>
      <c r="D184" s="11">
        <v>0</v>
      </c>
      <c r="E184" s="11">
        <f t="shared" si="2"/>
        <v>1035259692.9399984</v>
      </c>
      <c r="F184" t="s">
        <v>10</v>
      </c>
      <c r="G184" t="s">
        <v>446</v>
      </c>
      <c r="H184" s="40" t="s">
        <v>1629</v>
      </c>
      <c r="I184" t="s">
        <v>26</v>
      </c>
    </row>
    <row r="185" spans="1:9" ht="15.75">
      <c r="A185" s="5">
        <v>45720</v>
      </c>
      <c r="B185" t="s">
        <v>1103</v>
      </c>
      <c r="C185" s="11">
        <v>1520180</v>
      </c>
      <c r="D185" s="11">
        <v>0</v>
      </c>
      <c r="E185" s="11">
        <f t="shared" si="2"/>
        <v>1033739512.9399984</v>
      </c>
      <c r="F185" t="s">
        <v>4</v>
      </c>
      <c r="G185" t="s">
        <v>5</v>
      </c>
      <c r="H185" s="154" t="s">
        <v>1368</v>
      </c>
    </row>
    <row r="186" spans="1:9" ht="15.75">
      <c r="A186" s="5">
        <v>45720</v>
      </c>
      <c r="B186" t="s">
        <v>1104</v>
      </c>
      <c r="C186" s="11">
        <v>12774795</v>
      </c>
      <c r="D186" s="11">
        <v>0</v>
      </c>
      <c r="E186" s="11">
        <f t="shared" si="2"/>
        <v>1020964717.9399984</v>
      </c>
      <c r="F186" t="s">
        <v>4</v>
      </c>
      <c r="G186" t="s">
        <v>5</v>
      </c>
      <c r="H186" s="154" t="s">
        <v>1368</v>
      </c>
    </row>
    <row r="187" spans="1:9" ht="15.75">
      <c r="A187" s="5">
        <v>45720</v>
      </c>
      <c r="B187" t="s">
        <v>1105</v>
      </c>
      <c r="C187" s="11">
        <v>1122405</v>
      </c>
      <c r="D187" s="11">
        <v>0</v>
      </c>
      <c r="E187" s="11">
        <f t="shared" si="2"/>
        <v>1019842312.9399984</v>
      </c>
      <c r="F187" t="s">
        <v>4</v>
      </c>
      <c r="G187" t="s">
        <v>5</v>
      </c>
      <c r="H187" s="146" t="s">
        <v>2216</v>
      </c>
    </row>
    <row r="188" spans="1:9" ht="15.75">
      <c r="A188" s="5">
        <v>45720</v>
      </c>
      <c r="B188" t="s">
        <v>1106</v>
      </c>
      <c r="C188" s="11">
        <v>32925514</v>
      </c>
      <c r="D188" s="11">
        <v>0</v>
      </c>
      <c r="E188" s="11">
        <f t="shared" si="2"/>
        <v>986916798.93999839</v>
      </c>
      <c r="F188" t="s">
        <v>4</v>
      </c>
      <c r="G188" t="s">
        <v>5</v>
      </c>
      <c r="H188" s="154" t="s">
        <v>1368</v>
      </c>
    </row>
    <row r="189" spans="1:9">
      <c r="A189" s="5">
        <v>45720</v>
      </c>
      <c r="B189" t="s">
        <v>1107</v>
      </c>
      <c r="C189" s="11">
        <v>880811</v>
      </c>
      <c r="D189" s="11">
        <v>0</v>
      </c>
      <c r="E189" s="11">
        <f t="shared" si="2"/>
        <v>986035987.93999839</v>
      </c>
      <c r="F189" t="s">
        <v>4</v>
      </c>
      <c r="G189" t="s">
        <v>5</v>
      </c>
      <c r="H189" s="40" t="s">
        <v>1615</v>
      </c>
    </row>
    <row r="190" spans="1:9">
      <c r="A190" s="5">
        <v>45720</v>
      </c>
      <c r="B190" t="s">
        <v>1108</v>
      </c>
      <c r="C190" s="11">
        <v>2114591</v>
      </c>
      <c r="D190" s="11">
        <v>0</v>
      </c>
      <c r="E190" s="11">
        <f t="shared" si="2"/>
        <v>983921396.93999839</v>
      </c>
      <c r="F190" t="s">
        <v>4</v>
      </c>
      <c r="G190" t="s">
        <v>5</v>
      </c>
      <c r="H190" s="40" t="s">
        <v>6600</v>
      </c>
    </row>
    <row r="191" spans="1:9" ht="15.75">
      <c r="A191" s="5">
        <v>45721</v>
      </c>
      <c r="B191" t="s">
        <v>1109</v>
      </c>
      <c r="C191" s="11">
        <v>0</v>
      </c>
      <c r="D191" s="11">
        <v>220720721</v>
      </c>
      <c r="E191" s="11">
        <f t="shared" si="2"/>
        <v>1204642117.9399984</v>
      </c>
      <c r="F191" t="s">
        <v>2140</v>
      </c>
      <c r="G191" t="s">
        <v>2141</v>
      </c>
      <c r="H191" s="37" t="s">
        <v>1352</v>
      </c>
      <c r="I191" s="37" t="s">
        <v>1480</v>
      </c>
    </row>
    <row r="192" spans="1:9" s="40" customFormat="1">
      <c r="A192" s="218">
        <v>45723</v>
      </c>
      <c r="B192" s="40" t="s">
        <v>1110</v>
      </c>
      <c r="C192" s="39">
        <v>42543985</v>
      </c>
      <c r="D192" s="39">
        <v>0</v>
      </c>
      <c r="E192" s="11">
        <f t="shared" si="2"/>
        <v>1162098132.9399984</v>
      </c>
      <c r="F192" s="40" t="s">
        <v>920</v>
      </c>
      <c r="G192" s="40" t="s">
        <v>4250</v>
      </c>
      <c r="H192" s="40" t="s">
        <v>368</v>
      </c>
    </row>
    <row r="193" spans="1:8" s="40" customFormat="1">
      <c r="A193" s="218">
        <v>45723</v>
      </c>
      <c r="B193" s="40" t="s">
        <v>1111</v>
      </c>
      <c r="C193" s="39">
        <v>50268470</v>
      </c>
      <c r="D193" s="39">
        <v>0</v>
      </c>
      <c r="E193" s="11">
        <f t="shared" si="2"/>
        <v>1111829662.9399984</v>
      </c>
      <c r="F193" s="40" t="s">
        <v>920</v>
      </c>
      <c r="G193" s="40" t="s">
        <v>4250</v>
      </c>
      <c r="H193" s="40" t="s">
        <v>51</v>
      </c>
    </row>
    <row r="194" spans="1:8">
      <c r="A194" s="5">
        <v>45723</v>
      </c>
      <c r="B194" t="s">
        <v>1112</v>
      </c>
      <c r="C194" s="11">
        <v>2500</v>
      </c>
      <c r="D194" s="11">
        <v>0</v>
      </c>
      <c r="E194" s="11">
        <f t="shared" si="2"/>
        <v>1111827162.9399984</v>
      </c>
      <c r="F194" s="80" t="s">
        <v>19</v>
      </c>
      <c r="G194" s="80" t="s">
        <v>189</v>
      </c>
    </row>
    <row r="195" spans="1:8" s="40" customFormat="1">
      <c r="A195" s="218">
        <v>45723</v>
      </c>
      <c r="B195" s="40" t="s">
        <v>1113</v>
      </c>
      <c r="C195" s="39">
        <v>14245427</v>
      </c>
      <c r="D195" s="39">
        <v>0</v>
      </c>
      <c r="E195" s="11">
        <f t="shared" si="2"/>
        <v>1097581735.9399984</v>
      </c>
      <c r="F195" s="40" t="s">
        <v>920</v>
      </c>
      <c r="G195" s="40" t="s">
        <v>4250</v>
      </c>
      <c r="H195" s="40" t="s">
        <v>100</v>
      </c>
    </row>
    <row r="196" spans="1:8">
      <c r="A196" s="5">
        <v>45723</v>
      </c>
      <c r="B196" t="s">
        <v>1114</v>
      </c>
      <c r="C196" s="11">
        <v>2500</v>
      </c>
      <c r="D196" s="11">
        <v>0</v>
      </c>
      <c r="E196" s="11">
        <f t="shared" si="2"/>
        <v>1097579235.9399984</v>
      </c>
      <c r="F196" s="80" t="s">
        <v>19</v>
      </c>
      <c r="G196" s="80" t="s">
        <v>189</v>
      </c>
    </row>
    <row r="197" spans="1:8" ht="15.75">
      <c r="A197" s="5">
        <v>45727</v>
      </c>
      <c r="B197" t="s">
        <v>1115</v>
      </c>
      <c r="C197" s="11">
        <v>10300000</v>
      </c>
      <c r="D197" s="11">
        <v>0</v>
      </c>
      <c r="E197" s="11">
        <f t="shared" si="2"/>
        <v>1087279235.9399984</v>
      </c>
      <c r="F197" t="s">
        <v>4</v>
      </c>
      <c r="G197" t="s">
        <v>5</v>
      </c>
      <c r="H197" s="154" t="s">
        <v>1368</v>
      </c>
    </row>
    <row r="198" spans="1:8">
      <c r="A198" s="5">
        <v>45727</v>
      </c>
      <c r="B198" t="s">
        <v>1116</v>
      </c>
      <c r="C198" s="11">
        <v>2500</v>
      </c>
      <c r="D198" s="11">
        <v>0</v>
      </c>
      <c r="E198" s="11">
        <f t="shared" ref="E198:E261" si="3">E197-C198+D198</f>
        <v>1087276735.9399984</v>
      </c>
      <c r="F198" s="80" t="s">
        <v>19</v>
      </c>
      <c r="G198" s="80" t="s">
        <v>189</v>
      </c>
    </row>
    <row r="199" spans="1:8">
      <c r="A199" s="5">
        <v>45727</v>
      </c>
      <c r="B199" t="s">
        <v>1117</v>
      </c>
      <c r="C199" s="11">
        <v>1314700</v>
      </c>
      <c r="D199" s="11">
        <v>0</v>
      </c>
      <c r="E199" s="11">
        <f t="shared" si="3"/>
        <v>1085962035.9399984</v>
      </c>
      <c r="F199" t="s">
        <v>4</v>
      </c>
      <c r="G199" t="s">
        <v>5</v>
      </c>
      <c r="H199" s="40" t="s">
        <v>6600</v>
      </c>
    </row>
    <row r="200" spans="1:8">
      <c r="A200" s="5">
        <v>45727</v>
      </c>
      <c r="B200" t="s">
        <v>1118</v>
      </c>
      <c r="C200" s="11">
        <v>2500</v>
      </c>
      <c r="D200" s="11">
        <v>0</v>
      </c>
      <c r="E200" s="11">
        <f t="shared" si="3"/>
        <v>1085959535.9399984</v>
      </c>
      <c r="F200" s="80" t="s">
        <v>19</v>
      </c>
      <c r="G200" s="80" t="s">
        <v>189</v>
      </c>
    </row>
    <row r="201" spans="1:8" ht="15.75">
      <c r="A201" s="5">
        <v>45727</v>
      </c>
      <c r="B201" t="s">
        <v>1119</v>
      </c>
      <c r="C201" s="11">
        <v>12210000</v>
      </c>
      <c r="D201" s="11">
        <v>0</v>
      </c>
      <c r="E201" s="11">
        <f t="shared" si="3"/>
        <v>1073749535.9399984</v>
      </c>
      <c r="F201" t="s">
        <v>4</v>
      </c>
      <c r="G201" t="s">
        <v>5</v>
      </c>
      <c r="H201" s="146" t="s">
        <v>2216</v>
      </c>
    </row>
    <row r="202" spans="1:8">
      <c r="A202" s="5">
        <v>45727</v>
      </c>
      <c r="B202" t="s">
        <v>1120</v>
      </c>
      <c r="C202" s="11">
        <v>2500</v>
      </c>
      <c r="D202" s="11">
        <v>0</v>
      </c>
      <c r="E202" s="11">
        <f t="shared" si="3"/>
        <v>1073747035.9399984</v>
      </c>
      <c r="F202" s="80" t="s">
        <v>19</v>
      </c>
      <c r="G202" s="80" t="s">
        <v>189</v>
      </c>
    </row>
    <row r="203" spans="1:8">
      <c r="A203" s="5">
        <v>45727</v>
      </c>
      <c r="B203" t="s">
        <v>1121</v>
      </c>
      <c r="C203" s="11">
        <v>3465049</v>
      </c>
      <c r="D203" s="11">
        <v>0</v>
      </c>
      <c r="E203" s="11">
        <f t="shared" si="3"/>
        <v>1070281986.9399984</v>
      </c>
      <c r="F203" t="s">
        <v>4</v>
      </c>
      <c r="G203" t="s">
        <v>5</v>
      </c>
      <c r="H203" s="40" t="s">
        <v>6600</v>
      </c>
    </row>
    <row r="204" spans="1:8">
      <c r="A204" s="5">
        <v>45727</v>
      </c>
      <c r="B204" t="s">
        <v>1122</v>
      </c>
      <c r="C204" s="11">
        <v>2500</v>
      </c>
      <c r="D204" s="11">
        <v>0</v>
      </c>
      <c r="E204" s="11">
        <f t="shared" si="3"/>
        <v>1070279486.9399984</v>
      </c>
      <c r="F204" s="80" t="s">
        <v>19</v>
      </c>
      <c r="G204" s="80" t="s">
        <v>189</v>
      </c>
    </row>
    <row r="205" spans="1:8" ht="15.75">
      <c r="A205" s="5">
        <v>45727</v>
      </c>
      <c r="B205" t="s">
        <v>1123</v>
      </c>
      <c r="C205" s="11">
        <v>2147326</v>
      </c>
      <c r="D205" s="11">
        <v>0</v>
      </c>
      <c r="E205" s="11">
        <f t="shared" si="3"/>
        <v>1068132160.9399984</v>
      </c>
      <c r="F205" t="s">
        <v>4</v>
      </c>
      <c r="G205" t="s">
        <v>5</v>
      </c>
      <c r="H205" s="154" t="s">
        <v>1445</v>
      </c>
    </row>
    <row r="206" spans="1:8">
      <c r="A206" s="5">
        <v>45727</v>
      </c>
      <c r="B206" t="s">
        <v>1124</v>
      </c>
      <c r="C206" s="11">
        <v>2500</v>
      </c>
      <c r="D206" s="11">
        <v>0</v>
      </c>
      <c r="E206" s="11">
        <f t="shared" si="3"/>
        <v>1068129660.9399984</v>
      </c>
      <c r="F206" s="80" t="s">
        <v>19</v>
      </c>
      <c r="G206" s="80" t="s">
        <v>189</v>
      </c>
    </row>
    <row r="207" spans="1:8" ht="15.75">
      <c r="A207" s="5">
        <v>45727</v>
      </c>
      <c r="B207" t="s">
        <v>1125</v>
      </c>
      <c r="C207" s="11">
        <v>116200000</v>
      </c>
      <c r="D207" s="11">
        <v>0</v>
      </c>
      <c r="E207" s="11">
        <f t="shared" si="3"/>
        <v>951929660.93999839</v>
      </c>
      <c r="F207" t="s">
        <v>4</v>
      </c>
      <c r="G207" t="s">
        <v>5</v>
      </c>
      <c r="H207" s="154" t="s">
        <v>1364</v>
      </c>
    </row>
    <row r="208" spans="1:8">
      <c r="A208" s="5">
        <v>45727</v>
      </c>
      <c r="B208" t="s">
        <v>1126</v>
      </c>
      <c r="C208" s="11">
        <v>2500</v>
      </c>
      <c r="D208" s="11">
        <v>0</v>
      </c>
      <c r="E208" s="11">
        <f t="shared" si="3"/>
        <v>951927160.93999839</v>
      </c>
      <c r="F208" s="80" t="s">
        <v>19</v>
      </c>
      <c r="G208" s="80" t="s">
        <v>189</v>
      </c>
    </row>
    <row r="209" spans="1:9">
      <c r="A209" s="5">
        <v>45728</v>
      </c>
      <c r="B209" t="s">
        <v>1127</v>
      </c>
      <c r="C209" s="11">
        <v>8128263</v>
      </c>
      <c r="D209" s="11">
        <v>0</v>
      </c>
      <c r="E209" s="11">
        <f t="shared" si="3"/>
        <v>943798897.93999839</v>
      </c>
      <c r="F209" t="s">
        <v>4</v>
      </c>
      <c r="G209" t="s">
        <v>5</v>
      </c>
      <c r="H209" s="40" t="s">
        <v>6600</v>
      </c>
    </row>
    <row r="210" spans="1:9">
      <c r="A210" s="5">
        <v>45728</v>
      </c>
      <c r="B210" t="s">
        <v>1128</v>
      </c>
      <c r="C210" s="11">
        <v>8532217</v>
      </c>
      <c r="D210" s="11">
        <v>0</v>
      </c>
      <c r="E210" s="11">
        <f t="shared" si="3"/>
        <v>935266680.93999839</v>
      </c>
      <c r="F210" t="s">
        <v>4</v>
      </c>
      <c r="G210" t="s">
        <v>5</v>
      </c>
      <c r="H210" s="40" t="s">
        <v>6600</v>
      </c>
    </row>
    <row r="211" spans="1:9" ht="15.75">
      <c r="A211" s="5">
        <v>45728</v>
      </c>
      <c r="B211" t="s">
        <v>1129</v>
      </c>
      <c r="C211" s="11">
        <v>596400</v>
      </c>
      <c r="D211" s="11">
        <v>0</v>
      </c>
      <c r="E211" s="11">
        <f t="shared" si="3"/>
        <v>934670280.93999839</v>
      </c>
      <c r="F211" t="s">
        <v>4</v>
      </c>
      <c r="G211" t="s">
        <v>5</v>
      </c>
      <c r="H211" s="154" t="s">
        <v>1368</v>
      </c>
    </row>
    <row r="212" spans="1:9">
      <c r="A212" s="5">
        <v>45728</v>
      </c>
      <c r="B212" t="s">
        <v>1130</v>
      </c>
      <c r="C212" s="11">
        <v>1348850</v>
      </c>
      <c r="D212" s="11">
        <v>0</v>
      </c>
      <c r="E212" s="11">
        <f t="shared" si="3"/>
        <v>933321430.93999839</v>
      </c>
      <c r="F212" t="s">
        <v>4</v>
      </c>
      <c r="G212" t="s">
        <v>5</v>
      </c>
      <c r="H212" s="40" t="s">
        <v>1593</v>
      </c>
    </row>
    <row r="213" spans="1:9">
      <c r="A213" s="5">
        <v>45728</v>
      </c>
      <c r="B213" t="s">
        <v>1131</v>
      </c>
      <c r="C213" s="11">
        <v>4945404</v>
      </c>
      <c r="D213" s="11">
        <v>0</v>
      </c>
      <c r="E213" s="11">
        <f t="shared" si="3"/>
        <v>928376026.93999839</v>
      </c>
      <c r="F213" t="s">
        <v>10</v>
      </c>
      <c r="G213" t="s">
        <v>446</v>
      </c>
      <c r="H213" s="40" t="s">
        <v>1629</v>
      </c>
      <c r="I213" t="s">
        <v>26</v>
      </c>
    </row>
    <row r="214" spans="1:9" ht="15.75">
      <c r="A214" s="5">
        <v>45728</v>
      </c>
      <c r="B214" t="s">
        <v>1132</v>
      </c>
      <c r="C214" s="11">
        <v>9943965</v>
      </c>
      <c r="D214" s="11">
        <v>0</v>
      </c>
      <c r="E214" s="11">
        <f t="shared" si="3"/>
        <v>918432061.93999839</v>
      </c>
      <c r="F214" t="s">
        <v>4</v>
      </c>
      <c r="G214" t="s">
        <v>5</v>
      </c>
      <c r="H214" s="154" t="s">
        <v>1445</v>
      </c>
    </row>
    <row r="215" spans="1:9" ht="15.75">
      <c r="A215" s="5">
        <v>45728</v>
      </c>
      <c r="B215" t="s">
        <v>1133</v>
      </c>
      <c r="C215" s="11">
        <v>14389292</v>
      </c>
      <c r="D215" s="11">
        <v>0</v>
      </c>
      <c r="E215" s="11">
        <f t="shared" si="3"/>
        <v>904042769.93999839</v>
      </c>
      <c r="F215" t="s">
        <v>4</v>
      </c>
      <c r="G215" t="s">
        <v>5</v>
      </c>
      <c r="H215" s="154" t="s">
        <v>1368</v>
      </c>
    </row>
    <row r="216" spans="1:9" ht="15.75">
      <c r="A216" s="5">
        <v>45728</v>
      </c>
      <c r="B216" t="s">
        <v>1134</v>
      </c>
      <c r="C216" s="11">
        <v>51749400</v>
      </c>
      <c r="D216" s="11">
        <v>0</v>
      </c>
      <c r="E216" s="11">
        <f t="shared" si="3"/>
        <v>852293369.93999839</v>
      </c>
      <c r="F216" t="s">
        <v>4</v>
      </c>
      <c r="G216" t="s">
        <v>5</v>
      </c>
      <c r="H216" s="154" t="s">
        <v>1445</v>
      </c>
    </row>
    <row r="217" spans="1:9">
      <c r="A217" s="5">
        <v>45728</v>
      </c>
      <c r="B217" t="s">
        <v>1135</v>
      </c>
      <c r="C217" s="11">
        <v>479000</v>
      </c>
      <c r="D217" s="11">
        <v>0</v>
      </c>
      <c r="E217" s="11">
        <f t="shared" si="3"/>
        <v>851814369.93999839</v>
      </c>
      <c r="F217" t="s">
        <v>4</v>
      </c>
      <c r="G217" t="s">
        <v>5</v>
      </c>
      <c r="H217" s="40" t="s">
        <v>1593</v>
      </c>
    </row>
    <row r="218" spans="1:9">
      <c r="A218" s="5">
        <v>45728</v>
      </c>
      <c r="B218" t="s">
        <v>1136</v>
      </c>
      <c r="C218" s="11">
        <v>2283844</v>
      </c>
      <c r="D218" s="11">
        <v>0</v>
      </c>
      <c r="E218" s="11">
        <f t="shared" si="3"/>
        <v>849530525.93999839</v>
      </c>
      <c r="F218" t="s">
        <v>4</v>
      </c>
      <c r="G218" t="s">
        <v>5</v>
      </c>
      <c r="H218" s="40" t="s">
        <v>6600</v>
      </c>
    </row>
    <row r="219" spans="1:9" ht="15.75">
      <c r="A219" s="5">
        <v>45728</v>
      </c>
      <c r="B219" t="s">
        <v>1137</v>
      </c>
      <c r="C219" s="11">
        <v>2526770</v>
      </c>
      <c r="D219" s="11">
        <v>0</v>
      </c>
      <c r="E219" s="11">
        <f t="shared" si="3"/>
        <v>847003755.93999839</v>
      </c>
      <c r="F219" t="s">
        <v>4</v>
      </c>
      <c r="G219" t="s">
        <v>5</v>
      </c>
      <c r="H219" s="154" t="s">
        <v>1445</v>
      </c>
    </row>
    <row r="220" spans="1:9">
      <c r="A220" s="5">
        <v>45728</v>
      </c>
      <c r="B220" t="s">
        <v>1138</v>
      </c>
      <c r="C220" s="11">
        <v>4795797</v>
      </c>
      <c r="D220" s="11">
        <v>0</v>
      </c>
      <c r="E220" s="11">
        <f t="shared" si="3"/>
        <v>842207958.93999839</v>
      </c>
      <c r="F220" t="s">
        <v>4</v>
      </c>
      <c r="G220" t="s">
        <v>5</v>
      </c>
      <c r="H220" s="40" t="s">
        <v>1615</v>
      </c>
    </row>
    <row r="221" spans="1:9" ht="15.75">
      <c r="A221" s="5">
        <v>45728</v>
      </c>
      <c r="B221" t="s">
        <v>1139</v>
      </c>
      <c r="C221" s="11">
        <v>14347730</v>
      </c>
      <c r="D221" s="11">
        <v>0</v>
      </c>
      <c r="E221" s="11">
        <f t="shared" si="3"/>
        <v>827860228.93999839</v>
      </c>
      <c r="F221" t="s">
        <v>4</v>
      </c>
      <c r="G221" t="s">
        <v>5</v>
      </c>
      <c r="H221" s="154" t="s">
        <v>1445</v>
      </c>
    </row>
    <row r="222" spans="1:9" ht="15.75">
      <c r="A222" s="5">
        <v>45728</v>
      </c>
      <c r="B222" t="s">
        <v>1140</v>
      </c>
      <c r="C222" s="11">
        <v>15091190</v>
      </c>
      <c r="D222" s="11">
        <v>0</v>
      </c>
      <c r="E222" s="11">
        <f t="shared" si="3"/>
        <v>812769038.93999839</v>
      </c>
      <c r="F222" t="s">
        <v>4</v>
      </c>
      <c r="G222" t="s">
        <v>5</v>
      </c>
      <c r="H222" s="154" t="s">
        <v>1368</v>
      </c>
    </row>
    <row r="223" spans="1:9" ht="15.75">
      <c r="A223" s="5">
        <v>45728</v>
      </c>
      <c r="B223" t="s">
        <v>1141</v>
      </c>
      <c r="C223" s="11">
        <v>4809961</v>
      </c>
      <c r="D223" s="11">
        <v>0</v>
      </c>
      <c r="E223" s="11">
        <f t="shared" si="3"/>
        <v>807959077.93999839</v>
      </c>
      <c r="F223" t="s">
        <v>4</v>
      </c>
      <c r="G223" t="s">
        <v>5</v>
      </c>
      <c r="H223" s="154" t="s">
        <v>1445</v>
      </c>
    </row>
    <row r="224" spans="1:9" ht="15.75">
      <c r="A224" s="5">
        <v>45728</v>
      </c>
      <c r="B224" t="s">
        <v>1142</v>
      </c>
      <c r="C224" s="11">
        <v>6711132</v>
      </c>
      <c r="D224" s="11">
        <v>0</v>
      </c>
      <c r="E224" s="11">
        <f t="shared" si="3"/>
        <v>801247945.93999839</v>
      </c>
      <c r="F224" t="s">
        <v>4</v>
      </c>
      <c r="G224" t="s">
        <v>5</v>
      </c>
      <c r="H224" s="154" t="s">
        <v>1445</v>
      </c>
    </row>
    <row r="225" spans="1:9">
      <c r="A225" s="5">
        <v>45728</v>
      </c>
      <c r="B225" t="s">
        <v>1143</v>
      </c>
      <c r="C225" s="11">
        <v>6899780</v>
      </c>
      <c r="D225" s="11">
        <v>0</v>
      </c>
      <c r="E225" s="11">
        <f t="shared" si="3"/>
        <v>794348165.93999839</v>
      </c>
      <c r="F225" t="s">
        <v>4</v>
      </c>
      <c r="G225" t="s">
        <v>5</v>
      </c>
      <c r="H225" s="40" t="s">
        <v>1417</v>
      </c>
    </row>
    <row r="226" spans="1:9" ht="15.75">
      <c r="A226" s="5">
        <v>45728</v>
      </c>
      <c r="B226" t="s">
        <v>1144</v>
      </c>
      <c r="C226" s="11">
        <v>8551939</v>
      </c>
      <c r="D226" s="11">
        <v>0</v>
      </c>
      <c r="E226" s="11">
        <f t="shared" si="3"/>
        <v>785796226.93999839</v>
      </c>
      <c r="F226" t="s">
        <v>4</v>
      </c>
      <c r="G226" t="s">
        <v>5</v>
      </c>
      <c r="H226" s="154" t="s">
        <v>1368</v>
      </c>
    </row>
    <row r="227" spans="1:9">
      <c r="A227" s="5">
        <v>45728</v>
      </c>
      <c r="B227" t="s">
        <v>1145</v>
      </c>
      <c r="C227" s="11">
        <v>10086420</v>
      </c>
      <c r="D227" s="11">
        <v>0</v>
      </c>
      <c r="E227" s="11">
        <f t="shared" si="3"/>
        <v>775709806.93999839</v>
      </c>
      <c r="F227" t="s">
        <v>10</v>
      </c>
      <c r="G227" t="s">
        <v>446</v>
      </c>
      <c r="H227" s="40" t="s">
        <v>1629</v>
      </c>
      <c r="I227" t="s">
        <v>26</v>
      </c>
    </row>
    <row r="228" spans="1:9">
      <c r="A228" s="5">
        <v>45728</v>
      </c>
      <c r="B228" t="s">
        <v>1146</v>
      </c>
      <c r="C228" s="11">
        <v>12562077</v>
      </c>
      <c r="D228" s="11">
        <v>0</v>
      </c>
      <c r="E228" s="11">
        <f t="shared" si="3"/>
        <v>763147729.93999839</v>
      </c>
      <c r="F228" t="s">
        <v>4</v>
      </c>
      <c r="G228" t="s">
        <v>5</v>
      </c>
      <c r="H228" s="40" t="s">
        <v>433</v>
      </c>
    </row>
    <row r="229" spans="1:9">
      <c r="A229" s="5">
        <v>45728</v>
      </c>
      <c r="B229" t="s">
        <v>1008</v>
      </c>
      <c r="C229" s="11">
        <v>0</v>
      </c>
      <c r="D229" s="11">
        <v>16532139</v>
      </c>
      <c r="E229" s="11">
        <f t="shared" si="3"/>
        <v>779679868.93999839</v>
      </c>
      <c r="F229" t="s">
        <v>10</v>
      </c>
      <c r="G229" t="s">
        <v>18</v>
      </c>
      <c r="H229" t="s">
        <v>440</v>
      </c>
      <c r="I229" t="s">
        <v>2406</v>
      </c>
    </row>
    <row r="230" spans="1:9" ht="15.75">
      <c r="A230" s="5">
        <v>45729</v>
      </c>
      <c r="B230" t="s">
        <v>380</v>
      </c>
      <c r="C230" s="11">
        <v>250000000</v>
      </c>
      <c r="D230" s="11">
        <v>0</v>
      </c>
      <c r="E230" s="11">
        <f t="shared" si="3"/>
        <v>529679868.93999839</v>
      </c>
      <c r="F230" t="s">
        <v>920</v>
      </c>
      <c r="G230" s="8" t="s">
        <v>4242</v>
      </c>
    </row>
    <row r="231" spans="1:9">
      <c r="A231" s="5">
        <v>45729</v>
      </c>
      <c r="B231" t="s">
        <v>1147</v>
      </c>
      <c r="C231" s="11">
        <v>2500</v>
      </c>
      <c r="D231" s="11">
        <v>0</v>
      </c>
      <c r="E231" s="11">
        <f t="shared" si="3"/>
        <v>529677368.93999839</v>
      </c>
      <c r="F231" s="80" t="s">
        <v>19</v>
      </c>
      <c r="G231" s="80" t="s">
        <v>189</v>
      </c>
    </row>
    <row r="232" spans="1:9" ht="15.75">
      <c r="A232" s="5">
        <v>45729</v>
      </c>
      <c r="B232" t="s">
        <v>374</v>
      </c>
      <c r="C232" s="11">
        <v>250000000</v>
      </c>
      <c r="D232" s="11">
        <v>0</v>
      </c>
      <c r="E232" s="11">
        <f t="shared" si="3"/>
        <v>279677368.93999839</v>
      </c>
      <c r="F232" t="s">
        <v>920</v>
      </c>
      <c r="G232" s="8" t="s">
        <v>4242</v>
      </c>
    </row>
    <row r="233" spans="1:9">
      <c r="A233" s="5">
        <v>45729</v>
      </c>
      <c r="B233" t="s">
        <v>1148</v>
      </c>
      <c r="C233" s="11">
        <v>2500</v>
      </c>
      <c r="D233" s="11">
        <v>0</v>
      </c>
      <c r="E233" s="11">
        <f t="shared" si="3"/>
        <v>279674868.93999839</v>
      </c>
      <c r="F233" s="80" t="s">
        <v>19</v>
      </c>
      <c r="G233" s="80" t="s">
        <v>189</v>
      </c>
    </row>
    <row r="234" spans="1:9">
      <c r="A234" s="5">
        <v>45730</v>
      </c>
      <c r="B234" t="s">
        <v>1149</v>
      </c>
      <c r="C234" s="11">
        <v>0</v>
      </c>
      <c r="D234" s="11">
        <v>500000000</v>
      </c>
      <c r="E234" s="11">
        <f t="shared" si="3"/>
        <v>779674868.93999839</v>
      </c>
      <c r="F234" t="s">
        <v>920</v>
      </c>
      <c r="G234" t="s">
        <v>4251</v>
      </c>
    </row>
    <row r="235" spans="1:9">
      <c r="A235" s="5">
        <v>45730</v>
      </c>
      <c r="B235" t="s">
        <v>1150</v>
      </c>
      <c r="C235" s="11">
        <v>250000000</v>
      </c>
      <c r="D235" s="11">
        <v>0</v>
      </c>
      <c r="E235" s="11">
        <f t="shared" si="3"/>
        <v>529674868.93999839</v>
      </c>
      <c r="F235" t="s">
        <v>62</v>
      </c>
      <c r="G235" t="s">
        <v>23</v>
      </c>
    </row>
    <row r="236" spans="1:9">
      <c r="A236" s="5">
        <v>45730</v>
      </c>
      <c r="B236" t="s">
        <v>1151</v>
      </c>
      <c r="C236" s="11">
        <v>2500</v>
      </c>
      <c r="D236" s="11">
        <v>0</v>
      </c>
      <c r="E236" s="11">
        <f t="shared" si="3"/>
        <v>529672368.93999839</v>
      </c>
      <c r="F236" s="80" t="s">
        <v>19</v>
      </c>
      <c r="G236" s="80" t="s">
        <v>189</v>
      </c>
    </row>
    <row r="237" spans="1:9">
      <c r="A237" s="5">
        <v>45735</v>
      </c>
      <c r="B237" t="s">
        <v>1008</v>
      </c>
      <c r="C237" s="11">
        <v>0</v>
      </c>
      <c r="D237" s="11">
        <v>32743</v>
      </c>
      <c r="E237" s="11">
        <f t="shared" si="3"/>
        <v>529705111.93999839</v>
      </c>
      <c r="F237" t="s">
        <v>10</v>
      </c>
      <c r="G237" t="s">
        <v>18</v>
      </c>
      <c r="H237" t="s">
        <v>440</v>
      </c>
      <c r="I237" t="s">
        <v>2406</v>
      </c>
    </row>
    <row r="238" spans="1:9">
      <c r="A238" s="5">
        <v>45735</v>
      </c>
      <c r="B238" t="s">
        <v>1152</v>
      </c>
      <c r="C238" s="11">
        <v>2285150</v>
      </c>
      <c r="D238" s="11">
        <v>0</v>
      </c>
      <c r="E238" s="11">
        <f t="shared" si="3"/>
        <v>527419961.93999839</v>
      </c>
      <c r="F238" t="s">
        <v>8</v>
      </c>
      <c r="G238" t="s">
        <v>33</v>
      </c>
    </row>
    <row r="239" spans="1:9">
      <c r="A239" s="5">
        <v>45737</v>
      </c>
      <c r="B239" t="s">
        <v>2340</v>
      </c>
      <c r="C239" s="11">
        <v>0</v>
      </c>
      <c r="D239" s="11">
        <v>10608500</v>
      </c>
      <c r="E239" s="11">
        <f t="shared" si="3"/>
        <v>538028461.93999839</v>
      </c>
      <c r="F239" t="s">
        <v>2140</v>
      </c>
      <c r="G239" t="s">
        <v>2141</v>
      </c>
      <c r="H239" t="s">
        <v>919</v>
      </c>
      <c r="I239" t="s">
        <v>2342</v>
      </c>
    </row>
    <row r="240" spans="1:9">
      <c r="A240" s="5">
        <v>45737</v>
      </c>
      <c r="B240" t="s">
        <v>2340</v>
      </c>
      <c r="C240" s="11">
        <v>0</v>
      </c>
      <c r="D240" s="11">
        <f>21217000-D239</f>
        <v>10608500</v>
      </c>
      <c r="E240" s="11">
        <f t="shared" si="3"/>
        <v>548636961.93999839</v>
      </c>
      <c r="F240" t="s">
        <v>2140</v>
      </c>
      <c r="G240" t="s">
        <v>2141</v>
      </c>
      <c r="H240" t="s">
        <v>919</v>
      </c>
      <c r="I240" t="s">
        <v>2341</v>
      </c>
    </row>
    <row r="241" spans="1:9">
      <c r="A241" s="5">
        <v>45742</v>
      </c>
      <c r="B241" t="s">
        <v>1153</v>
      </c>
      <c r="C241" s="11">
        <v>1275000</v>
      </c>
      <c r="D241" s="11">
        <v>0</v>
      </c>
      <c r="E241" s="11">
        <f t="shared" si="3"/>
        <v>547361961.93999839</v>
      </c>
      <c r="F241" t="s">
        <v>62</v>
      </c>
      <c r="G241" t="s">
        <v>177</v>
      </c>
    </row>
    <row r="242" spans="1:9">
      <c r="A242" s="5">
        <v>45742</v>
      </c>
      <c r="B242" t="s">
        <v>1154</v>
      </c>
      <c r="C242" s="11">
        <v>1700408</v>
      </c>
      <c r="D242" s="11">
        <v>0</v>
      </c>
      <c r="E242" s="11">
        <f t="shared" si="3"/>
        <v>545661553.93999839</v>
      </c>
      <c r="F242" t="s">
        <v>4</v>
      </c>
      <c r="G242" t="s">
        <v>5</v>
      </c>
      <c r="H242" s="40" t="s">
        <v>6600</v>
      </c>
    </row>
    <row r="243" spans="1:9">
      <c r="A243" s="5">
        <v>45742</v>
      </c>
      <c r="B243" t="s">
        <v>1155</v>
      </c>
      <c r="C243" s="11">
        <v>3518140</v>
      </c>
      <c r="D243" s="11">
        <v>0</v>
      </c>
      <c r="E243" s="11">
        <f t="shared" si="3"/>
        <v>542143413.93999839</v>
      </c>
      <c r="F243" t="s">
        <v>10</v>
      </c>
      <c r="G243" t="s">
        <v>446</v>
      </c>
      <c r="H243" s="40" t="s">
        <v>1632</v>
      </c>
      <c r="I243" t="s">
        <v>26</v>
      </c>
    </row>
    <row r="244" spans="1:9">
      <c r="A244" s="5">
        <v>45742</v>
      </c>
      <c r="B244" t="s">
        <v>1156</v>
      </c>
      <c r="C244" s="11">
        <v>2500</v>
      </c>
      <c r="D244" s="11">
        <v>0</v>
      </c>
      <c r="E244" s="11">
        <f t="shared" si="3"/>
        <v>542140913.93999839</v>
      </c>
      <c r="F244" s="80" t="s">
        <v>19</v>
      </c>
      <c r="G244" s="80" t="s">
        <v>189</v>
      </c>
    </row>
    <row r="245" spans="1:9">
      <c r="A245" s="5">
        <v>45742</v>
      </c>
      <c r="B245" t="s">
        <v>1157</v>
      </c>
      <c r="C245" s="11">
        <v>584925</v>
      </c>
      <c r="D245" s="11">
        <v>0</v>
      </c>
      <c r="E245" s="11">
        <f t="shared" si="3"/>
        <v>541555988.93999839</v>
      </c>
      <c r="F245" t="s">
        <v>4</v>
      </c>
      <c r="G245" t="s">
        <v>5</v>
      </c>
      <c r="H245" t="s">
        <v>1352</v>
      </c>
    </row>
    <row r="246" spans="1:9">
      <c r="A246" s="5">
        <v>45742</v>
      </c>
      <c r="B246" t="s">
        <v>1158</v>
      </c>
      <c r="C246" s="11">
        <v>1956280</v>
      </c>
      <c r="D246" s="11">
        <v>0</v>
      </c>
      <c r="E246" s="11">
        <f t="shared" si="3"/>
        <v>539599708.93999839</v>
      </c>
      <c r="F246" t="s">
        <v>4</v>
      </c>
      <c r="G246" t="s">
        <v>5</v>
      </c>
      <c r="H246" s="40" t="s">
        <v>1633</v>
      </c>
    </row>
    <row r="247" spans="1:9">
      <c r="A247" s="5">
        <v>45742</v>
      </c>
      <c r="B247" t="s">
        <v>1159</v>
      </c>
      <c r="C247" s="11">
        <v>2383958</v>
      </c>
      <c r="D247" s="11">
        <v>0</v>
      </c>
      <c r="E247" s="11">
        <f t="shared" si="3"/>
        <v>537215750.93999839</v>
      </c>
      <c r="F247" t="s">
        <v>10</v>
      </c>
      <c r="G247" t="s">
        <v>446</v>
      </c>
      <c r="H247" s="40" t="s">
        <v>1632</v>
      </c>
      <c r="I247" t="s">
        <v>26</v>
      </c>
    </row>
    <row r="248" spans="1:9">
      <c r="A248" s="5">
        <v>45742</v>
      </c>
      <c r="B248" t="s">
        <v>1160</v>
      </c>
      <c r="C248" s="11">
        <v>2547645</v>
      </c>
      <c r="D248" s="11">
        <v>0</v>
      </c>
      <c r="E248" s="11">
        <f t="shared" si="3"/>
        <v>534668105.93999839</v>
      </c>
      <c r="F248" t="s">
        <v>4</v>
      </c>
      <c r="G248" t="s">
        <v>5</v>
      </c>
      <c r="H248" s="40" t="s">
        <v>6600</v>
      </c>
    </row>
    <row r="249" spans="1:9">
      <c r="A249" s="5">
        <v>45742</v>
      </c>
      <c r="B249" t="s">
        <v>1161</v>
      </c>
      <c r="C249" s="11">
        <v>3037655</v>
      </c>
      <c r="D249" s="11">
        <v>0</v>
      </c>
      <c r="E249" s="11">
        <f t="shared" si="3"/>
        <v>531630450.93999839</v>
      </c>
      <c r="F249" t="s">
        <v>10</v>
      </c>
      <c r="G249" t="s">
        <v>446</v>
      </c>
      <c r="H249" s="40" t="s">
        <v>1632</v>
      </c>
      <c r="I249" t="s">
        <v>26</v>
      </c>
    </row>
    <row r="250" spans="1:9">
      <c r="A250" s="5">
        <v>45742</v>
      </c>
      <c r="B250" t="s">
        <v>1162</v>
      </c>
      <c r="C250" s="11">
        <v>3080100</v>
      </c>
      <c r="D250" s="11">
        <v>0</v>
      </c>
      <c r="E250" s="11">
        <f t="shared" si="3"/>
        <v>528550350.93999839</v>
      </c>
      <c r="F250" t="s">
        <v>4</v>
      </c>
      <c r="G250" t="s">
        <v>5</v>
      </c>
      <c r="H250" s="40" t="s">
        <v>6600</v>
      </c>
    </row>
    <row r="251" spans="1:9" ht="15.75">
      <c r="A251" s="5">
        <v>45742</v>
      </c>
      <c r="B251" t="s">
        <v>1163</v>
      </c>
      <c r="C251" s="11">
        <v>3957661</v>
      </c>
      <c r="D251" s="11">
        <v>0</v>
      </c>
      <c r="E251" s="11">
        <f t="shared" si="3"/>
        <v>524592689.93999839</v>
      </c>
      <c r="F251" t="s">
        <v>4</v>
      </c>
      <c r="G251" t="s">
        <v>5</v>
      </c>
      <c r="H251" s="154" t="s">
        <v>1376</v>
      </c>
    </row>
    <row r="252" spans="1:9">
      <c r="A252" s="5">
        <v>45742</v>
      </c>
      <c r="B252" t="s">
        <v>1164</v>
      </c>
      <c r="C252" s="11">
        <v>4899000</v>
      </c>
      <c r="D252" s="11">
        <v>0</v>
      </c>
      <c r="E252" s="11">
        <f t="shared" si="3"/>
        <v>519693689.93999839</v>
      </c>
      <c r="F252" t="s">
        <v>4</v>
      </c>
      <c r="G252" t="s">
        <v>5</v>
      </c>
      <c r="H252" s="40" t="s">
        <v>433</v>
      </c>
    </row>
    <row r="253" spans="1:9" ht="15.75">
      <c r="A253" s="5">
        <v>45742</v>
      </c>
      <c r="B253" t="s">
        <v>1165</v>
      </c>
      <c r="C253" s="11">
        <v>5341260</v>
      </c>
      <c r="D253" s="11">
        <v>0</v>
      </c>
      <c r="E253" s="11">
        <f t="shared" si="3"/>
        <v>514352429.93999839</v>
      </c>
      <c r="F253" t="s">
        <v>4</v>
      </c>
      <c r="G253" t="s">
        <v>5</v>
      </c>
      <c r="H253" s="154" t="s">
        <v>1368</v>
      </c>
    </row>
    <row r="254" spans="1:9">
      <c r="A254" s="5">
        <v>45742</v>
      </c>
      <c r="B254" t="s">
        <v>1166</v>
      </c>
      <c r="C254" s="11">
        <v>6445605</v>
      </c>
      <c r="D254" s="11">
        <v>0</v>
      </c>
      <c r="E254" s="11">
        <f t="shared" si="3"/>
        <v>507906824.93999839</v>
      </c>
      <c r="F254" t="s">
        <v>4</v>
      </c>
      <c r="G254" t="s">
        <v>5</v>
      </c>
      <c r="H254" s="40" t="s">
        <v>1633</v>
      </c>
    </row>
    <row r="255" spans="1:9">
      <c r="A255" s="5">
        <v>45742</v>
      </c>
      <c r="B255" t="s">
        <v>1167</v>
      </c>
      <c r="C255" s="11">
        <v>2123130</v>
      </c>
      <c r="D255" s="11">
        <v>0</v>
      </c>
      <c r="E255" s="11">
        <f t="shared" si="3"/>
        <v>505783694.93999839</v>
      </c>
      <c r="F255" t="s">
        <v>10</v>
      </c>
      <c r="G255" t="s">
        <v>446</v>
      </c>
      <c r="H255" s="40" t="s">
        <v>1632</v>
      </c>
      <c r="I255" t="s">
        <v>26</v>
      </c>
    </row>
    <row r="256" spans="1:9">
      <c r="A256" s="5">
        <v>45742</v>
      </c>
      <c r="B256" t="s">
        <v>1168</v>
      </c>
      <c r="C256" s="11">
        <v>2417750</v>
      </c>
      <c r="D256" s="11">
        <v>0</v>
      </c>
      <c r="E256" s="11">
        <f t="shared" si="3"/>
        <v>503365944.93999839</v>
      </c>
      <c r="F256" t="s">
        <v>4</v>
      </c>
      <c r="G256" t="s">
        <v>5</v>
      </c>
      <c r="H256" s="40" t="s">
        <v>1615</v>
      </c>
    </row>
    <row r="257" spans="1:9" ht="15.75">
      <c r="A257" s="5">
        <v>45742</v>
      </c>
      <c r="B257" t="s">
        <v>1169</v>
      </c>
      <c r="C257" s="11">
        <v>2987000</v>
      </c>
      <c r="D257" s="11">
        <v>0</v>
      </c>
      <c r="E257" s="11">
        <f t="shared" si="3"/>
        <v>500378944.93999839</v>
      </c>
      <c r="F257" t="s">
        <v>4</v>
      </c>
      <c r="G257" t="s">
        <v>5</v>
      </c>
      <c r="H257" s="154" t="s">
        <v>1368</v>
      </c>
    </row>
    <row r="258" spans="1:9">
      <c r="A258" s="5">
        <v>45742</v>
      </c>
      <c r="B258" t="s">
        <v>1170</v>
      </c>
      <c r="C258" s="11">
        <v>9552656</v>
      </c>
      <c r="D258" s="11">
        <v>0</v>
      </c>
      <c r="E258" s="11">
        <f t="shared" si="3"/>
        <v>490826288.93999839</v>
      </c>
      <c r="F258" t="s">
        <v>4</v>
      </c>
      <c r="G258" t="s">
        <v>5</v>
      </c>
      <c r="H258" s="40" t="s">
        <v>6600</v>
      </c>
    </row>
    <row r="259" spans="1:9" ht="15.75">
      <c r="A259" s="5">
        <v>45742</v>
      </c>
      <c r="B259" t="s">
        <v>1171</v>
      </c>
      <c r="C259" s="11">
        <v>10891860</v>
      </c>
      <c r="D259" s="11">
        <v>0</v>
      </c>
      <c r="E259" s="11">
        <f t="shared" si="3"/>
        <v>479934428.93999839</v>
      </c>
      <c r="F259" t="s">
        <v>4</v>
      </c>
      <c r="G259" t="s">
        <v>5</v>
      </c>
      <c r="H259" s="154" t="s">
        <v>1376</v>
      </c>
    </row>
    <row r="260" spans="1:9">
      <c r="A260" s="5">
        <v>45742</v>
      </c>
      <c r="B260" t="s">
        <v>1172</v>
      </c>
      <c r="C260" s="11">
        <v>2500</v>
      </c>
      <c r="D260" s="11">
        <v>0</v>
      </c>
      <c r="E260" s="11">
        <f t="shared" si="3"/>
        <v>479931928.93999839</v>
      </c>
      <c r="F260" s="80" t="s">
        <v>19</v>
      </c>
      <c r="G260" s="80" t="s">
        <v>189</v>
      </c>
    </row>
    <row r="261" spans="1:9">
      <c r="A261" s="5">
        <v>45743</v>
      </c>
      <c r="B261" t="s">
        <v>1173</v>
      </c>
      <c r="C261" s="11">
        <v>0</v>
      </c>
      <c r="D261" s="11">
        <v>500000000</v>
      </c>
      <c r="E261" s="11">
        <f t="shared" si="3"/>
        <v>979931928.93999839</v>
      </c>
      <c r="F261" t="s">
        <v>920</v>
      </c>
      <c r="G261" t="s">
        <v>4251</v>
      </c>
    </row>
    <row r="262" spans="1:9">
      <c r="A262" s="5">
        <v>45743</v>
      </c>
      <c r="B262" t="s">
        <v>1174</v>
      </c>
      <c r="C262" s="11">
        <v>250000000</v>
      </c>
      <c r="D262" s="11">
        <v>0</v>
      </c>
      <c r="E262" s="11">
        <f t="shared" ref="E262:E325" si="4">E261-C262+D262</f>
        <v>729931928.93999839</v>
      </c>
      <c r="F262" t="s">
        <v>62</v>
      </c>
      <c r="G262" t="s">
        <v>23</v>
      </c>
    </row>
    <row r="263" spans="1:9">
      <c r="A263" s="5">
        <v>45743</v>
      </c>
      <c r="B263" t="s">
        <v>1175</v>
      </c>
      <c r="C263" s="11">
        <v>2500</v>
      </c>
      <c r="D263" s="11">
        <v>0</v>
      </c>
      <c r="E263" s="11">
        <f t="shared" si="4"/>
        <v>729929428.93999839</v>
      </c>
      <c r="F263" s="80" t="s">
        <v>19</v>
      </c>
      <c r="G263" s="80" t="s">
        <v>189</v>
      </c>
    </row>
    <row r="264" spans="1:9">
      <c r="A264" s="5">
        <v>45747</v>
      </c>
      <c r="B264" t="s">
        <v>335</v>
      </c>
      <c r="C264" s="11">
        <v>25000</v>
      </c>
      <c r="D264" s="11">
        <v>0</v>
      </c>
      <c r="E264" s="11">
        <f t="shared" si="4"/>
        <v>729904428.93999839</v>
      </c>
      <c r="F264" t="s">
        <v>19</v>
      </c>
      <c r="G264" t="s">
        <v>189</v>
      </c>
    </row>
    <row r="265" spans="1:9">
      <c r="A265" s="5">
        <v>45747</v>
      </c>
      <c r="B265" t="s">
        <v>336</v>
      </c>
      <c r="C265" s="11">
        <v>0</v>
      </c>
      <c r="D265" s="11">
        <v>816991.46</v>
      </c>
      <c r="E265" s="11">
        <f t="shared" si="4"/>
        <v>730721420.39999843</v>
      </c>
      <c r="F265" t="s">
        <v>190</v>
      </c>
      <c r="G265" t="s">
        <v>79</v>
      </c>
    </row>
    <row r="266" spans="1:9">
      <c r="A266" s="5">
        <v>45747</v>
      </c>
      <c r="B266" t="s">
        <v>337</v>
      </c>
      <c r="C266" s="11">
        <v>163398.29</v>
      </c>
      <c r="D266" s="11">
        <v>0</v>
      </c>
      <c r="E266" s="11">
        <f t="shared" si="4"/>
        <v>730558022.10999846</v>
      </c>
      <c r="F266" t="s">
        <v>190</v>
      </c>
      <c r="G266" t="s">
        <v>79</v>
      </c>
    </row>
    <row r="267" spans="1:9" s="40" customFormat="1">
      <c r="A267" s="218">
        <v>45750</v>
      </c>
      <c r="B267" s="40" t="s">
        <v>1176</v>
      </c>
      <c r="C267" s="39">
        <v>52826855</v>
      </c>
      <c r="D267" s="39">
        <v>0</v>
      </c>
      <c r="E267" s="11">
        <f t="shared" si="4"/>
        <v>677731167.10999846</v>
      </c>
      <c r="F267" s="40" t="s">
        <v>920</v>
      </c>
      <c r="G267" s="40" t="s">
        <v>4250</v>
      </c>
      <c r="H267" s="40" t="s">
        <v>368</v>
      </c>
    </row>
    <row r="268" spans="1:9">
      <c r="A268" s="5">
        <v>45750</v>
      </c>
      <c r="B268" t="s">
        <v>1177</v>
      </c>
      <c r="C268" s="11">
        <v>2500</v>
      </c>
      <c r="D268" s="11">
        <v>0</v>
      </c>
      <c r="E268" s="11">
        <f t="shared" si="4"/>
        <v>677728667.10999846</v>
      </c>
      <c r="F268" s="80" t="s">
        <v>19</v>
      </c>
      <c r="G268" s="80" t="s">
        <v>189</v>
      </c>
    </row>
    <row r="269" spans="1:9" s="40" customFormat="1">
      <c r="A269" s="218">
        <v>45750</v>
      </c>
      <c r="B269" s="40" t="s">
        <v>1178</v>
      </c>
      <c r="C269" s="39">
        <v>11298113</v>
      </c>
      <c r="D269" s="39">
        <v>0</v>
      </c>
      <c r="E269" s="11">
        <f t="shared" si="4"/>
        <v>666430554.10999846</v>
      </c>
      <c r="F269" s="40" t="s">
        <v>920</v>
      </c>
      <c r="G269" s="40" t="s">
        <v>4250</v>
      </c>
      <c r="H269" s="40" t="s">
        <v>100</v>
      </c>
    </row>
    <row r="270" spans="1:9">
      <c r="A270" s="5">
        <v>45750</v>
      </c>
      <c r="B270" t="s">
        <v>1179</v>
      </c>
      <c r="C270" s="11">
        <v>2500</v>
      </c>
      <c r="D270" s="11">
        <v>0</v>
      </c>
      <c r="E270" s="11">
        <f t="shared" si="4"/>
        <v>666428054.10999846</v>
      </c>
      <c r="F270" s="80" t="s">
        <v>19</v>
      </c>
      <c r="G270" s="80" t="s">
        <v>189</v>
      </c>
    </row>
    <row r="271" spans="1:9" ht="15.75">
      <c r="A271" s="5">
        <v>45756</v>
      </c>
      <c r="B271" t="s">
        <v>382</v>
      </c>
      <c r="C271" s="11">
        <v>0</v>
      </c>
      <c r="D271" s="11">
        <v>205329600</v>
      </c>
      <c r="E271" s="11">
        <f t="shared" si="4"/>
        <v>871757654.10999846</v>
      </c>
      <c r="F271" t="s">
        <v>10</v>
      </c>
      <c r="G271" t="s">
        <v>18</v>
      </c>
      <c r="H271" s="154" t="s">
        <v>2425</v>
      </c>
      <c r="I271" t="s">
        <v>2385</v>
      </c>
    </row>
    <row r="272" spans="1:9">
      <c r="A272" s="5">
        <v>45757</v>
      </c>
      <c r="B272" t="s">
        <v>1180</v>
      </c>
      <c r="C272" s="11">
        <v>3085650</v>
      </c>
      <c r="D272" s="11">
        <v>0</v>
      </c>
      <c r="E272" s="11">
        <f t="shared" si="4"/>
        <v>868672004.10999846</v>
      </c>
      <c r="F272" t="s">
        <v>4</v>
      </c>
      <c r="G272" t="s">
        <v>5</v>
      </c>
      <c r="H272" s="40" t="s">
        <v>1615</v>
      </c>
    </row>
    <row r="273" spans="1:9" ht="15.75">
      <c r="A273" s="5">
        <v>45757</v>
      </c>
      <c r="B273" t="s">
        <v>1181</v>
      </c>
      <c r="C273" s="11">
        <v>16749241</v>
      </c>
      <c r="D273" s="11">
        <v>0</v>
      </c>
      <c r="E273" s="11">
        <f t="shared" si="4"/>
        <v>851922763.10999846</v>
      </c>
      <c r="F273" t="s">
        <v>4</v>
      </c>
      <c r="G273" t="s">
        <v>5</v>
      </c>
      <c r="H273" s="154" t="s">
        <v>1376</v>
      </c>
    </row>
    <row r="274" spans="1:9" ht="15.75">
      <c r="A274" s="5">
        <v>45757</v>
      </c>
      <c r="B274" t="s">
        <v>1182</v>
      </c>
      <c r="C274" s="11">
        <v>22413260</v>
      </c>
      <c r="D274" s="11">
        <v>0</v>
      </c>
      <c r="E274" s="11">
        <f t="shared" si="4"/>
        <v>829509503.10999846</v>
      </c>
      <c r="F274" t="s">
        <v>4</v>
      </c>
      <c r="G274" t="s">
        <v>5</v>
      </c>
      <c r="H274" s="154" t="s">
        <v>1376</v>
      </c>
    </row>
    <row r="275" spans="1:9" ht="15.75">
      <c r="A275" s="5">
        <v>45757</v>
      </c>
      <c r="B275" t="s">
        <v>1183</v>
      </c>
      <c r="C275" s="11">
        <v>31677800</v>
      </c>
      <c r="D275" s="11">
        <v>0</v>
      </c>
      <c r="E275" s="11">
        <f t="shared" si="4"/>
        <v>797831703.10999846</v>
      </c>
      <c r="F275" t="s">
        <v>4</v>
      </c>
      <c r="G275" t="s">
        <v>5</v>
      </c>
      <c r="H275" s="154" t="s">
        <v>1376</v>
      </c>
    </row>
    <row r="276" spans="1:9">
      <c r="A276" s="5">
        <v>45757</v>
      </c>
      <c r="B276" t="s">
        <v>1184</v>
      </c>
      <c r="C276" s="11">
        <v>212871600</v>
      </c>
      <c r="D276" s="11">
        <v>0</v>
      </c>
      <c r="E276" s="11">
        <f t="shared" si="4"/>
        <v>584960103.10999846</v>
      </c>
      <c r="F276" t="s">
        <v>4</v>
      </c>
      <c r="G276" t="s">
        <v>5</v>
      </c>
      <c r="H276" s="40" t="s">
        <v>1622</v>
      </c>
    </row>
    <row r="277" spans="1:9">
      <c r="A277" s="5">
        <v>45757</v>
      </c>
      <c r="B277" t="s">
        <v>7056</v>
      </c>
      <c r="C277" s="11">
        <v>18018020</v>
      </c>
      <c r="D277" s="11">
        <v>0</v>
      </c>
      <c r="E277" s="11">
        <f t="shared" si="4"/>
        <v>566942083.10999846</v>
      </c>
      <c r="F277" t="s">
        <v>8</v>
      </c>
      <c r="G277" t="s">
        <v>77</v>
      </c>
      <c r="H277" t="s">
        <v>7052</v>
      </c>
    </row>
    <row r="278" spans="1:9">
      <c r="A278" s="5">
        <v>45757</v>
      </c>
      <c r="B278" t="s">
        <v>7056</v>
      </c>
      <c r="C278" s="11">
        <v>1981982</v>
      </c>
      <c r="D278" s="11">
        <v>0</v>
      </c>
      <c r="E278" s="11">
        <f t="shared" si="4"/>
        <v>564960101.10999846</v>
      </c>
      <c r="F278" t="s">
        <v>920</v>
      </c>
      <c r="G278" t="s">
        <v>7856</v>
      </c>
      <c r="H278" t="s">
        <v>7032</v>
      </c>
      <c r="I278" t="s">
        <v>7052</v>
      </c>
    </row>
    <row r="279" spans="1:9" s="40" customFormat="1">
      <c r="A279" s="218">
        <v>45757</v>
      </c>
      <c r="B279" s="40" t="s">
        <v>7056</v>
      </c>
      <c r="C279" s="39">
        <v>0</v>
      </c>
      <c r="D279" s="39">
        <f>C277+C278-18198200</f>
        <v>1801802</v>
      </c>
      <c r="E279" s="11">
        <f t="shared" si="4"/>
        <v>566761903.10999846</v>
      </c>
      <c r="F279" s="40" t="s">
        <v>1400</v>
      </c>
      <c r="G279" s="40" t="s">
        <v>1400</v>
      </c>
      <c r="H279" s="40" t="s">
        <v>2170</v>
      </c>
      <c r="I279" s="40" t="s">
        <v>7052</v>
      </c>
    </row>
    <row r="280" spans="1:9" ht="15.75">
      <c r="A280" s="5">
        <v>45758</v>
      </c>
      <c r="B280" t="s">
        <v>382</v>
      </c>
      <c r="C280" s="11">
        <v>0</v>
      </c>
      <c r="D280" s="11">
        <v>19512486</v>
      </c>
      <c r="E280" s="11">
        <f t="shared" si="4"/>
        <v>586274389.10999846</v>
      </c>
      <c r="F280" t="s">
        <v>10</v>
      </c>
      <c r="G280" t="s">
        <v>18</v>
      </c>
      <c r="H280" s="154" t="s">
        <v>2428</v>
      </c>
      <c r="I280" s="154" t="s">
        <v>2393</v>
      </c>
    </row>
    <row r="281" spans="1:9" ht="15.75">
      <c r="A281" s="5">
        <v>45758</v>
      </c>
      <c r="B281" t="s">
        <v>423</v>
      </c>
      <c r="C281" s="11">
        <v>0</v>
      </c>
      <c r="D281" s="39">
        <v>11307453</v>
      </c>
      <c r="E281" s="11">
        <f t="shared" si="4"/>
        <v>597581842.10999846</v>
      </c>
      <c r="F281" t="s">
        <v>2140</v>
      </c>
      <c r="G281" t="s">
        <v>2141</v>
      </c>
      <c r="H281" s="146" t="s">
        <v>1593</v>
      </c>
      <c r="I281" t="s">
        <v>2147</v>
      </c>
    </row>
    <row r="282" spans="1:9" ht="15.75">
      <c r="A282" s="5">
        <v>45758</v>
      </c>
      <c r="B282" t="s">
        <v>1185</v>
      </c>
      <c r="C282" s="11">
        <v>0</v>
      </c>
      <c r="D282" s="11">
        <v>375726444</v>
      </c>
      <c r="E282" s="11">
        <f t="shared" si="4"/>
        <v>973308286.10999846</v>
      </c>
      <c r="F282" t="s">
        <v>10</v>
      </c>
      <c r="G282" t="s">
        <v>18</v>
      </c>
      <c r="H282" s="154" t="s">
        <v>434</v>
      </c>
      <c r="I282" s="154" t="s">
        <v>2402</v>
      </c>
    </row>
    <row r="283" spans="1:9" ht="15.75">
      <c r="A283" s="5">
        <v>45761</v>
      </c>
      <c r="B283" t="s">
        <v>4588</v>
      </c>
      <c r="C283" s="11">
        <v>92000</v>
      </c>
      <c r="D283" s="11">
        <v>0</v>
      </c>
      <c r="E283" s="11">
        <f t="shared" si="4"/>
        <v>973216286.10999846</v>
      </c>
      <c r="F283" t="s">
        <v>6</v>
      </c>
      <c r="G283" t="s">
        <v>53</v>
      </c>
      <c r="H283" s="17" t="s">
        <v>2182</v>
      </c>
      <c r="I283" t="s">
        <v>7120</v>
      </c>
    </row>
    <row r="284" spans="1:9" ht="15.75">
      <c r="A284" s="5">
        <v>45761</v>
      </c>
      <c r="B284" t="s">
        <v>4589</v>
      </c>
      <c r="C284" s="11">
        <v>106000</v>
      </c>
      <c r="D284" s="11">
        <v>0</v>
      </c>
      <c r="E284" s="11">
        <f t="shared" si="4"/>
        <v>973110286.10999846</v>
      </c>
      <c r="F284" t="s">
        <v>6</v>
      </c>
      <c r="G284" t="s">
        <v>53</v>
      </c>
      <c r="H284" s="17" t="s">
        <v>2182</v>
      </c>
      <c r="I284" t="s">
        <v>7120</v>
      </c>
    </row>
    <row r="285" spans="1:9">
      <c r="A285" s="5">
        <v>45761</v>
      </c>
      <c r="B285" t="s">
        <v>1186</v>
      </c>
      <c r="C285" s="11">
        <v>2502605</v>
      </c>
      <c r="D285" s="11">
        <v>0</v>
      </c>
      <c r="E285" s="11">
        <f t="shared" si="4"/>
        <v>970607681.10999846</v>
      </c>
      <c r="F285" t="s">
        <v>8</v>
      </c>
      <c r="G285" t="s">
        <v>33</v>
      </c>
    </row>
    <row r="286" spans="1:9" ht="15.75">
      <c r="A286" s="5">
        <v>45761</v>
      </c>
      <c r="B286" t="s">
        <v>1187</v>
      </c>
      <c r="C286" s="11">
        <v>30000000</v>
      </c>
      <c r="D286" s="11">
        <v>0</v>
      </c>
      <c r="E286" s="11">
        <f t="shared" si="4"/>
        <v>940607681.10999846</v>
      </c>
      <c r="F286" t="s">
        <v>4</v>
      </c>
      <c r="G286" t="s">
        <v>5</v>
      </c>
      <c r="H286" s="154" t="s">
        <v>1376</v>
      </c>
    </row>
    <row r="287" spans="1:9">
      <c r="A287" s="5">
        <v>45761</v>
      </c>
      <c r="B287" t="s">
        <v>1188</v>
      </c>
      <c r="C287" s="11">
        <v>2500</v>
      </c>
      <c r="D287" s="11">
        <v>0</v>
      </c>
      <c r="E287" s="11">
        <f t="shared" si="4"/>
        <v>940605181.10999846</v>
      </c>
      <c r="F287" s="80" t="s">
        <v>19</v>
      </c>
      <c r="G287" s="80" t="s">
        <v>189</v>
      </c>
    </row>
    <row r="288" spans="1:9" ht="15.75">
      <c r="A288" s="5">
        <v>45764</v>
      </c>
      <c r="B288" t="s">
        <v>423</v>
      </c>
      <c r="C288" s="11">
        <v>0</v>
      </c>
      <c r="D288" s="39">
        <v>10535000</v>
      </c>
      <c r="E288" s="11">
        <f t="shared" si="4"/>
        <v>951140181.10999846</v>
      </c>
      <c r="F288" t="s">
        <v>2140</v>
      </c>
      <c r="G288" t="s">
        <v>2141</v>
      </c>
      <c r="H288" s="154" t="s">
        <v>919</v>
      </c>
      <c r="I288" s="37" t="s">
        <v>1511</v>
      </c>
    </row>
    <row r="289" spans="1:9" s="8" customFormat="1" ht="15.75">
      <c r="A289" s="13">
        <v>45765</v>
      </c>
      <c r="B289" s="8" t="s">
        <v>1189</v>
      </c>
      <c r="C289" s="54">
        <v>3568545</v>
      </c>
      <c r="D289" s="54">
        <v>0</v>
      </c>
      <c r="E289" s="11">
        <f t="shared" si="4"/>
        <v>947571636.10999846</v>
      </c>
      <c r="F289" s="8" t="s">
        <v>6</v>
      </c>
      <c r="G289" s="8" t="s">
        <v>7</v>
      </c>
      <c r="H289" s="8" t="s">
        <v>427</v>
      </c>
      <c r="I289" s="8" t="s">
        <v>34</v>
      </c>
    </row>
    <row r="290" spans="1:9">
      <c r="A290" s="5">
        <v>45765</v>
      </c>
      <c r="B290" t="s">
        <v>1190</v>
      </c>
      <c r="C290" s="11">
        <v>10000000</v>
      </c>
      <c r="D290" s="11">
        <v>0</v>
      </c>
      <c r="E290" s="11">
        <f t="shared" si="4"/>
        <v>937571636.10999846</v>
      </c>
      <c r="F290" t="s">
        <v>10</v>
      </c>
      <c r="G290" t="s">
        <v>446</v>
      </c>
      <c r="H290" s="40" t="s">
        <v>1640</v>
      </c>
      <c r="I290" t="s">
        <v>26</v>
      </c>
    </row>
    <row r="291" spans="1:9">
      <c r="A291" s="5">
        <v>45765</v>
      </c>
      <c r="B291" t="s">
        <v>1191</v>
      </c>
      <c r="C291" s="11">
        <v>2500</v>
      </c>
      <c r="D291" s="11">
        <v>0</v>
      </c>
      <c r="E291" s="11">
        <f t="shared" si="4"/>
        <v>937569136.10999846</v>
      </c>
      <c r="F291" s="80" t="s">
        <v>19</v>
      </c>
      <c r="G291" s="80" t="s">
        <v>189</v>
      </c>
    </row>
    <row r="292" spans="1:9" ht="15.75">
      <c r="A292" s="5">
        <v>45768</v>
      </c>
      <c r="B292" t="s">
        <v>2442</v>
      </c>
      <c r="C292" s="11">
        <v>0</v>
      </c>
      <c r="D292" s="11">
        <v>604046405</v>
      </c>
      <c r="E292" s="11">
        <f t="shared" si="4"/>
        <v>1541615541.1099985</v>
      </c>
      <c r="F292" t="s">
        <v>10</v>
      </c>
      <c r="G292" t="s">
        <v>18</v>
      </c>
      <c r="H292" s="154" t="s">
        <v>437</v>
      </c>
      <c r="I292" s="154" t="s">
        <v>2389</v>
      </c>
    </row>
    <row r="293" spans="1:9" ht="15.75">
      <c r="A293" s="5">
        <v>45768</v>
      </c>
      <c r="B293" t="s">
        <v>2442</v>
      </c>
      <c r="C293" s="11">
        <v>0</v>
      </c>
      <c r="D293" s="11">
        <f>693211371-D292</f>
        <v>89164966</v>
      </c>
      <c r="E293" s="11">
        <f t="shared" si="4"/>
        <v>1630780507.1099985</v>
      </c>
      <c r="F293" t="s">
        <v>10</v>
      </c>
      <c r="G293" t="s">
        <v>18</v>
      </c>
      <c r="H293" s="154" t="s">
        <v>2435</v>
      </c>
      <c r="I293" s="154" t="s">
        <v>2417</v>
      </c>
    </row>
    <row r="294" spans="1:9" ht="15.75">
      <c r="A294" s="5">
        <v>45768</v>
      </c>
      <c r="B294" t="s">
        <v>423</v>
      </c>
      <c r="C294" s="11">
        <v>0</v>
      </c>
      <c r="D294" s="39">
        <v>8977933</v>
      </c>
      <c r="E294" s="11">
        <f t="shared" si="4"/>
        <v>1639758440.1099985</v>
      </c>
      <c r="F294" t="s">
        <v>2140</v>
      </c>
      <c r="G294" t="s">
        <v>2141</v>
      </c>
      <c r="H294" s="146" t="s">
        <v>1417</v>
      </c>
      <c r="I294" t="s">
        <v>2148</v>
      </c>
    </row>
    <row r="295" spans="1:9">
      <c r="A295" s="5">
        <v>45770</v>
      </c>
      <c r="B295" t="s">
        <v>1192</v>
      </c>
      <c r="C295" s="11">
        <v>1000000</v>
      </c>
      <c r="D295" s="11">
        <v>0</v>
      </c>
      <c r="E295" s="11">
        <f t="shared" si="4"/>
        <v>1638758440.1099985</v>
      </c>
      <c r="F295" t="s">
        <v>10</v>
      </c>
      <c r="G295" t="s">
        <v>446</v>
      </c>
      <c r="H295" s="40" t="s">
        <v>1640</v>
      </c>
      <c r="I295" t="s">
        <v>26</v>
      </c>
    </row>
    <row r="296" spans="1:9" ht="15.75">
      <c r="A296" s="5">
        <v>45770</v>
      </c>
      <c r="B296" t="s">
        <v>1193</v>
      </c>
      <c r="C296" s="11">
        <v>10000000</v>
      </c>
      <c r="D296" s="11">
        <v>0</v>
      </c>
      <c r="E296" s="11">
        <f t="shared" si="4"/>
        <v>1628758440.1099985</v>
      </c>
      <c r="F296" t="s">
        <v>4</v>
      </c>
      <c r="G296" t="s">
        <v>5</v>
      </c>
      <c r="H296" s="154" t="s">
        <v>1445</v>
      </c>
    </row>
    <row r="297" spans="1:9">
      <c r="A297" s="5">
        <v>45770</v>
      </c>
      <c r="B297" t="s">
        <v>1194</v>
      </c>
      <c r="C297" s="11">
        <v>2500</v>
      </c>
      <c r="D297" s="11">
        <v>0</v>
      </c>
      <c r="E297" s="11">
        <f t="shared" si="4"/>
        <v>1628755940.1099985</v>
      </c>
      <c r="F297" s="80" t="s">
        <v>19</v>
      </c>
      <c r="G297" s="80" t="s">
        <v>189</v>
      </c>
    </row>
    <row r="298" spans="1:9">
      <c r="A298" s="5">
        <v>45770</v>
      </c>
      <c r="B298" t="s">
        <v>1195</v>
      </c>
      <c r="C298" s="11">
        <v>2169680</v>
      </c>
      <c r="D298" s="11">
        <v>0</v>
      </c>
      <c r="E298" s="11">
        <f t="shared" si="4"/>
        <v>1626586260.1099985</v>
      </c>
      <c r="F298" t="s">
        <v>4</v>
      </c>
      <c r="G298" t="s">
        <v>5</v>
      </c>
      <c r="H298" s="40" t="s">
        <v>6600</v>
      </c>
    </row>
    <row r="299" spans="1:9">
      <c r="A299" s="5">
        <v>45770</v>
      </c>
      <c r="B299" t="s">
        <v>1196</v>
      </c>
      <c r="C299" s="11">
        <v>3250056</v>
      </c>
      <c r="D299" s="11">
        <v>0</v>
      </c>
      <c r="E299" s="11">
        <f t="shared" si="4"/>
        <v>1623336204.1099985</v>
      </c>
      <c r="F299" t="s">
        <v>4</v>
      </c>
      <c r="G299" t="s">
        <v>5</v>
      </c>
      <c r="H299" s="40" t="s">
        <v>1368</v>
      </c>
    </row>
    <row r="300" spans="1:9" ht="15.75">
      <c r="A300" s="5">
        <v>45771</v>
      </c>
      <c r="B300" t="s">
        <v>2343</v>
      </c>
      <c r="C300" s="11">
        <v>0</v>
      </c>
      <c r="D300" s="39">
        <v>390028950</v>
      </c>
      <c r="E300" s="11">
        <f t="shared" si="4"/>
        <v>2013365154.1099985</v>
      </c>
      <c r="F300" t="s">
        <v>2140</v>
      </c>
      <c r="G300" t="s">
        <v>2141</v>
      </c>
      <c r="H300" s="37" t="s">
        <v>1376</v>
      </c>
      <c r="I300" s="37" t="s">
        <v>1537</v>
      </c>
    </row>
    <row r="301" spans="1:9" ht="15.75">
      <c r="A301" s="5">
        <v>45771</v>
      </c>
      <c r="B301" t="s">
        <v>2343</v>
      </c>
      <c r="C301" s="11">
        <v>0</v>
      </c>
      <c r="D301" s="39">
        <v>17239936</v>
      </c>
      <c r="E301" s="11">
        <f t="shared" si="4"/>
        <v>2030605090.1099985</v>
      </c>
      <c r="F301" t="s">
        <v>2140</v>
      </c>
      <c r="G301" t="s">
        <v>2141</v>
      </c>
      <c r="H301" s="154" t="s">
        <v>1376</v>
      </c>
      <c r="I301" s="37" t="s">
        <v>1538</v>
      </c>
    </row>
    <row r="302" spans="1:9" ht="15.75">
      <c r="A302" s="5">
        <v>45771</v>
      </c>
      <c r="B302" t="s">
        <v>2343</v>
      </c>
      <c r="C302" s="11">
        <v>0</v>
      </c>
      <c r="D302" s="39">
        <f>888265473-D300-D301</f>
        <v>480996587</v>
      </c>
      <c r="E302" s="11">
        <f t="shared" si="4"/>
        <v>2511601677.1099987</v>
      </c>
      <c r="F302" t="s">
        <v>2140</v>
      </c>
      <c r="G302" t="s">
        <v>2141</v>
      </c>
      <c r="H302" s="154" t="s">
        <v>1376</v>
      </c>
      <c r="I302" s="37" t="s">
        <v>1542</v>
      </c>
    </row>
    <row r="303" spans="1:9">
      <c r="A303" s="5">
        <v>45776</v>
      </c>
      <c r="B303" t="s">
        <v>1197</v>
      </c>
      <c r="C303" s="11">
        <v>250000000</v>
      </c>
      <c r="D303" s="11">
        <v>0</v>
      </c>
      <c r="E303" s="11">
        <f t="shared" si="4"/>
        <v>2261601677.1099987</v>
      </c>
      <c r="F303" t="s">
        <v>62</v>
      </c>
      <c r="G303" t="s">
        <v>23</v>
      </c>
    </row>
    <row r="304" spans="1:9">
      <c r="A304" s="5">
        <v>45776</v>
      </c>
      <c r="B304" t="s">
        <v>1198</v>
      </c>
      <c r="C304" s="11">
        <v>2500</v>
      </c>
      <c r="D304" s="11">
        <v>0</v>
      </c>
      <c r="E304" s="11">
        <f t="shared" si="4"/>
        <v>2261599177.1099987</v>
      </c>
      <c r="F304" s="80" t="s">
        <v>19</v>
      </c>
      <c r="G304" s="80" t="s">
        <v>189</v>
      </c>
    </row>
    <row r="305" spans="1:9">
      <c r="A305" s="5">
        <v>45776</v>
      </c>
      <c r="B305" t="s">
        <v>1199</v>
      </c>
      <c r="C305" s="11">
        <v>265782</v>
      </c>
      <c r="D305" s="11">
        <v>0</v>
      </c>
      <c r="E305" s="11">
        <f t="shared" si="4"/>
        <v>2261333395.1099987</v>
      </c>
      <c r="F305" t="s">
        <v>4</v>
      </c>
      <c r="G305" t="s">
        <v>5</v>
      </c>
      <c r="H305" s="40" t="s">
        <v>1452</v>
      </c>
    </row>
    <row r="306" spans="1:9">
      <c r="A306" s="5">
        <v>45776</v>
      </c>
      <c r="B306" t="s">
        <v>1200</v>
      </c>
      <c r="C306" s="11">
        <v>2500</v>
      </c>
      <c r="D306" s="11">
        <v>0</v>
      </c>
      <c r="E306" s="11">
        <f t="shared" si="4"/>
        <v>2261330895.1099987</v>
      </c>
      <c r="F306" s="80" t="s">
        <v>19</v>
      </c>
      <c r="G306" s="80" t="s">
        <v>189</v>
      </c>
    </row>
    <row r="307" spans="1:9" s="40" customFormat="1">
      <c r="A307" s="218">
        <v>45777</v>
      </c>
      <c r="B307" s="40" t="s">
        <v>4597</v>
      </c>
      <c r="C307" s="39">
        <v>172149</v>
      </c>
      <c r="D307" s="39">
        <v>0</v>
      </c>
      <c r="E307" s="11">
        <f t="shared" si="4"/>
        <v>2261158746.1099987</v>
      </c>
      <c r="F307" s="40" t="s">
        <v>920</v>
      </c>
      <c r="G307" s="40" t="s">
        <v>4242</v>
      </c>
      <c r="H307" s="40" t="s">
        <v>88</v>
      </c>
      <c r="I307" s="40" t="s">
        <v>7052</v>
      </c>
    </row>
    <row r="308" spans="1:9" s="8" customFormat="1" ht="15.75">
      <c r="A308" s="13">
        <v>45777</v>
      </c>
      <c r="B308" s="8" t="s">
        <v>4597</v>
      </c>
      <c r="C308" s="54">
        <v>70000</v>
      </c>
      <c r="D308" s="54">
        <v>0</v>
      </c>
      <c r="E308" s="11">
        <f t="shared" si="4"/>
        <v>2261088746.1099987</v>
      </c>
      <c r="F308" s="8" t="s">
        <v>920</v>
      </c>
      <c r="G308" s="8" t="s">
        <v>4242</v>
      </c>
      <c r="H308" s="8" t="s">
        <v>88</v>
      </c>
      <c r="I308" s="8" t="s">
        <v>7052</v>
      </c>
    </row>
    <row r="309" spans="1:9" s="8" customFormat="1" ht="15.75">
      <c r="A309" s="13">
        <v>45777</v>
      </c>
      <c r="B309" s="8" t="s">
        <v>4597</v>
      </c>
      <c r="C309" s="54">
        <v>47600</v>
      </c>
      <c r="D309" s="54">
        <v>0</v>
      </c>
      <c r="E309" s="11">
        <f t="shared" si="4"/>
        <v>2261041146.1099987</v>
      </c>
      <c r="F309" s="8" t="s">
        <v>920</v>
      </c>
      <c r="G309" s="8" t="s">
        <v>4242</v>
      </c>
      <c r="H309" s="8" t="s">
        <v>88</v>
      </c>
      <c r="I309" s="8" t="s">
        <v>7052</v>
      </c>
    </row>
    <row r="310" spans="1:9" s="40" customFormat="1">
      <c r="A310" s="218">
        <v>45777</v>
      </c>
      <c r="B310" s="40" t="s">
        <v>4597</v>
      </c>
      <c r="C310" s="39">
        <v>1801802</v>
      </c>
      <c r="D310" s="39">
        <v>0</v>
      </c>
      <c r="E310" s="11">
        <f t="shared" si="4"/>
        <v>2259239344.1099987</v>
      </c>
      <c r="F310" s="40" t="s">
        <v>1400</v>
      </c>
      <c r="G310" s="40" t="s">
        <v>1400</v>
      </c>
      <c r="H310" s="40" t="s">
        <v>2170</v>
      </c>
      <c r="I310" s="40" t="s">
        <v>7052</v>
      </c>
    </row>
    <row r="311" spans="1:9" s="8" customFormat="1" ht="15.75">
      <c r="A311" s="13">
        <v>45777</v>
      </c>
      <c r="B311" s="8" t="s">
        <v>4597</v>
      </c>
      <c r="C311" s="54">
        <v>13514</v>
      </c>
      <c r="D311" s="54">
        <v>0</v>
      </c>
      <c r="E311" s="11">
        <f t="shared" si="4"/>
        <v>2259225830.1099987</v>
      </c>
      <c r="F311" s="8" t="s">
        <v>920</v>
      </c>
      <c r="G311" s="8" t="s">
        <v>4242</v>
      </c>
      <c r="H311" s="8" t="s">
        <v>88</v>
      </c>
      <c r="I311" s="8" t="s">
        <v>7052</v>
      </c>
    </row>
    <row r="312" spans="1:9" s="8" customFormat="1" ht="15.75">
      <c r="A312" s="13">
        <v>45777</v>
      </c>
      <c r="B312" s="8" t="s">
        <v>4597</v>
      </c>
      <c r="C312" s="54">
        <v>106000</v>
      </c>
      <c r="D312" s="54">
        <v>0</v>
      </c>
      <c r="E312" s="11">
        <f t="shared" si="4"/>
        <v>2259119830.1099987</v>
      </c>
      <c r="F312" s="8" t="s">
        <v>920</v>
      </c>
      <c r="G312" s="8" t="s">
        <v>4242</v>
      </c>
      <c r="H312" s="8" t="s">
        <v>88</v>
      </c>
      <c r="I312" s="8" t="s">
        <v>7052</v>
      </c>
    </row>
    <row r="313" spans="1:9" s="8" customFormat="1" ht="15.75">
      <c r="A313" s="13">
        <v>45777</v>
      </c>
      <c r="B313" s="8" t="s">
        <v>4597</v>
      </c>
      <c r="C313" s="54">
        <f>2303065-C307-C308-C309-C310-C311-C312</f>
        <v>92000</v>
      </c>
      <c r="D313" s="54">
        <v>0</v>
      </c>
      <c r="E313" s="11">
        <f t="shared" si="4"/>
        <v>2259027830.1099987</v>
      </c>
      <c r="F313" s="8" t="s">
        <v>920</v>
      </c>
      <c r="G313" s="8" t="s">
        <v>4242</v>
      </c>
      <c r="H313" s="8" t="s">
        <v>88</v>
      </c>
      <c r="I313" s="8" t="s">
        <v>7052</v>
      </c>
    </row>
    <row r="314" spans="1:9" s="40" customFormat="1">
      <c r="A314" s="218">
        <v>45777</v>
      </c>
      <c r="B314" s="40" t="s">
        <v>4598</v>
      </c>
      <c r="C314" s="39">
        <v>70000</v>
      </c>
      <c r="D314" s="39">
        <v>0</v>
      </c>
      <c r="E314" s="11">
        <f t="shared" si="4"/>
        <v>2258957830.1099987</v>
      </c>
      <c r="F314" s="40" t="s">
        <v>920</v>
      </c>
      <c r="G314" s="40" t="s">
        <v>4242</v>
      </c>
      <c r="H314" s="40" t="s">
        <v>88</v>
      </c>
      <c r="I314" s="40" t="s">
        <v>4567</v>
      </c>
    </row>
    <row r="315" spans="1:9" s="40" customFormat="1">
      <c r="A315" s="218">
        <v>45777</v>
      </c>
      <c r="B315" s="40" t="s">
        <v>4598</v>
      </c>
      <c r="C315" s="39">
        <v>431000</v>
      </c>
      <c r="D315" s="39">
        <v>0</v>
      </c>
      <c r="E315" s="11">
        <f t="shared" si="4"/>
        <v>2258526830.1099987</v>
      </c>
      <c r="F315" s="40" t="s">
        <v>920</v>
      </c>
      <c r="G315" s="40" t="s">
        <v>4242</v>
      </c>
      <c r="H315" s="40" t="s">
        <v>88</v>
      </c>
      <c r="I315" s="40" t="s">
        <v>4567</v>
      </c>
    </row>
    <row r="316" spans="1:9" s="40" customFormat="1" ht="15.75">
      <c r="A316" s="218">
        <v>45777</v>
      </c>
      <c r="B316" s="40" t="s">
        <v>4598</v>
      </c>
      <c r="C316" s="39">
        <v>6215000</v>
      </c>
      <c r="D316" s="39">
        <v>0</v>
      </c>
      <c r="E316" s="11">
        <f t="shared" si="4"/>
        <v>2252311830.1099987</v>
      </c>
      <c r="F316" s="40" t="s">
        <v>1400</v>
      </c>
      <c r="G316" s="40" t="s">
        <v>1400</v>
      </c>
      <c r="H316" s="43" t="s">
        <v>88</v>
      </c>
      <c r="I316" s="40" t="s">
        <v>4567</v>
      </c>
    </row>
    <row r="317" spans="1:9" s="40" customFormat="1">
      <c r="A317" s="218">
        <v>45777</v>
      </c>
      <c r="B317" s="40" t="s">
        <v>4598</v>
      </c>
      <c r="C317" s="39">
        <v>1377750</v>
      </c>
      <c r="D317" s="39">
        <v>0</v>
      </c>
      <c r="E317" s="11">
        <f t="shared" si="4"/>
        <v>2250934080.1099987</v>
      </c>
      <c r="F317" s="40" t="s">
        <v>1400</v>
      </c>
      <c r="G317" s="40" t="s">
        <v>1400</v>
      </c>
      <c r="H317" s="40" t="s">
        <v>88</v>
      </c>
      <c r="I317" s="40" t="s">
        <v>4567</v>
      </c>
    </row>
    <row r="318" spans="1:9" s="40" customFormat="1">
      <c r="A318" s="218">
        <v>45777</v>
      </c>
      <c r="B318" s="40" t="s">
        <v>4598</v>
      </c>
      <c r="C318" s="39">
        <v>149550</v>
      </c>
      <c r="D318" s="39">
        <v>0</v>
      </c>
      <c r="E318" s="11">
        <f t="shared" si="4"/>
        <v>2250784530.1099987</v>
      </c>
      <c r="F318" s="40" t="s">
        <v>920</v>
      </c>
      <c r="G318" s="40" t="s">
        <v>4242</v>
      </c>
      <c r="H318" s="40" t="s">
        <v>88</v>
      </c>
      <c r="I318" s="40" t="s">
        <v>4567</v>
      </c>
    </row>
    <row r="319" spans="1:9" s="40" customFormat="1">
      <c r="A319" s="218">
        <v>45777</v>
      </c>
      <c r="B319" s="40" t="s">
        <v>4598</v>
      </c>
      <c r="C319" s="39">
        <v>4140000</v>
      </c>
      <c r="D319" s="39">
        <v>0</v>
      </c>
      <c r="E319" s="11">
        <f t="shared" si="4"/>
        <v>2246644530.1099987</v>
      </c>
      <c r="F319" s="40" t="s">
        <v>920</v>
      </c>
      <c r="G319" s="40" t="s">
        <v>4242</v>
      </c>
      <c r="H319" s="40" t="s">
        <v>88</v>
      </c>
      <c r="I319" s="40" t="s">
        <v>4567</v>
      </c>
    </row>
    <row r="320" spans="1:9" s="40" customFormat="1">
      <c r="A320" s="218">
        <v>45777</v>
      </c>
      <c r="B320" s="40" t="s">
        <v>4598</v>
      </c>
      <c r="C320" s="39">
        <v>13514</v>
      </c>
      <c r="D320" s="39">
        <v>0</v>
      </c>
      <c r="E320" s="11">
        <f t="shared" si="4"/>
        <v>2246631016.1099987</v>
      </c>
      <c r="F320" s="40" t="s">
        <v>920</v>
      </c>
      <c r="G320" s="40" t="s">
        <v>4242</v>
      </c>
      <c r="H320" s="40" t="s">
        <v>88</v>
      </c>
      <c r="I320" s="40" t="s">
        <v>4567</v>
      </c>
    </row>
    <row r="321" spans="1:9" s="40" customFormat="1">
      <c r="A321" s="218">
        <v>45777</v>
      </c>
      <c r="B321" s="40" t="s">
        <v>4598</v>
      </c>
      <c r="C321" s="39">
        <v>1801802</v>
      </c>
      <c r="D321" s="39">
        <v>0</v>
      </c>
      <c r="E321" s="11">
        <f t="shared" si="4"/>
        <v>2244829214.1099987</v>
      </c>
      <c r="F321" s="40" t="s">
        <v>1400</v>
      </c>
      <c r="G321" s="40" t="s">
        <v>1400</v>
      </c>
      <c r="H321" s="40" t="s">
        <v>2170</v>
      </c>
      <c r="I321" s="40" t="s">
        <v>4567</v>
      </c>
    </row>
    <row r="322" spans="1:9" s="40" customFormat="1">
      <c r="A322" s="218">
        <v>45777</v>
      </c>
      <c r="B322" s="40" t="s">
        <v>4598</v>
      </c>
      <c r="C322" s="39">
        <v>92000</v>
      </c>
      <c r="D322" s="39">
        <v>0</v>
      </c>
      <c r="E322" s="11">
        <f t="shared" si="4"/>
        <v>2244737214.1099987</v>
      </c>
      <c r="F322" s="40" t="s">
        <v>920</v>
      </c>
      <c r="G322" s="40" t="s">
        <v>4242</v>
      </c>
      <c r="H322" s="40" t="s">
        <v>88</v>
      </c>
      <c r="I322" s="40" t="s">
        <v>4567</v>
      </c>
    </row>
    <row r="323" spans="1:9" s="40" customFormat="1">
      <c r="A323" s="218">
        <v>45777</v>
      </c>
      <c r="B323" s="40" t="s">
        <v>4598</v>
      </c>
      <c r="C323" s="39">
        <f>14396616-C314-C315-C316-C317-C318-C319-C320-C321-C322</f>
        <v>106000</v>
      </c>
      <c r="D323" s="39">
        <v>0</v>
      </c>
      <c r="E323" s="11">
        <f t="shared" si="4"/>
        <v>2244631214.1099987</v>
      </c>
      <c r="F323" s="40" t="s">
        <v>920</v>
      </c>
      <c r="G323" s="40" t="s">
        <v>4242</v>
      </c>
      <c r="H323" s="40" t="s">
        <v>88</v>
      </c>
      <c r="I323" s="40" t="s">
        <v>4567</v>
      </c>
    </row>
    <row r="324" spans="1:9" s="40" customFormat="1">
      <c r="A324" s="218">
        <v>45777</v>
      </c>
      <c r="B324" s="40" t="s">
        <v>4600</v>
      </c>
      <c r="C324" s="39">
        <v>70000</v>
      </c>
      <c r="D324" s="39">
        <v>0</v>
      </c>
      <c r="E324" s="11">
        <f t="shared" si="4"/>
        <v>2244561214.1099987</v>
      </c>
      <c r="F324" s="40" t="s">
        <v>920</v>
      </c>
      <c r="G324" s="40" t="s">
        <v>4242</v>
      </c>
      <c r="H324" s="40" t="s">
        <v>88</v>
      </c>
      <c r="I324" s="40" t="s">
        <v>89</v>
      </c>
    </row>
    <row r="325" spans="1:9" s="40" customFormat="1">
      <c r="A325" s="218">
        <v>45777</v>
      </c>
      <c r="B325" s="40" t="s">
        <v>4600</v>
      </c>
      <c r="C325" s="39">
        <v>13514</v>
      </c>
      <c r="D325" s="39">
        <v>0</v>
      </c>
      <c r="E325" s="11">
        <f t="shared" si="4"/>
        <v>2244547700.1099987</v>
      </c>
      <c r="F325" s="40" t="s">
        <v>920</v>
      </c>
      <c r="G325" s="40" t="s">
        <v>4242</v>
      </c>
      <c r="H325" s="40" t="s">
        <v>88</v>
      </c>
      <c r="I325" s="40" t="s">
        <v>89</v>
      </c>
    </row>
    <row r="326" spans="1:9" s="8" customFormat="1" ht="15.75">
      <c r="A326" s="13">
        <v>45777</v>
      </c>
      <c r="B326" s="8" t="s">
        <v>4600</v>
      </c>
      <c r="C326" s="54">
        <v>2400000</v>
      </c>
      <c r="D326" s="54">
        <v>0</v>
      </c>
      <c r="E326" s="54">
        <f t="shared" ref="E326:E389" si="5">E325-C326+D326</f>
        <v>2242147700.1099987</v>
      </c>
      <c r="F326" s="8" t="s">
        <v>920</v>
      </c>
      <c r="G326" s="8" t="s">
        <v>4242</v>
      </c>
      <c r="H326" s="8" t="s">
        <v>88</v>
      </c>
      <c r="I326" s="8" t="s">
        <v>89</v>
      </c>
    </row>
    <row r="327" spans="1:9" s="40" customFormat="1">
      <c r="A327" s="218">
        <v>45777</v>
      </c>
      <c r="B327" s="40" t="s">
        <v>4600</v>
      </c>
      <c r="C327" s="39">
        <v>92000</v>
      </c>
      <c r="D327" s="39">
        <v>0</v>
      </c>
      <c r="E327" s="11">
        <f t="shared" si="5"/>
        <v>2242055700.1099987</v>
      </c>
      <c r="F327" s="40" t="s">
        <v>920</v>
      </c>
      <c r="G327" s="40" t="s">
        <v>4242</v>
      </c>
      <c r="H327" s="40" t="s">
        <v>88</v>
      </c>
      <c r="I327" s="40" t="s">
        <v>89</v>
      </c>
    </row>
    <row r="328" spans="1:9" s="40" customFormat="1">
      <c r="A328" s="218">
        <v>45777</v>
      </c>
      <c r="B328" s="40" t="s">
        <v>4600</v>
      </c>
      <c r="C328" s="39">
        <v>106000</v>
      </c>
      <c r="D328" s="39">
        <v>0</v>
      </c>
      <c r="E328" s="11">
        <f t="shared" si="5"/>
        <v>2241949700.1099987</v>
      </c>
      <c r="F328" s="40" t="s">
        <v>920</v>
      </c>
      <c r="G328" s="40" t="s">
        <v>4242</v>
      </c>
      <c r="H328" s="40" t="s">
        <v>88</v>
      </c>
      <c r="I328" s="40" t="s">
        <v>89</v>
      </c>
    </row>
    <row r="329" spans="1:9" s="40" customFormat="1" ht="15.75">
      <c r="A329" s="218">
        <v>45777</v>
      </c>
      <c r="B329" s="40" t="s">
        <v>4599</v>
      </c>
      <c r="C329" s="39">
        <v>114675000</v>
      </c>
      <c r="D329" s="39">
        <v>0</v>
      </c>
      <c r="E329" s="11">
        <f t="shared" si="5"/>
        <v>2127274700.1099987</v>
      </c>
      <c r="F329" s="40" t="s">
        <v>1400</v>
      </c>
      <c r="G329" s="40" t="s">
        <v>1400</v>
      </c>
      <c r="H329" s="43" t="s">
        <v>88</v>
      </c>
      <c r="I329" s="40" t="s">
        <v>89</v>
      </c>
    </row>
    <row r="330" spans="1:9" s="40" customFormat="1">
      <c r="A330" s="218">
        <v>45777</v>
      </c>
      <c r="B330" s="40" t="s">
        <v>4599</v>
      </c>
      <c r="C330" s="39">
        <f>119158316-C324-C325-C326-C327-C328-C329</f>
        <v>1801802</v>
      </c>
      <c r="D330" s="39">
        <v>0</v>
      </c>
      <c r="E330" s="11">
        <f t="shared" si="5"/>
        <v>2125472898.1099987</v>
      </c>
      <c r="F330" s="40" t="s">
        <v>1400</v>
      </c>
      <c r="G330" s="40" t="s">
        <v>1400</v>
      </c>
      <c r="H330" s="40" t="s">
        <v>2170</v>
      </c>
      <c r="I330" s="40" t="s">
        <v>89</v>
      </c>
    </row>
    <row r="331" spans="1:9">
      <c r="A331" s="5">
        <v>45777</v>
      </c>
      <c r="B331" t="s">
        <v>335</v>
      </c>
      <c r="C331" s="11">
        <v>25000</v>
      </c>
      <c r="D331" s="11">
        <v>0</v>
      </c>
      <c r="E331" s="11">
        <f t="shared" si="5"/>
        <v>2125447898.1099987</v>
      </c>
      <c r="F331" t="s">
        <v>19</v>
      </c>
      <c r="G331" t="s">
        <v>189</v>
      </c>
    </row>
    <row r="332" spans="1:9">
      <c r="A332" s="5">
        <v>45777</v>
      </c>
      <c r="B332" t="s">
        <v>336</v>
      </c>
      <c r="C332" s="11">
        <v>0</v>
      </c>
      <c r="D332" s="11">
        <v>1688603.06</v>
      </c>
      <c r="E332" s="11">
        <f t="shared" si="5"/>
        <v>2127136501.1699986</v>
      </c>
      <c r="F332" t="s">
        <v>190</v>
      </c>
      <c r="G332" t="s">
        <v>79</v>
      </c>
    </row>
    <row r="333" spans="1:9">
      <c r="A333" s="5">
        <v>45777</v>
      </c>
      <c r="B333" t="s">
        <v>337</v>
      </c>
      <c r="C333" s="11">
        <v>337720.61</v>
      </c>
      <c r="D333" s="11">
        <v>0</v>
      </c>
      <c r="E333" s="11">
        <f t="shared" si="5"/>
        <v>2126798780.5599988</v>
      </c>
      <c r="F333" t="s">
        <v>190</v>
      </c>
      <c r="G333" t="s">
        <v>79</v>
      </c>
    </row>
    <row r="334" spans="1:9" s="40" customFormat="1">
      <c r="A334" s="218">
        <v>45778</v>
      </c>
      <c r="B334" s="40" t="s">
        <v>7161</v>
      </c>
      <c r="C334" s="39">
        <v>16350449</v>
      </c>
      <c r="D334" s="39">
        <v>0</v>
      </c>
      <c r="E334" s="11">
        <f t="shared" si="5"/>
        <v>2110448331.5599988</v>
      </c>
      <c r="F334" s="40" t="s">
        <v>6</v>
      </c>
      <c r="G334" s="40" t="s">
        <v>13</v>
      </c>
      <c r="H334" s="40" t="s">
        <v>7167</v>
      </c>
    </row>
    <row r="335" spans="1:9" s="40" customFormat="1">
      <c r="A335" s="218">
        <v>45778</v>
      </c>
      <c r="B335" s="40" t="s">
        <v>7162</v>
      </c>
      <c r="C335" s="39">
        <v>5763795</v>
      </c>
      <c r="D335" s="39">
        <v>0</v>
      </c>
      <c r="E335" s="11">
        <f t="shared" si="5"/>
        <v>2104684536.5599988</v>
      </c>
      <c r="F335" s="40" t="s">
        <v>6</v>
      </c>
      <c r="G335" s="40" t="s">
        <v>13</v>
      </c>
      <c r="H335" s="40" t="s">
        <v>7167</v>
      </c>
    </row>
    <row r="336" spans="1:9" s="40" customFormat="1">
      <c r="A336" s="218">
        <v>45778</v>
      </c>
      <c r="B336" s="40" t="s">
        <v>7163</v>
      </c>
      <c r="C336" s="39">
        <v>6795753</v>
      </c>
      <c r="D336" s="39">
        <v>0</v>
      </c>
      <c r="E336" s="11">
        <f t="shared" si="5"/>
        <v>2097888783.5599988</v>
      </c>
      <c r="F336" s="40" t="s">
        <v>6</v>
      </c>
      <c r="G336" s="40" t="s">
        <v>13</v>
      </c>
      <c r="H336" s="40" t="s">
        <v>7167</v>
      </c>
    </row>
    <row r="337" spans="1:9" s="40" customFormat="1">
      <c r="A337" s="218">
        <v>45778</v>
      </c>
      <c r="B337" s="40" t="s">
        <v>7164</v>
      </c>
      <c r="C337" s="39">
        <v>8198471</v>
      </c>
      <c r="D337" s="39">
        <v>0</v>
      </c>
      <c r="E337" s="11">
        <f t="shared" si="5"/>
        <v>2089690312.5599988</v>
      </c>
      <c r="F337" s="40" t="s">
        <v>6</v>
      </c>
      <c r="G337" s="40" t="s">
        <v>13</v>
      </c>
      <c r="H337" s="40" t="s">
        <v>7167</v>
      </c>
    </row>
    <row r="338" spans="1:9" s="40" customFormat="1">
      <c r="A338" s="218">
        <v>45778</v>
      </c>
      <c r="B338" s="40" t="s">
        <v>7165</v>
      </c>
      <c r="C338" s="39">
        <v>8198471</v>
      </c>
      <c r="D338" s="39">
        <v>0</v>
      </c>
      <c r="E338" s="11">
        <f t="shared" si="5"/>
        <v>2081491841.5599988</v>
      </c>
      <c r="F338" s="40" t="s">
        <v>6</v>
      </c>
      <c r="G338" s="40" t="s">
        <v>13</v>
      </c>
      <c r="H338" s="40" t="s">
        <v>7167</v>
      </c>
    </row>
    <row r="339" spans="1:9" s="40" customFormat="1">
      <c r="A339" s="218">
        <v>45778</v>
      </c>
      <c r="B339" s="40" t="s">
        <v>7166</v>
      </c>
      <c r="C339" s="39">
        <v>8198471</v>
      </c>
      <c r="D339" s="39">
        <v>0</v>
      </c>
      <c r="E339" s="11">
        <f t="shared" si="5"/>
        <v>2073293370.5599988</v>
      </c>
      <c r="F339" s="40" t="s">
        <v>6</v>
      </c>
      <c r="G339" s="40" t="s">
        <v>13</v>
      </c>
      <c r="H339" s="40" t="s">
        <v>7167</v>
      </c>
    </row>
    <row r="340" spans="1:9" ht="15.75">
      <c r="A340" s="5">
        <v>45779</v>
      </c>
      <c r="B340" t="s">
        <v>1975</v>
      </c>
      <c r="C340" s="11">
        <v>0</v>
      </c>
      <c r="D340" s="39">
        <v>773050110</v>
      </c>
      <c r="E340" s="11">
        <f t="shared" si="5"/>
        <v>2846343480.5599985</v>
      </c>
      <c r="F340" t="s">
        <v>2140</v>
      </c>
      <c r="G340" t="s">
        <v>2141</v>
      </c>
      <c r="H340" s="154" t="s">
        <v>1368</v>
      </c>
      <c r="I340" s="37" t="s">
        <v>1514</v>
      </c>
    </row>
    <row r="341" spans="1:9" ht="15.75">
      <c r="A341" s="5">
        <v>45785</v>
      </c>
      <c r="B341" t="s">
        <v>2344</v>
      </c>
      <c r="C341" s="11">
        <v>0</v>
      </c>
      <c r="D341" s="39">
        <v>52606850</v>
      </c>
      <c r="E341" s="11">
        <f t="shared" si="5"/>
        <v>2898950330.5599985</v>
      </c>
      <c r="F341" t="s">
        <v>2140</v>
      </c>
      <c r="G341" t="s">
        <v>2141</v>
      </c>
      <c r="H341" s="154" t="s">
        <v>1376</v>
      </c>
      <c r="I341" s="37" t="s">
        <v>1546</v>
      </c>
    </row>
    <row r="342" spans="1:9" ht="15.75">
      <c r="A342" s="5">
        <v>45785</v>
      </c>
      <c r="B342" t="s">
        <v>2344</v>
      </c>
      <c r="C342" s="11">
        <v>0</v>
      </c>
      <c r="D342" s="39">
        <f>258748245-D341</f>
        <v>206141395</v>
      </c>
      <c r="E342" s="11">
        <f t="shared" si="5"/>
        <v>3105091725.5599985</v>
      </c>
      <c r="F342" t="s">
        <v>2140</v>
      </c>
      <c r="G342" t="s">
        <v>2141</v>
      </c>
      <c r="H342" s="154" t="s">
        <v>1376</v>
      </c>
      <c r="I342" s="37" t="s">
        <v>2345</v>
      </c>
    </row>
    <row r="343" spans="1:9">
      <c r="A343" s="5">
        <v>45785</v>
      </c>
      <c r="B343" t="s">
        <v>1976</v>
      </c>
      <c r="C343" s="11">
        <v>3972608</v>
      </c>
      <c r="D343" s="11">
        <v>0</v>
      </c>
      <c r="E343" s="11">
        <f t="shared" si="5"/>
        <v>3101119117.5599985</v>
      </c>
      <c r="F343" t="s">
        <v>10</v>
      </c>
      <c r="G343" t="s">
        <v>446</v>
      </c>
      <c r="H343" s="40" t="s">
        <v>1629</v>
      </c>
      <c r="I343" t="s">
        <v>26</v>
      </c>
    </row>
    <row r="344" spans="1:9">
      <c r="A344" s="5">
        <v>45785</v>
      </c>
      <c r="B344" t="s">
        <v>7064</v>
      </c>
      <c r="C344" s="11">
        <v>18018020</v>
      </c>
      <c r="D344" s="11">
        <v>0</v>
      </c>
      <c r="E344" s="11">
        <f t="shared" si="5"/>
        <v>3083101097.5599985</v>
      </c>
      <c r="F344" t="s">
        <v>8</v>
      </c>
      <c r="G344" t="s">
        <v>77</v>
      </c>
      <c r="H344" t="s">
        <v>4596</v>
      </c>
    </row>
    <row r="345" spans="1:9">
      <c r="A345" s="5">
        <v>45785</v>
      </c>
      <c r="B345" t="s">
        <v>7064</v>
      </c>
      <c r="C345" s="11">
        <v>1981982</v>
      </c>
      <c r="D345" s="11">
        <v>0</v>
      </c>
      <c r="E345" s="11">
        <f t="shared" si="5"/>
        <v>3081119115.5599985</v>
      </c>
      <c r="F345" t="s">
        <v>920</v>
      </c>
      <c r="G345" t="s">
        <v>7856</v>
      </c>
      <c r="H345" t="s">
        <v>7032</v>
      </c>
      <c r="I345" t="s">
        <v>4596</v>
      </c>
    </row>
    <row r="346" spans="1:9" s="40" customFormat="1">
      <c r="A346" s="218">
        <v>45785</v>
      </c>
      <c r="B346" s="40" t="s">
        <v>7064</v>
      </c>
      <c r="C346" s="39">
        <v>0</v>
      </c>
      <c r="D346" s="39">
        <f>C344+C345-18198200</f>
        <v>1801802</v>
      </c>
      <c r="E346" s="11">
        <f t="shared" si="5"/>
        <v>3082920917.5599985</v>
      </c>
      <c r="F346" s="40" t="s">
        <v>1400</v>
      </c>
      <c r="G346" s="40" t="s">
        <v>1400</v>
      </c>
      <c r="H346" s="40" t="s">
        <v>2170</v>
      </c>
      <c r="I346" s="40" t="s">
        <v>4596</v>
      </c>
    </row>
    <row r="347" spans="1:9">
      <c r="A347" s="5">
        <v>45785</v>
      </c>
      <c r="B347" t="s">
        <v>1977</v>
      </c>
      <c r="C347" s="11">
        <v>2500</v>
      </c>
      <c r="D347" s="11">
        <v>0</v>
      </c>
      <c r="E347" s="11">
        <f t="shared" si="5"/>
        <v>3082918417.5599985</v>
      </c>
      <c r="F347" t="s">
        <v>19</v>
      </c>
      <c r="G347" t="s">
        <v>189</v>
      </c>
    </row>
    <row r="348" spans="1:9">
      <c r="A348" s="5">
        <v>45785</v>
      </c>
      <c r="B348" t="s">
        <v>1978</v>
      </c>
      <c r="C348" s="11">
        <v>1000000</v>
      </c>
      <c r="D348" s="11">
        <v>0</v>
      </c>
      <c r="E348" s="11">
        <f t="shared" si="5"/>
        <v>3081918417.5599985</v>
      </c>
      <c r="F348" t="s">
        <v>10</v>
      </c>
      <c r="G348" t="s">
        <v>446</v>
      </c>
      <c r="H348" s="40" t="s">
        <v>1640</v>
      </c>
      <c r="I348" t="s">
        <v>26</v>
      </c>
    </row>
    <row r="349" spans="1:9" ht="15.75">
      <c r="A349" s="5">
        <v>45785</v>
      </c>
      <c r="B349" t="s">
        <v>1979</v>
      </c>
      <c r="C349" s="11">
        <v>50126729</v>
      </c>
      <c r="D349" s="11">
        <v>0</v>
      </c>
      <c r="E349" s="11">
        <f t="shared" si="5"/>
        <v>3031791688.5599985</v>
      </c>
      <c r="F349" s="80" t="s">
        <v>4</v>
      </c>
      <c r="G349" s="80" t="s">
        <v>5</v>
      </c>
      <c r="H349" s="154" t="s">
        <v>1445</v>
      </c>
    </row>
    <row r="350" spans="1:9">
      <c r="A350" s="5">
        <v>45785</v>
      </c>
      <c r="B350" t="s">
        <v>1980</v>
      </c>
      <c r="C350" s="11">
        <v>2500</v>
      </c>
      <c r="D350" s="11">
        <v>0</v>
      </c>
      <c r="E350" s="11">
        <f t="shared" si="5"/>
        <v>3031789188.5599985</v>
      </c>
      <c r="F350" t="s">
        <v>19</v>
      </c>
      <c r="G350" t="s">
        <v>189</v>
      </c>
    </row>
    <row r="351" spans="1:9">
      <c r="A351" s="5">
        <v>45785</v>
      </c>
      <c r="B351" t="s">
        <v>1981</v>
      </c>
      <c r="C351" s="11">
        <v>536850</v>
      </c>
      <c r="D351" s="11">
        <v>0</v>
      </c>
      <c r="E351" s="11">
        <f t="shared" si="5"/>
        <v>3031252338.5599985</v>
      </c>
      <c r="F351" s="80" t="s">
        <v>4</v>
      </c>
      <c r="G351" s="80" t="s">
        <v>5</v>
      </c>
      <c r="H351" s="40" t="s">
        <v>1593</v>
      </c>
    </row>
    <row r="352" spans="1:9" s="8" customFormat="1" ht="15.75">
      <c r="A352" s="13">
        <v>45785</v>
      </c>
      <c r="B352" s="8" t="s">
        <v>1982</v>
      </c>
      <c r="C352" s="54">
        <v>1340000</v>
      </c>
      <c r="D352" s="54">
        <v>0</v>
      </c>
      <c r="E352" s="11">
        <f t="shared" si="5"/>
        <v>3029912338.5599985</v>
      </c>
      <c r="F352" s="8" t="s">
        <v>6</v>
      </c>
      <c r="G352" s="8" t="s">
        <v>7</v>
      </c>
      <c r="H352" s="8" t="s">
        <v>4612</v>
      </c>
    </row>
    <row r="353" spans="1:9">
      <c r="A353" s="5">
        <v>45785</v>
      </c>
      <c r="B353" t="s">
        <v>1983</v>
      </c>
      <c r="C353" s="11">
        <v>2500</v>
      </c>
      <c r="D353" s="11">
        <v>0</v>
      </c>
      <c r="E353" s="11">
        <f t="shared" si="5"/>
        <v>3029909838.5599985</v>
      </c>
      <c r="F353" t="s">
        <v>19</v>
      </c>
      <c r="G353" t="s">
        <v>189</v>
      </c>
    </row>
    <row r="354" spans="1:9">
      <c r="A354" s="5">
        <v>45785</v>
      </c>
      <c r="B354" t="s">
        <v>1984</v>
      </c>
      <c r="C354" s="11">
        <v>812500</v>
      </c>
      <c r="D354" s="11">
        <v>0</v>
      </c>
      <c r="E354" s="11">
        <f t="shared" si="5"/>
        <v>3029097338.5599985</v>
      </c>
      <c r="F354" s="80" t="s">
        <v>4</v>
      </c>
      <c r="G354" s="80" t="s">
        <v>5</v>
      </c>
      <c r="H354" s="40" t="s">
        <v>1636</v>
      </c>
    </row>
    <row r="355" spans="1:9">
      <c r="A355" s="5">
        <v>45785</v>
      </c>
      <c r="B355" t="s">
        <v>1985</v>
      </c>
      <c r="C355" s="11">
        <v>2500</v>
      </c>
      <c r="D355" s="11">
        <v>0</v>
      </c>
      <c r="E355" s="11">
        <f t="shared" si="5"/>
        <v>3029094838.5599985</v>
      </c>
      <c r="F355" t="s">
        <v>19</v>
      </c>
      <c r="G355" t="s">
        <v>189</v>
      </c>
    </row>
    <row r="356" spans="1:9">
      <c r="A356" s="5">
        <v>45785</v>
      </c>
      <c r="B356" t="s">
        <v>1986</v>
      </c>
      <c r="C356" s="11">
        <v>31800000</v>
      </c>
      <c r="D356" s="11">
        <v>0</v>
      </c>
      <c r="E356" s="11">
        <f t="shared" si="5"/>
        <v>2997294838.5599985</v>
      </c>
      <c r="F356" s="80" t="s">
        <v>4</v>
      </c>
      <c r="G356" s="80" t="s">
        <v>5</v>
      </c>
      <c r="H356" s="40" t="s">
        <v>1633</v>
      </c>
    </row>
    <row r="357" spans="1:9" ht="15.75">
      <c r="A357" s="5">
        <v>45785</v>
      </c>
      <c r="B357" t="s">
        <v>1987</v>
      </c>
      <c r="C357" s="11">
        <v>2116569</v>
      </c>
      <c r="D357" s="11">
        <v>0</v>
      </c>
      <c r="E357" s="11">
        <f t="shared" si="5"/>
        <v>2995178269.5599985</v>
      </c>
      <c r="F357" s="80" t="s">
        <v>4</v>
      </c>
      <c r="G357" s="80" t="s">
        <v>5</v>
      </c>
      <c r="H357" s="154" t="s">
        <v>1445</v>
      </c>
    </row>
    <row r="358" spans="1:9" ht="15.75">
      <c r="A358" s="5">
        <v>45785</v>
      </c>
      <c r="B358" t="s">
        <v>1988</v>
      </c>
      <c r="C358" s="11">
        <v>7540280</v>
      </c>
      <c r="D358" s="11">
        <v>0</v>
      </c>
      <c r="E358" s="11">
        <f t="shared" si="5"/>
        <v>2987637989.5599985</v>
      </c>
      <c r="F358" s="80" t="s">
        <v>4</v>
      </c>
      <c r="G358" s="80" t="s">
        <v>5</v>
      </c>
      <c r="H358" s="154" t="s">
        <v>1376</v>
      </c>
    </row>
    <row r="359" spans="1:9">
      <c r="A359" s="5">
        <v>45785</v>
      </c>
      <c r="B359" t="s">
        <v>1989</v>
      </c>
      <c r="C359" s="11">
        <v>2500</v>
      </c>
      <c r="D359" s="11">
        <v>0</v>
      </c>
      <c r="E359" s="11">
        <f t="shared" si="5"/>
        <v>2987635489.5599985</v>
      </c>
      <c r="F359" t="s">
        <v>19</v>
      </c>
      <c r="G359" t="s">
        <v>189</v>
      </c>
    </row>
    <row r="360" spans="1:9">
      <c r="A360" s="5">
        <v>45785</v>
      </c>
      <c r="B360" t="s">
        <v>1990</v>
      </c>
      <c r="C360" s="11">
        <v>1773000</v>
      </c>
      <c r="D360" s="11">
        <v>0</v>
      </c>
      <c r="E360" s="11">
        <f t="shared" si="5"/>
        <v>2985862489.5599985</v>
      </c>
      <c r="F360" t="s">
        <v>4</v>
      </c>
      <c r="G360" t="s">
        <v>5</v>
      </c>
      <c r="H360" s="40" t="s">
        <v>6600</v>
      </c>
    </row>
    <row r="361" spans="1:9">
      <c r="A361" s="5">
        <v>45785</v>
      </c>
      <c r="B361" t="s">
        <v>1991</v>
      </c>
      <c r="C361" s="11">
        <v>2500</v>
      </c>
      <c r="D361" s="11">
        <v>0</v>
      </c>
      <c r="E361" s="11">
        <f t="shared" si="5"/>
        <v>2985859989.5599985</v>
      </c>
      <c r="F361" t="s">
        <v>19</v>
      </c>
      <c r="G361" t="s">
        <v>189</v>
      </c>
    </row>
    <row r="362" spans="1:9" ht="15.75">
      <c r="A362" s="5">
        <v>45785</v>
      </c>
      <c r="B362" t="s">
        <v>1992</v>
      </c>
      <c r="C362" s="11">
        <v>2818000</v>
      </c>
      <c r="D362" s="11">
        <v>0</v>
      </c>
      <c r="E362" s="11">
        <f t="shared" si="5"/>
        <v>2983041989.5599985</v>
      </c>
      <c r="F362" s="80" t="s">
        <v>4</v>
      </c>
      <c r="G362" s="80" t="s">
        <v>5</v>
      </c>
      <c r="H362" s="154" t="s">
        <v>1376</v>
      </c>
    </row>
    <row r="363" spans="1:9">
      <c r="A363" s="5">
        <v>45785</v>
      </c>
      <c r="B363" t="s">
        <v>1993</v>
      </c>
      <c r="C363" s="11">
        <v>11904958</v>
      </c>
      <c r="D363" s="11">
        <v>0</v>
      </c>
      <c r="E363" s="11">
        <f t="shared" si="5"/>
        <v>2971137031.5599985</v>
      </c>
      <c r="F363" t="s">
        <v>10</v>
      </c>
      <c r="G363" t="s">
        <v>446</v>
      </c>
      <c r="H363" s="40" t="s">
        <v>1632</v>
      </c>
      <c r="I363" t="s">
        <v>26</v>
      </c>
    </row>
    <row r="364" spans="1:9">
      <c r="A364" s="5">
        <v>45785</v>
      </c>
      <c r="B364" t="s">
        <v>1994</v>
      </c>
      <c r="C364" s="11">
        <v>2500</v>
      </c>
      <c r="D364" s="11">
        <v>0</v>
      </c>
      <c r="E364" s="11">
        <f t="shared" si="5"/>
        <v>2971134531.5599985</v>
      </c>
      <c r="F364" t="s">
        <v>19</v>
      </c>
      <c r="G364" t="s">
        <v>189</v>
      </c>
    </row>
    <row r="365" spans="1:9" s="8" customFormat="1" ht="15.75">
      <c r="A365" s="13">
        <v>45785</v>
      </c>
      <c r="B365" s="8" t="s">
        <v>1995</v>
      </c>
      <c r="C365" s="54">
        <v>2084000</v>
      </c>
      <c r="D365" s="54">
        <v>0</v>
      </c>
      <c r="E365" s="11">
        <f t="shared" si="5"/>
        <v>2969050531.5599985</v>
      </c>
      <c r="F365" s="8" t="s">
        <v>6</v>
      </c>
      <c r="G365" s="8" t="s">
        <v>7</v>
      </c>
      <c r="H365" s="8" t="s">
        <v>4612</v>
      </c>
    </row>
    <row r="366" spans="1:9">
      <c r="A366" s="5">
        <v>45785</v>
      </c>
      <c r="B366" t="s">
        <v>1996</v>
      </c>
      <c r="C366" s="11">
        <v>600000</v>
      </c>
      <c r="D366" s="11">
        <v>0</v>
      </c>
      <c r="E366" s="11">
        <f t="shared" si="5"/>
        <v>2968450531.5599985</v>
      </c>
      <c r="F366" t="s">
        <v>10</v>
      </c>
      <c r="G366" t="s">
        <v>446</v>
      </c>
      <c r="H366" s="40" t="s">
        <v>1640</v>
      </c>
      <c r="I366" t="s">
        <v>26</v>
      </c>
    </row>
    <row r="367" spans="1:9">
      <c r="A367" s="5">
        <v>45785</v>
      </c>
      <c r="B367" t="s">
        <v>1997</v>
      </c>
      <c r="C367" s="11">
        <v>2500</v>
      </c>
      <c r="D367" s="11">
        <v>0</v>
      </c>
      <c r="E367" s="11">
        <f t="shared" si="5"/>
        <v>2968448031.5599985</v>
      </c>
      <c r="F367" t="s">
        <v>19</v>
      </c>
      <c r="G367" t="s">
        <v>189</v>
      </c>
    </row>
    <row r="368" spans="1:9" ht="15.75">
      <c r="A368" s="5">
        <v>45785</v>
      </c>
      <c r="B368" t="s">
        <v>1998</v>
      </c>
      <c r="C368" s="11">
        <v>1510150</v>
      </c>
      <c r="D368" s="11">
        <v>0</v>
      </c>
      <c r="E368" s="11">
        <f t="shared" si="5"/>
        <v>2966937881.5599985</v>
      </c>
      <c r="F368" s="80" t="s">
        <v>4</v>
      </c>
      <c r="G368" s="80" t="s">
        <v>5</v>
      </c>
      <c r="H368" s="154" t="s">
        <v>1445</v>
      </c>
    </row>
    <row r="369" spans="1:9">
      <c r="A369" s="5">
        <v>45785</v>
      </c>
      <c r="B369" t="s">
        <v>1999</v>
      </c>
      <c r="C369" s="11">
        <v>218342</v>
      </c>
      <c r="D369" s="11">
        <v>0</v>
      </c>
      <c r="E369" s="11">
        <f t="shared" si="5"/>
        <v>2966719539.5599985</v>
      </c>
      <c r="F369" s="80" t="s">
        <v>4</v>
      </c>
      <c r="G369" s="80" t="s">
        <v>5</v>
      </c>
      <c r="H369" t="s">
        <v>1352</v>
      </c>
    </row>
    <row r="370" spans="1:9">
      <c r="A370" s="5">
        <v>45785</v>
      </c>
      <c r="B370" t="s">
        <v>2000</v>
      </c>
      <c r="C370" s="11">
        <v>6178610</v>
      </c>
      <c r="D370" s="11">
        <v>0</v>
      </c>
      <c r="E370" s="11">
        <f t="shared" si="5"/>
        <v>2960540929.5599985</v>
      </c>
      <c r="F370" s="80" t="s">
        <v>10</v>
      </c>
      <c r="G370" s="80" t="s">
        <v>446</v>
      </c>
      <c r="H370" s="40" t="s">
        <v>1639</v>
      </c>
      <c r="I370" t="s">
        <v>277</v>
      </c>
    </row>
    <row r="371" spans="1:9">
      <c r="A371" s="5">
        <v>45785</v>
      </c>
      <c r="B371" t="s">
        <v>2001</v>
      </c>
      <c r="C371" s="11">
        <v>5000000</v>
      </c>
      <c r="D371" s="11">
        <v>0</v>
      </c>
      <c r="E371" s="11">
        <f t="shared" si="5"/>
        <v>2955540929.5599985</v>
      </c>
      <c r="F371" t="s">
        <v>10</v>
      </c>
      <c r="G371" t="s">
        <v>446</v>
      </c>
      <c r="H371" s="40" t="s">
        <v>1640</v>
      </c>
      <c r="I371" t="s">
        <v>26</v>
      </c>
    </row>
    <row r="372" spans="1:9">
      <c r="A372" s="5">
        <v>45785</v>
      </c>
      <c r="B372" t="s">
        <v>2002</v>
      </c>
      <c r="C372" s="11">
        <v>2500</v>
      </c>
      <c r="D372" s="11">
        <v>0</v>
      </c>
      <c r="E372" s="11">
        <f t="shared" si="5"/>
        <v>2955538429.5599985</v>
      </c>
      <c r="F372" t="s">
        <v>19</v>
      </c>
      <c r="G372" t="s">
        <v>189</v>
      </c>
    </row>
    <row r="373" spans="1:9" ht="15.75">
      <c r="A373" s="5">
        <v>45785</v>
      </c>
      <c r="B373" t="s">
        <v>2003</v>
      </c>
      <c r="C373" s="11">
        <v>250000000</v>
      </c>
      <c r="D373" s="11">
        <v>0</v>
      </c>
      <c r="E373" s="11">
        <f t="shared" si="5"/>
        <v>2705538429.5599985</v>
      </c>
      <c r="F373" s="80" t="s">
        <v>920</v>
      </c>
      <c r="G373" s="8" t="s">
        <v>4242</v>
      </c>
    </row>
    <row r="374" spans="1:9">
      <c r="A374" s="5">
        <v>45785</v>
      </c>
      <c r="B374" t="s">
        <v>2004</v>
      </c>
      <c r="C374" s="11">
        <v>2500</v>
      </c>
      <c r="D374" s="11">
        <v>0</v>
      </c>
      <c r="E374" s="11">
        <f t="shared" si="5"/>
        <v>2705535929.5599985</v>
      </c>
      <c r="F374" t="s">
        <v>19</v>
      </c>
      <c r="G374" t="s">
        <v>189</v>
      </c>
    </row>
    <row r="375" spans="1:9" ht="15.75">
      <c r="A375" s="5">
        <v>45785</v>
      </c>
      <c r="B375" t="s">
        <v>2005</v>
      </c>
      <c r="C375" s="11">
        <v>250000000</v>
      </c>
      <c r="D375" s="11">
        <v>0</v>
      </c>
      <c r="E375" s="11">
        <f t="shared" si="5"/>
        <v>2455535929.5599985</v>
      </c>
      <c r="F375" s="80" t="s">
        <v>920</v>
      </c>
      <c r="G375" s="8" t="s">
        <v>4242</v>
      </c>
    </row>
    <row r="376" spans="1:9">
      <c r="A376" s="5">
        <v>45785</v>
      </c>
      <c r="B376" t="s">
        <v>2006</v>
      </c>
      <c r="C376" s="11">
        <v>2500</v>
      </c>
      <c r="D376" s="11">
        <v>0</v>
      </c>
      <c r="E376" s="11">
        <f t="shared" si="5"/>
        <v>2455533429.5599985</v>
      </c>
      <c r="F376" t="s">
        <v>19</v>
      </c>
      <c r="G376" t="s">
        <v>189</v>
      </c>
    </row>
    <row r="377" spans="1:9">
      <c r="A377" s="5">
        <v>45785</v>
      </c>
      <c r="B377" t="s">
        <v>2007</v>
      </c>
      <c r="C377" s="11">
        <v>5000000</v>
      </c>
      <c r="D377" s="11">
        <v>0</v>
      </c>
      <c r="E377" s="11">
        <f t="shared" si="5"/>
        <v>2450533429.5599985</v>
      </c>
      <c r="F377" t="s">
        <v>10</v>
      </c>
      <c r="G377" t="s">
        <v>446</v>
      </c>
      <c r="H377" s="40" t="s">
        <v>1640</v>
      </c>
      <c r="I377" t="s">
        <v>26</v>
      </c>
    </row>
    <row r="378" spans="1:9">
      <c r="A378" s="5">
        <v>45785</v>
      </c>
      <c r="B378" t="s">
        <v>2008</v>
      </c>
      <c r="C378" s="11">
        <v>2500</v>
      </c>
      <c r="D378" s="11">
        <v>0</v>
      </c>
      <c r="E378" s="11">
        <f t="shared" si="5"/>
        <v>2450530929.5599985</v>
      </c>
      <c r="F378" t="s">
        <v>19</v>
      </c>
      <c r="G378" t="s">
        <v>189</v>
      </c>
    </row>
    <row r="379" spans="1:9" s="8" customFormat="1" ht="15.75">
      <c r="A379" s="13">
        <v>45785</v>
      </c>
      <c r="B379" s="8" t="s">
        <v>4604</v>
      </c>
      <c r="C379" s="54">
        <v>3860000</v>
      </c>
      <c r="D379" s="54">
        <v>0</v>
      </c>
      <c r="E379" s="11">
        <f t="shared" si="5"/>
        <v>2446670929.5599985</v>
      </c>
      <c r="F379" s="8" t="s">
        <v>920</v>
      </c>
      <c r="G379" s="8" t="s">
        <v>4242</v>
      </c>
      <c r="H379" s="8" t="s">
        <v>88</v>
      </c>
      <c r="I379" s="8" t="s">
        <v>7052</v>
      </c>
    </row>
    <row r="380" spans="1:9">
      <c r="A380" s="5">
        <v>45785</v>
      </c>
      <c r="B380" t="s">
        <v>4586</v>
      </c>
      <c r="C380" s="11">
        <v>35289793</v>
      </c>
      <c r="D380" s="11">
        <v>0</v>
      </c>
      <c r="E380" s="11">
        <f t="shared" si="5"/>
        <v>2411381136.5599985</v>
      </c>
      <c r="F380" t="s">
        <v>62</v>
      </c>
      <c r="G380" t="s">
        <v>23</v>
      </c>
      <c r="H380" t="s">
        <v>2184</v>
      </c>
    </row>
    <row r="381" spans="1:9">
      <c r="A381" s="5">
        <v>45785</v>
      </c>
      <c r="B381" t="s">
        <v>4584</v>
      </c>
      <c r="C381" s="11">
        <v>35289793</v>
      </c>
      <c r="D381" s="11">
        <v>0</v>
      </c>
      <c r="E381" s="11">
        <f t="shared" si="5"/>
        <v>2376091343.5599985</v>
      </c>
      <c r="F381" t="s">
        <v>62</v>
      </c>
      <c r="G381" t="s">
        <v>23</v>
      </c>
      <c r="H381" t="s">
        <v>2184</v>
      </c>
    </row>
    <row r="382" spans="1:9">
      <c r="A382" s="5">
        <v>45785</v>
      </c>
      <c r="B382" t="s">
        <v>4587</v>
      </c>
      <c r="C382" s="11">
        <v>43471522</v>
      </c>
      <c r="D382" s="11">
        <v>0</v>
      </c>
      <c r="E382" s="11">
        <f t="shared" si="5"/>
        <v>2332619821.5599985</v>
      </c>
      <c r="F382" t="s">
        <v>62</v>
      </c>
      <c r="G382" t="s">
        <v>23</v>
      </c>
      <c r="H382" t="s">
        <v>2184</v>
      </c>
    </row>
    <row r="383" spans="1:9">
      <c r="A383" s="5">
        <v>45785</v>
      </c>
      <c r="B383" t="s">
        <v>4585</v>
      </c>
      <c r="C383" s="11">
        <v>114749630</v>
      </c>
      <c r="D383" s="11">
        <v>0</v>
      </c>
      <c r="E383" s="11">
        <f t="shared" si="5"/>
        <v>2217870191.5599985</v>
      </c>
      <c r="F383" t="s">
        <v>62</v>
      </c>
      <c r="G383" t="s">
        <v>23</v>
      </c>
      <c r="H383" t="s">
        <v>2184</v>
      </c>
    </row>
    <row r="384" spans="1:9">
      <c r="A384" s="5">
        <v>45786</v>
      </c>
      <c r="B384" t="s">
        <v>6386</v>
      </c>
      <c r="C384" s="11">
        <v>13419352</v>
      </c>
      <c r="D384" s="11">
        <v>0</v>
      </c>
      <c r="E384" s="11">
        <f t="shared" si="5"/>
        <v>2204450839.5599985</v>
      </c>
      <c r="F384" t="s">
        <v>62</v>
      </c>
      <c r="G384" t="s">
        <v>251</v>
      </c>
      <c r="H384" t="s">
        <v>1268</v>
      </c>
    </row>
    <row r="385" spans="1:9" s="40" customFormat="1">
      <c r="A385" s="218">
        <v>45791</v>
      </c>
      <c r="B385" s="40" t="s">
        <v>2009</v>
      </c>
      <c r="C385" s="39">
        <v>0</v>
      </c>
      <c r="D385" s="39">
        <v>157358295</v>
      </c>
      <c r="E385" s="11">
        <f t="shared" si="5"/>
        <v>2361809134.5599985</v>
      </c>
      <c r="F385" s="40" t="s">
        <v>10</v>
      </c>
      <c r="G385" s="40" t="s">
        <v>18</v>
      </c>
      <c r="H385" s="40" t="s">
        <v>2433</v>
      </c>
      <c r="I385" s="40" t="s">
        <v>2409</v>
      </c>
    </row>
    <row r="386" spans="1:9">
      <c r="A386" s="5">
        <v>45791</v>
      </c>
      <c r="B386" t="s">
        <v>2010</v>
      </c>
      <c r="C386" s="11">
        <v>5080000</v>
      </c>
      <c r="D386" s="11">
        <v>0</v>
      </c>
      <c r="E386" s="11">
        <f t="shared" si="5"/>
        <v>2356729134.5599985</v>
      </c>
      <c r="F386" s="80" t="s">
        <v>10</v>
      </c>
      <c r="G386" s="80" t="s">
        <v>446</v>
      </c>
      <c r="H386" s="40" t="s">
        <v>6539</v>
      </c>
      <c r="I386" t="s">
        <v>26</v>
      </c>
    </row>
    <row r="387" spans="1:9" ht="15.75">
      <c r="A387" s="5">
        <v>45791</v>
      </c>
      <c r="B387" t="s">
        <v>2011</v>
      </c>
      <c r="C387" s="11">
        <v>50585000</v>
      </c>
      <c r="D387" s="11">
        <v>0</v>
      </c>
      <c r="E387" s="11">
        <f t="shared" si="5"/>
        <v>2306144134.5599985</v>
      </c>
      <c r="F387" s="80" t="s">
        <v>4</v>
      </c>
      <c r="G387" s="80" t="s">
        <v>5</v>
      </c>
      <c r="H387" s="154" t="s">
        <v>1376</v>
      </c>
    </row>
    <row r="388" spans="1:9">
      <c r="A388" s="5">
        <v>45791</v>
      </c>
      <c r="B388" t="s">
        <v>2012</v>
      </c>
      <c r="C388" s="11">
        <v>2500</v>
      </c>
      <c r="D388" s="11">
        <v>0</v>
      </c>
      <c r="E388" s="11">
        <f t="shared" si="5"/>
        <v>2306141634.5599985</v>
      </c>
      <c r="F388" t="s">
        <v>19</v>
      </c>
      <c r="G388" t="s">
        <v>189</v>
      </c>
    </row>
    <row r="389" spans="1:9">
      <c r="A389" s="5">
        <v>45791</v>
      </c>
      <c r="B389" t="s">
        <v>2013</v>
      </c>
      <c r="C389" s="11">
        <v>17500</v>
      </c>
      <c r="D389" s="11">
        <v>0</v>
      </c>
      <c r="E389" s="11">
        <f t="shared" si="5"/>
        <v>2306124134.5599985</v>
      </c>
      <c r="F389" t="s">
        <v>920</v>
      </c>
      <c r="G389" t="s">
        <v>4250</v>
      </c>
      <c r="H389" t="s">
        <v>100</v>
      </c>
    </row>
    <row r="390" spans="1:9">
      <c r="A390" s="5">
        <v>45791</v>
      </c>
      <c r="B390" t="s">
        <v>2014</v>
      </c>
      <c r="C390" s="11">
        <v>2500</v>
      </c>
      <c r="D390" s="11">
        <v>0</v>
      </c>
      <c r="E390" s="11">
        <f t="shared" ref="E390:E453" si="6">E389-C390+D390</f>
        <v>2306121634.5599985</v>
      </c>
      <c r="F390" t="s">
        <v>19</v>
      </c>
      <c r="G390" t="s">
        <v>189</v>
      </c>
    </row>
    <row r="391" spans="1:9" ht="15.75">
      <c r="A391" s="5">
        <v>45792</v>
      </c>
      <c r="B391" t="s">
        <v>2015</v>
      </c>
      <c r="C391" s="11">
        <v>38561940</v>
      </c>
      <c r="D391" s="11">
        <v>0</v>
      </c>
      <c r="E391" s="11">
        <f t="shared" si="6"/>
        <v>2267559694.5599985</v>
      </c>
      <c r="F391" s="80" t="s">
        <v>4</v>
      </c>
      <c r="G391" s="80" t="s">
        <v>5</v>
      </c>
      <c r="H391" s="154" t="s">
        <v>1376</v>
      </c>
    </row>
    <row r="392" spans="1:9">
      <c r="A392" s="5">
        <v>45792</v>
      </c>
      <c r="B392" t="s">
        <v>2016</v>
      </c>
      <c r="C392" s="11">
        <v>5200826</v>
      </c>
      <c r="D392" s="11">
        <v>0</v>
      </c>
      <c r="E392" s="11">
        <f t="shared" si="6"/>
        <v>2262358868.5599985</v>
      </c>
      <c r="F392" s="80" t="s">
        <v>10</v>
      </c>
      <c r="G392" s="80" t="s">
        <v>446</v>
      </c>
      <c r="H392" s="40" t="s">
        <v>1639</v>
      </c>
      <c r="I392" t="s">
        <v>26</v>
      </c>
    </row>
    <row r="393" spans="1:9">
      <c r="A393" s="5">
        <v>45792</v>
      </c>
      <c r="B393" t="s">
        <v>2017</v>
      </c>
      <c r="C393" s="11">
        <v>167166800</v>
      </c>
      <c r="D393" s="11">
        <v>0</v>
      </c>
      <c r="E393" s="11">
        <f t="shared" si="6"/>
        <v>2095192068.5599985</v>
      </c>
      <c r="F393" s="80" t="s">
        <v>4</v>
      </c>
      <c r="G393" s="80" t="s">
        <v>5</v>
      </c>
      <c r="H393" s="40" t="s">
        <v>1622</v>
      </c>
    </row>
    <row r="394" spans="1:9" ht="15.75">
      <c r="A394" s="5">
        <v>45792</v>
      </c>
      <c r="B394" t="s">
        <v>2018</v>
      </c>
      <c r="C394" s="11">
        <v>4602480</v>
      </c>
      <c r="D394" s="11">
        <v>0</v>
      </c>
      <c r="E394" s="11">
        <f t="shared" si="6"/>
        <v>2090589588.5599985</v>
      </c>
      <c r="F394" s="80" t="s">
        <v>4</v>
      </c>
      <c r="G394" s="80" t="s">
        <v>5</v>
      </c>
      <c r="H394" s="154" t="s">
        <v>1376</v>
      </c>
    </row>
    <row r="395" spans="1:9">
      <c r="A395" s="5">
        <v>45792</v>
      </c>
      <c r="B395" t="s">
        <v>2019</v>
      </c>
      <c r="C395" s="11">
        <v>2470520</v>
      </c>
      <c r="D395" s="11">
        <v>0</v>
      </c>
      <c r="E395" s="11">
        <f t="shared" si="6"/>
        <v>2088119068.5599985</v>
      </c>
      <c r="F395" s="80" t="s">
        <v>4</v>
      </c>
      <c r="G395" s="80" t="s">
        <v>5</v>
      </c>
      <c r="H395" s="40" t="s">
        <v>1622</v>
      </c>
    </row>
    <row r="396" spans="1:9" ht="15.75">
      <c r="A396" s="5">
        <v>45799</v>
      </c>
      <c r="B396" t="s">
        <v>2346</v>
      </c>
      <c r="C396" s="11">
        <v>0</v>
      </c>
      <c r="D396" s="39">
        <v>80728577</v>
      </c>
      <c r="E396" s="11">
        <f t="shared" si="6"/>
        <v>2168847645.5599985</v>
      </c>
      <c r="F396" s="80" t="s">
        <v>2140</v>
      </c>
      <c r="G396" s="80" t="s">
        <v>2141</v>
      </c>
      <c r="H396" s="37" t="s">
        <v>1376</v>
      </c>
      <c r="I396" s="37" t="s">
        <v>1557</v>
      </c>
    </row>
    <row r="397" spans="1:9" ht="15.75">
      <c r="A397" s="5">
        <v>45799</v>
      </c>
      <c r="B397" t="s">
        <v>2346</v>
      </c>
      <c r="C397" s="11">
        <v>0</v>
      </c>
      <c r="D397" s="39">
        <v>71033600</v>
      </c>
      <c r="E397" s="11">
        <f t="shared" si="6"/>
        <v>2239881245.5599985</v>
      </c>
      <c r="F397" s="80" t="s">
        <v>2140</v>
      </c>
      <c r="G397" s="80" t="s">
        <v>2141</v>
      </c>
      <c r="H397" s="37" t="s">
        <v>1376</v>
      </c>
      <c r="I397" s="37" t="s">
        <v>1558</v>
      </c>
    </row>
    <row r="398" spans="1:9" ht="15.75">
      <c r="A398" s="5">
        <v>45799</v>
      </c>
      <c r="B398" t="s">
        <v>2346</v>
      </c>
      <c r="C398" s="11">
        <v>0</v>
      </c>
      <c r="D398" s="39">
        <f>163365677-D396-D397</f>
        <v>11603500</v>
      </c>
      <c r="E398" s="11">
        <f t="shared" si="6"/>
        <v>2251484745.5599985</v>
      </c>
      <c r="F398" s="80" t="s">
        <v>2140</v>
      </c>
      <c r="G398" s="80" t="s">
        <v>2141</v>
      </c>
      <c r="H398" s="37" t="s">
        <v>1376</v>
      </c>
      <c r="I398" s="37" t="s">
        <v>1559</v>
      </c>
    </row>
    <row r="399" spans="1:9">
      <c r="A399" s="5">
        <v>45801</v>
      </c>
      <c r="B399" t="s">
        <v>339</v>
      </c>
      <c r="C399" s="11">
        <v>57475957</v>
      </c>
      <c r="D399" s="11">
        <v>0</v>
      </c>
      <c r="E399" s="11">
        <f t="shared" si="6"/>
        <v>2194008788.5599985</v>
      </c>
      <c r="F399" t="s">
        <v>62</v>
      </c>
      <c r="G399" t="s">
        <v>252</v>
      </c>
      <c r="H399" t="s">
        <v>4566</v>
      </c>
    </row>
    <row r="400" spans="1:9" ht="15.75">
      <c r="A400" s="5">
        <v>45801</v>
      </c>
      <c r="B400" t="s">
        <v>2020</v>
      </c>
      <c r="C400" s="11">
        <v>4200000</v>
      </c>
      <c r="D400" s="11">
        <v>0</v>
      </c>
      <c r="E400" s="11">
        <f t="shared" si="6"/>
        <v>2189808788.5599985</v>
      </c>
      <c r="F400" s="80" t="s">
        <v>4</v>
      </c>
      <c r="G400" s="80" t="s">
        <v>5</v>
      </c>
      <c r="H400" s="154" t="s">
        <v>1376</v>
      </c>
    </row>
    <row r="401" spans="1:9" ht="15.75">
      <c r="A401" s="5">
        <v>45803</v>
      </c>
      <c r="B401" t="s">
        <v>2347</v>
      </c>
      <c r="C401" s="11">
        <v>0</v>
      </c>
      <c r="D401" s="39">
        <v>8007111</v>
      </c>
      <c r="E401" s="11">
        <f t="shared" si="6"/>
        <v>2197815899.5599985</v>
      </c>
      <c r="F401" s="80" t="s">
        <v>2140</v>
      </c>
      <c r="G401" s="80" t="s">
        <v>2141</v>
      </c>
      <c r="H401" s="154" t="s">
        <v>1622</v>
      </c>
      <c r="I401" s="37" t="s">
        <v>1560</v>
      </c>
    </row>
    <row r="402" spans="1:9" ht="15.75">
      <c r="A402" s="5">
        <v>45803</v>
      </c>
      <c r="B402" t="s">
        <v>2347</v>
      </c>
      <c r="C402" s="11">
        <v>0</v>
      </c>
      <c r="D402" s="39">
        <v>11631353</v>
      </c>
      <c r="E402" s="11">
        <f t="shared" si="6"/>
        <v>2209447252.5599985</v>
      </c>
      <c r="F402" s="80" t="s">
        <v>2140</v>
      </c>
      <c r="G402" s="80" t="s">
        <v>2141</v>
      </c>
      <c r="H402" s="154" t="s">
        <v>1622</v>
      </c>
      <c r="I402" s="37" t="s">
        <v>1561</v>
      </c>
    </row>
    <row r="403" spans="1:9" ht="15.75">
      <c r="A403" s="5">
        <v>45803</v>
      </c>
      <c r="B403" t="s">
        <v>2347</v>
      </c>
      <c r="C403" s="11">
        <v>0</v>
      </c>
      <c r="D403" s="39">
        <v>15257446</v>
      </c>
      <c r="E403" s="11">
        <f t="shared" si="6"/>
        <v>2224704698.5599985</v>
      </c>
      <c r="F403" s="80" t="s">
        <v>2140</v>
      </c>
      <c r="G403" s="80" t="s">
        <v>2141</v>
      </c>
      <c r="H403" s="154" t="s">
        <v>1622</v>
      </c>
      <c r="I403" s="37" t="s">
        <v>1562</v>
      </c>
    </row>
    <row r="404" spans="1:9" ht="15.75">
      <c r="A404" s="5">
        <v>45803</v>
      </c>
      <c r="B404" t="s">
        <v>2347</v>
      </c>
      <c r="C404" s="11">
        <v>0</v>
      </c>
      <c r="D404" s="39">
        <f>47090390-D401-D402-D403</f>
        <v>12194480</v>
      </c>
      <c r="E404" s="11">
        <f t="shared" si="6"/>
        <v>2236899178.5599985</v>
      </c>
      <c r="F404" s="80" t="s">
        <v>2140</v>
      </c>
      <c r="G404" s="80" t="s">
        <v>2141</v>
      </c>
      <c r="H404" s="154" t="s">
        <v>1622</v>
      </c>
      <c r="I404" s="37" t="s">
        <v>1563</v>
      </c>
    </row>
    <row r="405" spans="1:9">
      <c r="A405" s="5">
        <v>45804</v>
      </c>
      <c r="B405" t="s">
        <v>2022</v>
      </c>
      <c r="C405" s="11">
        <v>250000000</v>
      </c>
      <c r="D405" s="11">
        <v>0</v>
      </c>
      <c r="E405" s="11">
        <f t="shared" si="6"/>
        <v>1986899178.5599985</v>
      </c>
      <c r="F405" s="80" t="s">
        <v>920</v>
      </c>
      <c r="G405" t="s">
        <v>4250</v>
      </c>
      <c r="H405" t="s">
        <v>368</v>
      </c>
    </row>
    <row r="406" spans="1:9">
      <c r="A406" s="5">
        <v>45804</v>
      </c>
      <c r="B406" t="s">
        <v>2023</v>
      </c>
      <c r="C406" s="11">
        <v>2500</v>
      </c>
      <c r="D406" s="11">
        <v>0</v>
      </c>
      <c r="E406" s="11">
        <f t="shared" si="6"/>
        <v>1986896678.5599985</v>
      </c>
      <c r="F406" t="s">
        <v>19</v>
      </c>
      <c r="G406" t="s">
        <v>189</v>
      </c>
    </row>
    <row r="407" spans="1:9" ht="15.75">
      <c r="A407" s="5">
        <v>45804</v>
      </c>
      <c r="B407" t="s">
        <v>5397</v>
      </c>
      <c r="C407" s="11">
        <v>250000000</v>
      </c>
      <c r="D407" s="11">
        <v>0</v>
      </c>
      <c r="E407" s="11">
        <f t="shared" si="6"/>
        <v>1736896678.5599985</v>
      </c>
      <c r="F407" s="80" t="s">
        <v>920</v>
      </c>
      <c r="G407" s="8" t="s">
        <v>4250</v>
      </c>
      <c r="H407" s="154" t="s">
        <v>5399</v>
      </c>
    </row>
    <row r="408" spans="1:9">
      <c r="A408" s="5">
        <v>45804</v>
      </c>
      <c r="B408" t="s">
        <v>2024</v>
      </c>
      <c r="C408" s="11">
        <v>2500</v>
      </c>
      <c r="D408" s="11">
        <v>0</v>
      </c>
      <c r="E408" s="11">
        <f t="shared" si="6"/>
        <v>1736894178.5599985</v>
      </c>
      <c r="F408" t="s">
        <v>19</v>
      </c>
      <c r="G408" t="s">
        <v>189</v>
      </c>
    </row>
    <row r="409" spans="1:9" ht="15.75">
      <c r="A409" s="5">
        <v>45804</v>
      </c>
      <c r="B409" t="s">
        <v>5397</v>
      </c>
      <c r="C409" s="11">
        <v>250000000</v>
      </c>
      <c r="D409" s="11">
        <v>0</v>
      </c>
      <c r="E409" s="11">
        <f t="shared" si="6"/>
        <v>1486894178.5599985</v>
      </c>
      <c r="F409" s="80" t="s">
        <v>920</v>
      </c>
      <c r="G409" s="8" t="s">
        <v>4250</v>
      </c>
      <c r="H409" s="154" t="s">
        <v>5399</v>
      </c>
    </row>
    <row r="410" spans="1:9">
      <c r="A410" s="5">
        <v>45804</v>
      </c>
      <c r="B410" t="s">
        <v>2025</v>
      </c>
      <c r="C410" s="11">
        <v>2500</v>
      </c>
      <c r="D410" s="11">
        <v>0</v>
      </c>
      <c r="E410" s="11">
        <f t="shared" si="6"/>
        <v>1486891678.5599985</v>
      </c>
      <c r="F410" t="s">
        <v>19</v>
      </c>
      <c r="G410" t="s">
        <v>189</v>
      </c>
    </row>
    <row r="411" spans="1:9">
      <c r="A411" s="5">
        <v>45804</v>
      </c>
      <c r="B411" t="s">
        <v>2026</v>
      </c>
      <c r="C411" s="11">
        <v>250000000</v>
      </c>
      <c r="D411" s="11">
        <v>0</v>
      </c>
      <c r="E411" s="11">
        <f t="shared" si="6"/>
        <v>1236891678.5599985</v>
      </c>
      <c r="F411" s="80" t="s">
        <v>920</v>
      </c>
      <c r="G411" s="80" t="s">
        <v>4240</v>
      </c>
      <c r="H411" s="223">
        <v>45804</v>
      </c>
    </row>
    <row r="412" spans="1:9">
      <c r="A412" s="5">
        <v>45804</v>
      </c>
      <c r="B412" t="s">
        <v>2027</v>
      </c>
      <c r="C412" s="11">
        <v>2500</v>
      </c>
      <c r="D412" s="11">
        <v>0</v>
      </c>
      <c r="E412" s="11">
        <f t="shared" si="6"/>
        <v>1236889178.5599985</v>
      </c>
      <c r="F412" t="s">
        <v>19</v>
      </c>
      <c r="G412" t="s">
        <v>189</v>
      </c>
    </row>
    <row r="413" spans="1:9">
      <c r="A413" s="5">
        <v>45804</v>
      </c>
      <c r="B413" t="s">
        <v>2026</v>
      </c>
      <c r="C413" s="11">
        <v>250000000</v>
      </c>
      <c r="D413" s="11">
        <v>0</v>
      </c>
      <c r="E413" s="11">
        <f t="shared" si="6"/>
        <v>986889178.55999851</v>
      </c>
      <c r="F413" t="s">
        <v>920</v>
      </c>
      <c r="G413" s="80" t="s">
        <v>4240</v>
      </c>
      <c r="H413" s="223">
        <v>45804</v>
      </c>
    </row>
    <row r="414" spans="1:9">
      <c r="A414" s="5">
        <v>45804</v>
      </c>
      <c r="B414" t="s">
        <v>2028</v>
      </c>
      <c r="C414" s="11">
        <v>2500</v>
      </c>
      <c r="D414" s="11">
        <v>0</v>
      </c>
      <c r="E414" s="11">
        <f t="shared" si="6"/>
        <v>986886678.55999851</v>
      </c>
      <c r="F414" t="s">
        <v>19</v>
      </c>
      <c r="G414" t="s">
        <v>189</v>
      </c>
    </row>
    <row r="415" spans="1:9">
      <c r="A415" s="5">
        <v>45804</v>
      </c>
      <c r="B415" t="s">
        <v>2029</v>
      </c>
      <c r="C415" s="11">
        <v>2439850</v>
      </c>
      <c r="D415" s="11">
        <v>0</v>
      </c>
      <c r="E415" s="11">
        <f t="shared" si="6"/>
        <v>984446828.55999851</v>
      </c>
      <c r="F415" t="s">
        <v>8</v>
      </c>
      <c r="G415" t="s">
        <v>33</v>
      </c>
    </row>
    <row r="416" spans="1:9">
      <c r="A416" s="5">
        <v>45804</v>
      </c>
      <c r="B416" t="s">
        <v>2030</v>
      </c>
      <c r="C416" s="11">
        <v>45000000</v>
      </c>
      <c r="D416" s="11">
        <v>0</v>
      </c>
      <c r="E416" s="11">
        <f t="shared" si="6"/>
        <v>939446828.55999851</v>
      </c>
      <c r="F416" t="s">
        <v>4</v>
      </c>
      <c r="G416" t="s">
        <v>5</v>
      </c>
      <c r="H416" s="40" t="s">
        <v>2326</v>
      </c>
    </row>
    <row r="417" spans="1:9">
      <c r="A417" s="5">
        <v>45804</v>
      </c>
      <c r="B417" t="s">
        <v>2031</v>
      </c>
      <c r="C417" s="11">
        <v>2500</v>
      </c>
      <c r="D417" s="11">
        <v>0</v>
      </c>
      <c r="E417" s="11">
        <f t="shared" si="6"/>
        <v>939444328.55999851</v>
      </c>
      <c r="F417" t="s">
        <v>19</v>
      </c>
      <c r="G417" t="s">
        <v>189</v>
      </c>
    </row>
    <row r="418" spans="1:9" ht="15.75">
      <c r="A418" s="5">
        <v>45804</v>
      </c>
      <c r="B418" t="s">
        <v>2032</v>
      </c>
      <c r="C418" s="11">
        <v>2660000</v>
      </c>
      <c r="D418" s="11">
        <v>0</v>
      </c>
      <c r="E418" s="11">
        <f t="shared" si="6"/>
        <v>936784328.55999851</v>
      </c>
      <c r="F418" t="s">
        <v>4</v>
      </c>
      <c r="G418" t="s">
        <v>5</v>
      </c>
      <c r="H418" s="154" t="s">
        <v>1376</v>
      </c>
    </row>
    <row r="419" spans="1:9">
      <c r="A419" s="5">
        <v>45805</v>
      </c>
      <c r="B419" t="s">
        <v>2033</v>
      </c>
      <c r="C419" s="11">
        <v>250000000</v>
      </c>
      <c r="D419" s="11">
        <v>0</v>
      </c>
      <c r="E419" s="11">
        <f t="shared" si="6"/>
        <v>686784328.55999851</v>
      </c>
      <c r="F419" t="s">
        <v>62</v>
      </c>
      <c r="G419" t="s">
        <v>23</v>
      </c>
    </row>
    <row r="420" spans="1:9">
      <c r="A420" s="5">
        <v>45805</v>
      </c>
      <c r="B420" t="s">
        <v>2034</v>
      </c>
      <c r="C420" s="11">
        <v>2500</v>
      </c>
      <c r="D420" s="11">
        <v>0</v>
      </c>
      <c r="E420" s="11">
        <f t="shared" si="6"/>
        <v>686781828.55999851</v>
      </c>
      <c r="F420" t="s">
        <v>19</v>
      </c>
      <c r="G420" t="s">
        <v>189</v>
      </c>
    </row>
    <row r="421" spans="1:9" ht="15.75">
      <c r="A421" s="5">
        <v>45805</v>
      </c>
      <c r="B421" t="s">
        <v>380</v>
      </c>
      <c r="C421" s="11">
        <v>250000000</v>
      </c>
      <c r="D421" s="11">
        <v>0</v>
      </c>
      <c r="E421" s="11">
        <f t="shared" si="6"/>
        <v>436781828.55999851</v>
      </c>
      <c r="F421" t="s">
        <v>920</v>
      </c>
      <c r="G421" s="8" t="s">
        <v>4242</v>
      </c>
    </row>
    <row r="422" spans="1:9">
      <c r="A422" s="5">
        <v>45805</v>
      </c>
      <c r="B422" t="s">
        <v>2035</v>
      </c>
      <c r="C422" s="11">
        <v>2500</v>
      </c>
      <c r="D422" s="11">
        <v>0</v>
      </c>
      <c r="E422" s="11">
        <f t="shared" si="6"/>
        <v>436779328.55999851</v>
      </c>
      <c r="F422" t="s">
        <v>19</v>
      </c>
      <c r="G422" t="s">
        <v>189</v>
      </c>
    </row>
    <row r="423" spans="1:9">
      <c r="A423" s="5">
        <v>45805</v>
      </c>
      <c r="B423" t="s">
        <v>2036</v>
      </c>
      <c r="C423" s="11">
        <v>250000000</v>
      </c>
      <c r="D423" s="11">
        <v>0</v>
      </c>
      <c r="E423" s="11">
        <f t="shared" si="6"/>
        <v>186779328.55999851</v>
      </c>
      <c r="F423" t="s">
        <v>920</v>
      </c>
      <c r="G423" s="80" t="s">
        <v>4240</v>
      </c>
      <c r="H423" s="223">
        <v>45805</v>
      </c>
    </row>
    <row r="424" spans="1:9">
      <c r="A424" s="5">
        <v>45805</v>
      </c>
      <c r="B424" t="s">
        <v>2037</v>
      </c>
      <c r="C424" s="11">
        <v>2500</v>
      </c>
      <c r="D424" s="11">
        <v>0</v>
      </c>
      <c r="E424" s="11">
        <f t="shared" si="6"/>
        <v>186776828.55999851</v>
      </c>
      <c r="F424" t="s">
        <v>19</v>
      </c>
      <c r="G424" t="s">
        <v>189</v>
      </c>
    </row>
    <row r="425" spans="1:9">
      <c r="A425" s="5">
        <v>45805</v>
      </c>
      <c r="B425" t="s">
        <v>2038</v>
      </c>
      <c r="C425" s="11">
        <v>5200000</v>
      </c>
      <c r="D425" s="11">
        <v>0</v>
      </c>
      <c r="E425" s="11">
        <f t="shared" si="6"/>
        <v>181576828.55999851</v>
      </c>
      <c r="F425" t="s">
        <v>10</v>
      </c>
      <c r="G425" t="s">
        <v>446</v>
      </c>
      <c r="H425" s="40" t="s">
        <v>2324</v>
      </c>
      <c r="I425" t="s">
        <v>26</v>
      </c>
    </row>
    <row r="426" spans="1:9">
      <c r="A426" s="5">
        <v>45805</v>
      </c>
      <c r="B426" t="s">
        <v>2039</v>
      </c>
      <c r="C426" s="11">
        <v>2500</v>
      </c>
      <c r="D426" s="11">
        <v>0</v>
      </c>
      <c r="E426" s="11">
        <f t="shared" si="6"/>
        <v>181574328.55999851</v>
      </c>
      <c r="F426" t="s">
        <v>19</v>
      </c>
      <c r="G426" t="s">
        <v>189</v>
      </c>
    </row>
    <row r="427" spans="1:9" ht="15.75">
      <c r="A427" s="5">
        <v>45805</v>
      </c>
      <c r="B427" t="s">
        <v>2040</v>
      </c>
      <c r="C427" s="11">
        <v>0</v>
      </c>
      <c r="D427" s="11">
        <v>225000000</v>
      </c>
      <c r="E427" s="11">
        <f t="shared" si="6"/>
        <v>406574328.55999851</v>
      </c>
      <c r="F427" s="8" t="s">
        <v>920</v>
      </c>
      <c r="G427" t="s">
        <v>4253</v>
      </c>
    </row>
    <row r="428" spans="1:9">
      <c r="A428" s="5">
        <v>45805</v>
      </c>
      <c r="B428" t="s">
        <v>2041</v>
      </c>
      <c r="C428" s="11">
        <v>150000000</v>
      </c>
      <c r="D428" s="11">
        <v>0</v>
      </c>
      <c r="E428" s="11">
        <f t="shared" si="6"/>
        <v>256574328.55999851</v>
      </c>
      <c r="F428" t="s">
        <v>920</v>
      </c>
      <c r="G428" t="s">
        <v>4250</v>
      </c>
      <c r="H428" t="s">
        <v>100</v>
      </c>
    </row>
    <row r="429" spans="1:9">
      <c r="A429" s="5">
        <v>45805</v>
      </c>
      <c r="B429" t="s">
        <v>2042</v>
      </c>
      <c r="C429" s="11">
        <v>2500</v>
      </c>
      <c r="D429" s="11">
        <v>0</v>
      </c>
      <c r="E429" s="11">
        <f t="shared" si="6"/>
        <v>256571828.55999851</v>
      </c>
      <c r="F429" t="s">
        <v>19</v>
      </c>
      <c r="G429" t="s">
        <v>189</v>
      </c>
    </row>
    <row r="430" spans="1:9">
      <c r="A430" s="5">
        <v>45808</v>
      </c>
      <c r="B430" t="s">
        <v>901</v>
      </c>
      <c r="C430" s="11">
        <v>25000</v>
      </c>
      <c r="D430" s="11">
        <v>0</v>
      </c>
      <c r="E430" s="11">
        <f t="shared" si="6"/>
        <v>256546828.55999851</v>
      </c>
      <c r="F430" t="s">
        <v>19</v>
      </c>
      <c r="G430" t="s">
        <v>189</v>
      </c>
    </row>
    <row r="431" spans="1:9">
      <c r="A431" s="5">
        <v>45808</v>
      </c>
      <c r="B431" t="s">
        <v>902</v>
      </c>
      <c r="C431" s="11">
        <v>0</v>
      </c>
      <c r="D431" s="11">
        <v>3206073.72</v>
      </c>
      <c r="E431" s="11">
        <f t="shared" si="6"/>
        <v>259752902.27999851</v>
      </c>
      <c r="F431" t="s">
        <v>190</v>
      </c>
      <c r="G431" t="s">
        <v>79</v>
      </c>
    </row>
    <row r="432" spans="1:9">
      <c r="A432" s="5">
        <v>45808</v>
      </c>
      <c r="B432" t="s">
        <v>383</v>
      </c>
      <c r="C432" s="11">
        <v>641214.74</v>
      </c>
      <c r="D432" s="11">
        <v>0</v>
      </c>
      <c r="E432" s="11">
        <f t="shared" si="6"/>
        <v>259111687.5399985</v>
      </c>
      <c r="F432" t="s">
        <v>190</v>
      </c>
      <c r="G432" t="s">
        <v>79</v>
      </c>
    </row>
    <row r="433" spans="1:9" s="8" customFormat="1" ht="15.75">
      <c r="A433" s="13">
        <v>45811</v>
      </c>
      <c r="B433" s="8" t="s">
        <v>7118</v>
      </c>
      <c r="C433" s="54">
        <v>402000</v>
      </c>
      <c r="D433" s="54">
        <v>0</v>
      </c>
      <c r="E433" s="11">
        <f t="shared" si="6"/>
        <v>258709687.5399985</v>
      </c>
      <c r="F433" s="8" t="s">
        <v>920</v>
      </c>
      <c r="G433" s="8" t="s">
        <v>4242</v>
      </c>
      <c r="H433" s="8" t="s">
        <v>88</v>
      </c>
      <c r="I433" s="8" t="s">
        <v>4596</v>
      </c>
    </row>
    <row r="434" spans="1:9" s="40" customFormat="1">
      <c r="A434" s="218">
        <v>45811</v>
      </c>
      <c r="B434" s="40" t="s">
        <v>7118</v>
      </c>
      <c r="C434" s="39">
        <v>114536</v>
      </c>
      <c r="D434" s="39">
        <v>0</v>
      </c>
      <c r="E434" s="11">
        <f t="shared" si="6"/>
        <v>258595151.5399985</v>
      </c>
      <c r="F434" s="40" t="s">
        <v>1400</v>
      </c>
      <c r="G434" s="40" t="s">
        <v>1400</v>
      </c>
      <c r="H434" s="40" t="s">
        <v>88</v>
      </c>
      <c r="I434" s="40" t="s">
        <v>4596</v>
      </c>
    </row>
    <row r="435" spans="1:9" s="8" customFormat="1" ht="15.75">
      <c r="A435" s="13">
        <v>45811</v>
      </c>
      <c r="B435" s="8" t="s">
        <v>7118</v>
      </c>
      <c r="C435" s="54">
        <v>70000</v>
      </c>
      <c r="D435" s="54">
        <v>0</v>
      </c>
      <c r="E435" s="11">
        <f t="shared" si="6"/>
        <v>258525151.5399985</v>
      </c>
      <c r="F435" s="8" t="s">
        <v>920</v>
      </c>
      <c r="G435" s="8" t="s">
        <v>4242</v>
      </c>
      <c r="H435" s="8" t="s">
        <v>88</v>
      </c>
      <c r="I435" s="8" t="s">
        <v>4596</v>
      </c>
    </row>
    <row r="436" spans="1:9" s="8" customFormat="1" ht="15.75">
      <c r="A436" s="13">
        <v>45811</v>
      </c>
      <c r="B436" s="8" t="s">
        <v>7118</v>
      </c>
      <c r="C436" s="54">
        <v>602437</v>
      </c>
      <c r="D436" s="54">
        <v>0</v>
      </c>
      <c r="E436" s="11">
        <f t="shared" si="6"/>
        <v>257922714.5399985</v>
      </c>
      <c r="F436" s="8" t="s">
        <v>920</v>
      </c>
      <c r="G436" s="8" t="s">
        <v>4242</v>
      </c>
      <c r="H436" s="8" t="s">
        <v>88</v>
      </c>
      <c r="I436" s="8" t="s">
        <v>4596</v>
      </c>
    </row>
    <row r="437" spans="1:9" s="8" customFormat="1" ht="15.75">
      <c r="A437" s="13">
        <v>45811</v>
      </c>
      <c r="B437" s="8" t="s">
        <v>7118</v>
      </c>
      <c r="C437" s="54">
        <v>13514</v>
      </c>
      <c r="D437" s="54">
        <v>0</v>
      </c>
      <c r="E437" s="11">
        <f t="shared" si="6"/>
        <v>257909200.5399985</v>
      </c>
      <c r="F437" s="8" t="s">
        <v>920</v>
      </c>
      <c r="G437" s="8" t="s">
        <v>4242</v>
      </c>
      <c r="H437" s="8" t="s">
        <v>88</v>
      </c>
      <c r="I437" s="8" t="s">
        <v>4596</v>
      </c>
    </row>
    <row r="438" spans="1:9" s="40" customFormat="1">
      <c r="A438" s="218">
        <v>45811</v>
      </c>
      <c r="B438" s="40" t="s">
        <v>7118</v>
      </c>
      <c r="C438" s="39">
        <v>1801802</v>
      </c>
      <c r="D438" s="39">
        <v>0</v>
      </c>
      <c r="E438" s="11">
        <f t="shared" si="6"/>
        <v>256107398.5399985</v>
      </c>
      <c r="F438" s="40" t="s">
        <v>1400</v>
      </c>
      <c r="G438" s="40" t="s">
        <v>1400</v>
      </c>
      <c r="H438" s="40" t="s">
        <v>2170</v>
      </c>
      <c r="I438" s="40" t="s">
        <v>4596</v>
      </c>
    </row>
    <row r="439" spans="1:9" s="8" customFormat="1" ht="15.75">
      <c r="A439" s="13">
        <v>45811</v>
      </c>
      <c r="B439" s="8" t="s">
        <v>7118</v>
      </c>
      <c r="C439" s="54">
        <v>92000</v>
      </c>
      <c r="D439" s="54">
        <v>0</v>
      </c>
      <c r="E439" s="11">
        <f t="shared" si="6"/>
        <v>256015398.5399985</v>
      </c>
      <c r="F439" s="8" t="s">
        <v>920</v>
      </c>
      <c r="G439" s="8" t="s">
        <v>4242</v>
      </c>
      <c r="H439" s="8" t="s">
        <v>88</v>
      </c>
      <c r="I439" s="8" t="s">
        <v>4596</v>
      </c>
    </row>
    <row r="440" spans="1:9" s="8" customFormat="1" ht="15.75">
      <c r="A440" s="13">
        <v>45811</v>
      </c>
      <c r="B440" s="8" t="s">
        <v>7118</v>
      </c>
      <c r="C440" s="54">
        <f>3202289-C433-C434-C435-C436-C437-C438-C439</f>
        <v>106000</v>
      </c>
      <c r="D440" s="54">
        <v>0</v>
      </c>
      <c r="E440" s="11">
        <f t="shared" si="6"/>
        <v>255909398.5399985</v>
      </c>
      <c r="F440" s="8" t="s">
        <v>920</v>
      </c>
      <c r="G440" s="8" t="s">
        <v>4242</v>
      </c>
      <c r="H440" s="8" t="s">
        <v>88</v>
      </c>
      <c r="I440" s="8" t="s">
        <v>4596</v>
      </c>
    </row>
    <row r="441" spans="1:9">
      <c r="A441" s="5">
        <v>45811</v>
      </c>
      <c r="B441" t="s">
        <v>2043</v>
      </c>
      <c r="C441" s="11">
        <v>900500</v>
      </c>
      <c r="D441" s="11">
        <v>0</v>
      </c>
      <c r="E441" s="11">
        <f t="shared" si="6"/>
        <v>255008898.5399985</v>
      </c>
      <c r="F441" t="s">
        <v>920</v>
      </c>
      <c r="G441" t="s">
        <v>4250</v>
      </c>
      <c r="H441" t="s">
        <v>100</v>
      </c>
    </row>
    <row r="442" spans="1:9">
      <c r="A442" s="5">
        <v>45811</v>
      </c>
      <c r="B442" t="s">
        <v>2044</v>
      </c>
      <c r="C442" s="11">
        <v>2500</v>
      </c>
      <c r="D442" s="11">
        <v>0</v>
      </c>
      <c r="E442" s="11">
        <f t="shared" si="6"/>
        <v>255006398.5399985</v>
      </c>
      <c r="F442" t="s">
        <v>19</v>
      </c>
      <c r="G442" t="s">
        <v>189</v>
      </c>
    </row>
    <row r="443" spans="1:9">
      <c r="A443" s="5">
        <v>45811</v>
      </c>
      <c r="B443" t="s">
        <v>2045</v>
      </c>
      <c r="C443" s="11">
        <v>156000</v>
      </c>
      <c r="D443" s="11">
        <v>0</v>
      </c>
      <c r="E443" s="11">
        <f t="shared" si="6"/>
        <v>254850398.5399985</v>
      </c>
      <c r="F443" t="s">
        <v>920</v>
      </c>
      <c r="G443" t="s">
        <v>4250</v>
      </c>
      <c r="H443" t="s">
        <v>368</v>
      </c>
    </row>
    <row r="444" spans="1:9">
      <c r="A444" s="5">
        <v>45811</v>
      </c>
      <c r="B444" t="s">
        <v>2046</v>
      </c>
      <c r="C444" s="11">
        <v>2500</v>
      </c>
      <c r="D444" s="11">
        <v>0</v>
      </c>
      <c r="E444" s="11">
        <f t="shared" si="6"/>
        <v>254847898.5399985</v>
      </c>
      <c r="F444" t="s">
        <v>19</v>
      </c>
      <c r="G444" t="s">
        <v>189</v>
      </c>
    </row>
    <row r="445" spans="1:9" ht="15.75">
      <c r="A445" s="5">
        <v>45812</v>
      </c>
      <c r="B445" t="s">
        <v>2047</v>
      </c>
      <c r="C445" s="11">
        <v>0</v>
      </c>
      <c r="D445" s="11">
        <v>20578704</v>
      </c>
      <c r="E445" s="11">
        <f t="shared" si="6"/>
        <v>275426602.53999853</v>
      </c>
      <c r="F445" t="s">
        <v>10</v>
      </c>
      <c r="G445" t="s">
        <v>18</v>
      </c>
      <c r="H445" s="154" t="s">
        <v>426</v>
      </c>
      <c r="I445" s="154" t="s">
        <v>2386</v>
      </c>
    </row>
    <row r="446" spans="1:9" ht="15.75">
      <c r="A446" s="5">
        <v>45812</v>
      </c>
      <c r="B446" t="s">
        <v>423</v>
      </c>
      <c r="C446" s="11">
        <v>0</v>
      </c>
      <c r="D446" s="11">
        <v>206362923</v>
      </c>
      <c r="E446" s="11">
        <f t="shared" si="6"/>
        <v>481789525.53999853</v>
      </c>
      <c r="F446" t="s">
        <v>10</v>
      </c>
      <c r="G446" t="s">
        <v>18</v>
      </c>
      <c r="H446" s="154" t="s">
        <v>4307</v>
      </c>
      <c r="I446" s="154" t="s">
        <v>2416</v>
      </c>
    </row>
    <row r="447" spans="1:9">
      <c r="A447" s="5">
        <v>45812</v>
      </c>
      <c r="B447" t="s">
        <v>2048</v>
      </c>
      <c r="C447" s="11">
        <v>3371316</v>
      </c>
      <c r="D447" s="11">
        <v>0</v>
      </c>
      <c r="E447" s="11">
        <f t="shared" si="6"/>
        <v>478418209.53999853</v>
      </c>
      <c r="F447" t="s">
        <v>4</v>
      </c>
      <c r="G447" t="s">
        <v>5</v>
      </c>
      <c r="H447" s="40" t="s">
        <v>1636</v>
      </c>
    </row>
    <row r="448" spans="1:9">
      <c r="A448" s="5">
        <v>45812</v>
      </c>
      <c r="B448" t="s">
        <v>2049</v>
      </c>
      <c r="C448" s="11">
        <v>4237005</v>
      </c>
      <c r="D448" s="11">
        <v>0</v>
      </c>
      <c r="E448" s="11">
        <f t="shared" si="6"/>
        <v>474181204.53999853</v>
      </c>
      <c r="F448" s="80" t="s">
        <v>10</v>
      </c>
      <c r="G448" s="80" t="s">
        <v>446</v>
      </c>
      <c r="H448" s="40" t="s">
        <v>1461</v>
      </c>
      <c r="I448" t="s">
        <v>26</v>
      </c>
    </row>
    <row r="449" spans="1:9">
      <c r="A449" s="5">
        <v>45812</v>
      </c>
      <c r="B449" t="s">
        <v>2050</v>
      </c>
      <c r="C449" s="11">
        <v>2500</v>
      </c>
      <c r="D449" s="11">
        <v>0</v>
      </c>
      <c r="E449" s="11">
        <f t="shared" si="6"/>
        <v>474178704.53999853</v>
      </c>
      <c r="F449" t="s">
        <v>19</v>
      </c>
      <c r="G449" t="s">
        <v>189</v>
      </c>
    </row>
    <row r="450" spans="1:9">
      <c r="A450" s="5">
        <v>45812</v>
      </c>
      <c r="B450" t="s">
        <v>2051</v>
      </c>
      <c r="C450" s="11">
        <v>1535095</v>
      </c>
      <c r="D450" s="11">
        <v>0</v>
      </c>
      <c r="E450" s="11">
        <f t="shared" si="6"/>
        <v>472643609.53999853</v>
      </c>
      <c r="F450" t="s">
        <v>10</v>
      </c>
      <c r="G450" t="s">
        <v>446</v>
      </c>
      <c r="H450" s="40" t="s">
        <v>1632</v>
      </c>
      <c r="I450" s="80" t="s">
        <v>26</v>
      </c>
    </row>
    <row r="451" spans="1:9">
      <c r="A451" s="5">
        <v>45812</v>
      </c>
      <c r="B451" t="s">
        <v>2052</v>
      </c>
      <c r="C451" s="11">
        <v>13625640</v>
      </c>
      <c r="D451" s="11">
        <v>0</v>
      </c>
      <c r="E451" s="11">
        <f t="shared" si="6"/>
        <v>459017969.53999853</v>
      </c>
      <c r="F451" t="s">
        <v>4</v>
      </c>
      <c r="G451" t="s">
        <v>5</v>
      </c>
      <c r="H451" s="40" t="s">
        <v>1622</v>
      </c>
    </row>
    <row r="452" spans="1:9">
      <c r="A452" s="5">
        <v>45812</v>
      </c>
      <c r="B452" t="s">
        <v>2053</v>
      </c>
      <c r="C452" s="11">
        <v>2500</v>
      </c>
      <c r="D452" s="11">
        <v>0</v>
      </c>
      <c r="E452" s="11">
        <f t="shared" si="6"/>
        <v>459015469.53999853</v>
      </c>
      <c r="F452" t="s">
        <v>19</v>
      </c>
      <c r="G452" t="s">
        <v>189</v>
      </c>
    </row>
    <row r="453" spans="1:9">
      <c r="A453" s="5">
        <v>45812</v>
      </c>
      <c r="B453" t="s">
        <v>2054</v>
      </c>
      <c r="C453" s="11">
        <v>2387900</v>
      </c>
      <c r="D453" s="11">
        <v>0</v>
      </c>
      <c r="E453" s="11">
        <f t="shared" si="6"/>
        <v>456627569.53999853</v>
      </c>
      <c r="F453" s="80" t="s">
        <v>10</v>
      </c>
      <c r="G453" s="80" t="s">
        <v>446</v>
      </c>
      <c r="H453" s="40" t="s">
        <v>1461</v>
      </c>
      <c r="I453" t="s">
        <v>26</v>
      </c>
    </row>
    <row r="454" spans="1:9">
      <c r="A454" s="5">
        <v>45812</v>
      </c>
      <c r="B454" t="s">
        <v>2055</v>
      </c>
      <c r="C454" s="11">
        <v>2500</v>
      </c>
      <c r="D454" s="11">
        <v>0</v>
      </c>
      <c r="E454" s="11">
        <f t="shared" ref="E454:E517" si="7">E453-C454+D454</f>
        <v>456625069.53999853</v>
      </c>
      <c r="F454" t="s">
        <v>19</v>
      </c>
      <c r="G454" t="s">
        <v>189</v>
      </c>
    </row>
    <row r="455" spans="1:9">
      <c r="A455" s="5">
        <v>45812</v>
      </c>
      <c r="B455" t="s">
        <v>2056</v>
      </c>
      <c r="C455" s="11">
        <v>12726060</v>
      </c>
      <c r="D455" s="11">
        <v>0</v>
      </c>
      <c r="E455" s="11">
        <f t="shared" si="7"/>
        <v>443899009.53999853</v>
      </c>
      <c r="F455" s="80" t="s">
        <v>10</v>
      </c>
      <c r="G455" s="80" t="s">
        <v>446</v>
      </c>
      <c r="H455" s="40" t="s">
        <v>6539</v>
      </c>
      <c r="I455" t="s">
        <v>26</v>
      </c>
    </row>
    <row r="456" spans="1:9">
      <c r="A456" s="5">
        <v>45812</v>
      </c>
      <c r="B456" t="s">
        <v>2057</v>
      </c>
      <c r="C456" s="11">
        <v>35250000</v>
      </c>
      <c r="D456" s="11">
        <v>0</v>
      </c>
      <c r="E456" s="11">
        <f t="shared" si="7"/>
        <v>408649009.53999853</v>
      </c>
      <c r="F456" t="s">
        <v>4</v>
      </c>
      <c r="G456" t="s">
        <v>5</v>
      </c>
      <c r="H456" s="40" t="s">
        <v>7814</v>
      </c>
      <c r="I456" t="s">
        <v>26</v>
      </c>
    </row>
    <row r="457" spans="1:9">
      <c r="A457" s="5">
        <v>45812</v>
      </c>
      <c r="B457" t="s">
        <v>2058</v>
      </c>
      <c r="C457" s="11">
        <v>2500</v>
      </c>
      <c r="D457" s="11">
        <v>0</v>
      </c>
      <c r="E457" s="11">
        <f t="shared" si="7"/>
        <v>408646509.53999853</v>
      </c>
      <c r="F457" t="s">
        <v>19</v>
      </c>
      <c r="G457" t="s">
        <v>189</v>
      </c>
    </row>
    <row r="458" spans="1:9" ht="15.75">
      <c r="A458" s="5">
        <v>45812</v>
      </c>
      <c r="B458" t="s">
        <v>2059</v>
      </c>
      <c r="C458" s="11">
        <v>3630620</v>
      </c>
      <c r="D458" s="11">
        <v>0</v>
      </c>
      <c r="E458" s="11">
        <f t="shared" si="7"/>
        <v>405015889.53999853</v>
      </c>
      <c r="F458" t="s">
        <v>4</v>
      </c>
      <c r="G458" t="s">
        <v>5</v>
      </c>
      <c r="H458" s="154" t="s">
        <v>1376</v>
      </c>
    </row>
    <row r="459" spans="1:9" s="8" customFormat="1" ht="15.75">
      <c r="A459" s="13">
        <v>45812</v>
      </c>
      <c r="B459" s="8" t="s">
        <v>2060</v>
      </c>
      <c r="C459" s="54">
        <v>354200</v>
      </c>
      <c r="D459" s="54">
        <v>0</v>
      </c>
      <c r="E459" s="11">
        <f t="shared" si="7"/>
        <v>404661689.53999853</v>
      </c>
      <c r="F459" s="8" t="s">
        <v>6</v>
      </c>
      <c r="G459" s="8" t="s">
        <v>7</v>
      </c>
      <c r="H459" s="8" t="s">
        <v>430</v>
      </c>
      <c r="I459" s="8" t="s">
        <v>34</v>
      </c>
    </row>
    <row r="460" spans="1:9">
      <c r="A460" s="5">
        <v>45812</v>
      </c>
      <c r="B460" t="s">
        <v>2061</v>
      </c>
      <c r="C460" s="11">
        <v>2500</v>
      </c>
      <c r="D460" s="11">
        <v>0</v>
      </c>
      <c r="E460" s="11">
        <f t="shared" si="7"/>
        <v>404659189.53999853</v>
      </c>
      <c r="F460" t="s">
        <v>19</v>
      </c>
      <c r="G460" t="s">
        <v>189</v>
      </c>
    </row>
    <row r="461" spans="1:9">
      <c r="A461" s="5">
        <v>45812</v>
      </c>
      <c r="B461" t="s">
        <v>2062</v>
      </c>
      <c r="C461" s="11">
        <v>861770</v>
      </c>
      <c r="D461" s="11">
        <v>0</v>
      </c>
      <c r="E461" s="11">
        <f t="shared" si="7"/>
        <v>403797419.53999853</v>
      </c>
      <c r="F461" s="80" t="s">
        <v>10</v>
      </c>
      <c r="G461" s="80" t="s">
        <v>446</v>
      </c>
      <c r="H461" s="40" t="s">
        <v>6539</v>
      </c>
      <c r="I461" t="s">
        <v>26</v>
      </c>
    </row>
    <row r="462" spans="1:9">
      <c r="A462" s="5">
        <v>45812</v>
      </c>
      <c r="B462" t="s">
        <v>2063</v>
      </c>
      <c r="C462" s="11">
        <v>600000</v>
      </c>
      <c r="D462" s="11">
        <v>0</v>
      </c>
      <c r="E462" s="11">
        <f t="shared" si="7"/>
        <v>403197419.53999853</v>
      </c>
      <c r="F462" t="s">
        <v>10</v>
      </c>
      <c r="G462" t="s">
        <v>446</v>
      </c>
      <c r="H462" s="40" t="s">
        <v>1640</v>
      </c>
      <c r="I462" t="s">
        <v>26</v>
      </c>
    </row>
    <row r="463" spans="1:9">
      <c r="A463" s="5">
        <v>45812</v>
      </c>
      <c r="B463" t="s">
        <v>2064</v>
      </c>
      <c r="C463" s="11">
        <v>2500</v>
      </c>
      <c r="D463" s="11">
        <v>0</v>
      </c>
      <c r="E463" s="11">
        <f t="shared" si="7"/>
        <v>403194919.53999853</v>
      </c>
      <c r="F463" t="s">
        <v>19</v>
      </c>
      <c r="G463" t="s">
        <v>189</v>
      </c>
    </row>
    <row r="464" spans="1:9">
      <c r="A464" s="5">
        <v>45812</v>
      </c>
      <c r="B464" t="s">
        <v>2065</v>
      </c>
      <c r="C464" s="11">
        <v>1447970</v>
      </c>
      <c r="D464" s="11">
        <v>0</v>
      </c>
      <c r="E464" s="11">
        <f t="shared" si="7"/>
        <v>401746949.53999853</v>
      </c>
      <c r="F464" s="80" t="s">
        <v>10</v>
      </c>
      <c r="G464" s="80" t="s">
        <v>446</v>
      </c>
      <c r="H464" s="40" t="s">
        <v>6539</v>
      </c>
      <c r="I464" t="s">
        <v>26</v>
      </c>
    </row>
    <row r="465" spans="1:9">
      <c r="A465" s="5">
        <v>45812</v>
      </c>
      <c r="B465" t="s">
        <v>2066</v>
      </c>
      <c r="C465" s="11">
        <v>2609000</v>
      </c>
      <c r="D465" s="11">
        <v>0</v>
      </c>
      <c r="E465" s="11">
        <f t="shared" si="7"/>
        <v>399137949.53999853</v>
      </c>
      <c r="F465" t="s">
        <v>4</v>
      </c>
      <c r="G465" t="s">
        <v>5</v>
      </c>
      <c r="H465" s="40" t="s">
        <v>1636</v>
      </c>
    </row>
    <row r="466" spans="1:9">
      <c r="A466" s="5">
        <v>45812</v>
      </c>
      <c r="B466" t="s">
        <v>2067</v>
      </c>
      <c r="C466" s="11">
        <v>2500</v>
      </c>
      <c r="D466" s="11">
        <v>0</v>
      </c>
      <c r="E466" s="11">
        <f t="shared" si="7"/>
        <v>399135449.53999853</v>
      </c>
      <c r="F466" t="s">
        <v>19</v>
      </c>
      <c r="G466" t="s">
        <v>189</v>
      </c>
    </row>
    <row r="467" spans="1:9" ht="15.75">
      <c r="A467" s="5">
        <v>45812</v>
      </c>
      <c r="B467" t="s">
        <v>2068</v>
      </c>
      <c r="C467" s="11">
        <v>279557740</v>
      </c>
      <c r="D467" s="11">
        <v>0</v>
      </c>
      <c r="E467" s="11">
        <f t="shared" si="7"/>
        <v>119577709.53999853</v>
      </c>
      <c r="F467" t="s">
        <v>4</v>
      </c>
      <c r="G467" t="s">
        <v>5</v>
      </c>
      <c r="H467" s="154" t="s">
        <v>1376</v>
      </c>
    </row>
    <row r="468" spans="1:9">
      <c r="A468" s="5">
        <v>45812</v>
      </c>
      <c r="B468" t="s">
        <v>7070</v>
      </c>
      <c r="C468" s="11">
        <v>18018019</v>
      </c>
      <c r="D468" s="11">
        <v>0</v>
      </c>
      <c r="E468" s="11">
        <f t="shared" si="7"/>
        <v>101559690.53999853</v>
      </c>
      <c r="F468" t="s">
        <v>8</v>
      </c>
      <c r="G468" t="s">
        <v>77</v>
      </c>
      <c r="H468" t="s">
        <v>7069</v>
      </c>
    </row>
    <row r="469" spans="1:9">
      <c r="A469" s="5">
        <v>45812</v>
      </c>
      <c r="B469" t="s">
        <v>7070</v>
      </c>
      <c r="C469" s="11">
        <v>1981982</v>
      </c>
      <c r="D469" s="11">
        <v>0</v>
      </c>
      <c r="E469" s="11">
        <f t="shared" si="7"/>
        <v>99577708.539998531</v>
      </c>
      <c r="F469" t="s">
        <v>920</v>
      </c>
      <c r="G469" t="s">
        <v>7856</v>
      </c>
      <c r="H469" t="s">
        <v>7032</v>
      </c>
      <c r="I469" t="s">
        <v>7069</v>
      </c>
    </row>
    <row r="470" spans="1:9" s="40" customFormat="1">
      <c r="A470" s="218">
        <v>45812</v>
      </c>
      <c r="B470" s="40" t="s">
        <v>7070</v>
      </c>
      <c r="C470" s="39">
        <v>0</v>
      </c>
      <c r="D470" s="39">
        <f>C468+C469-18198199</f>
        <v>1801802</v>
      </c>
      <c r="E470" s="11">
        <f t="shared" si="7"/>
        <v>101379510.53999853</v>
      </c>
      <c r="F470" s="40" t="s">
        <v>1400</v>
      </c>
      <c r="G470" s="40" t="s">
        <v>1400</v>
      </c>
      <c r="H470" s="40" t="s">
        <v>2170</v>
      </c>
      <c r="I470" s="40" t="s">
        <v>7069</v>
      </c>
    </row>
    <row r="471" spans="1:9">
      <c r="A471" s="5">
        <v>45812</v>
      </c>
      <c r="B471" t="s">
        <v>2069</v>
      </c>
      <c r="C471" s="11">
        <v>1770000</v>
      </c>
      <c r="D471" s="11">
        <v>0</v>
      </c>
      <c r="E471" s="11">
        <f t="shared" si="7"/>
        <v>99609510.539998531</v>
      </c>
      <c r="F471" t="s">
        <v>10</v>
      </c>
      <c r="G471" t="s">
        <v>446</v>
      </c>
      <c r="H471" s="40" t="s">
        <v>1640</v>
      </c>
      <c r="I471" t="s">
        <v>26</v>
      </c>
    </row>
    <row r="472" spans="1:9">
      <c r="A472" s="5">
        <v>45812</v>
      </c>
      <c r="B472" t="s">
        <v>2070</v>
      </c>
      <c r="C472" s="11">
        <v>1038970</v>
      </c>
      <c r="D472" s="11">
        <v>0</v>
      </c>
      <c r="E472" s="11">
        <f t="shared" si="7"/>
        <v>98570540.539998531</v>
      </c>
      <c r="F472" s="80" t="s">
        <v>10</v>
      </c>
      <c r="G472" s="80" t="s">
        <v>446</v>
      </c>
      <c r="H472" s="40" t="s">
        <v>6539</v>
      </c>
      <c r="I472" t="s">
        <v>26</v>
      </c>
    </row>
    <row r="473" spans="1:9">
      <c r="A473" s="5">
        <v>45813</v>
      </c>
      <c r="B473" t="s">
        <v>2142</v>
      </c>
      <c r="C473" s="11">
        <v>0</v>
      </c>
      <c r="D473" s="11">
        <v>171563700</v>
      </c>
      <c r="E473" s="11">
        <f t="shared" si="7"/>
        <v>270134240.53999853</v>
      </c>
      <c r="F473" t="s">
        <v>10</v>
      </c>
      <c r="G473" t="s">
        <v>18</v>
      </c>
      <c r="H473" t="s">
        <v>452</v>
      </c>
      <c r="I473" s="40" t="s">
        <v>2143</v>
      </c>
    </row>
    <row r="474" spans="1:9" ht="15.75">
      <c r="A474" s="5">
        <v>45813</v>
      </c>
      <c r="B474" t="s">
        <v>2142</v>
      </c>
      <c r="C474" s="11">
        <v>0</v>
      </c>
      <c r="D474" s="11">
        <f>241001566-D473</f>
        <v>69437866</v>
      </c>
      <c r="E474" s="11">
        <f t="shared" si="7"/>
        <v>339572106.53999853</v>
      </c>
      <c r="F474" t="s">
        <v>10</v>
      </c>
      <c r="G474" t="s">
        <v>18</v>
      </c>
      <c r="H474" s="154" t="s">
        <v>2426</v>
      </c>
      <c r="I474" s="154" t="s">
        <v>2388</v>
      </c>
    </row>
    <row r="475" spans="1:9" s="40" customFormat="1">
      <c r="A475" s="218">
        <v>45818</v>
      </c>
      <c r="B475" s="40" t="s">
        <v>6380</v>
      </c>
      <c r="C475" s="39">
        <v>0</v>
      </c>
      <c r="D475" s="39">
        <v>17064000</v>
      </c>
      <c r="E475" s="11">
        <f t="shared" si="7"/>
        <v>356636106.53999853</v>
      </c>
      <c r="F475" s="40" t="s">
        <v>4</v>
      </c>
      <c r="G475" s="40" t="s">
        <v>5</v>
      </c>
      <c r="H475" s="40" t="s">
        <v>1376</v>
      </c>
    </row>
    <row r="476" spans="1:9" ht="15.75">
      <c r="A476" s="5">
        <v>45818</v>
      </c>
      <c r="B476" t="s">
        <v>2071</v>
      </c>
      <c r="C476" s="11">
        <v>0</v>
      </c>
      <c r="D476" s="11">
        <v>642944332</v>
      </c>
      <c r="E476" s="11">
        <f t="shared" si="7"/>
        <v>999580438.53999853</v>
      </c>
      <c r="F476" t="s">
        <v>2140</v>
      </c>
      <c r="G476" t="s">
        <v>2141</v>
      </c>
      <c r="H476" s="154" t="s">
        <v>1622</v>
      </c>
      <c r="I476" s="37" t="s">
        <v>2223</v>
      </c>
    </row>
    <row r="477" spans="1:9">
      <c r="A477" s="5">
        <v>45818</v>
      </c>
      <c r="B477" t="s">
        <v>1879</v>
      </c>
      <c r="C477" s="11">
        <v>6861646</v>
      </c>
      <c r="D477" s="11">
        <v>0</v>
      </c>
      <c r="E477" s="11">
        <f t="shared" si="7"/>
        <v>992718792.53999853</v>
      </c>
      <c r="F477" t="s">
        <v>62</v>
      </c>
      <c r="G477" t="s">
        <v>251</v>
      </c>
      <c r="H477" t="s">
        <v>4560</v>
      </c>
    </row>
    <row r="478" spans="1:9">
      <c r="A478" s="5">
        <v>45818</v>
      </c>
      <c r="B478" t="s">
        <v>2072</v>
      </c>
      <c r="C478" s="11">
        <v>6861646</v>
      </c>
      <c r="D478" s="11">
        <v>0</v>
      </c>
      <c r="E478" s="11">
        <f t="shared" si="7"/>
        <v>985857146.53999853</v>
      </c>
      <c r="F478" t="s">
        <v>62</v>
      </c>
      <c r="G478" t="s">
        <v>251</v>
      </c>
      <c r="H478" t="s">
        <v>4561</v>
      </c>
    </row>
    <row r="479" spans="1:9">
      <c r="A479" s="5">
        <v>45818</v>
      </c>
      <c r="B479" t="s">
        <v>2073</v>
      </c>
      <c r="C479" s="11">
        <v>3766800</v>
      </c>
      <c r="D479" s="11">
        <v>0</v>
      </c>
      <c r="E479" s="11">
        <f t="shared" si="7"/>
        <v>982090346.53999853</v>
      </c>
      <c r="F479" t="s">
        <v>10</v>
      </c>
      <c r="G479" t="s">
        <v>446</v>
      </c>
      <c r="H479" s="40" t="s">
        <v>1461</v>
      </c>
      <c r="I479" t="s">
        <v>26</v>
      </c>
    </row>
    <row r="480" spans="1:9" s="8" customFormat="1" ht="15.75">
      <c r="A480" s="13">
        <v>45818</v>
      </c>
      <c r="B480" s="8" t="s">
        <v>2074</v>
      </c>
      <c r="C480" s="54">
        <v>7022330</v>
      </c>
      <c r="D480" s="54">
        <v>0</v>
      </c>
      <c r="E480" s="11">
        <f t="shared" si="7"/>
        <v>975068016.53999853</v>
      </c>
      <c r="F480" s="8" t="s">
        <v>6</v>
      </c>
      <c r="G480" s="8" t="s">
        <v>7</v>
      </c>
      <c r="H480" s="8" t="s">
        <v>253</v>
      </c>
      <c r="I480" s="8" t="s">
        <v>34</v>
      </c>
    </row>
    <row r="481" spans="1:9">
      <c r="A481" s="5">
        <v>45818</v>
      </c>
      <c r="B481" t="s">
        <v>2075</v>
      </c>
      <c r="C481" s="11">
        <v>2500</v>
      </c>
      <c r="D481" s="11">
        <v>0</v>
      </c>
      <c r="E481" s="11">
        <f t="shared" si="7"/>
        <v>975065516.53999853</v>
      </c>
      <c r="F481" t="s">
        <v>19</v>
      </c>
      <c r="G481" t="s">
        <v>189</v>
      </c>
    </row>
    <row r="482" spans="1:9">
      <c r="A482" s="5">
        <v>45818</v>
      </c>
      <c r="B482" t="s">
        <v>2076</v>
      </c>
      <c r="C482" s="11">
        <v>5702500</v>
      </c>
      <c r="D482" s="11">
        <v>0</v>
      </c>
      <c r="E482" s="11">
        <f t="shared" si="7"/>
        <v>969363016.53999853</v>
      </c>
      <c r="F482" t="s">
        <v>10</v>
      </c>
      <c r="G482" t="s">
        <v>446</v>
      </c>
      <c r="H482" s="40" t="s">
        <v>1461</v>
      </c>
      <c r="I482" t="s">
        <v>26</v>
      </c>
    </row>
    <row r="483" spans="1:9">
      <c r="A483" s="5">
        <v>45818</v>
      </c>
      <c r="B483" t="s">
        <v>2077</v>
      </c>
      <c r="C483" s="11">
        <v>2500</v>
      </c>
      <c r="D483" s="11">
        <v>0</v>
      </c>
      <c r="E483" s="11">
        <f t="shared" si="7"/>
        <v>969360516.53999853</v>
      </c>
      <c r="F483" t="s">
        <v>19</v>
      </c>
      <c r="G483" t="s">
        <v>189</v>
      </c>
    </row>
    <row r="484" spans="1:9">
      <c r="A484" s="5">
        <v>45818</v>
      </c>
      <c r="B484" t="s">
        <v>2078</v>
      </c>
      <c r="C484" s="11">
        <v>15276795</v>
      </c>
      <c r="D484" s="11">
        <v>0</v>
      </c>
      <c r="E484" s="11">
        <f t="shared" si="7"/>
        <v>954083721.53999853</v>
      </c>
      <c r="F484" t="s">
        <v>4</v>
      </c>
      <c r="G484" t="s">
        <v>5</v>
      </c>
      <c r="H484" s="40" t="s">
        <v>2326</v>
      </c>
    </row>
    <row r="485" spans="1:9" s="40" customFormat="1">
      <c r="A485" s="218">
        <v>45820</v>
      </c>
      <c r="B485" s="40" t="s">
        <v>2079</v>
      </c>
      <c r="C485" s="39">
        <v>0</v>
      </c>
      <c r="D485" s="39">
        <v>2358410</v>
      </c>
      <c r="E485" s="11">
        <f t="shared" si="7"/>
        <v>956442131.53999853</v>
      </c>
      <c r="F485" s="40" t="s">
        <v>10</v>
      </c>
      <c r="G485" s="40" t="s">
        <v>18</v>
      </c>
      <c r="H485" s="40" t="s">
        <v>2433</v>
      </c>
      <c r="I485" s="40" t="s">
        <v>2409</v>
      </c>
    </row>
    <row r="486" spans="1:9">
      <c r="A486" s="5">
        <v>45820</v>
      </c>
      <c r="B486" t="s">
        <v>339</v>
      </c>
      <c r="C486" s="11">
        <v>17752909</v>
      </c>
      <c r="D486" s="11">
        <v>0</v>
      </c>
      <c r="E486" s="11">
        <f t="shared" si="7"/>
        <v>938689222.53999853</v>
      </c>
      <c r="F486" t="s">
        <v>62</v>
      </c>
      <c r="G486" t="s">
        <v>252</v>
      </c>
      <c r="H486" t="s">
        <v>4560</v>
      </c>
    </row>
    <row r="487" spans="1:9">
      <c r="A487" s="5">
        <v>45820</v>
      </c>
      <c r="B487" t="s">
        <v>2080</v>
      </c>
      <c r="C487" s="11">
        <v>246080</v>
      </c>
      <c r="D487" s="11">
        <v>0</v>
      </c>
      <c r="E487" s="11">
        <f t="shared" si="7"/>
        <v>938443142.53999853</v>
      </c>
      <c r="F487" t="s">
        <v>10</v>
      </c>
      <c r="G487" t="s">
        <v>446</v>
      </c>
      <c r="H487" s="40" t="s">
        <v>2324</v>
      </c>
      <c r="I487" t="s">
        <v>26</v>
      </c>
    </row>
    <row r="488" spans="1:9">
      <c r="A488" s="5">
        <v>45820</v>
      </c>
      <c r="B488" t="s">
        <v>2081</v>
      </c>
      <c r="C488" s="11">
        <v>34626000</v>
      </c>
      <c r="D488" s="11">
        <v>0</v>
      </c>
      <c r="E488" s="11">
        <f t="shared" si="7"/>
        <v>903817142.53999853</v>
      </c>
      <c r="F488" t="s">
        <v>4</v>
      </c>
      <c r="G488" t="s">
        <v>5</v>
      </c>
      <c r="H488" s="40" t="s">
        <v>1638</v>
      </c>
      <c r="I488" t="s">
        <v>26</v>
      </c>
    </row>
    <row r="489" spans="1:9">
      <c r="A489" s="5">
        <v>45820</v>
      </c>
      <c r="B489" t="s">
        <v>2082</v>
      </c>
      <c r="C489" s="44">
        <v>2500</v>
      </c>
      <c r="D489" s="11">
        <v>0</v>
      </c>
      <c r="E489" s="11">
        <f t="shared" si="7"/>
        <v>903814642.53999853</v>
      </c>
      <c r="F489" t="s">
        <v>19</v>
      </c>
      <c r="G489" t="s">
        <v>189</v>
      </c>
    </row>
    <row r="490" spans="1:9">
      <c r="A490" s="5">
        <v>45820</v>
      </c>
      <c r="B490" t="s">
        <v>2083</v>
      </c>
      <c r="C490" s="11">
        <v>1795335</v>
      </c>
      <c r="D490" s="11">
        <v>0</v>
      </c>
      <c r="E490" s="11">
        <f t="shared" si="7"/>
        <v>902019307.53999853</v>
      </c>
      <c r="F490" t="s">
        <v>10</v>
      </c>
      <c r="G490" t="s">
        <v>446</v>
      </c>
      <c r="H490" s="40" t="s">
        <v>2325</v>
      </c>
      <c r="I490" t="s">
        <v>26</v>
      </c>
    </row>
    <row r="491" spans="1:9">
      <c r="A491" s="5">
        <v>45820</v>
      </c>
      <c r="B491" t="s">
        <v>2084</v>
      </c>
      <c r="C491" s="11">
        <v>13590245</v>
      </c>
      <c r="D491" s="11">
        <v>0</v>
      </c>
      <c r="E491" s="11">
        <f t="shared" si="7"/>
        <v>888429062.53999853</v>
      </c>
      <c r="F491" t="s">
        <v>10</v>
      </c>
      <c r="G491" t="s">
        <v>446</v>
      </c>
      <c r="H491" s="40" t="s">
        <v>2324</v>
      </c>
      <c r="I491" t="s">
        <v>26</v>
      </c>
    </row>
    <row r="492" spans="1:9">
      <c r="A492" s="5">
        <v>45820</v>
      </c>
      <c r="B492" t="s">
        <v>7059</v>
      </c>
      <c r="C492" s="11">
        <v>5726800</v>
      </c>
      <c r="D492" s="11">
        <v>0</v>
      </c>
      <c r="E492" s="11">
        <f t="shared" si="7"/>
        <v>882702262.53999853</v>
      </c>
      <c r="F492" t="s">
        <v>4</v>
      </c>
      <c r="G492" t="s">
        <v>5</v>
      </c>
      <c r="H492" t="s">
        <v>1368</v>
      </c>
    </row>
    <row r="493" spans="1:9">
      <c r="A493" s="5">
        <v>45820</v>
      </c>
      <c r="B493" t="s">
        <v>7059</v>
      </c>
      <c r="C493" s="11">
        <v>629948</v>
      </c>
      <c r="D493" s="11">
        <v>0</v>
      </c>
      <c r="E493" s="11">
        <f t="shared" si="7"/>
        <v>882072314.53999853</v>
      </c>
      <c r="F493" t="s">
        <v>920</v>
      </c>
      <c r="G493" t="s">
        <v>7856</v>
      </c>
      <c r="H493" t="s">
        <v>7032</v>
      </c>
      <c r="I493" t="s">
        <v>4596</v>
      </c>
    </row>
    <row r="494" spans="1:9" s="40" customFormat="1">
      <c r="A494" s="218">
        <v>45820</v>
      </c>
      <c r="B494" s="40" t="s">
        <v>7059</v>
      </c>
      <c r="C494" s="39">
        <v>0</v>
      </c>
      <c r="D494" s="39">
        <f>C492+C493-6242212</f>
        <v>114536</v>
      </c>
      <c r="E494" s="11">
        <f t="shared" si="7"/>
        <v>882186850.53999853</v>
      </c>
      <c r="F494" s="40" t="s">
        <v>1400</v>
      </c>
      <c r="G494" s="40" t="s">
        <v>1400</v>
      </c>
      <c r="H494" s="40" t="s">
        <v>88</v>
      </c>
      <c r="I494" s="40" t="s">
        <v>4596</v>
      </c>
    </row>
    <row r="495" spans="1:9">
      <c r="A495" s="5">
        <v>45820</v>
      </c>
      <c r="B495" t="s">
        <v>2085</v>
      </c>
      <c r="C495" s="11">
        <v>2839232</v>
      </c>
      <c r="D495" s="11">
        <v>0</v>
      </c>
      <c r="E495" s="11">
        <f t="shared" si="7"/>
        <v>879347618.53999853</v>
      </c>
      <c r="F495" t="s">
        <v>10</v>
      </c>
      <c r="G495" t="s">
        <v>446</v>
      </c>
      <c r="H495" s="40" t="s">
        <v>1461</v>
      </c>
      <c r="I495" t="s">
        <v>26</v>
      </c>
    </row>
    <row r="496" spans="1:9">
      <c r="A496" s="5">
        <v>45820</v>
      </c>
      <c r="B496" t="s">
        <v>2086</v>
      </c>
      <c r="C496" s="11">
        <v>37749600</v>
      </c>
      <c r="D496" s="11">
        <v>0</v>
      </c>
      <c r="E496" s="11">
        <f t="shared" si="7"/>
        <v>841598018.53999853</v>
      </c>
      <c r="F496" t="s">
        <v>4</v>
      </c>
      <c r="G496" t="s">
        <v>5</v>
      </c>
      <c r="H496" s="40" t="s">
        <v>2326</v>
      </c>
    </row>
    <row r="497" spans="1:9">
      <c r="A497" s="5">
        <v>45820</v>
      </c>
      <c r="B497" t="s">
        <v>2087</v>
      </c>
      <c r="C497" s="11">
        <v>6095260</v>
      </c>
      <c r="D497" s="11">
        <v>0</v>
      </c>
      <c r="E497" s="11">
        <f t="shared" si="7"/>
        <v>835502758.53999853</v>
      </c>
      <c r="F497" t="s">
        <v>10</v>
      </c>
      <c r="G497" t="s">
        <v>446</v>
      </c>
      <c r="H497" s="40" t="s">
        <v>2325</v>
      </c>
      <c r="I497" t="s">
        <v>26</v>
      </c>
    </row>
    <row r="498" spans="1:9">
      <c r="A498" s="5">
        <v>45820</v>
      </c>
      <c r="B498" t="s">
        <v>2088</v>
      </c>
      <c r="C498" s="11">
        <v>1760770</v>
      </c>
      <c r="D498" s="11">
        <v>0</v>
      </c>
      <c r="E498" s="11">
        <f t="shared" si="7"/>
        <v>833741988.53999853</v>
      </c>
      <c r="F498" t="s">
        <v>10</v>
      </c>
      <c r="G498" t="s">
        <v>446</v>
      </c>
      <c r="H498" s="40" t="s">
        <v>1461</v>
      </c>
      <c r="I498" t="s">
        <v>26</v>
      </c>
    </row>
    <row r="499" spans="1:9">
      <c r="A499" s="5">
        <v>45820</v>
      </c>
      <c r="B499" t="s">
        <v>2089</v>
      </c>
      <c r="C499" s="11">
        <v>8321360</v>
      </c>
      <c r="D499" s="11">
        <v>0</v>
      </c>
      <c r="E499" s="11">
        <f t="shared" si="7"/>
        <v>825420628.53999853</v>
      </c>
      <c r="F499" t="s">
        <v>10</v>
      </c>
      <c r="G499" t="s">
        <v>446</v>
      </c>
      <c r="H499" s="40" t="s">
        <v>2324</v>
      </c>
      <c r="I499" t="s">
        <v>26</v>
      </c>
    </row>
    <row r="500" spans="1:9" ht="15.75">
      <c r="A500" s="5">
        <v>45820</v>
      </c>
      <c r="B500" t="s">
        <v>2090</v>
      </c>
      <c r="C500" s="11">
        <v>9829000</v>
      </c>
      <c r="D500" s="11">
        <v>0</v>
      </c>
      <c r="E500" s="11">
        <f t="shared" si="7"/>
        <v>815591628.53999853</v>
      </c>
      <c r="F500" t="s">
        <v>4</v>
      </c>
      <c r="G500" t="s">
        <v>5</v>
      </c>
      <c r="H500" s="154" t="s">
        <v>1376</v>
      </c>
    </row>
    <row r="501" spans="1:9">
      <c r="A501" s="5">
        <v>45820</v>
      </c>
      <c r="B501" t="s">
        <v>2091</v>
      </c>
      <c r="C501" s="11">
        <v>2289780</v>
      </c>
      <c r="D501" s="11">
        <v>0</v>
      </c>
      <c r="E501" s="11">
        <f t="shared" si="7"/>
        <v>813301848.53999853</v>
      </c>
      <c r="F501" t="s">
        <v>10</v>
      </c>
      <c r="G501" t="s">
        <v>446</v>
      </c>
      <c r="H501" s="40" t="s">
        <v>1461</v>
      </c>
      <c r="I501" t="s">
        <v>26</v>
      </c>
    </row>
    <row r="502" spans="1:9" ht="15.75">
      <c r="A502" s="5">
        <v>45820</v>
      </c>
      <c r="B502" t="s">
        <v>2092</v>
      </c>
      <c r="C502" s="11">
        <v>5112400</v>
      </c>
      <c r="D502" s="11">
        <v>0</v>
      </c>
      <c r="E502" s="11">
        <f t="shared" si="7"/>
        <v>808189448.53999853</v>
      </c>
      <c r="F502" t="s">
        <v>4</v>
      </c>
      <c r="G502" t="s">
        <v>5</v>
      </c>
      <c r="H502" s="154" t="s">
        <v>1376</v>
      </c>
    </row>
    <row r="503" spans="1:9">
      <c r="A503" s="5">
        <v>45820</v>
      </c>
      <c r="B503" t="s">
        <v>2093</v>
      </c>
      <c r="C503" s="11">
        <v>2900350</v>
      </c>
      <c r="D503" s="11">
        <v>0</v>
      </c>
      <c r="E503" s="11">
        <f t="shared" si="7"/>
        <v>805289098.53999853</v>
      </c>
      <c r="F503" t="s">
        <v>10</v>
      </c>
      <c r="G503" t="s">
        <v>446</v>
      </c>
      <c r="H503" s="40" t="s">
        <v>2324</v>
      </c>
      <c r="I503" t="s">
        <v>26</v>
      </c>
    </row>
    <row r="504" spans="1:9" s="8" customFormat="1" ht="15.75">
      <c r="A504" s="13">
        <v>45820</v>
      </c>
      <c r="B504" s="8" t="s">
        <v>7117</v>
      </c>
      <c r="C504" s="54">
        <v>70000</v>
      </c>
      <c r="D504" s="54">
        <v>0</v>
      </c>
      <c r="E504" s="11">
        <f t="shared" si="7"/>
        <v>805219098.53999853</v>
      </c>
      <c r="F504" s="8" t="s">
        <v>920</v>
      </c>
      <c r="G504" s="8" t="s">
        <v>4242</v>
      </c>
      <c r="H504" s="8" t="s">
        <v>88</v>
      </c>
      <c r="I504" s="8" t="s">
        <v>7069</v>
      </c>
    </row>
    <row r="505" spans="1:9" s="8" customFormat="1" ht="15.75">
      <c r="A505" s="13">
        <v>45820</v>
      </c>
      <c r="B505" s="8" t="s">
        <v>7117</v>
      </c>
      <c r="C505" s="54">
        <v>1621622</v>
      </c>
      <c r="D505" s="54">
        <v>0</v>
      </c>
      <c r="E505" s="11">
        <f t="shared" si="7"/>
        <v>803597476.53999853</v>
      </c>
      <c r="F505" s="8" t="s">
        <v>920</v>
      </c>
      <c r="G505" s="8" t="s">
        <v>4242</v>
      </c>
      <c r="H505" s="8" t="s">
        <v>88</v>
      </c>
      <c r="I505" s="8" t="s">
        <v>7069</v>
      </c>
    </row>
    <row r="506" spans="1:9" s="8" customFormat="1" ht="15.75">
      <c r="A506" s="13">
        <v>45820</v>
      </c>
      <c r="B506" s="8" t="s">
        <v>7117</v>
      </c>
      <c r="C506" s="54">
        <v>238144</v>
      </c>
      <c r="D506" s="54">
        <v>0</v>
      </c>
      <c r="E506" s="11">
        <f t="shared" si="7"/>
        <v>803359332.53999853</v>
      </c>
      <c r="F506" s="8" t="s">
        <v>920</v>
      </c>
      <c r="G506" s="8" t="s">
        <v>4242</v>
      </c>
      <c r="H506" s="8" t="s">
        <v>88</v>
      </c>
      <c r="I506" s="8" t="s">
        <v>7069</v>
      </c>
    </row>
    <row r="507" spans="1:9" s="8" customFormat="1" ht="15.75">
      <c r="A507" s="13">
        <v>45820</v>
      </c>
      <c r="B507" s="8" t="s">
        <v>7117</v>
      </c>
      <c r="C507" s="54">
        <v>13514</v>
      </c>
      <c r="D507" s="54">
        <v>0</v>
      </c>
      <c r="E507" s="11">
        <f t="shared" si="7"/>
        <v>803345818.53999853</v>
      </c>
      <c r="F507" s="8" t="s">
        <v>920</v>
      </c>
      <c r="G507" s="8" t="s">
        <v>4242</v>
      </c>
      <c r="H507" s="8" t="s">
        <v>88</v>
      </c>
      <c r="I507" s="8" t="s">
        <v>7069</v>
      </c>
    </row>
    <row r="508" spans="1:9" s="40" customFormat="1">
      <c r="A508" s="218">
        <v>45820</v>
      </c>
      <c r="B508" s="40" t="s">
        <v>7117</v>
      </c>
      <c r="C508" s="39">
        <v>1801802</v>
      </c>
      <c r="D508" s="39">
        <v>0</v>
      </c>
      <c r="E508" s="11">
        <f t="shared" si="7"/>
        <v>801544016.53999853</v>
      </c>
      <c r="F508" s="40" t="s">
        <v>1400</v>
      </c>
      <c r="G508" s="40" t="s">
        <v>1400</v>
      </c>
      <c r="H508" s="40" t="s">
        <v>2170</v>
      </c>
      <c r="I508" s="40" t="s">
        <v>7069</v>
      </c>
    </row>
    <row r="509" spans="1:9" s="8" customFormat="1" ht="15.75">
      <c r="A509" s="13">
        <v>45820</v>
      </c>
      <c r="B509" s="8" t="s">
        <v>7117</v>
      </c>
      <c r="C509" s="54">
        <v>106000</v>
      </c>
      <c r="D509" s="54">
        <v>0</v>
      </c>
      <c r="E509" s="11">
        <f t="shared" si="7"/>
        <v>801438016.53999853</v>
      </c>
      <c r="F509" s="8" t="s">
        <v>920</v>
      </c>
      <c r="G509" s="8" t="s">
        <v>4242</v>
      </c>
      <c r="H509" s="8" t="s">
        <v>88</v>
      </c>
      <c r="I509" s="8" t="s">
        <v>7069</v>
      </c>
    </row>
    <row r="510" spans="1:9" s="8" customFormat="1" ht="15.75">
      <c r="A510" s="13">
        <v>45820</v>
      </c>
      <c r="B510" s="8" t="s">
        <v>7117</v>
      </c>
      <c r="C510" s="54">
        <f>3943082-C504-C505-C506-C507-C508-C509</f>
        <v>92000</v>
      </c>
      <c r="D510" s="54">
        <v>0</v>
      </c>
      <c r="E510" s="11">
        <f t="shared" si="7"/>
        <v>801346016.53999853</v>
      </c>
      <c r="F510" s="8" t="s">
        <v>920</v>
      </c>
      <c r="G510" s="8" t="s">
        <v>4242</v>
      </c>
      <c r="H510" s="8" t="s">
        <v>88</v>
      </c>
      <c r="I510" s="8" t="s">
        <v>7069</v>
      </c>
    </row>
    <row r="511" spans="1:9">
      <c r="A511" s="5">
        <v>45820</v>
      </c>
      <c r="B511" t="s">
        <v>4583</v>
      </c>
      <c r="C511" s="11">
        <v>35289793</v>
      </c>
      <c r="D511" s="11">
        <v>0</v>
      </c>
      <c r="E511" s="11">
        <f t="shared" si="7"/>
        <v>766056223.53999853</v>
      </c>
      <c r="F511" t="s">
        <v>62</v>
      </c>
      <c r="G511" t="s">
        <v>23</v>
      </c>
      <c r="H511" t="s">
        <v>2184</v>
      </c>
    </row>
    <row r="512" spans="1:9" ht="15.75">
      <c r="A512" s="5">
        <v>45820</v>
      </c>
      <c r="B512" t="s">
        <v>374</v>
      </c>
      <c r="C512" s="11">
        <v>250000000</v>
      </c>
      <c r="D512" s="11">
        <v>0</v>
      </c>
      <c r="E512" s="11">
        <f t="shared" si="7"/>
        <v>516056223.53999853</v>
      </c>
      <c r="F512" t="s">
        <v>920</v>
      </c>
      <c r="G512" s="8" t="s">
        <v>4242</v>
      </c>
    </row>
    <row r="513" spans="1:9">
      <c r="A513" s="5">
        <v>45820</v>
      </c>
      <c r="B513" t="s">
        <v>2094</v>
      </c>
      <c r="C513" s="44">
        <v>2500</v>
      </c>
      <c r="D513" s="11">
        <v>0</v>
      </c>
      <c r="E513" s="11">
        <f t="shared" si="7"/>
        <v>516053723.53999853</v>
      </c>
      <c r="F513" t="s">
        <v>19</v>
      </c>
      <c r="G513" t="s">
        <v>189</v>
      </c>
    </row>
    <row r="514" spans="1:9" ht="15.75">
      <c r="A514" s="5">
        <v>45821</v>
      </c>
      <c r="B514" t="s">
        <v>2348</v>
      </c>
      <c r="C514" s="11">
        <v>0</v>
      </c>
      <c r="D514" s="11">
        <v>16438079</v>
      </c>
      <c r="E514" s="11">
        <f t="shared" si="7"/>
        <v>532491802.53999853</v>
      </c>
      <c r="F514" t="s">
        <v>2140</v>
      </c>
      <c r="G514" t="s">
        <v>2141</v>
      </c>
      <c r="H514" s="154" t="s">
        <v>1615</v>
      </c>
      <c r="I514" s="37" t="s">
        <v>1554</v>
      </c>
    </row>
    <row r="515" spans="1:9" ht="15.75">
      <c r="A515" s="5">
        <v>45821</v>
      </c>
      <c r="B515" t="s">
        <v>2348</v>
      </c>
      <c r="C515" s="11">
        <v>0</v>
      </c>
      <c r="D515" s="11">
        <v>18915663</v>
      </c>
      <c r="E515" s="11">
        <f t="shared" si="7"/>
        <v>551407465.53999853</v>
      </c>
      <c r="F515" t="s">
        <v>2140</v>
      </c>
      <c r="G515" t="s">
        <v>2141</v>
      </c>
      <c r="H515" s="154" t="s">
        <v>1615</v>
      </c>
      <c r="I515" s="37" t="s">
        <v>1555</v>
      </c>
    </row>
    <row r="516" spans="1:9" ht="15.75">
      <c r="A516" s="5">
        <v>45821</v>
      </c>
      <c r="B516" t="s">
        <v>2348</v>
      </c>
      <c r="C516" s="11">
        <v>0</v>
      </c>
      <c r="D516" s="11">
        <f>53654552-D514-D515</f>
        <v>18300810</v>
      </c>
      <c r="E516" s="11">
        <f t="shared" si="7"/>
        <v>569708275.53999853</v>
      </c>
      <c r="F516" t="s">
        <v>2140</v>
      </c>
      <c r="G516" t="s">
        <v>2141</v>
      </c>
      <c r="H516" s="154" t="s">
        <v>1615</v>
      </c>
      <c r="I516" s="37" t="s">
        <v>1556</v>
      </c>
    </row>
    <row r="517" spans="1:9">
      <c r="A517" s="5">
        <v>45822</v>
      </c>
      <c r="B517" t="s">
        <v>2095</v>
      </c>
      <c r="C517" s="11">
        <v>21354260</v>
      </c>
      <c r="D517" s="11">
        <v>0</v>
      </c>
      <c r="E517" s="11">
        <f t="shared" si="7"/>
        <v>548354015.53999853</v>
      </c>
      <c r="F517" t="s">
        <v>920</v>
      </c>
      <c r="G517" t="s">
        <v>4250</v>
      </c>
      <c r="H517" t="s">
        <v>368</v>
      </c>
    </row>
    <row r="518" spans="1:9">
      <c r="A518" s="5">
        <v>45822</v>
      </c>
      <c r="B518" t="s">
        <v>2096</v>
      </c>
      <c r="C518" s="44">
        <v>2500</v>
      </c>
      <c r="D518" s="11">
        <v>0</v>
      </c>
      <c r="E518" s="11">
        <f t="shared" ref="E518:E581" si="8">E517-C518+D518</f>
        <v>548351515.53999853</v>
      </c>
      <c r="F518" t="s">
        <v>19</v>
      </c>
      <c r="G518" t="s">
        <v>189</v>
      </c>
    </row>
    <row r="519" spans="1:9">
      <c r="A519" s="5">
        <v>45822</v>
      </c>
      <c r="B519" t="s">
        <v>2097</v>
      </c>
      <c r="C519" s="11">
        <v>30382770</v>
      </c>
      <c r="D519" s="11">
        <v>0</v>
      </c>
      <c r="E519" s="11">
        <f t="shared" si="8"/>
        <v>517968745.53999853</v>
      </c>
      <c r="F519" t="s">
        <v>920</v>
      </c>
      <c r="G519" t="s">
        <v>4250</v>
      </c>
      <c r="H519" s="80" t="s">
        <v>51</v>
      </c>
    </row>
    <row r="520" spans="1:9">
      <c r="A520" s="5">
        <v>45822</v>
      </c>
      <c r="B520" t="s">
        <v>2098</v>
      </c>
      <c r="C520" s="11">
        <v>5378285</v>
      </c>
      <c r="D520" s="11">
        <v>0</v>
      </c>
      <c r="E520" s="11">
        <f t="shared" si="8"/>
        <v>512590460.53999853</v>
      </c>
      <c r="F520" t="s">
        <v>920</v>
      </c>
      <c r="G520" t="s">
        <v>4250</v>
      </c>
      <c r="H520" s="80" t="s">
        <v>51</v>
      </c>
    </row>
    <row r="521" spans="1:9" ht="15.75">
      <c r="A521" s="5">
        <v>45826</v>
      </c>
      <c r="B521" t="s">
        <v>380</v>
      </c>
      <c r="C521" s="11">
        <v>250000000</v>
      </c>
      <c r="D521" s="11">
        <v>0</v>
      </c>
      <c r="E521" s="11">
        <f t="shared" si="8"/>
        <v>262590460.53999853</v>
      </c>
      <c r="F521" t="s">
        <v>920</v>
      </c>
      <c r="G521" s="8" t="s">
        <v>4242</v>
      </c>
    </row>
    <row r="522" spans="1:9">
      <c r="A522" s="5">
        <v>45826</v>
      </c>
      <c r="B522" t="s">
        <v>2099</v>
      </c>
      <c r="C522" s="44">
        <v>2500</v>
      </c>
      <c r="D522" s="11">
        <v>0</v>
      </c>
      <c r="E522" s="11">
        <f t="shared" si="8"/>
        <v>262587960.53999853</v>
      </c>
      <c r="F522" t="s">
        <v>19</v>
      </c>
      <c r="G522" t="s">
        <v>189</v>
      </c>
    </row>
    <row r="523" spans="1:9">
      <c r="A523" s="5">
        <v>45826</v>
      </c>
      <c r="B523" t="s">
        <v>2100</v>
      </c>
      <c r="C523" s="11">
        <v>8800000</v>
      </c>
      <c r="D523" s="11">
        <v>0</v>
      </c>
      <c r="E523" s="11">
        <f t="shared" si="8"/>
        <v>253787960.53999853</v>
      </c>
      <c r="F523" t="s">
        <v>10</v>
      </c>
      <c r="G523" t="s">
        <v>446</v>
      </c>
      <c r="H523" s="40" t="s">
        <v>2323</v>
      </c>
      <c r="I523" t="s">
        <v>26</v>
      </c>
    </row>
    <row r="524" spans="1:9">
      <c r="A524" s="5">
        <v>45826</v>
      </c>
      <c r="B524" t="s">
        <v>2101</v>
      </c>
      <c r="C524" s="44">
        <v>2500</v>
      </c>
      <c r="D524" s="11">
        <v>0</v>
      </c>
      <c r="E524" s="11">
        <f t="shared" si="8"/>
        <v>253785460.53999853</v>
      </c>
      <c r="F524" t="s">
        <v>19</v>
      </c>
      <c r="G524" t="s">
        <v>189</v>
      </c>
    </row>
    <row r="525" spans="1:9">
      <c r="A525" s="5">
        <v>45827</v>
      </c>
      <c r="B525" t="s">
        <v>2102</v>
      </c>
      <c r="C525" s="11">
        <v>100000000</v>
      </c>
      <c r="D525" s="11">
        <v>0</v>
      </c>
      <c r="E525" s="11">
        <f t="shared" si="8"/>
        <v>153785460.53999853</v>
      </c>
      <c r="F525" t="s">
        <v>920</v>
      </c>
      <c r="G525" t="s">
        <v>4246</v>
      </c>
    </row>
    <row r="526" spans="1:9">
      <c r="A526" s="5">
        <v>45827</v>
      </c>
      <c r="B526" t="s">
        <v>2103</v>
      </c>
      <c r="C526" s="44">
        <v>2500</v>
      </c>
      <c r="D526" s="11">
        <v>0</v>
      </c>
      <c r="E526" s="11">
        <f t="shared" si="8"/>
        <v>153782960.53999853</v>
      </c>
      <c r="F526" t="s">
        <v>19</v>
      </c>
      <c r="G526" t="s">
        <v>189</v>
      </c>
    </row>
    <row r="527" spans="1:9" s="40" customFormat="1">
      <c r="A527" s="218">
        <v>45827</v>
      </c>
      <c r="B527" s="40" t="s">
        <v>7027</v>
      </c>
      <c r="C527" s="39">
        <v>0</v>
      </c>
      <c r="D527" s="39">
        <v>7207204</v>
      </c>
      <c r="E527" s="11">
        <f t="shared" si="8"/>
        <v>160990164.53999853</v>
      </c>
      <c r="F527" s="40" t="s">
        <v>1400</v>
      </c>
      <c r="G527" s="40" t="s">
        <v>1400</v>
      </c>
      <c r="H527" s="40" t="s">
        <v>2170</v>
      </c>
      <c r="I527" s="40">
        <v>2024</v>
      </c>
    </row>
    <row r="528" spans="1:9" s="40" customFormat="1">
      <c r="A528" s="218">
        <v>45827</v>
      </c>
      <c r="B528" s="40" t="s">
        <v>7027</v>
      </c>
      <c r="C528" s="39">
        <v>0</v>
      </c>
      <c r="D528" s="39">
        <f>7207208-D527</f>
        <v>4</v>
      </c>
      <c r="E528" s="11">
        <f t="shared" si="8"/>
        <v>160990168.53999853</v>
      </c>
      <c r="F528" s="40" t="s">
        <v>190</v>
      </c>
      <c r="G528" s="40" t="s">
        <v>192</v>
      </c>
    </row>
    <row r="529" spans="1:9">
      <c r="A529" s="5">
        <v>45827</v>
      </c>
      <c r="B529" t="s">
        <v>7081</v>
      </c>
      <c r="C529" s="11">
        <v>9000000</v>
      </c>
      <c r="D529" s="11">
        <v>0</v>
      </c>
      <c r="E529" s="11">
        <f t="shared" si="8"/>
        <v>151990168.53999853</v>
      </c>
      <c r="F529" t="s">
        <v>21</v>
      </c>
      <c r="G529" t="s">
        <v>187</v>
      </c>
    </row>
    <row r="530" spans="1:9">
      <c r="A530" s="5">
        <v>45827</v>
      </c>
      <c r="B530" t="s">
        <v>7081</v>
      </c>
      <c r="C530" s="11">
        <f>9990000-C529</f>
        <v>990000</v>
      </c>
      <c r="D530" s="11">
        <v>0</v>
      </c>
      <c r="E530" s="11">
        <f t="shared" si="8"/>
        <v>151000168.53999853</v>
      </c>
      <c r="F530" t="s">
        <v>920</v>
      </c>
      <c r="G530" t="s">
        <v>7856</v>
      </c>
      <c r="H530" t="s">
        <v>7032</v>
      </c>
      <c r="I530" t="s">
        <v>4560</v>
      </c>
    </row>
    <row r="531" spans="1:9" ht="15.75">
      <c r="A531" s="5">
        <v>45827</v>
      </c>
      <c r="B531" t="s">
        <v>379</v>
      </c>
      <c r="C531" s="11">
        <v>100000000</v>
      </c>
      <c r="D531" s="11">
        <v>0</v>
      </c>
      <c r="E531" s="11">
        <f t="shared" si="8"/>
        <v>51000168.539998531</v>
      </c>
      <c r="F531" t="s">
        <v>920</v>
      </c>
      <c r="G531" s="8" t="s">
        <v>4242</v>
      </c>
    </row>
    <row r="532" spans="1:9">
      <c r="A532" s="5">
        <v>45827</v>
      </c>
      <c r="B532" t="s">
        <v>2104</v>
      </c>
      <c r="C532" s="44">
        <v>2500</v>
      </c>
      <c r="D532" s="11">
        <v>0</v>
      </c>
      <c r="E532" s="11">
        <f t="shared" si="8"/>
        <v>50997668.539998531</v>
      </c>
      <c r="F532" t="s">
        <v>19</v>
      </c>
      <c r="G532" t="s">
        <v>189</v>
      </c>
    </row>
    <row r="533" spans="1:9">
      <c r="A533" s="5">
        <v>45827</v>
      </c>
      <c r="B533" t="s">
        <v>2105</v>
      </c>
      <c r="C533" s="11">
        <v>2488500</v>
      </c>
      <c r="D533" s="11">
        <v>0</v>
      </c>
      <c r="E533" s="11">
        <f t="shared" si="8"/>
        <v>48509168.539998531</v>
      </c>
      <c r="F533" t="s">
        <v>8</v>
      </c>
      <c r="G533" t="s">
        <v>33</v>
      </c>
    </row>
    <row r="534" spans="1:9" ht="15.75">
      <c r="A534" s="5">
        <v>45828</v>
      </c>
      <c r="B534" t="s">
        <v>2106</v>
      </c>
      <c r="C534" s="11">
        <v>0</v>
      </c>
      <c r="D534" s="11">
        <v>90121780</v>
      </c>
      <c r="E534" s="11">
        <f t="shared" si="8"/>
        <v>138630948.53999853</v>
      </c>
      <c r="F534" t="s">
        <v>10</v>
      </c>
      <c r="G534" t="s">
        <v>18</v>
      </c>
      <c r="H534" s="154" t="s">
        <v>438</v>
      </c>
      <c r="I534" s="154" t="s">
        <v>2414</v>
      </c>
    </row>
    <row r="535" spans="1:9" ht="15.75">
      <c r="A535" s="5">
        <v>45831</v>
      </c>
      <c r="B535" t="s">
        <v>1185</v>
      </c>
      <c r="C535" s="11">
        <v>0</v>
      </c>
      <c r="D535" s="11">
        <v>53900465</v>
      </c>
      <c r="E535" s="11">
        <f t="shared" si="8"/>
        <v>192531413.53999853</v>
      </c>
      <c r="F535" t="s">
        <v>2140</v>
      </c>
      <c r="G535" t="s">
        <v>2141</v>
      </c>
      <c r="H535" s="146" t="s">
        <v>2216</v>
      </c>
      <c r="I535" t="s">
        <v>2149</v>
      </c>
    </row>
    <row r="536" spans="1:9" ht="15.75">
      <c r="A536" s="5">
        <v>45832</v>
      </c>
      <c r="B536" t="s">
        <v>2107</v>
      </c>
      <c r="C536" s="11">
        <v>0</v>
      </c>
      <c r="D536" s="11">
        <v>146792657</v>
      </c>
      <c r="E536" s="11">
        <f t="shared" si="8"/>
        <v>339324070.53999853</v>
      </c>
      <c r="F536" t="s">
        <v>2140</v>
      </c>
      <c r="G536" t="s">
        <v>2141</v>
      </c>
      <c r="H536" s="154" t="s">
        <v>1368</v>
      </c>
      <c r="I536" s="37" t="s">
        <v>1523</v>
      </c>
    </row>
    <row r="537" spans="1:9" ht="15.75">
      <c r="A537" s="5">
        <v>45833</v>
      </c>
      <c r="B537" t="s">
        <v>2021</v>
      </c>
      <c r="C537" s="11">
        <v>0</v>
      </c>
      <c r="D537" s="11">
        <v>321472166</v>
      </c>
      <c r="E537" s="11">
        <f t="shared" si="8"/>
        <v>660796236.53999853</v>
      </c>
      <c r="F537" t="s">
        <v>2140</v>
      </c>
      <c r="G537" t="s">
        <v>2141</v>
      </c>
      <c r="H537" s="154" t="s">
        <v>1622</v>
      </c>
      <c r="I537" s="37" t="s">
        <v>2232</v>
      </c>
    </row>
    <row r="538" spans="1:9" ht="15.75">
      <c r="A538" s="5">
        <v>45833</v>
      </c>
      <c r="B538" t="s">
        <v>2108</v>
      </c>
      <c r="C538" s="11">
        <v>0</v>
      </c>
      <c r="D538" s="11">
        <v>12940800</v>
      </c>
      <c r="E538" s="11">
        <f t="shared" si="8"/>
        <v>673737036.53999853</v>
      </c>
      <c r="F538" t="s">
        <v>2140</v>
      </c>
      <c r="G538" t="s">
        <v>2141</v>
      </c>
      <c r="H538" s="154" t="s">
        <v>1376</v>
      </c>
      <c r="I538" s="37" t="s">
        <v>2230</v>
      </c>
    </row>
    <row r="539" spans="1:9" s="40" customFormat="1">
      <c r="A539" s="218">
        <v>45833</v>
      </c>
      <c r="B539" s="40" t="s">
        <v>6381</v>
      </c>
      <c r="C539" s="39">
        <v>0</v>
      </c>
      <c r="D539" s="39">
        <v>25000000</v>
      </c>
      <c r="E539" s="11">
        <f t="shared" si="8"/>
        <v>698737036.53999853</v>
      </c>
      <c r="F539" s="40" t="s">
        <v>4</v>
      </c>
      <c r="G539" s="40" t="s">
        <v>5</v>
      </c>
      <c r="H539" s="40" t="s">
        <v>2326</v>
      </c>
    </row>
    <row r="540" spans="1:9">
      <c r="A540" s="5">
        <v>45833</v>
      </c>
      <c r="B540" t="s">
        <v>2109</v>
      </c>
      <c r="C540" s="11">
        <v>476000</v>
      </c>
      <c r="D540" s="11">
        <v>0</v>
      </c>
      <c r="E540" s="11">
        <f t="shared" si="8"/>
        <v>698261036.53999853</v>
      </c>
      <c r="F540" s="80" t="s">
        <v>4</v>
      </c>
      <c r="G540" t="s">
        <v>5</v>
      </c>
      <c r="H540" s="40" t="s">
        <v>1634</v>
      </c>
    </row>
    <row r="541" spans="1:9">
      <c r="A541" s="5">
        <v>45833</v>
      </c>
      <c r="B541" t="s">
        <v>2110</v>
      </c>
      <c r="C541" s="44">
        <v>2500</v>
      </c>
      <c r="D541" s="11">
        <v>0</v>
      </c>
      <c r="E541" s="11">
        <f t="shared" si="8"/>
        <v>698258536.53999853</v>
      </c>
      <c r="F541" t="s">
        <v>19</v>
      </c>
      <c r="G541" t="s">
        <v>189</v>
      </c>
    </row>
    <row r="542" spans="1:9">
      <c r="A542" s="5">
        <v>45833</v>
      </c>
      <c r="B542" t="s">
        <v>2111</v>
      </c>
      <c r="C542" s="11">
        <v>3029100</v>
      </c>
      <c r="D542" s="11">
        <v>0</v>
      </c>
      <c r="E542" s="11">
        <f t="shared" si="8"/>
        <v>695229436.53999853</v>
      </c>
      <c r="F542" s="80" t="s">
        <v>4</v>
      </c>
      <c r="G542" t="s">
        <v>5</v>
      </c>
      <c r="H542" s="40" t="s">
        <v>1634</v>
      </c>
    </row>
    <row r="543" spans="1:9">
      <c r="A543" s="5">
        <v>45833</v>
      </c>
      <c r="B543" t="s">
        <v>2112</v>
      </c>
      <c r="C543" s="44">
        <v>2500</v>
      </c>
      <c r="D543" s="11">
        <v>0</v>
      </c>
      <c r="E543" s="11">
        <f t="shared" si="8"/>
        <v>695226936.53999853</v>
      </c>
      <c r="F543" t="s">
        <v>19</v>
      </c>
      <c r="G543" t="s">
        <v>189</v>
      </c>
    </row>
    <row r="544" spans="1:9">
      <c r="A544" s="5">
        <v>45835</v>
      </c>
      <c r="B544" t="s">
        <v>4576</v>
      </c>
      <c r="C544" s="11">
        <v>517323</v>
      </c>
      <c r="D544" s="11">
        <v>0</v>
      </c>
      <c r="E544" s="11">
        <f t="shared" si="8"/>
        <v>694709613.53999853</v>
      </c>
      <c r="F544" t="s">
        <v>190</v>
      </c>
      <c r="G544" t="s">
        <v>69</v>
      </c>
      <c r="H544" t="s">
        <v>4595</v>
      </c>
    </row>
    <row r="545" spans="1:9">
      <c r="A545" s="5">
        <v>45835</v>
      </c>
      <c r="B545" t="s">
        <v>4580</v>
      </c>
      <c r="C545" s="11">
        <v>1801801</v>
      </c>
      <c r="D545" s="11">
        <v>0</v>
      </c>
      <c r="E545" s="11">
        <f t="shared" si="8"/>
        <v>692907812.53999853</v>
      </c>
      <c r="F545" t="s">
        <v>1400</v>
      </c>
      <c r="G545" t="s">
        <v>1400</v>
      </c>
      <c r="H545" t="s">
        <v>2170</v>
      </c>
      <c r="I545" s="40">
        <v>2024</v>
      </c>
    </row>
    <row r="546" spans="1:9">
      <c r="A546" s="5">
        <v>45835</v>
      </c>
      <c r="B546" t="s">
        <v>4577</v>
      </c>
      <c r="C546" s="11">
        <v>1801801</v>
      </c>
      <c r="D546" s="11">
        <v>0</v>
      </c>
      <c r="E546" s="11">
        <f t="shared" si="8"/>
        <v>691106011.53999853</v>
      </c>
      <c r="F546" t="s">
        <v>1400</v>
      </c>
      <c r="G546" t="s">
        <v>1400</v>
      </c>
      <c r="H546" t="s">
        <v>2170</v>
      </c>
      <c r="I546" s="40">
        <v>2024</v>
      </c>
    </row>
    <row r="547" spans="1:9">
      <c r="A547" s="5">
        <v>45835</v>
      </c>
      <c r="B547" t="s">
        <v>4579</v>
      </c>
      <c r="C547" s="11">
        <v>1801801</v>
      </c>
      <c r="D547" s="11">
        <v>0</v>
      </c>
      <c r="E547" s="11">
        <f t="shared" si="8"/>
        <v>689304210.53999853</v>
      </c>
      <c r="F547" t="s">
        <v>1400</v>
      </c>
      <c r="G547" t="s">
        <v>1400</v>
      </c>
      <c r="H547" t="s">
        <v>2170</v>
      </c>
      <c r="I547" s="40">
        <v>2024</v>
      </c>
    </row>
    <row r="548" spans="1:9">
      <c r="A548" s="5">
        <v>45835</v>
      </c>
      <c r="B548" t="s">
        <v>4578</v>
      </c>
      <c r="C548" s="11">
        <v>1801801</v>
      </c>
      <c r="D548" s="11">
        <v>0</v>
      </c>
      <c r="E548" s="11">
        <f t="shared" si="8"/>
        <v>687502409.53999853</v>
      </c>
      <c r="F548" t="s">
        <v>1400</v>
      </c>
      <c r="G548" t="s">
        <v>1400</v>
      </c>
      <c r="H548" t="s">
        <v>2170</v>
      </c>
      <c r="I548" s="40">
        <v>2024</v>
      </c>
    </row>
    <row r="549" spans="1:9" ht="15.75">
      <c r="A549" s="5">
        <v>45835</v>
      </c>
      <c r="B549" t="s">
        <v>2113</v>
      </c>
      <c r="C549" s="11">
        <v>3540750</v>
      </c>
      <c r="D549" s="11">
        <v>0</v>
      </c>
      <c r="E549" s="11">
        <f t="shared" si="8"/>
        <v>683961659.53999853</v>
      </c>
      <c r="F549" s="80" t="s">
        <v>4</v>
      </c>
      <c r="G549" t="s">
        <v>5</v>
      </c>
      <c r="H549" s="154" t="s">
        <v>1376</v>
      </c>
    </row>
    <row r="550" spans="1:9">
      <c r="A550" s="5">
        <v>45835</v>
      </c>
      <c r="B550" t="s">
        <v>2114</v>
      </c>
      <c r="C550" s="11">
        <v>44176926</v>
      </c>
      <c r="D550" s="11">
        <v>0</v>
      </c>
      <c r="E550" s="11">
        <f t="shared" si="8"/>
        <v>639784733.53999853</v>
      </c>
      <c r="F550" t="s">
        <v>10</v>
      </c>
      <c r="G550" t="s">
        <v>446</v>
      </c>
      <c r="H550" s="40" t="s">
        <v>2323</v>
      </c>
      <c r="I550" t="s">
        <v>26</v>
      </c>
    </row>
    <row r="551" spans="1:9">
      <c r="A551" s="5">
        <v>45835</v>
      </c>
      <c r="B551" t="s">
        <v>2115</v>
      </c>
      <c r="C551" s="11">
        <v>13797560</v>
      </c>
      <c r="D551" s="11">
        <v>0</v>
      </c>
      <c r="E551" s="11">
        <f t="shared" si="8"/>
        <v>625987173.53999853</v>
      </c>
      <c r="F551" s="80" t="s">
        <v>4</v>
      </c>
      <c r="G551" t="s">
        <v>5</v>
      </c>
      <c r="H551" s="40" t="s">
        <v>1636</v>
      </c>
    </row>
    <row r="552" spans="1:9">
      <c r="A552" s="5">
        <v>45835</v>
      </c>
      <c r="B552" t="s">
        <v>2116</v>
      </c>
      <c r="C552" s="11">
        <v>20630090</v>
      </c>
      <c r="D552" s="11">
        <v>0</v>
      </c>
      <c r="E552" s="11">
        <f t="shared" si="8"/>
        <v>605357083.53999853</v>
      </c>
      <c r="F552" s="80" t="s">
        <v>4</v>
      </c>
      <c r="G552" t="s">
        <v>5</v>
      </c>
      <c r="H552" s="40" t="s">
        <v>1622</v>
      </c>
    </row>
    <row r="553" spans="1:9">
      <c r="A553" s="5">
        <v>45835</v>
      </c>
      <c r="B553" t="s">
        <v>2117</v>
      </c>
      <c r="C553" s="11">
        <v>18023037</v>
      </c>
      <c r="D553" s="11">
        <v>0</v>
      </c>
      <c r="E553" s="11">
        <f t="shared" si="8"/>
        <v>587334046.53999853</v>
      </c>
      <c r="F553" t="s">
        <v>10</v>
      </c>
      <c r="G553" t="s">
        <v>446</v>
      </c>
      <c r="H553" s="40" t="s">
        <v>1461</v>
      </c>
      <c r="I553" t="s">
        <v>26</v>
      </c>
    </row>
    <row r="554" spans="1:9">
      <c r="A554" s="5">
        <v>45835</v>
      </c>
      <c r="B554" t="s">
        <v>2118</v>
      </c>
      <c r="C554" s="11">
        <v>1875125</v>
      </c>
      <c r="D554" s="11">
        <v>0</v>
      </c>
      <c r="E554" s="11">
        <f t="shared" si="8"/>
        <v>585458921.53999853</v>
      </c>
      <c r="F554" t="s">
        <v>10</v>
      </c>
      <c r="G554" t="s">
        <v>446</v>
      </c>
      <c r="H554" s="40" t="s">
        <v>2325</v>
      </c>
      <c r="I554" t="s">
        <v>26</v>
      </c>
    </row>
    <row r="555" spans="1:9">
      <c r="A555" s="5">
        <v>45835</v>
      </c>
      <c r="B555" t="s">
        <v>2119</v>
      </c>
      <c r="C555" s="11">
        <v>82961939</v>
      </c>
      <c r="D555" s="11">
        <v>0</v>
      </c>
      <c r="E555" s="11">
        <f t="shared" si="8"/>
        <v>502496982.53999853</v>
      </c>
      <c r="F555" s="80" t="s">
        <v>4</v>
      </c>
      <c r="G555" t="s">
        <v>5</v>
      </c>
      <c r="H555" s="40" t="s">
        <v>1622</v>
      </c>
    </row>
    <row r="556" spans="1:9">
      <c r="A556" s="5">
        <v>45835</v>
      </c>
      <c r="B556" t="s">
        <v>2120</v>
      </c>
      <c r="C556" s="11">
        <v>9197630</v>
      </c>
      <c r="D556" s="11">
        <v>0</v>
      </c>
      <c r="E556" s="11">
        <f t="shared" si="8"/>
        <v>493299352.53999853</v>
      </c>
      <c r="F556" s="80" t="s">
        <v>4</v>
      </c>
      <c r="G556" t="s">
        <v>5</v>
      </c>
      <c r="H556" s="40" t="s">
        <v>3135</v>
      </c>
    </row>
    <row r="557" spans="1:9">
      <c r="A557" s="5">
        <v>45837</v>
      </c>
      <c r="B557" t="s">
        <v>2121</v>
      </c>
      <c r="C557" s="11">
        <v>250000000</v>
      </c>
      <c r="D557" s="11">
        <v>0</v>
      </c>
      <c r="E557" s="11">
        <f t="shared" si="8"/>
        <v>243299352.53999853</v>
      </c>
      <c r="F557" t="s">
        <v>62</v>
      </c>
      <c r="G557" t="s">
        <v>23</v>
      </c>
    </row>
    <row r="558" spans="1:9">
      <c r="A558" s="5">
        <v>45837</v>
      </c>
      <c r="B558" t="s">
        <v>2122</v>
      </c>
      <c r="C558" s="44">
        <v>2500</v>
      </c>
      <c r="D558" s="11">
        <v>0</v>
      </c>
      <c r="E558" s="11">
        <f t="shared" si="8"/>
        <v>243296852.53999853</v>
      </c>
      <c r="F558" t="s">
        <v>19</v>
      </c>
      <c r="G558" t="s">
        <v>189</v>
      </c>
    </row>
    <row r="559" spans="1:9" ht="15.75">
      <c r="A559" s="5">
        <v>45838</v>
      </c>
      <c r="B559" t="s">
        <v>4582</v>
      </c>
      <c r="C559" s="11">
        <v>92000</v>
      </c>
      <c r="D559" s="11">
        <v>0</v>
      </c>
      <c r="E559" s="11">
        <f t="shared" si="8"/>
        <v>243204852.53999853</v>
      </c>
      <c r="F559" t="s">
        <v>6</v>
      </c>
      <c r="G559" t="s">
        <v>53</v>
      </c>
      <c r="H559" s="17" t="s">
        <v>2182</v>
      </c>
      <c r="I559" t="s">
        <v>7120</v>
      </c>
    </row>
    <row r="560" spans="1:9" ht="15.75">
      <c r="A560" s="5">
        <v>45838</v>
      </c>
      <c r="B560" t="s">
        <v>4581</v>
      </c>
      <c r="C560" s="11">
        <v>106000</v>
      </c>
      <c r="D560" s="11">
        <v>0</v>
      </c>
      <c r="E560" s="11">
        <f t="shared" si="8"/>
        <v>243098852.53999853</v>
      </c>
      <c r="F560" t="s">
        <v>6</v>
      </c>
      <c r="G560" t="s">
        <v>53</v>
      </c>
      <c r="H560" s="17" t="s">
        <v>2182</v>
      </c>
      <c r="I560" t="s">
        <v>7120</v>
      </c>
    </row>
    <row r="561" spans="1:9">
      <c r="A561" s="5">
        <v>45838</v>
      </c>
      <c r="B561" t="s">
        <v>2123</v>
      </c>
      <c r="C561" s="11">
        <v>1131200</v>
      </c>
      <c r="D561" s="11">
        <v>0</v>
      </c>
      <c r="E561" s="11">
        <f t="shared" si="8"/>
        <v>241967652.53999853</v>
      </c>
      <c r="F561" t="s">
        <v>10</v>
      </c>
      <c r="G561" t="s">
        <v>446</v>
      </c>
      <c r="H561" s="40" t="s">
        <v>2325</v>
      </c>
      <c r="I561" t="s">
        <v>26</v>
      </c>
    </row>
    <row r="562" spans="1:9">
      <c r="A562" s="5">
        <v>45838</v>
      </c>
      <c r="B562" t="s">
        <v>2124</v>
      </c>
      <c r="C562" s="11">
        <v>2893800</v>
      </c>
      <c r="D562" s="11">
        <v>0</v>
      </c>
      <c r="E562" s="11">
        <f t="shared" si="8"/>
        <v>239073852.53999853</v>
      </c>
      <c r="F562" s="80" t="s">
        <v>4</v>
      </c>
      <c r="G562" t="s">
        <v>5</v>
      </c>
      <c r="H562" s="40" t="s">
        <v>3135</v>
      </c>
    </row>
    <row r="563" spans="1:9">
      <c r="A563" s="5">
        <v>45838</v>
      </c>
      <c r="B563" t="s">
        <v>2125</v>
      </c>
      <c r="C563" s="44">
        <v>2500</v>
      </c>
      <c r="D563" s="11">
        <v>0</v>
      </c>
      <c r="E563" s="11">
        <f t="shared" si="8"/>
        <v>239071352.53999853</v>
      </c>
      <c r="F563" t="s">
        <v>19</v>
      </c>
      <c r="G563" t="s">
        <v>189</v>
      </c>
    </row>
    <row r="564" spans="1:9">
      <c r="A564" s="5">
        <v>45838</v>
      </c>
      <c r="B564" t="s">
        <v>2126</v>
      </c>
      <c r="C564" s="11">
        <v>4500000</v>
      </c>
      <c r="D564" s="11">
        <v>0</v>
      </c>
      <c r="E564" s="11">
        <f t="shared" si="8"/>
        <v>234571352.53999853</v>
      </c>
      <c r="F564" t="s">
        <v>10</v>
      </c>
      <c r="G564" t="s">
        <v>446</v>
      </c>
      <c r="H564" s="40" t="s">
        <v>2324</v>
      </c>
      <c r="I564" t="s">
        <v>26</v>
      </c>
    </row>
    <row r="565" spans="1:9">
      <c r="A565" s="5">
        <v>45838</v>
      </c>
      <c r="B565" t="s">
        <v>2127</v>
      </c>
      <c r="C565" s="44">
        <v>2500</v>
      </c>
      <c r="D565" s="11">
        <v>0</v>
      </c>
      <c r="E565" s="11">
        <f t="shared" si="8"/>
        <v>234568852.53999853</v>
      </c>
      <c r="F565" t="s">
        <v>19</v>
      </c>
      <c r="G565" t="s">
        <v>189</v>
      </c>
    </row>
    <row r="566" spans="1:9">
      <c r="A566" s="5">
        <v>45838</v>
      </c>
      <c r="B566" t="s">
        <v>2128</v>
      </c>
      <c r="C566" s="11">
        <v>9951610</v>
      </c>
      <c r="D566" s="11">
        <v>0</v>
      </c>
      <c r="E566" s="11">
        <f t="shared" si="8"/>
        <v>224617242.53999853</v>
      </c>
      <c r="F566" s="80" t="s">
        <v>4</v>
      </c>
      <c r="G566" t="s">
        <v>5</v>
      </c>
      <c r="H566" s="40" t="s">
        <v>1634</v>
      </c>
    </row>
    <row r="567" spans="1:9">
      <c r="A567" s="5">
        <v>45838</v>
      </c>
      <c r="B567" t="s">
        <v>2129</v>
      </c>
      <c r="C567" s="11">
        <v>900500</v>
      </c>
      <c r="D567" s="11">
        <v>0</v>
      </c>
      <c r="E567" s="11">
        <f t="shared" si="8"/>
        <v>223716742.53999853</v>
      </c>
      <c r="F567" t="s">
        <v>10</v>
      </c>
      <c r="G567" t="s">
        <v>446</v>
      </c>
      <c r="H567" s="40" t="s">
        <v>1461</v>
      </c>
      <c r="I567" t="s">
        <v>26</v>
      </c>
    </row>
    <row r="568" spans="1:9">
      <c r="A568" s="5">
        <v>45838</v>
      </c>
      <c r="B568" t="s">
        <v>2130</v>
      </c>
      <c r="C568" s="11">
        <v>2608302</v>
      </c>
      <c r="D568" s="11">
        <v>0</v>
      </c>
      <c r="E568" s="11">
        <f t="shared" si="8"/>
        <v>221108440.53999853</v>
      </c>
      <c r="F568" s="80" t="s">
        <v>4</v>
      </c>
      <c r="G568" t="s">
        <v>5</v>
      </c>
      <c r="H568" s="40" t="s">
        <v>1615</v>
      </c>
    </row>
    <row r="569" spans="1:9">
      <c r="A569" s="5">
        <v>45838</v>
      </c>
      <c r="B569" t="s">
        <v>2131</v>
      </c>
      <c r="C569" s="44">
        <v>2500</v>
      </c>
      <c r="D569" s="11">
        <v>0</v>
      </c>
      <c r="E569" s="11">
        <f t="shared" si="8"/>
        <v>221105940.53999853</v>
      </c>
      <c r="F569" t="s">
        <v>19</v>
      </c>
      <c r="G569" t="s">
        <v>189</v>
      </c>
    </row>
    <row r="570" spans="1:9">
      <c r="A570" s="5">
        <v>45838</v>
      </c>
      <c r="B570" t="s">
        <v>2132</v>
      </c>
      <c r="C570" s="11">
        <v>2911700</v>
      </c>
      <c r="D570" s="11">
        <v>0</v>
      </c>
      <c r="E570" s="11">
        <f t="shared" si="8"/>
        <v>218194240.53999853</v>
      </c>
      <c r="F570" t="s">
        <v>10</v>
      </c>
      <c r="G570" t="s">
        <v>446</v>
      </c>
      <c r="H570" s="40" t="s">
        <v>1461</v>
      </c>
      <c r="I570" t="s">
        <v>26</v>
      </c>
    </row>
    <row r="571" spans="1:9">
      <c r="A571" s="5">
        <v>45838</v>
      </c>
      <c r="B571" t="s">
        <v>2133</v>
      </c>
      <c r="C571" s="11">
        <v>5070200</v>
      </c>
      <c r="D571" s="11">
        <v>0</v>
      </c>
      <c r="E571" s="11">
        <f t="shared" si="8"/>
        <v>213124040.53999853</v>
      </c>
      <c r="F571" t="s">
        <v>10</v>
      </c>
      <c r="G571" t="s">
        <v>446</v>
      </c>
      <c r="H571" s="40" t="s">
        <v>2323</v>
      </c>
      <c r="I571" t="s">
        <v>26</v>
      </c>
    </row>
    <row r="572" spans="1:9">
      <c r="A572" s="5">
        <v>45838</v>
      </c>
      <c r="B572" t="s">
        <v>2134</v>
      </c>
      <c r="C572" s="44">
        <v>2500</v>
      </c>
      <c r="D572" s="11">
        <v>0</v>
      </c>
      <c r="E572" s="11">
        <f t="shared" si="8"/>
        <v>213121540.53999853</v>
      </c>
      <c r="F572" t="s">
        <v>19</v>
      </c>
      <c r="G572" t="s">
        <v>189</v>
      </c>
    </row>
    <row r="573" spans="1:9">
      <c r="A573" s="5">
        <v>45838</v>
      </c>
      <c r="B573" t="s">
        <v>2135</v>
      </c>
      <c r="C573" s="11">
        <v>4169000</v>
      </c>
      <c r="D573" s="11">
        <v>0</v>
      </c>
      <c r="E573" s="11">
        <f t="shared" si="8"/>
        <v>208952540.53999853</v>
      </c>
      <c r="F573" s="80" t="s">
        <v>4</v>
      </c>
      <c r="G573" t="s">
        <v>5</v>
      </c>
      <c r="H573" s="40" t="s">
        <v>2238</v>
      </c>
    </row>
    <row r="574" spans="1:9">
      <c r="A574" s="5">
        <v>45838</v>
      </c>
      <c r="B574" t="s">
        <v>2136</v>
      </c>
      <c r="C574" s="44">
        <v>2500</v>
      </c>
      <c r="D574" s="11">
        <v>0</v>
      </c>
      <c r="E574" s="11">
        <f t="shared" si="8"/>
        <v>208950040.53999853</v>
      </c>
      <c r="F574" t="s">
        <v>19</v>
      </c>
      <c r="G574" t="s">
        <v>189</v>
      </c>
    </row>
    <row r="575" spans="1:9">
      <c r="A575" s="5">
        <v>45838</v>
      </c>
      <c r="B575" t="s">
        <v>2137</v>
      </c>
      <c r="C575" s="11">
        <v>91850025</v>
      </c>
      <c r="D575" s="11">
        <v>0</v>
      </c>
      <c r="E575" s="11">
        <f t="shared" si="8"/>
        <v>117100015.53999853</v>
      </c>
      <c r="F575" s="80" t="s">
        <v>4</v>
      </c>
      <c r="G575" t="s">
        <v>5</v>
      </c>
      <c r="H575" s="40" t="s">
        <v>1622</v>
      </c>
    </row>
    <row r="576" spans="1:9">
      <c r="A576" s="5">
        <v>45838</v>
      </c>
      <c r="B576" t="s">
        <v>1217</v>
      </c>
      <c r="C576" s="11">
        <v>25000</v>
      </c>
      <c r="D576" s="11">
        <v>0</v>
      </c>
      <c r="E576" s="11">
        <f t="shared" si="8"/>
        <v>117075015.53999853</v>
      </c>
      <c r="F576" t="s">
        <v>19</v>
      </c>
      <c r="G576" t="s">
        <v>189</v>
      </c>
    </row>
    <row r="577" spans="1:9">
      <c r="A577" s="5">
        <v>45838</v>
      </c>
      <c r="B577" t="s">
        <v>1216</v>
      </c>
      <c r="C577" s="11">
        <v>0</v>
      </c>
      <c r="D577" s="11">
        <v>358894.18</v>
      </c>
      <c r="E577" s="11">
        <f t="shared" si="8"/>
        <v>117433909.71999854</v>
      </c>
      <c r="F577" t="s">
        <v>190</v>
      </c>
      <c r="G577" t="s">
        <v>79</v>
      </c>
    </row>
    <row r="578" spans="1:9">
      <c r="A578" s="5">
        <v>45838</v>
      </c>
      <c r="B578" t="s">
        <v>1218</v>
      </c>
      <c r="C578" s="11">
        <v>71778.84</v>
      </c>
      <c r="D578" s="11">
        <v>0</v>
      </c>
      <c r="E578" s="11">
        <f t="shared" si="8"/>
        <v>117362130.87999853</v>
      </c>
      <c r="F578" t="s">
        <v>190</v>
      </c>
      <c r="G578" t="s">
        <v>79</v>
      </c>
    </row>
    <row r="579" spans="1:9" ht="15.75">
      <c r="A579" s="5">
        <v>45839</v>
      </c>
      <c r="B579" t="s">
        <v>380</v>
      </c>
      <c r="C579" s="11">
        <v>100000000</v>
      </c>
      <c r="D579" s="11">
        <v>0</v>
      </c>
      <c r="E579" s="11">
        <f t="shared" si="8"/>
        <v>17362130.879998535</v>
      </c>
      <c r="F579" t="s">
        <v>920</v>
      </c>
      <c r="G579" s="8" t="s">
        <v>4242</v>
      </c>
    </row>
    <row r="580" spans="1:9">
      <c r="A580" s="5">
        <v>45839</v>
      </c>
      <c r="B580" t="s">
        <v>2349</v>
      </c>
      <c r="C580" s="11">
        <v>2500</v>
      </c>
      <c r="D580" s="11">
        <v>0</v>
      </c>
      <c r="E580" s="11">
        <f t="shared" si="8"/>
        <v>17359630.879998535</v>
      </c>
      <c r="F580" t="s">
        <v>19</v>
      </c>
      <c r="G580" t="s">
        <v>189</v>
      </c>
    </row>
    <row r="581" spans="1:9" ht="15.75">
      <c r="A581" s="5">
        <v>45839</v>
      </c>
      <c r="B581" t="s">
        <v>3022</v>
      </c>
      <c r="C581" s="11">
        <v>0</v>
      </c>
      <c r="D581" s="11">
        <v>12940800</v>
      </c>
      <c r="E581" s="11">
        <f t="shared" si="8"/>
        <v>30300430.879998535</v>
      </c>
      <c r="F581" t="s">
        <v>2140</v>
      </c>
      <c r="G581" t="s">
        <v>2141</v>
      </c>
      <c r="H581" s="154" t="s">
        <v>1376</v>
      </c>
      <c r="I581" s="37" t="s">
        <v>2228</v>
      </c>
    </row>
    <row r="582" spans="1:9">
      <c r="A582" s="5">
        <v>45840</v>
      </c>
      <c r="B582" t="s">
        <v>2350</v>
      </c>
      <c r="C582" s="11">
        <v>15074170</v>
      </c>
      <c r="D582" s="11">
        <v>0</v>
      </c>
      <c r="E582" s="11">
        <f t="shared" ref="E582:E645" si="9">E581-C582+D582</f>
        <v>15226260.879998535</v>
      </c>
      <c r="F582" t="s">
        <v>920</v>
      </c>
      <c r="G582" t="s">
        <v>4250</v>
      </c>
      <c r="H582" t="s">
        <v>368</v>
      </c>
    </row>
    <row r="583" spans="1:9">
      <c r="A583" s="5">
        <v>45840</v>
      </c>
      <c r="B583" t="s">
        <v>2351</v>
      </c>
      <c r="C583" s="11">
        <v>2500</v>
      </c>
      <c r="D583" s="11">
        <v>0</v>
      </c>
      <c r="E583" s="11">
        <f t="shared" si="9"/>
        <v>15223760.879998535</v>
      </c>
      <c r="F583" t="s">
        <v>19</v>
      </c>
      <c r="G583" t="s">
        <v>189</v>
      </c>
    </row>
    <row r="584" spans="1:9">
      <c r="A584" s="5">
        <v>45842</v>
      </c>
      <c r="B584" t="s">
        <v>1096</v>
      </c>
      <c r="C584" s="11">
        <v>0</v>
      </c>
      <c r="D584" s="11">
        <v>800000000</v>
      </c>
      <c r="E584" s="11">
        <f t="shared" si="9"/>
        <v>815223760.87999856</v>
      </c>
      <c r="F584" t="s">
        <v>920</v>
      </c>
      <c r="G584" t="s">
        <v>4251</v>
      </c>
    </row>
    <row r="585" spans="1:9">
      <c r="A585" s="5">
        <v>45842</v>
      </c>
      <c r="B585" t="s">
        <v>4692</v>
      </c>
      <c r="C585" s="11">
        <v>10000000</v>
      </c>
      <c r="D585" s="11">
        <v>0</v>
      </c>
      <c r="E585" s="11">
        <f t="shared" si="9"/>
        <v>805223760.87999856</v>
      </c>
      <c r="F585" t="s">
        <v>4</v>
      </c>
      <c r="G585" t="s">
        <v>5</v>
      </c>
      <c r="H585" s="40" t="s">
        <v>2320</v>
      </c>
    </row>
    <row r="586" spans="1:9">
      <c r="A586" s="5">
        <v>45842</v>
      </c>
      <c r="B586" t="s">
        <v>4693</v>
      </c>
      <c r="C586" s="11">
        <v>41106000</v>
      </c>
      <c r="D586" s="11">
        <v>0</v>
      </c>
      <c r="E586" s="11">
        <f t="shared" si="9"/>
        <v>764117760.87999856</v>
      </c>
      <c r="F586" t="s">
        <v>4</v>
      </c>
      <c r="G586" t="s">
        <v>5</v>
      </c>
      <c r="H586" s="40" t="s">
        <v>2320</v>
      </c>
    </row>
    <row r="587" spans="1:9">
      <c r="A587" s="5">
        <v>45842</v>
      </c>
      <c r="B587" t="s">
        <v>2352</v>
      </c>
      <c r="C587" s="11">
        <v>2500</v>
      </c>
      <c r="D587" s="11">
        <v>0</v>
      </c>
      <c r="E587" s="11">
        <f t="shared" si="9"/>
        <v>764115260.87999856</v>
      </c>
      <c r="F587" t="s">
        <v>19</v>
      </c>
      <c r="G587" t="s">
        <v>189</v>
      </c>
    </row>
    <row r="588" spans="1:9" ht="15.75">
      <c r="A588" s="5">
        <v>45844</v>
      </c>
      <c r="B588" t="s">
        <v>4574</v>
      </c>
      <c r="C588" s="11">
        <v>17250</v>
      </c>
      <c r="D588" s="11">
        <v>0</v>
      </c>
      <c r="E588" s="11">
        <f t="shared" si="9"/>
        <v>764098010.87999856</v>
      </c>
      <c r="F588" t="s">
        <v>6</v>
      </c>
      <c r="G588" t="s">
        <v>53</v>
      </c>
      <c r="H588" s="17" t="s">
        <v>2182</v>
      </c>
      <c r="I588" t="s">
        <v>7120</v>
      </c>
    </row>
    <row r="589" spans="1:9" s="8" customFormat="1" ht="15.75">
      <c r="A589" s="13">
        <v>45844</v>
      </c>
      <c r="B589" s="8" t="s">
        <v>7758</v>
      </c>
      <c r="C589" s="54">
        <v>70000</v>
      </c>
      <c r="D589" s="54">
        <v>0</v>
      </c>
      <c r="E589" s="54">
        <f t="shared" si="9"/>
        <v>764028010.87999856</v>
      </c>
      <c r="F589" s="8" t="s">
        <v>6</v>
      </c>
      <c r="G589" s="8" t="s">
        <v>53</v>
      </c>
      <c r="H589" s="17" t="s">
        <v>2182</v>
      </c>
      <c r="I589" s="40" t="s">
        <v>7120</v>
      </c>
    </row>
    <row r="590" spans="1:9" ht="15.75">
      <c r="A590" s="5">
        <v>45844</v>
      </c>
      <c r="B590" t="s">
        <v>4575</v>
      </c>
      <c r="C590" s="11">
        <v>297338</v>
      </c>
      <c r="D590" s="11">
        <v>0</v>
      </c>
      <c r="E590" s="11">
        <f t="shared" si="9"/>
        <v>763730672.87999856</v>
      </c>
      <c r="F590" t="s">
        <v>6</v>
      </c>
      <c r="G590" t="s">
        <v>53</v>
      </c>
      <c r="H590" s="17" t="s">
        <v>2182</v>
      </c>
      <c r="I590" t="s">
        <v>7120</v>
      </c>
    </row>
    <row r="591" spans="1:9">
      <c r="A591" s="5">
        <v>45844</v>
      </c>
      <c r="B591" t="s">
        <v>4224</v>
      </c>
      <c r="C591" s="11">
        <v>17752909</v>
      </c>
      <c r="D591" s="11">
        <v>0</v>
      </c>
      <c r="E591" s="11">
        <f t="shared" si="9"/>
        <v>745977763.87999856</v>
      </c>
      <c r="F591" t="s">
        <v>62</v>
      </c>
      <c r="G591" t="s">
        <v>252</v>
      </c>
      <c r="H591" t="s">
        <v>4561</v>
      </c>
    </row>
    <row r="592" spans="1:9">
      <c r="A592" s="5">
        <v>45844</v>
      </c>
      <c r="B592" t="s">
        <v>4694</v>
      </c>
      <c r="C592" s="11">
        <v>495000</v>
      </c>
      <c r="D592" s="11">
        <v>0</v>
      </c>
      <c r="E592" s="11">
        <f t="shared" si="9"/>
        <v>745482763.87999856</v>
      </c>
      <c r="F592" t="s">
        <v>4</v>
      </c>
      <c r="G592" t="s">
        <v>5</v>
      </c>
      <c r="H592" s="40" t="s">
        <v>1634</v>
      </c>
    </row>
    <row r="593" spans="1:9">
      <c r="A593" s="5">
        <v>45844</v>
      </c>
      <c r="B593" t="s">
        <v>7078</v>
      </c>
      <c r="C593" s="11">
        <v>18018019</v>
      </c>
      <c r="D593" s="11">
        <v>0</v>
      </c>
      <c r="E593" s="11">
        <f t="shared" si="9"/>
        <v>727464744.87999856</v>
      </c>
      <c r="F593" t="s">
        <v>8</v>
      </c>
      <c r="G593" t="s">
        <v>77</v>
      </c>
      <c r="H593" t="s">
        <v>4560</v>
      </c>
    </row>
    <row r="594" spans="1:9">
      <c r="A594" s="5">
        <v>45844</v>
      </c>
      <c r="B594" t="s">
        <v>7078</v>
      </c>
      <c r="C594" s="11">
        <v>1981982</v>
      </c>
      <c r="D594" s="11">
        <v>0</v>
      </c>
      <c r="E594" s="11">
        <f t="shared" si="9"/>
        <v>725482762.87999856</v>
      </c>
      <c r="F594" t="s">
        <v>920</v>
      </c>
      <c r="G594" t="s">
        <v>7856</v>
      </c>
      <c r="H594" t="s">
        <v>7032</v>
      </c>
      <c r="I594" t="s">
        <v>4560</v>
      </c>
    </row>
    <row r="595" spans="1:9" s="40" customFormat="1">
      <c r="A595" s="218">
        <v>45844</v>
      </c>
      <c r="B595" s="40" t="s">
        <v>7078</v>
      </c>
      <c r="C595" s="39">
        <v>0</v>
      </c>
      <c r="D595" s="39">
        <f>C593+C594-18198199</f>
        <v>1801802</v>
      </c>
      <c r="E595" s="11">
        <f t="shared" si="9"/>
        <v>727284564.87999856</v>
      </c>
      <c r="F595" s="40" t="s">
        <v>1400</v>
      </c>
      <c r="G595" s="40" t="s">
        <v>1400</v>
      </c>
      <c r="H595" s="40" t="s">
        <v>2170</v>
      </c>
      <c r="I595" s="40" t="s">
        <v>4560</v>
      </c>
    </row>
    <row r="596" spans="1:9">
      <c r="A596" s="5">
        <v>45844</v>
      </c>
      <c r="B596" t="s">
        <v>2353</v>
      </c>
      <c r="C596" s="11">
        <v>2500</v>
      </c>
      <c r="D596" s="11">
        <v>0</v>
      </c>
      <c r="E596" s="11">
        <f t="shared" si="9"/>
        <v>727282064.87999856</v>
      </c>
      <c r="F596" t="s">
        <v>19</v>
      </c>
      <c r="G596" t="s">
        <v>189</v>
      </c>
    </row>
    <row r="597" spans="1:9">
      <c r="A597" s="5">
        <v>45844</v>
      </c>
      <c r="B597" t="s">
        <v>4695</v>
      </c>
      <c r="C597" s="11">
        <v>22195122</v>
      </c>
      <c r="D597" s="11">
        <v>0</v>
      </c>
      <c r="E597" s="11">
        <f t="shared" si="9"/>
        <v>705086942.87999856</v>
      </c>
      <c r="F597" t="s">
        <v>4</v>
      </c>
      <c r="G597" t="s">
        <v>5</v>
      </c>
      <c r="H597" s="40" t="s">
        <v>2320</v>
      </c>
    </row>
    <row r="598" spans="1:9">
      <c r="A598" s="5">
        <v>45846</v>
      </c>
      <c r="B598" t="s">
        <v>4606</v>
      </c>
      <c r="C598" s="11">
        <v>5934891</v>
      </c>
      <c r="D598" s="11">
        <v>0</v>
      </c>
      <c r="E598" s="11">
        <f t="shared" si="9"/>
        <v>699152051.87999856</v>
      </c>
      <c r="F598" t="s">
        <v>920</v>
      </c>
      <c r="G598" t="s">
        <v>4250</v>
      </c>
      <c r="H598" t="s">
        <v>5980</v>
      </c>
    </row>
    <row r="599" spans="1:9" ht="15.75">
      <c r="A599" s="5">
        <v>45848</v>
      </c>
      <c r="B599" t="s">
        <v>2354</v>
      </c>
      <c r="C599" s="11">
        <v>0</v>
      </c>
      <c r="D599" s="11">
        <v>107158369</v>
      </c>
      <c r="E599" s="11">
        <f t="shared" si="9"/>
        <v>806310420.87999856</v>
      </c>
      <c r="F599" t="s">
        <v>2140</v>
      </c>
      <c r="G599" t="s">
        <v>2141</v>
      </c>
      <c r="H599" s="154" t="s">
        <v>1622</v>
      </c>
      <c r="I599" s="37" t="s">
        <v>2244</v>
      </c>
    </row>
    <row r="600" spans="1:9" ht="15.75">
      <c r="A600" s="5">
        <v>45848</v>
      </c>
      <c r="B600" t="s">
        <v>2355</v>
      </c>
      <c r="C600" s="11">
        <v>0</v>
      </c>
      <c r="D600" s="11">
        <v>8325160</v>
      </c>
      <c r="E600" s="11">
        <f t="shared" si="9"/>
        <v>814635580.87999856</v>
      </c>
      <c r="F600" t="s">
        <v>2140</v>
      </c>
      <c r="G600" t="s">
        <v>2141</v>
      </c>
      <c r="H600" s="154" t="s">
        <v>1622</v>
      </c>
      <c r="I600" t="s">
        <v>2247</v>
      </c>
    </row>
    <row r="601" spans="1:9" ht="15.75">
      <c r="A601" s="5">
        <v>45848</v>
      </c>
      <c r="B601" t="s">
        <v>2355</v>
      </c>
      <c r="C601" s="11">
        <v>0</v>
      </c>
      <c r="D601" s="11">
        <v>22881779</v>
      </c>
      <c r="E601" s="11">
        <f t="shared" si="9"/>
        <v>837517359.87999856</v>
      </c>
      <c r="F601" t="s">
        <v>2140</v>
      </c>
      <c r="G601" t="s">
        <v>2141</v>
      </c>
      <c r="H601" s="154" t="s">
        <v>1622</v>
      </c>
      <c r="I601" t="s">
        <v>2250</v>
      </c>
    </row>
    <row r="602" spans="1:9" ht="15.75">
      <c r="A602" s="5">
        <v>45848</v>
      </c>
      <c r="B602" t="s">
        <v>2355</v>
      </c>
      <c r="C602" s="11">
        <v>0</v>
      </c>
      <c r="D602" s="11">
        <v>1341092</v>
      </c>
      <c r="E602" s="11">
        <f t="shared" si="9"/>
        <v>838858451.87999856</v>
      </c>
      <c r="F602" t="s">
        <v>2140</v>
      </c>
      <c r="G602" t="s">
        <v>2141</v>
      </c>
      <c r="H602" s="154" t="s">
        <v>1622</v>
      </c>
      <c r="I602" t="s">
        <v>2252</v>
      </c>
    </row>
    <row r="603" spans="1:9" ht="15.75">
      <c r="A603" s="5">
        <v>45848</v>
      </c>
      <c r="B603" t="s">
        <v>2355</v>
      </c>
      <c r="C603" s="11">
        <v>0</v>
      </c>
      <c r="D603" s="11">
        <v>1341092</v>
      </c>
      <c r="E603" s="11">
        <f t="shared" si="9"/>
        <v>840199543.87999856</v>
      </c>
      <c r="F603" t="s">
        <v>2140</v>
      </c>
      <c r="G603" t="s">
        <v>2141</v>
      </c>
      <c r="H603" s="154" t="s">
        <v>1622</v>
      </c>
      <c r="I603" t="s">
        <v>2254</v>
      </c>
    </row>
    <row r="604" spans="1:9" ht="15.75">
      <c r="A604" s="5">
        <v>45848</v>
      </c>
      <c r="B604" t="s">
        <v>2355</v>
      </c>
      <c r="C604" s="11">
        <v>0</v>
      </c>
      <c r="D604" s="11">
        <v>2682183</v>
      </c>
      <c r="E604" s="11">
        <f t="shared" si="9"/>
        <v>842881726.87999856</v>
      </c>
      <c r="F604" t="s">
        <v>2140</v>
      </c>
      <c r="G604" t="s">
        <v>2141</v>
      </c>
      <c r="H604" s="154" t="s">
        <v>1622</v>
      </c>
      <c r="I604" t="s">
        <v>2256</v>
      </c>
    </row>
    <row r="605" spans="1:9" ht="15.75">
      <c r="A605" s="5">
        <v>45848</v>
      </c>
      <c r="B605" t="s">
        <v>2355</v>
      </c>
      <c r="C605" s="11">
        <v>0</v>
      </c>
      <c r="D605" s="11">
        <v>1341092</v>
      </c>
      <c r="E605" s="11">
        <f t="shared" si="9"/>
        <v>844222818.87999856</v>
      </c>
      <c r="F605" t="s">
        <v>2140</v>
      </c>
      <c r="G605" t="s">
        <v>2141</v>
      </c>
      <c r="H605" s="154" t="s">
        <v>1622</v>
      </c>
      <c r="I605" t="s">
        <v>2258</v>
      </c>
    </row>
    <row r="606" spans="1:9" ht="15.75">
      <c r="A606" s="5">
        <v>45848</v>
      </c>
      <c r="B606" t="s">
        <v>2355</v>
      </c>
      <c r="C606" s="11">
        <v>0</v>
      </c>
      <c r="D606" s="11">
        <v>1341092</v>
      </c>
      <c r="E606" s="11">
        <f t="shared" si="9"/>
        <v>845563910.87999856</v>
      </c>
      <c r="F606" t="s">
        <v>2140</v>
      </c>
      <c r="G606" t="s">
        <v>2141</v>
      </c>
      <c r="H606" s="154" t="s">
        <v>1622</v>
      </c>
      <c r="I606" t="s">
        <v>2260</v>
      </c>
    </row>
    <row r="607" spans="1:9" ht="15.75">
      <c r="A607" s="5">
        <v>45848</v>
      </c>
      <c r="B607" t="s">
        <v>2355</v>
      </c>
      <c r="C607" s="11">
        <v>0</v>
      </c>
      <c r="D607" s="11">
        <v>1341092</v>
      </c>
      <c r="E607" s="11">
        <f t="shared" si="9"/>
        <v>846905002.87999856</v>
      </c>
      <c r="F607" t="s">
        <v>2140</v>
      </c>
      <c r="G607" t="s">
        <v>2141</v>
      </c>
      <c r="H607" s="154" t="s">
        <v>1622</v>
      </c>
      <c r="I607" t="s">
        <v>2262</v>
      </c>
    </row>
    <row r="608" spans="1:9" ht="15.75">
      <c r="A608" s="5">
        <v>45848</v>
      </c>
      <c r="B608" t="s">
        <v>2355</v>
      </c>
      <c r="C608" s="11">
        <v>0</v>
      </c>
      <c r="D608" s="11">
        <v>1341092</v>
      </c>
      <c r="E608" s="11">
        <f t="shared" si="9"/>
        <v>848246094.87999856</v>
      </c>
      <c r="F608" t="s">
        <v>2140</v>
      </c>
      <c r="G608" t="s">
        <v>2141</v>
      </c>
      <c r="H608" s="154" t="s">
        <v>1622</v>
      </c>
      <c r="I608" t="s">
        <v>2264</v>
      </c>
    </row>
    <row r="609" spans="1:9" ht="15.75">
      <c r="A609" s="5">
        <v>45848</v>
      </c>
      <c r="B609" t="s">
        <v>2355</v>
      </c>
      <c r="C609" s="11">
        <v>0</v>
      </c>
      <c r="D609" s="11">
        <v>1341092</v>
      </c>
      <c r="E609" s="11">
        <f t="shared" si="9"/>
        <v>849587186.87999856</v>
      </c>
      <c r="F609" t="s">
        <v>2140</v>
      </c>
      <c r="G609" t="s">
        <v>2141</v>
      </c>
      <c r="H609" s="154" t="s">
        <v>1622</v>
      </c>
      <c r="I609" t="s">
        <v>2266</v>
      </c>
    </row>
    <row r="610" spans="1:9" ht="15.75">
      <c r="A610" s="5">
        <v>45848</v>
      </c>
      <c r="B610" t="s">
        <v>2355</v>
      </c>
      <c r="C610" s="11">
        <v>0</v>
      </c>
      <c r="D610" s="11">
        <v>1341092</v>
      </c>
      <c r="E610" s="11">
        <f t="shared" si="9"/>
        <v>850928278.87999856</v>
      </c>
      <c r="F610" t="s">
        <v>2140</v>
      </c>
      <c r="G610" t="s">
        <v>2141</v>
      </c>
      <c r="H610" s="154" t="s">
        <v>1622</v>
      </c>
      <c r="I610" t="s">
        <v>2268</v>
      </c>
    </row>
    <row r="611" spans="1:9" ht="15.75">
      <c r="A611" s="5">
        <v>45848</v>
      </c>
      <c r="B611" t="s">
        <v>2355</v>
      </c>
      <c r="C611" s="11">
        <v>0</v>
      </c>
      <c r="D611" s="11">
        <v>1341092</v>
      </c>
      <c r="E611" s="11">
        <f t="shared" si="9"/>
        <v>852269370.87999856</v>
      </c>
      <c r="F611" t="s">
        <v>2140</v>
      </c>
      <c r="G611" t="s">
        <v>2141</v>
      </c>
      <c r="H611" s="154" t="s">
        <v>1622</v>
      </c>
      <c r="I611" t="s">
        <v>2270</v>
      </c>
    </row>
    <row r="612" spans="1:9" ht="15.75">
      <c r="A612" s="5">
        <v>45848</v>
      </c>
      <c r="B612" t="s">
        <v>2355</v>
      </c>
      <c r="C612" s="11">
        <v>0</v>
      </c>
      <c r="D612" s="11">
        <v>1341092</v>
      </c>
      <c r="E612" s="11">
        <f t="shared" si="9"/>
        <v>853610462.87999856</v>
      </c>
      <c r="F612" t="s">
        <v>2140</v>
      </c>
      <c r="G612" t="s">
        <v>2141</v>
      </c>
      <c r="H612" s="154" t="s">
        <v>1622</v>
      </c>
      <c r="I612" t="s">
        <v>2272</v>
      </c>
    </row>
    <row r="613" spans="1:9" ht="15.75">
      <c r="A613" s="5">
        <v>45848</v>
      </c>
      <c r="B613" t="s">
        <v>2355</v>
      </c>
      <c r="C613" s="11">
        <v>0</v>
      </c>
      <c r="D613" s="11">
        <v>6471269</v>
      </c>
      <c r="E613" s="11">
        <f t="shared" si="9"/>
        <v>860081731.87999856</v>
      </c>
      <c r="F613" t="s">
        <v>2140</v>
      </c>
      <c r="G613" t="s">
        <v>2141</v>
      </c>
      <c r="H613" s="154" t="s">
        <v>1622</v>
      </c>
      <c r="I613" t="s">
        <v>2274</v>
      </c>
    </row>
    <row r="614" spans="1:9" ht="15.75">
      <c r="A614" s="5">
        <v>45848</v>
      </c>
      <c r="B614" t="s">
        <v>2355</v>
      </c>
      <c r="C614" s="11">
        <v>0</v>
      </c>
      <c r="D614" s="11">
        <v>1213635</v>
      </c>
      <c r="E614" s="11">
        <f t="shared" si="9"/>
        <v>861295366.87999856</v>
      </c>
      <c r="F614" t="s">
        <v>2140</v>
      </c>
      <c r="G614" t="s">
        <v>2141</v>
      </c>
      <c r="H614" s="154" t="s">
        <v>1622</v>
      </c>
      <c r="I614" t="s">
        <v>2276</v>
      </c>
    </row>
    <row r="615" spans="1:9" ht="15.75">
      <c r="A615" s="5">
        <v>45848</v>
      </c>
      <c r="B615" t="s">
        <v>2355</v>
      </c>
      <c r="C615" s="11">
        <v>0</v>
      </c>
      <c r="D615" s="11">
        <v>1213635</v>
      </c>
      <c r="E615" s="11">
        <f t="shared" si="9"/>
        <v>862509001.87999856</v>
      </c>
      <c r="F615" t="s">
        <v>2140</v>
      </c>
      <c r="G615" t="s">
        <v>2141</v>
      </c>
      <c r="H615" s="154" t="s">
        <v>1622</v>
      </c>
      <c r="I615" t="s">
        <v>2278</v>
      </c>
    </row>
    <row r="616" spans="1:9" ht="15.75">
      <c r="A616" s="5">
        <v>45848</v>
      </c>
      <c r="B616" t="s">
        <v>2355</v>
      </c>
      <c r="C616" s="11">
        <v>0</v>
      </c>
      <c r="D616" s="11">
        <v>1213635</v>
      </c>
      <c r="E616" s="11">
        <f t="shared" si="9"/>
        <v>863722636.87999856</v>
      </c>
      <c r="F616" t="s">
        <v>2140</v>
      </c>
      <c r="G616" t="s">
        <v>2141</v>
      </c>
      <c r="H616" s="154" t="s">
        <v>1622</v>
      </c>
      <c r="I616" t="s">
        <v>2280</v>
      </c>
    </row>
    <row r="617" spans="1:9" ht="15.75">
      <c r="A617" s="5">
        <v>45848</v>
      </c>
      <c r="B617" t="s">
        <v>2355</v>
      </c>
      <c r="C617" s="11">
        <v>0</v>
      </c>
      <c r="D617" s="11">
        <v>2617008</v>
      </c>
      <c r="E617" s="11">
        <f t="shared" si="9"/>
        <v>866339644.87999856</v>
      </c>
      <c r="F617" t="s">
        <v>2140</v>
      </c>
      <c r="G617" t="s">
        <v>2141</v>
      </c>
      <c r="H617" s="154" t="s">
        <v>1622</v>
      </c>
      <c r="I617" t="s">
        <v>2282</v>
      </c>
    </row>
    <row r="618" spans="1:9" ht="15.75">
      <c r="A618" s="5">
        <v>45848</v>
      </c>
      <c r="B618" t="s">
        <v>2355</v>
      </c>
      <c r="C618" s="11">
        <v>0</v>
      </c>
      <c r="D618" s="11">
        <v>9350761</v>
      </c>
      <c r="E618" s="11">
        <f t="shared" si="9"/>
        <v>875690405.87999856</v>
      </c>
      <c r="F618" t="s">
        <v>2140</v>
      </c>
      <c r="G618" t="s">
        <v>2141</v>
      </c>
      <c r="H618" s="154" t="s">
        <v>1622</v>
      </c>
      <c r="I618" t="s">
        <v>2284</v>
      </c>
    </row>
    <row r="619" spans="1:9" ht="15.75">
      <c r="A619" s="5">
        <v>45848</v>
      </c>
      <c r="B619" t="s">
        <v>2355</v>
      </c>
      <c r="C619" s="11">
        <v>0</v>
      </c>
      <c r="D619" s="11">
        <v>1819800</v>
      </c>
      <c r="E619" s="11">
        <f t="shared" si="9"/>
        <v>877510205.87999856</v>
      </c>
      <c r="F619" t="s">
        <v>2140</v>
      </c>
      <c r="G619" t="s">
        <v>2141</v>
      </c>
      <c r="H619" s="154" t="s">
        <v>1622</v>
      </c>
      <c r="I619" t="s">
        <v>2286</v>
      </c>
    </row>
    <row r="620" spans="1:9" ht="15.75">
      <c r="A620" s="5">
        <v>45848</v>
      </c>
      <c r="B620" t="s">
        <v>2355</v>
      </c>
      <c r="C620" s="11">
        <v>0</v>
      </c>
      <c r="D620" s="11">
        <v>27237917</v>
      </c>
      <c r="E620" s="11">
        <f t="shared" si="9"/>
        <v>904748122.87999856</v>
      </c>
      <c r="F620" t="s">
        <v>2140</v>
      </c>
      <c r="G620" t="s">
        <v>2141</v>
      </c>
      <c r="H620" s="154" t="s">
        <v>1622</v>
      </c>
      <c r="I620" t="s">
        <v>2288</v>
      </c>
    </row>
    <row r="621" spans="1:9" ht="15.75">
      <c r="A621" s="5">
        <v>45848</v>
      </c>
      <c r="B621" t="s">
        <v>2355</v>
      </c>
      <c r="C621" s="11">
        <v>0</v>
      </c>
      <c r="D621" s="11">
        <v>4753025</v>
      </c>
      <c r="E621" s="11">
        <f t="shared" si="9"/>
        <v>909501147.87999856</v>
      </c>
      <c r="F621" t="s">
        <v>2140</v>
      </c>
      <c r="G621" t="s">
        <v>2141</v>
      </c>
      <c r="H621" s="154" t="s">
        <v>1622</v>
      </c>
      <c r="I621" t="s">
        <v>2290</v>
      </c>
    </row>
    <row r="622" spans="1:9" ht="15.75">
      <c r="A622" s="5">
        <v>45848</v>
      </c>
      <c r="B622" t="s">
        <v>2355</v>
      </c>
      <c r="C622" s="11">
        <v>0</v>
      </c>
      <c r="D622" s="11">
        <v>4753025</v>
      </c>
      <c r="E622" s="11">
        <f t="shared" si="9"/>
        <v>914254172.87999856</v>
      </c>
      <c r="F622" t="s">
        <v>2140</v>
      </c>
      <c r="G622" t="s">
        <v>2141</v>
      </c>
      <c r="H622" s="154" t="s">
        <v>1622</v>
      </c>
      <c r="I622" t="s">
        <v>2292</v>
      </c>
    </row>
    <row r="623" spans="1:9" ht="15.75">
      <c r="A623" s="5">
        <v>45848</v>
      </c>
      <c r="B623" t="s">
        <v>2355</v>
      </c>
      <c r="C623" s="11">
        <v>0</v>
      </c>
      <c r="D623" s="11">
        <v>3851877</v>
      </c>
      <c r="E623" s="11">
        <f t="shared" si="9"/>
        <v>918106049.87999856</v>
      </c>
      <c r="F623" t="s">
        <v>2140</v>
      </c>
      <c r="G623" t="s">
        <v>2141</v>
      </c>
      <c r="H623" s="154" t="s">
        <v>1622</v>
      </c>
      <c r="I623" t="s">
        <v>2294</v>
      </c>
    </row>
    <row r="624" spans="1:9" ht="15.75">
      <c r="A624" s="5">
        <v>45848</v>
      </c>
      <c r="B624" t="s">
        <v>2355</v>
      </c>
      <c r="C624" s="11">
        <v>0</v>
      </c>
      <c r="D624" s="11">
        <f>115647506-SUM(D600:D623)</f>
        <v>3851877</v>
      </c>
      <c r="E624" s="11">
        <f t="shared" si="9"/>
        <v>921957926.87999856</v>
      </c>
      <c r="F624" t="s">
        <v>2140</v>
      </c>
      <c r="G624" t="s">
        <v>2141</v>
      </c>
      <c r="H624" s="154" t="s">
        <v>1622</v>
      </c>
      <c r="I624" t="s">
        <v>2296</v>
      </c>
    </row>
    <row r="625" spans="1:9" ht="15.75">
      <c r="A625" s="5">
        <v>45848</v>
      </c>
      <c r="B625" t="s">
        <v>379</v>
      </c>
      <c r="C625" s="11">
        <v>250000000</v>
      </c>
      <c r="D625" s="11">
        <v>0</v>
      </c>
      <c r="E625" s="11">
        <f t="shared" si="9"/>
        <v>671957926.87999856</v>
      </c>
      <c r="F625" t="s">
        <v>920</v>
      </c>
      <c r="G625" s="8" t="s">
        <v>4242</v>
      </c>
    </row>
    <row r="626" spans="1:9">
      <c r="A626" s="5">
        <v>45848</v>
      </c>
      <c r="B626" t="s">
        <v>2494</v>
      </c>
      <c r="C626" s="11">
        <v>2500</v>
      </c>
      <c r="D626" s="11">
        <v>0</v>
      </c>
      <c r="E626" s="11">
        <f t="shared" si="9"/>
        <v>671955426.87999856</v>
      </c>
      <c r="F626" t="s">
        <v>19</v>
      </c>
      <c r="G626" t="s">
        <v>189</v>
      </c>
    </row>
    <row r="627" spans="1:9" ht="15.75">
      <c r="A627" s="5">
        <v>45848</v>
      </c>
      <c r="B627" t="s">
        <v>379</v>
      </c>
      <c r="C627" s="11">
        <v>250000000</v>
      </c>
      <c r="D627" s="11">
        <v>0</v>
      </c>
      <c r="E627" s="11">
        <f t="shared" si="9"/>
        <v>421955426.87999856</v>
      </c>
      <c r="F627" t="s">
        <v>920</v>
      </c>
      <c r="G627" s="8" t="s">
        <v>4242</v>
      </c>
    </row>
    <row r="628" spans="1:9">
      <c r="A628" s="5">
        <v>45848</v>
      </c>
      <c r="B628" t="s">
        <v>2495</v>
      </c>
      <c r="C628" s="11">
        <v>2500</v>
      </c>
      <c r="D628" s="11">
        <v>0</v>
      </c>
      <c r="E628" s="11">
        <f t="shared" si="9"/>
        <v>421952926.87999856</v>
      </c>
      <c r="F628" t="s">
        <v>19</v>
      </c>
      <c r="G628" t="s">
        <v>189</v>
      </c>
    </row>
    <row r="629" spans="1:9">
      <c r="A629" s="5">
        <v>45848</v>
      </c>
      <c r="B629" t="s">
        <v>2496</v>
      </c>
      <c r="C629" s="11">
        <v>490000</v>
      </c>
      <c r="D629" s="11">
        <v>0</v>
      </c>
      <c r="E629" s="11">
        <f t="shared" si="9"/>
        <v>421462926.87999856</v>
      </c>
      <c r="F629" t="s">
        <v>4</v>
      </c>
      <c r="G629" t="s">
        <v>5</v>
      </c>
      <c r="H629" s="40" t="s">
        <v>1634</v>
      </c>
    </row>
    <row r="630" spans="1:9">
      <c r="A630" s="5">
        <v>45848</v>
      </c>
      <c r="B630" t="s">
        <v>2497</v>
      </c>
      <c r="C630" s="11">
        <v>2500</v>
      </c>
      <c r="D630" s="11">
        <v>0</v>
      </c>
      <c r="E630" s="11">
        <f t="shared" si="9"/>
        <v>421460426.87999856</v>
      </c>
      <c r="F630" t="s">
        <v>19</v>
      </c>
      <c r="G630" t="s">
        <v>189</v>
      </c>
    </row>
    <row r="631" spans="1:9">
      <c r="A631" s="5">
        <v>45848</v>
      </c>
      <c r="B631" t="s">
        <v>2498</v>
      </c>
      <c r="C631" s="11">
        <v>93600000</v>
      </c>
      <c r="D631" s="11">
        <v>0</v>
      </c>
      <c r="E631" s="11">
        <f t="shared" si="9"/>
        <v>327860426.87999856</v>
      </c>
      <c r="F631" t="s">
        <v>4</v>
      </c>
      <c r="G631" t="s">
        <v>5</v>
      </c>
      <c r="H631" s="40" t="s">
        <v>1622</v>
      </c>
    </row>
    <row r="632" spans="1:9">
      <c r="A632" s="5">
        <v>45848</v>
      </c>
      <c r="B632" t="s">
        <v>2499</v>
      </c>
      <c r="C632" s="11">
        <v>2283000</v>
      </c>
      <c r="D632" s="11">
        <v>0</v>
      </c>
      <c r="E632" s="11">
        <f t="shared" si="9"/>
        <v>325577426.87999856</v>
      </c>
      <c r="F632" t="s">
        <v>4</v>
      </c>
      <c r="G632" t="s">
        <v>5</v>
      </c>
      <c r="H632" s="40" t="s">
        <v>1636</v>
      </c>
    </row>
    <row r="633" spans="1:9">
      <c r="A633" s="5">
        <v>45848</v>
      </c>
      <c r="B633" t="s">
        <v>2500</v>
      </c>
      <c r="C633" s="11">
        <v>2367750</v>
      </c>
      <c r="D633" s="11">
        <v>0</v>
      </c>
      <c r="E633" s="11">
        <f t="shared" si="9"/>
        <v>323209676.87999856</v>
      </c>
      <c r="F633" t="s">
        <v>8</v>
      </c>
      <c r="G633" t="s">
        <v>33</v>
      </c>
    </row>
    <row r="634" spans="1:9">
      <c r="A634" s="5">
        <v>45848</v>
      </c>
      <c r="B634" t="s">
        <v>2501</v>
      </c>
      <c r="C634" s="11">
        <v>2500</v>
      </c>
      <c r="D634" s="11">
        <v>0</v>
      </c>
      <c r="E634" s="11">
        <f t="shared" si="9"/>
        <v>323207176.87999856</v>
      </c>
      <c r="F634" t="s">
        <v>19</v>
      </c>
      <c r="G634" t="s">
        <v>189</v>
      </c>
    </row>
    <row r="635" spans="1:9">
      <c r="A635" s="5">
        <v>45848</v>
      </c>
      <c r="B635" t="s">
        <v>2502</v>
      </c>
      <c r="C635" s="39">
        <v>1203700</v>
      </c>
      <c r="D635" s="11">
        <v>0</v>
      </c>
      <c r="E635" s="11">
        <f t="shared" si="9"/>
        <v>322003476.87999856</v>
      </c>
      <c r="F635" t="s">
        <v>4</v>
      </c>
      <c r="G635" t="s">
        <v>5</v>
      </c>
      <c r="H635" s="40" t="s">
        <v>1634</v>
      </c>
    </row>
    <row r="636" spans="1:9">
      <c r="A636" s="5">
        <v>45848</v>
      </c>
      <c r="B636" t="s">
        <v>2503</v>
      </c>
      <c r="C636" s="11">
        <v>8903470</v>
      </c>
      <c r="D636" s="11">
        <v>0</v>
      </c>
      <c r="E636" s="11">
        <f t="shared" si="9"/>
        <v>313100006.87999856</v>
      </c>
      <c r="F636" t="s">
        <v>10</v>
      </c>
      <c r="G636" t="s">
        <v>446</v>
      </c>
      <c r="H636" s="40" t="s">
        <v>6539</v>
      </c>
      <c r="I636" t="s">
        <v>26</v>
      </c>
    </row>
    <row r="637" spans="1:9">
      <c r="A637" s="5">
        <v>45848</v>
      </c>
      <c r="B637" t="s">
        <v>2504</v>
      </c>
      <c r="C637" s="11">
        <v>2500</v>
      </c>
      <c r="D637" s="11">
        <v>0</v>
      </c>
      <c r="E637" s="11">
        <f t="shared" si="9"/>
        <v>313097506.87999856</v>
      </c>
      <c r="F637" t="s">
        <v>19</v>
      </c>
      <c r="G637" t="s">
        <v>189</v>
      </c>
    </row>
    <row r="638" spans="1:9">
      <c r="A638" s="5">
        <v>45848</v>
      </c>
      <c r="B638" t="s">
        <v>2505</v>
      </c>
      <c r="C638" s="11">
        <v>622300</v>
      </c>
      <c r="D638" s="11">
        <v>0</v>
      </c>
      <c r="E638" s="11">
        <f t="shared" si="9"/>
        <v>312475206.87999856</v>
      </c>
      <c r="F638" t="s">
        <v>4</v>
      </c>
      <c r="G638" t="s">
        <v>5</v>
      </c>
      <c r="H638" s="40" t="s">
        <v>1634</v>
      </c>
    </row>
    <row r="639" spans="1:9">
      <c r="A639" s="5">
        <v>45848</v>
      </c>
      <c r="B639" t="s">
        <v>2506</v>
      </c>
      <c r="C639" s="11">
        <v>2500</v>
      </c>
      <c r="D639" s="11">
        <v>0</v>
      </c>
      <c r="E639" s="11">
        <f t="shared" si="9"/>
        <v>312472706.87999856</v>
      </c>
      <c r="F639" t="s">
        <v>19</v>
      </c>
      <c r="G639" t="s">
        <v>189</v>
      </c>
    </row>
    <row r="640" spans="1:9">
      <c r="A640" s="5">
        <v>45848</v>
      </c>
      <c r="B640" t="s">
        <v>2507</v>
      </c>
      <c r="C640" s="11">
        <v>5409800</v>
      </c>
      <c r="D640" s="11">
        <v>0</v>
      </c>
      <c r="E640" s="11">
        <f t="shared" si="9"/>
        <v>307062906.87999856</v>
      </c>
      <c r="F640" t="s">
        <v>4</v>
      </c>
      <c r="G640" t="s">
        <v>5</v>
      </c>
      <c r="H640" s="40" t="s">
        <v>1633</v>
      </c>
    </row>
    <row r="641" spans="1:9">
      <c r="A641" s="5">
        <v>45848</v>
      </c>
      <c r="B641" t="s">
        <v>2508</v>
      </c>
      <c r="C641" s="11">
        <v>2500</v>
      </c>
      <c r="D641" s="11">
        <v>0</v>
      </c>
      <c r="E641" s="11">
        <f t="shared" si="9"/>
        <v>307060406.87999856</v>
      </c>
      <c r="F641" t="s">
        <v>19</v>
      </c>
      <c r="G641" t="s">
        <v>189</v>
      </c>
    </row>
    <row r="642" spans="1:9" s="40" customFormat="1">
      <c r="A642" s="218">
        <v>45849</v>
      </c>
      <c r="B642" s="40" t="s">
        <v>4605</v>
      </c>
      <c r="C642" s="39">
        <v>1801802</v>
      </c>
      <c r="D642" s="39">
        <v>0</v>
      </c>
      <c r="E642" s="11">
        <f t="shared" si="9"/>
        <v>305258604.87999856</v>
      </c>
      <c r="F642" s="40" t="s">
        <v>1400</v>
      </c>
      <c r="G642" s="40" t="s">
        <v>1400</v>
      </c>
      <c r="H642" s="40" t="s">
        <v>2170</v>
      </c>
      <c r="I642" s="40" t="s">
        <v>4560</v>
      </c>
    </row>
    <row r="643" spans="1:9" s="8" customFormat="1" ht="15.75">
      <c r="A643" s="13">
        <v>45849</v>
      </c>
      <c r="B643" s="8" t="s">
        <v>4605</v>
      </c>
      <c r="C643" s="54">
        <v>92000</v>
      </c>
      <c r="D643" s="54">
        <v>0</v>
      </c>
      <c r="E643" s="11">
        <f t="shared" si="9"/>
        <v>305166604.87999856</v>
      </c>
      <c r="F643" s="8" t="s">
        <v>920</v>
      </c>
      <c r="G643" s="8" t="s">
        <v>4242</v>
      </c>
      <c r="H643" s="8" t="s">
        <v>88</v>
      </c>
      <c r="I643" s="8" t="s">
        <v>4560</v>
      </c>
    </row>
    <row r="644" spans="1:9" s="8" customFormat="1" ht="15.75">
      <c r="A644" s="13">
        <v>45849</v>
      </c>
      <c r="B644" s="8" t="s">
        <v>4605</v>
      </c>
      <c r="C644" s="54">
        <v>13514</v>
      </c>
      <c r="D644" s="54">
        <v>0</v>
      </c>
      <c r="E644" s="11">
        <f t="shared" si="9"/>
        <v>305153090.87999856</v>
      </c>
      <c r="F644" s="8" t="s">
        <v>920</v>
      </c>
      <c r="G644" s="8" t="s">
        <v>4242</v>
      </c>
      <c r="H644" s="8" t="s">
        <v>88</v>
      </c>
      <c r="I644" s="8" t="s">
        <v>4560</v>
      </c>
    </row>
    <row r="645" spans="1:9" s="8" customFormat="1" ht="15.75">
      <c r="A645" s="13">
        <v>45849</v>
      </c>
      <c r="B645" s="8" t="s">
        <v>4605</v>
      </c>
      <c r="C645" s="54">
        <v>330755</v>
      </c>
      <c r="D645" s="54">
        <v>0</v>
      </c>
      <c r="E645" s="11">
        <f t="shared" si="9"/>
        <v>304822335.87999856</v>
      </c>
      <c r="F645" s="8" t="s">
        <v>920</v>
      </c>
      <c r="G645" s="8" t="s">
        <v>4242</v>
      </c>
      <c r="H645" s="8" t="s">
        <v>88</v>
      </c>
      <c r="I645" s="8" t="s">
        <v>4560</v>
      </c>
    </row>
    <row r="646" spans="1:9" s="8" customFormat="1" ht="15.75">
      <c r="A646" s="13">
        <v>45849</v>
      </c>
      <c r="B646" s="8" t="s">
        <v>4605</v>
      </c>
      <c r="C646" s="54">
        <v>70000</v>
      </c>
      <c r="D646" s="54">
        <v>0</v>
      </c>
      <c r="E646" s="11">
        <f t="shared" ref="E646:E709" si="10">E645-C646+D646</f>
        <v>304752335.87999856</v>
      </c>
      <c r="F646" s="8" t="s">
        <v>920</v>
      </c>
      <c r="G646" s="8" t="s">
        <v>4242</v>
      </c>
      <c r="H646" s="8" t="s">
        <v>88</v>
      </c>
      <c r="I646" s="8" t="s">
        <v>4560</v>
      </c>
    </row>
    <row r="647" spans="1:9" s="40" customFormat="1">
      <c r="A647" s="218">
        <v>45849</v>
      </c>
      <c r="B647" s="40" t="s">
        <v>4605</v>
      </c>
      <c r="C647" s="39">
        <f>2602071-C642-C643-C644-C645-C646</f>
        <v>294000</v>
      </c>
      <c r="D647" s="39">
        <v>0</v>
      </c>
      <c r="E647" s="39">
        <f t="shared" si="10"/>
        <v>304458335.87999856</v>
      </c>
      <c r="F647" s="40" t="s">
        <v>920</v>
      </c>
      <c r="G647" s="40" t="s">
        <v>4242</v>
      </c>
      <c r="H647" s="40" t="s">
        <v>88</v>
      </c>
      <c r="I647" s="40" t="s">
        <v>4560</v>
      </c>
    </row>
    <row r="648" spans="1:9">
      <c r="A648" s="5">
        <v>45853</v>
      </c>
      <c r="B648" t="s">
        <v>4573</v>
      </c>
      <c r="C648" s="11">
        <v>35289793</v>
      </c>
      <c r="D648" s="11">
        <v>0</v>
      </c>
      <c r="E648" s="11">
        <f t="shared" si="10"/>
        <v>269168542.87999856</v>
      </c>
      <c r="F648" t="s">
        <v>62</v>
      </c>
      <c r="G648" t="s">
        <v>23</v>
      </c>
      <c r="H648" t="s">
        <v>2184</v>
      </c>
    </row>
    <row r="649" spans="1:9">
      <c r="A649" s="5">
        <v>45853</v>
      </c>
      <c r="B649" t="s">
        <v>2509</v>
      </c>
      <c r="C649" s="11">
        <v>1000000</v>
      </c>
      <c r="D649" s="11">
        <v>0</v>
      </c>
      <c r="E649" s="11">
        <f t="shared" si="10"/>
        <v>268168542.87999856</v>
      </c>
      <c r="F649" t="s">
        <v>4</v>
      </c>
      <c r="G649" t="s">
        <v>5</v>
      </c>
      <c r="H649" s="40" t="s">
        <v>1622</v>
      </c>
    </row>
    <row r="650" spans="1:9">
      <c r="A650" s="5">
        <v>45853</v>
      </c>
      <c r="B650" t="s">
        <v>2510</v>
      </c>
      <c r="C650" s="11">
        <v>1802000</v>
      </c>
      <c r="D650" s="11">
        <v>0</v>
      </c>
      <c r="E650" s="11">
        <f t="shared" si="10"/>
        <v>266366542.87999856</v>
      </c>
      <c r="F650" t="s">
        <v>4</v>
      </c>
      <c r="G650" t="s">
        <v>5</v>
      </c>
      <c r="H650" s="40" t="s">
        <v>1634</v>
      </c>
    </row>
    <row r="651" spans="1:9">
      <c r="A651" s="5">
        <v>45853</v>
      </c>
      <c r="B651" t="s">
        <v>2511</v>
      </c>
      <c r="C651" s="11">
        <v>1879600</v>
      </c>
      <c r="D651" s="11">
        <v>0</v>
      </c>
      <c r="E651" s="11">
        <f t="shared" si="10"/>
        <v>264486942.87999856</v>
      </c>
      <c r="F651" t="s">
        <v>4</v>
      </c>
      <c r="G651" t="s">
        <v>5</v>
      </c>
      <c r="H651" s="40" t="s">
        <v>1622</v>
      </c>
    </row>
    <row r="652" spans="1:9">
      <c r="A652" s="5">
        <v>45853</v>
      </c>
      <c r="B652" t="s">
        <v>6377</v>
      </c>
      <c r="C652" s="11">
        <v>2007108</v>
      </c>
      <c r="D652" s="11">
        <v>0</v>
      </c>
      <c r="E652" s="11">
        <f t="shared" si="10"/>
        <v>262479834.87999856</v>
      </c>
      <c r="F652" t="s">
        <v>1400</v>
      </c>
      <c r="G652" t="s">
        <v>1400</v>
      </c>
      <c r="H652" s="40" t="s">
        <v>7143</v>
      </c>
      <c r="I652" t="s">
        <v>26</v>
      </c>
    </row>
    <row r="653" spans="1:9">
      <c r="A653" s="5">
        <v>45853</v>
      </c>
      <c r="B653" t="s">
        <v>2512</v>
      </c>
      <c r="C653" s="11">
        <v>3229000</v>
      </c>
      <c r="D653" s="11">
        <v>0</v>
      </c>
      <c r="E653" s="11">
        <f t="shared" si="10"/>
        <v>259250834.87999856</v>
      </c>
      <c r="F653" t="s">
        <v>4</v>
      </c>
      <c r="G653" t="s">
        <v>5</v>
      </c>
      <c r="H653" s="40" t="s">
        <v>2322</v>
      </c>
    </row>
    <row r="654" spans="1:9">
      <c r="A654" s="5">
        <v>45853</v>
      </c>
      <c r="B654" t="s">
        <v>2513</v>
      </c>
      <c r="C654" s="11">
        <v>8381286</v>
      </c>
      <c r="D654" s="11">
        <v>0</v>
      </c>
      <c r="E654" s="11">
        <f t="shared" si="10"/>
        <v>250869548.87999856</v>
      </c>
      <c r="F654" t="s">
        <v>10</v>
      </c>
      <c r="G654" t="s">
        <v>446</v>
      </c>
      <c r="H654" s="40" t="s">
        <v>1461</v>
      </c>
      <c r="I654" t="s">
        <v>277</v>
      </c>
    </row>
    <row r="655" spans="1:9">
      <c r="A655" s="5">
        <v>45853</v>
      </c>
      <c r="B655" t="s">
        <v>2514</v>
      </c>
      <c r="C655" s="11">
        <v>9474406</v>
      </c>
      <c r="D655" s="11">
        <v>0</v>
      </c>
      <c r="E655" s="11">
        <f t="shared" si="10"/>
        <v>241395142.87999856</v>
      </c>
      <c r="F655" t="s">
        <v>4</v>
      </c>
      <c r="G655" t="s">
        <v>5</v>
      </c>
      <c r="H655" s="40" t="s">
        <v>2313</v>
      </c>
    </row>
    <row r="656" spans="1:9">
      <c r="A656" s="5">
        <v>45853</v>
      </c>
      <c r="B656" t="s">
        <v>2515</v>
      </c>
      <c r="C656" s="11">
        <v>12920000</v>
      </c>
      <c r="D656" s="11">
        <v>0</v>
      </c>
      <c r="E656" s="11">
        <f t="shared" si="10"/>
        <v>228475142.87999856</v>
      </c>
      <c r="F656" t="s">
        <v>4</v>
      </c>
      <c r="G656" t="s">
        <v>5</v>
      </c>
      <c r="H656" s="40" t="s">
        <v>2316</v>
      </c>
    </row>
    <row r="657" spans="1:9">
      <c r="A657" s="5">
        <v>45853</v>
      </c>
      <c r="B657" t="s">
        <v>2516</v>
      </c>
      <c r="C657" s="11">
        <v>13975000</v>
      </c>
      <c r="D657" s="11">
        <v>0</v>
      </c>
      <c r="E657" s="11">
        <f t="shared" si="10"/>
        <v>214500142.87999856</v>
      </c>
      <c r="F657" t="s">
        <v>4</v>
      </c>
      <c r="G657" t="s">
        <v>5</v>
      </c>
      <c r="H657" s="40" t="s">
        <v>1622</v>
      </c>
    </row>
    <row r="658" spans="1:9">
      <c r="A658" s="5">
        <v>45853</v>
      </c>
      <c r="B658" t="s">
        <v>2517</v>
      </c>
      <c r="C658" s="11">
        <v>28244953</v>
      </c>
      <c r="D658" s="11">
        <v>0</v>
      </c>
      <c r="E658" s="11">
        <f t="shared" si="10"/>
        <v>186255189.87999856</v>
      </c>
      <c r="F658" t="s">
        <v>4</v>
      </c>
      <c r="G658" t="s">
        <v>5</v>
      </c>
      <c r="H658" s="40" t="s">
        <v>433</v>
      </c>
    </row>
    <row r="659" spans="1:9">
      <c r="A659" s="5">
        <v>45853</v>
      </c>
      <c r="B659" t="s">
        <v>2518</v>
      </c>
      <c r="C659" s="11">
        <v>2500</v>
      </c>
      <c r="D659" s="11">
        <v>0</v>
      </c>
      <c r="E659" s="11">
        <f t="shared" si="10"/>
        <v>186252689.87999856</v>
      </c>
      <c r="F659" t="s">
        <v>19</v>
      </c>
      <c r="G659" t="s">
        <v>189</v>
      </c>
    </row>
    <row r="660" spans="1:9">
      <c r="A660" s="5">
        <v>45853</v>
      </c>
      <c r="B660" t="s">
        <v>2519</v>
      </c>
      <c r="C660" s="11">
        <v>2500</v>
      </c>
      <c r="D660" s="11">
        <v>0</v>
      </c>
      <c r="E660" s="11">
        <f t="shared" si="10"/>
        <v>186250189.87999856</v>
      </c>
      <c r="F660" t="s">
        <v>19</v>
      </c>
      <c r="G660" t="s">
        <v>189</v>
      </c>
    </row>
    <row r="661" spans="1:9">
      <c r="A661" s="5">
        <v>45853</v>
      </c>
      <c r="B661" t="s">
        <v>2520</v>
      </c>
      <c r="C661" s="11">
        <v>1087180</v>
      </c>
      <c r="D661" s="11">
        <v>0</v>
      </c>
      <c r="E661" s="11">
        <f t="shared" si="10"/>
        <v>185163009.87999856</v>
      </c>
      <c r="F661" t="s">
        <v>10</v>
      </c>
      <c r="G661" t="s">
        <v>446</v>
      </c>
      <c r="H661" s="40" t="s">
        <v>2323</v>
      </c>
      <c r="I661" t="s">
        <v>26</v>
      </c>
    </row>
    <row r="662" spans="1:9">
      <c r="A662" s="5">
        <v>45853</v>
      </c>
      <c r="B662" t="s">
        <v>2521</v>
      </c>
      <c r="C662" s="11">
        <v>1875125</v>
      </c>
      <c r="D662" s="11">
        <v>0</v>
      </c>
      <c r="E662" s="11">
        <f t="shared" si="10"/>
        <v>183287884.87999856</v>
      </c>
      <c r="F662" t="s">
        <v>10</v>
      </c>
      <c r="G662" t="s">
        <v>446</v>
      </c>
      <c r="H662" s="40" t="s">
        <v>2325</v>
      </c>
      <c r="I662" t="s">
        <v>26</v>
      </c>
    </row>
    <row r="663" spans="1:9">
      <c r="A663" s="5">
        <v>45853</v>
      </c>
      <c r="B663" t="s">
        <v>2522</v>
      </c>
      <c r="C663" s="11">
        <v>4952188</v>
      </c>
      <c r="D663" s="11">
        <v>0</v>
      </c>
      <c r="E663" s="11">
        <f t="shared" si="10"/>
        <v>178335696.87999856</v>
      </c>
      <c r="F663" t="s">
        <v>10</v>
      </c>
      <c r="G663" t="s">
        <v>446</v>
      </c>
      <c r="H663" s="40" t="s">
        <v>1461</v>
      </c>
      <c r="I663" t="s">
        <v>26</v>
      </c>
    </row>
    <row r="664" spans="1:9">
      <c r="A664" s="5">
        <v>45853</v>
      </c>
      <c r="B664" t="s">
        <v>2523</v>
      </c>
      <c r="C664" s="11">
        <v>5347170</v>
      </c>
      <c r="D664" s="11">
        <v>0</v>
      </c>
      <c r="E664" s="11">
        <f t="shared" si="10"/>
        <v>172988526.87999856</v>
      </c>
      <c r="F664" t="s">
        <v>4</v>
      </c>
      <c r="G664" t="s">
        <v>5</v>
      </c>
      <c r="H664" s="40" t="s">
        <v>1622</v>
      </c>
    </row>
    <row r="665" spans="1:9">
      <c r="A665" s="5">
        <v>45853</v>
      </c>
      <c r="B665" t="s">
        <v>2524</v>
      </c>
      <c r="C665" s="11">
        <v>6387470</v>
      </c>
      <c r="D665" s="11">
        <v>0</v>
      </c>
      <c r="E665" s="11">
        <f t="shared" si="10"/>
        <v>166601056.87999856</v>
      </c>
      <c r="F665" t="s">
        <v>4</v>
      </c>
      <c r="G665" t="s">
        <v>5</v>
      </c>
      <c r="H665" s="40" t="s">
        <v>2322</v>
      </c>
    </row>
    <row r="666" spans="1:9" s="40" customFormat="1">
      <c r="A666" s="218">
        <v>45854</v>
      </c>
      <c r="B666" s="40" t="s">
        <v>5986</v>
      </c>
      <c r="C666" s="39">
        <v>0</v>
      </c>
      <c r="D666" s="39">
        <v>582470</v>
      </c>
      <c r="E666" s="11">
        <f t="shared" si="10"/>
        <v>167183526.87999856</v>
      </c>
      <c r="F666" s="40" t="s">
        <v>10</v>
      </c>
      <c r="G666" s="40" t="s">
        <v>446</v>
      </c>
      <c r="H666" s="40" t="s">
        <v>6539</v>
      </c>
      <c r="I666" s="40" t="s">
        <v>26</v>
      </c>
    </row>
    <row r="667" spans="1:9" s="40" customFormat="1">
      <c r="A667" s="218">
        <v>45855</v>
      </c>
      <c r="B667" s="40" t="s">
        <v>6376</v>
      </c>
      <c r="C667" s="39">
        <v>0</v>
      </c>
      <c r="D667" s="39">
        <v>2007108</v>
      </c>
      <c r="E667" s="11">
        <f t="shared" si="10"/>
        <v>169190634.87999856</v>
      </c>
      <c r="F667" s="40" t="s">
        <v>1400</v>
      </c>
      <c r="G667" s="40" t="s">
        <v>1400</v>
      </c>
      <c r="H667" s="40" t="s">
        <v>7143</v>
      </c>
    </row>
    <row r="668" spans="1:9" s="40" customFormat="1">
      <c r="A668" s="218">
        <v>45855</v>
      </c>
      <c r="B668" s="40" t="s">
        <v>6383</v>
      </c>
      <c r="C668" s="39">
        <v>0</v>
      </c>
      <c r="D668" s="39">
        <v>1252000</v>
      </c>
      <c r="E668" s="11">
        <f t="shared" si="10"/>
        <v>170442634.87999856</v>
      </c>
      <c r="F668" s="40" t="s">
        <v>4</v>
      </c>
      <c r="G668" s="40" t="s">
        <v>5</v>
      </c>
      <c r="H668" s="40" t="s">
        <v>2320</v>
      </c>
    </row>
    <row r="669" spans="1:9">
      <c r="A669" s="5">
        <v>45856</v>
      </c>
      <c r="B669" t="s">
        <v>2525</v>
      </c>
      <c r="C669" s="11">
        <v>5994000</v>
      </c>
      <c r="D669" s="11">
        <v>0</v>
      </c>
      <c r="E669" s="11">
        <f t="shared" si="10"/>
        <v>164448634.87999856</v>
      </c>
      <c r="F669" t="s">
        <v>4</v>
      </c>
      <c r="G669" t="s">
        <v>5</v>
      </c>
      <c r="H669" s="40" t="s">
        <v>1622</v>
      </c>
    </row>
    <row r="670" spans="1:9">
      <c r="A670" s="5">
        <v>45856</v>
      </c>
      <c r="B670" t="s">
        <v>2526</v>
      </c>
      <c r="C670" s="11">
        <v>2500</v>
      </c>
      <c r="D670" s="11">
        <v>0</v>
      </c>
      <c r="E670" s="11">
        <f t="shared" si="10"/>
        <v>164446134.87999856</v>
      </c>
      <c r="F670" t="s">
        <v>19</v>
      </c>
      <c r="G670" t="s">
        <v>189</v>
      </c>
    </row>
    <row r="671" spans="1:9" ht="15.75">
      <c r="A671" s="5">
        <v>45856</v>
      </c>
      <c r="B671" t="s">
        <v>2527</v>
      </c>
      <c r="C671" s="11">
        <v>0</v>
      </c>
      <c r="D671" s="11">
        <v>12940800</v>
      </c>
      <c r="E671" s="11">
        <f t="shared" si="10"/>
        <v>177386934.87999856</v>
      </c>
      <c r="F671" t="s">
        <v>2140</v>
      </c>
      <c r="G671" t="s">
        <v>2141</v>
      </c>
      <c r="H671" s="154" t="s">
        <v>1376</v>
      </c>
      <c r="I671" s="37" t="s">
        <v>2231</v>
      </c>
    </row>
    <row r="672" spans="1:9">
      <c r="A672" s="5">
        <v>45856</v>
      </c>
      <c r="B672" t="s">
        <v>2528</v>
      </c>
      <c r="C672" s="11">
        <v>6750000</v>
      </c>
      <c r="D672" s="11">
        <v>0</v>
      </c>
      <c r="E672" s="11">
        <f t="shared" si="10"/>
        <v>170636934.87999856</v>
      </c>
      <c r="F672" t="s">
        <v>4</v>
      </c>
      <c r="G672" t="s">
        <v>5</v>
      </c>
      <c r="H672" s="40" t="s">
        <v>3460</v>
      </c>
    </row>
    <row r="673" spans="1:9">
      <c r="A673" s="5">
        <v>45856</v>
      </c>
      <c r="B673" t="s">
        <v>2529</v>
      </c>
      <c r="C673" s="11">
        <v>2500</v>
      </c>
      <c r="D673" s="11">
        <v>0</v>
      </c>
      <c r="E673" s="11">
        <f t="shared" si="10"/>
        <v>170634434.87999856</v>
      </c>
      <c r="F673" t="s">
        <v>19</v>
      </c>
      <c r="G673" t="s">
        <v>189</v>
      </c>
    </row>
    <row r="674" spans="1:9">
      <c r="A674" s="5">
        <v>45856</v>
      </c>
      <c r="B674" t="s">
        <v>2530</v>
      </c>
      <c r="C674" s="11">
        <v>1232400</v>
      </c>
      <c r="D674" s="11">
        <v>0</v>
      </c>
      <c r="E674" s="11">
        <f t="shared" si="10"/>
        <v>169402034.87999856</v>
      </c>
      <c r="F674" t="s">
        <v>4</v>
      </c>
      <c r="G674" t="s">
        <v>5</v>
      </c>
      <c r="H674" s="40" t="s">
        <v>1634</v>
      </c>
    </row>
    <row r="675" spans="1:9">
      <c r="A675" s="5">
        <v>45856</v>
      </c>
      <c r="B675" t="s">
        <v>2531</v>
      </c>
      <c r="C675" s="11">
        <v>2500</v>
      </c>
      <c r="D675" s="11">
        <v>0</v>
      </c>
      <c r="E675" s="11">
        <f t="shared" si="10"/>
        <v>169399534.87999856</v>
      </c>
      <c r="F675" t="s">
        <v>19</v>
      </c>
      <c r="G675" t="s">
        <v>189</v>
      </c>
    </row>
    <row r="676" spans="1:9">
      <c r="A676" s="5">
        <v>45856</v>
      </c>
      <c r="B676" t="s">
        <v>2532</v>
      </c>
      <c r="C676" s="11">
        <v>6515452</v>
      </c>
      <c r="D676" s="11">
        <v>0</v>
      </c>
      <c r="E676" s="11">
        <f t="shared" si="10"/>
        <v>162884082.87999856</v>
      </c>
      <c r="F676" t="s">
        <v>4</v>
      </c>
      <c r="G676" t="s">
        <v>5</v>
      </c>
      <c r="H676" s="40" t="s">
        <v>3460</v>
      </c>
    </row>
    <row r="677" spans="1:9">
      <c r="A677" s="5">
        <v>45856</v>
      </c>
      <c r="B677" t="s">
        <v>2533</v>
      </c>
      <c r="C677" s="11">
        <v>2500</v>
      </c>
      <c r="D677" s="11">
        <v>0</v>
      </c>
      <c r="E677" s="11">
        <f t="shared" si="10"/>
        <v>162881582.87999856</v>
      </c>
      <c r="F677" t="s">
        <v>19</v>
      </c>
      <c r="G677" t="s">
        <v>189</v>
      </c>
    </row>
    <row r="678" spans="1:9">
      <c r="A678" s="5">
        <v>45856</v>
      </c>
      <c r="B678" t="s">
        <v>2534</v>
      </c>
      <c r="C678" s="11">
        <v>7600000</v>
      </c>
      <c r="D678" s="11">
        <v>0</v>
      </c>
      <c r="E678" s="11">
        <f t="shared" si="10"/>
        <v>155281582.87999856</v>
      </c>
      <c r="F678" t="s">
        <v>10</v>
      </c>
      <c r="G678" t="s">
        <v>446</v>
      </c>
      <c r="H678" s="40" t="s">
        <v>2323</v>
      </c>
      <c r="I678" t="s">
        <v>26</v>
      </c>
    </row>
    <row r="679" spans="1:9">
      <c r="A679" s="5">
        <v>45856</v>
      </c>
      <c r="B679" t="s">
        <v>2535</v>
      </c>
      <c r="C679" s="11">
        <v>2500</v>
      </c>
      <c r="D679" s="11">
        <v>0</v>
      </c>
      <c r="E679" s="11">
        <f t="shared" si="10"/>
        <v>155279082.87999856</v>
      </c>
      <c r="F679" t="s">
        <v>19</v>
      </c>
      <c r="G679" t="s">
        <v>189</v>
      </c>
    </row>
    <row r="680" spans="1:9">
      <c r="A680" s="5">
        <v>45856</v>
      </c>
      <c r="B680" t="s">
        <v>2536</v>
      </c>
      <c r="C680" s="11">
        <v>3844420</v>
      </c>
      <c r="D680" s="11">
        <v>0</v>
      </c>
      <c r="E680" s="11">
        <f t="shared" si="10"/>
        <v>151434662.87999856</v>
      </c>
      <c r="F680" t="s">
        <v>4</v>
      </c>
      <c r="G680" t="s">
        <v>5</v>
      </c>
      <c r="H680" s="40" t="s">
        <v>1634</v>
      </c>
    </row>
    <row r="681" spans="1:9">
      <c r="A681" s="5">
        <v>45856</v>
      </c>
      <c r="B681" t="s">
        <v>2537</v>
      </c>
      <c r="C681" s="11">
        <v>2500</v>
      </c>
      <c r="D681" s="11">
        <v>0</v>
      </c>
      <c r="E681" s="11">
        <f t="shared" si="10"/>
        <v>151432162.87999856</v>
      </c>
      <c r="F681" t="s">
        <v>19</v>
      </c>
      <c r="G681" t="s">
        <v>189</v>
      </c>
    </row>
    <row r="682" spans="1:9" ht="15.75">
      <c r="A682" s="5">
        <v>45856</v>
      </c>
      <c r="B682" t="s">
        <v>2538</v>
      </c>
      <c r="C682" s="11">
        <v>100000000</v>
      </c>
      <c r="D682" s="11">
        <v>0</v>
      </c>
      <c r="E682" s="11">
        <f t="shared" si="10"/>
        <v>51432162.879998565</v>
      </c>
      <c r="F682" t="s">
        <v>920</v>
      </c>
      <c r="G682" s="8" t="s">
        <v>4242</v>
      </c>
    </row>
    <row r="683" spans="1:9">
      <c r="A683" s="5">
        <v>45856</v>
      </c>
      <c r="B683" t="s">
        <v>2539</v>
      </c>
      <c r="C683" s="11">
        <v>2500</v>
      </c>
      <c r="D683" s="11">
        <v>0</v>
      </c>
      <c r="E683" s="11">
        <f t="shared" si="10"/>
        <v>51429662.879998565</v>
      </c>
      <c r="F683" t="s">
        <v>19</v>
      </c>
      <c r="G683" t="s">
        <v>189</v>
      </c>
    </row>
    <row r="684" spans="1:9" s="40" customFormat="1">
      <c r="A684" s="218">
        <v>45856</v>
      </c>
      <c r="B684" s="40" t="s">
        <v>1185</v>
      </c>
      <c r="C684" s="39">
        <v>0</v>
      </c>
      <c r="D684" s="39">
        <v>168049763</v>
      </c>
      <c r="E684" s="11">
        <f t="shared" si="10"/>
        <v>219479425.87999856</v>
      </c>
      <c r="F684" s="40" t="s">
        <v>10</v>
      </c>
      <c r="G684" s="40" t="s">
        <v>18</v>
      </c>
      <c r="H684" s="40" t="s">
        <v>425</v>
      </c>
      <c r="I684" s="40" t="s">
        <v>2387</v>
      </c>
    </row>
    <row r="685" spans="1:9">
      <c r="A685" s="5">
        <v>45859</v>
      </c>
      <c r="B685" t="s">
        <v>382</v>
      </c>
      <c r="C685" s="11">
        <v>0</v>
      </c>
      <c r="D685" s="11">
        <v>48906102</v>
      </c>
      <c r="E685" s="11">
        <f t="shared" si="10"/>
        <v>268385527.87999856</v>
      </c>
      <c r="F685" t="s">
        <v>2140</v>
      </c>
      <c r="G685" t="s">
        <v>2141</v>
      </c>
      <c r="H685" t="s">
        <v>1633</v>
      </c>
      <c r="I685" t="s">
        <v>2240</v>
      </c>
    </row>
    <row r="686" spans="1:9" ht="15.75">
      <c r="A686" s="5">
        <v>45859</v>
      </c>
      <c r="B686" t="s">
        <v>382</v>
      </c>
      <c r="C686" s="11">
        <v>0</v>
      </c>
      <c r="D686" s="11">
        <v>276007200</v>
      </c>
      <c r="E686" s="11">
        <f t="shared" si="10"/>
        <v>544392727.87999856</v>
      </c>
      <c r="F686" t="s">
        <v>2140</v>
      </c>
      <c r="G686" t="s">
        <v>2141</v>
      </c>
      <c r="H686" s="146" t="s">
        <v>2238</v>
      </c>
      <c r="I686" s="37" t="s">
        <v>2237</v>
      </c>
    </row>
    <row r="687" spans="1:9">
      <c r="A687" s="5">
        <v>45860</v>
      </c>
      <c r="B687" t="s">
        <v>2540</v>
      </c>
      <c r="C687" s="11">
        <v>167560379</v>
      </c>
      <c r="D687" s="11">
        <v>0</v>
      </c>
      <c r="E687" s="11">
        <f t="shared" si="10"/>
        <v>376832348.87999856</v>
      </c>
      <c r="F687" t="s">
        <v>920</v>
      </c>
      <c r="G687" t="s">
        <v>4250</v>
      </c>
      <c r="H687" t="s">
        <v>100</v>
      </c>
    </row>
    <row r="688" spans="1:9">
      <c r="A688" s="5">
        <v>45860</v>
      </c>
      <c r="B688" t="s">
        <v>2541</v>
      </c>
      <c r="C688" s="11">
        <v>2500</v>
      </c>
      <c r="D688" s="11">
        <v>0</v>
      </c>
      <c r="E688" s="11">
        <f t="shared" si="10"/>
        <v>376829848.87999856</v>
      </c>
      <c r="F688" s="80" t="s">
        <v>19</v>
      </c>
      <c r="G688" s="80" t="s">
        <v>189</v>
      </c>
    </row>
    <row r="689" spans="1:9">
      <c r="A689" s="5">
        <v>45860</v>
      </c>
      <c r="B689" t="s">
        <v>2542</v>
      </c>
      <c r="C689" s="11">
        <v>1000000</v>
      </c>
      <c r="D689" s="11">
        <v>0</v>
      </c>
      <c r="E689" s="11">
        <f t="shared" si="10"/>
        <v>375829848.87999856</v>
      </c>
      <c r="F689" s="80" t="s">
        <v>4</v>
      </c>
      <c r="G689" s="80" t="s">
        <v>5</v>
      </c>
      <c r="H689" s="40" t="s">
        <v>2316</v>
      </c>
    </row>
    <row r="690" spans="1:9">
      <c r="A690" s="5">
        <v>45860</v>
      </c>
      <c r="B690" t="s">
        <v>2543</v>
      </c>
      <c r="C690" s="11">
        <v>10000000</v>
      </c>
      <c r="D690" s="11">
        <v>0</v>
      </c>
      <c r="E690" s="11">
        <f t="shared" si="10"/>
        <v>365829848.87999856</v>
      </c>
      <c r="F690" s="80" t="s">
        <v>4</v>
      </c>
      <c r="G690" s="80" t="s">
        <v>5</v>
      </c>
      <c r="H690" s="40" t="s">
        <v>3263</v>
      </c>
    </row>
    <row r="691" spans="1:9">
      <c r="A691" s="5">
        <v>45860</v>
      </c>
      <c r="B691" t="s">
        <v>2544</v>
      </c>
      <c r="C691" s="11">
        <v>2500</v>
      </c>
      <c r="D691" s="11">
        <v>0</v>
      </c>
      <c r="E691" s="11">
        <f t="shared" si="10"/>
        <v>365827348.87999856</v>
      </c>
      <c r="F691" s="80" t="s">
        <v>19</v>
      </c>
      <c r="G691" s="80" t="s">
        <v>189</v>
      </c>
    </row>
    <row r="692" spans="1:9" ht="15.75">
      <c r="A692" s="5">
        <v>45860</v>
      </c>
      <c r="B692" t="s">
        <v>375</v>
      </c>
      <c r="C692" s="11">
        <v>250000000</v>
      </c>
      <c r="D692" s="11">
        <v>0</v>
      </c>
      <c r="E692" s="11">
        <f t="shared" si="10"/>
        <v>115827348.87999856</v>
      </c>
      <c r="F692" t="s">
        <v>920</v>
      </c>
      <c r="G692" s="8" t="s">
        <v>4242</v>
      </c>
    </row>
    <row r="693" spans="1:9">
      <c r="A693" s="5">
        <v>45860</v>
      </c>
      <c r="B693" t="s">
        <v>2545</v>
      </c>
      <c r="C693" s="11">
        <v>2500</v>
      </c>
      <c r="D693" s="11">
        <v>0</v>
      </c>
      <c r="E693" s="11">
        <f t="shared" si="10"/>
        <v>115824848.87999856</v>
      </c>
      <c r="F693" s="80" t="s">
        <v>19</v>
      </c>
      <c r="G693" s="80" t="s">
        <v>189</v>
      </c>
    </row>
    <row r="694" spans="1:9">
      <c r="A694" s="5">
        <v>45860</v>
      </c>
      <c r="B694" t="s">
        <v>2546</v>
      </c>
      <c r="C694" s="11">
        <v>4400000</v>
      </c>
      <c r="D694" s="11">
        <v>0</v>
      </c>
      <c r="E694" s="11">
        <f t="shared" si="10"/>
        <v>111424848.87999856</v>
      </c>
      <c r="F694" s="80" t="s">
        <v>4</v>
      </c>
      <c r="G694" s="80" t="s">
        <v>5</v>
      </c>
      <c r="H694" s="40" t="s">
        <v>1622</v>
      </c>
    </row>
    <row r="695" spans="1:9">
      <c r="A695" s="5">
        <v>45861</v>
      </c>
      <c r="B695" t="s">
        <v>2547</v>
      </c>
      <c r="C695" s="11">
        <v>100000</v>
      </c>
      <c r="D695" s="11">
        <v>0</v>
      </c>
      <c r="E695" s="11">
        <f t="shared" si="10"/>
        <v>111324848.87999856</v>
      </c>
      <c r="F695" s="80" t="s">
        <v>19</v>
      </c>
      <c r="G695" s="80" t="s">
        <v>189</v>
      </c>
    </row>
    <row r="696" spans="1:9" ht="15.75">
      <c r="A696" s="5">
        <v>45863</v>
      </c>
      <c r="B696" t="s">
        <v>2548</v>
      </c>
      <c r="C696" s="11">
        <v>0</v>
      </c>
      <c r="D696" s="11">
        <v>29730000</v>
      </c>
      <c r="E696" s="11">
        <f t="shared" si="10"/>
        <v>141054848.87999856</v>
      </c>
      <c r="F696" s="80" t="s">
        <v>2140</v>
      </c>
      <c r="G696" s="80" t="s">
        <v>2141</v>
      </c>
      <c r="H696" s="146" t="s">
        <v>1622</v>
      </c>
      <c r="I696" s="37" t="s">
        <v>3384</v>
      </c>
    </row>
    <row r="697" spans="1:9" ht="15.75">
      <c r="A697" s="5">
        <v>45863</v>
      </c>
      <c r="B697" t="s">
        <v>2548</v>
      </c>
      <c r="C697" s="11">
        <v>0</v>
      </c>
      <c r="D697" s="11">
        <v>25964200</v>
      </c>
      <c r="E697" s="11">
        <f t="shared" si="10"/>
        <v>167019048.87999856</v>
      </c>
      <c r="F697" s="80" t="s">
        <v>2140</v>
      </c>
      <c r="G697" s="80" t="s">
        <v>2141</v>
      </c>
      <c r="H697" s="146" t="s">
        <v>1622</v>
      </c>
      <c r="I697" s="37" t="s">
        <v>3390</v>
      </c>
    </row>
    <row r="698" spans="1:9" ht="15.75">
      <c r="A698" s="5">
        <v>45863</v>
      </c>
      <c r="B698" t="s">
        <v>2548</v>
      </c>
      <c r="C698" s="11">
        <v>0</v>
      </c>
      <c r="D698" s="11">
        <f>122487600-D696-D697</f>
        <v>66793400</v>
      </c>
      <c r="E698" s="11">
        <f t="shared" si="10"/>
        <v>233812448.87999856</v>
      </c>
      <c r="F698" s="80" t="s">
        <v>2140</v>
      </c>
      <c r="G698" s="80" t="s">
        <v>2141</v>
      </c>
      <c r="H698" s="146" t="s">
        <v>1622</v>
      </c>
      <c r="I698" s="37" t="s">
        <v>3392</v>
      </c>
    </row>
    <row r="699" spans="1:9">
      <c r="A699" s="5">
        <v>45863</v>
      </c>
      <c r="B699" t="s">
        <v>2549</v>
      </c>
      <c r="C699" s="11">
        <v>1613461</v>
      </c>
      <c r="D699" s="11">
        <v>0</v>
      </c>
      <c r="E699" s="11">
        <f t="shared" si="10"/>
        <v>232198987.87999856</v>
      </c>
      <c r="F699" s="80" t="s">
        <v>4</v>
      </c>
      <c r="G699" s="80" t="s">
        <v>5</v>
      </c>
      <c r="H699" s="40" t="s">
        <v>1634</v>
      </c>
    </row>
    <row r="700" spans="1:9">
      <c r="A700" s="5">
        <v>45863</v>
      </c>
      <c r="B700" t="s">
        <v>2550</v>
      </c>
      <c r="C700" s="11">
        <v>2500</v>
      </c>
      <c r="D700" s="11">
        <v>0</v>
      </c>
      <c r="E700" s="11">
        <f t="shared" si="10"/>
        <v>232196487.87999856</v>
      </c>
      <c r="F700" s="80" t="s">
        <v>19</v>
      </c>
      <c r="G700" s="80" t="s">
        <v>189</v>
      </c>
    </row>
    <row r="701" spans="1:9">
      <c r="A701" s="5">
        <v>45866</v>
      </c>
      <c r="B701" t="s">
        <v>699</v>
      </c>
      <c r="C701" s="11">
        <v>100000000</v>
      </c>
      <c r="D701" s="11">
        <v>0</v>
      </c>
      <c r="E701" s="11">
        <f t="shared" si="10"/>
        <v>132196487.87999856</v>
      </c>
      <c r="F701" t="s">
        <v>920</v>
      </c>
      <c r="G701" t="s">
        <v>4246</v>
      </c>
    </row>
    <row r="702" spans="1:9">
      <c r="A702" s="5">
        <v>45866</v>
      </c>
      <c r="B702" t="s">
        <v>2551</v>
      </c>
      <c r="C702" s="11">
        <v>2500</v>
      </c>
      <c r="D702" s="11">
        <v>0</v>
      </c>
      <c r="E702" s="11">
        <f t="shared" si="10"/>
        <v>132193987.87999856</v>
      </c>
      <c r="F702" s="80" t="s">
        <v>19</v>
      </c>
      <c r="G702" s="80" t="s">
        <v>189</v>
      </c>
    </row>
    <row r="703" spans="1:9" ht="15.75">
      <c r="A703" s="5">
        <v>45866</v>
      </c>
      <c r="B703" t="s">
        <v>2552</v>
      </c>
      <c r="C703" s="11">
        <v>0</v>
      </c>
      <c r="D703" s="11">
        <v>1000000000</v>
      </c>
      <c r="E703" s="11">
        <f t="shared" si="10"/>
        <v>1132193987.8799987</v>
      </c>
      <c r="F703" s="15" t="s">
        <v>920</v>
      </c>
      <c r="G703" t="s">
        <v>4251</v>
      </c>
    </row>
    <row r="704" spans="1:9">
      <c r="A704" s="5">
        <v>45866</v>
      </c>
      <c r="B704" t="s">
        <v>2553</v>
      </c>
      <c r="C704" s="11">
        <v>250000000</v>
      </c>
      <c r="D704" s="11">
        <v>0</v>
      </c>
      <c r="E704" s="11">
        <f t="shared" si="10"/>
        <v>882193987.87999868</v>
      </c>
      <c r="F704" t="s">
        <v>62</v>
      </c>
      <c r="G704" t="s">
        <v>23</v>
      </c>
    </row>
    <row r="705" spans="1:9">
      <c r="A705" s="5">
        <v>45866</v>
      </c>
      <c r="B705" t="s">
        <v>2554</v>
      </c>
      <c r="C705" s="11">
        <v>2500</v>
      </c>
      <c r="D705" s="11">
        <v>0</v>
      </c>
      <c r="E705" s="11">
        <f t="shared" si="10"/>
        <v>882191487.87999868</v>
      </c>
      <c r="F705" s="80" t="s">
        <v>19</v>
      </c>
      <c r="G705" s="80" t="s">
        <v>189</v>
      </c>
    </row>
    <row r="706" spans="1:9">
      <c r="A706" s="5">
        <v>45867</v>
      </c>
      <c r="B706" t="s">
        <v>2555</v>
      </c>
      <c r="C706" s="11">
        <v>100000000</v>
      </c>
      <c r="D706" s="11">
        <v>0</v>
      </c>
      <c r="E706" s="11">
        <f t="shared" si="10"/>
        <v>782191487.87999868</v>
      </c>
      <c r="F706" t="s">
        <v>920</v>
      </c>
      <c r="G706" t="s">
        <v>4250</v>
      </c>
      <c r="H706" t="s">
        <v>100</v>
      </c>
    </row>
    <row r="707" spans="1:9">
      <c r="A707" s="5">
        <v>45867</v>
      </c>
      <c r="B707" t="s">
        <v>2556</v>
      </c>
      <c r="C707" s="11">
        <v>2500</v>
      </c>
      <c r="D707" s="11">
        <v>0</v>
      </c>
      <c r="E707" s="11">
        <f t="shared" si="10"/>
        <v>782188987.87999868</v>
      </c>
      <c r="F707" s="80" t="s">
        <v>19</v>
      </c>
      <c r="G707" s="80" t="s">
        <v>189</v>
      </c>
    </row>
    <row r="708" spans="1:9">
      <c r="A708" s="5">
        <v>45867</v>
      </c>
      <c r="B708" t="s">
        <v>2557</v>
      </c>
      <c r="C708" s="11">
        <v>7308700</v>
      </c>
      <c r="D708" s="11">
        <v>0</v>
      </c>
      <c r="E708" s="11">
        <f t="shared" si="10"/>
        <v>774880287.87999868</v>
      </c>
      <c r="F708" t="s">
        <v>10</v>
      </c>
      <c r="G708" t="s">
        <v>446</v>
      </c>
      <c r="H708" s="40" t="s">
        <v>1461</v>
      </c>
      <c r="I708" t="s">
        <v>26</v>
      </c>
    </row>
    <row r="709" spans="1:9">
      <c r="A709" s="5">
        <v>45867</v>
      </c>
      <c r="B709" t="s">
        <v>2558</v>
      </c>
      <c r="C709" s="11">
        <v>364000</v>
      </c>
      <c r="D709" s="11">
        <v>0</v>
      </c>
      <c r="E709" s="11">
        <f t="shared" si="10"/>
        <v>774516287.87999868</v>
      </c>
      <c r="F709" t="s">
        <v>10</v>
      </c>
      <c r="G709" t="s">
        <v>446</v>
      </c>
      <c r="H709" s="40" t="s">
        <v>1461</v>
      </c>
      <c r="I709" t="s">
        <v>26</v>
      </c>
    </row>
    <row r="710" spans="1:9">
      <c r="A710" s="5">
        <v>45867</v>
      </c>
      <c r="B710" t="s">
        <v>2559</v>
      </c>
      <c r="C710" s="11">
        <v>2500</v>
      </c>
      <c r="D710" s="11">
        <v>0</v>
      </c>
      <c r="E710" s="11">
        <f t="shared" ref="E710:E773" si="11">E709-C710+D710</f>
        <v>774513787.87999868</v>
      </c>
      <c r="F710" s="80" t="s">
        <v>19</v>
      </c>
      <c r="G710" s="80" t="s">
        <v>189</v>
      </c>
    </row>
    <row r="711" spans="1:9">
      <c r="A711" s="5">
        <v>45867</v>
      </c>
      <c r="B711" t="s">
        <v>2560</v>
      </c>
      <c r="C711" s="11">
        <v>59153363</v>
      </c>
      <c r="D711" s="11">
        <v>0</v>
      </c>
      <c r="E711" s="11">
        <f t="shared" si="11"/>
        <v>715360424.87999868</v>
      </c>
      <c r="F711" s="80" t="s">
        <v>4</v>
      </c>
      <c r="G711" s="80" t="s">
        <v>5</v>
      </c>
      <c r="H711" s="40" t="s">
        <v>2321</v>
      </c>
    </row>
    <row r="712" spans="1:9">
      <c r="A712" s="5">
        <v>45867</v>
      </c>
      <c r="B712" t="s">
        <v>2561</v>
      </c>
      <c r="C712" s="11">
        <v>2500</v>
      </c>
      <c r="D712" s="11">
        <v>0</v>
      </c>
      <c r="E712" s="11">
        <f t="shared" si="11"/>
        <v>715357924.87999868</v>
      </c>
      <c r="F712" s="80" t="s">
        <v>19</v>
      </c>
      <c r="G712" s="80" t="s">
        <v>189</v>
      </c>
    </row>
    <row r="713" spans="1:9">
      <c r="A713" s="5">
        <v>45867</v>
      </c>
      <c r="B713" t="s">
        <v>2562</v>
      </c>
      <c r="C713" s="11">
        <v>26879855</v>
      </c>
      <c r="D713" s="11">
        <v>0</v>
      </c>
      <c r="E713" s="11">
        <f t="shared" si="11"/>
        <v>688478069.87999868</v>
      </c>
      <c r="F713" s="80" t="s">
        <v>4</v>
      </c>
      <c r="G713" s="80" t="s">
        <v>5</v>
      </c>
      <c r="H713" s="40" t="s">
        <v>1622</v>
      </c>
    </row>
    <row r="714" spans="1:9">
      <c r="A714" s="5">
        <v>45867</v>
      </c>
      <c r="B714" t="s">
        <v>2563</v>
      </c>
      <c r="C714" s="11">
        <v>2376800</v>
      </c>
      <c r="D714" s="11">
        <v>0</v>
      </c>
      <c r="E714" s="11">
        <f t="shared" si="11"/>
        <v>686101269.87999868</v>
      </c>
      <c r="F714" s="80" t="s">
        <v>4</v>
      </c>
      <c r="G714" s="80" t="s">
        <v>5</v>
      </c>
      <c r="H714" s="40" t="s">
        <v>1622</v>
      </c>
    </row>
    <row r="715" spans="1:9">
      <c r="A715" s="5">
        <v>45867</v>
      </c>
      <c r="B715" t="s">
        <v>2564</v>
      </c>
      <c r="C715" s="11">
        <v>6300000</v>
      </c>
      <c r="D715" s="11">
        <v>0</v>
      </c>
      <c r="E715" s="11">
        <f t="shared" si="11"/>
        <v>679801269.87999868</v>
      </c>
      <c r="F715" s="80" t="s">
        <v>4</v>
      </c>
      <c r="G715" s="80" t="s">
        <v>5</v>
      </c>
      <c r="H715" s="40" t="s">
        <v>1622</v>
      </c>
    </row>
    <row r="716" spans="1:9">
      <c r="A716" s="5">
        <v>45867</v>
      </c>
      <c r="B716" t="s">
        <v>2565</v>
      </c>
      <c r="C716" s="11">
        <v>53170000</v>
      </c>
      <c r="D716" s="11">
        <v>0</v>
      </c>
      <c r="E716" s="11">
        <f t="shared" si="11"/>
        <v>626631269.87999868</v>
      </c>
      <c r="F716" s="80" t="s">
        <v>4</v>
      </c>
      <c r="G716" s="80" t="s">
        <v>5</v>
      </c>
      <c r="H716" s="40" t="s">
        <v>3232</v>
      </c>
    </row>
    <row r="717" spans="1:9">
      <c r="A717" s="5">
        <v>45867</v>
      </c>
      <c r="B717" t="s">
        <v>2566</v>
      </c>
      <c r="C717" s="11">
        <v>2500</v>
      </c>
      <c r="D717" s="11">
        <v>0</v>
      </c>
      <c r="E717" s="11">
        <f t="shared" si="11"/>
        <v>626628769.87999868</v>
      </c>
      <c r="F717" s="80" t="s">
        <v>19</v>
      </c>
      <c r="G717" s="80" t="s">
        <v>189</v>
      </c>
    </row>
    <row r="718" spans="1:9" ht="15.75">
      <c r="A718" s="5">
        <v>45868</v>
      </c>
      <c r="B718" t="s">
        <v>380</v>
      </c>
      <c r="C718" s="11">
        <v>250000000</v>
      </c>
      <c r="D718" s="11">
        <v>0</v>
      </c>
      <c r="E718" s="11">
        <f t="shared" si="11"/>
        <v>376628769.87999868</v>
      </c>
      <c r="F718" t="s">
        <v>920</v>
      </c>
      <c r="G718" s="8" t="s">
        <v>4242</v>
      </c>
    </row>
    <row r="719" spans="1:9">
      <c r="A719" s="5">
        <v>45868</v>
      </c>
      <c r="B719" t="s">
        <v>2567</v>
      </c>
      <c r="C719" s="11">
        <v>2500</v>
      </c>
      <c r="D719" s="11">
        <v>0</v>
      </c>
      <c r="E719" s="11">
        <f t="shared" si="11"/>
        <v>376626269.87999868</v>
      </c>
      <c r="F719" s="80" t="s">
        <v>19</v>
      </c>
      <c r="G719" s="80" t="s">
        <v>189</v>
      </c>
    </row>
    <row r="720" spans="1:9">
      <c r="A720" s="5">
        <v>45868</v>
      </c>
      <c r="B720" t="s">
        <v>2568</v>
      </c>
      <c r="C720" s="11">
        <v>3000000</v>
      </c>
      <c r="D720" s="11">
        <v>0</v>
      </c>
      <c r="E720" s="11">
        <f t="shared" si="11"/>
        <v>373626269.87999868</v>
      </c>
      <c r="F720" t="s">
        <v>1212</v>
      </c>
      <c r="G720" t="s">
        <v>367</v>
      </c>
      <c r="H720" t="s">
        <v>3020</v>
      </c>
    </row>
    <row r="721" spans="1:9">
      <c r="A721" s="5">
        <v>45868</v>
      </c>
      <c r="B721" t="s">
        <v>2569</v>
      </c>
      <c r="C721" s="11">
        <v>149650548</v>
      </c>
      <c r="D721" s="11">
        <v>0</v>
      </c>
      <c r="E721" s="11">
        <f t="shared" si="11"/>
        <v>223975721.87999868</v>
      </c>
      <c r="F721" t="s">
        <v>920</v>
      </c>
      <c r="G721" t="s">
        <v>4250</v>
      </c>
      <c r="H721" t="s">
        <v>368</v>
      </c>
    </row>
    <row r="722" spans="1:9">
      <c r="A722" s="5">
        <v>45868</v>
      </c>
      <c r="B722" t="s">
        <v>2570</v>
      </c>
      <c r="C722" s="11">
        <v>2500</v>
      </c>
      <c r="D722" s="11">
        <v>0</v>
      </c>
      <c r="E722" s="11">
        <f t="shared" si="11"/>
        <v>223973221.87999868</v>
      </c>
      <c r="F722" s="80" t="s">
        <v>19</v>
      </c>
      <c r="G722" s="80" t="s">
        <v>189</v>
      </c>
    </row>
    <row r="723" spans="1:9" ht="15.75">
      <c r="A723" s="5">
        <v>45869</v>
      </c>
      <c r="B723" t="s">
        <v>2571</v>
      </c>
      <c r="C723" s="11">
        <v>0</v>
      </c>
      <c r="D723" s="11">
        <v>15071846</v>
      </c>
      <c r="E723" s="11">
        <f t="shared" si="11"/>
        <v>239045067.87999868</v>
      </c>
      <c r="F723" t="s">
        <v>2140</v>
      </c>
      <c r="G723" t="s">
        <v>2141</v>
      </c>
      <c r="H723" s="146" t="s">
        <v>2313</v>
      </c>
      <c r="I723" s="37" t="s">
        <v>3401</v>
      </c>
    </row>
    <row r="724" spans="1:9">
      <c r="A724" s="5">
        <v>45869</v>
      </c>
      <c r="B724" t="s">
        <v>901</v>
      </c>
      <c r="C724" s="11">
        <v>25000</v>
      </c>
      <c r="D724" s="11">
        <v>0</v>
      </c>
      <c r="E724" s="11">
        <f t="shared" si="11"/>
        <v>239020067.87999868</v>
      </c>
      <c r="F724" s="80" t="s">
        <v>19</v>
      </c>
      <c r="G724" s="80" t="s">
        <v>189</v>
      </c>
    </row>
    <row r="725" spans="1:9">
      <c r="A725" s="5">
        <v>45869</v>
      </c>
      <c r="B725" t="s">
        <v>1216</v>
      </c>
      <c r="C725" s="11">
        <v>0</v>
      </c>
      <c r="D725" s="11">
        <v>333802.89</v>
      </c>
      <c r="E725" s="11">
        <f t="shared" si="11"/>
        <v>239353870.76999867</v>
      </c>
      <c r="F725" s="80" t="s">
        <v>190</v>
      </c>
      <c r="G725" s="80" t="s">
        <v>79</v>
      </c>
    </row>
    <row r="726" spans="1:9">
      <c r="A726" s="5">
        <v>45869</v>
      </c>
      <c r="B726" t="s">
        <v>1218</v>
      </c>
      <c r="C726" s="11">
        <v>66760.58</v>
      </c>
      <c r="D726" s="11">
        <v>0</v>
      </c>
      <c r="E726" s="11">
        <f t="shared" si="11"/>
        <v>239287110.18999866</v>
      </c>
      <c r="F726" s="80" t="s">
        <v>190</v>
      </c>
      <c r="G726" s="80" t="s">
        <v>79</v>
      </c>
    </row>
    <row r="727" spans="1:9">
      <c r="A727" s="5">
        <v>45874</v>
      </c>
      <c r="B727" t="s">
        <v>1879</v>
      </c>
      <c r="C727" s="11">
        <v>6861646</v>
      </c>
      <c r="D727" s="11">
        <v>0</v>
      </c>
      <c r="E727" s="11">
        <f t="shared" si="11"/>
        <v>232425464.18999866</v>
      </c>
      <c r="F727" t="s">
        <v>62</v>
      </c>
      <c r="G727" t="s">
        <v>251</v>
      </c>
      <c r="H727" t="s">
        <v>4562</v>
      </c>
    </row>
    <row r="728" spans="1:9">
      <c r="A728" s="5">
        <v>45874</v>
      </c>
      <c r="B728" t="s">
        <v>4224</v>
      </c>
      <c r="C728" s="11">
        <v>17752909</v>
      </c>
      <c r="D728" s="11">
        <v>0</v>
      </c>
      <c r="E728" s="11">
        <f t="shared" si="11"/>
        <v>214672555.18999866</v>
      </c>
      <c r="F728" t="s">
        <v>62</v>
      </c>
      <c r="G728" t="s">
        <v>252</v>
      </c>
      <c r="H728" t="s">
        <v>4562</v>
      </c>
    </row>
    <row r="729" spans="1:9">
      <c r="A729" s="5">
        <v>45874</v>
      </c>
      <c r="B729" t="s">
        <v>2864</v>
      </c>
      <c r="C729" s="11">
        <v>1792400</v>
      </c>
      <c r="D729" s="11">
        <v>0</v>
      </c>
      <c r="E729" s="11">
        <f t="shared" si="11"/>
        <v>212880155.18999866</v>
      </c>
      <c r="F729" s="80" t="s">
        <v>4</v>
      </c>
      <c r="G729" s="80" t="s">
        <v>5</v>
      </c>
      <c r="H729" s="40" t="s">
        <v>2238</v>
      </c>
    </row>
    <row r="730" spans="1:9">
      <c r="A730" s="5">
        <v>45874</v>
      </c>
      <c r="B730" t="s">
        <v>2865</v>
      </c>
      <c r="C730" s="11">
        <v>2210000</v>
      </c>
      <c r="D730" s="11">
        <v>0</v>
      </c>
      <c r="E730" s="11">
        <f t="shared" si="11"/>
        <v>210670155.18999866</v>
      </c>
      <c r="F730" s="80" t="s">
        <v>4</v>
      </c>
      <c r="G730" s="80" t="s">
        <v>5</v>
      </c>
      <c r="H730" s="40" t="s">
        <v>1622</v>
      </c>
    </row>
    <row r="731" spans="1:9">
      <c r="A731" s="5">
        <v>45874</v>
      </c>
      <c r="B731" t="s">
        <v>2866</v>
      </c>
      <c r="C731" s="11">
        <v>2500</v>
      </c>
      <c r="D731" s="11">
        <v>0</v>
      </c>
      <c r="E731" s="11">
        <f t="shared" si="11"/>
        <v>210667655.18999866</v>
      </c>
      <c r="F731" s="80" t="s">
        <v>19</v>
      </c>
      <c r="G731" s="80" t="s">
        <v>189</v>
      </c>
    </row>
    <row r="732" spans="1:9">
      <c r="A732" s="5">
        <v>45874</v>
      </c>
      <c r="B732" t="s">
        <v>2867</v>
      </c>
      <c r="C732" s="11">
        <v>170811</v>
      </c>
      <c r="D732" s="11">
        <v>0</v>
      </c>
      <c r="E732" s="11">
        <f t="shared" si="11"/>
        <v>210496844.18999866</v>
      </c>
      <c r="F732" t="s">
        <v>10</v>
      </c>
      <c r="G732" t="s">
        <v>446</v>
      </c>
      <c r="H732" s="40" t="s">
        <v>2314</v>
      </c>
      <c r="I732" t="s">
        <v>26</v>
      </c>
    </row>
    <row r="733" spans="1:9">
      <c r="A733" s="5">
        <v>45874</v>
      </c>
      <c r="B733" t="s">
        <v>2868</v>
      </c>
      <c r="C733" s="11">
        <v>2026960</v>
      </c>
      <c r="D733" s="11">
        <v>0</v>
      </c>
      <c r="E733" s="11">
        <f t="shared" si="11"/>
        <v>208469884.18999866</v>
      </c>
      <c r="F733" s="80" t="s">
        <v>4</v>
      </c>
      <c r="G733" s="80" t="s">
        <v>5</v>
      </c>
      <c r="H733" s="40" t="s">
        <v>1634</v>
      </c>
    </row>
    <row r="734" spans="1:9">
      <c r="A734" s="5">
        <v>45874</v>
      </c>
      <c r="B734" t="s">
        <v>2869</v>
      </c>
      <c r="C734" s="11">
        <v>2500</v>
      </c>
      <c r="D734" s="11">
        <v>0</v>
      </c>
      <c r="E734" s="11">
        <f t="shared" si="11"/>
        <v>208467384.18999866</v>
      </c>
      <c r="F734" s="80" t="s">
        <v>19</v>
      </c>
      <c r="G734" s="80" t="s">
        <v>189</v>
      </c>
    </row>
    <row r="735" spans="1:9">
      <c r="A735" s="5">
        <v>45874</v>
      </c>
      <c r="B735" t="s">
        <v>2870</v>
      </c>
      <c r="C735" s="11">
        <v>1528560</v>
      </c>
      <c r="D735" s="11">
        <v>0</v>
      </c>
      <c r="E735" s="11">
        <f t="shared" si="11"/>
        <v>206938824.18999866</v>
      </c>
      <c r="F735" s="80" t="s">
        <v>4</v>
      </c>
      <c r="G735" s="80" t="s">
        <v>5</v>
      </c>
      <c r="H735" s="40" t="s">
        <v>1634</v>
      </c>
    </row>
    <row r="736" spans="1:9">
      <c r="A736" s="5">
        <v>45874</v>
      </c>
      <c r="B736" t="s">
        <v>2871</v>
      </c>
      <c r="C736" s="11">
        <v>2354100</v>
      </c>
      <c r="D736" s="11">
        <v>0</v>
      </c>
      <c r="E736" s="11">
        <f t="shared" si="11"/>
        <v>204584724.18999866</v>
      </c>
      <c r="F736" s="80" t="s">
        <v>4</v>
      </c>
      <c r="G736" s="80" t="s">
        <v>5</v>
      </c>
      <c r="H736" s="40" t="s">
        <v>3135</v>
      </c>
    </row>
    <row r="737" spans="1:9">
      <c r="A737" s="5">
        <v>45874</v>
      </c>
      <c r="B737" t="s">
        <v>2872</v>
      </c>
      <c r="C737" s="11">
        <v>2500</v>
      </c>
      <c r="D737" s="11">
        <v>0</v>
      </c>
      <c r="E737" s="11">
        <f t="shared" si="11"/>
        <v>204582224.18999866</v>
      </c>
      <c r="F737" s="80" t="s">
        <v>19</v>
      </c>
      <c r="G737" s="80" t="s">
        <v>189</v>
      </c>
    </row>
    <row r="738" spans="1:9">
      <c r="A738" s="5">
        <v>45874</v>
      </c>
      <c r="B738" t="s">
        <v>2873</v>
      </c>
      <c r="C738" s="11">
        <v>21990100</v>
      </c>
      <c r="D738" s="11">
        <v>0</v>
      </c>
      <c r="E738" s="11">
        <f t="shared" si="11"/>
        <v>182592124.18999866</v>
      </c>
      <c r="F738" s="80" t="s">
        <v>4</v>
      </c>
      <c r="G738" s="80" t="s">
        <v>5</v>
      </c>
      <c r="H738" s="40" t="s">
        <v>1622</v>
      </c>
    </row>
    <row r="739" spans="1:9">
      <c r="A739" s="5">
        <v>45874</v>
      </c>
      <c r="B739" t="s">
        <v>7086</v>
      </c>
      <c r="C739" s="11">
        <v>18018018</v>
      </c>
      <c r="D739" s="11">
        <v>0</v>
      </c>
      <c r="E739" s="11">
        <f t="shared" si="11"/>
        <v>164574106.18999866</v>
      </c>
      <c r="F739" t="s">
        <v>8</v>
      </c>
      <c r="G739" t="s">
        <v>77</v>
      </c>
      <c r="H739" t="s">
        <v>4561</v>
      </c>
    </row>
    <row r="740" spans="1:9">
      <c r="A740" s="5">
        <v>45874</v>
      </c>
      <c r="B740" t="s">
        <v>7086</v>
      </c>
      <c r="C740" s="11">
        <v>1981982</v>
      </c>
      <c r="D740" s="11">
        <v>0</v>
      </c>
      <c r="E740" s="11">
        <f t="shared" si="11"/>
        <v>162592124.18999866</v>
      </c>
      <c r="F740" t="s">
        <v>920</v>
      </c>
      <c r="G740" t="s">
        <v>7856</v>
      </c>
      <c r="H740" t="s">
        <v>7032</v>
      </c>
      <c r="I740" t="s">
        <v>4561</v>
      </c>
    </row>
    <row r="741" spans="1:9" s="40" customFormat="1">
      <c r="A741" s="218">
        <v>45874</v>
      </c>
      <c r="B741" s="40" t="s">
        <v>7086</v>
      </c>
      <c r="C741" s="39">
        <v>0</v>
      </c>
      <c r="D741" s="39">
        <f>C739+C740-18198198</f>
        <v>1801802</v>
      </c>
      <c r="E741" s="11">
        <f t="shared" si="11"/>
        <v>164393926.18999866</v>
      </c>
      <c r="F741" s="40" t="s">
        <v>1400</v>
      </c>
      <c r="G741" s="40" t="s">
        <v>1400</v>
      </c>
      <c r="H741" s="40" t="s">
        <v>2170</v>
      </c>
      <c r="I741" s="40" t="s">
        <v>4561</v>
      </c>
    </row>
    <row r="742" spans="1:9">
      <c r="A742" s="5">
        <v>45874</v>
      </c>
      <c r="B742" t="s">
        <v>2874</v>
      </c>
      <c r="C742" s="11">
        <v>8411886</v>
      </c>
      <c r="D742" s="11">
        <v>0</v>
      </c>
      <c r="E742" s="11">
        <f t="shared" si="11"/>
        <v>155982040.18999866</v>
      </c>
      <c r="F742" s="80" t="s">
        <v>4</v>
      </c>
      <c r="G742" s="80" t="s">
        <v>5</v>
      </c>
      <c r="H742" s="40" t="s">
        <v>2316</v>
      </c>
    </row>
    <row r="743" spans="1:9" ht="15.75">
      <c r="A743" s="5">
        <v>45875</v>
      </c>
      <c r="B743" t="s">
        <v>382</v>
      </c>
      <c r="C743" s="11">
        <v>0</v>
      </c>
      <c r="D743" s="11">
        <v>60042452</v>
      </c>
      <c r="E743" s="11">
        <f t="shared" si="11"/>
        <v>216024492.18999866</v>
      </c>
      <c r="F743" t="s">
        <v>10</v>
      </c>
      <c r="G743" t="s">
        <v>18</v>
      </c>
      <c r="H743" s="120" t="s">
        <v>2431</v>
      </c>
      <c r="I743" s="120" t="s">
        <v>2398</v>
      </c>
    </row>
    <row r="744" spans="1:9">
      <c r="A744" s="5">
        <v>45879</v>
      </c>
      <c r="B744" t="s">
        <v>2875</v>
      </c>
      <c r="C744" s="11">
        <v>46656000</v>
      </c>
      <c r="D744" s="11">
        <v>0</v>
      </c>
      <c r="E744" s="11">
        <f t="shared" si="11"/>
        <v>169368492.18999866</v>
      </c>
      <c r="F744" s="80" t="s">
        <v>4</v>
      </c>
      <c r="G744" s="80" t="s">
        <v>5</v>
      </c>
      <c r="H744" s="40" t="s">
        <v>3457</v>
      </c>
    </row>
    <row r="745" spans="1:9" ht="15.75">
      <c r="A745" s="5">
        <v>45880</v>
      </c>
      <c r="B745" t="s">
        <v>2876</v>
      </c>
      <c r="C745" s="11">
        <v>0</v>
      </c>
      <c r="D745" s="11">
        <v>6272271</v>
      </c>
      <c r="E745" s="11">
        <f t="shared" si="11"/>
        <v>175640763.18999866</v>
      </c>
      <c r="F745" t="s">
        <v>2140</v>
      </c>
      <c r="G745" t="s">
        <v>2141</v>
      </c>
      <c r="H745" s="154" t="s">
        <v>1452</v>
      </c>
      <c r="I745" s="37" t="s">
        <v>2212</v>
      </c>
    </row>
    <row r="746" spans="1:9">
      <c r="A746" s="5">
        <v>45881</v>
      </c>
      <c r="B746" t="s">
        <v>2877</v>
      </c>
      <c r="C746" s="11">
        <v>7631766</v>
      </c>
      <c r="D746" s="11">
        <v>0</v>
      </c>
      <c r="E746" s="11">
        <f t="shared" si="11"/>
        <v>168008997.18999866</v>
      </c>
      <c r="F746" s="80" t="s">
        <v>10</v>
      </c>
      <c r="G746" s="80" t="s">
        <v>446</v>
      </c>
      <c r="H746" s="40" t="s">
        <v>3475</v>
      </c>
    </row>
    <row r="747" spans="1:9">
      <c r="A747" s="5">
        <v>45881</v>
      </c>
      <c r="B747" t="s">
        <v>2878</v>
      </c>
      <c r="C747" s="11">
        <v>1583300</v>
      </c>
      <c r="D747" s="11">
        <v>0</v>
      </c>
      <c r="E747" s="11">
        <f t="shared" si="11"/>
        <v>166425697.18999866</v>
      </c>
      <c r="F747" s="80" t="s">
        <v>4</v>
      </c>
      <c r="G747" s="80" t="s">
        <v>5</v>
      </c>
      <c r="H747" s="40" t="s">
        <v>1634</v>
      </c>
    </row>
    <row r="748" spans="1:9">
      <c r="A748" s="5">
        <v>45881</v>
      </c>
      <c r="B748" t="s">
        <v>2879</v>
      </c>
      <c r="C748" s="11">
        <v>676352</v>
      </c>
      <c r="D748" s="11">
        <v>0</v>
      </c>
      <c r="E748" s="11">
        <f t="shared" si="11"/>
        <v>165749345.18999866</v>
      </c>
      <c r="F748" s="80" t="s">
        <v>4</v>
      </c>
      <c r="G748" s="80" t="s">
        <v>5</v>
      </c>
      <c r="H748" s="40" t="s">
        <v>1622</v>
      </c>
    </row>
    <row r="749" spans="1:9">
      <c r="A749" s="5">
        <v>45881</v>
      </c>
      <c r="B749" t="s">
        <v>2880</v>
      </c>
      <c r="C749" s="11">
        <v>48963000</v>
      </c>
      <c r="D749" s="11">
        <v>0</v>
      </c>
      <c r="E749" s="11">
        <f t="shared" si="11"/>
        <v>116786345.18999866</v>
      </c>
      <c r="F749" s="80" t="s">
        <v>4</v>
      </c>
      <c r="G749" s="80" t="s">
        <v>5</v>
      </c>
      <c r="H749" s="40" t="s">
        <v>3232</v>
      </c>
    </row>
    <row r="750" spans="1:9">
      <c r="A750" s="5">
        <v>45881</v>
      </c>
      <c r="B750" t="s">
        <v>2881</v>
      </c>
      <c r="C750" s="44">
        <v>2500</v>
      </c>
      <c r="D750" s="11">
        <v>0</v>
      </c>
      <c r="E750" s="11">
        <f t="shared" si="11"/>
        <v>116783845.18999866</v>
      </c>
      <c r="F750" s="80" t="s">
        <v>19</v>
      </c>
      <c r="G750" s="80" t="s">
        <v>189</v>
      </c>
    </row>
    <row r="751" spans="1:9">
      <c r="A751" s="5">
        <v>45882</v>
      </c>
      <c r="B751" t="s">
        <v>2882</v>
      </c>
      <c r="C751" s="11">
        <v>40000000</v>
      </c>
      <c r="D751" s="11">
        <v>0</v>
      </c>
      <c r="E751" s="11">
        <f t="shared" si="11"/>
        <v>76783845.189998657</v>
      </c>
      <c r="F751" t="s">
        <v>920</v>
      </c>
      <c r="G751" t="s">
        <v>4250</v>
      </c>
      <c r="H751" t="s">
        <v>100</v>
      </c>
    </row>
    <row r="752" spans="1:9">
      <c r="A752" s="5">
        <v>45882</v>
      </c>
      <c r="B752" t="s">
        <v>2883</v>
      </c>
      <c r="C752" s="44">
        <v>2500</v>
      </c>
      <c r="D752" s="11">
        <v>0</v>
      </c>
      <c r="E752" s="11">
        <f t="shared" si="11"/>
        <v>76781345.189998657</v>
      </c>
      <c r="F752" s="80" t="s">
        <v>19</v>
      </c>
      <c r="G752" s="80" t="s">
        <v>189</v>
      </c>
    </row>
    <row r="753" spans="1:9" s="8" customFormat="1" ht="15.75">
      <c r="A753" s="13">
        <v>45883</v>
      </c>
      <c r="B753" s="8" t="s">
        <v>4601</v>
      </c>
      <c r="C753" s="54">
        <v>115540</v>
      </c>
      <c r="D753" s="54">
        <v>0</v>
      </c>
      <c r="E753" s="11">
        <f t="shared" si="11"/>
        <v>76665805.189998657</v>
      </c>
      <c r="F753" s="8" t="s">
        <v>920</v>
      </c>
      <c r="G753" s="8" t="s">
        <v>4242</v>
      </c>
      <c r="H753" s="8" t="s">
        <v>88</v>
      </c>
      <c r="I753" s="8" t="s">
        <v>4561</v>
      </c>
    </row>
    <row r="754" spans="1:9" s="8" customFormat="1" ht="15.75">
      <c r="A754" s="13">
        <v>45883</v>
      </c>
      <c r="B754" s="8" t="s">
        <v>4601</v>
      </c>
      <c r="C754" s="54">
        <v>13514</v>
      </c>
      <c r="D754" s="54">
        <v>0</v>
      </c>
      <c r="E754" s="11">
        <f t="shared" si="11"/>
        <v>76652291.189998657</v>
      </c>
      <c r="F754" s="8" t="s">
        <v>920</v>
      </c>
      <c r="G754" s="8" t="s">
        <v>4242</v>
      </c>
      <c r="H754" s="8" t="s">
        <v>88</v>
      </c>
      <c r="I754" s="8" t="s">
        <v>4561</v>
      </c>
    </row>
    <row r="755" spans="1:9" s="40" customFormat="1">
      <c r="A755" s="218">
        <v>45883</v>
      </c>
      <c r="B755" s="40" t="s">
        <v>4601</v>
      </c>
      <c r="C755" s="39">
        <v>1801802</v>
      </c>
      <c r="D755" s="39">
        <v>0</v>
      </c>
      <c r="E755" s="11">
        <f t="shared" si="11"/>
        <v>74850489.189998657</v>
      </c>
      <c r="F755" s="40" t="s">
        <v>1400</v>
      </c>
      <c r="G755" s="40" t="s">
        <v>1400</v>
      </c>
      <c r="H755" s="40" t="s">
        <v>2170</v>
      </c>
      <c r="I755" s="40" t="s">
        <v>4561</v>
      </c>
    </row>
    <row r="756" spans="1:9" s="8" customFormat="1" ht="15.75">
      <c r="A756" s="13">
        <v>45883</v>
      </c>
      <c r="B756" s="8" t="s">
        <v>4601</v>
      </c>
      <c r="C756" s="54">
        <v>70000</v>
      </c>
      <c r="D756" s="54">
        <v>0</v>
      </c>
      <c r="E756" s="11">
        <f t="shared" si="11"/>
        <v>74780489.189998657</v>
      </c>
      <c r="F756" s="8" t="s">
        <v>920</v>
      </c>
      <c r="G756" s="8" t="s">
        <v>4242</v>
      </c>
      <c r="H756" s="8" t="s">
        <v>88</v>
      </c>
      <c r="I756" s="8" t="s">
        <v>4561</v>
      </c>
    </row>
    <row r="757" spans="1:9" s="8" customFormat="1" ht="15.75">
      <c r="A757" s="13">
        <v>45883</v>
      </c>
      <c r="B757" s="8" t="s">
        <v>4601</v>
      </c>
      <c r="C757" s="54">
        <v>92000</v>
      </c>
      <c r="D757" s="54">
        <v>0</v>
      </c>
      <c r="E757" s="11">
        <f t="shared" si="11"/>
        <v>74688489.189998657</v>
      </c>
      <c r="F757" s="8" t="s">
        <v>920</v>
      </c>
      <c r="G757" s="8" t="s">
        <v>4242</v>
      </c>
      <c r="H757" s="8" t="s">
        <v>88</v>
      </c>
      <c r="I757" s="8" t="s">
        <v>4561</v>
      </c>
    </row>
    <row r="758" spans="1:9" s="8" customFormat="1" ht="15.75">
      <c r="A758" s="13">
        <v>45883</v>
      </c>
      <c r="B758" s="8" t="s">
        <v>4601</v>
      </c>
      <c r="C758" s="54">
        <f>2103667-C753-C754-C755-C756-C757</f>
        <v>10811</v>
      </c>
      <c r="D758" s="54">
        <v>0</v>
      </c>
      <c r="E758" s="11">
        <f t="shared" si="11"/>
        <v>74677678.189998657</v>
      </c>
      <c r="F758" s="8" t="s">
        <v>920</v>
      </c>
      <c r="G758" s="8" t="s">
        <v>4242</v>
      </c>
      <c r="H758" s="8" t="s">
        <v>88</v>
      </c>
      <c r="I758" s="8" t="s">
        <v>4561</v>
      </c>
    </row>
    <row r="759" spans="1:9">
      <c r="A759" s="5">
        <v>45883</v>
      </c>
      <c r="B759" t="s">
        <v>2884</v>
      </c>
      <c r="C759" s="11">
        <v>1452000</v>
      </c>
      <c r="D759" s="11">
        <v>0</v>
      </c>
      <c r="E759" s="11">
        <f t="shared" si="11"/>
        <v>73225678.189998657</v>
      </c>
      <c r="F759" t="s">
        <v>10</v>
      </c>
      <c r="G759" t="s">
        <v>446</v>
      </c>
      <c r="H759" s="40" t="s">
        <v>3283</v>
      </c>
      <c r="I759" t="s">
        <v>26</v>
      </c>
    </row>
    <row r="760" spans="1:9">
      <c r="A760" s="5">
        <v>45883</v>
      </c>
      <c r="B760" t="s">
        <v>2885</v>
      </c>
      <c r="C760" s="11">
        <v>11700000</v>
      </c>
      <c r="D760" s="11">
        <v>0</v>
      </c>
      <c r="E760" s="11">
        <f t="shared" si="11"/>
        <v>61525678.189998657</v>
      </c>
      <c r="F760" t="s">
        <v>10</v>
      </c>
      <c r="G760" t="s">
        <v>446</v>
      </c>
      <c r="H760" s="40" t="s">
        <v>3283</v>
      </c>
      <c r="I760" t="s">
        <v>26</v>
      </c>
    </row>
    <row r="761" spans="1:9">
      <c r="A761" s="5">
        <v>45883</v>
      </c>
      <c r="B761" t="s">
        <v>2886</v>
      </c>
      <c r="C761" s="44">
        <v>2500</v>
      </c>
      <c r="D761" s="11">
        <v>0</v>
      </c>
      <c r="E761" s="11">
        <f t="shared" si="11"/>
        <v>61523178.189998657</v>
      </c>
      <c r="F761" s="80" t="s">
        <v>19</v>
      </c>
      <c r="G761" s="80" t="s">
        <v>189</v>
      </c>
    </row>
    <row r="762" spans="1:9">
      <c r="A762" s="5">
        <v>45883</v>
      </c>
      <c r="B762" t="s">
        <v>2887</v>
      </c>
      <c r="C762" s="11">
        <v>2904000</v>
      </c>
      <c r="D762" s="11">
        <v>0</v>
      </c>
      <c r="E762" s="11">
        <f t="shared" si="11"/>
        <v>58619178.189998657</v>
      </c>
      <c r="F762" s="80" t="s">
        <v>10</v>
      </c>
      <c r="G762" s="80" t="s">
        <v>446</v>
      </c>
      <c r="H762" s="40" t="s">
        <v>3474</v>
      </c>
      <c r="I762" t="s">
        <v>26</v>
      </c>
    </row>
    <row r="763" spans="1:9">
      <c r="A763" s="5">
        <v>45883</v>
      </c>
      <c r="B763" t="s">
        <v>7093</v>
      </c>
      <c r="C763" s="11">
        <v>40400000</v>
      </c>
      <c r="D763" s="11">
        <v>0</v>
      </c>
      <c r="E763" s="11">
        <f t="shared" si="11"/>
        <v>18219178.189998657</v>
      </c>
      <c r="F763" s="80" t="s">
        <v>4</v>
      </c>
      <c r="G763" s="80" t="s">
        <v>5</v>
      </c>
      <c r="H763" s="40" t="s">
        <v>3440</v>
      </c>
    </row>
    <row r="764" spans="1:9">
      <c r="A764" s="5">
        <v>45883</v>
      </c>
      <c r="B764" t="s">
        <v>7093</v>
      </c>
      <c r="C764" s="11">
        <v>4444000</v>
      </c>
      <c r="D764" s="11">
        <v>0</v>
      </c>
      <c r="E764" s="11">
        <f t="shared" si="11"/>
        <v>13775178.189998657</v>
      </c>
      <c r="F764" s="80" t="s">
        <v>920</v>
      </c>
      <c r="G764" t="s">
        <v>7856</v>
      </c>
      <c r="H764" s="40" t="s">
        <v>7032</v>
      </c>
      <c r="I764" t="s">
        <v>4562</v>
      </c>
    </row>
    <row r="765" spans="1:9" s="307" customFormat="1" ht="15.75">
      <c r="A765" s="306">
        <v>45883</v>
      </c>
      <c r="B765" s="307" t="s">
        <v>7093</v>
      </c>
      <c r="C765" s="308">
        <v>0</v>
      </c>
      <c r="D765" s="308">
        <f>C763+C764-43344000</f>
        <v>1500000</v>
      </c>
      <c r="E765" s="11">
        <f t="shared" si="11"/>
        <v>15275178.189998657</v>
      </c>
      <c r="F765" s="307" t="s">
        <v>6</v>
      </c>
      <c r="G765" s="307" t="s">
        <v>53</v>
      </c>
      <c r="H765" s="318" t="s">
        <v>2182</v>
      </c>
      <c r="I765" s="338">
        <v>45870</v>
      </c>
    </row>
    <row r="766" spans="1:9">
      <c r="A766" s="5">
        <v>45883</v>
      </c>
      <c r="B766" t="s">
        <v>2888</v>
      </c>
      <c r="C766" s="44">
        <v>2500</v>
      </c>
      <c r="D766" s="11">
        <v>0</v>
      </c>
      <c r="E766" s="11">
        <f t="shared" si="11"/>
        <v>15272678.189998657</v>
      </c>
      <c r="F766" s="80" t="s">
        <v>19</v>
      </c>
      <c r="G766" s="80" t="s">
        <v>189</v>
      </c>
    </row>
    <row r="767" spans="1:9">
      <c r="A767" s="5">
        <v>45885</v>
      </c>
      <c r="B767" t="s">
        <v>2889</v>
      </c>
      <c r="C767" s="11">
        <v>2000000</v>
      </c>
      <c r="D767" s="11">
        <v>0</v>
      </c>
      <c r="E767" s="11">
        <f t="shared" si="11"/>
        <v>13272678.189998657</v>
      </c>
      <c r="F767" s="80" t="s">
        <v>4</v>
      </c>
      <c r="G767" s="80" t="s">
        <v>5</v>
      </c>
      <c r="H767" s="40" t="s">
        <v>3440</v>
      </c>
    </row>
    <row r="768" spans="1:9">
      <c r="A768" s="5">
        <v>45885</v>
      </c>
      <c r="B768" t="s">
        <v>2890</v>
      </c>
      <c r="C768" s="11">
        <v>6500</v>
      </c>
      <c r="D768" s="11">
        <v>0</v>
      </c>
      <c r="E768" s="11">
        <f t="shared" si="11"/>
        <v>13266178.189998657</v>
      </c>
      <c r="F768" s="80" t="s">
        <v>19</v>
      </c>
      <c r="G768" s="80" t="s">
        <v>189</v>
      </c>
    </row>
    <row r="769" spans="1:9" s="40" customFormat="1">
      <c r="A769" s="218">
        <v>45887</v>
      </c>
      <c r="B769" s="40" t="s">
        <v>6382</v>
      </c>
      <c r="C769" s="39">
        <v>0</v>
      </c>
      <c r="D769" s="39">
        <v>6523500</v>
      </c>
      <c r="E769" s="11">
        <f t="shared" si="11"/>
        <v>19789678.189998657</v>
      </c>
      <c r="F769" s="40" t="s">
        <v>4</v>
      </c>
      <c r="G769" s="40" t="s">
        <v>5</v>
      </c>
      <c r="H769" s="40" t="s">
        <v>1622</v>
      </c>
    </row>
    <row r="770" spans="1:9">
      <c r="A770" s="5">
        <v>45887</v>
      </c>
      <c r="B770" t="s">
        <v>2891</v>
      </c>
      <c r="C770" s="11">
        <v>2000000</v>
      </c>
      <c r="D770" s="11">
        <v>0</v>
      </c>
      <c r="E770" s="11">
        <f t="shared" si="11"/>
        <v>17789678.189998657</v>
      </c>
      <c r="F770" t="s">
        <v>1212</v>
      </c>
      <c r="G770" t="s">
        <v>367</v>
      </c>
      <c r="H770" t="s">
        <v>3020</v>
      </c>
    </row>
    <row r="771" spans="1:9" ht="15.75">
      <c r="A771" s="5">
        <v>45888</v>
      </c>
      <c r="B771" t="s">
        <v>2892</v>
      </c>
      <c r="C771" s="11">
        <v>0</v>
      </c>
      <c r="D771" s="11">
        <v>250000000</v>
      </c>
      <c r="E771" s="11">
        <f t="shared" si="11"/>
        <v>267789678.18999866</v>
      </c>
      <c r="F771" s="15" t="s">
        <v>920</v>
      </c>
      <c r="G771" t="s">
        <v>4251</v>
      </c>
    </row>
    <row r="772" spans="1:9">
      <c r="A772" s="5">
        <v>45888</v>
      </c>
      <c r="B772" t="s">
        <v>2893</v>
      </c>
      <c r="C772" s="11">
        <v>62927883</v>
      </c>
      <c r="D772" s="11">
        <v>0</v>
      </c>
      <c r="E772" s="11">
        <f t="shared" si="11"/>
        <v>204861795.18999866</v>
      </c>
      <c r="F772" t="s">
        <v>920</v>
      </c>
      <c r="G772" t="s">
        <v>4250</v>
      </c>
      <c r="H772" t="s">
        <v>51</v>
      </c>
    </row>
    <row r="773" spans="1:9" ht="15.75">
      <c r="A773" s="5">
        <v>45889</v>
      </c>
      <c r="B773" t="s">
        <v>2894</v>
      </c>
      <c r="C773" s="11">
        <v>0</v>
      </c>
      <c r="D773" s="11">
        <v>674559880.89999998</v>
      </c>
      <c r="E773" s="11">
        <f t="shared" si="11"/>
        <v>879421676.0899986</v>
      </c>
      <c r="F773" t="s">
        <v>2140</v>
      </c>
      <c r="G773" t="s">
        <v>2141</v>
      </c>
      <c r="H773" s="146" t="s">
        <v>2326</v>
      </c>
      <c r="I773" s="37" t="s">
        <v>3408</v>
      </c>
    </row>
    <row r="774" spans="1:9">
      <c r="A774" s="5">
        <v>45890</v>
      </c>
      <c r="B774" t="s">
        <v>4572</v>
      </c>
      <c r="C774" s="11">
        <v>8888814</v>
      </c>
      <c r="D774" s="11">
        <v>0</v>
      </c>
      <c r="E774" s="11">
        <f t="shared" ref="E774:E837" si="12">E773-C774+D774</f>
        <v>870532862.0899986</v>
      </c>
      <c r="F774" t="s">
        <v>190</v>
      </c>
      <c r="G774" t="s">
        <v>69</v>
      </c>
      <c r="H774" t="s">
        <v>4595</v>
      </c>
    </row>
    <row r="775" spans="1:9">
      <c r="A775" s="5">
        <v>45890</v>
      </c>
      <c r="B775" t="s">
        <v>2895</v>
      </c>
      <c r="C775" s="11">
        <v>5157771</v>
      </c>
      <c r="D775" s="11">
        <v>0</v>
      </c>
      <c r="E775" s="11">
        <f t="shared" si="12"/>
        <v>865375091.0899986</v>
      </c>
      <c r="F775" t="s">
        <v>10</v>
      </c>
      <c r="G775" t="s">
        <v>446</v>
      </c>
      <c r="H775" s="40" t="s">
        <v>3283</v>
      </c>
      <c r="I775" t="s">
        <v>26</v>
      </c>
    </row>
    <row r="776" spans="1:9">
      <c r="A776" s="5">
        <v>45890</v>
      </c>
      <c r="B776" t="s">
        <v>2896</v>
      </c>
      <c r="C776" s="11">
        <v>8020256</v>
      </c>
      <c r="D776" s="11">
        <v>0</v>
      </c>
      <c r="E776" s="11">
        <f t="shared" si="12"/>
        <v>857354835.0899986</v>
      </c>
      <c r="F776" s="80" t="s">
        <v>4</v>
      </c>
      <c r="G776" s="80" t="s">
        <v>5</v>
      </c>
      <c r="H776" s="40" t="s">
        <v>3460</v>
      </c>
    </row>
    <row r="777" spans="1:9">
      <c r="A777" s="5">
        <v>45890</v>
      </c>
      <c r="B777" t="s">
        <v>2897</v>
      </c>
      <c r="C777" s="44">
        <v>2500</v>
      </c>
      <c r="D777" s="11">
        <v>0</v>
      </c>
      <c r="E777" s="11">
        <f t="shared" si="12"/>
        <v>857352335.0899986</v>
      </c>
      <c r="F777" s="80" t="s">
        <v>19</v>
      </c>
      <c r="G777" s="80" t="s">
        <v>189</v>
      </c>
    </row>
    <row r="778" spans="1:9">
      <c r="A778" s="5">
        <v>45890</v>
      </c>
      <c r="B778" t="s">
        <v>2898</v>
      </c>
      <c r="C778" s="11">
        <v>3884850</v>
      </c>
      <c r="D778" s="11">
        <v>0</v>
      </c>
      <c r="E778" s="11">
        <f t="shared" si="12"/>
        <v>853467485.0899986</v>
      </c>
      <c r="F778" s="80" t="s">
        <v>10</v>
      </c>
      <c r="G778" s="80" t="s">
        <v>446</v>
      </c>
      <c r="H778" s="40" t="s">
        <v>3473</v>
      </c>
      <c r="I778" t="s">
        <v>26</v>
      </c>
    </row>
    <row r="779" spans="1:9">
      <c r="A779" s="5">
        <v>45890</v>
      </c>
      <c r="B779" t="s">
        <v>2899</v>
      </c>
      <c r="C779" s="11">
        <v>11000000</v>
      </c>
      <c r="D779" s="11">
        <v>0</v>
      </c>
      <c r="E779" s="11">
        <f t="shared" si="12"/>
        <v>842467485.0899986</v>
      </c>
      <c r="F779" s="80" t="s">
        <v>4</v>
      </c>
      <c r="G779" s="80" t="s">
        <v>5</v>
      </c>
      <c r="H779" s="40" t="s">
        <v>3460</v>
      </c>
    </row>
    <row r="780" spans="1:9">
      <c r="A780" s="5">
        <v>45890</v>
      </c>
      <c r="B780" t="s">
        <v>2900</v>
      </c>
      <c r="C780" s="44">
        <v>2500</v>
      </c>
      <c r="D780" s="11">
        <v>0</v>
      </c>
      <c r="E780" s="11">
        <f t="shared" si="12"/>
        <v>842464985.0899986</v>
      </c>
      <c r="F780" s="80" t="s">
        <v>19</v>
      </c>
      <c r="G780" s="80" t="s">
        <v>189</v>
      </c>
    </row>
    <row r="781" spans="1:9">
      <c r="A781" s="5">
        <v>45890</v>
      </c>
      <c r="B781" t="s">
        <v>2901</v>
      </c>
      <c r="C781" s="11">
        <v>8498830</v>
      </c>
      <c r="D781" s="11">
        <v>0</v>
      </c>
      <c r="E781" s="11">
        <f t="shared" si="12"/>
        <v>833966155.0899986</v>
      </c>
      <c r="F781" t="s">
        <v>10</v>
      </c>
      <c r="G781" t="s">
        <v>446</v>
      </c>
      <c r="H781" s="40" t="s">
        <v>3283</v>
      </c>
      <c r="I781" t="s">
        <v>26</v>
      </c>
    </row>
    <row r="782" spans="1:9">
      <c r="A782" s="5">
        <v>45890</v>
      </c>
      <c r="B782" t="s">
        <v>2902</v>
      </c>
      <c r="C782" s="11">
        <v>200000000</v>
      </c>
      <c r="D782" s="11">
        <v>0</v>
      </c>
      <c r="E782" s="11">
        <f t="shared" si="12"/>
        <v>633966155.0899986</v>
      </c>
      <c r="F782" s="80" t="s">
        <v>4</v>
      </c>
      <c r="G782" s="80" t="s">
        <v>5</v>
      </c>
      <c r="H782" s="40" t="s">
        <v>3440</v>
      </c>
    </row>
    <row r="783" spans="1:9">
      <c r="A783" s="5">
        <v>45890</v>
      </c>
      <c r="B783" t="s">
        <v>2903</v>
      </c>
      <c r="C783" s="44">
        <v>2500</v>
      </c>
      <c r="D783" s="11">
        <v>0</v>
      </c>
      <c r="E783" s="11">
        <f t="shared" si="12"/>
        <v>633963655.0899986</v>
      </c>
      <c r="F783" s="80" t="s">
        <v>19</v>
      </c>
      <c r="G783" s="80" t="s">
        <v>189</v>
      </c>
    </row>
    <row r="784" spans="1:9">
      <c r="A784" s="5">
        <v>45890</v>
      </c>
      <c r="B784" t="s">
        <v>2904</v>
      </c>
      <c r="C784" s="11">
        <v>1900500</v>
      </c>
      <c r="D784" s="11">
        <v>0</v>
      </c>
      <c r="E784" s="11">
        <f t="shared" si="12"/>
        <v>632063155.0899986</v>
      </c>
      <c r="F784" t="s">
        <v>10</v>
      </c>
      <c r="G784" t="s">
        <v>446</v>
      </c>
      <c r="H784" s="40" t="s">
        <v>1461</v>
      </c>
      <c r="I784" t="s">
        <v>26</v>
      </c>
    </row>
    <row r="785" spans="1:9">
      <c r="A785" s="5">
        <v>45890</v>
      </c>
      <c r="B785" t="s">
        <v>2905</v>
      </c>
      <c r="C785" s="11">
        <v>2773050</v>
      </c>
      <c r="D785" s="11">
        <v>0</v>
      </c>
      <c r="E785" s="11">
        <f t="shared" si="12"/>
        <v>629290105.0899986</v>
      </c>
      <c r="F785" t="s">
        <v>8</v>
      </c>
      <c r="G785" t="s">
        <v>33</v>
      </c>
    </row>
    <row r="786" spans="1:9">
      <c r="A786" s="5">
        <v>45890</v>
      </c>
      <c r="B786" t="s">
        <v>2906</v>
      </c>
      <c r="C786" s="44">
        <v>2500</v>
      </c>
      <c r="D786" s="11">
        <v>0</v>
      </c>
      <c r="E786" s="11">
        <f t="shared" si="12"/>
        <v>629287605.0899986</v>
      </c>
      <c r="F786" s="80" t="s">
        <v>19</v>
      </c>
      <c r="G786" s="80" t="s">
        <v>189</v>
      </c>
    </row>
    <row r="787" spans="1:9">
      <c r="A787" s="5">
        <v>45890</v>
      </c>
      <c r="B787" t="s">
        <v>2907</v>
      </c>
      <c r="C787" s="11">
        <v>8016000</v>
      </c>
      <c r="D787" s="11">
        <v>0</v>
      </c>
      <c r="E787" s="11">
        <f t="shared" si="12"/>
        <v>621271605.0899986</v>
      </c>
      <c r="F787" t="s">
        <v>10</v>
      </c>
      <c r="G787" t="s">
        <v>446</v>
      </c>
      <c r="H787" s="40" t="s">
        <v>3283</v>
      </c>
      <c r="I787" t="s">
        <v>277</v>
      </c>
    </row>
    <row r="788" spans="1:9">
      <c r="A788" s="5">
        <v>45890</v>
      </c>
      <c r="B788" t="s">
        <v>2908</v>
      </c>
      <c r="C788" s="44">
        <v>2500</v>
      </c>
      <c r="D788" s="11">
        <v>0</v>
      </c>
      <c r="E788" s="11">
        <f t="shared" si="12"/>
        <v>621269105.0899986</v>
      </c>
      <c r="F788" s="80" t="s">
        <v>19</v>
      </c>
      <c r="G788" s="80" t="s">
        <v>189</v>
      </c>
    </row>
    <row r="789" spans="1:9" s="8" customFormat="1" ht="15.75">
      <c r="A789" s="13">
        <v>45890</v>
      </c>
      <c r="B789" s="8" t="s">
        <v>5962</v>
      </c>
      <c r="C789" s="54">
        <v>13636957</v>
      </c>
      <c r="D789" s="54">
        <v>0</v>
      </c>
      <c r="E789" s="11">
        <f t="shared" si="12"/>
        <v>607632148.0899986</v>
      </c>
      <c r="F789" s="8" t="s">
        <v>4</v>
      </c>
      <c r="G789" s="8" t="s">
        <v>5</v>
      </c>
      <c r="H789" s="8" t="s">
        <v>5956</v>
      </c>
      <c r="I789" s="8" t="s">
        <v>26</v>
      </c>
    </row>
    <row r="790" spans="1:9">
      <c r="A790" s="5">
        <v>45890</v>
      </c>
      <c r="B790" t="s">
        <v>2909</v>
      </c>
      <c r="C790" s="11">
        <v>4229000</v>
      </c>
      <c r="D790" s="11">
        <v>0</v>
      </c>
      <c r="E790" s="11">
        <f t="shared" si="12"/>
        <v>603403148.0899986</v>
      </c>
      <c r="F790" s="80" t="s">
        <v>4</v>
      </c>
      <c r="G790" s="80" t="s">
        <v>5</v>
      </c>
      <c r="H790" s="40" t="s">
        <v>4066</v>
      </c>
    </row>
    <row r="791" spans="1:9">
      <c r="A791" s="5">
        <v>45890</v>
      </c>
      <c r="B791" t="s">
        <v>2910</v>
      </c>
      <c r="C791" s="11">
        <v>16802989</v>
      </c>
      <c r="D791" s="11">
        <v>0</v>
      </c>
      <c r="E791" s="11">
        <f t="shared" si="12"/>
        <v>586600159.0899986</v>
      </c>
      <c r="F791" s="80" t="s">
        <v>10</v>
      </c>
      <c r="G791" s="80" t="s">
        <v>446</v>
      </c>
      <c r="H791" s="40" t="s">
        <v>3270</v>
      </c>
      <c r="I791" t="s">
        <v>26</v>
      </c>
    </row>
    <row r="792" spans="1:9">
      <c r="A792" s="5">
        <v>45890</v>
      </c>
      <c r="B792" t="s">
        <v>2911</v>
      </c>
      <c r="C792" s="11">
        <v>17713390</v>
      </c>
      <c r="D792" s="11">
        <v>0</v>
      </c>
      <c r="E792" s="11">
        <f t="shared" si="12"/>
        <v>568886769.0899986</v>
      </c>
      <c r="F792" s="80" t="s">
        <v>4</v>
      </c>
      <c r="G792" s="80" t="s">
        <v>5</v>
      </c>
      <c r="H792" s="40" t="s">
        <v>3263</v>
      </c>
    </row>
    <row r="793" spans="1:9">
      <c r="A793" s="5">
        <v>45890</v>
      </c>
      <c r="B793" t="s">
        <v>2912</v>
      </c>
      <c r="C793" s="11">
        <v>10556460</v>
      </c>
      <c r="D793" s="11">
        <v>0</v>
      </c>
      <c r="E793" s="11">
        <f t="shared" si="12"/>
        <v>558330309.0899986</v>
      </c>
      <c r="F793" s="80" t="s">
        <v>4</v>
      </c>
      <c r="G793" s="80" t="s">
        <v>5</v>
      </c>
      <c r="H793" s="40" t="s">
        <v>1622</v>
      </c>
    </row>
    <row r="794" spans="1:9">
      <c r="A794" s="5">
        <v>45890</v>
      </c>
      <c r="B794" t="s">
        <v>2913</v>
      </c>
      <c r="C794" s="11">
        <v>5672000</v>
      </c>
      <c r="D794" s="11">
        <v>0</v>
      </c>
      <c r="E794" s="11">
        <f t="shared" si="12"/>
        <v>552658309.0899986</v>
      </c>
      <c r="F794" s="80" t="s">
        <v>4</v>
      </c>
      <c r="G794" s="80" t="s">
        <v>5</v>
      </c>
      <c r="H794" s="40" t="s">
        <v>3460</v>
      </c>
    </row>
    <row r="795" spans="1:9">
      <c r="A795" s="5">
        <v>45890</v>
      </c>
      <c r="B795" t="s">
        <v>2914</v>
      </c>
      <c r="C795" s="11">
        <v>22851673</v>
      </c>
      <c r="D795" s="11">
        <v>0</v>
      </c>
      <c r="E795" s="11">
        <f t="shared" si="12"/>
        <v>529806636.0899986</v>
      </c>
      <c r="F795" s="80" t="s">
        <v>10</v>
      </c>
      <c r="G795" s="80" t="s">
        <v>446</v>
      </c>
      <c r="H795" s="40" t="s">
        <v>3270</v>
      </c>
      <c r="I795" t="s">
        <v>26</v>
      </c>
    </row>
    <row r="796" spans="1:9">
      <c r="A796" s="5">
        <v>45890</v>
      </c>
      <c r="B796" t="s">
        <v>2915</v>
      </c>
      <c r="C796" s="11">
        <v>3199550</v>
      </c>
      <c r="D796" s="11">
        <v>0</v>
      </c>
      <c r="E796" s="11">
        <f t="shared" si="12"/>
        <v>526607086.0899986</v>
      </c>
      <c r="F796" s="80" t="s">
        <v>10</v>
      </c>
      <c r="G796" s="80" t="s">
        <v>446</v>
      </c>
      <c r="H796" s="40" t="s">
        <v>3474</v>
      </c>
      <c r="I796" t="s">
        <v>26</v>
      </c>
    </row>
    <row r="797" spans="1:9">
      <c r="A797" s="5">
        <v>45890</v>
      </c>
      <c r="B797" t="s">
        <v>2916</v>
      </c>
      <c r="C797" s="11">
        <v>7519700</v>
      </c>
      <c r="D797" s="11">
        <v>0</v>
      </c>
      <c r="E797" s="11">
        <f t="shared" si="12"/>
        <v>519087386.0899986</v>
      </c>
      <c r="F797" t="s">
        <v>10</v>
      </c>
      <c r="G797" t="s">
        <v>446</v>
      </c>
      <c r="H797" s="40" t="s">
        <v>3283</v>
      </c>
      <c r="I797" t="s">
        <v>26</v>
      </c>
    </row>
    <row r="798" spans="1:9">
      <c r="A798" s="5">
        <v>45890</v>
      </c>
      <c r="B798" t="s">
        <v>2917</v>
      </c>
      <c r="C798" s="11">
        <v>18841265</v>
      </c>
      <c r="D798" s="11">
        <v>0</v>
      </c>
      <c r="E798" s="11">
        <f t="shared" si="12"/>
        <v>500246121.0899986</v>
      </c>
      <c r="F798" s="80" t="s">
        <v>4</v>
      </c>
      <c r="G798" s="80" t="s">
        <v>5</v>
      </c>
      <c r="H798" s="40" t="s">
        <v>1634</v>
      </c>
    </row>
    <row r="799" spans="1:9">
      <c r="A799" s="5">
        <v>45890</v>
      </c>
      <c r="B799" t="s">
        <v>2918</v>
      </c>
      <c r="C799" s="11">
        <v>15993586</v>
      </c>
      <c r="D799" s="11">
        <v>0</v>
      </c>
      <c r="E799" s="11">
        <f t="shared" si="12"/>
        <v>484252535.0899986</v>
      </c>
      <c r="F799" s="80" t="s">
        <v>4</v>
      </c>
      <c r="G799" s="80" t="s">
        <v>5</v>
      </c>
      <c r="H799" s="40" t="s">
        <v>1622</v>
      </c>
    </row>
    <row r="800" spans="1:9">
      <c r="A800" s="5">
        <v>45890</v>
      </c>
      <c r="B800" t="s">
        <v>2919</v>
      </c>
      <c r="C800" s="11">
        <v>8144428</v>
      </c>
      <c r="D800" s="11">
        <v>0</v>
      </c>
      <c r="E800" s="11">
        <f t="shared" si="12"/>
        <v>476108107.0899986</v>
      </c>
      <c r="F800" s="80" t="s">
        <v>4</v>
      </c>
      <c r="G800" s="80" t="s">
        <v>5</v>
      </c>
      <c r="H800" s="40" t="s">
        <v>3263</v>
      </c>
    </row>
    <row r="801" spans="1:11">
      <c r="A801" s="5">
        <v>45890</v>
      </c>
      <c r="B801" t="s">
        <v>2920</v>
      </c>
      <c r="C801" s="11">
        <v>510000</v>
      </c>
      <c r="D801" s="11">
        <v>0</v>
      </c>
      <c r="E801" s="11">
        <f t="shared" si="12"/>
        <v>475598107.0899986</v>
      </c>
      <c r="F801" s="80" t="s">
        <v>10</v>
      </c>
      <c r="G801" s="80" t="s">
        <v>446</v>
      </c>
      <c r="H801" s="40" t="s">
        <v>3473</v>
      </c>
      <c r="I801" t="s">
        <v>26</v>
      </c>
    </row>
    <row r="802" spans="1:11">
      <c r="A802" s="5">
        <v>45890</v>
      </c>
      <c r="B802" t="s">
        <v>2921</v>
      </c>
      <c r="C802" s="11">
        <v>3198350</v>
      </c>
      <c r="D802" s="11">
        <v>0</v>
      </c>
      <c r="E802" s="11">
        <f t="shared" si="12"/>
        <v>472399757.0899986</v>
      </c>
      <c r="F802" s="80" t="s">
        <v>10</v>
      </c>
      <c r="G802" s="80" t="s">
        <v>446</v>
      </c>
      <c r="H802" s="40" t="s">
        <v>3474</v>
      </c>
      <c r="I802" t="s">
        <v>26</v>
      </c>
    </row>
    <row r="803" spans="1:11">
      <c r="A803" s="5">
        <v>45890</v>
      </c>
      <c r="B803" t="s">
        <v>2922</v>
      </c>
      <c r="C803" s="11">
        <v>4838322</v>
      </c>
      <c r="D803" s="11">
        <v>0</v>
      </c>
      <c r="E803" s="11">
        <f t="shared" si="12"/>
        <v>467561435.0899986</v>
      </c>
      <c r="F803" s="80" t="s">
        <v>10</v>
      </c>
      <c r="G803" s="80" t="s">
        <v>446</v>
      </c>
      <c r="H803" s="40" t="s">
        <v>3475</v>
      </c>
    </row>
    <row r="804" spans="1:11" ht="15.75">
      <c r="A804" s="5">
        <v>45891</v>
      </c>
      <c r="B804" t="s">
        <v>423</v>
      </c>
      <c r="C804" s="11">
        <v>0</v>
      </c>
      <c r="D804" s="11">
        <v>29463367</v>
      </c>
      <c r="E804" s="11">
        <f t="shared" si="12"/>
        <v>497024802.0899986</v>
      </c>
      <c r="F804" t="s">
        <v>2140</v>
      </c>
      <c r="G804" t="s">
        <v>2141</v>
      </c>
      <c r="H804" s="146" t="s">
        <v>2322</v>
      </c>
      <c r="I804" s="37" t="s">
        <v>3382</v>
      </c>
    </row>
    <row r="805" spans="1:11" s="40" customFormat="1" ht="15.75">
      <c r="A805" s="218">
        <v>45891</v>
      </c>
      <c r="B805" s="40" t="s">
        <v>2923</v>
      </c>
      <c r="C805" s="39">
        <v>0</v>
      </c>
      <c r="D805" s="39">
        <v>199782000</v>
      </c>
      <c r="E805" s="11">
        <f t="shared" si="12"/>
        <v>696806802.0899986</v>
      </c>
      <c r="F805" s="40" t="s">
        <v>2140</v>
      </c>
      <c r="G805" s="40" t="s">
        <v>2141</v>
      </c>
      <c r="H805" s="154" t="s">
        <v>1376</v>
      </c>
      <c r="I805" s="37" t="s">
        <v>3429</v>
      </c>
      <c r="J805" s="37" t="s">
        <v>26</v>
      </c>
      <c r="K805" s="37" t="s">
        <v>26</v>
      </c>
    </row>
    <row r="806" spans="1:11" s="40" customFormat="1" ht="15.75">
      <c r="A806" s="218">
        <v>45891</v>
      </c>
      <c r="B806" s="40" t="s">
        <v>2923</v>
      </c>
      <c r="C806" s="39">
        <v>0</v>
      </c>
      <c r="D806" s="39">
        <v>148034103</v>
      </c>
      <c r="E806" s="11">
        <f t="shared" si="12"/>
        <v>844840905.0899986</v>
      </c>
      <c r="F806" s="40" t="s">
        <v>2140</v>
      </c>
      <c r="G806" s="40" t="s">
        <v>2141</v>
      </c>
      <c r="H806" s="154" t="s">
        <v>1376</v>
      </c>
      <c r="I806" s="37" t="s">
        <v>3434</v>
      </c>
      <c r="J806" s="37"/>
      <c r="K806" s="37"/>
    </row>
    <row r="807" spans="1:11" s="40" customFormat="1" ht="15.75">
      <c r="A807" s="218">
        <v>45891</v>
      </c>
      <c r="B807" s="40" t="s">
        <v>2923</v>
      </c>
      <c r="C807" s="39">
        <v>0</v>
      </c>
      <c r="D807" s="39">
        <f>497292284-D805-D806</f>
        <v>149476181</v>
      </c>
      <c r="E807" s="11">
        <f t="shared" si="12"/>
        <v>994317086.0899986</v>
      </c>
      <c r="F807" s="40" t="s">
        <v>2140</v>
      </c>
      <c r="G807" s="40" t="s">
        <v>2141</v>
      </c>
      <c r="H807" s="154" t="s">
        <v>1376</v>
      </c>
      <c r="I807" s="37" t="s">
        <v>3436</v>
      </c>
      <c r="J807" s="37"/>
      <c r="K807" s="37"/>
    </row>
    <row r="808" spans="1:11">
      <c r="A808" s="5">
        <v>45891</v>
      </c>
      <c r="B808" t="s">
        <v>2924</v>
      </c>
      <c r="C808" s="11">
        <v>3500000</v>
      </c>
      <c r="D808" s="11">
        <v>0</v>
      </c>
      <c r="E808" s="11">
        <f t="shared" si="12"/>
        <v>990817086.0899986</v>
      </c>
      <c r="F808" s="80" t="s">
        <v>4</v>
      </c>
      <c r="G808" s="80" t="s">
        <v>5</v>
      </c>
      <c r="H808" s="40" t="s">
        <v>3440</v>
      </c>
    </row>
    <row r="809" spans="1:11" ht="15.75">
      <c r="A809" s="5">
        <v>45894</v>
      </c>
      <c r="B809" t="s">
        <v>2548</v>
      </c>
      <c r="C809" s="11">
        <v>0</v>
      </c>
      <c r="D809" s="11">
        <v>23423562</v>
      </c>
      <c r="E809" s="11">
        <f t="shared" si="12"/>
        <v>1014240648.0899986</v>
      </c>
      <c r="F809" t="s">
        <v>2140</v>
      </c>
      <c r="G809" t="s">
        <v>2141</v>
      </c>
      <c r="H809" s="154" t="s">
        <v>1622</v>
      </c>
      <c r="I809" t="s">
        <v>3412</v>
      </c>
    </row>
    <row r="810" spans="1:11" ht="15.75">
      <c r="A810" s="5">
        <v>45894</v>
      </c>
      <c r="B810" t="s">
        <v>2548</v>
      </c>
      <c r="C810" s="11">
        <v>0</v>
      </c>
      <c r="D810" s="11">
        <v>14848015</v>
      </c>
      <c r="E810" s="11">
        <f t="shared" si="12"/>
        <v>1029088663.0899986</v>
      </c>
      <c r="F810" t="s">
        <v>2140</v>
      </c>
      <c r="G810" t="s">
        <v>2141</v>
      </c>
      <c r="H810" s="154" t="s">
        <v>1622</v>
      </c>
      <c r="I810" t="s">
        <v>3415</v>
      </c>
    </row>
    <row r="811" spans="1:11" ht="15.75">
      <c r="A811" s="5">
        <v>45894</v>
      </c>
      <c r="B811" t="s">
        <v>2548</v>
      </c>
      <c r="C811" s="11">
        <v>0</v>
      </c>
      <c r="D811" s="11">
        <v>48155168</v>
      </c>
      <c r="E811" s="11">
        <f t="shared" si="12"/>
        <v>1077243831.0899987</v>
      </c>
      <c r="F811" t="s">
        <v>2140</v>
      </c>
      <c r="G811" t="s">
        <v>2141</v>
      </c>
      <c r="H811" s="154" t="s">
        <v>1622</v>
      </c>
      <c r="I811" t="s">
        <v>3417</v>
      </c>
    </row>
    <row r="812" spans="1:11" ht="15.75">
      <c r="A812" s="5">
        <v>45894</v>
      </c>
      <c r="B812" t="s">
        <v>2548</v>
      </c>
      <c r="C812" s="11">
        <v>0</v>
      </c>
      <c r="D812" s="11">
        <v>1056495</v>
      </c>
      <c r="E812" s="11">
        <f t="shared" si="12"/>
        <v>1078300326.0899987</v>
      </c>
      <c r="F812" t="s">
        <v>2140</v>
      </c>
      <c r="G812" t="s">
        <v>2141</v>
      </c>
      <c r="H812" s="154" t="s">
        <v>1622</v>
      </c>
      <c r="I812" t="s">
        <v>3419</v>
      </c>
    </row>
    <row r="813" spans="1:11" ht="15.75">
      <c r="A813" s="5">
        <v>45894</v>
      </c>
      <c r="B813" t="s">
        <v>2548</v>
      </c>
      <c r="C813" s="11">
        <v>0</v>
      </c>
      <c r="D813" s="11">
        <v>90652650</v>
      </c>
      <c r="E813" s="11">
        <f t="shared" si="12"/>
        <v>1168952976.0899987</v>
      </c>
      <c r="F813" t="s">
        <v>2140</v>
      </c>
      <c r="G813" t="s">
        <v>2141</v>
      </c>
      <c r="H813" s="154" t="s">
        <v>1622</v>
      </c>
      <c r="I813" t="s">
        <v>3421</v>
      </c>
    </row>
    <row r="814" spans="1:11" ht="15.75">
      <c r="A814" s="5">
        <v>45894</v>
      </c>
      <c r="B814" t="s">
        <v>2548</v>
      </c>
      <c r="C814" s="11">
        <v>0</v>
      </c>
      <c r="D814" s="11">
        <v>18695215</v>
      </c>
      <c r="E814" s="11">
        <f t="shared" si="12"/>
        <v>1187648191.0899987</v>
      </c>
      <c r="F814" t="s">
        <v>2140</v>
      </c>
      <c r="G814" t="s">
        <v>2141</v>
      </c>
      <c r="H814" s="154" t="s">
        <v>1622</v>
      </c>
      <c r="I814" t="s">
        <v>3423</v>
      </c>
    </row>
    <row r="815" spans="1:11" ht="15.75">
      <c r="A815" s="5">
        <v>45894</v>
      </c>
      <c r="B815" t="s">
        <v>2548</v>
      </c>
      <c r="C815" s="11">
        <v>0</v>
      </c>
      <c r="D815" s="11">
        <f>222704468-D809-D810-D811-D812-D813-D814</f>
        <v>25873363</v>
      </c>
      <c r="E815" s="11">
        <f t="shared" si="12"/>
        <v>1213521554.0899987</v>
      </c>
      <c r="F815" t="s">
        <v>2140</v>
      </c>
      <c r="G815" t="s">
        <v>2141</v>
      </c>
      <c r="H815" s="154" t="s">
        <v>1622</v>
      </c>
      <c r="I815" t="s">
        <v>3425</v>
      </c>
    </row>
    <row r="816" spans="1:11">
      <c r="A816" s="5">
        <v>45896</v>
      </c>
      <c r="B816" t="s">
        <v>4571</v>
      </c>
      <c r="C816" s="11">
        <v>32587431</v>
      </c>
      <c r="D816" s="11">
        <v>0</v>
      </c>
      <c r="E816" s="11">
        <f t="shared" si="12"/>
        <v>1180934123.0899987</v>
      </c>
      <c r="F816" t="s">
        <v>62</v>
      </c>
      <c r="G816" t="s">
        <v>23</v>
      </c>
      <c r="H816" t="s">
        <v>2184</v>
      </c>
    </row>
    <row r="817" spans="1:9">
      <c r="A817" s="5">
        <v>45896</v>
      </c>
      <c r="B817" t="s">
        <v>2925</v>
      </c>
      <c r="C817" s="11">
        <v>3500000</v>
      </c>
      <c r="D817" s="11">
        <v>0</v>
      </c>
      <c r="E817" s="11">
        <f t="shared" si="12"/>
        <v>1177434123.0899987</v>
      </c>
      <c r="F817" s="80" t="s">
        <v>4</v>
      </c>
      <c r="G817" s="80" t="s">
        <v>5</v>
      </c>
      <c r="H817" s="40" t="s">
        <v>3440</v>
      </c>
    </row>
    <row r="818" spans="1:9">
      <c r="A818" s="5">
        <v>45896</v>
      </c>
      <c r="B818" t="s">
        <v>2926</v>
      </c>
      <c r="C818" s="11">
        <v>3600000</v>
      </c>
      <c r="D818" s="11">
        <v>0</v>
      </c>
      <c r="E818" s="11">
        <f t="shared" si="12"/>
        <v>1173834123.0899987</v>
      </c>
      <c r="F818" t="s">
        <v>10</v>
      </c>
      <c r="G818" t="s">
        <v>446</v>
      </c>
      <c r="H818" s="40" t="s">
        <v>3471</v>
      </c>
      <c r="I818" t="s">
        <v>26</v>
      </c>
    </row>
    <row r="819" spans="1:9">
      <c r="A819" s="5">
        <v>45896</v>
      </c>
      <c r="B819" t="s">
        <v>2927</v>
      </c>
      <c r="C819" s="44">
        <v>2500</v>
      </c>
      <c r="D819" s="11">
        <v>0</v>
      </c>
      <c r="E819" s="11">
        <f t="shared" si="12"/>
        <v>1173831623.0899987</v>
      </c>
      <c r="F819" s="80" t="s">
        <v>19</v>
      </c>
      <c r="G819" s="80" t="s">
        <v>189</v>
      </c>
    </row>
    <row r="820" spans="1:9">
      <c r="A820" s="5">
        <v>45896</v>
      </c>
      <c r="B820" t="s">
        <v>7092</v>
      </c>
      <c r="C820" s="11">
        <f>11211000-C821</f>
        <v>10100000</v>
      </c>
      <c r="D820" s="11">
        <v>0</v>
      </c>
      <c r="E820" s="11">
        <f t="shared" si="12"/>
        <v>1163731623.0899987</v>
      </c>
      <c r="F820" s="80" t="s">
        <v>4</v>
      </c>
      <c r="G820" s="80" t="s">
        <v>5</v>
      </c>
      <c r="H820" s="40" t="s">
        <v>3440</v>
      </c>
    </row>
    <row r="821" spans="1:9">
      <c r="A821" s="5">
        <v>45896</v>
      </c>
      <c r="B821" t="s">
        <v>7092</v>
      </c>
      <c r="C821" s="11">
        <v>1111000</v>
      </c>
      <c r="D821" s="11">
        <v>0</v>
      </c>
      <c r="E821" s="11">
        <f t="shared" si="12"/>
        <v>1162620623.0899987</v>
      </c>
      <c r="F821" s="80" t="s">
        <v>920</v>
      </c>
      <c r="G821" t="s">
        <v>7856</v>
      </c>
      <c r="H821" s="40" t="s">
        <v>7032</v>
      </c>
      <c r="I821" t="s">
        <v>4562</v>
      </c>
    </row>
    <row r="822" spans="1:9">
      <c r="A822" s="5">
        <v>45896</v>
      </c>
      <c r="B822" t="s">
        <v>2928</v>
      </c>
      <c r="C822" s="44">
        <v>2500</v>
      </c>
      <c r="D822" s="11">
        <v>0</v>
      </c>
      <c r="E822" s="11">
        <f t="shared" si="12"/>
        <v>1162618123.0899987</v>
      </c>
      <c r="F822" s="80" t="s">
        <v>19</v>
      </c>
      <c r="G822" s="80" t="s">
        <v>189</v>
      </c>
    </row>
    <row r="823" spans="1:9">
      <c r="A823" s="5">
        <v>45896</v>
      </c>
      <c r="B823" t="s">
        <v>2929</v>
      </c>
      <c r="C823" s="11">
        <v>10425000</v>
      </c>
      <c r="D823" s="11">
        <v>0</v>
      </c>
      <c r="E823" s="11">
        <f t="shared" si="12"/>
        <v>1152193123.0899987</v>
      </c>
      <c r="F823" s="80" t="s">
        <v>4</v>
      </c>
      <c r="G823" s="80" t="s">
        <v>5</v>
      </c>
      <c r="H823" s="40" t="s">
        <v>3440</v>
      </c>
    </row>
    <row r="824" spans="1:9">
      <c r="A824" s="5">
        <v>45896</v>
      </c>
      <c r="B824" t="s">
        <v>2930</v>
      </c>
      <c r="C824" s="44">
        <v>2500</v>
      </c>
      <c r="D824" s="11">
        <v>0</v>
      </c>
      <c r="E824" s="11">
        <f t="shared" si="12"/>
        <v>1152190623.0899987</v>
      </c>
      <c r="F824" s="80" t="s">
        <v>19</v>
      </c>
      <c r="G824" s="80" t="s">
        <v>189</v>
      </c>
    </row>
    <row r="825" spans="1:9">
      <c r="A825" s="5">
        <v>45896</v>
      </c>
      <c r="B825" t="s">
        <v>2931</v>
      </c>
      <c r="C825" s="11">
        <v>10100000</v>
      </c>
      <c r="D825" s="11">
        <v>0</v>
      </c>
      <c r="E825" s="11">
        <f t="shared" si="12"/>
        <v>1142090623.0899987</v>
      </c>
      <c r="F825" s="80" t="s">
        <v>4</v>
      </c>
      <c r="G825" s="80" t="s">
        <v>5</v>
      </c>
      <c r="H825" s="40" t="s">
        <v>3440</v>
      </c>
    </row>
    <row r="826" spans="1:9">
      <c r="A826" s="5">
        <v>45896</v>
      </c>
      <c r="B826" t="s">
        <v>2932</v>
      </c>
      <c r="C826" s="44">
        <v>2500</v>
      </c>
      <c r="D826" s="11">
        <v>0</v>
      </c>
      <c r="E826" s="11">
        <f t="shared" si="12"/>
        <v>1142088123.0899987</v>
      </c>
      <c r="F826" s="80" t="s">
        <v>19</v>
      </c>
      <c r="G826" s="80" t="s">
        <v>189</v>
      </c>
    </row>
    <row r="827" spans="1:9">
      <c r="A827" s="5">
        <v>45896</v>
      </c>
      <c r="B827" t="s">
        <v>2933</v>
      </c>
      <c r="C827" s="11">
        <v>149550000</v>
      </c>
      <c r="D827" s="11">
        <v>0</v>
      </c>
      <c r="E827" s="11">
        <f t="shared" si="12"/>
        <v>992538123.08999872</v>
      </c>
      <c r="F827" s="80" t="s">
        <v>4</v>
      </c>
      <c r="G827" s="80" t="s">
        <v>5</v>
      </c>
      <c r="H827" s="40" t="s">
        <v>3440</v>
      </c>
    </row>
    <row r="828" spans="1:9">
      <c r="A828" s="5">
        <v>45896</v>
      </c>
      <c r="B828" t="s">
        <v>2934</v>
      </c>
      <c r="C828" s="44">
        <v>2500</v>
      </c>
      <c r="D828" s="11">
        <v>0</v>
      </c>
      <c r="E828" s="11">
        <f t="shared" si="12"/>
        <v>992535623.08999872</v>
      </c>
      <c r="F828" s="80" t="s">
        <v>19</v>
      </c>
      <c r="G828" s="80" t="s">
        <v>189</v>
      </c>
    </row>
    <row r="829" spans="1:9">
      <c r="A829" s="5">
        <v>45897</v>
      </c>
      <c r="B829" t="s">
        <v>2935</v>
      </c>
      <c r="C829" s="11">
        <v>250000000</v>
      </c>
      <c r="D829" s="11">
        <v>0</v>
      </c>
      <c r="E829" s="11">
        <f t="shared" si="12"/>
        <v>742535623.08999872</v>
      </c>
      <c r="F829" t="s">
        <v>62</v>
      </c>
      <c r="G829" t="s">
        <v>23</v>
      </c>
    </row>
    <row r="830" spans="1:9">
      <c r="A830" s="5">
        <v>45897</v>
      </c>
      <c r="B830" t="s">
        <v>2936</v>
      </c>
      <c r="C830" s="44">
        <v>2500</v>
      </c>
      <c r="D830" s="11">
        <v>0</v>
      </c>
      <c r="E830" s="11">
        <f t="shared" si="12"/>
        <v>742533123.08999872</v>
      </c>
      <c r="F830" s="80" t="s">
        <v>19</v>
      </c>
      <c r="G830" s="80" t="s">
        <v>189</v>
      </c>
    </row>
    <row r="831" spans="1:9">
      <c r="A831" s="5">
        <v>45897</v>
      </c>
      <c r="B831" t="s">
        <v>2937</v>
      </c>
      <c r="C831" s="11">
        <v>1708600</v>
      </c>
      <c r="D831" s="11">
        <v>0</v>
      </c>
      <c r="E831" s="11">
        <f t="shared" si="12"/>
        <v>740824523.08999872</v>
      </c>
      <c r="F831" t="s">
        <v>10</v>
      </c>
      <c r="G831" t="s">
        <v>446</v>
      </c>
      <c r="H831" s="40" t="s">
        <v>3283</v>
      </c>
      <c r="I831" t="s">
        <v>26</v>
      </c>
    </row>
    <row r="832" spans="1:9">
      <c r="A832" s="5">
        <v>45897</v>
      </c>
      <c r="B832" t="s">
        <v>2938</v>
      </c>
      <c r="C832" s="11">
        <v>99741359</v>
      </c>
      <c r="D832" s="11">
        <v>0</v>
      </c>
      <c r="E832" s="11">
        <f t="shared" si="12"/>
        <v>641083164.08999872</v>
      </c>
      <c r="F832" s="80" t="s">
        <v>4</v>
      </c>
      <c r="G832" s="80" t="s">
        <v>5</v>
      </c>
      <c r="H832" s="40" t="s">
        <v>2316</v>
      </c>
    </row>
    <row r="833" spans="1:9">
      <c r="A833" s="5">
        <v>45897</v>
      </c>
      <c r="B833" t="s">
        <v>2939</v>
      </c>
      <c r="C833" s="44">
        <v>2500</v>
      </c>
      <c r="D833" s="11">
        <v>0</v>
      </c>
      <c r="E833" s="11">
        <f t="shared" si="12"/>
        <v>641080664.08999872</v>
      </c>
      <c r="F833" s="80" t="s">
        <v>19</v>
      </c>
      <c r="G833" s="80" t="s">
        <v>189</v>
      </c>
    </row>
    <row r="834" spans="1:9">
      <c r="A834" s="5">
        <v>45897</v>
      </c>
      <c r="B834" t="s">
        <v>2940</v>
      </c>
      <c r="C834" s="11">
        <v>3705170</v>
      </c>
      <c r="D834" s="11">
        <v>0</v>
      </c>
      <c r="E834" s="11">
        <f t="shared" si="12"/>
        <v>637375494.08999872</v>
      </c>
      <c r="F834" t="s">
        <v>10</v>
      </c>
      <c r="G834" t="s">
        <v>446</v>
      </c>
      <c r="H834" s="40" t="s">
        <v>2314</v>
      </c>
      <c r="I834" t="s">
        <v>26</v>
      </c>
    </row>
    <row r="835" spans="1:9">
      <c r="A835" s="5">
        <v>45897</v>
      </c>
      <c r="B835" t="s">
        <v>2941</v>
      </c>
      <c r="C835" s="11">
        <v>5916650</v>
      </c>
      <c r="D835" s="11">
        <v>0</v>
      </c>
      <c r="E835" s="11">
        <f t="shared" si="12"/>
        <v>631458844.08999872</v>
      </c>
      <c r="F835" s="80" t="s">
        <v>10</v>
      </c>
      <c r="G835" s="80" t="s">
        <v>446</v>
      </c>
      <c r="H835" t="s">
        <v>3474</v>
      </c>
      <c r="I835" t="s">
        <v>26</v>
      </c>
    </row>
    <row r="836" spans="1:9">
      <c r="A836" s="5">
        <v>45897</v>
      </c>
      <c r="B836" t="s">
        <v>2942</v>
      </c>
      <c r="C836" s="11">
        <v>3168270</v>
      </c>
      <c r="D836" s="11">
        <v>0</v>
      </c>
      <c r="E836" s="11">
        <f t="shared" si="12"/>
        <v>628290574.08999872</v>
      </c>
      <c r="F836" s="80" t="s">
        <v>10</v>
      </c>
      <c r="G836" s="80" t="s">
        <v>446</v>
      </c>
      <c r="H836" t="s">
        <v>3474</v>
      </c>
      <c r="I836" t="s">
        <v>26</v>
      </c>
    </row>
    <row r="837" spans="1:9">
      <c r="A837" s="5">
        <v>45897</v>
      </c>
      <c r="B837" t="s">
        <v>2943</v>
      </c>
      <c r="C837" s="11">
        <v>50849100</v>
      </c>
      <c r="D837" s="11">
        <v>0</v>
      </c>
      <c r="E837" s="11">
        <f t="shared" si="12"/>
        <v>577441474.08999872</v>
      </c>
      <c r="F837" s="80" t="s">
        <v>4</v>
      </c>
      <c r="G837" s="80" t="s">
        <v>5</v>
      </c>
      <c r="H837" t="s">
        <v>3457</v>
      </c>
    </row>
    <row r="838" spans="1:9">
      <c r="A838" s="5">
        <v>45897</v>
      </c>
      <c r="B838" t="s">
        <v>2944</v>
      </c>
      <c r="C838" s="11">
        <v>5269358</v>
      </c>
      <c r="D838" s="11">
        <v>0</v>
      </c>
      <c r="E838" s="11">
        <f t="shared" ref="E838:E901" si="13">E837-C838+D838</f>
        <v>572172116.08999872</v>
      </c>
      <c r="F838" s="80" t="s">
        <v>4</v>
      </c>
      <c r="G838" s="80" t="s">
        <v>5</v>
      </c>
      <c r="H838" t="s">
        <v>2326</v>
      </c>
    </row>
    <row r="839" spans="1:9">
      <c r="A839" s="5">
        <v>45900</v>
      </c>
      <c r="B839" t="s">
        <v>2945</v>
      </c>
      <c r="C839" s="11">
        <v>250000000</v>
      </c>
      <c r="D839" s="11">
        <v>0</v>
      </c>
      <c r="E839" s="11">
        <f t="shared" si="13"/>
        <v>322172116.08999872</v>
      </c>
      <c r="F839" t="s">
        <v>920</v>
      </c>
      <c r="G839" t="s">
        <v>4250</v>
      </c>
      <c r="H839" t="s">
        <v>368</v>
      </c>
    </row>
    <row r="840" spans="1:9">
      <c r="A840" s="5">
        <v>45900</v>
      </c>
      <c r="B840" t="s">
        <v>2946</v>
      </c>
      <c r="C840" s="44">
        <v>2500</v>
      </c>
      <c r="D840" s="11">
        <v>0</v>
      </c>
      <c r="E840" s="11">
        <f t="shared" si="13"/>
        <v>322169616.08999872</v>
      </c>
      <c r="F840" s="80" t="s">
        <v>19</v>
      </c>
      <c r="G840" s="80" t="s">
        <v>189</v>
      </c>
    </row>
    <row r="841" spans="1:9">
      <c r="A841" s="5">
        <v>45900</v>
      </c>
      <c r="B841" t="s">
        <v>2945</v>
      </c>
      <c r="C841" s="11">
        <v>42882186</v>
      </c>
      <c r="D841" s="11">
        <v>0</v>
      </c>
      <c r="E841" s="11">
        <f t="shared" si="13"/>
        <v>279287430.08999872</v>
      </c>
      <c r="F841" t="s">
        <v>920</v>
      </c>
      <c r="G841" t="s">
        <v>4250</v>
      </c>
      <c r="H841" t="s">
        <v>368</v>
      </c>
    </row>
    <row r="842" spans="1:9">
      <c r="A842" s="5">
        <v>45900</v>
      </c>
      <c r="B842" t="s">
        <v>2947</v>
      </c>
      <c r="C842" s="44">
        <v>2500</v>
      </c>
      <c r="D842" s="11">
        <v>0</v>
      </c>
      <c r="E842" s="11">
        <f t="shared" si="13"/>
        <v>279284930.08999872</v>
      </c>
      <c r="F842" s="80" t="s">
        <v>19</v>
      </c>
      <c r="G842" s="80" t="s">
        <v>189</v>
      </c>
    </row>
    <row r="843" spans="1:9">
      <c r="A843" s="5">
        <v>45900</v>
      </c>
      <c r="B843" t="s">
        <v>2948</v>
      </c>
      <c r="C843" s="11">
        <v>168181637</v>
      </c>
      <c r="D843" s="11">
        <v>0</v>
      </c>
      <c r="E843" s="11">
        <f t="shared" si="13"/>
        <v>111103293.08999872</v>
      </c>
      <c r="F843" t="s">
        <v>920</v>
      </c>
      <c r="G843" t="s">
        <v>4250</v>
      </c>
      <c r="H843" t="s">
        <v>100</v>
      </c>
    </row>
    <row r="844" spans="1:9">
      <c r="A844" s="5">
        <v>45900</v>
      </c>
      <c r="B844" t="s">
        <v>2949</v>
      </c>
      <c r="C844" s="44">
        <v>2500</v>
      </c>
      <c r="D844" s="11">
        <v>0</v>
      </c>
      <c r="E844" s="11">
        <f t="shared" si="13"/>
        <v>111100793.08999872</v>
      </c>
      <c r="F844" s="80" t="s">
        <v>19</v>
      </c>
      <c r="G844" s="80" t="s">
        <v>189</v>
      </c>
    </row>
    <row r="845" spans="1:9">
      <c r="A845" s="5">
        <v>45900</v>
      </c>
      <c r="B845" t="s">
        <v>901</v>
      </c>
      <c r="C845" s="11">
        <v>25000</v>
      </c>
      <c r="D845" s="11">
        <v>0</v>
      </c>
      <c r="E845" s="11">
        <f t="shared" si="13"/>
        <v>111075793.08999872</v>
      </c>
      <c r="F845" s="80" t="s">
        <v>19</v>
      </c>
      <c r="G845" s="80" t="s">
        <v>189</v>
      </c>
    </row>
    <row r="846" spans="1:9">
      <c r="A846" s="5">
        <v>45900</v>
      </c>
      <c r="B846" t="s">
        <v>1216</v>
      </c>
      <c r="C846" s="11">
        <v>0</v>
      </c>
      <c r="D846" s="11">
        <v>246490.66</v>
      </c>
      <c r="E846" s="11">
        <f t="shared" si="13"/>
        <v>111322283.74999872</v>
      </c>
      <c r="F846" s="80" t="s">
        <v>190</v>
      </c>
      <c r="G846" s="80" t="s">
        <v>79</v>
      </c>
    </row>
    <row r="847" spans="1:9">
      <c r="A847" s="5">
        <v>45900</v>
      </c>
      <c r="B847" t="s">
        <v>383</v>
      </c>
      <c r="C847" s="11">
        <v>49298.13</v>
      </c>
      <c r="D847" s="11">
        <v>0</v>
      </c>
      <c r="E847" s="11">
        <f t="shared" si="13"/>
        <v>111272985.61999872</v>
      </c>
      <c r="F847" s="80" t="s">
        <v>190</v>
      </c>
      <c r="G847" s="80" t="s">
        <v>79</v>
      </c>
    </row>
    <row r="848" spans="1:9">
      <c r="A848" s="5">
        <v>45903</v>
      </c>
      <c r="B848" t="s">
        <v>3526</v>
      </c>
      <c r="C848" s="11">
        <v>7700000</v>
      </c>
      <c r="D848" s="11">
        <v>0</v>
      </c>
      <c r="E848" s="11">
        <f t="shared" si="13"/>
        <v>103572985.61999872</v>
      </c>
      <c r="F848" s="80" t="s">
        <v>4</v>
      </c>
      <c r="G848" s="80" t="s">
        <v>5</v>
      </c>
      <c r="H848" s="40" t="s">
        <v>3440</v>
      </c>
    </row>
    <row r="849" spans="1:9">
      <c r="A849" s="5">
        <v>45903</v>
      </c>
      <c r="B849" t="s">
        <v>3527</v>
      </c>
      <c r="C849" s="11">
        <v>2500</v>
      </c>
      <c r="D849" s="11">
        <v>0</v>
      </c>
      <c r="E849" s="11">
        <f t="shared" si="13"/>
        <v>103570485.61999872</v>
      </c>
      <c r="F849" t="s">
        <v>19</v>
      </c>
      <c r="G849" t="s">
        <v>189</v>
      </c>
    </row>
    <row r="850" spans="1:9" ht="15.75">
      <c r="A850" s="5">
        <v>45910</v>
      </c>
      <c r="B850" t="s">
        <v>3528</v>
      </c>
      <c r="C850" s="11">
        <v>0</v>
      </c>
      <c r="D850" s="11">
        <v>23734572</v>
      </c>
      <c r="E850" s="11">
        <f t="shared" si="13"/>
        <v>127305057.61999872</v>
      </c>
      <c r="F850" s="80" t="s">
        <v>2140</v>
      </c>
      <c r="G850" s="80" t="s">
        <v>2141</v>
      </c>
      <c r="H850" s="154" t="s">
        <v>1622</v>
      </c>
      <c r="I850" s="37" t="s">
        <v>3410</v>
      </c>
    </row>
    <row r="851" spans="1:9">
      <c r="A851" s="5">
        <v>45910</v>
      </c>
      <c r="B851" t="s">
        <v>3529</v>
      </c>
      <c r="C851" s="11">
        <v>6861646</v>
      </c>
      <c r="D851" s="11">
        <v>0</v>
      </c>
      <c r="E851" s="11">
        <f t="shared" si="13"/>
        <v>120443411.61999872</v>
      </c>
      <c r="F851" t="s">
        <v>62</v>
      </c>
      <c r="G851" t="s">
        <v>251</v>
      </c>
      <c r="H851" t="s">
        <v>4563</v>
      </c>
    </row>
    <row r="852" spans="1:9">
      <c r="A852" s="5">
        <v>45910</v>
      </c>
      <c r="B852" t="s">
        <v>339</v>
      </c>
      <c r="C852" s="11">
        <v>17752909</v>
      </c>
      <c r="D852" s="11">
        <v>0</v>
      </c>
      <c r="E852" s="11">
        <f t="shared" si="13"/>
        <v>102690502.61999872</v>
      </c>
      <c r="F852" t="s">
        <v>62</v>
      </c>
      <c r="G852" t="s">
        <v>252</v>
      </c>
      <c r="H852" t="s">
        <v>4563</v>
      </c>
    </row>
    <row r="853" spans="1:9">
      <c r="A853" s="5">
        <v>45910</v>
      </c>
      <c r="B853" t="s">
        <v>7091</v>
      </c>
      <c r="C853" s="11">
        <v>18018018</v>
      </c>
      <c r="D853" s="11">
        <v>0</v>
      </c>
      <c r="E853" s="11">
        <f t="shared" si="13"/>
        <v>84672484.619998723</v>
      </c>
      <c r="F853" s="80" t="s">
        <v>8</v>
      </c>
      <c r="G853" s="80" t="s">
        <v>77</v>
      </c>
      <c r="H853" t="s">
        <v>4562</v>
      </c>
    </row>
    <row r="854" spans="1:9">
      <c r="A854" s="5">
        <v>45910</v>
      </c>
      <c r="B854" t="s">
        <v>7091</v>
      </c>
      <c r="C854" s="11">
        <v>1981982</v>
      </c>
      <c r="D854" s="11">
        <v>0</v>
      </c>
      <c r="E854" s="11">
        <f t="shared" si="13"/>
        <v>82690502.619998723</v>
      </c>
      <c r="F854" s="80" t="s">
        <v>920</v>
      </c>
      <c r="G854" t="s">
        <v>7856</v>
      </c>
      <c r="H854" s="40" t="s">
        <v>7032</v>
      </c>
      <c r="I854" t="s">
        <v>4562</v>
      </c>
    </row>
    <row r="855" spans="1:9" s="40" customFormat="1">
      <c r="A855" s="218">
        <v>45910</v>
      </c>
      <c r="B855" s="40" t="s">
        <v>7091</v>
      </c>
      <c r="C855" s="39">
        <v>0</v>
      </c>
      <c r="D855" s="39">
        <f>C853+C854-18198198</f>
        <v>1801802</v>
      </c>
      <c r="E855" s="11">
        <f t="shared" si="13"/>
        <v>84492304.619998723</v>
      </c>
      <c r="F855" s="40" t="s">
        <v>1400</v>
      </c>
      <c r="G855" s="40" t="s">
        <v>1400</v>
      </c>
      <c r="H855" s="40" t="s">
        <v>2170</v>
      </c>
      <c r="I855" s="40" t="s">
        <v>4562</v>
      </c>
    </row>
    <row r="856" spans="1:9">
      <c r="A856" s="5">
        <v>45910</v>
      </c>
      <c r="B856" t="s">
        <v>3530</v>
      </c>
      <c r="C856" s="11">
        <v>34700000</v>
      </c>
      <c r="D856" s="11">
        <v>0</v>
      </c>
      <c r="E856" s="11">
        <f t="shared" si="13"/>
        <v>49792304.619998723</v>
      </c>
      <c r="F856" s="80" t="s">
        <v>4</v>
      </c>
      <c r="G856" s="80" t="s">
        <v>5</v>
      </c>
      <c r="H856" t="s">
        <v>4066</v>
      </c>
    </row>
    <row r="857" spans="1:9">
      <c r="A857" s="5">
        <v>45910</v>
      </c>
      <c r="B857" t="s">
        <v>3531</v>
      </c>
      <c r="C857" s="11">
        <v>2500</v>
      </c>
      <c r="D857" s="11">
        <v>0</v>
      </c>
      <c r="E857" s="11">
        <f t="shared" si="13"/>
        <v>49789804.619998723</v>
      </c>
      <c r="F857" t="s">
        <v>19</v>
      </c>
      <c r="G857" t="s">
        <v>189</v>
      </c>
    </row>
    <row r="858" spans="1:9">
      <c r="A858" s="5">
        <v>45911</v>
      </c>
      <c r="B858" t="s">
        <v>3532</v>
      </c>
      <c r="C858" s="11">
        <v>0</v>
      </c>
      <c r="D858" s="11">
        <v>250000000</v>
      </c>
      <c r="E858" s="11">
        <f t="shared" si="13"/>
        <v>299789804.61999869</v>
      </c>
      <c r="F858" s="80" t="s">
        <v>920</v>
      </c>
      <c r="G858" t="s">
        <v>4244</v>
      </c>
    </row>
    <row r="859" spans="1:9">
      <c r="A859" s="5">
        <v>45911</v>
      </c>
      <c r="B859" t="s">
        <v>3533</v>
      </c>
      <c r="C859" s="11">
        <v>167321005</v>
      </c>
      <c r="D859" s="11">
        <v>0</v>
      </c>
      <c r="E859" s="11">
        <f t="shared" si="13"/>
        <v>132468799.61999869</v>
      </c>
      <c r="F859" s="80" t="s">
        <v>4</v>
      </c>
      <c r="G859" s="80" t="s">
        <v>5</v>
      </c>
      <c r="H859" t="s">
        <v>3440</v>
      </c>
    </row>
    <row r="860" spans="1:9">
      <c r="A860" s="5">
        <v>45911</v>
      </c>
      <c r="B860" t="s">
        <v>3534</v>
      </c>
      <c r="C860" s="11">
        <v>2500</v>
      </c>
      <c r="D860" s="11">
        <v>0</v>
      </c>
      <c r="E860" s="11">
        <f t="shared" si="13"/>
        <v>132466299.61999869</v>
      </c>
      <c r="F860" t="s">
        <v>19</v>
      </c>
      <c r="G860" t="s">
        <v>189</v>
      </c>
    </row>
    <row r="861" spans="1:9">
      <c r="A861" s="5">
        <v>45911</v>
      </c>
      <c r="B861" t="s">
        <v>3535</v>
      </c>
      <c r="C861" s="11">
        <v>100000</v>
      </c>
      <c r="D861" s="11">
        <v>0</v>
      </c>
      <c r="E861" s="11">
        <f t="shared" si="13"/>
        <v>132366299.61999869</v>
      </c>
      <c r="F861" s="80" t="s">
        <v>19</v>
      </c>
      <c r="G861" s="80" t="s">
        <v>189</v>
      </c>
    </row>
    <row r="862" spans="1:9">
      <c r="A862" s="5">
        <v>45911</v>
      </c>
      <c r="B862" t="s">
        <v>3536</v>
      </c>
      <c r="C862" s="11">
        <v>9002474</v>
      </c>
      <c r="D862" s="11">
        <v>0</v>
      </c>
      <c r="E862" s="11">
        <f t="shared" si="13"/>
        <v>123363825.61999869</v>
      </c>
      <c r="F862" t="s">
        <v>10</v>
      </c>
      <c r="G862" t="s">
        <v>446</v>
      </c>
      <c r="H862" t="s">
        <v>3471</v>
      </c>
      <c r="I862" t="s">
        <v>26</v>
      </c>
    </row>
    <row r="863" spans="1:9">
      <c r="A863" s="5">
        <v>45911</v>
      </c>
      <c r="B863" t="s">
        <v>3537</v>
      </c>
      <c r="C863" s="11">
        <v>2240000</v>
      </c>
      <c r="D863" s="11">
        <v>0</v>
      </c>
      <c r="E863" s="11">
        <f t="shared" si="13"/>
        <v>121123825.61999869</v>
      </c>
      <c r="F863" s="80" t="s">
        <v>4</v>
      </c>
      <c r="G863" s="80" t="s">
        <v>5</v>
      </c>
      <c r="H863" t="s">
        <v>3263</v>
      </c>
    </row>
    <row r="864" spans="1:9">
      <c r="A864" s="5">
        <v>45911</v>
      </c>
      <c r="B864" t="s">
        <v>3538</v>
      </c>
      <c r="C864" s="11">
        <v>2500</v>
      </c>
      <c r="D864" s="11">
        <v>0</v>
      </c>
      <c r="E864" s="11">
        <f t="shared" si="13"/>
        <v>121121325.61999869</v>
      </c>
      <c r="F864" t="s">
        <v>19</v>
      </c>
      <c r="G864" t="s">
        <v>189</v>
      </c>
    </row>
    <row r="865" spans="1:9">
      <c r="A865" s="5">
        <v>45911</v>
      </c>
      <c r="B865" t="s">
        <v>3539</v>
      </c>
      <c r="C865" s="11">
        <v>2831380</v>
      </c>
      <c r="D865" s="11">
        <v>0</v>
      </c>
      <c r="E865" s="11">
        <f t="shared" si="13"/>
        <v>118289945.61999869</v>
      </c>
      <c r="F865" s="80" t="s">
        <v>4</v>
      </c>
      <c r="G865" s="80" t="s">
        <v>5</v>
      </c>
      <c r="H865" t="s">
        <v>2322</v>
      </c>
    </row>
    <row r="866" spans="1:9">
      <c r="A866" s="5">
        <v>45911</v>
      </c>
      <c r="B866" t="s">
        <v>3540</v>
      </c>
      <c r="C866" s="11">
        <v>3522000</v>
      </c>
      <c r="D866" s="11">
        <v>0</v>
      </c>
      <c r="E866" s="11">
        <f t="shared" si="13"/>
        <v>114767945.61999869</v>
      </c>
      <c r="F866" t="s">
        <v>10</v>
      </c>
      <c r="G866" t="s">
        <v>446</v>
      </c>
      <c r="H866" s="40" t="s">
        <v>3283</v>
      </c>
      <c r="I866" t="s">
        <v>26</v>
      </c>
    </row>
    <row r="867" spans="1:9">
      <c r="A867" s="5">
        <v>45911</v>
      </c>
      <c r="B867" t="s">
        <v>3541</v>
      </c>
      <c r="C867" s="11">
        <v>2500</v>
      </c>
      <c r="D867" s="11">
        <v>0</v>
      </c>
      <c r="E867" s="11">
        <f t="shared" si="13"/>
        <v>114765445.61999869</v>
      </c>
      <c r="F867" t="s">
        <v>19</v>
      </c>
      <c r="G867" t="s">
        <v>189</v>
      </c>
    </row>
    <row r="868" spans="1:9">
      <c r="A868" s="5">
        <v>45911</v>
      </c>
      <c r="B868" t="s">
        <v>3542</v>
      </c>
      <c r="C868" s="11">
        <v>2867945</v>
      </c>
      <c r="D868" s="11">
        <v>0</v>
      </c>
      <c r="E868" s="11">
        <f t="shared" si="13"/>
        <v>111897500.61999869</v>
      </c>
      <c r="F868" t="s">
        <v>10</v>
      </c>
      <c r="G868" t="s">
        <v>446</v>
      </c>
      <c r="H868" s="40" t="s">
        <v>3283</v>
      </c>
      <c r="I868" t="s">
        <v>26</v>
      </c>
    </row>
    <row r="869" spans="1:9">
      <c r="A869" s="5">
        <v>45911</v>
      </c>
      <c r="B869" t="s">
        <v>3543</v>
      </c>
      <c r="C869" s="11">
        <v>2500</v>
      </c>
      <c r="D869" s="11">
        <v>0</v>
      </c>
      <c r="E869" s="11">
        <f t="shared" si="13"/>
        <v>111895000.61999869</v>
      </c>
      <c r="F869" t="s">
        <v>19</v>
      </c>
      <c r="G869" t="s">
        <v>189</v>
      </c>
    </row>
    <row r="870" spans="1:9">
      <c r="A870" s="5">
        <v>45911</v>
      </c>
      <c r="B870" t="s">
        <v>3544</v>
      </c>
      <c r="C870" s="11">
        <v>3560294</v>
      </c>
      <c r="D870" s="11">
        <v>0</v>
      </c>
      <c r="E870" s="11">
        <f t="shared" si="13"/>
        <v>108334706.61999869</v>
      </c>
      <c r="F870" t="s">
        <v>10</v>
      </c>
      <c r="G870" t="s">
        <v>446</v>
      </c>
      <c r="H870" t="s">
        <v>3471</v>
      </c>
      <c r="I870" t="s">
        <v>26</v>
      </c>
    </row>
    <row r="871" spans="1:9">
      <c r="A871" s="5">
        <v>45911</v>
      </c>
      <c r="B871" t="s">
        <v>3545</v>
      </c>
      <c r="C871" s="11">
        <v>894860</v>
      </c>
      <c r="D871" s="11">
        <v>0</v>
      </c>
      <c r="E871" s="11">
        <f t="shared" si="13"/>
        <v>107439846.61999869</v>
      </c>
      <c r="F871" s="80" t="s">
        <v>4</v>
      </c>
      <c r="G871" s="80" t="s">
        <v>5</v>
      </c>
      <c r="H871" s="40" t="s">
        <v>1622</v>
      </c>
    </row>
    <row r="872" spans="1:9">
      <c r="A872" s="5">
        <v>45911</v>
      </c>
      <c r="B872" t="s">
        <v>3546</v>
      </c>
      <c r="C872" s="11">
        <v>6500000</v>
      </c>
      <c r="D872" s="11">
        <v>0</v>
      </c>
      <c r="E872" s="11">
        <f t="shared" si="13"/>
        <v>100939846.61999869</v>
      </c>
      <c r="F872" s="80" t="s">
        <v>10</v>
      </c>
      <c r="G872" s="80" t="s">
        <v>446</v>
      </c>
      <c r="H872" s="40" t="s">
        <v>3470</v>
      </c>
      <c r="I872" t="s">
        <v>26</v>
      </c>
    </row>
    <row r="873" spans="1:9">
      <c r="A873" s="5">
        <v>45911</v>
      </c>
      <c r="B873" t="s">
        <v>3547</v>
      </c>
      <c r="C873" s="11">
        <v>2500</v>
      </c>
      <c r="D873" s="11">
        <v>0</v>
      </c>
      <c r="E873" s="11">
        <f t="shared" si="13"/>
        <v>100937346.61999869</v>
      </c>
      <c r="F873" t="s">
        <v>19</v>
      </c>
      <c r="G873" t="s">
        <v>189</v>
      </c>
    </row>
    <row r="874" spans="1:9">
      <c r="A874" s="5">
        <v>45911</v>
      </c>
      <c r="B874" t="s">
        <v>3548</v>
      </c>
      <c r="C874" s="11">
        <v>6002690</v>
      </c>
      <c r="D874" s="11">
        <v>0</v>
      </c>
      <c r="E874" s="11">
        <f t="shared" si="13"/>
        <v>94934656.619998693</v>
      </c>
      <c r="F874" t="s">
        <v>10</v>
      </c>
      <c r="G874" t="s">
        <v>446</v>
      </c>
      <c r="H874" s="40" t="s">
        <v>3283</v>
      </c>
      <c r="I874" t="s">
        <v>26</v>
      </c>
    </row>
    <row r="875" spans="1:9">
      <c r="A875" s="5">
        <v>45911</v>
      </c>
      <c r="B875" t="s">
        <v>3549</v>
      </c>
      <c r="C875" s="11">
        <v>2500</v>
      </c>
      <c r="D875" s="11">
        <v>0</v>
      </c>
      <c r="E875" s="11">
        <f t="shared" si="13"/>
        <v>94932156.619998693</v>
      </c>
      <c r="F875" t="s">
        <v>19</v>
      </c>
      <c r="G875" t="s">
        <v>189</v>
      </c>
    </row>
    <row r="876" spans="1:9">
      <c r="A876" s="5">
        <v>45911</v>
      </c>
      <c r="B876" t="s">
        <v>3550</v>
      </c>
      <c r="C876" s="11">
        <v>3980157</v>
      </c>
      <c r="D876" s="11">
        <v>0</v>
      </c>
      <c r="E876" s="11">
        <f t="shared" si="13"/>
        <v>90951999.619998693</v>
      </c>
      <c r="F876" s="80" t="s">
        <v>10</v>
      </c>
      <c r="G876" s="80" t="s">
        <v>446</v>
      </c>
      <c r="H876" t="s">
        <v>3474</v>
      </c>
      <c r="I876" t="s">
        <v>26</v>
      </c>
    </row>
    <row r="877" spans="1:9">
      <c r="A877" s="5">
        <v>45911</v>
      </c>
      <c r="B877" t="s">
        <v>3551</v>
      </c>
      <c r="C877" s="11">
        <v>6997284</v>
      </c>
      <c r="D877" s="11">
        <v>0</v>
      </c>
      <c r="E877" s="11">
        <f t="shared" si="13"/>
        <v>83954715.619998693</v>
      </c>
      <c r="F877" s="80" t="s">
        <v>10</v>
      </c>
      <c r="G877" s="80" t="s">
        <v>446</v>
      </c>
      <c r="H877" s="40" t="s">
        <v>3470</v>
      </c>
      <c r="I877" t="s">
        <v>26</v>
      </c>
    </row>
    <row r="878" spans="1:9">
      <c r="A878" s="5">
        <v>45911</v>
      </c>
      <c r="B878" t="s">
        <v>3552</v>
      </c>
      <c r="C878" s="11">
        <v>12938555</v>
      </c>
      <c r="D878" s="11">
        <v>0</v>
      </c>
      <c r="E878" s="11">
        <f t="shared" si="13"/>
        <v>71016160.619998693</v>
      </c>
      <c r="F878" t="s">
        <v>10</v>
      </c>
      <c r="G878" t="s">
        <v>446</v>
      </c>
      <c r="H878" s="40" t="s">
        <v>3283</v>
      </c>
      <c r="I878" t="s">
        <v>26</v>
      </c>
    </row>
    <row r="879" spans="1:9">
      <c r="A879" s="5">
        <v>45911</v>
      </c>
      <c r="B879" t="s">
        <v>3553</v>
      </c>
      <c r="C879" s="11">
        <v>2219105</v>
      </c>
      <c r="D879" s="11">
        <v>0</v>
      </c>
      <c r="E879" s="11">
        <f t="shared" si="13"/>
        <v>68797055.619998693</v>
      </c>
      <c r="F879" t="s">
        <v>10</v>
      </c>
      <c r="G879" t="s">
        <v>446</v>
      </c>
      <c r="H879" s="40" t="s">
        <v>3283</v>
      </c>
      <c r="I879" t="s">
        <v>26</v>
      </c>
    </row>
    <row r="880" spans="1:9">
      <c r="A880" s="5">
        <v>45914</v>
      </c>
      <c r="B880" t="s">
        <v>4569</v>
      </c>
      <c r="C880" s="11">
        <v>31782553</v>
      </c>
      <c r="D880" s="11">
        <v>0</v>
      </c>
      <c r="E880" s="11">
        <f t="shared" si="13"/>
        <v>37014502.619998693</v>
      </c>
      <c r="F880" s="80" t="s">
        <v>62</v>
      </c>
      <c r="G880" s="80" t="s">
        <v>23</v>
      </c>
      <c r="H880" t="s">
        <v>2184</v>
      </c>
    </row>
    <row r="881" spans="1:9" s="40" customFormat="1">
      <c r="A881" s="218">
        <v>45914</v>
      </c>
      <c r="B881" s="40" t="s">
        <v>4602</v>
      </c>
      <c r="C881" s="39">
        <v>1747800</v>
      </c>
      <c r="D881" s="39">
        <v>0</v>
      </c>
      <c r="E881" s="39">
        <f t="shared" si="13"/>
        <v>35266702.619998693</v>
      </c>
      <c r="F881" s="40" t="s">
        <v>920</v>
      </c>
      <c r="G881" s="40" t="s">
        <v>4242</v>
      </c>
      <c r="H881" s="40" t="s">
        <v>88</v>
      </c>
      <c r="I881" s="40" t="s">
        <v>4562</v>
      </c>
    </row>
    <row r="882" spans="1:9" s="40" customFormat="1">
      <c r="A882" s="218">
        <v>45914</v>
      </c>
      <c r="B882" s="40" t="s">
        <v>4602</v>
      </c>
      <c r="C882" s="39">
        <v>1801802</v>
      </c>
      <c r="D882" s="39">
        <v>0</v>
      </c>
      <c r="E882" s="11">
        <f t="shared" si="13"/>
        <v>33464900.619998693</v>
      </c>
      <c r="F882" s="40" t="s">
        <v>1400</v>
      </c>
      <c r="G882" s="40" t="s">
        <v>1400</v>
      </c>
      <c r="H882" s="40" t="s">
        <v>2170</v>
      </c>
      <c r="I882" s="40" t="s">
        <v>4562</v>
      </c>
    </row>
    <row r="883" spans="1:9" s="40" customFormat="1">
      <c r="A883" s="218">
        <v>45914</v>
      </c>
      <c r="B883" s="40" t="s">
        <v>4602</v>
      </c>
      <c r="C883" s="39">
        <v>92000</v>
      </c>
      <c r="D883" s="39">
        <v>0</v>
      </c>
      <c r="E883" s="11">
        <f t="shared" si="13"/>
        <v>33372900.619998693</v>
      </c>
      <c r="F883" s="40" t="s">
        <v>920</v>
      </c>
      <c r="G883" s="40" t="s">
        <v>4242</v>
      </c>
      <c r="H883" s="40" t="s">
        <v>88</v>
      </c>
      <c r="I883" s="40" t="s">
        <v>4562</v>
      </c>
    </row>
    <row r="884" spans="1:9" s="40" customFormat="1">
      <c r="A884" s="218">
        <v>45914</v>
      </c>
      <c r="B884" s="40" t="s">
        <v>4602</v>
      </c>
      <c r="C884" s="39">
        <v>13514</v>
      </c>
      <c r="D884" s="39">
        <v>0</v>
      </c>
      <c r="E884" s="11">
        <f t="shared" si="13"/>
        <v>33359386.619998693</v>
      </c>
      <c r="F884" s="40" t="s">
        <v>920</v>
      </c>
      <c r="G884" s="40" t="s">
        <v>4242</v>
      </c>
      <c r="H884" s="40" t="s">
        <v>88</v>
      </c>
      <c r="I884" s="40" t="s">
        <v>4562</v>
      </c>
    </row>
    <row r="885" spans="1:9" s="8" customFormat="1" ht="15.75">
      <c r="A885" s="13">
        <v>45914</v>
      </c>
      <c r="B885" s="8" t="s">
        <v>4602</v>
      </c>
      <c r="C885" s="54">
        <f>3672366-C881-C882-C883-C884</f>
        <v>17250</v>
      </c>
      <c r="D885" s="54">
        <v>0</v>
      </c>
      <c r="E885" s="11">
        <f t="shared" si="13"/>
        <v>33342136.619998693</v>
      </c>
      <c r="F885" s="8" t="s">
        <v>920</v>
      </c>
      <c r="G885" s="8" t="s">
        <v>4242</v>
      </c>
      <c r="H885" s="8" t="s">
        <v>88</v>
      </c>
      <c r="I885" s="8" t="s">
        <v>4562</v>
      </c>
    </row>
    <row r="886" spans="1:9" ht="15.75">
      <c r="A886" s="5">
        <v>45917</v>
      </c>
      <c r="B886" t="s">
        <v>382</v>
      </c>
      <c r="C886" s="11">
        <v>0</v>
      </c>
      <c r="D886" s="11">
        <v>62079416</v>
      </c>
      <c r="E886" s="11">
        <f t="shared" si="13"/>
        <v>95421552.619998693</v>
      </c>
      <c r="F886" s="80" t="s">
        <v>2140</v>
      </c>
      <c r="G886" s="80" t="s">
        <v>2141</v>
      </c>
      <c r="H886" s="154" t="s">
        <v>2321</v>
      </c>
      <c r="I886" s="37" t="s">
        <v>3442</v>
      </c>
    </row>
    <row r="887" spans="1:9">
      <c r="A887" s="5">
        <v>45917</v>
      </c>
      <c r="B887" t="s">
        <v>3554</v>
      </c>
      <c r="C887" s="11">
        <v>0</v>
      </c>
      <c r="D887" s="11">
        <v>250000000</v>
      </c>
      <c r="E887" s="11">
        <f t="shared" si="13"/>
        <v>345421552.61999869</v>
      </c>
      <c r="F887" s="80" t="s">
        <v>920</v>
      </c>
      <c r="G887" t="s">
        <v>4244</v>
      </c>
    </row>
    <row r="888" spans="1:9">
      <c r="A888" s="5">
        <v>45917</v>
      </c>
      <c r="B888" t="s">
        <v>3555</v>
      </c>
      <c r="C888" s="11">
        <v>2386300</v>
      </c>
      <c r="D888" s="11">
        <v>0</v>
      </c>
      <c r="E888" s="11">
        <f t="shared" si="13"/>
        <v>343035252.61999869</v>
      </c>
      <c r="F888" s="80" t="s">
        <v>8</v>
      </c>
      <c r="G888" t="s">
        <v>33</v>
      </c>
    </row>
    <row r="889" spans="1:9">
      <c r="A889" s="5">
        <v>45917</v>
      </c>
      <c r="B889" t="s">
        <v>3556</v>
      </c>
      <c r="C889" s="11">
        <v>31956085</v>
      </c>
      <c r="D889" s="11">
        <v>0</v>
      </c>
      <c r="E889" s="11">
        <f t="shared" si="13"/>
        <v>311079167.61999869</v>
      </c>
      <c r="F889" s="80" t="s">
        <v>10</v>
      </c>
      <c r="G889" s="80" t="s">
        <v>446</v>
      </c>
      <c r="H889" s="40" t="s">
        <v>3472</v>
      </c>
      <c r="I889" t="s">
        <v>26</v>
      </c>
    </row>
    <row r="890" spans="1:9">
      <c r="A890" s="5">
        <v>45917</v>
      </c>
      <c r="B890" t="s">
        <v>3557</v>
      </c>
      <c r="C890" s="11">
        <v>2500</v>
      </c>
      <c r="D890" s="11">
        <v>0</v>
      </c>
      <c r="E890" s="11">
        <f t="shared" si="13"/>
        <v>311076667.61999869</v>
      </c>
      <c r="F890" t="s">
        <v>19</v>
      </c>
      <c r="G890" t="s">
        <v>189</v>
      </c>
    </row>
    <row r="891" spans="1:9">
      <c r="A891" s="5">
        <v>45917</v>
      </c>
      <c r="B891" t="s">
        <v>3558</v>
      </c>
      <c r="C891" s="11">
        <v>69250581</v>
      </c>
      <c r="D891" s="11">
        <v>0</v>
      </c>
      <c r="E891" s="11">
        <f t="shared" si="13"/>
        <v>241826086.61999869</v>
      </c>
      <c r="F891" s="80" t="s">
        <v>4</v>
      </c>
      <c r="G891" s="80" t="s">
        <v>5</v>
      </c>
      <c r="H891" s="40" t="s">
        <v>4088</v>
      </c>
      <c r="I891" t="s">
        <v>26</v>
      </c>
    </row>
    <row r="892" spans="1:9">
      <c r="A892" s="5">
        <v>45917</v>
      </c>
      <c r="B892" t="s">
        <v>3559</v>
      </c>
      <c r="C892" s="11">
        <v>2500</v>
      </c>
      <c r="D892" s="11">
        <v>0</v>
      </c>
      <c r="E892" s="11">
        <f t="shared" si="13"/>
        <v>241823586.61999869</v>
      </c>
      <c r="F892" t="s">
        <v>19</v>
      </c>
      <c r="G892" t="s">
        <v>189</v>
      </c>
    </row>
    <row r="893" spans="1:9" ht="15.75">
      <c r="A893" s="5">
        <v>45918</v>
      </c>
      <c r="B893" t="s">
        <v>3560</v>
      </c>
      <c r="C893" s="11">
        <v>0</v>
      </c>
      <c r="D893" s="11">
        <v>1920900</v>
      </c>
      <c r="E893" s="11">
        <f t="shared" si="13"/>
        <v>243744486.61999869</v>
      </c>
      <c r="F893" s="80" t="s">
        <v>2140</v>
      </c>
      <c r="G893" s="80" t="s">
        <v>2141</v>
      </c>
      <c r="H893" s="154" t="s">
        <v>1376</v>
      </c>
      <c r="I893" t="s">
        <v>2225</v>
      </c>
    </row>
    <row r="894" spans="1:9">
      <c r="A894" s="5">
        <v>45918</v>
      </c>
      <c r="B894" t="s">
        <v>3561</v>
      </c>
      <c r="C894" s="11">
        <v>30016306</v>
      </c>
      <c r="D894" s="11">
        <v>0</v>
      </c>
      <c r="E894" s="11">
        <f t="shared" si="13"/>
        <v>213728180.61999869</v>
      </c>
      <c r="F894" s="80" t="s">
        <v>920</v>
      </c>
      <c r="G894" t="s">
        <v>4250</v>
      </c>
      <c r="H894" s="80" t="s">
        <v>51</v>
      </c>
    </row>
    <row r="895" spans="1:9" s="40" customFormat="1">
      <c r="A895" s="218">
        <v>45922</v>
      </c>
      <c r="B895" s="40" t="s">
        <v>382</v>
      </c>
      <c r="C895" s="39">
        <v>0</v>
      </c>
      <c r="D895" s="39">
        <v>125132608</v>
      </c>
      <c r="E895" s="11">
        <f t="shared" si="13"/>
        <v>338860788.61999869</v>
      </c>
      <c r="F895" s="40" t="s">
        <v>10</v>
      </c>
      <c r="G895" s="40" t="s">
        <v>18</v>
      </c>
      <c r="H895" s="40" t="s">
        <v>2424</v>
      </c>
      <c r="I895" s="40" t="s">
        <v>2383</v>
      </c>
    </row>
    <row r="896" spans="1:9">
      <c r="A896" s="5">
        <v>45923</v>
      </c>
      <c r="B896" t="s">
        <v>3562</v>
      </c>
      <c r="C896" s="11">
        <v>7599633</v>
      </c>
      <c r="D896" s="11">
        <v>0</v>
      </c>
      <c r="E896" s="11">
        <f t="shared" si="13"/>
        <v>331261155.61999869</v>
      </c>
      <c r="F896" t="s">
        <v>10</v>
      </c>
      <c r="G896" t="s">
        <v>446</v>
      </c>
      <c r="H896" s="40" t="s">
        <v>3283</v>
      </c>
      <c r="I896" t="s">
        <v>26</v>
      </c>
    </row>
    <row r="897" spans="1:9">
      <c r="A897" s="5">
        <v>45923</v>
      </c>
      <c r="B897" t="s">
        <v>3563</v>
      </c>
      <c r="C897" s="11">
        <v>98919120</v>
      </c>
      <c r="D897" s="11">
        <v>0</v>
      </c>
      <c r="E897" s="11">
        <f t="shared" si="13"/>
        <v>232342035.61999869</v>
      </c>
      <c r="F897" s="80" t="s">
        <v>10</v>
      </c>
      <c r="G897" s="80" t="s">
        <v>446</v>
      </c>
      <c r="H897" s="40" t="s">
        <v>3470</v>
      </c>
      <c r="I897" t="s">
        <v>26</v>
      </c>
    </row>
    <row r="898" spans="1:9">
      <c r="A898" s="5">
        <v>45923</v>
      </c>
      <c r="B898" t="s">
        <v>3564</v>
      </c>
      <c r="C898" s="11">
        <v>2500</v>
      </c>
      <c r="D898" s="11">
        <v>0</v>
      </c>
      <c r="E898" s="11">
        <f t="shared" si="13"/>
        <v>232339535.61999869</v>
      </c>
      <c r="F898" t="s">
        <v>19</v>
      </c>
      <c r="G898" t="s">
        <v>189</v>
      </c>
    </row>
    <row r="899" spans="1:9">
      <c r="A899" s="5">
        <v>45923</v>
      </c>
      <c r="B899" t="s">
        <v>3565</v>
      </c>
      <c r="C899" s="11">
        <v>3888028</v>
      </c>
      <c r="D899" s="11">
        <v>0</v>
      </c>
      <c r="E899" s="11">
        <f t="shared" si="13"/>
        <v>228451507.61999869</v>
      </c>
      <c r="F899" s="80" t="s">
        <v>10</v>
      </c>
      <c r="G899" s="80" t="s">
        <v>446</v>
      </c>
      <c r="H899" s="40" t="s">
        <v>3270</v>
      </c>
      <c r="I899" t="s">
        <v>26</v>
      </c>
    </row>
    <row r="900" spans="1:9">
      <c r="A900" s="5">
        <v>45923</v>
      </c>
      <c r="B900" t="s">
        <v>3566</v>
      </c>
      <c r="C900" s="11">
        <v>36299860</v>
      </c>
      <c r="D900" s="11">
        <v>0</v>
      </c>
      <c r="E900" s="11">
        <f t="shared" si="13"/>
        <v>192151647.61999869</v>
      </c>
      <c r="F900" s="80" t="s">
        <v>10</v>
      </c>
      <c r="G900" s="80" t="s">
        <v>446</v>
      </c>
      <c r="H900" s="40" t="s">
        <v>4086</v>
      </c>
      <c r="I900" t="s">
        <v>26</v>
      </c>
    </row>
    <row r="901" spans="1:9">
      <c r="A901" s="5">
        <v>45923</v>
      </c>
      <c r="B901" t="s">
        <v>3567</v>
      </c>
      <c r="C901" s="11">
        <v>7158280</v>
      </c>
      <c r="D901" s="11">
        <v>0</v>
      </c>
      <c r="E901" s="11">
        <f t="shared" si="13"/>
        <v>184993367.61999869</v>
      </c>
      <c r="F901" s="80" t="s">
        <v>4</v>
      </c>
      <c r="G901" s="80" t="s">
        <v>5</v>
      </c>
      <c r="H901" s="40" t="s">
        <v>3457</v>
      </c>
    </row>
    <row r="902" spans="1:9">
      <c r="A902" s="5">
        <v>45923</v>
      </c>
      <c r="B902" t="s">
        <v>3568</v>
      </c>
      <c r="C902" s="11">
        <v>1630000</v>
      </c>
      <c r="D902" s="11">
        <v>0</v>
      </c>
      <c r="E902" s="11">
        <f t="shared" ref="E902:E966" si="14">E901-C902+D902</f>
        <v>183363367.61999869</v>
      </c>
      <c r="F902" s="80" t="s">
        <v>10</v>
      </c>
      <c r="G902" s="80" t="s">
        <v>446</v>
      </c>
      <c r="H902" s="40" t="s">
        <v>3283</v>
      </c>
      <c r="I902" t="s">
        <v>26</v>
      </c>
    </row>
    <row r="903" spans="1:9">
      <c r="A903" s="5">
        <v>45923</v>
      </c>
      <c r="B903" t="s">
        <v>3569</v>
      </c>
      <c r="C903" s="11">
        <v>790600</v>
      </c>
      <c r="D903" s="39">
        <v>0</v>
      </c>
      <c r="E903" s="11">
        <f t="shared" si="14"/>
        <v>182572767.61999869</v>
      </c>
      <c r="F903" s="80" t="s">
        <v>1400</v>
      </c>
      <c r="G903" s="80" t="s">
        <v>1400</v>
      </c>
      <c r="H903" s="40" t="s">
        <v>7143</v>
      </c>
    </row>
    <row r="904" spans="1:9">
      <c r="A904" s="5">
        <v>45923</v>
      </c>
      <c r="B904" t="s">
        <v>3570</v>
      </c>
      <c r="C904" s="11">
        <v>7465336</v>
      </c>
      <c r="D904" s="11">
        <v>0</v>
      </c>
      <c r="E904" s="11">
        <f t="shared" si="14"/>
        <v>175107431.61999869</v>
      </c>
      <c r="F904" s="80" t="s">
        <v>4</v>
      </c>
      <c r="G904" s="80" t="s">
        <v>5</v>
      </c>
      <c r="H904" s="40" t="s">
        <v>4696</v>
      </c>
      <c r="I904" t="s">
        <v>26</v>
      </c>
    </row>
    <row r="905" spans="1:9">
      <c r="A905" s="5">
        <v>45923</v>
      </c>
      <c r="B905" t="s">
        <v>3571</v>
      </c>
      <c r="C905" s="11">
        <v>5808118</v>
      </c>
      <c r="D905" s="11">
        <v>0</v>
      </c>
      <c r="E905" s="11">
        <f t="shared" si="14"/>
        <v>169299313.61999869</v>
      </c>
      <c r="F905" t="s">
        <v>10</v>
      </c>
      <c r="G905" t="s">
        <v>446</v>
      </c>
      <c r="H905" s="40" t="s">
        <v>4087</v>
      </c>
      <c r="I905" t="s">
        <v>26</v>
      </c>
    </row>
    <row r="906" spans="1:9" s="40" customFormat="1">
      <c r="A906" s="218">
        <v>45923</v>
      </c>
      <c r="B906" s="40" t="s">
        <v>3525</v>
      </c>
      <c r="C906" s="39">
        <v>0</v>
      </c>
      <c r="D906" s="39">
        <v>197202929</v>
      </c>
      <c r="E906" s="11">
        <f t="shared" si="14"/>
        <v>366502242.61999869</v>
      </c>
      <c r="F906" s="40" t="s">
        <v>2140</v>
      </c>
      <c r="G906" s="40" t="s">
        <v>2141</v>
      </c>
      <c r="H906" s="40" t="s">
        <v>3457</v>
      </c>
      <c r="I906" s="40" t="s">
        <v>4060</v>
      </c>
    </row>
    <row r="907" spans="1:9">
      <c r="A907" s="5">
        <v>45926</v>
      </c>
      <c r="B907" t="s">
        <v>3572</v>
      </c>
      <c r="C907" s="11">
        <v>0</v>
      </c>
      <c r="D907" s="39">
        <v>790600</v>
      </c>
      <c r="E907" s="11">
        <f t="shared" si="14"/>
        <v>367292842.61999869</v>
      </c>
      <c r="F907" s="80" t="s">
        <v>1400</v>
      </c>
      <c r="G907" s="80" t="s">
        <v>1400</v>
      </c>
      <c r="H907" s="40" t="s">
        <v>7143</v>
      </c>
    </row>
    <row r="908" spans="1:9" s="40" customFormat="1">
      <c r="A908" s="218">
        <v>45929</v>
      </c>
      <c r="B908" s="40" t="s">
        <v>3573</v>
      </c>
      <c r="C908" s="39">
        <v>0</v>
      </c>
      <c r="D908" s="39">
        <v>114590809</v>
      </c>
      <c r="E908" s="11">
        <f t="shared" si="14"/>
        <v>481883651.61999869</v>
      </c>
      <c r="F908" s="40" t="s">
        <v>2140</v>
      </c>
      <c r="G908" s="40" t="s">
        <v>2141</v>
      </c>
      <c r="H908" s="40" t="s">
        <v>2313</v>
      </c>
      <c r="I908" s="40" t="s">
        <v>2312</v>
      </c>
    </row>
    <row r="909" spans="1:9">
      <c r="A909" s="5">
        <v>45929</v>
      </c>
      <c r="B909" t="s">
        <v>3574</v>
      </c>
      <c r="C909" s="11">
        <v>239150000</v>
      </c>
      <c r="D909" s="11">
        <v>0</v>
      </c>
      <c r="E909" s="11">
        <f t="shared" si="14"/>
        <v>242733651.61999869</v>
      </c>
      <c r="F909" s="80" t="s">
        <v>62</v>
      </c>
      <c r="G909" s="80" t="s">
        <v>23</v>
      </c>
    </row>
    <row r="910" spans="1:9">
      <c r="A910" s="5">
        <v>45929</v>
      </c>
      <c r="B910" t="s">
        <v>3575</v>
      </c>
      <c r="C910" s="11">
        <v>2500</v>
      </c>
      <c r="D910" s="11">
        <v>0</v>
      </c>
      <c r="E910" s="11">
        <f t="shared" si="14"/>
        <v>242731151.61999869</v>
      </c>
      <c r="F910" t="s">
        <v>19</v>
      </c>
      <c r="G910" t="s">
        <v>189</v>
      </c>
    </row>
    <row r="911" spans="1:9">
      <c r="A911" s="5">
        <v>45930</v>
      </c>
      <c r="B911" t="s">
        <v>3576</v>
      </c>
      <c r="C911" s="11">
        <v>7454920</v>
      </c>
      <c r="D911" s="11">
        <v>0</v>
      </c>
      <c r="E911" s="11">
        <f t="shared" si="14"/>
        <v>235276231.61999869</v>
      </c>
      <c r="F911" s="80" t="s">
        <v>4</v>
      </c>
      <c r="G911" s="80" t="s">
        <v>5</v>
      </c>
      <c r="H911" s="40" t="s">
        <v>433</v>
      </c>
    </row>
    <row r="912" spans="1:9">
      <c r="A912" s="5">
        <v>45930</v>
      </c>
      <c r="B912" t="s">
        <v>3577</v>
      </c>
      <c r="C912" s="11">
        <v>15940190</v>
      </c>
      <c r="D912" s="11">
        <v>0</v>
      </c>
      <c r="E912" s="11">
        <f t="shared" si="14"/>
        <v>219336041.61999869</v>
      </c>
      <c r="F912" t="s">
        <v>10</v>
      </c>
      <c r="G912" t="s">
        <v>446</v>
      </c>
      <c r="H912" s="40" t="s">
        <v>4084</v>
      </c>
      <c r="I912" t="s">
        <v>26</v>
      </c>
    </row>
    <row r="913" spans="1:9">
      <c r="A913" s="5">
        <v>45930</v>
      </c>
      <c r="B913" t="s">
        <v>3578</v>
      </c>
      <c r="C913" s="11">
        <v>2500</v>
      </c>
      <c r="D913" s="11">
        <v>0</v>
      </c>
      <c r="E913" s="11">
        <f t="shared" si="14"/>
        <v>219333541.61999869</v>
      </c>
      <c r="F913" t="s">
        <v>19</v>
      </c>
      <c r="G913" t="s">
        <v>189</v>
      </c>
    </row>
    <row r="914" spans="1:9">
      <c r="A914" s="5">
        <v>45930</v>
      </c>
      <c r="B914" t="s">
        <v>3579</v>
      </c>
      <c r="C914" s="11">
        <v>16000000</v>
      </c>
      <c r="D914" s="11">
        <v>0</v>
      </c>
      <c r="E914" s="11">
        <f t="shared" si="14"/>
        <v>203333541.61999869</v>
      </c>
      <c r="F914" t="s">
        <v>10</v>
      </c>
      <c r="G914" t="s">
        <v>446</v>
      </c>
      <c r="H914" s="40" t="s">
        <v>2314</v>
      </c>
      <c r="I914" t="s">
        <v>26</v>
      </c>
    </row>
    <row r="915" spans="1:9">
      <c r="A915" s="5">
        <v>45930</v>
      </c>
      <c r="B915" t="s">
        <v>3580</v>
      </c>
      <c r="C915" s="11">
        <v>2500</v>
      </c>
      <c r="D915" s="11">
        <v>0</v>
      </c>
      <c r="E915" s="11">
        <f t="shared" si="14"/>
        <v>203331041.61999869</v>
      </c>
      <c r="F915" t="s">
        <v>19</v>
      </c>
      <c r="G915" t="s">
        <v>189</v>
      </c>
    </row>
    <row r="916" spans="1:9">
      <c r="A916" s="5">
        <v>45930</v>
      </c>
      <c r="B916" t="s">
        <v>3581</v>
      </c>
      <c r="C916" s="11">
        <v>1421082</v>
      </c>
      <c r="D916" s="11">
        <v>0</v>
      </c>
      <c r="E916" s="11">
        <f t="shared" si="14"/>
        <v>201909959.61999869</v>
      </c>
      <c r="F916" s="80" t="s">
        <v>10</v>
      </c>
      <c r="G916" s="80" t="s">
        <v>446</v>
      </c>
      <c r="H916" s="40" t="s">
        <v>2323</v>
      </c>
      <c r="I916" t="s">
        <v>26</v>
      </c>
    </row>
    <row r="917" spans="1:9">
      <c r="A917" s="5">
        <v>45930</v>
      </c>
      <c r="B917" t="s">
        <v>3582</v>
      </c>
      <c r="C917" s="11">
        <v>2500</v>
      </c>
      <c r="D917" s="11">
        <v>0</v>
      </c>
      <c r="E917" s="11">
        <f t="shared" si="14"/>
        <v>201907459.61999869</v>
      </c>
      <c r="F917" t="s">
        <v>19</v>
      </c>
      <c r="G917" t="s">
        <v>189</v>
      </c>
    </row>
    <row r="918" spans="1:9">
      <c r="A918" s="5">
        <v>45930</v>
      </c>
      <c r="B918" t="s">
        <v>3583</v>
      </c>
      <c r="C918" s="11">
        <v>50000000</v>
      </c>
      <c r="D918" s="11">
        <v>0</v>
      </c>
      <c r="E918" s="11">
        <f t="shared" si="14"/>
        <v>151907459.61999869</v>
      </c>
      <c r="F918" t="s">
        <v>10</v>
      </c>
      <c r="G918" t="s">
        <v>446</v>
      </c>
      <c r="H918" t="s">
        <v>4092</v>
      </c>
      <c r="I918" t="s">
        <v>26</v>
      </c>
    </row>
    <row r="919" spans="1:9">
      <c r="A919" s="5">
        <v>45930</v>
      </c>
      <c r="B919" t="s">
        <v>3584</v>
      </c>
      <c r="C919" s="11">
        <v>2500</v>
      </c>
      <c r="D919" s="11">
        <v>0</v>
      </c>
      <c r="E919" s="11">
        <f t="shared" si="14"/>
        <v>151904959.61999869</v>
      </c>
      <c r="F919" t="s">
        <v>19</v>
      </c>
      <c r="G919" t="s">
        <v>189</v>
      </c>
    </row>
    <row r="920" spans="1:9">
      <c r="A920" s="5">
        <v>45930</v>
      </c>
      <c r="B920" t="s">
        <v>3585</v>
      </c>
      <c r="C920" s="11">
        <v>55000000</v>
      </c>
      <c r="D920" s="11">
        <v>0</v>
      </c>
      <c r="E920" s="11">
        <f t="shared" si="14"/>
        <v>96904959.619998693</v>
      </c>
      <c r="F920" s="80" t="s">
        <v>10</v>
      </c>
      <c r="G920" s="80" t="s">
        <v>446</v>
      </c>
      <c r="H920" s="40" t="s">
        <v>4091</v>
      </c>
      <c r="I920" t="s">
        <v>26</v>
      </c>
    </row>
    <row r="921" spans="1:9">
      <c r="A921" s="5">
        <v>45930</v>
      </c>
      <c r="B921" t="s">
        <v>3586</v>
      </c>
      <c r="C921" s="11">
        <v>2500</v>
      </c>
      <c r="D921" s="11">
        <v>0</v>
      </c>
      <c r="E921" s="11">
        <f t="shared" si="14"/>
        <v>96902459.619998693</v>
      </c>
      <c r="F921" t="s">
        <v>19</v>
      </c>
      <c r="G921" t="s">
        <v>189</v>
      </c>
    </row>
    <row r="922" spans="1:9">
      <c r="A922" s="5">
        <v>45930</v>
      </c>
      <c r="B922" t="s">
        <v>3587</v>
      </c>
      <c r="C922" s="11">
        <v>78259000</v>
      </c>
      <c r="D922" s="11">
        <v>0</v>
      </c>
      <c r="E922" s="11">
        <f t="shared" si="14"/>
        <v>18643459.619998693</v>
      </c>
      <c r="F922" s="80" t="s">
        <v>4</v>
      </c>
      <c r="G922" s="80" t="s">
        <v>5</v>
      </c>
      <c r="H922" s="40" t="s">
        <v>4098</v>
      </c>
    </row>
    <row r="923" spans="1:9">
      <c r="A923" s="5">
        <v>45930</v>
      </c>
      <c r="B923" t="s">
        <v>3588</v>
      </c>
      <c r="C923" s="11">
        <v>2500</v>
      </c>
      <c r="D923" s="11">
        <v>0</v>
      </c>
      <c r="E923" s="11">
        <f t="shared" si="14"/>
        <v>18640959.619998693</v>
      </c>
      <c r="F923" t="s">
        <v>19</v>
      </c>
      <c r="G923" t="s">
        <v>189</v>
      </c>
    </row>
    <row r="924" spans="1:9">
      <c r="A924" s="5">
        <v>45930</v>
      </c>
      <c r="B924" t="s">
        <v>2552</v>
      </c>
      <c r="C924" s="11">
        <v>0</v>
      </c>
      <c r="D924" s="11">
        <v>91100000</v>
      </c>
      <c r="E924" s="11">
        <f t="shared" si="14"/>
        <v>109740959.61999869</v>
      </c>
      <c r="F924" s="80" t="s">
        <v>920</v>
      </c>
      <c r="G924" t="s">
        <v>4251</v>
      </c>
    </row>
    <row r="925" spans="1:9">
      <c r="A925" s="5">
        <v>45930</v>
      </c>
      <c r="B925" t="s">
        <v>3589</v>
      </c>
      <c r="C925" s="11">
        <v>42500000</v>
      </c>
      <c r="D925" s="11">
        <v>0</v>
      </c>
      <c r="E925" s="11">
        <f t="shared" si="14"/>
        <v>67240959.619998693</v>
      </c>
      <c r="F925" s="80" t="s">
        <v>4</v>
      </c>
      <c r="G925" s="80" t="s">
        <v>5</v>
      </c>
      <c r="H925" s="40" t="s">
        <v>4080</v>
      </c>
    </row>
    <row r="926" spans="1:9">
      <c r="A926" s="5">
        <v>45930</v>
      </c>
      <c r="B926" t="s">
        <v>1217</v>
      </c>
      <c r="C926" s="11">
        <v>25000</v>
      </c>
      <c r="D926" s="11">
        <v>0</v>
      </c>
      <c r="E926" s="11">
        <f t="shared" si="14"/>
        <v>67215959.619998693</v>
      </c>
      <c r="F926" s="80" t="s">
        <v>19</v>
      </c>
      <c r="G926" s="80" t="s">
        <v>189</v>
      </c>
    </row>
    <row r="927" spans="1:9">
      <c r="A927" s="5">
        <v>45930</v>
      </c>
      <c r="B927" t="s">
        <v>1216</v>
      </c>
      <c r="C927" s="11">
        <v>0</v>
      </c>
      <c r="D927" s="11">
        <v>69026.91</v>
      </c>
      <c r="E927" s="11">
        <f t="shared" si="14"/>
        <v>67284986.52999869</v>
      </c>
      <c r="F927" s="80" t="s">
        <v>190</v>
      </c>
      <c r="G927" s="80" t="s">
        <v>79</v>
      </c>
    </row>
    <row r="928" spans="1:9">
      <c r="A928" s="5">
        <v>45930</v>
      </c>
      <c r="B928" t="s">
        <v>383</v>
      </c>
      <c r="C928" s="11">
        <v>13805.38</v>
      </c>
      <c r="D928" s="11">
        <v>0</v>
      </c>
      <c r="E928" s="11">
        <f t="shared" si="14"/>
        <v>67271181.149998695</v>
      </c>
      <c r="F928" s="80" t="s">
        <v>190</v>
      </c>
      <c r="G928" s="80" t="s">
        <v>79</v>
      </c>
    </row>
    <row r="929" spans="1:9">
      <c r="A929" s="5">
        <v>45931</v>
      </c>
      <c r="B929" t="s">
        <v>338</v>
      </c>
      <c r="C929" s="11">
        <v>0</v>
      </c>
      <c r="D929" s="11">
        <v>39988445</v>
      </c>
      <c r="E929" s="11">
        <f t="shared" si="14"/>
        <v>107259626.14999869</v>
      </c>
      <c r="F929" s="80" t="s">
        <v>2140</v>
      </c>
      <c r="G929" s="80" t="s">
        <v>2141</v>
      </c>
      <c r="H929" t="s">
        <v>3460</v>
      </c>
      <c r="I929" t="s">
        <v>3459</v>
      </c>
    </row>
    <row r="930" spans="1:9">
      <c r="A930" s="5">
        <v>45931</v>
      </c>
      <c r="B930" t="s">
        <v>4697</v>
      </c>
      <c r="C930" s="11">
        <v>9896540</v>
      </c>
      <c r="D930" s="11">
        <v>0</v>
      </c>
      <c r="E930" s="11">
        <f t="shared" si="14"/>
        <v>97363086.149998695</v>
      </c>
      <c r="F930" t="s">
        <v>10</v>
      </c>
      <c r="G930" t="s">
        <v>446</v>
      </c>
      <c r="H930" s="40" t="s">
        <v>4094</v>
      </c>
      <c r="I930" t="s">
        <v>26</v>
      </c>
    </row>
    <row r="931" spans="1:9">
      <c r="A931" s="5">
        <v>45931</v>
      </c>
      <c r="B931" t="s">
        <v>4698</v>
      </c>
      <c r="C931" s="11">
        <v>11000000</v>
      </c>
      <c r="D931" s="11">
        <v>0</v>
      </c>
      <c r="E931" s="11">
        <f t="shared" si="14"/>
        <v>86363086.149998695</v>
      </c>
      <c r="F931" s="80" t="s">
        <v>10</v>
      </c>
      <c r="G931" s="80" t="s">
        <v>446</v>
      </c>
      <c r="H931" s="40" t="s">
        <v>4085</v>
      </c>
      <c r="I931" t="s">
        <v>26</v>
      </c>
    </row>
    <row r="932" spans="1:9">
      <c r="A932" s="5">
        <v>45931</v>
      </c>
      <c r="B932" t="s">
        <v>3678</v>
      </c>
      <c r="C932" s="11">
        <v>2500</v>
      </c>
      <c r="D932" s="11">
        <v>0</v>
      </c>
      <c r="E932" s="11">
        <f t="shared" si="14"/>
        <v>86360586.149998695</v>
      </c>
      <c r="F932" t="s">
        <v>19</v>
      </c>
      <c r="G932" t="s">
        <v>189</v>
      </c>
    </row>
    <row r="933" spans="1:9">
      <c r="A933" s="5">
        <v>45931</v>
      </c>
      <c r="B933" t="s">
        <v>4699</v>
      </c>
      <c r="C933" s="11">
        <v>11192640</v>
      </c>
      <c r="D933" s="11">
        <v>0</v>
      </c>
      <c r="E933" s="11">
        <f t="shared" si="14"/>
        <v>75167946.149998695</v>
      </c>
      <c r="F933" t="s">
        <v>10</v>
      </c>
      <c r="G933" t="s">
        <v>446</v>
      </c>
      <c r="H933" s="40" t="s">
        <v>4094</v>
      </c>
      <c r="I933" t="s">
        <v>26</v>
      </c>
    </row>
    <row r="934" spans="1:9">
      <c r="A934" s="5">
        <v>45931</v>
      </c>
      <c r="B934" t="s">
        <v>3679</v>
      </c>
      <c r="C934" s="11">
        <v>2500</v>
      </c>
      <c r="D934" s="11">
        <v>0</v>
      </c>
      <c r="E934" s="11">
        <f t="shared" si="14"/>
        <v>75165446.149998695</v>
      </c>
      <c r="F934" t="s">
        <v>19</v>
      </c>
      <c r="G934" t="s">
        <v>189</v>
      </c>
    </row>
    <row r="935" spans="1:9">
      <c r="A935" s="5">
        <v>45931</v>
      </c>
      <c r="B935" t="s">
        <v>4700</v>
      </c>
      <c r="C935" s="11">
        <v>20850000</v>
      </c>
      <c r="D935" s="11">
        <v>0</v>
      </c>
      <c r="E935" s="11">
        <f t="shared" si="14"/>
        <v>54315446.149998695</v>
      </c>
      <c r="F935" s="80" t="s">
        <v>4</v>
      </c>
      <c r="G935" s="80" t="s">
        <v>5</v>
      </c>
      <c r="H935" s="40" t="s">
        <v>3135</v>
      </c>
    </row>
    <row r="936" spans="1:9">
      <c r="A936" s="5">
        <v>45931</v>
      </c>
      <c r="B936" t="s">
        <v>3680</v>
      </c>
      <c r="C936" s="11">
        <v>2500</v>
      </c>
      <c r="D936" s="11">
        <v>0</v>
      </c>
      <c r="E936" s="11">
        <f t="shared" si="14"/>
        <v>54312946.149998695</v>
      </c>
      <c r="F936" t="s">
        <v>19</v>
      </c>
      <c r="G936" t="s">
        <v>189</v>
      </c>
    </row>
    <row r="937" spans="1:9">
      <c r="A937" s="5">
        <v>45931</v>
      </c>
      <c r="B937" t="s">
        <v>3908</v>
      </c>
      <c r="C937" s="11">
        <v>0</v>
      </c>
      <c r="D937" s="11">
        <v>250000000</v>
      </c>
      <c r="E937" s="11">
        <f t="shared" si="14"/>
        <v>304312946.14999866</v>
      </c>
      <c r="F937" s="80" t="s">
        <v>920</v>
      </c>
      <c r="G937" t="s">
        <v>4241</v>
      </c>
    </row>
    <row r="938" spans="1:9">
      <c r="A938" s="5">
        <v>45931</v>
      </c>
      <c r="B938" t="s">
        <v>3908</v>
      </c>
      <c r="C938" s="11">
        <v>0</v>
      </c>
      <c r="D938" s="11">
        <v>250000000</v>
      </c>
      <c r="E938" s="11">
        <f t="shared" si="14"/>
        <v>554312946.14999866</v>
      </c>
      <c r="F938" s="80" t="s">
        <v>920</v>
      </c>
      <c r="G938" t="s">
        <v>4241</v>
      </c>
    </row>
    <row r="939" spans="1:9">
      <c r="A939" s="5">
        <v>45931</v>
      </c>
      <c r="B939" t="s">
        <v>3908</v>
      </c>
      <c r="C939" s="11">
        <v>0</v>
      </c>
      <c r="D939" s="11">
        <v>250000000</v>
      </c>
      <c r="E939" s="11">
        <f t="shared" si="14"/>
        <v>804312946.14999866</v>
      </c>
      <c r="F939" s="80" t="s">
        <v>920</v>
      </c>
      <c r="G939" t="s">
        <v>4241</v>
      </c>
    </row>
    <row r="940" spans="1:9">
      <c r="A940" s="5">
        <v>45931</v>
      </c>
      <c r="B940" t="s">
        <v>3908</v>
      </c>
      <c r="C940" s="11">
        <v>0</v>
      </c>
      <c r="D940" s="11">
        <v>50000000</v>
      </c>
      <c r="E940" s="11">
        <f t="shared" si="14"/>
        <v>854312946.14999866</v>
      </c>
      <c r="F940" s="80" t="s">
        <v>920</v>
      </c>
      <c r="G940" t="s">
        <v>4241</v>
      </c>
    </row>
    <row r="941" spans="1:9">
      <c r="A941" s="5">
        <v>45931</v>
      </c>
      <c r="B941" t="s">
        <v>4029</v>
      </c>
      <c r="C941" s="11">
        <v>0</v>
      </c>
      <c r="D941" s="44">
        <v>250000000</v>
      </c>
      <c r="E941" s="11">
        <f t="shared" si="14"/>
        <v>1104312946.1499987</v>
      </c>
      <c r="F941" s="80" t="s">
        <v>6</v>
      </c>
      <c r="G941" s="80" t="s">
        <v>24</v>
      </c>
      <c r="H941" t="s">
        <v>25</v>
      </c>
    </row>
    <row r="942" spans="1:9">
      <c r="A942" s="5">
        <v>45931</v>
      </c>
      <c r="B942" t="s">
        <v>4701</v>
      </c>
      <c r="C942" s="11">
        <v>20000000</v>
      </c>
      <c r="D942" s="11">
        <v>0</v>
      </c>
      <c r="E942" s="11">
        <f t="shared" si="14"/>
        <v>1084312946.1499987</v>
      </c>
      <c r="F942" s="80" t="s">
        <v>4</v>
      </c>
      <c r="G942" s="80" t="s">
        <v>5</v>
      </c>
      <c r="H942" s="40" t="s">
        <v>4098</v>
      </c>
    </row>
    <row r="943" spans="1:9">
      <c r="A943" s="5">
        <v>45931</v>
      </c>
      <c r="B943" t="s">
        <v>3681</v>
      </c>
      <c r="C943" s="11">
        <v>2500</v>
      </c>
      <c r="D943" s="11">
        <v>0</v>
      </c>
      <c r="E943" s="11">
        <f t="shared" si="14"/>
        <v>1084310446.1499987</v>
      </c>
      <c r="F943" t="s">
        <v>19</v>
      </c>
      <c r="G943" t="s">
        <v>189</v>
      </c>
    </row>
    <row r="944" spans="1:9">
      <c r="A944" s="5">
        <v>45932</v>
      </c>
      <c r="B944" t="s">
        <v>4238</v>
      </c>
      <c r="C944" s="11">
        <v>0</v>
      </c>
      <c r="D944" s="11">
        <v>1100000000</v>
      </c>
      <c r="E944" s="11">
        <f t="shared" si="14"/>
        <v>2184310446.1499987</v>
      </c>
      <c r="F944" s="80" t="s">
        <v>920</v>
      </c>
      <c r="G944" t="s">
        <v>4245</v>
      </c>
    </row>
    <row r="945" spans="1:8">
      <c r="A945" s="5">
        <v>45932</v>
      </c>
      <c r="B945" t="s">
        <v>4702</v>
      </c>
      <c r="C945" s="11">
        <v>2000000000</v>
      </c>
      <c r="D945" s="11">
        <v>0</v>
      </c>
      <c r="E945" s="11">
        <f t="shared" si="14"/>
        <v>184310446.14999866</v>
      </c>
      <c r="F945" s="80" t="s">
        <v>4</v>
      </c>
      <c r="G945" s="80" t="s">
        <v>5</v>
      </c>
      <c r="H945" t="s">
        <v>4080</v>
      </c>
    </row>
    <row r="946" spans="1:8">
      <c r="A946" s="5">
        <v>45932</v>
      </c>
      <c r="B946" t="s">
        <v>3898</v>
      </c>
      <c r="C946" s="11">
        <v>60000000</v>
      </c>
      <c r="D946" s="11">
        <v>0</v>
      </c>
      <c r="E946" s="11">
        <f t="shared" si="14"/>
        <v>124310446.14999866</v>
      </c>
      <c r="F946" s="80" t="s">
        <v>4</v>
      </c>
      <c r="G946" s="80" t="s">
        <v>5</v>
      </c>
      <c r="H946" t="s">
        <v>4080</v>
      </c>
    </row>
    <row r="947" spans="1:8">
      <c r="A947" s="5">
        <v>45932</v>
      </c>
      <c r="B947" t="s">
        <v>4029</v>
      </c>
      <c r="C947" s="11">
        <v>0</v>
      </c>
      <c r="D947" s="11">
        <v>250000000</v>
      </c>
      <c r="E947" s="11">
        <f t="shared" si="14"/>
        <v>374310446.14999866</v>
      </c>
      <c r="F947" s="80" t="s">
        <v>6</v>
      </c>
      <c r="G947" s="80" t="s">
        <v>24</v>
      </c>
      <c r="H947" t="s">
        <v>25</v>
      </c>
    </row>
    <row r="948" spans="1:8">
      <c r="A948" s="5">
        <v>45932</v>
      </c>
      <c r="B948" t="s">
        <v>3917</v>
      </c>
      <c r="C948" s="11">
        <v>0</v>
      </c>
      <c r="D948" s="11">
        <v>200000000</v>
      </c>
      <c r="E948" s="11">
        <f t="shared" si="14"/>
        <v>574310446.14999866</v>
      </c>
      <c r="F948" s="80" t="s">
        <v>920</v>
      </c>
      <c r="G948" t="s">
        <v>4253</v>
      </c>
    </row>
    <row r="949" spans="1:8">
      <c r="A949" s="5">
        <v>45932</v>
      </c>
      <c r="B949" t="s">
        <v>3917</v>
      </c>
      <c r="C949" s="11">
        <v>0</v>
      </c>
      <c r="D949" s="11">
        <v>250000000</v>
      </c>
      <c r="E949" s="11">
        <f t="shared" si="14"/>
        <v>824310446.14999866</v>
      </c>
      <c r="F949" s="80" t="s">
        <v>920</v>
      </c>
      <c r="G949" t="s">
        <v>4253</v>
      </c>
    </row>
    <row r="950" spans="1:8">
      <c r="A950" s="5">
        <v>45932</v>
      </c>
      <c r="B950" t="s">
        <v>3917</v>
      </c>
      <c r="C950" s="11">
        <v>0</v>
      </c>
      <c r="D950" s="11">
        <v>250000000</v>
      </c>
      <c r="E950" s="11">
        <f t="shared" si="14"/>
        <v>1074310446.1499987</v>
      </c>
      <c r="F950" s="80" t="s">
        <v>920</v>
      </c>
      <c r="G950" t="s">
        <v>4253</v>
      </c>
    </row>
    <row r="951" spans="1:8">
      <c r="A951" s="5">
        <v>45932</v>
      </c>
      <c r="B951" t="s">
        <v>4703</v>
      </c>
      <c r="C951" s="11">
        <v>1000000000</v>
      </c>
      <c r="D951" s="11">
        <v>0</v>
      </c>
      <c r="E951" s="11">
        <f t="shared" si="14"/>
        <v>74310446.149998665</v>
      </c>
      <c r="F951" s="80" t="s">
        <v>4</v>
      </c>
      <c r="G951" s="80" t="s">
        <v>5</v>
      </c>
      <c r="H951" t="s">
        <v>4080</v>
      </c>
    </row>
    <row r="952" spans="1:8">
      <c r="A952" s="5">
        <v>45933</v>
      </c>
      <c r="B952" t="s">
        <v>3908</v>
      </c>
      <c r="C952" s="11">
        <v>0</v>
      </c>
      <c r="D952" s="11">
        <v>15000000</v>
      </c>
      <c r="E952" s="11">
        <f t="shared" si="14"/>
        <v>89310446.149998665</v>
      </c>
      <c r="F952" s="80" t="s">
        <v>920</v>
      </c>
      <c r="G952" t="s">
        <v>4241</v>
      </c>
    </row>
    <row r="953" spans="1:8">
      <c r="A953" s="5">
        <v>45933</v>
      </c>
      <c r="B953" t="s">
        <v>4030</v>
      </c>
      <c r="C953" s="11">
        <v>88005200</v>
      </c>
      <c r="D953" s="11">
        <v>0</v>
      </c>
      <c r="E953" s="11">
        <f t="shared" si="14"/>
        <v>1305246.1499986649</v>
      </c>
      <c r="F953" s="80" t="s">
        <v>920</v>
      </c>
      <c r="G953" t="s">
        <v>4250</v>
      </c>
      <c r="H953" t="s">
        <v>368</v>
      </c>
    </row>
    <row r="954" spans="1:8">
      <c r="A954" s="5">
        <v>45933</v>
      </c>
      <c r="B954" t="s">
        <v>3899</v>
      </c>
      <c r="C954" s="11">
        <v>2500</v>
      </c>
      <c r="D954" s="11">
        <v>0</v>
      </c>
      <c r="E954" s="11">
        <f t="shared" si="14"/>
        <v>1302746.1499986649</v>
      </c>
      <c r="F954" t="s">
        <v>19</v>
      </c>
      <c r="G954" t="s">
        <v>189</v>
      </c>
    </row>
    <row r="955" spans="1:8">
      <c r="A955" s="5">
        <v>45933</v>
      </c>
      <c r="B955" t="s">
        <v>3900</v>
      </c>
      <c r="C955" s="11">
        <v>533170</v>
      </c>
      <c r="D955" s="11">
        <v>0</v>
      </c>
      <c r="E955" s="11">
        <f t="shared" si="14"/>
        <v>769576.14999866486</v>
      </c>
      <c r="F955" s="80" t="s">
        <v>920</v>
      </c>
      <c r="G955" t="s">
        <v>4250</v>
      </c>
      <c r="H955" t="s">
        <v>100</v>
      </c>
    </row>
    <row r="956" spans="1:8">
      <c r="A956" s="5">
        <v>45933</v>
      </c>
      <c r="B956" t="s">
        <v>3682</v>
      </c>
      <c r="C956" s="11">
        <v>2500</v>
      </c>
      <c r="D956" s="11">
        <v>0</v>
      </c>
      <c r="E956" s="11">
        <f t="shared" si="14"/>
        <v>767076.14999866486</v>
      </c>
      <c r="F956" t="s">
        <v>19</v>
      </c>
      <c r="G956" t="s">
        <v>189</v>
      </c>
    </row>
    <row r="957" spans="1:8">
      <c r="A957" s="5">
        <v>45936</v>
      </c>
      <c r="B957" t="s">
        <v>3901</v>
      </c>
      <c r="C957" s="11">
        <v>0</v>
      </c>
      <c r="D957" s="11">
        <v>15000000</v>
      </c>
      <c r="E957" s="11">
        <f t="shared" si="14"/>
        <v>15767076.149998665</v>
      </c>
      <c r="F957" s="80" t="s">
        <v>6</v>
      </c>
      <c r="G957" s="80" t="s">
        <v>24</v>
      </c>
      <c r="H957" t="s">
        <v>25</v>
      </c>
    </row>
    <row r="958" spans="1:8">
      <c r="A958" s="5">
        <v>45936</v>
      </c>
      <c r="B958" t="s">
        <v>3902</v>
      </c>
      <c r="C958" s="11">
        <v>14400000</v>
      </c>
      <c r="D958" s="11">
        <v>0</v>
      </c>
      <c r="E958" s="11">
        <f t="shared" si="14"/>
        <v>1367076.1499986649</v>
      </c>
      <c r="F958" s="80" t="s">
        <v>4</v>
      </c>
      <c r="G958" s="80" t="s">
        <v>5</v>
      </c>
      <c r="H958" s="40" t="s">
        <v>4098</v>
      </c>
    </row>
    <row r="959" spans="1:8">
      <c r="A959" s="5">
        <v>45936</v>
      </c>
      <c r="B959" t="s">
        <v>3903</v>
      </c>
      <c r="C959" s="11">
        <v>2500</v>
      </c>
      <c r="D959" s="11">
        <v>0</v>
      </c>
      <c r="E959" s="11">
        <f t="shared" si="14"/>
        <v>1364576.1499986649</v>
      </c>
      <c r="F959" t="s">
        <v>19</v>
      </c>
      <c r="G959" t="s">
        <v>189</v>
      </c>
    </row>
    <row r="960" spans="1:8" s="40" customFormat="1">
      <c r="A960" s="218">
        <v>45936</v>
      </c>
      <c r="B960" s="40" t="s">
        <v>6373</v>
      </c>
      <c r="C960" s="39">
        <v>0</v>
      </c>
      <c r="D960" s="39">
        <v>360200000</v>
      </c>
      <c r="E960" s="11">
        <f t="shared" si="14"/>
        <v>361564576.14999866</v>
      </c>
      <c r="F960" s="40" t="s">
        <v>4</v>
      </c>
      <c r="G960" s="40" t="s">
        <v>5</v>
      </c>
      <c r="H960" s="40" t="s">
        <v>4080</v>
      </c>
    </row>
    <row r="961" spans="1:9">
      <c r="A961" s="5">
        <v>45936</v>
      </c>
      <c r="B961" t="s">
        <v>2072</v>
      </c>
      <c r="C961" s="11">
        <v>6861646</v>
      </c>
      <c r="D961" s="11">
        <v>0</v>
      </c>
      <c r="E961" s="11">
        <f t="shared" si="14"/>
        <v>354702930.14999866</v>
      </c>
      <c r="F961" t="s">
        <v>62</v>
      </c>
      <c r="G961" t="s">
        <v>251</v>
      </c>
      <c r="H961" t="s">
        <v>4564</v>
      </c>
    </row>
    <row r="962" spans="1:9">
      <c r="A962" s="5">
        <v>45936</v>
      </c>
      <c r="B962" t="s">
        <v>3904</v>
      </c>
      <c r="C962" s="11">
        <v>17752909</v>
      </c>
      <c r="D962" s="11">
        <v>0</v>
      </c>
      <c r="E962" s="11">
        <f t="shared" si="14"/>
        <v>336950021.14999866</v>
      </c>
      <c r="F962" t="s">
        <v>62</v>
      </c>
      <c r="G962" t="s">
        <v>252</v>
      </c>
      <c r="H962" t="s">
        <v>4564</v>
      </c>
    </row>
    <row r="963" spans="1:9">
      <c r="A963" s="5">
        <v>45936</v>
      </c>
      <c r="B963" t="s">
        <v>7110</v>
      </c>
      <c r="C963" s="11">
        <f>218750000-129062500</f>
        <v>89687500</v>
      </c>
      <c r="D963" s="11">
        <v>0</v>
      </c>
      <c r="E963" s="11">
        <f t="shared" si="14"/>
        <v>247262521.14999866</v>
      </c>
      <c r="F963" s="80" t="s">
        <v>4</v>
      </c>
      <c r="G963" s="80" t="s">
        <v>5</v>
      </c>
      <c r="H963" s="40" t="s">
        <v>4098</v>
      </c>
    </row>
    <row r="964" spans="1:9">
      <c r="A964" s="5">
        <v>45936</v>
      </c>
      <c r="B964" t="s">
        <v>7110</v>
      </c>
      <c r="C964" s="11">
        <v>24062500</v>
      </c>
      <c r="D964" s="11">
        <v>0</v>
      </c>
      <c r="E964" s="11">
        <f t="shared" si="14"/>
        <v>223200021.14999866</v>
      </c>
      <c r="F964" s="80" t="s">
        <v>920</v>
      </c>
      <c r="G964" t="s">
        <v>7856</v>
      </c>
      <c r="H964" s="40" t="s">
        <v>7032</v>
      </c>
      <c r="I964" t="s">
        <v>4564</v>
      </c>
    </row>
    <row r="965" spans="1:9" s="40" customFormat="1">
      <c r="A965" s="218">
        <v>45936</v>
      </c>
      <c r="B965" s="40" t="s">
        <v>7110</v>
      </c>
      <c r="C965" s="39">
        <v>0</v>
      </c>
      <c r="D965" s="39">
        <f>C963+C964-109375000</f>
        <v>4375000</v>
      </c>
      <c r="E965" s="11">
        <f t="shared" si="14"/>
        <v>227575021.14999866</v>
      </c>
      <c r="F965" s="40" t="s">
        <v>1400</v>
      </c>
      <c r="G965" s="40" t="s">
        <v>1400</v>
      </c>
      <c r="H965" s="40" t="s">
        <v>88</v>
      </c>
      <c r="I965" s="40" t="s">
        <v>4564</v>
      </c>
    </row>
    <row r="966" spans="1:9" s="40" customFormat="1">
      <c r="A966" s="218">
        <v>45936</v>
      </c>
      <c r="B966" s="40" t="s">
        <v>7123</v>
      </c>
      <c r="C966" s="39">
        <v>71325000</v>
      </c>
      <c r="D966" s="39">
        <v>0</v>
      </c>
      <c r="E966" s="11">
        <f t="shared" si="14"/>
        <v>156250021.14999866</v>
      </c>
      <c r="F966" s="40" t="s">
        <v>4</v>
      </c>
      <c r="G966" s="40" t="s">
        <v>5</v>
      </c>
      <c r="H966" s="40" t="s">
        <v>4098</v>
      </c>
    </row>
    <row r="967" spans="1:9">
      <c r="A967" s="5">
        <v>45936</v>
      </c>
      <c r="B967" t="s">
        <v>3905</v>
      </c>
      <c r="C967" s="11">
        <v>400000</v>
      </c>
      <c r="D967" s="11">
        <v>0</v>
      </c>
      <c r="E967" s="11">
        <f t="shared" ref="E967:E984" si="15">E966-C967+D967</f>
        <v>155850021.14999866</v>
      </c>
      <c r="F967" s="80" t="s">
        <v>4</v>
      </c>
      <c r="G967" s="80" t="s">
        <v>5</v>
      </c>
      <c r="H967" s="40" t="s">
        <v>4098</v>
      </c>
    </row>
    <row r="968" spans="1:9">
      <c r="A968" s="5">
        <v>45936</v>
      </c>
      <c r="B968" t="s">
        <v>3906</v>
      </c>
      <c r="C968" s="11">
        <v>105100000</v>
      </c>
      <c r="D968" s="11">
        <v>0</v>
      </c>
      <c r="E968" s="11">
        <f t="shared" si="15"/>
        <v>50750021.149998665</v>
      </c>
      <c r="F968" s="80" t="s">
        <v>4</v>
      </c>
      <c r="G968" s="80" t="s">
        <v>5</v>
      </c>
      <c r="H968" s="40" t="s">
        <v>4098</v>
      </c>
    </row>
    <row r="969" spans="1:9">
      <c r="A969" s="5">
        <v>45936</v>
      </c>
      <c r="B969" t="s">
        <v>3907</v>
      </c>
      <c r="C969" s="11">
        <v>0</v>
      </c>
      <c r="D969" s="11">
        <v>250000000</v>
      </c>
      <c r="E969" s="11">
        <f t="shared" si="15"/>
        <v>300750021.14999866</v>
      </c>
      <c r="F969" s="80" t="s">
        <v>920</v>
      </c>
      <c r="G969" s="80" t="s">
        <v>4239</v>
      </c>
    </row>
    <row r="970" spans="1:9">
      <c r="A970" s="5">
        <v>45937</v>
      </c>
      <c r="B970" t="s">
        <v>7208</v>
      </c>
      <c r="C970" s="11">
        <v>84950250</v>
      </c>
      <c r="D970" s="11">
        <v>0</v>
      </c>
      <c r="E970" s="11">
        <f t="shared" si="15"/>
        <v>215799771.14999866</v>
      </c>
      <c r="F970" s="80" t="s">
        <v>4</v>
      </c>
      <c r="G970" s="80" t="s">
        <v>5</v>
      </c>
      <c r="H970" s="40" t="s">
        <v>4098</v>
      </c>
    </row>
    <row r="971" spans="1:9">
      <c r="A971" s="5">
        <v>45937</v>
      </c>
      <c r="B971" t="s">
        <v>3909</v>
      </c>
      <c r="C971" s="11">
        <v>2500</v>
      </c>
      <c r="D971" s="11">
        <v>0</v>
      </c>
      <c r="E971" s="11">
        <f t="shared" si="15"/>
        <v>215797271.14999866</v>
      </c>
      <c r="F971" t="s">
        <v>19</v>
      </c>
      <c r="G971" t="s">
        <v>189</v>
      </c>
    </row>
    <row r="972" spans="1:9">
      <c r="A972" s="5">
        <v>45937</v>
      </c>
      <c r="B972" t="s">
        <v>7215</v>
      </c>
      <c r="C972" s="11">
        <v>92815250</v>
      </c>
      <c r="D972" s="11">
        <v>0</v>
      </c>
      <c r="E972" s="11">
        <f t="shared" si="15"/>
        <v>122982021.14999866</v>
      </c>
      <c r="F972" s="80" t="s">
        <v>4</v>
      </c>
      <c r="G972" s="80" t="s">
        <v>5</v>
      </c>
      <c r="H972" s="40" t="s">
        <v>4098</v>
      </c>
    </row>
    <row r="973" spans="1:9">
      <c r="A973" s="5">
        <v>45937</v>
      </c>
      <c r="B973" t="s">
        <v>7201</v>
      </c>
      <c r="C973" s="11">
        <v>0</v>
      </c>
      <c r="D973" s="11">
        <v>0</v>
      </c>
      <c r="E973" s="11">
        <f t="shared" si="15"/>
        <v>122982021.14999866</v>
      </c>
      <c r="F973" s="80" t="s">
        <v>4</v>
      </c>
      <c r="G973" s="80" t="s">
        <v>5</v>
      </c>
      <c r="H973" s="40" t="s">
        <v>4098</v>
      </c>
    </row>
    <row r="974" spans="1:9">
      <c r="A974" s="5">
        <v>45937</v>
      </c>
      <c r="B974" t="s">
        <v>7201</v>
      </c>
      <c r="C974" s="11">
        <v>0</v>
      </c>
      <c r="D974" s="11">
        <v>0</v>
      </c>
      <c r="E974" s="11">
        <f t="shared" si="15"/>
        <v>122982021.14999866</v>
      </c>
      <c r="F974" s="80" t="s">
        <v>4</v>
      </c>
      <c r="G974" s="80" t="s">
        <v>5</v>
      </c>
      <c r="H974" s="40" t="s">
        <v>4098</v>
      </c>
    </row>
    <row r="975" spans="1:9">
      <c r="A975" s="5">
        <v>45937</v>
      </c>
      <c r="B975" t="s">
        <v>3910</v>
      </c>
      <c r="C975" s="11">
        <v>2500</v>
      </c>
      <c r="D975" s="11">
        <v>0</v>
      </c>
      <c r="E975" s="11">
        <f t="shared" si="15"/>
        <v>122979521.14999866</v>
      </c>
      <c r="F975" t="s">
        <v>19</v>
      </c>
      <c r="G975" t="s">
        <v>189</v>
      </c>
    </row>
    <row r="976" spans="1:9">
      <c r="A976" s="5">
        <v>45937</v>
      </c>
      <c r="B976" t="s">
        <v>3911</v>
      </c>
      <c r="C976" s="11">
        <v>102500000</v>
      </c>
      <c r="D976" s="11">
        <v>0</v>
      </c>
      <c r="E976" s="11">
        <f t="shared" si="15"/>
        <v>20479521.149998665</v>
      </c>
      <c r="F976" s="80" t="s">
        <v>4</v>
      </c>
      <c r="G976" s="80" t="s">
        <v>5</v>
      </c>
      <c r="H976" s="40" t="s">
        <v>4098</v>
      </c>
    </row>
    <row r="977" spans="1:9">
      <c r="A977" s="5">
        <v>45937</v>
      </c>
      <c r="B977" t="s">
        <v>3912</v>
      </c>
      <c r="C977" s="11">
        <v>2500</v>
      </c>
      <c r="D977" s="11">
        <v>0</v>
      </c>
      <c r="E977" s="11">
        <f t="shared" si="15"/>
        <v>20477021.149998665</v>
      </c>
      <c r="F977" t="s">
        <v>19</v>
      </c>
      <c r="G977" t="s">
        <v>189</v>
      </c>
    </row>
    <row r="978" spans="1:9">
      <c r="A978" s="5">
        <v>45937</v>
      </c>
      <c r="B978" t="s">
        <v>3913</v>
      </c>
      <c r="C978" s="11">
        <v>15000000</v>
      </c>
      <c r="D978" s="11">
        <v>0</v>
      </c>
      <c r="E978" s="11">
        <f t="shared" si="15"/>
        <v>5477021.1499986649</v>
      </c>
      <c r="F978" s="80" t="s">
        <v>6</v>
      </c>
      <c r="G978" s="80" t="s">
        <v>24</v>
      </c>
      <c r="H978" t="s">
        <v>25</v>
      </c>
    </row>
    <row r="979" spans="1:9">
      <c r="A979" s="5">
        <v>45938</v>
      </c>
      <c r="B979" t="s">
        <v>3914</v>
      </c>
      <c r="C979" s="11">
        <v>0</v>
      </c>
      <c r="D979" s="11">
        <v>38100000</v>
      </c>
      <c r="E979" s="11">
        <f t="shared" si="15"/>
        <v>43577021.149998665</v>
      </c>
      <c r="F979" s="80" t="s">
        <v>920</v>
      </c>
      <c r="G979" t="s">
        <v>4251</v>
      </c>
    </row>
    <row r="980" spans="1:9">
      <c r="A980" s="5">
        <v>45938</v>
      </c>
      <c r="B980" t="s">
        <v>3908</v>
      </c>
      <c r="C980" s="11">
        <v>0</v>
      </c>
      <c r="D980" s="11">
        <v>119000000</v>
      </c>
      <c r="E980" s="11">
        <f t="shared" si="15"/>
        <v>162577021.14999866</v>
      </c>
      <c r="F980" s="80" t="s">
        <v>920</v>
      </c>
      <c r="G980" t="s">
        <v>4241</v>
      </c>
    </row>
    <row r="981" spans="1:9">
      <c r="A981" s="5">
        <v>45938</v>
      </c>
      <c r="B981" t="s">
        <v>3915</v>
      </c>
      <c r="C981" s="11">
        <v>112251350</v>
      </c>
      <c r="D981" s="11">
        <v>0</v>
      </c>
      <c r="E981" s="11">
        <f t="shared" si="15"/>
        <v>50325671.149998665</v>
      </c>
      <c r="F981" s="80" t="s">
        <v>4</v>
      </c>
      <c r="G981" s="80" t="s">
        <v>5</v>
      </c>
      <c r="H981" s="40" t="s">
        <v>4098</v>
      </c>
    </row>
    <row r="982" spans="1:9">
      <c r="A982" s="5">
        <v>45938</v>
      </c>
      <c r="B982" t="s">
        <v>3916</v>
      </c>
      <c r="C982" s="11">
        <v>50000000</v>
      </c>
      <c r="D982" s="11">
        <v>0</v>
      </c>
      <c r="E982" s="11">
        <f t="shared" si="15"/>
        <v>325671.14999866486</v>
      </c>
      <c r="F982" s="80" t="s">
        <v>4</v>
      </c>
      <c r="G982" s="80" t="s">
        <v>5</v>
      </c>
      <c r="H982" s="40" t="s">
        <v>4098</v>
      </c>
    </row>
    <row r="983" spans="1:9">
      <c r="A983" s="5">
        <v>45938</v>
      </c>
      <c r="B983" t="s">
        <v>3917</v>
      </c>
      <c r="C983" s="11">
        <v>0</v>
      </c>
      <c r="D983" s="11">
        <v>3997950</v>
      </c>
      <c r="E983" s="11">
        <f t="shared" si="15"/>
        <v>4323621.1499986649</v>
      </c>
      <c r="F983" s="80" t="s">
        <v>920</v>
      </c>
      <c r="G983" t="s">
        <v>4253</v>
      </c>
    </row>
    <row r="984" spans="1:9">
      <c r="A984" s="5">
        <v>45938</v>
      </c>
      <c r="B984" t="s">
        <v>3908</v>
      </c>
      <c r="C984" s="11">
        <v>0</v>
      </c>
      <c r="D984" s="11">
        <v>50000000</v>
      </c>
      <c r="E984" s="11">
        <f t="shared" si="15"/>
        <v>54323621.149998665</v>
      </c>
      <c r="F984" s="80" t="s">
        <v>920</v>
      </c>
      <c r="G984" t="s">
        <v>4241</v>
      </c>
    </row>
    <row r="985" spans="1:9">
      <c r="A985" s="5">
        <v>45938</v>
      </c>
      <c r="B985" t="s">
        <v>3918</v>
      </c>
      <c r="C985" s="11">
        <v>50000000</v>
      </c>
      <c r="D985" s="11">
        <v>0</v>
      </c>
      <c r="E985" s="11">
        <f t="shared" ref="E985:E1032" si="16">E984-C985+D985</f>
        <v>4323621.1499986649</v>
      </c>
      <c r="F985" s="80" t="s">
        <v>4</v>
      </c>
      <c r="G985" s="80" t="s">
        <v>5</v>
      </c>
      <c r="H985" s="40" t="s">
        <v>4098</v>
      </c>
    </row>
    <row r="986" spans="1:9">
      <c r="A986" s="5">
        <v>45939</v>
      </c>
      <c r="B986" t="s">
        <v>3919</v>
      </c>
      <c r="C986" s="11">
        <v>0</v>
      </c>
      <c r="D986" s="11">
        <v>1500000000</v>
      </c>
      <c r="E986" s="11">
        <f t="shared" si="16"/>
        <v>1504323621.1499987</v>
      </c>
      <c r="F986" s="80" t="s">
        <v>6</v>
      </c>
      <c r="G986" s="80" t="s">
        <v>24</v>
      </c>
      <c r="H986" t="s">
        <v>4031</v>
      </c>
    </row>
    <row r="987" spans="1:9">
      <c r="A987" s="5">
        <v>45939</v>
      </c>
      <c r="B987" t="s">
        <v>3920</v>
      </c>
      <c r="C987" s="11">
        <v>2243230</v>
      </c>
      <c r="D987" s="11">
        <v>0</v>
      </c>
      <c r="E987" s="11">
        <f t="shared" si="16"/>
        <v>1502080391.1499987</v>
      </c>
      <c r="F987" s="80" t="s">
        <v>10</v>
      </c>
      <c r="G987" s="80" t="s">
        <v>446</v>
      </c>
      <c r="H987" s="40" t="s">
        <v>3283</v>
      </c>
      <c r="I987" t="s">
        <v>26</v>
      </c>
    </row>
    <row r="988" spans="1:9" ht="15.75">
      <c r="A988" s="5">
        <v>45939</v>
      </c>
      <c r="B988" t="s">
        <v>379</v>
      </c>
      <c r="C988" s="11">
        <v>250000000</v>
      </c>
      <c r="D988" s="11">
        <v>0</v>
      </c>
      <c r="E988" s="11">
        <f t="shared" si="16"/>
        <v>1252080391.1499987</v>
      </c>
      <c r="F988" t="s">
        <v>920</v>
      </c>
      <c r="G988" s="8" t="s">
        <v>4242</v>
      </c>
    </row>
    <row r="989" spans="1:9">
      <c r="A989" s="5">
        <v>45939</v>
      </c>
      <c r="B989" t="s">
        <v>3921</v>
      </c>
      <c r="C989" s="11">
        <v>2500</v>
      </c>
      <c r="D989" s="11">
        <v>0</v>
      </c>
      <c r="E989" s="11">
        <f t="shared" si="16"/>
        <v>1252077891.1499987</v>
      </c>
      <c r="F989" t="s">
        <v>19</v>
      </c>
      <c r="G989" t="s">
        <v>189</v>
      </c>
    </row>
    <row r="990" spans="1:9">
      <c r="A990" s="5">
        <v>45939</v>
      </c>
      <c r="B990" t="s">
        <v>3922</v>
      </c>
      <c r="C990" s="11">
        <v>5685993</v>
      </c>
      <c r="D990" s="11">
        <v>0</v>
      </c>
      <c r="E990" s="11">
        <f t="shared" si="16"/>
        <v>1246391898.1499987</v>
      </c>
      <c r="F990" s="80" t="s">
        <v>10</v>
      </c>
      <c r="G990" s="80" t="s">
        <v>446</v>
      </c>
      <c r="H990" t="s">
        <v>4086</v>
      </c>
      <c r="I990" t="s">
        <v>26</v>
      </c>
    </row>
    <row r="991" spans="1:9">
      <c r="A991" s="5">
        <v>45939</v>
      </c>
      <c r="B991" t="s">
        <v>3923</v>
      </c>
      <c r="C991" s="11">
        <v>107500000</v>
      </c>
      <c r="D991" s="11">
        <v>0</v>
      </c>
      <c r="E991" s="11">
        <f t="shared" si="16"/>
        <v>1138891898.1499987</v>
      </c>
      <c r="F991" s="80" t="s">
        <v>4</v>
      </c>
      <c r="G991" s="80" t="s">
        <v>5</v>
      </c>
      <c r="H991" s="40" t="s">
        <v>4097</v>
      </c>
    </row>
    <row r="992" spans="1:9">
      <c r="A992" s="5">
        <v>45939</v>
      </c>
      <c r="B992" t="s">
        <v>3924</v>
      </c>
      <c r="C992" s="11">
        <v>2500</v>
      </c>
      <c r="D992" s="11">
        <v>0</v>
      </c>
      <c r="E992" s="11">
        <f t="shared" si="16"/>
        <v>1138889398.1499987</v>
      </c>
      <c r="F992" t="s">
        <v>19</v>
      </c>
      <c r="G992" t="s">
        <v>189</v>
      </c>
    </row>
    <row r="993" spans="1:9">
      <c r="A993" s="5">
        <v>45939</v>
      </c>
      <c r="B993" t="s">
        <v>3925</v>
      </c>
      <c r="C993" s="11">
        <v>993470</v>
      </c>
      <c r="D993" s="11">
        <v>0</v>
      </c>
      <c r="E993" s="11">
        <f t="shared" si="16"/>
        <v>1137895928.1499987</v>
      </c>
      <c r="F993" s="80" t="s">
        <v>10</v>
      </c>
      <c r="G993" s="80" t="s">
        <v>446</v>
      </c>
      <c r="H993" t="s">
        <v>2323</v>
      </c>
      <c r="I993" t="s">
        <v>26</v>
      </c>
    </row>
    <row r="994" spans="1:9" s="40" customFormat="1">
      <c r="A994" s="218">
        <v>45939</v>
      </c>
      <c r="B994" s="40" t="s">
        <v>3926</v>
      </c>
      <c r="C994" s="39">
        <v>1500000</v>
      </c>
      <c r="D994" s="39">
        <v>0</v>
      </c>
      <c r="E994" s="11">
        <f t="shared" si="16"/>
        <v>1136395928.1499987</v>
      </c>
      <c r="F994" s="40" t="s">
        <v>4</v>
      </c>
      <c r="G994" s="40" t="s">
        <v>5</v>
      </c>
      <c r="H994" s="40" t="s">
        <v>4098</v>
      </c>
    </row>
    <row r="995" spans="1:9">
      <c r="A995" s="5">
        <v>45939</v>
      </c>
      <c r="B995" t="s">
        <v>3927</v>
      </c>
      <c r="C995" s="11">
        <v>8696600</v>
      </c>
      <c r="D995" s="11">
        <v>0</v>
      </c>
      <c r="E995" s="11">
        <f t="shared" si="16"/>
        <v>1127699328.1499987</v>
      </c>
      <c r="F995" s="80" t="s">
        <v>10</v>
      </c>
      <c r="G995" s="80" t="s">
        <v>446</v>
      </c>
      <c r="H995" s="40" t="s">
        <v>3283</v>
      </c>
      <c r="I995" t="s">
        <v>26</v>
      </c>
    </row>
    <row r="996" spans="1:9">
      <c r="A996" s="5">
        <v>45939</v>
      </c>
      <c r="B996" t="s">
        <v>3928</v>
      </c>
      <c r="C996" s="11">
        <v>135000000</v>
      </c>
      <c r="D996" s="11">
        <v>0</v>
      </c>
      <c r="E996" s="11">
        <f t="shared" si="16"/>
        <v>992699328.14999866</v>
      </c>
      <c r="F996" s="80" t="s">
        <v>4</v>
      </c>
      <c r="G996" s="80" t="s">
        <v>5</v>
      </c>
      <c r="H996" s="40" t="s">
        <v>4098</v>
      </c>
    </row>
    <row r="997" spans="1:9">
      <c r="A997" s="5">
        <v>45939</v>
      </c>
      <c r="B997" t="s">
        <v>3929</v>
      </c>
      <c r="C997" s="11">
        <v>74070000</v>
      </c>
      <c r="D997" s="11">
        <v>0</v>
      </c>
      <c r="E997" s="11">
        <f t="shared" si="16"/>
        <v>918629328.14999866</v>
      </c>
      <c r="F997" s="80" t="s">
        <v>4</v>
      </c>
      <c r="G997" s="80" t="s">
        <v>5</v>
      </c>
      <c r="H997" s="40" t="s">
        <v>4098</v>
      </c>
    </row>
    <row r="998" spans="1:9">
      <c r="A998" s="5">
        <v>45939</v>
      </c>
      <c r="B998" t="s">
        <v>3930</v>
      </c>
      <c r="C998" s="11">
        <v>70000000</v>
      </c>
      <c r="D998" s="11">
        <v>0</v>
      </c>
      <c r="E998" s="11">
        <f t="shared" si="16"/>
        <v>848629328.14999866</v>
      </c>
      <c r="F998" s="80" t="s">
        <v>4</v>
      </c>
      <c r="G998" s="80" t="s">
        <v>5</v>
      </c>
      <c r="H998" s="40" t="s">
        <v>4098</v>
      </c>
    </row>
    <row r="999" spans="1:9" s="302" customFormat="1">
      <c r="A999" s="301">
        <v>45939</v>
      </c>
      <c r="B999" s="302" t="s">
        <v>7213</v>
      </c>
      <c r="C999" s="303">
        <v>64905000</v>
      </c>
      <c r="D999" s="303">
        <v>0</v>
      </c>
      <c r="E999" s="11">
        <f t="shared" si="16"/>
        <v>783724328.14999866</v>
      </c>
      <c r="F999" s="305" t="s">
        <v>10</v>
      </c>
      <c r="G999" s="305" t="s">
        <v>446</v>
      </c>
      <c r="H999" s="304" t="s">
        <v>4095</v>
      </c>
      <c r="I999" s="302" t="s">
        <v>26</v>
      </c>
    </row>
    <row r="1000" spans="1:9" s="302" customFormat="1">
      <c r="A1000" s="301">
        <v>45939</v>
      </c>
      <c r="B1000" s="302" t="s">
        <v>7213</v>
      </c>
      <c r="C1000" s="303">
        <f>66790000-C999</f>
        <v>1885000</v>
      </c>
      <c r="D1000" s="303">
        <v>0</v>
      </c>
      <c r="E1000" s="11">
        <f t="shared" si="16"/>
        <v>781839328.14999866</v>
      </c>
      <c r="F1000" s="305" t="s">
        <v>10</v>
      </c>
      <c r="G1000" s="305" t="s">
        <v>446</v>
      </c>
      <c r="H1000" s="304" t="s">
        <v>4095</v>
      </c>
    </row>
    <row r="1001" spans="1:9">
      <c r="A1001" s="5">
        <v>45939</v>
      </c>
      <c r="B1001" t="s">
        <v>3932</v>
      </c>
      <c r="C1001" s="11">
        <v>1187813</v>
      </c>
      <c r="D1001" s="11">
        <v>0</v>
      </c>
      <c r="E1001" s="11">
        <f t="shared" si="16"/>
        <v>780651515.14999866</v>
      </c>
      <c r="F1001" t="s">
        <v>10</v>
      </c>
      <c r="G1001" t="s">
        <v>446</v>
      </c>
      <c r="H1001" t="s">
        <v>4087</v>
      </c>
      <c r="I1001" t="s">
        <v>26</v>
      </c>
    </row>
    <row r="1002" spans="1:9">
      <c r="A1002" s="5">
        <v>45939</v>
      </c>
      <c r="B1002" t="s">
        <v>3933</v>
      </c>
      <c r="C1002" s="11">
        <v>2326350</v>
      </c>
      <c r="D1002" s="11">
        <v>0</v>
      </c>
      <c r="E1002" s="11">
        <f t="shared" si="16"/>
        <v>778325165.14999866</v>
      </c>
      <c r="F1002" s="80" t="s">
        <v>10</v>
      </c>
      <c r="G1002" s="80" t="s">
        <v>446</v>
      </c>
      <c r="H1002" s="40" t="s">
        <v>3470</v>
      </c>
      <c r="I1002" t="s">
        <v>26</v>
      </c>
    </row>
    <row r="1003" spans="1:9">
      <c r="A1003" s="5">
        <v>45939</v>
      </c>
      <c r="B1003" t="s">
        <v>3934</v>
      </c>
      <c r="C1003" s="11">
        <v>57150000</v>
      </c>
      <c r="D1003" s="11">
        <v>0</v>
      </c>
      <c r="E1003" s="11">
        <f t="shared" si="16"/>
        <v>721175165.14999866</v>
      </c>
      <c r="F1003" s="80" t="s">
        <v>4</v>
      </c>
      <c r="G1003" s="80" t="s">
        <v>5</v>
      </c>
      <c r="H1003" s="40" t="s">
        <v>4098</v>
      </c>
    </row>
    <row r="1004" spans="1:9">
      <c r="A1004" s="5">
        <v>45939</v>
      </c>
      <c r="B1004" t="s">
        <v>3935</v>
      </c>
      <c r="C1004" s="11">
        <v>51250000</v>
      </c>
      <c r="D1004" s="11">
        <v>0</v>
      </c>
      <c r="E1004" s="11">
        <f t="shared" si="16"/>
        <v>669925165.14999866</v>
      </c>
      <c r="F1004" s="80" t="s">
        <v>4</v>
      </c>
      <c r="G1004" s="80" t="s">
        <v>5</v>
      </c>
      <c r="H1004" s="40" t="s">
        <v>4098</v>
      </c>
    </row>
    <row r="1005" spans="1:9">
      <c r="A1005" s="5">
        <v>45939</v>
      </c>
      <c r="B1005" t="s">
        <v>3936</v>
      </c>
      <c r="C1005" s="11">
        <v>2500</v>
      </c>
      <c r="D1005" s="11">
        <v>0</v>
      </c>
      <c r="E1005" s="11">
        <f t="shared" si="16"/>
        <v>669922665.14999866</v>
      </c>
      <c r="F1005" t="s">
        <v>19</v>
      </c>
      <c r="G1005" t="s">
        <v>189</v>
      </c>
    </row>
    <row r="1006" spans="1:9" ht="15.75">
      <c r="A1006" s="5">
        <v>45940</v>
      </c>
      <c r="B1006" t="s">
        <v>374</v>
      </c>
      <c r="C1006" s="11">
        <v>250000000</v>
      </c>
      <c r="D1006" s="11">
        <v>0</v>
      </c>
      <c r="E1006" s="11">
        <f t="shared" si="16"/>
        <v>419922665.14999866</v>
      </c>
      <c r="F1006" t="s">
        <v>920</v>
      </c>
      <c r="G1006" s="8" t="s">
        <v>4242</v>
      </c>
    </row>
    <row r="1007" spans="1:9">
      <c r="A1007" s="5">
        <v>45940</v>
      </c>
      <c r="B1007" t="s">
        <v>3937</v>
      </c>
      <c r="C1007" s="11">
        <v>2500</v>
      </c>
      <c r="D1007" s="11">
        <v>0</v>
      </c>
      <c r="E1007" s="11">
        <f t="shared" si="16"/>
        <v>419920165.14999866</v>
      </c>
      <c r="F1007" t="s">
        <v>19</v>
      </c>
      <c r="G1007" t="s">
        <v>189</v>
      </c>
    </row>
    <row r="1008" spans="1:9">
      <c r="A1008" s="5">
        <v>45940</v>
      </c>
      <c r="B1008" t="s">
        <v>3938</v>
      </c>
      <c r="C1008" s="11">
        <v>58259000</v>
      </c>
      <c r="D1008" s="11">
        <v>0</v>
      </c>
      <c r="E1008" s="11">
        <f t="shared" si="16"/>
        <v>361661165.14999866</v>
      </c>
      <c r="F1008" s="80" t="s">
        <v>4</v>
      </c>
      <c r="G1008" s="80" t="s">
        <v>5</v>
      </c>
      <c r="H1008" s="40" t="s">
        <v>4098</v>
      </c>
    </row>
    <row r="1009" spans="1:9">
      <c r="A1009" s="5">
        <v>45940</v>
      </c>
      <c r="B1009" t="s">
        <v>3939</v>
      </c>
      <c r="C1009" s="11">
        <v>2500</v>
      </c>
      <c r="D1009" s="11">
        <v>0</v>
      </c>
      <c r="E1009" s="11">
        <f t="shared" si="16"/>
        <v>361658665.14999866</v>
      </c>
      <c r="F1009" t="s">
        <v>19</v>
      </c>
      <c r="G1009" t="s">
        <v>189</v>
      </c>
    </row>
    <row r="1010" spans="1:9" s="40" customFormat="1">
      <c r="A1010" s="218">
        <v>45941</v>
      </c>
      <c r="B1010" s="40" t="s">
        <v>5987</v>
      </c>
      <c r="C1010" s="39">
        <v>0</v>
      </c>
      <c r="D1010" s="39">
        <v>79650000</v>
      </c>
      <c r="E1010" s="11">
        <f t="shared" si="16"/>
        <v>441308665.14999866</v>
      </c>
      <c r="F1010" s="40" t="s">
        <v>1400</v>
      </c>
      <c r="G1010" s="40" t="s">
        <v>1400</v>
      </c>
      <c r="H1010" s="40" t="s">
        <v>7826</v>
      </c>
    </row>
    <row r="1011" spans="1:9" s="40" customFormat="1">
      <c r="A1011" s="218">
        <v>45943</v>
      </c>
      <c r="B1011" s="40" t="s">
        <v>3940</v>
      </c>
      <c r="C1011" s="39">
        <v>0</v>
      </c>
      <c r="D1011" s="39">
        <v>106060000</v>
      </c>
      <c r="E1011" s="11">
        <f t="shared" si="16"/>
        <v>547368665.14999866</v>
      </c>
      <c r="F1011" s="40" t="s">
        <v>1400</v>
      </c>
      <c r="G1011" s="40" t="s">
        <v>1400</v>
      </c>
      <c r="H1011" s="40" t="s">
        <v>7826</v>
      </c>
    </row>
    <row r="1012" spans="1:9" s="40" customFormat="1">
      <c r="A1012" s="218">
        <v>45943</v>
      </c>
      <c r="B1012" s="40" t="s">
        <v>5988</v>
      </c>
      <c r="C1012" s="39">
        <v>0</v>
      </c>
      <c r="D1012" s="39">
        <v>42350000</v>
      </c>
      <c r="E1012" s="11">
        <f t="shared" si="16"/>
        <v>589718665.14999866</v>
      </c>
      <c r="F1012" s="40" t="s">
        <v>1400</v>
      </c>
      <c r="G1012" s="40" t="s">
        <v>1400</v>
      </c>
      <c r="H1012" s="40" t="s">
        <v>7826</v>
      </c>
    </row>
    <row r="1013" spans="1:9">
      <c r="A1013" s="5">
        <v>45943</v>
      </c>
      <c r="B1013" t="s">
        <v>3941</v>
      </c>
      <c r="C1013" s="11">
        <v>930000</v>
      </c>
      <c r="D1013" s="11">
        <v>0</v>
      </c>
      <c r="E1013" s="11">
        <f t="shared" si="16"/>
        <v>588788665.14999866</v>
      </c>
      <c r="F1013" s="80" t="s">
        <v>4</v>
      </c>
      <c r="G1013" s="80" t="s">
        <v>5</v>
      </c>
      <c r="H1013" s="40" t="s">
        <v>4098</v>
      </c>
    </row>
    <row r="1014" spans="1:9">
      <c r="A1014" s="5">
        <v>45943</v>
      </c>
      <c r="B1014" t="s">
        <v>3942</v>
      </c>
      <c r="C1014" s="11">
        <v>3476660</v>
      </c>
      <c r="D1014" s="11">
        <v>0</v>
      </c>
      <c r="E1014" s="11">
        <f t="shared" si="16"/>
        <v>585312005.14999866</v>
      </c>
      <c r="F1014" s="80" t="s">
        <v>10</v>
      </c>
      <c r="G1014" s="80" t="s">
        <v>446</v>
      </c>
      <c r="H1014" s="40" t="s">
        <v>4093</v>
      </c>
      <c r="I1014" t="s">
        <v>26</v>
      </c>
    </row>
    <row r="1015" spans="1:9">
      <c r="A1015" s="5">
        <v>45943</v>
      </c>
      <c r="B1015" t="s">
        <v>3943</v>
      </c>
      <c r="C1015" s="11">
        <v>2500</v>
      </c>
      <c r="D1015" s="11">
        <v>0</v>
      </c>
      <c r="E1015" s="11">
        <f t="shared" si="16"/>
        <v>585309505.14999866</v>
      </c>
      <c r="F1015" t="s">
        <v>19</v>
      </c>
      <c r="G1015" t="s">
        <v>189</v>
      </c>
    </row>
    <row r="1016" spans="1:9">
      <c r="A1016" s="5">
        <v>45943</v>
      </c>
      <c r="B1016" t="s">
        <v>3944</v>
      </c>
      <c r="C1016" s="11">
        <v>2191500</v>
      </c>
      <c r="D1016" s="11">
        <v>0</v>
      </c>
      <c r="E1016" s="11">
        <f t="shared" si="16"/>
        <v>583118005.14999866</v>
      </c>
      <c r="F1016" s="80" t="s">
        <v>10</v>
      </c>
      <c r="G1016" s="80" t="s">
        <v>446</v>
      </c>
      <c r="H1016" s="40" t="s">
        <v>3283</v>
      </c>
      <c r="I1016" t="s">
        <v>26</v>
      </c>
    </row>
    <row r="1017" spans="1:9">
      <c r="A1017" s="5">
        <v>45943</v>
      </c>
      <c r="B1017" t="s">
        <v>3945</v>
      </c>
      <c r="C1017" s="11">
        <v>2500</v>
      </c>
      <c r="D1017" s="11">
        <v>0</v>
      </c>
      <c r="E1017" s="11">
        <f t="shared" si="16"/>
        <v>583115505.14999866</v>
      </c>
      <c r="F1017" t="s">
        <v>19</v>
      </c>
      <c r="G1017" t="s">
        <v>189</v>
      </c>
    </row>
    <row r="1018" spans="1:9">
      <c r="A1018" s="5">
        <v>45943</v>
      </c>
      <c r="B1018" t="s">
        <v>3946</v>
      </c>
      <c r="C1018" s="11">
        <v>2100000</v>
      </c>
      <c r="D1018" s="11">
        <v>0</v>
      </c>
      <c r="E1018" s="11">
        <f t="shared" si="16"/>
        <v>581015505.14999866</v>
      </c>
      <c r="F1018" s="80" t="s">
        <v>10</v>
      </c>
      <c r="G1018" s="80" t="s">
        <v>446</v>
      </c>
      <c r="H1018" s="40" t="s">
        <v>4095</v>
      </c>
      <c r="I1018" t="s">
        <v>26</v>
      </c>
    </row>
    <row r="1019" spans="1:9">
      <c r="A1019" s="5">
        <v>45943</v>
      </c>
      <c r="B1019" t="s">
        <v>3947</v>
      </c>
      <c r="C1019" s="11">
        <v>2500</v>
      </c>
      <c r="D1019" s="11">
        <v>0</v>
      </c>
      <c r="E1019" s="11">
        <f t="shared" si="16"/>
        <v>581013005.14999866</v>
      </c>
      <c r="F1019" t="s">
        <v>19</v>
      </c>
      <c r="G1019" t="s">
        <v>189</v>
      </c>
    </row>
    <row r="1020" spans="1:9">
      <c r="A1020" s="5">
        <v>45943</v>
      </c>
      <c r="B1020" t="s">
        <v>3948</v>
      </c>
      <c r="C1020" s="11">
        <v>51592900</v>
      </c>
      <c r="D1020" s="11">
        <v>0</v>
      </c>
      <c r="E1020" s="11">
        <f t="shared" si="16"/>
        <v>529420105.14999866</v>
      </c>
      <c r="F1020" s="80" t="s">
        <v>4</v>
      </c>
      <c r="G1020" s="80" t="s">
        <v>5</v>
      </c>
      <c r="H1020" s="40" t="s">
        <v>4098</v>
      </c>
    </row>
    <row r="1021" spans="1:9">
      <c r="A1021" s="5">
        <v>45943</v>
      </c>
      <c r="B1021" t="s">
        <v>3949</v>
      </c>
      <c r="C1021" s="11">
        <v>2500</v>
      </c>
      <c r="D1021" s="11">
        <v>0</v>
      </c>
      <c r="E1021" s="11">
        <f t="shared" si="16"/>
        <v>529417605.14999866</v>
      </c>
      <c r="F1021" t="s">
        <v>19</v>
      </c>
      <c r="G1021" t="s">
        <v>189</v>
      </c>
    </row>
    <row r="1022" spans="1:9" s="40" customFormat="1">
      <c r="A1022" s="218">
        <v>45943</v>
      </c>
      <c r="B1022" s="40" t="s">
        <v>7028</v>
      </c>
      <c r="C1022" s="39">
        <v>0</v>
      </c>
      <c r="D1022" s="39">
        <v>5000000</v>
      </c>
      <c r="E1022" s="11">
        <f t="shared" si="16"/>
        <v>534417605.14999866</v>
      </c>
      <c r="F1022" s="40" t="s">
        <v>10</v>
      </c>
      <c r="G1022" s="40" t="s">
        <v>446</v>
      </c>
      <c r="H1022" s="40" t="s">
        <v>4095</v>
      </c>
    </row>
    <row r="1023" spans="1:9" s="40" customFormat="1">
      <c r="A1023" s="218">
        <v>45944</v>
      </c>
      <c r="B1023" s="40" t="s">
        <v>5989</v>
      </c>
      <c r="C1023" s="39">
        <v>0</v>
      </c>
      <c r="D1023" s="39">
        <v>135000000</v>
      </c>
      <c r="E1023" s="11">
        <f t="shared" si="16"/>
        <v>669417605.14999866</v>
      </c>
      <c r="F1023" s="40" t="s">
        <v>1400</v>
      </c>
      <c r="G1023" s="40" t="s">
        <v>1400</v>
      </c>
      <c r="H1023" s="40" t="s">
        <v>7826</v>
      </c>
    </row>
    <row r="1024" spans="1:9" s="40" customFormat="1">
      <c r="A1024" s="218">
        <v>45944</v>
      </c>
      <c r="B1024" s="40" t="s">
        <v>3683</v>
      </c>
      <c r="C1024" s="39">
        <v>0</v>
      </c>
      <c r="D1024" s="39">
        <v>25064000</v>
      </c>
      <c r="E1024" s="11">
        <f t="shared" si="16"/>
        <v>694481605.14999866</v>
      </c>
      <c r="F1024" s="40" t="s">
        <v>1400</v>
      </c>
      <c r="G1024" s="40" t="s">
        <v>1400</v>
      </c>
      <c r="H1024" s="40" t="s">
        <v>7826</v>
      </c>
    </row>
    <row r="1025" spans="1:9" s="40" customFormat="1">
      <c r="A1025" s="218">
        <v>45944</v>
      </c>
      <c r="B1025" s="40" t="s">
        <v>3684</v>
      </c>
      <c r="C1025" s="39">
        <v>0</v>
      </c>
      <c r="D1025" s="39">
        <v>13000000</v>
      </c>
      <c r="E1025" s="11">
        <f t="shared" si="16"/>
        <v>707481605.14999866</v>
      </c>
      <c r="F1025" s="40" t="s">
        <v>1400</v>
      </c>
      <c r="G1025" s="40" t="s">
        <v>1400</v>
      </c>
      <c r="H1025" s="40" t="s">
        <v>7826</v>
      </c>
    </row>
    <row r="1026" spans="1:9" s="40" customFormat="1">
      <c r="A1026" s="218">
        <v>45944</v>
      </c>
      <c r="B1026" s="40" t="s">
        <v>5990</v>
      </c>
      <c r="C1026" s="39">
        <v>0</v>
      </c>
      <c r="D1026" s="39">
        <v>135000000</v>
      </c>
      <c r="E1026" s="11">
        <f t="shared" si="16"/>
        <v>842481605.14999866</v>
      </c>
      <c r="F1026" s="40" t="s">
        <v>1400</v>
      </c>
      <c r="G1026" s="40" t="s">
        <v>1400</v>
      </c>
      <c r="H1026" s="40" t="s">
        <v>7826</v>
      </c>
    </row>
    <row r="1027" spans="1:9" s="40" customFormat="1">
      <c r="A1027" s="218">
        <v>45944</v>
      </c>
      <c r="B1027" s="40" t="s">
        <v>6384</v>
      </c>
      <c r="C1027" s="39">
        <v>0</v>
      </c>
      <c r="D1027" s="39">
        <v>19100000</v>
      </c>
      <c r="E1027" s="11">
        <f t="shared" si="16"/>
        <v>861581605.14999866</v>
      </c>
      <c r="F1027" s="40" t="s">
        <v>4</v>
      </c>
      <c r="G1027" s="40" t="s">
        <v>5</v>
      </c>
      <c r="H1027" s="40" t="s">
        <v>4098</v>
      </c>
    </row>
    <row r="1028" spans="1:9" s="40" customFormat="1">
      <c r="A1028" s="218">
        <v>45944</v>
      </c>
      <c r="B1028" s="40" t="s">
        <v>5991</v>
      </c>
      <c r="C1028" s="39">
        <v>0</v>
      </c>
      <c r="D1028" s="39">
        <v>100845000</v>
      </c>
      <c r="E1028" s="11">
        <f t="shared" si="16"/>
        <v>962426605.14999866</v>
      </c>
      <c r="F1028" s="40" t="s">
        <v>1400</v>
      </c>
      <c r="G1028" s="40" t="s">
        <v>1400</v>
      </c>
      <c r="H1028" s="40" t="s">
        <v>7826</v>
      </c>
    </row>
    <row r="1029" spans="1:9" s="40" customFormat="1">
      <c r="A1029" s="218">
        <v>45944</v>
      </c>
      <c r="B1029" s="40" t="s">
        <v>5992</v>
      </c>
      <c r="C1029" s="39">
        <v>0</v>
      </c>
      <c r="D1029" s="39">
        <v>106569000</v>
      </c>
      <c r="E1029" s="11">
        <f t="shared" si="16"/>
        <v>1068995605.1499987</v>
      </c>
      <c r="F1029" s="40" t="s">
        <v>1400</v>
      </c>
      <c r="G1029" s="40" t="s">
        <v>1400</v>
      </c>
      <c r="H1029" s="40" t="s">
        <v>7826</v>
      </c>
    </row>
    <row r="1030" spans="1:9" s="40" customFormat="1">
      <c r="A1030" s="218">
        <v>45944</v>
      </c>
      <c r="B1030" s="40" t="s">
        <v>3950</v>
      </c>
      <c r="C1030" s="39">
        <v>0</v>
      </c>
      <c r="D1030" s="39">
        <v>135000000</v>
      </c>
      <c r="E1030" s="11">
        <f t="shared" si="16"/>
        <v>1203995605.1499987</v>
      </c>
      <c r="F1030" s="40" t="s">
        <v>1400</v>
      </c>
      <c r="G1030" s="40" t="s">
        <v>1400</v>
      </c>
      <c r="H1030" s="40" t="s">
        <v>7826</v>
      </c>
    </row>
    <row r="1031" spans="1:9" s="40" customFormat="1">
      <c r="A1031" s="218">
        <v>45944</v>
      </c>
      <c r="B1031" s="40" t="s">
        <v>5993</v>
      </c>
      <c r="C1031" s="39">
        <v>0</v>
      </c>
      <c r="D1031" s="39">
        <v>28431000</v>
      </c>
      <c r="E1031" s="11">
        <f t="shared" si="16"/>
        <v>1232426605.1499987</v>
      </c>
      <c r="F1031" s="40" t="s">
        <v>1400</v>
      </c>
      <c r="G1031" s="40" t="s">
        <v>1400</v>
      </c>
      <c r="H1031" s="40" t="s">
        <v>7826</v>
      </c>
    </row>
    <row r="1032" spans="1:9" s="40" customFormat="1">
      <c r="A1032" s="218">
        <v>45945</v>
      </c>
      <c r="B1032" s="40" t="s">
        <v>3951</v>
      </c>
      <c r="C1032" s="39">
        <v>0</v>
      </c>
      <c r="D1032" s="39">
        <v>135000000</v>
      </c>
      <c r="E1032" s="11">
        <f t="shared" si="16"/>
        <v>1367426605.1499987</v>
      </c>
      <c r="F1032" s="40" t="s">
        <v>1400</v>
      </c>
      <c r="G1032" s="40" t="s">
        <v>1400</v>
      </c>
      <c r="H1032" s="40" t="s">
        <v>7826</v>
      </c>
    </row>
    <row r="1033" spans="1:9">
      <c r="A1033" s="5">
        <v>45945</v>
      </c>
      <c r="B1033" t="s">
        <v>3952</v>
      </c>
      <c r="C1033" s="11">
        <v>4205418</v>
      </c>
      <c r="D1033" s="11">
        <v>0</v>
      </c>
      <c r="E1033" s="11">
        <f t="shared" ref="E1033:E1100" si="17">E1032-C1033+D1033</f>
        <v>1363221187.1499987</v>
      </c>
      <c r="F1033" t="s">
        <v>10</v>
      </c>
      <c r="G1033" t="s">
        <v>446</v>
      </c>
      <c r="H1033" s="40" t="s">
        <v>4090</v>
      </c>
      <c r="I1033" t="s">
        <v>26</v>
      </c>
    </row>
    <row r="1034" spans="1:9">
      <c r="A1034" s="5">
        <v>45945</v>
      </c>
      <c r="B1034" t="s">
        <v>3953</v>
      </c>
      <c r="C1034" s="11">
        <v>8672674</v>
      </c>
      <c r="D1034" s="11">
        <v>0</v>
      </c>
      <c r="E1034" s="11">
        <f t="shared" si="17"/>
        <v>1354548513.1499987</v>
      </c>
      <c r="F1034" s="80" t="s">
        <v>10</v>
      </c>
      <c r="G1034" s="80" t="s">
        <v>446</v>
      </c>
      <c r="H1034" t="s">
        <v>3270</v>
      </c>
      <c r="I1034" t="s">
        <v>26</v>
      </c>
    </row>
    <row r="1035" spans="1:9">
      <c r="A1035" s="5">
        <v>45945</v>
      </c>
      <c r="B1035" t="s">
        <v>3954</v>
      </c>
      <c r="C1035" s="11">
        <v>2500</v>
      </c>
      <c r="D1035" s="11">
        <v>0</v>
      </c>
      <c r="E1035" s="11">
        <f t="shared" si="17"/>
        <v>1354546013.1499987</v>
      </c>
      <c r="F1035" t="s">
        <v>19</v>
      </c>
      <c r="G1035" t="s">
        <v>189</v>
      </c>
    </row>
    <row r="1036" spans="1:9">
      <c r="A1036" s="5">
        <v>45945</v>
      </c>
      <c r="B1036" t="s">
        <v>3955</v>
      </c>
      <c r="C1036" s="11">
        <v>5315027</v>
      </c>
      <c r="D1036" s="11">
        <v>0</v>
      </c>
      <c r="E1036" s="11">
        <f t="shared" si="17"/>
        <v>1349230986.1499987</v>
      </c>
      <c r="F1036" s="80" t="s">
        <v>10</v>
      </c>
      <c r="G1036" s="80" t="s">
        <v>446</v>
      </c>
      <c r="H1036" s="40" t="s">
        <v>3283</v>
      </c>
      <c r="I1036" t="s">
        <v>26</v>
      </c>
    </row>
    <row r="1037" spans="1:9">
      <c r="A1037" s="5">
        <v>45945</v>
      </c>
      <c r="B1037" t="s">
        <v>3956</v>
      </c>
      <c r="C1037" s="11">
        <v>2500</v>
      </c>
      <c r="D1037" s="11">
        <v>0</v>
      </c>
      <c r="E1037" s="11">
        <f t="shared" si="17"/>
        <v>1349228486.1499987</v>
      </c>
      <c r="F1037" t="s">
        <v>19</v>
      </c>
      <c r="G1037" t="s">
        <v>189</v>
      </c>
    </row>
    <row r="1038" spans="1:9">
      <c r="A1038" s="5">
        <v>45945</v>
      </c>
      <c r="B1038" t="s">
        <v>3957</v>
      </c>
      <c r="C1038" s="11">
        <v>8514010</v>
      </c>
      <c r="D1038" s="11">
        <v>0</v>
      </c>
      <c r="E1038" s="11">
        <f t="shared" si="17"/>
        <v>1340714476.1499987</v>
      </c>
      <c r="F1038" s="80" t="s">
        <v>10</v>
      </c>
      <c r="G1038" s="80" t="s">
        <v>446</v>
      </c>
      <c r="H1038" s="40" t="s">
        <v>3283</v>
      </c>
      <c r="I1038" t="s">
        <v>26</v>
      </c>
    </row>
    <row r="1039" spans="1:9">
      <c r="A1039" s="5">
        <v>45945</v>
      </c>
      <c r="B1039" t="s">
        <v>3958</v>
      </c>
      <c r="C1039" s="11">
        <v>4315600</v>
      </c>
      <c r="D1039" s="11">
        <v>0</v>
      </c>
      <c r="E1039" s="11">
        <f t="shared" si="17"/>
        <v>1336398876.1499987</v>
      </c>
      <c r="F1039" s="80" t="s">
        <v>10</v>
      </c>
      <c r="G1039" s="80" t="s">
        <v>446</v>
      </c>
      <c r="H1039" s="40" t="s">
        <v>4085</v>
      </c>
      <c r="I1039" t="s">
        <v>26</v>
      </c>
    </row>
    <row r="1040" spans="1:9" ht="15.75">
      <c r="A1040" s="5">
        <v>45945</v>
      </c>
      <c r="B1040" t="s">
        <v>2538</v>
      </c>
      <c r="C1040" s="11">
        <v>250000000</v>
      </c>
      <c r="D1040" s="11">
        <v>0</v>
      </c>
      <c r="E1040" s="11">
        <f t="shared" si="17"/>
        <v>1086398876.1499987</v>
      </c>
      <c r="F1040" t="s">
        <v>920</v>
      </c>
      <c r="G1040" s="8" t="s">
        <v>4242</v>
      </c>
    </row>
    <row r="1041" spans="1:9">
      <c r="A1041" s="5">
        <v>45945</v>
      </c>
      <c r="B1041" t="s">
        <v>3959</v>
      </c>
      <c r="C1041" s="11">
        <v>2500</v>
      </c>
      <c r="D1041" s="11">
        <v>0</v>
      </c>
      <c r="E1041" s="11">
        <f t="shared" si="17"/>
        <v>1086396376.1499987</v>
      </c>
      <c r="F1041" t="s">
        <v>19</v>
      </c>
      <c r="G1041" t="s">
        <v>189</v>
      </c>
    </row>
    <row r="1042" spans="1:9">
      <c r="A1042" s="5">
        <v>45945</v>
      </c>
      <c r="B1042" t="s">
        <v>3960</v>
      </c>
      <c r="C1042" s="11">
        <v>760950</v>
      </c>
      <c r="D1042" s="11">
        <v>0</v>
      </c>
      <c r="E1042" s="11">
        <f t="shared" si="17"/>
        <v>1085635426.1499987</v>
      </c>
      <c r="F1042" t="s">
        <v>10</v>
      </c>
      <c r="G1042" t="s">
        <v>446</v>
      </c>
      <c r="H1042" t="s">
        <v>4087</v>
      </c>
      <c r="I1042" t="s">
        <v>26</v>
      </c>
    </row>
    <row r="1043" spans="1:9">
      <c r="A1043" s="5">
        <v>45945</v>
      </c>
      <c r="B1043" t="s">
        <v>3961</v>
      </c>
      <c r="C1043" s="11">
        <v>6831807</v>
      </c>
      <c r="D1043" s="11">
        <v>0</v>
      </c>
      <c r="E1043" s="11">
        <f t="shared" si="17"/>
        <v>1078803619.1499987</v>
      </c>
      <c r="F1043" s="80" t="s">
        <v>10</v>
      </c>
      <c r="G1043" s="80" t="s">
        <v>446</v>
      </c>
      <c r="H1043" s="40" t="s">
        <v>4093</v>
      </c>
      <c r="I1043" t="s">
        <v>26</v>
      </c>
    </row>
    <row r="1044" spans="1:9">
      <c r="A1044" s="5">
        <v>45945</v>
      </c>
      <c r="B1044" t="s">
        <v>3962</v>
      </c>
      <c r="C1044" s="11">
        <v>6363479</v>
      </c>
      <c r="D1044" s="11">
        <v>0</v>
      </c>
      <c r="E1044" s="11">
        <f t="shared" si="17"/>
        <v>1072440140.1499987</v>
      </c>
      <c r="F1044" s="80" t="s">
        <v>10</v>
      </c>
      <c r="G1044" s="80" t="s">
        <v>446</v>
      </c>
      <c r="H1044" s="40" t="s">
        <v>4093</v>
      </c>
      <c r="I1044" t="s">
        <v>26</v>
      </c>
    </row>
    <row r="1045" spans="1:9">
      <c r="A1045" s="5">
        <v>45945</v>
      </c>
      <c r="B1045" t="s">
        <v>7097</v>
      </c>
      <c r="C1045" s="11">
        <v>18018018</v>
      </c>
      <c r="D1045" s="11">
        <v>0</v>
      </c>
      <c r="E1045" s="11">
        <f t="shared" si="17"/>
        <v>1054422122.1499987</v>
      </c>
      <c r="F1045" s="80" t="s">
        <v>8</v>
      </c>
      <c r="G1045" s="80" t="s">
        <v>77</v>
      </c>
      <c r="H1045" t="s">
        <v>4563</v>
      </c>
    </row>
    <row r="1046" spans="1:9">
      <c r="A1046" s="5">
        <v>45945</v>
      </c>
      <c r="B1046" t="s">
        <v>7097</v>
      </c>
      <c r="C1046" s="11">
        <v>1981982</v>
      </c>
      <c r="D1046" s="11">
        <v>0</v>
      </c>
      <c r="E1046" s="11">
        <f t="shared" si="17"/>
        <v>1052440140.1499987</v>
      </c>
      <c r="F1046" t="s">
        <v>920</v>
      </c>
      <c r="G1046" t="s">
        <v>7856</v>
      </c>
      <c r="H1046" t="s">
        <v>7032</v>
      </c>
      <c r="I1046" t="s">
        <v>4563</v>
      </c>
    </row>
    <row r="1047" spans="1:9" s="40" customFormat="1">
      <c r="A1047" s="218">
        <v>45945</v>
      </c>
      <c r="B1047" s="40" t="s">
        <v>7097</v>
      </c>
      <c r="C1047" s="39">
        <v>0</v>
      </c>
      <c r="D1047" s="39">
        <f>C1045+C1046-18198198</f>
        <v>1801802</v>
      </c>
      <c r="E1047" s="11">
        <f t="shared" si="17"/>
        <v>1054241942.1499987</v>
      </c>
      <c r="F1047" s="40" t="s">
        <v>1400</v>
      </c>
      <c r="G1047" s="40" t="s">
        <v>1400</v>
      </c>
      <c r="H1047" s="40" t="s">
        <v>2170</v>
      </c>
      <c r="I1047" s="40" t="s">
        <v>4563</v>
      </c>
    </row>
    <row r="1048" spans="1:9" s="8" customFormat="1" ht="15.75">
      <c r="A1048" s="13">
        <v>45946</v>
      </c>
      <c r="B1048" s="8" t="s">
        <v>7119</v>
      </c>
      <c r="C1048" s="54">
        <v>115540</v>
      </c>
      <c r="D1048" s="54">
        <v>0</v>
      </c>
      <c r="E1048" s="11">
        <f t="shared" si="17"/>
        <v>1054126402.1499987</v>
      </c>
      <c r="F1048" s="8" t="s">
        <v>920</v>
      </c>
      <c r="G1048" s="8" t="s">
        <v>4242</v>
      </c>
      <c r="H1048" s="8" t="s">
        <v>88</v>
      </c>
      <c r="I1048" s="8" t="s">
        <v>4562</v>
      </c>
    </row>
    <row r="1049" spans="1:9" s="40" customFormat="1">
      <c r="A1049" s="218">
        <v>45946</v>
      </c>
      <c r="B1049" s="40" t="s">
        <v>7119</v>
      </c>
      <c r="C1049" s="39">
        <f>185540-C1048</f>
        <v>70000</v>
      </c>
      <c r="D1049" s="39">
        <v>0</v>
      </c>
      <c r="E1049" s="11">
        <f t="shared" si="17"/>
        <v>1054056402.1499987</v>
      </c>
      <c r="F1049" s="40" t="s">
        <v>920</v>
      </c>
      <c r="G1049" s="40" t="s">
        <v>4242</v>
      </c>
      <c r="H1049" s="40" t="s">
        <v>88</v>
      </c>
      <c r="I1049" s="40" t="s">
        <v>4562</v>
      </c>
    </row>
    <row r="1050" spans="1:9" s="40" customFormat="1">
      <c r="A1050" s="218">
        <v>45946</v>
      </c>
      <c r="B1050" s="40" t="s">
        <v>4603</v>
      </c>
      <c r="C1050" s="39">
        <v>115540</v>
      </c>
      <c r="D1050" s="39">
        <v>0</v>
      </c>
      <c r="E1050" s="11">
        <f t="shared" si="17"/>
        <v>1053940862.1499987</v>
      </c>
      <c r="F1050" s="40" t="s">
        <v>920</v>
      </c>
      <c r="G1050" s="40" t="s">
        <v>4242</v>
      </c>
      <c r="H1050" s="40" t="s">
        <v>88</v>
      </c>
      <c r="I1050" s="40" t="s">
        <v>4563</v>
      </c>
    </row>
    <row r="1051" spans="1:9" s="40" customFormat="1">
      <c r="A1051" s="218">
        <v>45946</v>
      </c>
      <c r="B1051" s="40" t="s">
        <v>4603</v>
      </c>
      <c r="C1051" s="39">
        <v>70000</v>
      </c>
      <c r="D1051" s="39">
        <v>0</v>
      </c>
      <c r="E1051" s="39">
        <f t="shared" si="17"/>
        <v>1053870862.1499987</v>
      </c>
      <c r="F1051" s="40" t="s">
        <v>920</v>
      </c>
      <c r="G1051" s="40" t="s">
        <v>4242</v>
      </c>
      <c r="H1051" s="40" t="s">
        <v>88</v>
      </c>
      <c r="I1051" s="40" t="s">
        <v>4563</v>
      </c>
    </row>
    <row r="1052" spans="1:9" s="40" customFormat="1">
      <c r="A1052" s="218">
        <v>45946</v>
      </c>
      <c r="B1052" s="40" t="s">
        <v>4603</v>
      </c>
      <c r="C1052" s="39">
        <v>92000</v>
      </c>
      <c r="D1052" s="39">
        <v>0</v>
      </c>
      <c r="E1052" s="11">
        <f t="shared" si="17"/>
        <v>1053778862.1499987</v>
      </c>
      <c r="F1052" s="40" t="s">
        <v>920</v>
      </c>
      <c r="G1052" s="40" t="s">
        <v>4242</v>
      </c>
      <c r="H1052" s="40" t="s">
        <v>88</v>
      </c>
      <c r="I1052" s="40" t="s">
        <v>4563</v>
      </c>
    </row>
    <row r="1053" spans="1:9" s="40" customFormat="1">
      <c r="A1053" s="218">
        <v>45946</v>
      </c>
      <c r="B1053" s="40" t="s">
        <v>4603</v>
      </c>
      <c r="C1053" s="39">
        <v>1801802</v>
      </c>
      <c r="D1053" s="39">
        <v>0</v>
      </c>
      <c r="E1053" s="11">
        <f t="shared" si="17"/>
        <v>1051977060.1499987</v>
      </c>
      <c r="F1053" s="40" t="s">
        <v>1400</v>
      </c>
      <c r="G1053" s="40" t="s">
        <v>1400</v>
      </c>
      <c r="H1053" s="40" t="s">
        <v>2170</v>
      </c>
      <c r="I1053" s="40" t="s">
        <v>4563</v>
      </c>
    </row>
    <row r="1054" spans="1:9" s="40" customFormat="1">
      <c r="A1054" s="218">
        <v>45946</v>
      </c>
      <c r="B1054" s="40" t="s">
        <v>4603</v>
      </c>
      <c r="C1054" s="39">
        <v>13514</v>
      </c>
      <c r="D1054" s="39">
        <v>0</v>
      </c>
      <c r="E1054" s="11">
        <f t="shared" si="17"/>
        <v>1051963546.1499987</v>
      </c>
      <c r="F1054" s="40" t="s">
        <v>920</v>
      </c>
      <c r="G1054" s="40" t="s">
        <v>4242</v>
      </c>
      <c r="H1054" s="40" t="s">
        <v>88</v>
      </c>
      <c r="I1054" s="40" t="s">
        <v>4563</v>
      </c>
    </row>
    <row r="1055" spans="1:9" s="40" customFormat="1">
      <c r="A1055" s="218">
        <v>45946</v>
      </c>
      <c r="B1055" s="40" t="s">
        <v>4603</v>
      </c>
      <c r="C1055" s="39">
        <f>3742856-C1050-C1051-C1052-C1053-C1054</f>
        <v>1650000</v>
      </c>
      <c r="D1055" s="39">
        <v>0</v>
      </c>
      <c r="E1055" s="11">
        <f t="shared" si="17"/>
        <v>1050313546.1499987</v>
      </c>
      <c r="F1055" s="40" t="s">
        <v>920</v>
      </c>
      <c r="G1055" s="40" t="s">
        <v>4242</v>
      </c>
      <c r="H1055" s="40" t="s">
        <v>88</v>
      </c>
      <c r="I1055" s="40" t="s">
        <v>4563</v>
      </c>
    </row>
    <row r="1056" spans="1:9">
      <c r="A1056" s="5">
        <v>45946</v>
      </c>
      <c r="B1056" t="s">
        <v>4568</v>
      </c>
      <c r="C1056" s="11">
        <v>31782553</v>
      </c>
      <c r="D1056" s="11">
        <v>0</v>
      </c>
      <c r="E1056" s="11">
        <f t="shared" si="17"/>
        <v>1018530993.1499987</v>
      </c>
      <c r="F1056" s="80" t="s">
        <v>62</v>
      </c>
      <c r="G1056" s="80" t="s">
        <v>23</v>
      </c>
      <c r="H1056" t="s">
        <v>2184</v>
      </c>
    </row>
    <row r="1057" spans="1:9">
      <c r="A1057" s="5">
        <v>45946</v>
      </c>
      <c r="B1057" t="s">
        <v>3963</v>
      </c>
      <c r="C1057" s="11">
        <v>1000000000</v>
      </c>
      <c r="D1057" s="11">
        <v>0</v>
      </c>
      <c r="E1057" s="11">
        <f t="shared" si="17"/>
        <v>18530993.149998665</v>
      </c>
      <c r="F1057" s="80" t="s">
        <v>920</v>
      </c>
      <c r="G1057" s="80" t="s">
        <v>4249</v>
      </c>
    </row>
    <row r="1058" spans="1:9">
      <c r="A1058" s="5">
        <v>45946</v>
      </c>
      <c r="B1058" t="s">
        <v>3964</v>
      </c>
      <c r="C1058" s="11">
        <v>1250000</v>
      </c>
      <c r="D1058" s="11">
        <v>0</v>
      </c>
      <c r="E1058" s="11">
        <f t="shared" si="17"/>
        <v>17280993.149998665</v>
      </c>
      <c r="F1058" s="80" t="s">
        <v>4</v>
      </c>
      <c r="G1058" s="80" t="s">
        <v>5</v>
      </c>
      <c r="H1058" s="40" t="s">
        <v>4098</v>
      </c>
    </row>
    <row r="1059" spans="1:9">
      <c r="A1059" s="5">
        <v>45946</v>
      </c>
      <c r="B1059" t="s">
        <v>3965</v>
      </c>
      <c r="C1059" s="11">
        <v>4350000</v>
      </c>
      <c r="D1059" s="11">
        <v>0</v>
      </c>
      <c r="E1059" s="11">
        <f t="shared" si="17"/>
        <v>12930993.149998665</v>
      </c>
      <c r="F1059" s="80" t="s">
        <v>10</v>
      </c>
      <c r="G1059" s="80" t="s">
        <v>446</v>
      </c>
      <c r="H1059" s="40" t="s">
        <v>4095</v>
      </c>
      <c r="I1059" t="s">
        <v>26</v>
      </c>
    </row>
    <row r="1060" spans="1:9">
      <c r="A1060" s="5">
        <v>45946</v>
      </c>
      <c r="B1060" t="s">
        <v>3966</v>
      </c>
      <c r="C1060" s="11">
        <v>2500</v>
      </c>
      <c r="D1060" s="11">
        <v>0</v>
      </c>
      <c r="E1060" s="11">
        <f t="shared" si="17"/>
        <v>12928493.149998665</v>
      </c>
      <c r="F1060" t="s">
        <v>19</v>
      </c>
      <c r="G1060" t="s">
        <v>189</v>
      </c>
    </row>
    <row r="1061" spans="1:9">
      <c r="A1061" s="5">
        <v>45946</v>
      </c>
      <c r="B1061" t="s">
        <v>3967</v>
      </c>
      <c r="C1061" s="11">
        <v>0</v>
      </c>
      <c r="D1061" s="11">
        <v>48950000</v>
      </c>
      <c r="E1061" s="11">
        <f t="shared" si="17"/>
        <v>61878493.149998665</v>
      </c>
      <c r="F1061" s="80" t="s">
        <v>920</v>
      </c>
      <c r="G1061" t="s">
        <v>4251</v>
      </c>
    </row>
    <row r="1062" spans="1:9" ht="15.75">
      <c r="A1062" s="5">
        <v>45946</v>
      </c>
      <c r="B1062" t="s">
        <v>379</v>
      </c>
      <c r="C1062" s="11">
        <v>60000000</v>
      </c>
      <c r="D1062" s="11">
        <v>0</v>
      </c>
      <c r="E1062" s="11">
        <f t="shared" si="17"/>
        <v>1878493.1499986649</v>
      </c>
      <c r="F1062" s="80" t="s">
        <v>920</v>
      </c>
      <c r="G1062" s="8" t="s">
        <v>4242</v>
      </c>
    </row>
    <row r="1063" spans="1:9">
      <c r="A1063" s="5">
        <v>45946</v>
      </c>
      <c r="B1063" t="s">
        <v>3968</v>
      </c>
      <c r="C1063" s="11">
        <v>2500</v>
      </c>
      <c r="D1063" s="11">
        <v>0</v>
      </c>
      <c r="E1063" s="11">
        <f t="shared" si="17"/>
        <v>1875993.1499986649</v>
      </c>
      <c r="F1063" t="s">
        <v>19</v>
      </c>
      <c r="G1063" t="s">
        <v>189</v>
      </c>
    </row>
    <row r="1064" spans="1:9" s="40" customFormat="1" ht="15.75">
      <c r="A1064" s="218">
        <v>45947</v>
      </c>
      <c r="B1064" s="40" t="s">
        <v>3685</v>
      </c>
      <c r="C1064" s="39">
        <v>0</v>
      </c>
      <c r="D1064" s="39">
        <v>57682333</v>
      </c>
      <c r="E1064" s="11">
        <f t="shared" si="17"/>
        <v>59558326.149998665</v>
      </c>
      <c r="F1064" s="40" t="s">
        <v>2140</v>
      </c>
      <c r="G1064" s="40" t="s">
        <v>2141</v>
      </c>
      <c r="H1064" s="154" t="s">
        <v>3280</v>
      </c>
      <c r="I1064" s="40" t="s">
        <v>4065</v>
      </c>
    </row>
    <row r="1065" spans="1:9" s="40" customFormat="1">
      <c r="A1065" s="218">
        <v>45947</v>
      </c>
      <c r="B1065" s="40" t="s">
        <v>3685</v>
      </c>
      <c r="C1065" s="39">
        <v>0</v>
      </c>
      <c r="D1065" s="39">
        <f>139539868-D1064</f>
        <v>81857535</v>
      </c>
      <c r="E1065" s="11">
        <f t="shared" si="17"/>
        <v>141415861.14999866</v>
      </c>
      <c r="F1065" s="40" t="s">
        <v>10</v>
      </c>
      <c r="G1065" s="40" t="s">
        <v>18</v>
      </c>
      <c r="H1065" s="40" t="s">
        <v>505</v>
      </c>
      <c r="I1065" s="40" t="s">
        <v>2415</v>
      </c>
    </row>
    <row r="1066" spans="1:9">
      <c r="A1066" s="5">
        <v>45947</v>
      </c>
      <c r="B1066" t="s">
        <v>3686</v>
      </c>
      <c r="C1066" s="11">
        <v>20103787</v>
      </c>
      <c r="D1066" s="11">
        <v>0</v>
      </c>
      <c r="E1066" s="11">
        <f t="shared" si="17"/>
        <v>121312074.14999866</v>
      </c>
      <c r="F1066" s="80" t="s">
        <v>920</v>
      </c>
      <c r="G1066" t="s">
        <v>4250</v>
      </c>
      <c r="H1066" s="80" t="s">
        <v>51</v>
      </c>
    </row>
    <row r="1067" spans="1:9">
      <c r="A1067" s="5">
        <v>45947</v>
      </c>
      <c r="B1067" t="s">
        <v>3969</v>
      </c>
      <c r="C1067" s="11">
        <v>0</v>
      </c>
      <c r="D1067" s="11">
        <v>2000000000</v>
      </c>
      <c r="E1067" s="11">
        <f t="shared" si="17"/>
        <v>2121312074.1499987</v>
      </c>
      <c r="F1067" s="80" t="s">
        <v>6</v>
      </c>
      <c r="G1067" s="80" t="s">
        <v>24</v>
      </c>
      <c r="H1067" t="s">
        <v>4031</v>
      </c>
    </row>
    <row r="1068" spans="1:9">
      <c r="A1068" s="5">
        <v>45947</v>
      </c>
      <c r="B1068" t="s">
        <v>3687</v>
      </c>
      <c r="C1068" s="11">
        <v>1000000000</v>
      </c>
      <c r="D1068" s="11">
        <v>0</v>
      </c>
      <c r="E1068" s="11">
        <f t="shared" si="17"/>
        <v>1121312074.1499987</v>
      </c>
      <c r="F1068" s="80" t="s">
        <v>920</v>
      </c>
      <c r="G1068" s="80" t="s">
        <v>4249</v>
      </c>
    </row>
    <row r="1069" spans="1:9">
      <c r="A1069" s="5">
        <v>45947</v>
      </c>
      <c r="B1069" t="s">
        <v>3687</v>
      </c>
      <c r="C1069" s="11">
        <v>985000000</v>
      </c>
      <c r="D1069" s="11">
        <v>0</v>
      </c>
      <c r="E1069" s="11">
        <f t="shared" si="17"/>
        <v>136312074.14999866</v>
      </c>
      <c r="F1069" s="80" t="s">
        <v>920</v>
      </c>
      <c r="G1069" s="80" t="s">
        <v>4249</v>
      </c>
    </row>
    <row r="1070" spans="1:9">
      <c r="A1070" s="5">
        <v>45947</v>
      </c>
      <c r="B1070" t="s">
        <v>3687</v>
      </c>
      <c r="C1070" s="11">
        <v>15000</v>
      </c>
      <c r="D1070" s="11">
        <v>0</v>
      </c>
      <c r="E1070" s="11">
        <f t="shared" si="17"/>
        <v>136297074.14999866</v>
      </c>
      <c r="F1070" s="80" t="s">
        <v>920</v>
      </c>
      <c r="G1070" s="80" t="s">
        <v>4249</v>
      </c>
    </row>
    <row r="1071" spans="1:9" s="40" customFormat="1">
      <c r="A1071" s="218">
        <v>45947</v>
      </c>
      <c r="B1071" s="40" t="s">
        <v>3688</v>
      </c>
      <c r="C1071" s="39">
        <v>0</v>
      </c>
      <c r="D1071" s="39">
        <v>135000000</v>
      </c>
      <c r="E1071" s="11">
        <f t="shared" si="17"/>
        <v>271297074.14999866</v>
      </c>
      <c r="F1071" s="40" t="s">
        <v>1400</v>
      </c>
      <c r="G1071" s="40" t="s">
        <v>1400</v>
      </c>
      <c r="H1071" s="40" t="s">
        <v>7826</v>
      </c>
    </row>
    <row r="1072" spans="1:9">
      <c r="A1072" s="5">
        <v>45947</v>
      </c>
      <c r="B1072" t="s">
        <v>3687</v>
      </c>
      <c r="C1072" s="11">
        <v>50000</v>
      </c>
      <c r="D1072" s="11">
        <v>0</v>
      </c>
      <c r="E1072" s="11">
        <f t="shared" si="17"/>
        <v>271247074.14999866</v>
      </c>
      <c r="F1072" s="80" t="s">
        <v>920</v>
      </c>
      <c r="G1072" s="80" t="s">
        <v>4249</v>
      </c>
    </row>
    <row r="1073" spans="1:9" s="40" customFormat="1">
      <c r="A1073" s="218">
        <v>45948</v>
      </c>
      <c r="B1073" s="40" t="s">
        <v>3970</v>
      </c>
      <c r="C1073" s="39">
        <v>0</v>
      </c>
      <c r="D1073" s="39">
        <v>34155000</v>
      </c>
      <c r="E1073" s="11">
        <f t="shared" si="17"/>
        <v>305402074.14999866</v>
      </c>
      <c r="F1073" s="40" t="s">
        <v>1400</v>
      </c>
      <c r="G1073" s="40" t="s">
        <v>1400</v>
      </c>
      <c r="H1073" s="40" t="s">
        <v>7826</v>
      </c>
    </row>
    <row r="1074" spans="1:9">
      <c r="A1074" s="5">
        <v>45952</v>
      </c>
      <c r="B1074" t="s">
        <v>3908</v>
      </c>
      <c r="C1074" s="11">
        <v>0</v>
      </c>
      <c r="D1074" s="11">
        <v>250000000</v>
      </c>
      <c r="E1074" s="11">
        <f t="shared" si="17"/>
        <v>555402074.14999866</v>
      </c>
      <c r="F1074" s="80" t="s">
        <v>920</v>
      </c>
      <c r="G1074" t="s">
        <v>4241</v>
      </c>
    </row>
    <row r="1075" spans="1:9">
      <c r="A1075" s="5">
        <v>45952</v>
      </c>
      <c r="B1075" t="s">
        <v>3971</v>
      </c>
      <c r="C1075" s="11">
        <v>15384615</v>
      </c>
      <c r="D1075" s="11">
        <v>0</v>
      </c>
      <c r="E1075" s="11">
        <f t="shared" si="17"/>
        <v>540017459.14999866</v>
      </c>
      <c r="F1075" s="80" t="s">
        <v>4</v>
      </c>
      <c r="G1075" s="80" t="s">
        <v>5</v>
      </c>
      <c r="H1075" s="40" t="s">
        <v>4097</v>
      </c>
    </row>
    <row r="1076" spans="1:9">
      <c r="A1076" s="5">
        <v>45952</v>
      </c>
      <c r="B1076" t="s">
        <v>3972</v>
      </c>
      <c r="C1076" s="11">
        <v>37269404</v>
      </c>
      <c r="D1076" s="11">
        <v>0</v>
      </c>
      <c r="E1076" s="11">
        <f t="shared" si="17"/>
        <v>502748055.14999866</v>
      </c>
      <c r="F1076" s="80" t="s">
        <v>4</v>
      </c>
      <c r="G1076" s="80" t="s">
        <v>5</v>
      </c>
      <c r="H1076" s="40" t="s">
        <v>4077</v>
      </c>
      <c r="I1076" t="s">
        <v>26</v>
      </c>
    </row>
    <row r="1077" spans="1:9">
      <c r="A1077" s="5">
        <v>45952</v>
      </c>
      <c r="B1077" t="s">
        <v>3973</v>
      </c>
      <c r="C1077" s="11">
        <v>2500</v>
      </c>
      <c r="D1077" s="11">
        <v>0</v>
      </c>
      <c r="E1077" s="11">
        <f t="shared" si="17"/>
        <v>502745555.14999866</v>
      </c>
      <c r="F1077" t="s">
        <v>19</v>
      </c>
      <c r="G1077" t="s">
        <v>189</v>
      </c>
    </row>
    <row r="1078" spans="1:9">
      <c r="A1078" s="5">
        <v>45952</v>
      </c>
      <c r="B1078" t="s">
        <v>3974</v>
      </c>
      <c r="C1078" s="11">
        <v>1876190</v>
      </c>
      <c r="D1078" s="11">
        <v>0</v>
      </c>
      <c r="E1078" s="11">
        <f t="shared" si="17"/>
        <v>500869365.14999866</v>
      </c>
      <c r="F1078" s="80" t="s">
        <v>10</v>
      </c>
      <c r="G1078" s="80" t="s">
        <v>446</v>
      </c>
      <c r="H1078" s="40" t="s">
        <v>4093</v>
      </c>
      <c r="I1078" t="s">
        <v>26</v>
      </c>
    </row>
    <row r="1079" spans="1:9">
      <c r="A1079" s="5">
        <v>45952</v>
      </c>
      <c r="B1079" t="s">
        <v>3975</v>
      </c>
      <c r="C1079" s="11">
        <v>1816900</v>
      </c>
      <c r="D1079" s="11">
        <v>0</v>
      </c>
      <c r="E1079" s="11">
        <f t="shared" si="17"/>
        <v>499052465.14999866</v>
      </c>
      <c r="F1079" s="80" t="s">
        <v>4</v>
      </c>
      <c r="G1079" s="80" t="s">
        <v>5</v>
      </c>
      <c r="H1079" s="40" t="s">
        <v>3457</v>
      </c>
    </row>
    <row r="1080" spans="1:9">
      <c r="A1080" s="5">
        <v>45952</v>
      </c>
      <c r="B1080" t="s">
        <v>3976</v>
      </c>
      <c r="C1080" s="11">
        <v>2500</v>
      </c>
      <c r="D1080" s="11">
        <v>0</v>
      </c>
      <c r="E1080" s="11">
        <f t="shared" si="17"/>
        <v>499049965.14999866</v>
      </c>
      <c r="F1080" t="s">
        <v>19</v>
      </c>
      <c r="G1080" t="s">
        <v>189</v>
      </c>
    </row>
    <row r="1081" spans="1:9">
      <c r="A1081" s="5">
        <v>45952</v>
      </c>
      <c r="B1081" t="s">
        <v>3977</v>
      </c>
      <c r="C1081" s="11">
        <v>129062500</v>
      </c>
      <c r="D1081" s="11">
        <v>0</v>
      </c>
      <c r="E1081" s="11">
        <f t="shared" si="17"/>
        <v>369987465.14999866</v>
      </c>
      <c r="F1081" s="80" t="s">
        <v>4</v>
      </c>
      <c r="G1081" s="80" t="s">
        <v>5</v>
      </c>
      <c r="H1081" s="40" t="s">
        <v>4098</v>
      </c>
    </row>
    <row r="1082" spans="1:9" s="40" customFormat="1">
      <c r="A1082" s="218">
        <v>45952</v>
      </c>
      <c r="B1082" s="40" t="s">
        <v>7124</v>
      </c>
      <c r="C1082" s="39">
        <f>145561224-71325000</f>
        <v>74236224</v>
      </c>
      <c r="D1082" s="39">
        <v>0</v>
      </c>
      <c r="E1082" s="11">
        <f t="shared" si="17"/>
        <v>295751241.14999866</v>
      </c>
      <c r="F1082" s="40" t="s">
        <v>4</v>
      </c>
      <c r="G1082" s="40" t="s">
        <v>5</v>
      </c>
      <c r="H1082" s="40" t="s">
        <v>4098</v>
      </c>
    </row>
    <row r="1083" spans="1:9" s="40" customFormat="1" ht="15.75">
      <c r="A1083" s="218">
        <v>45952</v>
      </c>
      <c r="B1083" s="40" t="s">
        <v>7124</v>
      </c>
      <c r="C1083" s="39">
        <v>0</v>
      </c>
      <c r="D1083" s="39">
        <f>C1082-71325000</f>
        <v>2911224</v>
      </c>
      <c r="E1083" s="11">
        <f t="shared" si="17"/>
        <v>298662465.14999866</v>
      </c>
      <c r="F1083" s="40" t="s">
        <v>6</v>
      </c>
      <c r="G1083" s="40" t="s">
        <v>53</v>
      </c>
      <c r="H1083" s="40" t="s">
        <v>7125</v>
      </c>
      <c r="I1083" s="8" t="s">
        <v>4565</v>
      </c>
    </row>
    <row r="1084" spans="1:9">
      <c r="A1084" s="5">
        <v>45952</v>
      </c>
      <c r="B1084" t="s">
        <v>3978</v>
      </c>
      <c r="C1084" s="11">
        <v>8443050</v>
      </c>
      <c r="D1084" s="11">
        <v>0</v>
      </c>
      <c r="E1084" s="11">
        <f t="shared" si="17"/>
        <v>290219415.14999866</v>
      </c>
      <c r="F1084" s="80" t="s">
        <v>4</v>
      </c>
      <c r="G1084" s="80" t="s">
        <v>5</v>
      </c>
      <c r="H1084" t="s">
        <v>4080</v>
      </c>
    </row>
    <row r="1085" spans="1:9">
      <c r="A1085" s="5">
        <v>45952</v>
      </c>
      <c r="B1085" t="s">
        <v>3979</v>
      </c>
      <c r="C1085" s="11">
        <v>22629669</v>
      </c>
      <c r="D1085" s="11">
        <v>0</v>
      </c>
      <c r="E1085" s="11">
        <f t="shared" si="17"/>
        <v>267589746.14999866</v>
      </c>
      <c r="F1085" s="80" t="s">
        <v>10</v>
      </c>
      <c r="G1085" s="80" t="s">
        <v>446</v>
      </c>
      <c r="H1085" s="40" t="s">
        <v>4095</v>
      </c>
      <c r="I1085" t="s">
        <v>26</v>
      </c>
    </row>
    <row r="1086" spans="1:9">
      <c r="A1086" s="5">
        <v>45952</v>
      </c>
      <c r="B1086" t="s">
        <v>3980</v>
      </c>
      <c r="C1086" s="11">
        <v>2295280</v>
      </c>
      <c r="D1086" s="11">
        <v>0</v>
      </c>
      <c r="E1086" s="11">
        <f t="shared" si="17"/>
        <v>265294466.14999866</v>
      </c>
      <c r="F1086" s="80" t="s">
        <v>10</v>
      </c>
      <c r="G1086" s="80" t="s">
        <v>446</v>
      </c>
      <c r="H1086" s="40" t="s">
        <v>3283</v>
      </c>
      <c r="I1086" t="s">
        <v>26</v>
      </c>
    </row>
    <row r="1087" spans="1:9">
      <c r="A1087" s="5">
        <v>45952</v>
      </c>
      <c r="B1087" t="s">
        <v>3981</v>
      </c>
      <c r="C1087" s="11">
        <v>2812280</v>
      </c>
      <c r="D1087" s="11">
        <v>0</v>
      </c>
      <c r="E1087" s="11">
        <f t="shared" si="17"/>
        <v>262482186.14999866</v>
      </c>
      <c r="F1087" s="80" t="s">
        <v>4</v>
      </c>
      <c r="G1087" s="80" t="s">
        <v>5</v>
      </c>
      <c r="H1087" s="40" t="s">
        <v>1634</v>
      </c>
    </row>
    <row r="1088" spans="1:9">
      <c r="A1088" s="5">
        <v>45952</v>
      </c>
      <c r="B1088" t="s">
        <v>3982</v>
      </c>
      <c r="C1088" s="11">
        <v>9290240</v>
      </c>
      <c r="D1088" s="11">
        <v>0</v>
      </c>
      <c r="E1088" s="11">
        <f t="shared" si="17"/>
        <v>253191946.14999866</v>
      </c>
      <c r="F1088" t="s">
        <v>10</v>
      </c>
      <c r="G1088" t="s">
        <v>446</v>
      </c>
      <c r="H1088" s="40" t="s">
        <v>4089</v>
      </c>
      <c r="I1088" t="s">
        <v>26</v>
      </c>
    </row>
    <row r="1089" spans="1:9">
      <c r="A1089" s="5">
        <v>45952</v>
      </c>
      <c r="B1089" t="s">
        <v>3983</v>
      </c>
      <c r="C1089" s="11">
        <v>6470280</v>
      </c>
      <c r="D1089" s="11">
        <v>0</v>
      </c>
      <c r="E1089" s="11">
        <f t="shared" si="17"/>
        <v>246721666.14999866</v>
      </c>
      <c r="F1089" s="80" t="s">
        <v>4</v>
      </c>
      <c r="G1089" s="80" t="s">
        <v>5</v>
      </c>
      <c r="H1089" s="40" t="s">
        <v>4098</v>
      </c>
    </row>
    <row r="1090" spans="1:9">
      <c r="A1090" s="5">
        <v>45952</v>
      </c>
      <c r="B1090" t="s">
        <v>3984</v>
      </c>
      <c r="C1090" s="11">
        <v>400000</v>
      </c>
      <c r="D1090" s="11">
        <v>0</v>
      </c>
      <c r="E1090" s="11">
        <f t="shared" si="17"/>
        <v>246321666.14999866</v>
      </c>
      <c r="F1090" s="80" t="s">
        <v>4</v>
      </c>
      <c r="G1090" s="80" t="s">
        <v>5</v>
      </c>
      <c r="H1090" s="40" t="s">
        <v>4098</v>
      </c>
    </row>
    <row r="1091" spans="1:9">
      <c r="A1091" s="5">
        <v>45952</v>
      </c>
      <c r="B1091" t="s">
        <v>3985</v>
      </c>
      <c r="C1091" s="11">
        <v>2500</v>
      </c>
      <c r="D1091" s="11">
        <v>0</v>
      </c>
      <c r="E1091" s="11">
        <f t="shared" si="17"/>
        <v>246319166.14999866</v>
      </c>
      <c r="F1091" t="s">
        <v>19</v>
      </c>
      <c r="G1091" t="s">
        <v>189</v>
      </c>
    </row>
    <row r="1092" spans="1:9">
      <c r="A1092" s="5">
        <v>45953</v>
      </c>
      <c r="B1092" t="s">
        <v>7214</v>
      </c>
      <c r="C1092" s="11">
        <f>63020000+D1093</f>
        <v>65669184</v>
      </c>
      <c r="D1092" s="11">
        <v>0</v>
      </c>
      <c r="E1092" s="11">
        <f t="shared" si="17"/>
        <v>180649982.14999866</v>
      </c>
      <c r="F1092" s="80" t="s">
        <v>4</v>
      </c>
      <c r="G1092" s="80" t="s">
        <v>5</v>
      </c>
      <c r="H1092" s="40" t="s">
        <v>4098</v>
      </c>
    </row>
    <row r="1093" spans="1:9">
      <c r="A1093" s="5">
        <v>45953</v>
      </c>
      <c r="B1093" t="s">
        <v>7214</v>
      </c>
      <c r="C1093" s="11">
        <v>0</v>
      </c>
      <c r="D1093" s="11">
        <v>2649184</v>
      </c>
      <c r="E1093" s="11">
        <f t="shared" si="17"/>
        <v>183299166.14999866</v>
      </c>
      <c r="F1093" s="40" t="s">
        <v>1400</v>
      </c>
      <c r="G1093" s="40" t="s">
        <v>1400</v>
      </c>
      <c r="H1093" s="40" t="s">
        <v>88</v>
      </c>
      <c r="I1093" s="40" t="s">
        <v>4564</v>
      </c>
    </row>
    <row r="1094" spans="1:9">
      <c r="A1094" s="5">
        <v>45953</v>
      </c>
      <c r="B1094" t="s">
        <v>3986</v>
      </c>
      <c r="C1094" s="11">
        <v>5500000</v>
      </c>
      <c r="D1094" s="11">
        <v>0</v>
      </c>
      <c r="E1094" s="11">
        <f t="shared" si="17"/>
        <v>177799166.14999866</v>
      </c>
      <c r="F1094" s="80" t="s">
        <v>4</v>
      </c>
      <c r="G1094" s="80" t="s">
        <v>5</v>
      </c>
      <c r="H1094" s="40" t="s">
        <v>4098</v>
      </c>
    </row>
    <row r="1095" spans="1:9">
      <c r="A1095" s="5">
        <v>45953</v>
      </c>
      <c r="B1095" t="s">
        <v>3987</v>
      </c>
      <c r="C1095" s="11">
        <v>2500</v>
      </c>
      <c r="D1095" s="11">
        <v>0</v>
      </c>
      <c r="E1095" s="11">
        <f t="shared" si="17"/>
        <v>177796666.14999866</v>
      </c>
      <c r="F1095" t="s">
        <v>19</v>
      </c>
      <c r="G1095" t="s">
        <v>189</v>
      </c>
    </row>
    <row r="1096" spans="1:9">
      <c r="A1096" s="5">
        <v>45953</v>
      </c>
      <c r="B1096" t="s">
        <v>3988</v>
      </c>
      <c r="C1096" s="11">
        <v>12210000</v>
      </c>
      <c r="D1096" s="11">
        <v>0</v>
      </c>
      <c r="E1096" s="11">
        <f t="shared" si="17"/>
        <v>165586666.14999866</v>
      </c>
      <c r="F1096" s="80" t="s">
        <v>4</v>
      </c>
      <c r="G1096" s="80" t="s">
        <v>5</v>
      </c>
      <c r="H1096" s="40" t="s">
        <v>2238</v>
      </c>
    </row>
    <row r="1097" spans="1:9">
      <c r="A1097" s="5">
        <v>45953</v>
      </c>
      <c r="B1097" t="s">
        <v>7200</v>
      </c>
      <c r="C1097" s="11">
        <f>20812000+D1098</f>
        <v>21236735</v>
      </c>
      <c r="D1097" s="11">
        <v>0</v>
      </c>
      <c r="E1097" s="11">
        <f t="shared" si="17"/>
        <v>144349931.14999866</v>
      </c>
      <c r="F1097" s="80" t="s">
        <v>4</v>
      </c>
      <c r="G1097" s="80" t="s">
        <v>5</v>
      </c>
      <c r="H1097" s="40" t="s">
        <v>4098</v>
      </c>
    </row>
    <row r="1098" spans="1:9">
      <c r="A1098" s="5">
        <v>45953</v>
      </c>
      <c r="B1098" t="s">
        <v>7200</v>
      </c>
      <c r="C1098" s="11">
        <v>0</v>
      </c>
      <c r="D1098" s="11">
        <v>424735</v>
      </c>
      <c r="E1098" s="11">
        <f t="shared" si="17"/>
        <v>144774666.14999866</v>
      </c>
      <c r="F1098" s="40" t="s">
        <v>1400</v>
      </c>
      <c r="G1098" s="40" t="s">
        <v>1400</v>
      </c>
      <c r="H1098" s="40" t="s">
        <v>88</v>
      </c>
      <c r="I1098" s="40" t="s">
        <v>4564</v>
      </c>
    </row>
    <row r="1099" spans="1:9">
      <c r="A1099" s="5">
        <v>45953</v>
      </c>
      <c r="B1099" t="s">
        <v>3989</v>
      </c>
      <c r="C1099" s="11">
        <v>2500</v>
      </c>
      <c r="D1099" s="11">
        <v>0</v>
      </c>
      <c r="E1099" s="11">
        <f t="shared" si="17"/>
        <v>144772166.14999866</v>
      </c>
      <c r="F1099" t="s">
        <v>19</v>
      </c>
      <c r="G1099" t="s">
        <v>189</v>
      </c>
    </row>
    <row r="1100" spans="1:9">
      <c r="A1100" s="5">
        <v>45953</v>
      </c>
      <c r="B1100" t="s">
        <v>3990</v>
      </c>
      <c r="C1100" s="11">
        <v>11251350</v>
      </c>
      <c r="D1100" s="11">
        <v>0</v>
      </c>
      <c r="E1100" s="11">
        <f t="shared" si="17"/>
        <v>133520816.14999866</v>
      </c>
      <c r="F1100" s="80" t="s">
        <v>4</v>
      </c>
      <c r="G1100" s="80" t="s">
        <v>5</v>
      </c>
      <c r="H1100" s="40" t="s">
        <v>4098</v>
      </c>
    </row>
    <row r="1101" spans="1:9">
      <c r="A1101" s="5">
        <v>45953</v>
      </c>
      <c r="B1101" t="s">
        <v>3991</v>
      </c>
      <c r="C1101" s="11">
        <v>51250000</v>
      </c>
      <c r="D1101" s="11">
        <v>0</v>
      </c>
      <c r="E1101" s="11">
        <f t="shared" ref="E1101:E1105" si="18">E1100-C1101+D1101</f>
        <v>82270816.149998665</v>
      </c>
      <c r="F1101" s="80" t="s">
        <v>4</v>
      </c>
      <c r="G1101" s="80" t="s">
        <v>5</v>
      </c>
      <c r="H1101" s="40" t="s">
        <v>4098</v>
      </c>
    </row>
    <row r="1102" spans="1:9">
      <c r="A1102" s="5">
        <v>45953</v>
      </c>
      <c r="B1102" t="s">
        <v>3992</v>
      </c>
      <c r="C1102" s="11">
        <v>2500</v>
      </c>
      <c r="D1102" s="11">
        <v>0</v>
      </c>
      <c r="E1102" s="11">
        <f t="shared" si="18"/>
        <v>82268316.149998665</v>
      </c>
      <c r="F1102" t="s">
        <v>19</v>
      </c>
      <c r="G1102" t="s">
        <v>189</v>
      </c>
    </row>
    <row r="1103" spans="1:9">
      <c r="A1103" s="5">
        <v>45953</v>
      </c>
      <c r="B1103" t="s">
        <v>3908</v>
      </c>
      <c r="C1103" s="11">
        <v>0</v>
      </c>
      <c r="D1103" s="11">
        <v>250000000</v>
      </c>
      <c r="E1103" s="11">
        <f t="shared" si="18"/>
        <v>332268316.14999866</v>
      </c>
      <c r="F1103" s="80" t="s">
        <v>920</v>
      </c>
      <c r="G1103" t="s">
        <v>4241</v>
      </c>
    </row>
    <row r="1104" spans="1:9">
      <c r="A1104" s="5">
        <v>45953</v>
      </c>
      <c r="B1104" t="s">
        <v>3908</v>
      </c>
      <c r="C1104" s="11">
        <v>0</v>
      </c>
      <c r="D1104" s="11">
        <v>250000000</v>
      </c>
      <c r="E1104" s="11">
        <f t="shared" si="18"/>
        <v>582268316.14999866</v>
      </c>
      <c r="F1104" s="80" t="s">
        <v>920</v>
      </c>
      <c r="G1104" t="s">
        <v>4241</v>
      </c>
    </row>
    <row r="1105" spans="1:9">
      <c r="A1105" s="5">
        <v>45953</v>
      </c>
      <c r="B1105" t="s">
        <v>3990</v>
      </c>
      <c r="C1105" s="11">
        <v>112251350</v>
      </c>
      <c r="D1105" s="11">
        <v>0</v>
      </c>
      <c r="E1105" s="11">
        <f t="shared" si="18"/>
        <v>470016966.14999866</v>
      </c>
      <c r="F1105" s="80" t="s">
        <v>4</v>
      </c>
      <c r="G1105" s="80" t="s">
        <v>5</v>
      </c>
      <c r="H1105" s="40" t="s">
        <v>4098</v>
      </c>
    </row>
    <row r="1106" spans="1:9">
      <c r="A1106" s="5">
        <v>45953</v>
      </c>
      <c r="B1106" t="s">
        <v>3908</v>
      </c>
      <c r="C1106" s="11">
        <v>0</v>
      </c>
      <c r="D1106" s="11">
        <v>250000000</v>
      </c>
      <c r="E1106" s="11">
        <f t="shared" ref="E1106" si="19">E1105-C1106+D1106</f>
        <v>720016966.14999866</v>
      </c>
      <c r="F1106" s="80" t="s">
        <v>920</v>
      </c>
      <c r="G1106" t="s">
        <v>4241</v>
      </c>
    </row>
    <row r="1107" spans="1:9">
      <c r="A1107" s="5">
        <v>45953</v>
      </c>
      <c r="B1107" t="s">
        <v>3908</v>
      </c>
      <c r="C1107" s="11">
        <v>0</v>
      </c>
      <c r="D1107" s="11">
        <v>250000000</v>
      </c>
      <c r="E1107" s="11">
        <f t="shared" ref="E1107:E1167" si="20">E1106-C1107+D1107</f>
        <v>970016966.14999866</v>
      </c>
      <c r="F1107" s="80" t="s">
        <v>920</v>
      </c>
      <c r="G1107" t="s">
        <v>4241</v>
      </c>
    </row>
    <row r="1108" spans="1:9" ht="15.75">
      <c r="A1108" s="5">
        <v>45953</v>
      </c>
      <c r="B1108" t="s">
        <v>3907</v>
      </c>
      <c r="C1108" s="11">
        <v>0</v>
      </c>
      <c r="D1108" s="11">
        <v>250000000</v>
      </c>
      <c r="E1108" s="11">
        <f t="shared" si="20"/>
        <v>1220016966.1499987</v>
      </c>
      <c r="F1108" s="80" t="s">
        <v>920</v>
      </c>
      <c r="G1108" s="8" t="s">
        <v>4239</v>
      </c>
    </row>
    <row r="1109" spans="1:9" ht="15.75">
      <c r="A1109" s="5">
        <v>45954</v>
      </c>
      <c r="B1109" t="s">
        <v>3907</v>
      </c>
      <c r="C1109" s="11">
        <v>0</v>
      </c>
      <c r="D1109" s="11">
        <v>250000000</v>
      </c>
      <c r="E1109" s="11">
        <f t="shared" si="20"/>
        <v>1470016966.1499987</v>
      </c>
      <c r="F1109" s="80" t="s">
        <v>920</v>
      </c>
      <c r="G1109" s="8" t="s">
        <v>4239</v>
      </c>
    </row>
    <row r="1110" spans="1:9" ht="15.75">
      <c r="A1110" s="5">
        <v>45954</v>
      </c>
      <c r="B1110" t="s">
        <v>3907</v>
      </c>
      <c r="C1110" s="11">
        <v>0</v>
      </c>
      <c r="D1110" s="11">
        <v>250000000</v>
      </c>
      <c r="E1110" s="11">
        <f t="shared" si="20"/>
        <v>1720016966.1499987</v>
      </c>
      <c r="F1110" s="80" t="s">
        <v>920</v>
      </c>
      <c r="G1110" s="8" t="s">
        <v>4239</v>
      </c>
    </row>
    <row r="1111" spans="1:9">
      <c r="A1111" s="5">
        <v>45954</v>
      </c>
      <c r="B1111" t="s">
        <v>3993</v>
      </c>
      <c r="C1111" s="11">
        <v>1500000000</v>
      </c>
      <c r="D1111" s="11">
        <v>0</v>
      </c>
      <c r="E1111" s="11">
        <f t="shared" si="20"/>
        <v>220016966.14999866</v>
      </c>
      <c r="F1111" s="80" t="s">
        <v>6</v>
      </c>
      <c r="G1111" s="80" t="s">
        <v>24</v>
      </c>
      <c r="H1111" t="s">
        <v>4031</v>
      </c>
    </row>
    <row r="1112" spans="1:9">
      <c r="A1112" s="5">
        <v>45954</v>
      </c>
      <c r="B1112" t="s">
        <v>3994</v>
      </c>
      <c r="C1112" s="11">
        <v>15000</v>
      </c>
      <c r="D1112" s="11">
        <v>0</v>
      </c>
      <c r="E1112" s="11">
        <f t="shared" si="20"/>
        <v>220001966.14999866</v>
      </c>
      <c r="F1112" s="80" t="s">
        <v>19</v>
      </c>
      <c r="G1112" s="80" t="s">
        <v>189</v>
      </c>
    </row>
    <row r="1113" spans="1:9" s="40" customFormat="1">
      <c r="A1113" s="218">
        <v>45954</v>
      </c>
      <c r="B1113" s="40" t="s">
        <v>3995</v>
      </c>
      <c r="C1113" s="39">
        <v>0</v>
      </c>
      <c r="D1113" s="39">
        <v>82419960</v>
      </c>
      <c r="E1113" s="11">
        <f t="shared" si="20"/>
        <v>302421926.14999866</v>
      </c>
      <c r="F1113" s="40" t="s">
        <v>10</v>
      </c>
      <c r="G1113" s="40" t="s">
        <v>18</v>
      </c>
      <c r="H1113" s="40" t="s">
        <v>436</v>
      </c>
      <c r="I1113" s="40" t="s">
        <v>2399</v>
      </c>
    </row>
    <row r="1114" spans="1:9">
      <c r="A1114" s="5">
        <v>45958</v>
      </c>
      <c r="B1114" t="s">
        <v>3996</v>
      </c>
      <c r="C1114" s="11">
        <v>60000</v>
      </c>
      <c r="D1114" s="11">
        <v>0</v>
      </c>
      <c r="E1114" s="11">
        <f t="shared" si="20"/>
        <v>302361926.14999866</v>
      </c>
      <c r="F1114" s="80" t="s">
        <v>920</v>
      </c>
      <c r="G1114" t="s">
        <v>4248</v>
      </c>
    </row>
    <row r="1115" spans="1:9">
      <c r="A1115" s="5">
        <v>45958</v>
      </c>
      <c r="B1115" t="s">
        <v>3997</v>
      </c>
      <c r="C1115" s="11">
        <v>2500</v>
      </c>
      <c r="D1115" s="11">
        <v>0</v>
      </c>
      <c r="E1115" s="11">
        <f t="shared" si="20"/>
        <v>302359426.14999866</v>
      </c>
      <c r="F1115" t="s">
        <v>19</v>
      </c>
      <c r="G1115" t="s">
        <v>189</v>
      </c>
    </row>
    <row r="1116" spans="1:9">
      <c r="A1116" s="5">
        <v>45958</v>
      </c>
      <c r="B1116" t="s">
        <v>3998</v>
      </c>
      <c r="C1116" s="11">
        <v>0</v>
      </c>
      <c r="D1116" s="11">
        <v>1000000000</v>
      </c>
      <c r="E1116" s="11">
        <f t="shared" si="20"/>
        <v>1302359426.1499987</v>
      </c>
      <c r="F1116" s="80" t="s">
        <v>920</v>
      </c>
      <c r="G1116" t="s">
        <v>4245</v>
      </c>
    </row>
    <row r="1117" spans="1:9">
      <c r="A1117" s="5">
        <v>45958</v>
      </c>
      <c r="B1117" t="s">
        <v>3999</v>
      </c>
      <c r="C1117" s="11">
        <v>1000000000</v>
      </c>
      <c r="D1117" s="11">
        <v>0</v>
      </c>
      <c r="E1117" s="11">
        <f t="shared" si="20"/>
        <v>302359426.14999866</v>
      </c>
      <c r="F1117" s="80" t="s">
        <v>6</v>
      </c>
      <c r="G1117" s="80" t="s">
        <v>24</v>
      </c>
      <c r="H1117" t="s">
        <v>4031</v>
      </c>
    </row>
    <row r="1118" spans="1:9">
      <c r="A1118" s="5">
        <v>45958</v>
      </c>
      <c r="B1118" t="s">
        <v>3994</v>
      </c>
      <c r="C1118" s="11">
        <v>15000</v>
      </c>
      <c r="D1118" s="11">
        <v>0</v>
      </c>
      <c r="E1118" s="11">
        <f t="shared" si="20"/>
        <v>302344426.14999866</v>
      </c>
      <c r="F1118" s="80" t="s">
        <v>19</v>
      </c>
      <c r="G1118" s="80" t="s">
        <v>189</v>
      </c>
    </row>
    <row r="1119" spans="1:9" s="40" customFormat="1">
      <c r="A1119" s="218">
        <v>45958</v>
      </c>
      <c r="B1119" s="40" t="s">
        <v>4000</v>
      </c>
      <c r="C1119" s="39">
        <v>0</v>
      </c>
      <c r="D1119" s="39">
        <v>134757000</v>
      </c>
      <c r="E1119" s="11">
        <f t="shared" si="20"/>
        <v>437101426.14999866</v>
      </c>
      <c r="F1119" s="40" t="s">
        <v>1400</v>
      </c>
      <c r="G1119" s="40" t="s">
        <v>1400</v>
      </c>
      <c r="H1119" s="40" t="s">
        <v>7826</v>
      </c>
    </row>
    <row r="1120" spans="1:9">
      <c r="A1120" s="5">
        <v>45959</v>
      </c>
      <c r="B1120" t="s">
        <v>4102</v>
      </c>
      <c r="C1120" s="11">
        <v>6944871</v>
      </c>
      <c r="D1120" s="11">
        <v>0</v>
      </c>
      <c r="E1120" s="11">
        <f t="shared" si="20"/>
        <v>430156555.14999866</v>
      </c>
      <c r="F1120" s="80" t="s">
        <v>920</v>
      </c>
      <c r="G1120" t="s">
        <v>7856</v>
      </c>
      <c r="H1120" t="s">
        <v>7147</v>
      </c>
      <c r="I1120" t="s">
        <v>4563</v>
      </c>
    </row>
    <row r="1121" spans="1:9">
      <c r="A1121" s="5">
        <v>45959</v>
      </c>
      <c r="B1121" t="s">
        <v>4001</v>
      </c>
      <c r="C1121" s="11">
        <v>239150000</v>
      </c>
      <c r="D1121" s="11">
        <v>0</v>
      </c>
      <c r="E1121" s="11">
        <f t="shared" si="20"/>
        <v>191006555.14999866</v>
      </c>
      <c r="F1121" s="80" t="s">
        <v>62</v>
      </c>
      <c r="G1121" s="80" t="s">
        <v>23</v>
      </c>
    </row>
    <row r="1122" spans="1:9">
      <c r="A1122" s="5">
        <v>45959</v>
      </c>
      <c r="B1122" t="s">
        <v>4002</v>
      </c>
      <c r="C1122" s="11">
        <v>2500</v>
      </c>
      <c r="D1122" s="11">
        <v>0</v>
      </c>
      <c r="E1122" s="11">
        <f t="shared" si="20"/>
        <v>191004055.14999866</v>
      </c>
      <c r="F1122" t="s">
        <v>19</v>
      </c>
      <c r="G1122" t="s">
        <v>189</v>
      </c>
    </row>
    <row r="1123" spans="1:9">
      <c r="A1123" s="5">
        <v>45960</v>
      </c>
      <c r="B1123" t="s">
        <v>3689</v>
      </c>
      <c r="C1123" s="11">
        <v>0</v>
      </c>
      <c r="D1123" s="11">
        <v>500000000</v>
      </c>
      <c r="E1123" s="11">
        <f t="shared" si="20"/>
        <v>691004055.14999866</v>
      </c>
      <c r="F1123" s="80" t="s">
        <v>920</v>
      </c>
      <c r="G1123" t="s">
        <v>4245</v>
      </c>
    </row>
    <row r="1124" spans="1:9">
      <c r="A1124" s="5">
        <v>45960</v>
      </c>
      <c r="B1124" t="s">
        <v>7207</v>
      </c>
      <c r="C1124" s="11">
        <f>84950250+D1125+D1126</f>
        <v>88417607.140000001</v>
      </c>
      <c r="D1124" s="11">
        <v>0</v>
      </c>
      <c r="E1124" s="11">
        <f t="shared" si="20"/>
        <v>602586448.00999868</v>
      </c>
      <c r="F1124" s="80" t="s">
        <v>4</v>
      </c>
      <c r="G1124" s="80" t="s">
        <v>5</v>
      </c>
      <c r="H1124" s="40" t="s">
        <v>4098</v>
      </c>
    </row>
    <row r="1125" spans="1:9">
      <c r="A1125" s="5">
        <v>45960</v>
      </c>
      <c r="B1125" t="s">
        <v>7207</v>
      </c>
      <c r="C1125" s="11">
        <v>0</v>
      </c>
      <c r="D1125" s="11">
        <v>3467357</v>
      </c>
      <c r="E1125" s="11">
        <f t="shared" si="20"/>
        <v>606053805.00999868</v>
      </c>
      <c r="F1125" s="80" t="s">
        <v>1400</v>
      </c>
      <c r="G1125" s="80" t="s">
        <v>1400</v>
      </c>
      <c r="H1125" s="40" t="s">
        <v>88</v>
      </c>
    </row>
    <row r="1126" spans="1:9">
      <c r="A1126" s="5">
        <v>45960</v>
      </c>
      <c r="B1126" t="s">
        <v>7207</v>
      </c>
      <c r="C1126" s="11">
        <v>0</v>
      </c>
      <c r="D1126" s="11">
        <v>0.14000000000000001</v>
      </c>
      <c r="E1126" s="11">
        <f t="shared" si="20"/>
        <v>606053805.14999866</v>
      </c>
      <c r="F1126" s="80" t="s">
        <v>190</v>
      </c>
      <c r="G1126" s="80" t="s">
        <v>192</v>
      </c>
      <c r="H1126" s="40" t="s">
        <v>88</v>
      </c>
    </row>
    <row r="1127" spans="1:9">
      <c r="A1127" s="5">
        <v>45960</v>
      </c>
      <c r="B1127" t="s">
        <v>3690</v>
      </c>
      <c r="C1127" s="11">
        <v>2500</v>
      </c>
      <c r="D1127" s="11">
        <v>0</v>
      </c>
      <c r="E1127" s="11">
        <f t="shared" si="20"/>
        <v>606051305.14999866</v>
      </c>
      <c r="F1127" t="s">
        <v>19</v>
      </c>
      <c r="G1127" t="s">
        <v>189</v>
      </c>
    </row>
    <row r="1128" spans="1:9" s="8" customFormat="1" ht="15.75">
      <c r="A1128" s="13">
        <v>45960</v>
      </c>
      <c r="B1128" s="8" t="s">
        <v>3691</v>
      </c>
      <c r="C1128" s="54">
        <v>8392926</v>
      </c>
      <c r="D1128" s="54">
        <v>0</v>
      </c>
      <c r="E1128" s="11">
        <f t="shared" si="20"/>
        <v>597658379.14999866</v>
      </c>
      <c r="F1128" s="8" t="s">
        <v>6</v>
      </c>
      <c r="G1128" s="8" t="s">
        <v>7</v>
      </c>
      <c r="H1128" s="8" t="s">
        <v>253</v>
      </c>
      <c r="I1128" s="8" t="s">
        <v>34</v>
      </c>
    </row>
    <row r="1129" spans="1:9">
      <c r="A1129" s="5">
        <v>45960</v>
      </c>
      <c r="B1129" t="s">
        <v>3692</v>
      </c>
      <c r="C1129" s="11">
        <v>2949561</v>
      </c>
      <c r="D1129" s="11">
        <v>0</v>
      </c>
      <c r="E1129" s="11">
        <f t="shared" si="20"/>
        <v>594708818.14999866</v>
      </c>
      <c r="F1129" s="80" t="s">
        <v>4</v>
      </c>
      <c r="G1129" s="80" t="s">
        <v>5</v>
      </c>
      <c r="H1129" s="40" t="s">
        <v>1634</v>
      </c>
    </row>
    <row r="1130" spans="1:9">
      <c r="A1130" s="5">
        <v>45960</v>
      </c>
      <c r="B1130" t="s">
        <v>3693</v>
      </c>
      <c r="C1130" s="11">
        <v>4686624</v>
      </c>
      <c r="D1130" s="11">
        <v>0</v>
      </c>
      <c r="E1130" s="11">
        <f t="shared" si="20"/>
        <v>590022194.14999866</v>
      </c>
      <c r="F1130" s="80" t="s">
        <v>10</v>
      </c>
      <c r="G1130" s="80" t="s">
        <v>446</v>
      </c>
      <c r="H1130" s="40" t="s">
        <v>4093</v>
      </c>
      <c r="I1130" t="s">
        <v>26</v>
      </c>
    </row>
    <row r="1131" spans="1:9">
      <c r="A1131" s="5">
        <v>45960</v>
      </c>
      <c r="B1131" t="s">
        <v>3694</v>
      </c>
      <c r="C1131" s="11">
        <v>2500</v>
      </c>
      <c r="D1131" s="11">
        <v>0</v>
      </c>
      <c r="E1131" s="11">
        <f t="shared" si="20"/>
        <v>590019694.14999866</v>
      </c>
      <c r="F1131" t="s">
        <v>19</v>
      </c>
      <c r="G1131" t="s">
        <v>189</v>
      </c>
    </row>
    <row r="1132" spans="1:9">
      <c r="A1132" s="5">
        <v>45960</v>
      </c>
      <c r="B1132" t="s">
        <v>3695</v>
      </c>
      <c r="C1132" s="11">
        <v>5707571</v>
      </c>
      <c r="D1132" s="11">
        <v>0</v>
      </c>
      <c r="E1132" s="11">
        <f t="shared" si="20"/>
        <v>584312123.14999866</v>
      </c>
      <c r="F1132" s="80" t="s">
        <v>10</v>
      </c>
      <c r="G1132" s="80" t="s">
        <v>446</v>
      </c>
      <c r="H1132" s="40" t="s">
        <v>4093</v>
      </c>
      <c r="I1132" t="s">
        <v>26</v>
      </c>
    </row>
    <row r="1133" spans="1:9">
      <c r="A1133" s="5">
        <v>45960</v>
      </c>
      <c r="B1133" t="s">
        <v>3696</v>
      </c>
      <c r="C1133" s="11">
        <v>2500</v>
      </c>
      <c r="D1133" s="11">
        <v>0</v>
      </c>
      <c r="E1133" s="11">
        <f t="shared" si="20"/>
        <v>584309623.14999866</v>
      </c>
      <c r="F1133" t="s">
        <v>19</v>
      </c>
      <c r="G1133" t="s">
        <v>189</v>
      </c>
    </row>
    <row r="1134" spans="1:9">
      <c r="A1134" s="5">
        <v>45960</v>
      </c>
      <c r="B1134" t="s">
        <v>3697</v>
      </c>
      <c r="C1134" s="11">
        <v>18000000</v>
      </c>
      <c r="D1134" s="11">
        <v>0</v>
      </c>
      <c r="E1134" s="11">
        <f t="shared" si="20"/>
        <v>566309623.14999866</v>
      </c>
      <c r="F1134" s="80" t="s">
        <v>21</v>
      </c>
      <c r="G1134" s="80" t="s">
        <v>187</v>
      </c>
    </row>
    <row r="1135" spans="1:9">
      <c r="A1135" s="5">
        <v>45960</v>
      </c>
      <c r="B1135" t="s">
        <v>3698</v>
      </c>
      <c r="C1135" s="11">
        <v>950000</v>
      </c>
      <c r="D1135" s="11">
        <v>0</v>
      </c>
      <c r="E1135" s="11">
        <f t="shared" si="20"/>
        <v>565359623.14999866</v>
      </c>
      <c r="F1135" s="80" t="s">
        <v>4</v>
      </c>
      <c r="G1135" s="80" t="s">
        <v>5</v>
      </c>
      <c r="H1135" s="40" t="s">
        <v>1634</v>
      </c>
    </row>
    <row r="1136" spans="1:9">
      <c r="A1136" s="5">
        <v>45960</v>
      </c>
      <c r="B1136" t="s">
        <v>3699</v>
      </c>
      <c r="C1136" s="11">
        <v>2500</v>
      </c>
      <c r="D1136" s="11">
        <v>0</v>
      </c>
      <c r="E1136" s="11">
        <f t="shared" si="20"/>
        <v>565357123.14999866</v>
      </c>
      <c r="F1136" t="s">
        <v>19</v>
      </c>
      <c r="G1136" t="s">
        <v>189</v>
      </c>
    </row>
    <row r="1137" spans="1:9">
      <c r="A1137" s="5">
        <v>45960</v>
      </c>
      <c r="B1137" t="s">
        <v>7216</v>
      </c>
      <c r="C1137" s="11">
        <f>92815250+D1138</f>
        <v>96603628</v>
      </c>
      <c r="D1137" s="11">
        <v>0</v>
      </c>
      <c r="E1137" s="11">
        <f t="shared" si="20"/>
        <v>468753495.14999866</v>
      </c>
      <c r="F1137" s="80" t="s">
        <v>4</v>
      </c>
      <c r="G1137" s="80" t="s">
        <v>5</v>
      </c>
      <c r="H1137" s="40" t="s">
        <v>4098</v>
      </c>
    </row>
    <row r="1138" spans="1:9">
      <c r="A1138" s="5">
        <v>45960</v>
      </c>
      <c r="B1138" t="s">
        <v>7216</v>
      </c>
      <c r="C1138" s="11">
        <v>0</v>
      </c>
      <c r="D1138" s="11">
        <v>3788378</v>
      </c>
      <c r="E1138" s="11">
        <f t="shared" si="20"/>
        <v>472541873.14999866</v>
      </c>
      <c r="F1138" s="40" t="s">
        <v>1400</v>
      </c>
      <c r="G1138" s="40" t="s">
        <v>1400</v>
      </c>
      <c r="H1138" s="40" t="s">
        <v>88</v>
      </c>
      <c r="I1138" s="40" t="s">
        <v>4564</v>
      </c>
    </row>
    <row r="1139" spans="1:9">
      <c r="A1139" s="5">
        <v>45960</v>
      </c>
      <c r="B1139" t="s">
        <v>3700</v>
      </c>
      <c r="C1139" s="11">
        <v>2500</v>
      </c>
      <c r="D1139" s="11">
        <v>0</v>
      </c>
      <c r="E1139" s="11">
        <f t="shared" si="20"/>
        <v>472539373.14999866</v>
      </c>
      <c r="F1139" t="s">
        <v>19</v>
      </c>
      <c r="G1139" t="s">
        <v>189</v>
      </c>
    </row>
    <row r="1140" spans="1:9">
      <c r="A1140" s="5">
        <v>45960</v>
      </c>
      <c r="B1140" t="s">
        <v>3701</v>
      </c>
      <c r="C1140" s="11">
        <v>188651295</v>
      </c>
      <c r="D1140" s="11">
        <v>0</v>
      </c>
      <c r="E1140" s="11">
        <f t="shared" si="20"/>
        <v>283888078.14999866</v>
      </c>
      <c r="F1140" s="80" t="s">
        <v>10</v>
      </c>
      <c r="G1140" s="80" t="s">
        <v>446</v>
      </c>
      <c r="H1140" s="40" t="s">
        <v>4095</v>
      </c>
      <c r="I1140" t="s">
        <v>26</v>
      </c>
    </row>
    <row r="1141" spans="1:9">
      <c r="A1141" s="5">
        <v>45960</v>
      </c>
      <c r="B1141" t="s">
        <v>3702</v>
      </c>
      <c r="C1141" s="11">
        <v>2693600</v>
      </c>
      <c r="D1141" s="11">
        <v>0</v>
      </c>
      <c r="E1141" s="11">
        <f t="shared" si="20"/>
        <v>281194478.14999866</v>
      </c>
      <c r="F1141" s="80" t="s">
        <v>8</v>
      </c>
      <c r="G1141" t="s">
        <v>33</v>
      </c>
    </row>
    <row r="1142" spans="1:9">
      <c r="A1142" s="5">
        <v>45960</v>
      </c>
      <c r="B1142" t="s">
        <v>3703</v>
      </c>
      <c r="C1142" s="11">
        <v>103397835</v>
      </c>
      <c r="D1142" s="11">
        <v>0</v>
      </c>
      <c r="E1142" s="11">
        <f t="shared" si="20"/>
        <v>177796643.14999866</v>
      </c>
      <c r="F1142" s="80" t="s">
        <v>920</v>
      </c>
      <c r="G1142" t="s">
        <v>4246</v>
      </c>
    </row>
    <row r="1143" spans="1:9">
      <c r="A1143" s="5">
        <v>45960</v>
      </c>
      <c r="B1143" t="s">
        <v>3704</v>
      </c>
      <c r="C1143" s="11">
        <v>2500</v>
      </c>
      <c r="D1143" s="11">
        <v>0</v>
      </c>
      <c r="E1143" s="11">
        <f t="shared" si="20"/>
        <v>177794143.14999866</v>
      </c>
      <c r="F1143" t="s">
        <v>19</v>
      </c>
      <c r="G1143" t="s">
        <v>189</v>
      </c>
    </row>
    <row r="1144" spans="1:9">
      <c r="A1144" s="5">
        <v>45960</v>
      </c>
      <c r="B1144" t="s">
        <v>3705</v>
      </c>
      <c r="C1144" s="11">
        <v>142192510</v>
      </c>
      <c r="D1144" s="11">
        <v>0</v>
      </c>
      <c r="E1144" s="11">
        <f t="shared" si="20"/>
        <v>35601633.149998665</v>
      </c>
      <c r="F1144" s="80" t="s">
        <v>920</v>
      </c>
      <c r="G1144" t="s">
        <v>4250</v>
      </c>
      <c r="H1144" t="s">
        <v>368</v>
      </c>
    </row>
    <row r="1145" spans="1:9">
      <c r="A1145" s="5">
        <v>45960</v>
      </c>
      <c r="B1145" t="s">
        <v>3706</v>
      </c>
      <c r="C1145" s="11">
        <v>2500</v>
      </c>
      <c r="D1145" s="11">
        <v>0</v>
      </c>
      <c r="E1145" s="11">
        <f t="shared" si="20"/>
        <v>35599133.149998665</v>
      </c>
      <c r="F1145" t="s">
        <v>19</v>
      </c>
      <c r="G1145" t="s">
        <v>189</v>
      </c>
    </row>
    <row r="1146" spans="1:9" s="40" customFormat="1">
      <c r="A1146" s="218">
        <v>45960</v>
      </c>
      <c r="B1146" s="40" t="s">
        <v>4012</v>
      </c>
      <c r="C1146" s="39">
        <v>0</v>
      </c>
      <c r="D1146" s="39">
        <v>827122466</v>
      </c>
      <c r="E1146" s="11">
        <f t="shared" si="20"/>
        <v>862721599.14999866</v>
      </c>
      <c r="F1146" s="40" t="s">
        <v>2140</v>
      </c>
      <c r="G1146" s="40" t="s">
        <v>2141</v>
      </c>
      <c r="H1146" s="40" t="s">
        <v>3334</v>
      </c>
      <c r="I1146" s="40" t="s">
        <v>4069</v>
      </c>
    </row>
    <row r="1147" spans="1:9">
      <c r="A1147" s="5">
        <v>45961</v>
      </c>
      <c r="B1147" t="s">
        <v>1217</v>
      </c>
      <c r="C1147" s="11">
        <v>25000</v>
      </c>
      <c r="D1147" s="11">
        <v>0</v>
      </c>
      <c r="E1147" s="11">
        <f t="shared" si="20"/>
        <v>862696599.14999866</v>
      </c>
      <c r="F1147" s="80" t="s">
        <v>19</v>
      </c>
      <c r="G1147" s="80" t="s">
        <v>189</v>
      </c>
    </row>
    <row r="1148" spans="1:9">
      <c r="A1148" s="5">
        <v>45961</v>
      </c>
      <c r="B1148" t="s">
        <v>1216</v>
      </c>
      <c r="C1148" s="11">
        <v>0</v>
      </c>
      <c r="D1148" s="11">
        <v>256654.5</v>
      </c>
      <c r="E1148" s="11">
        <f t="shared" si="20"/>
        <v>862953253.64999866</v>
      </c>
      <c r="F1148" s="80" t="s">
        <v>190</v>
      </c>
      <c r="G1148" s="80" t="s">
        <v>79</v>
      </c>
    </row>
    <row r="1149" spans="1:9">
      <c r="A1149" s="5">
        <v>45961</v>
      </c>
      <c r="B1149" t="s">
        <v>1218</v>
      </c>
      <c r="C1149" s="11">
        <v>51330.9</v>
      </c>
      <c r="D1149" s="11">
        <v>0</v>
      </c>
      <c r="E1149" s="11">
        <f t="shared" si="20"/>
        <v>862901922.74999869</v>
      </c>
      <c r="F1149" s="80" t="s">
        <v>190</v>
      </c>
      <c r="G1149" s="80" t="s">
        <v>79</v>
      </c>
    </row>
    <row r="1150" spans="1:9">
      <c r="A1150" s="5">
        <v>45963</v>
      </c>
      <c r="B1150" t="s">
        <v>4108</v>
      </c>
      <c r="C1150" s="11">
        <v>50929767</v>
      </c>
      <c r="D1150" s="11">
        <v>0</v>
      </c>
      <c r="E1150" s="11">
        <f t="shared" si="20"/>
        <v>811972155.74999869</v>
      </c>
      <c r="F1150" s="80" t="s">
        <v>920</v>
      </c>
      <c r="G1150" t="s">
        <v>4250</v>
      </c>
      <c r="H1150" t="s">
        <v>4817</v>
      </c>
    </row>
    <row r="1151" spans="1:9">
      <c r="A1151" s="5">
        <v>45963</v>
      </c>
      <c r="B1151" t="s">
        <v>4109</v>
      </c>
      <c r="C1151" s="11">
        <v>2500</v>
      </c>
      <c r="D1151" s="11">
        <v>0</v>
      </c>
      <c r="E1151" s="11">
        <f t="shared" si="20"/>
        <v>811969655.74999869</v>
      </c>
      <c r="F1151" s="80" t="s">
        <v>19</v>
      </c>
      <c r="G1151" s="80" t="s">
        <v>189</v>
      </c>
    </row>
    <row r="1152" spans="1:9">
      <c r="A1152" s="5">
        <v>45963</v>
      </c>
      <c r="B1152" t="s">
        <v>5808</v>
      </c>
      <c r="C1152" s="11">
        <v>50000000</v>
      </c>
      <c r="D1152" s="11">
        <v>0</v>
      </c>
      <c r="E1152" s="11">
        <f t="shared" si="20"/>
        <v>761969655.74999869</v>
      </c>
      <c r="F1152" s="80" t="s">
        <v>6</v>
      </c>
      <c r="G1152" s="80" t="s">
        <v>24</v>
      </c>
      <c r="H1152" t="s">
        <v>25</v>
      </c>
    </row>
    <row r="1153" spans="1:9">
      <c r="A1153" s="5">
        <v>45963</v>
      </c>
      <c r="B1153" t="s">
        <v>4110</v>
      </c>
      <c r="C1153" s="11">
        <v>2500</v>
      </c>
      <c r="D1153" s="11">
        <v>0</v>
      </c>
      <c r="E1153" s="11">
        <f t="shared" si="20"/>
        <v>761967155.74999869</v>
      </c>
      <c r="F1153" s="80" t="s">
        <v>19</v>
      </c>
      <c r="G1153" s="80" t="s">
        <v>189</v>
      </c>
    </row>
    <row r="1154" spans="1:9">
      <c r="A1154" s="5">
        <v>45966</v>
      </c>
      <c r="B1154" t="s">
        <v>4111</v>
      </c>
      <c r="C1154" s="11">
        <v>1399999</v>
      </c>
      <c r="D1154" s="11">
        <v>0</v>
      </c>
      <c r="E1154" s="11">
        <f t="shared" si="20"/>
        <v>760567156.74999869</v>
      </c>
      <c r="F1154" s="80" t="s">
        <v>10</v>
      </c>
      <c r="G1154" s="80" t="s">
        <v>446</v>
      </c>
      <c r="H1154" s="40" t="s">
        <v>4096</v>
      </c>
      <c r="I1154" t="s">
        <v>26</v>
      </c>
    </row>
    <row r="1155" spans="1:9">
      <c r="A1155" s="5">
        <v>45966</v>
      </c>
      <c r="B1155" t="s">
        <v>4112</v>
      </c>
      <c r="C1155" s="11">
        <v>2500</v>
      </c>
      <c r="D1155" s="11">
        <v>0</v>
      </c>
      <c r="E1155" s="11">
        <f t="shared" si="20"/>
        <v>760564656.74999869</v>
      </c>
      <c r="F1155" s="80" t="s">
        <v>19</v>
      </c>
      <c r="G1155" s="80" t="s">
        <v>189</v>
      </c>
    </row>
    <row r="1156" spans="1:9">
      <c r="A1156" s="5">
        <v>45966</v>
      </c>
      <c r="B1156" t="s">
        <v>4113</v>
      </c>
      <c r="C1156" s="11">
        <v>1400000</v>
      </c>
      <c r="D1156" s="11">
        <v>0</v>
      </c>
      <c r="E1156" s="11">
        <f t="shared" si="20"/>
        <v>759164656.74999869</v>
      </c>
      <c r="F1156" s="80" t="s">
        <v>10</v>
      </c>
      <c r="G1156" s="80" t="s">
        <v>446</v>
      </c>
      <c r="H1156" s="40" t="s">
        <v>4096</v>
      </c>
      <c r="I1156" t="s">
        <v>26</v>
      </c>
    </row>
    <row r="1157" spans="1:9">
      <c r="A1157" s="5">
        <v>45966</v>
      </c>
      <c r="B1157" t="s">
        <v>4114</v>
      </c>
      <c r="C1157" s="11">
        <v>2500</v>
      </c>
      <c r="D1157" s="11">
        <v>0</v>
      </c>
      <c r="E1157" s="11">
        <f t="shared" si="20"/>
        <v>759162156.74999869</v>
      </c>
      <c r="F1157" s="80" t="s">
        <v>19</v>
      </c>
      <c r="G1157" s="80" t="s">
        <v>189</v>
      </c>
    </row>
    <row r="1158" spans="1:9" ht="15.75">
      <c r="A1158" s="5">
        <v>45966</v>
      </c>
      <c r="B1158" t="s">
        <v>379</v>
      </c>
      <c r="C1158" s="11">
        <v>250000000</v>
      </c>
      <c r="D1158" s="11">
        <v>0</v>
      </c>
      <c r="E1158" s="11">
        <f t="shared" si="20"/>
        <v>509162156.74999869</v>
      </c>
      <c r="F1158" s="80" t="s">
        <v>920</v>
      </c>
      <c r="G1158" s="8" t="s">
        <v>4242</v>
      </c>
    </row>
    <row r="1159" spans="1:9">
      <c r="A1159" s="5">
        <v>45966</v>
      </c>
      <c r="B1159" t="s">
        <v>4116</v>
      </c>
      <c r="C1159" s="11">
        <v>2500</v>
      </c>
      <c r="D1159" s="11">
        <v>0</v>
      </c>
      <c r="E1159" s="11">
        <f t="shared" si="20"/>
        <v>509159656.74999869</v>
      </c>
      <c r="F1159" s="80" t="s">
        <v>19</v>
      </c>
      <c r="G1159" s="80" t="s">
        <v>189</v>
      </c>
    </row>
    <row r="1160" spans="1:9" s="40" customFormat="1">
      <c r="A1160" s="218">
        <v>45966</v>
      </c>
      <c r="B1160" s="40" t="s">
        <v>5802</v>
      </c>
      <c r="C1160" s="39">
        <v>1462741</v>
      </c>
      <c r="D1160" s="39">
        <v>0</v>
      </c>
      <c r="E1160" s="11">
        <f t="shared" si="20"/>
        <v>507696915.74999869</v>
      </c>
      <c r="F1160" s="40" t="s">
        <v>21</v>
      </c>
      <c r="G1160" s="40" t="s">
        <v>187</v>
      </c>
    </row>
    <row r="1161" spans="1:9">
      <c r="A1161" s="5">
        <v>45966</v>
      </c>
      <c r="B1161" t="s">
        <v>4117</v>
      </c>
      <c r="C1161" s="11">
        <v>56847522</v>
      </c>
      <c r="D1161" s="11">
        <v>0</v>
      </c>
      <c r="E1161" s="11">
        <f t="shared" si="20"/>
        <v>450849393.74999869</v>
      </c>
      <c r="F1161" s="80" t="s">
        <v>4</v>
      </c>
      <c r="G1161" s="80" t="s">
        <v>5</v>
      </c>
      <c r="H1161" s="40" t="s">
        <v>4099</v>
      </c>
      <c r="I1161" t="s">
        <v>5754</v>
      </c>
    </row>
    <row r="1162" spans="1:9">
      <c r="A1162" s="5">
        <v>45966</v>
      </c>
      <c r="B1162" t="s">
        <v>4118</v>
      </c>
      <c r="C1162" s="11">
        <v>2500</v>
      </c>
      <c r="D1162" s="11">
        <v>0</v>
      </c>
      <c r="E1162" s="11">
        <f t="shared" si="20"/>
        <v>450846893.74999869</v>
      </c>
      <c r="F1162" s="80" t="s">
        <v>19</v>
      </c>
      <c r="G1162" s="80" t="s">
        <v>189</v>
      </c>
    </row>
    <row r="1163" spans="1:9">
      <c r="A1163" s="5">
        <v>45966</v>
      </c>
      <c r="B1163" t="s">
        <v>4119</v>
      </c>
      <c r="C1163" s="11">
        <v>70000000</v>
      </c>
      <c r="D1163" s="11">
        <v>0</v>
      </c>
      <c r="E1163" s="11">
        <f t="shared" si="20"/>
        <v>380846893.74999869</v>
      </c>
      <c r="F1163" s="80" t="s">
        <v>4</v>
      </c>
      <c r="G1163" s="80" t="s">
        <v>5</v>
      </c>
      <c r="H1163" t="s">
        <v>4080</v>
      </c>
    </row>
    <row r="1164" spans="1:9">
      <c r="A1164" s="5">
        <v>45966</v>
      </c>
      <c r="B1164" t="s">
        <v>7129</v>
      </c>
      <c r="C1164" s="11">
        <v>26950000</v>
      </c>
      <c r="D1164" s="11">
        <v>0</v>
      </c>
      <c r="E1164" s="11">
        <f t="shared" si="20"/>
        <v>353896893.74999869</v>
      </c>
      <c r="F1164" s="80" t="s">
        <v>4</v>
      </c>
      <c r="G1164" s="80" t="s">
        <v>5</v>
      </c>
      <c r="H1164" t="s">
        <v>4080</v>
      </c>
    </row>
    <row r="1165" spans="1:9">
      <c r="A1165" s="5">
        <v>45966</v>
      </c>
      <c r="B1165" t="s">
        <v>7129</v>
      </c>
      <c r="C1165" s="11">
        <v>0</v>
      </c>
      <c r="D1165" s="11">
        <f>C1164-26411000</f>
        <v>539000</v>
      </c>
      <c r="E1165" s="11">
        <f t="shared" si="20"/>
        <v>354435893.74999869</v>
      </c>
      <c r="F1165" s="80" t="s">
        <v>6</v>
      </c>
      <c r="G1165" s="80" t="s">
        <v>53</v>
      </c>
      <c r="H1165" t="s">
        <v>7125</v>
      </c>
      <c r="I1165" t="s">
        <v>4565</v>
      </c>
    </row>
    <row r="1166" spans="1:9">
      <c r="A1166" s="5">
        <v>45966</v>
      </c>
      <c r="B1166" t="s">
        <v>4120</v>
      </c>
      <c r="C1166" s="11">
        <v>2500</v>
      </c>
      <c r="D1166" s="11">
        <v>0</v>
      </c>
      <c r="E1166" s="11">
        <f t="shared" si="20"/>
        <v>354433393.74999869</v>
      </c>
      <c r="F1166" s="80" t="s">
        <v>19</v>
      </c>
      <c r="G1166" s="80" t="s">
        <v>189</v>
      </c>
    </row>
    <row r="1167" spans="1:9">
      <c r="A1167" s="5">
        <v>45966</v>
      </c>
      <c r="B1167" t="s">
        <v>4121</v>
      </c>
      <c r="C1167" s="11">
        <v>22863120</v>
      </c>
      <c r="D1167" s="11">
        <v>0</v>
      </c>
      <c r="E1167" s="11">
        <f t="shared" si="20"/>
        <v>331570273.74999869</v>
      </c>
      <c r="F1167" s="80" t="s">
        <v>4</v>
      </c>
      <c r="G1167" s="80" t="s">
        <v>5</v>
      </c>
      <c r="H1167" s="40" t="s">
        <v>1634</v>
      </c>
    </row>
    <row r="1168" spans="1:9">
      <c r="A1168" s="5">
        <v>45966</v>
      </c>
      <c r="B1168" t="s">
        <v>4122</v>
      </c>
      <c r="C1168" s="11">
        <v>5400000</v>
      </c>
      <c r="D1168" s="11">
        <v>0</v>
      </c>
      <c r="E1168" s="11">
        <f t="shared" ref="E1168:E1231" si="21">E1167-C1168+D1168</f>
        <v>326170273.74999869</v>
      </c>
      <c r="F1168" s="80" t="s">
        <v>10</v>
      </c>
      <c r="G1168" s="80" t="s">
        <v>446</v>
      </c>
      <c r="H1168" s="40" t="s">
        <v>3283</v>
      </c>
      <c r="I1168" t="s">
        <v>26</v>
      </c>
    </row>
    <row r="1169" spans="1:9">
      <c r="A1169" s="5">
        <v>45966</v>
      </c>
      <c r="B1169" t="s">
        <v>4123</v>
      </c>
      <c r="C1169" s="11">
        <v>2500</v>
      </c>
      <c r="D1169" s="11">
        <v>0</v>
      </c>
      <c r="E1169" s="11">
        <f t="shared" si="21"/>
        <v>326167773.74999869</v>
      </c>
      <c r="F1169" s="80" t="s">
        <v>19</v>
      </c>
      <c r="G1169" s="80" t="s">
        <v>189</v>
      </c>
    </row>
    <row r="1170" spans="1:9">
      <c r="A1170" s="5">
        <v>45966</v>
      </c>
      <c r="B1170" t="s">
        <v>4124</v>
      </c>
      <c r="C1170" s="11">
        <v>67039880</v>
      </c>
      <c r="D1170" s="11">
        <v>0</v>
      </c>
      <c r="E1170" s="11">
        <f t="shared" si="21"/>
        <v>259127893.74999869</v>
      </c>
      <c r="F1170" s="80" t="s">
        <v>10</v>
      </c>
      <c r="G1170" s="80" t="s">
        <v>446</v>
      </c>
      <c r="H1170" s="40" t="s">
        <v>4095</v>
      </c>
      <c r="I1170" t="s">
        <v>26</v>
      </c>
    </row>
    <row r="1171" spans="1:9">
      <c r="A1171" s="5">
        <v>45966</v>
      </c>
      <c r="B1171" t="s">
        <v>4125</v>
      </c>
      <c r="C1171" s="11">
        <v>9625295</v>
      </c>
      <c r="D1171" s="11">
        <v>0</v>
      </c>
      <c r="E1171" s="11">
        <f t="shared" si="21"/>
        <v>249502598.74999869</v>
      </c>
      <c r="F1171" s="80" t="s">
        <v>10</v>
      </c>
      <c r="G1171" s="80" t="s">
        <v>446</v>
      </c>
      <c r="H1171" s="40" t="s">
        <v>4096</v>
      </c>
      <c r="I1171" t="s">
        <v>26</v>
      </c>
    </row>
    <row r="1172" spans="1:9">
      <c r="A1172" s="5">
        <v>45966</v>
      </c>
      <c r="B1172" t="s">
        <v>7104</v>
      </c>
      <c r="C1172" s="11">
        <v>18018018</v>
      </c>
      <c r="D1172" s="11">
        <v>0</v>
      </c>
      <c r="E1172" s="11">
        <f t="shared" si="21"/>
        <v>231484580.74999869</v>
      </c>
      <c r="F1172" s="80" t="s">
        <v>8</v>
      </c>
      <c r="G1172" s="80" t="s">
        <v>77</v>
      </c>
      <c r="H1172" t="s">
        <v>4564</v>
      </c>
    </row>
    <row r="1173" spans="1:9">
      <c r="A1173" s="5">
        <v>45966</v>
      </c>
      <c r="B1173" t="s">
        <v>7104</v>
      </c>
      <c r="C1173" s="11">
        <v>1981982</v>
      </c>
      <c r="D1173" s="11">
        <v>0</v>
      </c>
      <c r="E1173" s="11">
        <f t="shared" si="21"/>
        <v>229502598.74999869</v>
      </c>
      <c r="F1173" s="80" t="s">
        <v>920</v>
      </c>
      <c r="G1173" t="s">
        <v>7856</v>
      </c>
      <c r="H1173" s="40" t="s">
        <v>7032</v>
      </c>
      <c r="I1173" t="s">
        <v>4564</v>
      </c>
    </row>
    <row r="1174" spans="1:9">
      <c r="A1174" s="5">
        <v>45966</v>
      </c>
      <c r="B1174" t="s">
        <v>7104</v>
      </c>
      <c r="C1174" s="11">
        <v>0</v>
      </c>
      <c r="D1174" s="11">
        <f>C1172+C1173-18198198</f>
        <v>1801802</v>
      </c>
      <c r="E1174" s="11">
        <f t="shared" si="21"/>
        <v>231304400.74999869</v>
      </c>
      <c r="F1174" s="40" t="s">
        <v>1400</v>
      </c>
      <c r="G1174" s="40" t="s">
        <v>1400</v>
      </c>
      <c r="H1174" s="40" t="s">
        <v>2170</v>
      </c>
      <c r="I1174" t="s">
        <v>4564</v>
      </c>
    </row>
    <row r="1175" spans="1:9" ht="15.75">
      <c r="A1175" s="5">
        <v>45967</v>
      </c>
      <c r="B1175" t="s">
        <v>4126</v>
      </c>
      <c r="C1175" s="11">
        <v>50000000</v>
      </c>
      <c r="D1175" s="11">
        <v>0</v>
      </c>
      <c r="E1175" s="11">
        <f t="shared" si="21"/>
        <v>181304400.74999869</v>
      </c>
      <c r="F1175" s="80" t="s">
        <v>920</v>
      </c>
      <c r="G1175" s="8" t="s">
        <v>4242</v>
      </c>
    </row>
    <row r="1176" spans="1:9">
      <c r="A1176" s="5">
        <v>45967</v>
      </c>
      <c r="B1176" t="s">
        <v>2890</v>
      </c>
      <c r="C1176" s="11">
        <v>6500</v>
      </c>
      <c r="D1176" s="11">
        <v>0</v>
      </c>
      <c r="E1176" s="11">
        <f t="shared" si="21"/>
        <v>181297900.74999869</v>
      </c>
      <c r="F1176" s="80" t="s">
        <v>19</v>
      </c>
      <c r="G1176" s="80" t="s">
        <v>189</v>
      </c>
    </row>
    <row r="1177" spans="1:9" ht="15.75">
      <c r="A1177" s="5">
        <v>45967</v>
      </c>
      <c r="B1177" t="s">
        <v>4127</v>
      </c>
      <c r="C1177" s="11">
        <v>50000000</v>
      </c>
      <c r="D1177" s="11">
        <v>0</v>
      </c>
      <c r="E1177" s="11">
        <f t="shared" si="21"/>
        <v>131297900.74999869</v>
      </c>
      <c r="F1177" s="80" t="s">
        <v>920</v>
      </c>
      <c r="G1177" s="8" t="s">
        <v>4242</v>
      </c>
    </row>
    <row r="1178" spans="1:9">
      <c r="A1178" s="5">
        <v>45967</v>
      </c>
      <c r="B1178" t="s">
        <v>4128</v>
      </c>
      <c r="C1178" s="11">
        <v>6500</v>
      </c>
      <c r="D1178" s="11">
        <v>0</v>
      </c>
      <c r="E1178" s="11">
        <f t="shared" si="21"/>
        <v>131291400.74999869</v>
      </c>
      <c r="F1178" s="80" t="s">
        <v>19</v>
      </c>
      <c r="G1178" s="80" t="s">
        <v>189</v>
      </c>
    </row>
    <row r="1179" spans="1:9">
      <c r="A1179" s="5">
        <v>45967</v>
      </c>
      <c r="B1179" t="s">
        <v>3907</v>
      </c>
      <c r="C1179" s="11">
        <v>0</v>
      </c>
      <c r="D1179" s="11">
        <v>115000000</v>
      </c>
      <c r="E1179" s="11">
        <f t="shared" si="21"/>
        <v>246291400.74999869</v>
      </c>
      <c r="F1179" s="80" t="s">
        <v>920</v>
      </c>
      <c r="G1179" s="80" t="s">
        <v>4239</v>
      </c>
    </row>
    <row r="1180" spans="1:9">
      <c r="A1180" s="5">
        <v>45967</v>
      </c>
      <c r="B1180" t="s">
        <v>4129</v>
      </c>
      <c r="C1180" s="11">
        <v>0</v>
      </c>
      <c r="D1180" s="11">
        <v>250000000</v>
      </c>
      <c r="E1180" s="11">
        <f t="shared" si="21"/>
        <v>496291400.74999869</v>
      </c>
      <c r="F1180" s="80" t="s">
        <v>920</v>
      </c>
      <c r="G1180" t="s">
        <v>4245</v>
      </c>
    </row>
    <row r="1181" spans="1:9">
      <c r="A1181" s="5">
        <v>45967</v>
      </c>
      <c r="B1181" t="s">
        <v>4130</v>
      </c>
      <c r="C1181" s="11">
        <v>300000000</v>
      </c>
      <c r="D1181" s="11">
        <v>0</v>
      </c>
      <c r="E1181" s="11">
        <f t="shared" si="21"/>
        <v>196291400.74999869</v>
      </c>
      <c r="F1181" s="80" t="s">
        <v>920</v>
      </c>
      <c r="G1181" s="80" t="s">
        <v>4250</v>
      </c>
      <c r="H1181" t="s">
        <v>5978</v>
      </c>
    </row>
    <row r="1182" spans="1:9" s="40" customFormat="1">
      <c r="A1182" s="218">
        <v>45968</v>
      </c>
      <c r="B1182" s="40" t="s">
        <v>4607</v>
      </c>
      <c r="C1182" s="39">
        <v>1060000</v>
      </c>
      <c r="D1182" s="39">
        <v>0</v>
      </c>
      <c r="E1182" s="39">
        <f t="shared" si="21"/>
        <v>195231400.74999869</v>
      </c>
      <c r="F1182" s="40" t="s">
        <v>920</v>
      </c>
      <c r="G1182" s="40" t="s">
        <v>4242</v>
      </c>
      <c r="H1182" s="40" t="s">
        <v>88</v>
      </c>
      <c r="I1182" s="40" t="s">
        <v>4564</v>
      </c>
    </row>
    <row r="1183" spans="1:9" s="8" customFormat="1" ht="15.75">
      <c r="A1183" s="13">
        <v>45968</v>
      </c>
      <c r="B1183" s="8" t="s">
        <v>4607</v>
      </c>
      <c r="C1183" s="54">
        <v>70000</v>
      </c>
      <c r="D1183" s="54">
        <v>0</v>
      </c>
      <c r="E1183" s="11">
        <f t="shared" si="21"/>
        <v>195161400.74999869</v>
      </c>
      <c r="F1183" s="8" t="s">
        <v>920</v>
      </c>
      <c r="G1183" s="8" t="s">
        <v>4242</v>
      </c>
      <c r="H1183" s="8" t="s">
        <v>88</v>
      </c>
      <c r="I1183" s="8" t="s">
        <v>4564</v>
      </c>
    </row>
    <row r="1184" spans="1:9" s="8" customFormat="1" ht="15.75">
      <c r="A1184" s="13">
        <v>45968</v>
      </c>
      <c r="B1184" s="8" t="s">
        <v>4607</v>
      </c>
      <c r="C1184" s="54">
        <v>115540</v>
      </c>
      <c r="D1184" s="54">
        <v>0</v>
      </c>
      <c r="E1184" s="11">
        <f t="shared" si="21"/>
        <v>195045860.74999869</v>
      </c>
      <c r="F1184" s="8" t="s">
        <v>920</v>
      </c>
      <c r="G1184" s="8" t="s">
        <v>4242</v>
      </c>
      <c r="H1184" s="8" t="s">
        <v>88</v>
      </c>
      <c r="I1184" s="8" t="s">
        <v>4564</v>
      </c>
    </row>
    <row r="1185" spans="1:9" s="40" customFormat="1">
      <c r="A1185" s="218">
        <v>45968</v>
      </c>
      <c r="B1185" s="40" t="s">
        <v>4607</v>
      </c>
      <c r="C1185" s="39">
        <v>92000</v>
      </c>
      <c r="D1185" s="39">
        <v>0</v>
      </c>
      <c r="E1185" s="11">
        <f t="shared" si="21"/>
        <v>194953860.74999869</v>
      </c>
      <c r="F1185" s="40" t="s">
        <v>920</v>
      </c>
      <c r="G1185" s="40" t="s">
        <v>4242</v>
      </c>
      <c r="H1185" s="40" t="s">
        <v>88</v>
      </c>
      <c r="I1185" s="40" t="s">
        <v>4564</v>
      </c>
    </row>
    <row r="1186" spans="1:9" s="40" customFormat="1">
      <c r="A1186" s="218">
        <v>45968</v>
      </c>
      <c r="B1186" s="40" t="s">
        <v>4607</v>
      </c>
      <c r="C1186" s="39">
        <v>13514</v>
      </c>
      <c r="D1186" s="39">
        <v>0</v>
      </c>
      <c r="E1186" s="11">
        <f t="shared" si="21"/>
        <v>194940346.74999869</v>
      </c>
      <c r="F1186" s="40" t="s">
        <v>920</v>
      </c>
      <c r="G1186" s="40" t="s">
        <v>4242</v>
      </c>
      <c r="H1186" s="40" t="s">
        <v>88</v>
      </c>
      <c r="I1186" s="40" t="s">
        <v>4564</v>
      </c>
    </row>
    <row r="1187" spans="1:9" s="40" customFormat="1">
      <c r="A1187" s="218">
        <v>45968</v>
      </c>
      <c r="B1187" s="40" t="s">
        <v>4607</v>
      </c>
      <c r="C1187" s="39">
        <v>1801802</v>
      </c>
      <c r="D1187" s="39">
        <v>0</v>
      </c>
      <c r="E1187" s="11">
        <f t="shared" si="21"/>
        <v>193138544.74999869</v>
      </c>
      <c r="F1187" s="40" t="s">
        <v>1400</v>
      </c>
      <c r="G1187" s="40" t="s">
        <v>1400</v>
      </c>
      <c r="H1187" s="40" t="s">
        <v>2170</v>
      </c>
      <c r="I1187" s="40" t="s">
        <v>4564</v>
      </c>
    </row>
    <row r="1188" spans="1:9" s="40" customFormat="1">
      <c r="A1188" s="218">
        <v>45968</v>
      </c>
      <c r="B1188" s="40" t="s">
        <v>4607</v>
      </c>
      <c r="C1188" s="39">
        <v>3467357</v>
      </c>
      <c r="D1188" s="39">
        <v>0</v>
      </c>
      <c r="E1188" s="39">
        <f t="shared" si="21"/>
        <v>189671187.74999869</v>
      </c>
      <c r="F1188" s="40" t="s">
        <v>1400</v>
      </c>
      <c r="G1188" s="40" t="s">
        <v>1400</v>
      </c>
      <c r="H1188" s="40" t="s">
        <v>88</v>
      </c>
      <c r="I1188" s="40" t="s">
        <v>4564</v>
      </c>
    </row>
    <row r="1189" spans="1:9" s="40" customFormat="1">
      <c r="A1189" s="218">
        <v>45968</v>
      </c>
      <c r="B1189" s="40" t="s">
        <v>4607</v>
      </c>
      <c r="C1189" s="39">
        <v>377300</v>
      </c>
      <c r="D1189" s="39">
        <v>0</v>
      </c>
      <c r="E1189" s="11">
        <f t="shared" si="21"/>
        <v>189293887.74999869</v>
      </c>
      <c r="F1189" s="40" t="s">
        <v>920</v>
      </c>
      <c r="G1189" s="40" t="s">
        <v>4242</v>
      </c>
      <c r="H1189" s="40" t="s">
        <v>88</v>
      </c>
      <c r="I1189" s="40" t="s">
        <v>4564</v>
      </c>
    </row>
    <row r="1190" spans="1:9" s="40" customFormat="1">
      <c r="A1190" s="218">
        <v>45968</v>
      </c>
      <c r="B1190" s="40" t="s">
        <v>4607</v>
      </c>
      <c r="C1190" s="39">
        <v>1528450</v>
      </c>
      <c r="D1190" s="39">
        <v>0</v>
      </c>
      <c r="E1190" s="11">
        <f t="shared" si="21"/>
        <v>187765437.74999869</v>
      </c>
      <c r="F1190" s="40" t="s">
        <v>920</v>
      </c>
      <c r="G1190" s="40" t="s">
        <v>4242</v>
      </c>
      <c r="H1190" s="40" t="s">
        <v>88</v>
      </c>
      <c r="I1190" s="40" t="s">
        <v>4564</v>
      </c>
    </row>
    <row r="1191" spans="1:9" s="40" customFormat="1">
      <c r="A1191" s="218">
        <v>45968</v>
      </c>
      <c r="B1191" s="40" t="s">
        <v>4607</v>
      </c>
      <c r="C1191" s="39">
        <v>1528450</v>
      </c>
      <c r="D1191" s="39">
        <v>0</v>
      </c>
      <c r="E1191" s="11">
        <f t="shared" si="21"/>
        <v>186236987.74999869</v>
      </c>
      <c r="F1191" s="40" t="s">
        <v>920</v>
      </c>
      <c r="G1191" s="40" t="s">
        <v>4242</v>
      </c>
      <c r="H1191" s="40" t="s">
        <v>88</v>
      </c>
      <c r="I1191" s="40" t="s">
        <v>4564</v>
      </c>
    </row>
    <row r="1192" spans="1:9" s="40" customFormat="1">
      <c r="A1192" s="218">
        <v>45968</v>
      </c>
      <c r="B1192" s="40" t="s">
        <v>4607</v>
      </c>
      <c r="C1192" s="39">
        <v>4400000</v>
      </c>
      <c r="D1192" s="39">
        <v>0</v>
      </c>
      <c r="E1192" s="39">
        <f t="shared" si="21"/>
        <v>181836987.74999869</v>
      </c>
      <c r="F1192" s="40" t="s">
        <v>920</v>
      </c>
      <c r="G1192" s="40" t="s">
        <v>4242</v>
      </c>
      <c r="H1192" s="40" t="s">
        <v>88</v>
      </c>
      <c r="I1192" s="40" t="s">
        <v>4564</v>
      </c>
    </row>
    <row r="1193" spans="1:9" s="40" customFormat="1">
      <c r="A1193" s="218">
        <v>45968</v>
      </c>
      <c r="B1193" s="40" t="s">
        <v>4607</v>
      </c>
      <c r="C1193" s="39">
        <v>2940612</v>
      </c>
      <c r="D1193" s="39">
        <v>0</v>
      </c>
      <c r="E1193" s="39">
        <f t="shared" si="21"/>
        <v>178896375.74999869</v>
      </c>
      <c r="F1193" s="40" t="s">
        <v>920</v>
      </c>
      <c r="G1193" s="40" t="s">
        <v>4242</v>
      </c>
      <c r="H1193" s="40" t="s">
        <v>88</v>
      </c>
      <c r="I1193" s="40" t="s">
        <v>4564</v>
      </c>
    </row>
    <row r="1194" spans="1:9" s="40" customFormat="1">
      <c r="A1194" s="218">
        <v>45968</v>
      </c>
      <c r="B1194" s="40" t="s">
        <v>4607</v>
      </c>
      <c r="C1194" s="39">
        <v>4375000</v>
      </c>
      <c r="D1194" s="39">
        <v>0</v>
      </c>
      <c r="E1194" s="11">
        <f t="shared" si="21"/>
        <v>174521375.74999869</v>
      </c>
      <c r="F1194" s="40" t="s">
        <v>1400</v>
      </c>
      <c r="G1194" s="40" t="s">
        <v>1400</v>
      </c>
      <c r="H1194" s="40" t="s">
        <v>88</v>
      </c>
      <c r="I1194" s="40" t="s">
        <v>4564</v>
      </c>
    </row>
    <row r="1195" spans="1:9" s="40" customFormat="1">
      <c r="A1195" s="218">
        <v>45968</v>
      </c>
      <c r="B1195" s="40" t="s">
        <v>4607</v>
      </c>
      <c r="C1195" s="39">
        <v>2649184</v>
      </c>
      <c r="D1195" s="39">
        <v>0</v>
      </c>
      <c r="E1195" s="39">
        <f t="shared" si="21"/>
        <v>171872191.74999869</v>
      </c>
      <c r="F1195" s="40" t="s">
        <v>1400</v>
      </c>
      <c r="G1195" s="40" t="s">
        <v>1400</v>
      </c>
      <c r="H1195" s="40" t="s">
        <v>88</v>
      </c>
      <c r="I1195" s="40" t="s">
        <v>4564</v>
      </c>
    </row>
    <row r="1196" spans="1:9" s="40" customFormat="1">
      <c r="A1196" s="218">
        <v>45968</v>
      </c>
      <c r="B1196" s="40" t="s">
        <v>4607</v>
      </c>
      <c r="C1196" s="39">
        <v>424735</v>
      </c>
      <c r="D1196" s="39">
        <v>0</v>
      </c>
      <c r="E1196" s="39">
        <f t="shared" si="21"/>
        <v>171447456.74999869</v>
      </c>
      <c r="F1196" s="40" t="s">
        <v>1400</v>
      </c>
      <c r="G1196" s="40" t="s">
        <v>1400</v>
      </c>
      <c r="H1196" s="40" t="s">
        <v>88</v>
      </c>
      <c r="I1196" s="40" t="s">
        <v>4564</v>
      </c>
    </row>
    <row r="1197" spans="1:9" s="40" customFormat="1">
      <c r="A1197" s="218">
        <v>45968</v>
      </c>
      <c r="B1197" s="40" t="s">
        <v>4607</v>
      </c>
      <c r="C1197" s="39">
        <f>28632322-C1182-C1183-C1184-C1185-C1186-C1187-C1188-C1189-C1190-C1191-C1192-C1193-C1194-C1195-C1196</f>
        <v>3788378</v>
      </c>
      <c r="D1197" s="39">
        <v>0</v>
      </c>
      <c r="E1197" s="39">
        <f t="shared" si="21"/>
        <v>167659078.74999869</v>
      </c>
      <c r="F1197" s="40" t="s">
        <v>1400</v>
      </c>
      <c r="G1197" s="40" t="s">
        <v>1400</v>
      </c>
      <c r="H1197" s="40" t="s">
        <v>88</v>
      </c>
      <c r="I1197" s="40" t="s">
        <v>4564</v>
      </c>
    </row>
    <row r="1198" spans="1:9">
      <c r="A1198" s="5">
        <v>45968</v>
      </c>
      <c r="B1198" t="s">
        <v>4570</v>
      </c>
      <c r="C1198" s="11">
        <v>31782553</v>
      </c>
      <c r="D1198" s="11">
        <v>0</v>
      </c>
      <c r="E1198" s="11">
        <f t="shared" si="21"/>
        <v>135876525.74999869</v>
      </c>
      <c r="F1198" s="80" t="s">
        <v>62</v>
      </c>
      <c r="G1198" s="80" t="s">
        <v>23</v>
      </c>
      <c r="H1198" t="s">
        <v>2184</v>
      </c>
    </row>
    <row r="1199" spans="1:9" ht="15.75">
      <c r="A1199" s="5">
        <v>45968</v>
      </c>
      <c r="B1199" t="s">
        <v>379</v>
      </c>
      <c r="C1199" s="11">
        <v>100000000</v>
      </c>
      <c r="D1199" s="11">
        <v>0</v>
      </c>
      <c r="E1199" s="11">
        <f t="shared" si="21"/>
        <v>35876525.749998689</v>
      </c>
      <c r="F1199" s="80" t="s">
        <v>920</v>
      </c>
      <c r="G1199" s="8" t="s">
        <v>4242</v>
      </c>
    </row>
    <row r="1200" spans="1:9">
      <c r="A1200" s="5">
        <v>45968</v>
      </c>
      <c r="B1200" t="s">
        <v>4131</v>
      </c>
      <c r="C1200" s="11">
        <v>2500</v>
      </c>
      <c r="D1200" s="11">
        <v>0</v>
      </c>
      <c r="E1200" s="11">
        <f t="shared" si="21"/>
        <v>35874025.749998689</v>
      </c>
      <c r="F1200" s="80" t="s">
        <v>19</v>
      </c>
      <c r="G1200" s="80" t="s">
        <v>189</v>
      </c>
    </row>
    <row r="1201" spans="1:9" s="40" customFormat="1">
      <c r="A1201" s="218">
        <v>45968</v>
      </c>
      <c r="B1201" s="40" t="s">
        <v>4103</v>
      </c>
      <c r="C1201" s="39">
        <v>0</v>
      </c>
      <c r="D1201" s="39">
        <v>769671695</v>
      </c>
      <c r="E1201" s="11">
        <f t="shared" si="21"/>
        <v>805545720.74999869</v>
      </c>
      <c r="F1201" s="40" t="s">
        <v>2140</v>
      </c>
      <c r="G1201" s="40" t="s">
        <v>2141</v>
      </c>
      <c r="H1201" s="40" t="s">
        <v>2326</v>
      </c>
      <c r="I1201" s="40" t="s">
        <v>4040</v>
      </c>
    </row>
    <row r="1202" spans="1:9">
      <c r="A1202" s="5">
        <v>45969</v>
      </c>
      <c r="B1202" t="s">
        <v>4132</v>
      </c>
      <c r="C1202" s="11">
        <v>489392392</v>
      </c>
      <c r="D1202" s="11">
        <v>0</v>
      </c>
      <c r="E1202" s="11">
        <f t="shared" si="21"/>
        <v>316153328.74999869</v>
      </c>
      <c r="F1202" s="80" t="s">
        <v>4</v>
      </c>
      <c r="G1202" s="80" t="s">
        <v>5</v>
      </c>
      <c r="H1202" s="40" t="s">
        <v>4098</v>
      </c>
    </row>
    <row r="1203" spans="1:9">
      <c r="A1203" s="5">
        <v>45971</v>
      </c>
      <c r="B1203" t="s">
        <v>5809</v>
      </c>
      <c r="C1203" s="11">
        <v>0</v>
      </c>
      <c r="D1203" s="11">
        <v>1000000000</v>
      </c>
      <c r="E1203" s="11">
        <f t="shared" si="21"/>
        <v>1316153328.7499986</v>
      </c>
      <c r="F1203" s="80" t="s">
        <v>6</v>
      </c>
      <c r="G1203" s="80" t="s">
        <v>24</v>
      </c>
      <c r="H1203" t="s">
        <v>25</v>
      </c>
    </row>
    <row r="1204" spans="1:9">
      <c r="A1204" s="5">
        <v>45971</v>
      </c>
      <c r="B1204" t="s">
        <v>4133</v>
      </c>
      <c r="C1204" s="11">
        <v>1000000000</v>
      </c>
      <c r="D1204" s="11">
        <v>0</v>
      </c>
      <c r="E1204" s="11">
        <f t="shared" si="21"/>
        <v>316153328.74999857</v>
      </c>
      <c r="F1204" s="80" t="s">
        <v>6</v>
      </c>
      <c r="G1204" s="80" t="s">
        <v>24</v>
      </c>
      <c r="H1204" t="s">
        <v>4031</v>
      </c>
    </row>
    <row r="1205" spans="1:9">
      <c r="A1205" s="5">
        <v>45971</v>
      </c>
      <c r="B1205" t="s">
        <v>4115</v>
      </c>
      <c r="C1205" s="11">
        <v>2900</v>
      </c>
      <c r="D1205" s="11">
        <v>0</v>
      </c>
      <c r="E1205" s="11">
        <f t="shared" si="21"/>
        <v>316150428.74999857</v>
      </c>
      <c r="F1205" s="80" t="s">
        <v>19</v>
      </c>
      <c r="G1205" s="80" t="s">
        <v>189</v>
      </c>
    </row>
    <row r="1206" spans="1:9">
      <c r="A1206" s="5">
        <v>45971</v>
      </c>
      <c r="B1206" t="s">
        <v>4608</v>
      </c>
      <c r="C1206" s="11">
        <v>132428188</v>
      </c>
      <c r="D1206" s="11">
        <v>0</v>
      </c>
      <c r="E1206" s="11">
        <f t="shared" si="21"/>
        <v>183722240.74999857</v>
      </c>
      <c r="F1206" s="80" t="s">
        <v>920</v>
      </c>
      <c r="G1206" t="s">
        <v>7856</v>
      </c>
      <c r="H1206" t="s">
        <v>7147</v>
      </c>
      <c r="I1206" t="s">
        <v>4564</v>
      </c>
    </row>
    <row r="1207" spans="1:9">
      <c r="A1207" s="5">
        <v>45971</v>
      </c>
      <c r="B1207" t="s">
        <v>4134</v>
      </c>
      <c r="C1207" s="11">
        <v>8109590</v>
      </c>
      <c r="D1207" s="11">
        <v>0</v>
      </c>
      <c r="E1207" s="11">
        <f t="shared" si="21"/>
        <v>175612650.74999857</v>
      </c>
      <c r="F1207" s="80" t="s">
        <v>19</v>
      </c>
      <c r="G1207" s="80" t="s">
        <v>65</v>
      </c>
    </row>
    <row r="1208" spans="1:9">
      <c r="A1208" s="5">
        <v>45971</v>
      </c>
      <c r="B1208" t="s">
        <v>4135</v>
      </c>
      <c r="C1208" s="44">
        <v>2500</v>
      </c>
      <c r="D1208" s="11">
        <v>0</v>
      </c>
      <c r="E1208" s="11">
        <f t="shared" si="21"/>
        <v>175610150.74999857</v>
      </c>
      <c r="F1208" s="80" t="s">
        <v>19</v>
      </c>
      <c r="G1208" s="80" t="s">
        <v>189</v>
      </c>
    </row>
    <row r="1209" spans="1:9">
      <c r="A1209" s="5">
        <v>45971</v>
      </c>
      <c r="B1209" t="s">
        <v>4136</v>
      </c>
      <c r="C1209" s="11">
        <v>5260274</v>
      </c>
      <c r="D1209" s="11">
        <v>0</v>
      </c>
      <c r="E1209" s="11">
        <f t="shared" si="21"/>
        <v>170349876.74999857</v>
      </c>
      <c r="F1209" s="80" t="s">
        <v>19</v>
      </c>
      <c r="G1209" s="80" t="s">
        <v>65</v>
      </c>
    </row>
    <row r="1210" spans="1:9">
      <c r="A1210" s="5">
        <v>45971</v>
      </c>
      <c r="B1210" t="s">
        <v>4137</v>
      </c>
      <c r="C1210" s="44">
        <v>2500</v>
      </c>
      <c r="D1210" s="11">
        <v>0</v>
      </c>
      <c r="E1210" s="11">
        <f t="shared" si="21"/>
        <v>170347376.74999857</v>
      </c>
      <c r="F1210" s="80" t="s">
        <v>19</v>
      </c>
      <c r="G1210" s="80" t="s">
        <v>189</v>
      </c>
    </row>
    <row r="1211" spans="1:9">
      <c r="A1211" s="5">
        <v>45973</v>
      </c>
      <c r="B1211" t="s">
        <v>4104</v>
      </c>
      <c r="C1211" s="11">
        <v>20288382</v>
      </c>
      <c r="D1211" s="11">
        <v>0</v>
      </c>
      <c r="E1211" s="11">
        <f t="shared" si="21"/>
        <v>150058994.74999857</v>
      </c>
      <c r="F1211" t="s">
        <v>10</v>
      </c>
      <c r="G1211" t="s">
        <v>446</v>
      </c>
      <c r="H1211" s="40" t="s">
        <v>4092</v>
      </c>
      <c r="I1211" t="s">
        <v>26</v>
      </c>
    </row>
    <row r="1212" spans="1:9">
      <c r="A1212" s="5">
        <v>45973</v>
      </c>
      <c r="B1212" t="s">
        <v>4105</v>
      </c>
      <c r="C1212" s="11">
        <v>45454545</v>
      </c>
      <c r="D1212" s="11">
        <v>0</v>
      </c>
      <c r="E1212" s="11">
        <f t="shared" si="21"/>
        <v>104604449.74999857</v>
      </c>
      <c r="F1212" s="80" t="s">
        <v>4</v>
      </c>
      <c r="G1212" s="80" t="s">
        <v>5</v>
      </c>
      <c r="H1212" t="s">
        <v>4077</v>
      </c>
      <c r="I1212" t="s">
        <v>26</v>
      </c>
    </row>
    <row r="1213" spans="1:9">
      <c r="A1213" s="5">
        <v>45973</v>
      </c>
      <c r="B1213" t="s">
        <v>4106</v>
      </c>
      <c r="C1213" s="11">
        <v>6293600</v>
      </c>
      <c r="D1213" s="11">
        <v>0</v>
      </c>
      <c r="E1213" s="11">
        <f t="shared" si="21"/>
        <v>98310849.749998569</v>
      </c>
      <c r="F1213" s="80" t="s">
        <v>10</v>
      </c>
      <c r="G1213" s="80" t="s">
        <v>446</v>
      </c>
      <c r="H1213" s="40" t="s">
        <v>4096</v>
      </c>
      <c r="I1213" t="s">
        <v>26</v>
      </c>
    </row>
    <row r="1214" spans="1:9">
      <c r="A1214" s="5">
        <v>45973</v>
      </c>
      <c r="B1214" t="s">
        <v>4107</v>
      </c>
      <c r="C1214" s="11">
        <v>1223878</v>
      </c>
      <c r="D1214" s="11">
        <v>0</v>
      </c>
      <c r="E1214" s="11">
        <f t="shared" si="21"/>
        <v>97086971.749998569</v>
      </c>
      <c r="F1214" s="80" t="s">
        <v>4</v>
      </c>
      <c r="G1214" s="80" t="s">
        <v>5</v>
      </c>
      <c r="H1214" s="40" t="s">
        <v>1634</v>
      </c>
    </row>
    <row r="1215" spans="1:9" s="40" customFormat="1">
      <c r="A1215" s="218">
        <v>45975</v>
      </c>
      <c r="B1215" s="40" t="s">
        <v>4306</v>
      </c>
      <c r="C1215" s="39">
        <v>0</v>
      </c>
      <c r="D1215" s="39">
        <v>42532000</v>
      </c>
      <c r="E1215" s="11">
        <f t="shared" si="21"/>
        <v>139618971.74999857</v>
      </c>
      <c r="F1215" s="40" t="s">
        <v>10</v>
      </c>
      <c r="G1215" s="40" t="s">
        <v>18</v>
      </c>
      <c r="H1215" s="40" t="s">
        <v>2427</v>
      </c>
      <c r="I1215" s="40" t="s">
        <v>2390</v>
      </c>
    </row>
    <row r="1216" spans="1:9" s="40" customFormat="1">
      <c r="A1216" s="218">
        <v>45975</v>
      </c>
      <c r="B1216" s="40" t="s">
        <v>4306</v>
      </c>
      <c r="C1216" s="39">
        <v>0</v>
      </c>
      <c r="D1216" s="39">
        <f>82745145-D1215</f>
        <v>40213145</v>
      </c>
      <c r="E1216" s="11">
        <f t="shared" si="21"/>
        <v>179832116.74999857</v>
      </c>
      <c r="F1216" s="40" t="s">
        <v>10</v>
      </c>
      <c r="G1216" s="40" t="s">
        <v>18</v>
      </c>
      <c r="H1216" s="40" t="s">
        <v>430</v>
      </c>
      <c r="I1216" s="40" t="s">
        <v>2392</v>
      </c>
    </row>
    <row r="1217" spans="1:9" ht="15.75">
      <c r="A1217" s="5">
        <v>45975</v>
      </c>
      <c r="B1217" t="s">
        <v>374</v>
      </c>
      <c r="C1217" s="11">
        <v>179000000</v>
      </c>
      <c r="D1217" s="11">
        <v>0</v>
      </c>
      <c r="E1217" s="11">
        <f t="shared" si="21"/>
        <v>832116.74999856949</v>
      </c>
      <c r="F1217" s="80" t="s">
        <v>920</v>
      </c>
      <c r="G1217" s="8" t="s">
        <v>4242</v>
      </c>
    </row>
    <row r="1218" spans="1:9">
      <c r="A1218" s="5">
        <v>45975</v>
      </c>
      <c r="B1218" t="s">
        <v>4138</v>
      </c>
      <c r="C1218" s="11">
        <v>2500</v>
      </c>
      <c r="D1218" s="11">
        <v>0</v>
      </c>
      <c r="E1218" s="11">
        <f t="shared" si="21"/>
        <v>829616.74999856949</v>
      </c>
      <c r="F1218" s="80" t="s">
        <v>19</v>
      </c>
      <c r="G1218" s="80" t="s">
        <v>189</v>
      </c>
    </row>
    <row r="1219" spans="1:9">
      <c r="A1219" s="5">
        <v>45975</v>
      </c>
      <c r="B1219" t="s">
        <v>4139</v>
      </c>
      <c r="C1219" s="11">
        <v>0</v>
      </c>
      <c r="D1219" s="11">
        <v>4000000</v>
      </c>
      <c r="E1219" s="11">
        <f t="shared" si="21"/>
        <v>4829616.7499985695</v>
      </c>
      <c r="F1219" s="80" t="s">
        <v>920</v>
      </c>
      <c r="G1219" t="s">
        <v>4241</v>
      </c>
    </row>
    <row r="1220" spans="1:9">
      <c r="A1220" s="5">
        <v>45975</v>
      </c>
      <c r="B1220" t="s">
        <v>4140</v>
      </c>
      <c r="C1220" s="11">
        <v>4763317</v>
      </c>
      <c r="D1220" s="11">
        <v>0</v>
      </c>
      <c r="E1220" s="11">
        <f t="shared" si="21"/>
        <v>66299.749998569489</v>
      </c>
      <c r="F1220" s="80" t="s">
        <v>920</v>
      </c>
      <c r="G1220" s="80" t="s">
        <v>4250</v>
      </c>
      <c r="H1220" t="s">
        <v>5953</v>
      </c>
    </row>
    <row r="1221" spans="1:9">
      <c r="A1221" s="5">
        <v>45981</v>
      </c>
      <c r="B1221" t="s">
        <v>4139</v>
      </c>
      <c r="C1221" s="11">
        <v>0</v>
      </c>
      <c r="D1221" s="11">
        <v>140000000</v>
      </c>
      <c r="E1221" s="11">
        <f t="shared" si="21"/>
        <v>140066299.74999857</v>
      </c>
      <c r="F1221" s="80" t="s">
        <v>920</v>
      </c>
      <c r="G1221" s="80" t="s">
        <v>4241</v>
      </c>
    </row>
    <row r="1222" spans="1:9">
      <c r="A1222" s="5">
        <v>45981</v>
      </c>
      <c r="B1222" t="s">
        <v>4141</v>
      </c>
      <c r="C1222" s="11">
        <v>800000</v>
      </c>
      <c r="D1222" s="11">
        <v>0</v>
      </c>
      <c r="E1222" s="11">
        <f t="shared" si="21"/>
        <v>139266299.74999857</v>
      </c>
      <c r="F1222" s="80" t="s">
        <v>4</v>
      </c>
      <c r="G1222" s="80" t="s">
        <v>5</v>
      </c>
      <c r="H1222" t="s">
        <v>4077</v>
      </c>
      <c r="I1222" t="s">
        <v>26</v>
      </c>
    </row>
    <row r="1223" spans="1:9">
      <c r="A1223" s="5">
        <v>45981</v>
      </c>
      <c r="B1223" t="s">
        <v>4142</v>
      </c>
      <c r="C1223" s="11">
        <v>5130400</v>
      </c>
      <c r="D1223" s="11">
        <v>0</v>
      </c>
      <c r="E1223" s="11">
        <f t="shared" si="21"/>
        <v>134135899.74999857</v>
      </c>
      <c r="F1223" s="80" t="s">
        <v>10</v>
      </c>
      <c r="G1223" s="80" t="s">
        <v>446</v>
      </c>
      <c r="H1223" s="40" t="s">
        <v>4096</v>
      </c>
      <c r="I1223" t="s">
        <v>26</v>
      </c>
    </row>
    <row r="1224" spans="1:9">
      <c r="A1224" s="5">
        <v>45981</v>
      </c>
      <c r="B1224" t="s">
        <v>4143</v>
      </c>
      <c r="C1224" s="11">
        <v>2500</v>
      </c>
      <c r="D1224" s="11">
        <v>0</v>
      </c>
      <c r="E1224" s="11">
        <f t="shared" si="21"/>
        <v>134133399.74999857</v>
      </c>
      <c r="F1224" s="80" t="s">
        <v>19</v>
      </c>
      <c r="G1224" s="80" t="s">
        <v>189</v>
      </c>
    </row>
    <row r="1225" spans="1:9">
      <c r="A1225" s="5">
        <v>45981</v>
      </c>
      <c r="B1225" t="s">
        <v>4144</v>
      </c>
      <c r="C1225" s="11">
        <v>4124628</v>
      </c>
      <c r="D1225" s="11">
        <v>0</v>
      </c>
      <c r="E1225" s="11">
        <f t="shared" si="21"/>
        <v>130008771.74999857</v>
      </c>
      <c r="F1225" s="80" t="s">
        <v>10</v>
      </c>
      <c r="G1225" s="80" t="s">
        <v>446</v>
      </c>
      <c r="H1225" s="40" t="s">
        <v>4096</v>
      </c>
      <c r="I1225" t="s">
        <v>26</v>
      </c>
    </row>
    <row r="1226" spans="1:9" s="40" customFormat="1">
      <c r="A1226" s="218">
        <v>45981</v>
      </c>
      <c r="B1226" s="40" t="s">
        <v>4145</v>
      </c>
      <c r="C1226" s="39">
        <v>28540540</v>
      </c>
      <c r="D1226" s="39">
        <v>0</v>
      </c>
      <c r="E1226" s="11">
        <f t="shared" si="21"/>
        <v>101468231.74999857</v>
      </c>
      <c r="F1226" s="40" t="s">
        <v>10</v>
      </c>
      <c r="G1226" s="40" t="s">
        <v>446</v>
      </c>
      <c r="H1226" s="40" t="s">
        <v>5755</v>
      </c>
      <c r="I1226" s="40" t="s">
        <v>26</v>
      </c>
    </row>
    <row r="1227" spans="1:9">
      <c r="A1227" s="5">
        <v>45981</v>
      </c>
      <c r="B1227" t="s">
        <v>4146</v>
      </c>
      <c r="C1227" s="11">
        <v>2500</v>
      </c>
      <c r="D1227" s="11">
        <v>0</v>
      </c>
      <c r="E1227" s="11">
        <f t="shared" si="21"/>
        <v>101465731.74999857</v>
      </c>
      <c r="F1227" s="80" t="s">
        <v>19</v>
      </c>
      <c r="G1227" s="80" t="s">
        <v>189</v>
      </c>
    </row>
    <row r="1228" spans="1:9">
      <c r="A1228" s="5">
        <v>45981</v>
      </c>
      <c r="B1228" t="s">
        <v>4147</v>
      </c>
      <c r="C1228" s="11">
        <v>5486500</v>
      </c>
      <c r="D1228" s="11">
        <v>0</v>
      </c>
      <c r="E1228" s="11">
        <f t="shared" si="21"/>
        <v>95979231.749998569</v>
      </c>
      <c r="F1228" s="80" t="s">
        <v>10</v>
      </c>
      <c r="G1228" s="80" t="s">
        <v>446</v>
      </c>
      <c r="H1228" s="40" t="s">
        <v>4096</v>
      </c>
      <c r="I1228" t="s">
        <v>26</v>
      </c>
    </row>
    <row r="1229" spans="1:9">
      <c r="A1229" s="5">
        <v>45981</v>
      </c>
      <c r="B1229" t="s">
        <v>4148</v>
      </c>
      <c r="C1229" s="11">
        <v>2500</v>
      </c>
      <c r="D1229" s="11">
        <v>0</v>
      </c>
      <c r="E1229" s="11">
        <f t="shared" si="21"/>
        <v>95976731.749998569</v>
      </c>
      <c r="F1229" s="80" t="s">
        <v>19</v>
      </c>
      <c r="G1229" s="80" t="s">
        <v>189</v>
      </c>
    </row>
    <row r="1230" spans="1:9">
      <c r="A1230" s="5">
        <v>45981</v>
      </c>
      <c r="B1230" t="s">
        <v>4149</v>
      </c>
      <c r="C1230" s="11">
        <v>26533230</v>
      </c>
      <c r="D1230" s="11">
        <v>0</v>
      </c>
      <c r="E1230" s="11">
        <f t="shared" si="21"/>
        <v>69443501.749998569</v>
      </c>
      <c r="F1230" t="s">
        <v>10</v>
      </c>
      <c r="G1230" t="s">
        <v>446</v>
      </c>
      <c r="H1230" t="s">
        <v>4089</v>
      </c>
      <c r="I1230" t="s">
        <v>26</v>
      </c>
    </row>
    <row r="1231" spans="1:9">
      <c r="A1231" s="5">
        <v>45981</v>
      </c>
      <c r="B1231" t="s">
        <v>4150</v>
      </c>
      <c r="C1231" s="11">
        <v>1701000</v>
      </c>
      <c r="D1231" s="11">
        <v>0</v>
      </c>
      <c r="E1231" s="11">
        <f t="shared" si="21"/>
        <v>67742501.749998569</v>
      </c>
      <c r="F1231" t="s">
        <v>10</v>
      </c>
      <c r="G1231" t="s">
        <v>446</v>
      </c>
      <c r="H1231" t="s">
        <v>4084</v>
      </c>
      <c r="I1231" t="s">
        <v>26</v>
      </c>
    </row>
    <row r="1232" spans="1:9">
      <c r="A1232" s="5">
        <v>45981</v>
      </c>
      <c r="B1232" t="s">
        <v>4151</v>
      </c>
      <c r="C1232" s="11">
        <v>2500</v>
      </c>
      <c r="D1232" s="11">
        <v>0</v>
      </c>
      <c r="E1232" s="11">
        <f t="shared" ref="E1232:E1295" si="22">E1231-C1232+D1232</f>
        <v>67740001.749998569</v>
      </c>
      <c r="F1232" s="80" t="s">
        <v>19</v>
      </c>
      <c r="G1232" s="80" t="s">
        <v>189</v>
      </c>
    </row>
    <row r="1233" spans="1:9">
      <c r="A1233" s="5">
        <v>45981</v>
      </c>
      <c r="B1233" t="s">
        <v>4152</v>
      </c>
      <c r="C1233" s="11">
        <v>5659286</v>
      </c>
      <c r="D1233" s="11">
        <v>0</v>
      </c>
      <c r="E1233" s="11">
        <f t="shared" si="22"/>
        <v>62080715.749998569</v>
      </c>
      <c r="F1233" s="80" t="s">
        <v>4</v>
      </c>
      <c r="G1233" s="80" t="s">
        <v>5</v>
      </c>
      <c r="H1233" s="40" t="s">
        <v>4100</v>
      </c>
      <c r="I1233" t="s">
        <v>26</v>
      </c>
    </row>
    <row r="1234" spans="1:9" ht="15.75">
      <c r="A1234" s="5">
        <v>45981</v>
      </c>
      <c r="B1234" t="s">
        <v>4153</v>
      </c>
      <c r="C1234" s="11">
        <v>4486652</v>
      </c>
      <c r="D1234" s="11">
        <v>0</v>
      </c>
      <c r="E1234" s="11">
        <f t="shared" si="22"/>
        <v>57594063.749998569</v>
      </c>
      <c r="F1234" s="8" t="s">
        <v>10</v>
      </c>
      <c r="G1234" s="8" t="s">
        <v>446</v>
      </c>
      <c r="H1234" t="s">
        <v>3283</v>
      </c>
      <c r="I1234" t="s">
        <v>26</v>
      </c>
    </row>
    <row r="1235" spans="1:9">
      <c r="A1235" s="5">
        <v>45981</v>
      </c>
      <c r="B1235" t="s">
        <v>4154</v>
      </c>
      <c r="C1235" s="11">
        <v>2500</v>
      </c>
      <c r="D1235" s="11">
        <v>0</v>
      </c>
      <c r="E1235" s="11">
        <f t="shared" si="22"/>
        <v>57591563.749998569</v>
      </c>
      <c r="F1235" s="80" t="s">
        <v>19</v>
      </c>
      <c r="G1235" s="80" t="s">
        <v>189</v>
      </c>
    </row>
    <row r="1236" spans="1:9">
      <c r="A1236" s="5">
        <v>45981</v>
      </c>
      <c r="B1236" t="s">
        <v>4225</v>
      </c>
      <c r="C1236" s="11">
        <v>664250</v>
      </c>
      <c r="D1236" s="11">
        <v>0</v>
      </c>
      <c r="E1236" s="11">
        <f t="shared" si="22"/>
        <v>56927313.749998569</v>
      </c>
      <c r="F1236" s="80" t="s">
        <v>4</v>
      </c>
      <c r="G1236" s="80" t="s">
        <v>5</v>
      </c>
      <c r="H1236" t="s">
        <v>4077</v>
      </c>
      <c r="I1236" t="s">
        <v>26</v>
      </c>
    </row>
    <row r="1237" spans="1:9">
      <c r="A1237" s="5">
        <v>45981</v>
      </c>
      <c r="B1237" t="s">
        <v>4155</v>
      </c>
      <c r="C1237" s="11">
        <v>10000000</v>
      </c>
      <c r="D1237" s="11">
        <v>0</v>
      </c>
      <c r="E1237" s="11">
        <f t="shared" si="22"/>
        <v>46927313.749998569</v>
      </c>
      <c r="F1237" s="80" t="s">
        <v>4</v>
      </c>
      <c r="G1237" s="80" t="s">
        <v>5</v>
      </c>
      <c r="H1237" s="40" t="s">
        <v>1627</v>
      </c>
    </row>
    <row r="1238" spans="1:9">
      <c r="A1238" s="5">
        <v>45981</v>
      </c>
      <c r="B1238" t="s">
        <v>4156</v>
      </c>
      <c r="C1238" s="11">
        <v>2500</v>
      </c>
      <c r="D1238" s="11">
        <v>0</v>
      </c>
      <c r="E1238" s="11">
        <f t="shared" si="22"/>
        <v>46924813.749998569</v>
      </c>
      <c r="F1238" s="80" t="s">
        <v>19</v>
      </c>
      <c r="G1238" s="80" t="s">
        <v>189</v>
      </c>
    </row>
    <row r="1239" spans="1:9">
      <c r="A1239" s="5">
        <v>45981</v>
      </c>
      <c r="B1239" t="s">
        <v>4157</v>
      </c>
      <c r="C1239" s="11">
        <v>8044406</v>
      </c>
      <c r="D1239" s="11">
        <v>0</v>
      </c>
      <c r="E1239" s="11">
        <f t="shared" si="22"/>
        <v>38880407.749998569</v>
      </c>
      <c r="F1239" s="80" t="s">
        <v>4</v>
      </c>
      <c r="G1239" s="80" t="s">
        <v>5</v>
      </c>
      <c r="H1239" s="40" t="s">
        <v>1634</v>
      </c>
    </row>
    <row r="1240" spans="1:9" s="8" customFormat="1" ht="15.75">
      <c r="A1240" s="13">
        <v>45981</v>
      </c>
      <c r="B1240" s="8" t="s">
        <v>4158</v>
      </c>
      <c r="C1240" s="54">
        <v>7187560</v>
      </c>
      <c r="D1240" s="54">
        <v>0</v>
      </c>
      <c r="E1240" s="11">
        <f t="shared" si="22"/>
        <v>31692847.749998569</v>
      </c>
      <c r="F1240" s="8" t="s">
        <v>4</v>
      </c>
      <c r="G1240" s="8" t="s">
        <v>5</v>
      </c>
      <c r="H1240" s="8" t="s">
        <v>5955</v>
      </c>
      <c r="I1240" s="8" t="s">
        <v>26</v>
      </c>
    </row>
    <row r="1241" spans="1:9">
      <c r="A1241" s="5">
        <v>45981</v>
      </c>
      <c r="B1241" t="s">
        <v>4159</v>
      </c>
      <c r="C1241" s="11">
        <v>3095750</v>
      </c>
      <c r="D1241" s="11">
        <v>0</v>
      </c>
      <c r="E1241" s="11">
        <f t="shared" si="22"/>
        <v>28597097.749998569</v>
      </c>
      <c r="F1241" s="80" t="s">
        <v>8</v>
      </c>
      <c r="G1241" s="80" t="s">
        <v>33</v>
      </c>
    </row>
    <row r="1242" spans="1:9" ht="15.75">
      <c r="A1242" s="5">
        <v>45981</v>
      </c>
      <c r="B1242" t="s">
        <v>4160</v>
      </c>
      <c r="C1242" s="11">
        <v>27361053</v>
      </c>
      <c r="D1242" s="11">
        <v>0</v>
      </c>
      <c r="E1242" s="11">
        <f t="shared" si="22"/>
        <v>1236044.7499985695</v>
      </c>
      <c r="F1242" s="8" t="s">
        <v>10</v>
      </c>
      <c r="G1242" s="8" t="s">
        <v>446</v>
      </c>
      <c r="H1242" s="40" t="s">
        <v>4096</v>
      </c>
      <c r="I1242" t="s">
        <v>26</v>
      </c>
    </row>
    <row r="1243" spans="1:9" s="40" customFormat="1">
      <c r="A1243" s="218">
        <v>45982</v>
      </c>
      <c r="B1243" s="40" t="s">
        <v>4161</v>
      </c>
      <c r="C1243" s="39">
        <v>0</v>
      </c>
      <c r="D1243" s="39">
        <v>27088100</v>
      </c>
      <c r="E1243" s="11">
        <f t="shared" si="22"/>
        <v>28324144.749998569</v>
      </c>
      <c r="F1243" s="40" t="s">
        <v>2140</v>
      </c>
      <c r="G1243" s="40" t="s">
        <v>2141</v>
      </c>
      <c r="H1243" s="40" t="s">
        <v>3135</v>
      </c>
      <c r="I1243" s="40" t="s">
        <v>4075</v>
      </c>
    </row>
    <row r="1244" spans="1:9">
      <c r="A1244" s="5">
        <v>45982</v>
      </c>
      <c r="B1244" t="s">
        <v>4162</v>
      </c>
      <c r="C1244" s="11">
        <v>1930000</v>
      </c>
      <c r="D1244" s="11">
        <v>0</v>
      </c>
      <c r="E1244" s="11">
        <f t="shared" si="22"/>
        <v>26394144.749998569</v>
      </c>
      <c r="F1244" s="80" t="s">
        <v>920</v>
      </c>
      <c r="G1244" t="s">
        <v>4246</v>
      </c>
    </row>
    <row r="1245" spans="1:9">
      <c r="A1245" s="5">
        <v>45982</v>
      </c>
      <c r="B1245" t="s">
        <v>4163</v>
      </c>
      <c r="C1245" s="11">
        <v>2500</v>
      </c>
      <c r="D1245" s="11">
        <v>0</v>
      </c>
      <c r="E1245" s="11">
        <f t="shared" si="22"/>
        <v>26391644.749998569</v>
      </c>
      <c r="F1245" s="80" t="s">
        <v>19</v>
      </c>
      <c r="G1245" s="80" t="s">
        <v>189</v>
      </c>
    </row>
    <row r="1246" spans="1:9">
      <c r="A1246" s="5">
        <v>45983</v>
      </c>
      <c r="B1246" t="s">
        <v>3529</v>
      </c>
      <c r="C1246" s="11">
        <v>6861646</v>
      </c>
      <c r="D1246" s="11">
        <v>0</v>
      </c>
      <c r="E1246" s="11">
        <f t="shared" si="22"/>
        <v>19529998.749998569</v>
      </c>
      <c r="F1246" s="80" t="s">
        <v>62</v>
      </c>
      <c r="G1246" s="80" t="s">
        <v>251</v>
      </c>
      <c r="H1246" t="s">
        <v>4565</v>
      </c>
    </row>
    <row r="1247" spans="1:9">
      <c r="A1247" s="5">
        <v>45983</v>
      </c>
      <c r="B1247" t="s">
        <v>3904</v>
      </c>
      <c r="C1247" s="11">
        <v>17752909</v>
      </c>
      <c r="D1247" s="11">
        <v>0</v>
      </c>
      <c r="E1247" s="11">
        <f t="shared" si="22"/>
        <v>1777089.7499985695</v>
      </c>
      <c r="F1247" s="80" t="s">
        <v>62</v>
      </c>
      <c r="G1247" t="s">
        <v>252</v>
      </c>
      <c r="H1247" t="s">
        <v>4565</v>
      </c>
    </row>
    <row r="1248" spans="1:9" s="40" customFormat="1" ht="15.75">
      <c r="A1248" s="218">
        <v>45986</v>
      </c>
      <c r="B1248" s="40" t="s">
        <v>4667</v>
      </c>
      <c r="C1248" s="39">
        <v>0</v>
      </c>
      <c r="D1248" s="39">
        <v>980000000</v>
      </c>
      <c r="E1248" s="11">
        <f t="shared" si="22"/>
        <v>981777089.74999857</v>
      </c>
      <c r="F1248" s="40" t="s">
        <v>2140</v>
      </c>
      <c r="G1248" s="40" t="s">
        <v>2141</v>
      </c>
      <c r="H1248" s="154" t="s">
        <v>1352</v>
      </c>
      <c r="I1248" s="37" t="s">
        <v>5839</v>
      </c>
    </row>
    <row r="1249" spans="1:9">
      <c r="A1249" s="5">
        <v>45986</v>
      </c>
      <c r="B1249" t="s">
        <v>379</v>
      </c>
      <c r="C1249" s="11">
        <v>250000000</v>
      </c>
      <c r="D1249" s="11">
        <v>0</v>
      </c>
      <c r="E1249" s="11">
        <f t="shared" si="22"/>
        <v>731777089.74999857</v>
      </c>
      <c r="F1249" s="80" t="s">
        <v>920</v>
      </c>
      <c r="G1249" t="s">
        <v>4242</v>
      </c>
    </row>
    <row r="1250" spans="1:9">
      <c r="A1250" s="5">
        <v>45986</v>
      </c>
      <c r="B1250" t="s">
        <v>4668</v>
      </c>
      <c r="C1250" s="11">
        <v>2500</v>
      </c>
      <c r="D1250" s="11">
        <v>0</v>
      </c>
      <c r="E1250" s="11">
        <f t="shared" si="22"/>
        <v>731774589.74999857</v>
      </c>
      <c r="F1250" s="80" t="s">
        <v>19</v>
      </c>
      <c r="G1250" t="s">
        <v>189</v>
      </c>
    </row>
    <row r="1251" spans="1:9">
      <c r="A1251" s="5">
        <v>45986</v>
      </c>
      <c r="B1251" t="s">
        <v>380</v>
      </c>
      <c r="C1251" s="11">
        <v>100000000</v>
      </c>
      <c r="D1251" s="11">
        <v>0</v>
      </c>
      <c r="E1251" s="11">
        <f t="shared" si="22"/>
        <v>631774589.74999857</v>
      </c>
      <c r="F1251" s="80" t="s">
        <v>920</v>
      </c>
      <c r="G1251" t="s">
        <v>4242</v>
      </c>
    </row>
    <row r="1252" spans="1:9">
      <c r="A1252" s="5">
        <v>45986</v>
      </c>
      <c r="B1252" t="s">
        <v>4669</v>
      </c>
      <c r="C1252" s="11">
        <v>2500</v>
      </c>
      <c r="D1252" s="11">
        <v>0</v>
      </c>
      <c r="E1252" s="11">
        <f t="shared" si="22"/>
        <v>631772089.74999857</v>
      </c>
      <c r="F1252" s="80" t="s">
        <v>19</v>
      </c>
      <c r="G1252" t="s">
        <v>189</v>
      </c>
    </row>
    <row r="1253" spans="1:9">
      <c r="A1253" s="5">
        <v>45986</v>
      </c>
      <c r="B1253" t="s">
        <v>4691</v>
      </c>
      <c r="C1253" s="11">
        <v>31666314</v>
      </c>
      <c r="D1253" s="11">
        <v>0</v>
      </c>
      <c r="E1253" s="11">
        <f t="shared" si="22"/>
        <v>600105775.74999857</v>
      </c>
      <c r="F1253" s="80" t="s">
        <v>62</v>
      </c>
      <c r="G1253" t="s">
        <v>23</v>
      </c>
      <c r="H1253" t="s">
        <v>2184</v>
      </c>
    </row>
    <row r="1254" spans="1:9" s="8" customFormat="1" ht="15.75">
      <c r="A1254" s="13">
        <v>45986</v>
      </c>
      <c r="B1254" s="8" t="s">
        <v>4670</v>
      </c>
      <c r="C1254" s="54">
        <v>56000000</v>
      </c>
      <c r="D1254" s="54">
        <v>0</v>
      </c>
      <c r="E1254" s="11">
        <f t="shared" si="22"/>
        <v>544105775.74999857</v>
      </c>
      <c r="F1254" s="8" t="s">
        <v>4</v>
      </c>
      <c r="G1254" s="8" t="s">
        <v>5</v>
      </c>
      <c r="H1254" s="8" t="s">
        <v>5955</v>
      </c>
      <c r="I1254" s="8" t="s">
        <v>26</v>
      </c>
    </row>
    <row r="1255" spans="1:9" s="8" customFormat="1" ht="15.75">
      <c r="A1255" s="13">
        <v>45986</v>
      </c>
      <c r="B1255" s="8" t="s">
        <v>4671</v>
      </c>
      <c r="C1255" s="54">
        <v>7500000</v>
      </c>
      <c r="D1255" s="54">
        <v>0</v>
      </c>
      <c r="E1255" s="11">
        <f t="shared" si="22"/>
        <v>536605775.74999857</v>
      </c>
      <c r="F1255" s="8" t="s">
        <v>10</v>
      </c>
      <c r="G1255" s="8" t="s">
        <v>446</v>
      </c>
      <c r="H1255" s="8" t="s">
        <v>5756</v>
      </c>
      <c r="I1255" s="8" t="s">
        <v>26</v>
      </c>
    </row>
    <row r="1256" spans="1:9">
      <c r="A1256" s="5">
        <v>45986</v>
      </c>
      <c r="B1256" t="s">
        <v>4672</v>
      </c>
      <c r="C1256" s="11">
        <v>2500</v>
      </c>
      <c r="D1256" s="11">
        <v>0</v>
      </c>
      <c r="E1256" s="11">
        <f t="shared" si="22"/>
        <v>536603275.74999857</v>
      </c>
      <c r="F1256" s="80" t="s">
        <v>19</v>
      </c>
      <c r="G1256" t="s">
        <v>189</v>
      </c>
    </row>
    <row r="1257" spans="1:9" s="8" customFormat="1" ht="15.75">
      <c r="A1257" s="13">
        <v>45986</v>
      </c>
      <c r="B1257" s="8" t="s">
        <v>4673</v>
      </c>
      <c r="C1257" s="54">
        <v>7500000</v>
      </c>
      <c r="D1257" s="54">
        <v>0</v>
      </c>
      <c r="E1257" s="11">
        <f t="shared" si="22"/>
        <v>529103275.74999857</v>
      </c>
      <c r="F1257" s="8" t="s">
        <v>10</v>
      </c>
      <c r="G1257" s="8" t="s">
        <v>446</v>
      </c>
      <c r="H1257" s="8" t="s">
        <v>5756</v>
      </c>
      <c r="I1257" s="8" t="s">
        <v>26</v>
      </c>
    </row>
    <row r="1258" spans="1:9">
      <c r="A1258" s="5">
        <v>45986</v>
      </c>
      <c r="B1258" t="s">
        <v>4674</v>
      </c>
      <c r="C1258" s="11">
        <v>19279714</v>
      </c>
      <c r="D1258" s="11">
        <v>0</v>
      </c>
      <c r="E1258" s="11">
        <f t="shared" si="22"/>
        <v>509823561.74999857</v>
      </c>
      <c r="F1258" s="80" t="s">
        <v>4</v>
      </c>
      <c r="G1258" t="s">
        <v>5</v>
      </c>
      <c r="H1258" s="40" t="s">
        <v>4100</v>
      </c>
      <c r="I1258" t="s">
        <v>26</v>
      </c>
    </row>
    <row r="1259" spans="1:9">
      <c r="A1259" s="5">
        <v>45986</v>
      </c>
      <c r="B1259" t="s">
        <v>4675</v>
      </c>
      <c r="C1259" s="11">
        <v>2500</v>
      </c>
      <c r="D1259" s="11">
        <v>0</v>
      </c>
      <c r="E1259" s="11">
        <f t="shared" si="22"/>
        <v>509821061.74999857</v>
      </c>
      <c r="F1259" s="80" t="s">
        <v>19</v>
      </c>
      <c r="G1259" t="s">
        <v>189</v>
      </c>
    </row>
    <row r="1260" spans="1:9">
      <c r="A1260" s="5">
        <v>45986</v>
      </c>
      <c r="B1260" t="s">
        <v>380</v>
      </c>
      <c r="C1260" s="11">
        <v>250000000</v>
      </c>
      <c r="D1260" s="11">
        <v>0</v>
      </c>
      <c r="E1260" s="11">
        <f t="shared" si="22"/>
        <v>259821061.74999857</v>
      </c>
      <c r="F1260" s="80" t="s">
        <v>920</v>
      </c>
      <c r="G1260" t="s">
        <v>4242</v>
      </c>
    </row>
    <row r="1261" spans="1:9">
      <c r="A1261" s="5">
        <v>45986</v>
      </c>
      <c r="B1261" t="s">
        <v>4676</v>
      </c>
      <c r="C1261" s="11">
        <v>2500</v>
      </c>
      <c r="D1261" s="11">
        <v>0</v>
      </c>
      <c r="E1261" s="11">
        <f t="shared" si="22"/>
        <v>259818561.74999857</v>
      </c>
      <c r="F1261" s="80" t="s">
        <v>19</v>
      </c>
      <c r="G1261" t="s">
        <v>189</v>
      </c>
    </row>
    <row r="1262" spans="1:9" s="8" customFormat="1" ht="15.75">
      <c r="A1262" s="13">
        <v>45986</v>
      </c>
      <c r="B1262" s="8" t="s">
        <v>4677</v>
      </c>
      <c r="C1262" s="54">
        <v>5000000</v>
      </c>
      <c r="D1262" s="54">
        <v>0</v>
      </c>
      <c r="E1262" s="11">
        <f t="shared" si="22"/>
        <v>254818561.74999857</v>
      </c>
      <c r="F1262" s="8" t="s">
        <v>10</v>
      </c>
      <c r="G1262" s="8" t="s">
        <v>446</v>
      </c>
      <c r="H1262" s="8" t="s">
        <v>5756</v>
      </c>
      <c r="I1262" s="8" t="s">
        <v>26</v>
      </c>
    </row>
    <row r="1263" spans="1:9">
      <c r="A1263" s="5">
        <v>45986</v>
      </c>
      <c r="B1263" t="s">
        <v>4678</v>
      </c>
      <c r="C1263" s="11">
        <v>2500</v>
      </c>
      <c r="D1263" s="11">
        <v>0</v>
      </c>
      <c r="E1263" s="11">
        <f t="shared" si="22"/>
        <v>254816061.74999857</v>
      </c>
      <c r="F1263" s="80" t="s">
        <v>19</v>
      </c>
      <c r="G1263" t="s">
        <v>189</v>
      </c>
    </row>
    <row r="1264" spans="1:9">
      <c r="A1264" s="5">
        <v>45986</v>
      </c>
      <c r="B1264" t="s">
        <v>374</v>
      </c>
      <c r="C1264" s="11">
        <v>150000000</v>
      </c>
      <c r="D1264" s="11">
        <v>0</v>
      </c>
      <c r="E1264" s="11">
        <f t="shared" si="22"/>
        <v>104816061.74999857</v>
      </c>
      <c r="F1264" s="80" t="s">
        <v>920</v>
      </c>
      <c r="G1264" t="s">
        <v>4242</v>
      </c>
    </row>
    <row r="1265" spans="1:9">
      <c r="A1265" s="5">
        <v>45986</v>
      </c>
      <c r="B1265" t="s">
        <v>4679</v>
      </c>
      <c r="C1265" s="11">
        <v>2500</v>
      </c>
      <c r="D1265" s="11">
        <v>0</v>
      </c>
      <c r="E1265" s="11">
        <f t="shared" si="22"/>
        <v>104813561.74999857</v>
      </c>
      <c r="F1265" s="80" t="s">
        <v>19</v>
      </c>
      <c r="G1265" t="s">
        <v>189</v>
      </c>
    </row>
    <row r="1266" spans="1:9" s="8" customFormat="1" ht="15.75">
      <c r="A1266" s="13">
        <v>45986</v>
      </c>
      <c r="B1266" s="8" t="s">
        <v>4680</v>
      </c>
      <c r="C1266" s="54">
        <v>5000000</v>
      </c>
      <c r="D1266" s="54">
        <v>0</v>
      </c>
      <c r="E1266" s="11">
        <f t="shared" si="22"/>
        <v>99813561.749998569</v>
      </c>
      <c r="F1266" s="8" t="s">
        <v>10</v>
      </c>
      <c r="G1266" s="8" t="s">
        <v>446</v>
      </c>
      <c r="H1266" s="8" t="s">
        <v>5756</v>
      </c>
      <c r="I1266" s="8" t="s">
        <v>26</v>
      </c>
    </row>
    <row r="1267" spans="1:9">
      <c r="A1267" s="5">
        <v>45986</v>
      </c>
      <c r="B1267" t="s">
        <v>4681</v>
      </c>
      <c r="C1267" s="11">
        <v>2500</v>
      </c>
      <c r="D1267" s="11">
        <v>0</v>
      </c>
      <c r="E1267" s="11">
        <f t="shared" si="22"/>
        <v>99811061.749998569</v>
      </c>
      <c r="F1267" s="80" t="s">
        <v>19</v>
      </c>
      <c r="G1267" t="s">
        <v>189</v>
      </c>
    </row>
    <row r="1268" spans="1:9" s="8" customFormat="1" ht="15.75">
      <c r="A1268" s="13">
        <v>45986</v>
      </c>
      <c r="B1268" s="8" t="s">
        <v>4682</v>
      </c>
      <c r="C1268" s="54">
        <v>7500000</v>
      </c>
      <c r="D1268" s="54">
        <v>0</v>
      </c>
      <c r="E1268" s="11">
        <f t="shared" si="22"/>
        <v>92311061.749998569</v>
      </c>
      <c r="F1268" s="8" t="s">
        <v>10</v>
      </c>
      <c r="G1268" s="8" t="s">
        <v>446</v>
      </c>
      <c r="H1268" s="8" t="s">
        <v>5756</v>
      </c>
      <c r="I1268" s="8" t="s">
        <v>26</v>
      </c>
    </row>
    <row r="1269" spans="1:9">
      <c r="A1269" s="5">
        <v>45986</v>
      </c>
      <c r="B1269" t="s">
        <v>4683</v>
      </c>
      <c r="C1269" s="11">
        <v>2500</v>
      </c>
      <c r="D1269" s="11">
        <v>0</v>
      </c>
      <c r="E1269" s="11">
        <f t="shared" si="22"/>
        <v>92308561.749998569</v>
      </c>
      <c r="F1269" s="80" t="s">
        <v>19</v>
      </c>
      <c r="G1269" t="s">
        <v>189</v>
      </c>
    </row>
    <row r="1270" spans="1:9">
      <c r="A1270" s="5">
        <v>45986</v>
      </c>
      <c r="B1270" t="s">
        <v>4684</v>
      </c>
      <c r="C1270" s="11">
        <v>72707320</v>
      </c>
      <c r="D1270" s="11">
        <v>0</v>
      </c>
      <c r="E1270" s="11">
        <f t="shared" si="22"/>
        <v>19601241.749998569</v>
      </c>
      <c r="F1270" s="80" t="s">
        <v>4</v>
      </c>
      <c r="G1270" t="s">
        <v>5</v>
      </c>
      <c r="H1270" s="40" t="s">
        <v>4098</v>
      </c>
    </row>
    <row r="1271" spans="1:9">
      <c r="A1271" s="5">
        <v>45986</v>
      </c>
      <c r="B1271" t="s">
        <v>4685</v>
      </c>
      <c r="C1271" s="11">
        <v>2500</v>
      </c>
      <c r="D1271" s="11">
        <v>0</v>
      </c>
      <c r="E1271" s="11">
        <f t="shared" si="22"/>
        <v>19598741.749998569</v>
      </c>
      <c r="F1271" s="80" t="s">
        <v>19</v>
      </c>
      <c r="G1271" t="s">
        <v>189</v>
      </c>
    </row>
    <row r="1272" spans="1:9">
      <c r="A1272" s="5">
        <v>45989</v>
      </c>
      <c r="B1272" t="s">
        <v>4686</v>
      </c>
      <c r="C1272" s="11">
        <v>0</v>
      </c>
      <c r="D1272" s="11">
        <v>200000000</v>
      </c>
      <c r="E1272" s="11">
        <f t="shared" si="22"/>
        <v>219598741.74999857</v>
      </c>
      <c r="F1272" s="80" t="s">
        <v>6</v>
      </c>
      <c r="G1272" t="s">
        <v>24</v>
      </c>
      <c r="H1272" t="s">
        <v>25</v>
      </c>
    </row>
    <row r="1273" spans="1:9">
      <c r="A1273" s="5">
        <v>45989</v>
      </c>
      <c r="B1273" t="s">
        <v>4687</v>
      </c>
      <c r="C1273" s="11">
        <v>0</v>
      </c>
      <c r="D1273" s="11">
        <v>12600000</v>
      </c>
      <c r="E1273" s="11">
        <f t="shared" si="22"/>
        <v>232198741.74999857</v>
      </c>
      <c r="F1273" s="80" t="s">
        <v>6</v>
      </c>
      <c r="G1273" t="s">
        <v>24</v>
      </c>
      <c r="H1273" t="s">
        <v>4101</v>
      </c>
    </row>
    <row r="1274" spans="1:9">
      <c r="A1274" s="5">
        <v>45989</v>
      </c>
      <c r="B1274" t="s">
        <v>4688</v>
      </c>
      <c r="C1274" s="11">
        <v>232150000</v>
      </c>
      <c r="D1274" s="11">
        <v>0</v>
      </c>
      <c r="E1274" s="11">
        <f t="shared" si="22"/>
        <v>48741.749998569489</v>
      </c>
      <c r="F1274" s="80" t="s">
        <v>62</v>
      </c>
      <c r="G1274" t="s">
        <v>23</v>
      </c>
      <c r="H1274" t="s">
        <v>4565</v>
      </c>
    </row>
    <row r="1275" spans="1:9">
      <c r="A1275" s="5">
        <v>45989</v>
      </c>
      <c r="B1275" t="s">
        <v>4689</v>
      </c>
      <c r="C1275" s="11">
        <v>2500</v>
      </c>
      <c r="D1275" s="11">
        <v>0</v>
      </c>
      <c r="E1275" s="11">
        <f t="shared" si="22"/>
        <v>46241.749998569489</v>
      </c>
      <c r="F1275" s="80" t="s">
        <v>19</v>
      </c>
      <c r="G1275" t="s">
        <v>189</v>
      </c>
    </row>
    <row r="1276" spans="1:9">
      <c r="A1276" s="5">
        <v>45990</v>
      </c>
      <c r="B1276" t="s">
        <v>4690</v>
      </c>
      <c r="C1276" s="11">
        <v>0</v>
      </c>
      <c r="D1276" s="11">
        <v>250000000</v>
      </c>
      <c r="E1276" s="11">
        <f t="shared" si="22"/>
        <v>250046241.74999857</v>
      </c>
      <c r="F1276" s="80" t="s">
        <v>920</v>
      </c>
      <c r="G1276" t="s">
        <v>4245</v>
      </c>
    </row>
    <row r="1277" spans="1:9" s="8" customFormat="1" ht="15.75">
      <c r="A1277" s="13">
        <v>45990</v>
      </c>
      <c r="B1277" s="8" t="s">
        <v>4666</v>
      </c>
      <c r="C1277" s="54">
        <v>30000000</v>
      </c>
      <c r="D1277" s="54">
        <v>0</v>
      </c>
      <c r="E1277" s="11">
        <f t="shared" si="22"/>
        <v>220046241.74999857</v>
      </c>
      <c r="F1277" s="8" t="s">
        <v>10</v>
      </c>
      <c r="G1277" s="8" t="s">
        <v>446</v>
      </c>
      <c r="H1277" s="8" t="s">
        <v>5751</v>
      </c>
      <c r="I1277" s="8" t="s">
        <v>26</v>
      </c>
    </row>
    <row r="1278" spans="1:9" s="8" customFormat="1" ht="15.75">
      <c r="A1278" s="13">
        <v>45990</v>
      </c>
      <c r="B1278" s="8" t="s">
        <v>4129</v>
      </c>
      <c r="C1278" s="14">
        <v>0</v>
      </c>
      <c r="D1278" s="14">
        <v>200000000</v>
      </c>
      <c r="E1278" s="11">
        <f t="shared" si="22"/>
        <v>420046241.74999857</v>
      </c>
      <c r="F1278" s="8" t="s">
        <v>920</v>
      </c>
      <c r="G1278" t="s">
        <v>4245</v>
      </c>
    </row>
    <row r="1279" spans="1:9" s="8" customFormat="1" ht="15.75">
      <c r="A1279" s="13">
        <v>45990</v>
      </c>
      <c r="B1279" s="8" t="s">
        <v>5799</v>
      </c>
      <c r="C1279" s="14">
        <v>200000000</v>
      </c>
      <c r="D1279" s="14">
        <v>0</v>
      </c>
      <c r="E1279" s="11">
        <f t="shared" si="22"/>
        <v>220046241.74999857</v>
      </c>
      <c r="F1279" s="8" t="s">
        <v>6</v>
      </c>
      <c r="G1279" s="8" t="s">
        <v>24</v>
      </c>
      <c r="H1279" s="8" t="s">
        <v>25</v>
      </c>
    </row>
    <row r="1280" spans="1:9" s="8" customFormat="1" ht="15.75">
      <c r="A1280" s="13">
        <v>45990</v>
      </c>
      <c r="B1280" s="8" t="s">
        <v>5800</v>
      </c>
      <c r="C1280" s="11">
        <v>2500</v>
      </c>
      <c r="D1280" s="14">
        <v>0</v>
      </c>
      <c r="E1280" s="11">
        <f t="shared" si="22"/>
        <v>220043741.74999857</v>
      </c>
      <c r="F1280" s="80" t="s">
        <v>19</v>
      </c>
      <c r="G1280" t="s">
        <v>189</v>
      </c>
    </row>
    <row r="1281" spans="1:9" s="8" customFormat="1" ht="15.75">
      <c r="A1281" s="13">
        <v>45991</v>
      </c>
      <c r="B1281" s="8" t="s">
        <v>1217</v>
      </c>
      <c r="C1281" s="14">
        <v>25000</v>
      </c>
      <c r="D1281" s="14">
        <v>0</v>
      </c>
      <c r="E1281" s="11">
        <f t="shared" si="22"/>
        <v>220018741.74999857</v>
      </c>
      <c r="F1281" s="80" t="s">
        <v>19</v>
      </c>
      <c r="G1281" t="s">
        <v>189</v>
      </c>
    </row>
    <row r="1282" spans="1:9" s="8" customFormat="1" ht="15.75">
      <c r="A1282" s="13">
        <v>45991</v>
      </c>
      <c r="B1282" s="8" t="s">
        <v>1216</v>
      </c>
      <c r="C1282" s="14">
        <v>0</v>
      </c>
      <c r="D1282" s="14">
        <v>108381.7</v>
      </c>
      <c r="E1282" s="11">
        <f t="shared" si="22"/>
        <v>220127123.44999856</v>
      </c>
      <c r="F1282" s="8" t="s">
        <v>190</v>
      </c>
      <c r="G1282" s="8" t="s">
        <v>79</v>
      </c>
    </row>
    <row r="1283" spans="1:9" s="8" customFormat="1" ht="15.75">
      <c r="A1283" s="13">
        <v>45991</v>
      </c>
      <c r="B1283" s="8" t="s">
        <v>1218</v>
      </c>
      <c r="C1283" s="14">
        <v>21676.34</v>
      </c>
      <c r="D1283" s="14">
        <v>0</v>
      </c>
      <c r="E1283" s="11">
        <f t="shared" si="22"/>
        <v>220105447.10999855</v>
      </c>
      <c r="F1283" s="8" t="s">
        <v>190</v>
      </c>
      <c r="G1283" s="8" t="s">
        <v>79</v>
      </c>
    </row>
    <row r="1284" spans="1:9" s="8" customFormat="1" ht="15.75">
      <c r="A1284" s="13">
        <v>45992</v>
      </c>
      <c r="B1284" s="8" t="s">
        <v>5869</v>
      </c>
      <c r="C1284" s="14">
        <v>9223260</v>
      </c>
      <c r="D1284" s="14">
        <v>0</v>
      </c>
      <c r="E1284" s="11">
        <f t="shared" si="22"/>
        <v>210882187.10999855</v>
      </c>
      <c r="F1284" s="8" t="s">
        <v>10</v>
      </c>
      <c r="G1284" s="8" t="s">
        <v>446</v>
      </c>
      <c r="H1284" s="8" t="s">
        <v>4096</v>
      </c>
      <c r="I1284" t="s">
        <v>26</v>
      </c>
    </row>
    <row r="1285" spans="1:9" s="8" customFormat="1" ht="15.75">
      <c r="A1285" s="13">
        <v>45992</v>
      </c>
      <c r="B1285" s="8" t="s">
        <v>5870</v>
      </c>
      <c r="C1285" s="14">
        <v>15850000</v>
      </c>
      <c r="D1285" s="14">
        <v>0</v>
      </c>
      <c r="E1285" s="11">
        <f t="shared" si="22"/>
        <v>195032187.10999855</v>
      </c>
      <c r="F1285" s="8" t="s">
        <v>4</v>
      </c>
      <c r="G1285" s="8" t="s">
        <v>5</v>
      </c>
      <c r="H1285" s="8" t="s">
        <v>1627</v>
      </c>
    </row>
    <row r="1286" spans="1:9" s="8" customFormat="1" ht="15.75">
      <c r="A1286" s="13">
        <v>45992</v>
      </c>
      <c r="B1286" s="8" t="s">
        <v>5871</v>
      </c>
      <c r="C1286" s="14">
        <v>2500</v>
      </c>
      <c r="D1286" s="14">
        <v>0</v>
      </c>
      <c r="E1286" s="11">
        <f t="shared" si="22"/>
        <v>195029687.10999855</v>
      </c>
      <c r="F1286" s="8" t="s">
        <v>19</v>
      </c>
      <c r="G1286" s="8" t="s">
        <v>189</v>
      </c>
    </row>
    <row r="1287" spans="1:9" s="8" customFormat="1" ht="15.75">
      <c r="A1287" s="13">
        <v>45992</v>
      </c>
      <c r="B1287" s="8" t="s">
        <v>5872</v>
      </c>
      <c r="C1287" s="14">
        <v>2896000</v>
      </c>
      <c r="D1287" s="14">
        <v>0</v>
      </c>
      <c r="E1287" s="11">
        <f t="shared" si="22"/>
        <v>192133687.10999855</v>
      </c>
      <c r="F1287" s="8" t="s">
        <v>10</v>
      </c>
      <c r="G1287" s="8" t="s">
        <v>446</v>
      </c>
      <c r="H1287" s="8" t="s">
        <v>4096</v>
      </c>
      <c r="I1287" t="s">
        <v>26</v>
      </c>
    </row>
    <row r="1288" spans="1:9" s="8" customFormat="1" ht="15.75">
      <c r="A1288" s="13">
        <v>45992</v>
      </c>
      <c r="B1288" s="8" t="s">
        <v>5873</v>
      </c>
      <c r="C1288" s="14">
        <v>9413596</v>
      </c>
      <c r="D1288" s="14">
        <v>0</v>
      </c>
      <c r="E1288" s="11">
        <f t="shared" si="22"/>
        <v>182720091.10999855</v>
      </c>
      <c r="F1288" s="8" t="s">
        <v>10</v>
      </c>
      <c r="G1288" s="8" t="s">
        <v>446</v>
      </c>
      <c r="H1288" s="8" t="s">
        <v>4096</v>
      </c>
      <c r="I1288" t="s">
        <v>26</v>
      </c>
    </row>
    <row r="1289" spans="1:9" s="8" customFormat="1" ht="15.75">
      <c r="A1289" s="13">
        <v>45992</v>
      </c>
      <c r="B1289" s="8" t="s">
        <v>5874</v>
      </c>
      <c r="C1289" s="14">
        <v>2500</v>
      </c>
      <c r="D1289" s="14">
        <v>0</v>
      </c>
      <c r="E1289" s="11">
        <f t="shared" si="22"/>
        <v>182717591.10999855</v>
      </c>
      <c r="F1289" s="8" t="s">
        <v>19</v>
      </c>
      <c r="G1289" s="8" t="s">
        <v>189</v>
      </c>
    </row>
    <row r="1290" spans="1:9" s="8" customFormat="1" ht="15.75">
      <c r="A1290" s="13">
        <v>45992</v>
      </c>
      <c r="B1290" s="8" t="s">
        <v>5875</v>
      </c>
      <c r="C1290" s="14">
        <v>7209815</v>
      </c>
      <c r="D1290" s="14">
        <v>0</v>
      </c>
      <c r="E1290" s="11">
        <f t="shared" si="22"/>
        <v>175507776.10999855</v>
      </c>
      <c r="F1290" s="8" t="s">
        <v>10</v>
      </c>
      <c r="G1290" s="8" t="s">
        <v>446</v>
      </c>
      <c r="H1290" s="8" t="s">
        <v>4096</v>
      </c>
      <c r="I1290" t="s">
        <v>26</v>
      </c>
    </row>
    <row r="1291" spans="1:9" s="8" customFormat="1" ht="15.75">
      <c r="A1291" s="13">
        <v>45992</v>
      </c>
      <c r="B1291" s="8" t="s">
        <v>5876</v>
      </c>
      <c r="C1291" s="14">
        <v>2500</v>
      </c>
      <c r="D1291" s="14">
        <v>0</v>
      </c>
      <c r="E1291" s="11">
        <f t="shared" si="22"/>
        <v>175505276.10999855</v>
      </c>
      <c r="F1291" s="8" t="s">
        <v>19</v>
      </c>
      <c r="G1291" s="8" t="s">
        <v>189</v>
      </c>
    </row>
    <row r="1292" spans="1:9" s="8" customFormat="1" ht="15.75">
      <c r="A1292" s="13">
        <v>45992</v>
      </c>
      <c r="B1292" s="8" t="s">
        <v>5877</v>
      </c>
      <c r="C1292" s="14">
        <v>396000</v>
      </c>
      <c r="D1292" s="14">
        <v>0</v>
      </c>
      <c r="E1292" s="11">
        <f t="shared" si="22"/>
        <v>175109276.10999855</v>
      </c>
      <c r="F1292" s="8" t="s">
        <v>10</v>
      </c>
      <c r="G1292" s="8" t="s">
        <v>446</v>
      </c>
      <c r="H1292" s="8" t="s">
        <v>4096</v>
      </c>
      <c r="I1292" t="s">
        <v>26</v>
      </c>
    </row>
    <row r="1293" spans="1:9" s="8" customFormat="1" ht="15.75">
      <c r="A1293" s="13">
        <v>45992</v>
      </c>
      <c r="B1293" s="8" t="s">
        <v>5878</v>
      </c>
      <c r="C1293" s="14">
        <v>2500</v>
      </c>
      <c r="D1293" s="14">
        <v>0</v>
      </c>
      <c r="E1293" s="11">
        <f t="shared" si="22"/>
        <v>175106776.10999855</v>
      </c>
      <c r="F1293" s="8" t="s">
        <v>19</v>
      </c>
      <c r="G1293" s="8" t="s">
        <v>189</v>
      </c>
    </row>
    <row r="1294" spans="1:9" s="8" customFormat="1" ht="15.75">
      <c r="A1294" s="13">
        <v>45993</v>
      </c>
      <c r="B1294" s="8" t="s">
        <v>5879</v>
      </c>
      <c r="C1294" s="14">
        <v>98055385</v>
      </c>
      <c r="D1294" s="14">
        <v>0</v>
      </c>
      <c r="E1294" s="11">
        <f t="shared" si="22"/>
        <v>77051391.109998554</v>
      </c>
      <c r="F1294" s="8" t="s">
        <v>920</v>
      </c>
      <c r="G1294" s="8" t="s">
        <v>4250</v>
      </c>
      <c r="H1294" s="8" t="s">
        <v>4817</v>
      </c>
    </row>
    <row r="1295" spans="1:9" s="8" customFormat="1" ht="15.75">
      <c r="A1295" s="13">
        <v>45993</v>
      </c>
      <c r="B1295" s="8" t="s">
        <v>5880</v>
      </c>
      <c r="C1295" s="14">
        <v>2500</v>
      </c>
      <c r="D1295" s="14">
        <v>0</v>
      </c>
      <c r="E1295" s="11">
        <f t="shared" si="22"/>
        <v>77048891.109998554</v>
      </c>
      <c r="F1295" s="8" t="s">
        <v>19</v>
      </c>
      <c r="G1295" s="8" t="s">
        <v>189</v>
      </c>
    </row>
    <row r="1296" spans="1:9" s="8" customFormat="1" ht="15.75">
      <c r="A1296" s="13">
        <v>45993</v>
      </c>
      <c r="B1296" s="8" t="s">
        <v>5881</v>
      </c>
      <c r="C1296" s="14">
        <v>0</v>
      </c>
      <c r="D1296" s="14">
        <v>50750000</v>
      </c>
      <c r="E1296" s="11">
        <f t="shared" ref="E1296:E1359" si="23">E1295-C1296+D1296</f>
        <v>127798891.10999855</v>
      </c>
      <c r="F1296" s="8" t="s">
        <v>920</v>
      </c>
      <c r="G1296" s="8" t="s">
        <v>4241</v>
      </c>
    </row>
    <row r="1297" spans="1:9" s="8" customFormat="1" ht="15.75">
      <c r="A1297" s="13">
        <v>45993</v>
      </c>
      <c r="B1297" s="8" t="s">
        <v>5882</v>
      </c>
      <c r="C1297" s="14">
        <v>88658524</v>
      </c>
      <c r="D1297" s="14">
        <v>0</v>
      </c>
      <c r="E1297" s="11">
        <f t="shared" si="23"/>
        <v>39140367.109998554</v>
      </c>
      <c r="F1297" s="8" t="s">
        <v>920</v>
      </c>
      <c r="G1297" s="8" t="s">
        <v>4250</v>
      </c>
      <c r="H1297" s="8" t="s">
        <v>368</v>
      </c>
    </row>
    <row r="1298" spans="1:9" s="8" customFormat="1" ht="15.75">
      <c r="A1298" s="13">
        <v>45993</v>
      </c>
      <c r="B1298" s="8" t="s">
        <v>5883</v>
      </c>
      <c r="C1298" s="14">
        <v>2500</v>
      </c>
      <c r="D1298" s="14">
        <v>0</v>
      </c>
      <c r="E1298" s="11">
        <f t="shared" si="23"/>
        <v>39137867.109998554</v>
      </c>
      <c r="F1298" s="8" t="s">
        <v>19</v>
      </c>
      <c r="G1298" s="8" t="s">
        <v>189</v>
      </c>
    </row>
    <row r="1299" spans="1:9" s="8" customFormat="1" ht="15.75">
      <c r="A1299" s="13">
        <v>45993</v>
      </c>
      <c r="B1299" s="8" t="s">
        <v>5884</v>
      </c>
      <c r="C1299" s="14">
        <v>39129669</v>
      </c>
      <c r="D1299" s="14">
        <v>0</v>
      </c>
      <c r="E1299" s="11">
        <f t="shared" si="23"/>
        <v>8198.1099985539913</v>
      </c>
      <c r="F1299" s="8" t="s">
        <v>920</v>
      </c>
      <c r="G1299" s="8" t="s">
        <v>4250</v>
      </c>
      <c r="H1299" s="8" t="s">
        <v>5899</v>
      </c>
    </row>
    <row r="1300" spans="1:9" s="8" customFormat="1" ht="15.75">
      <c r="A1300" s="13">
        <v>45993</v>
      </c>
      <c r="B1300" s="8" t="s">
        <v>5885</v>
      </c>
      <c r="C1300" s="14">
        <v>2500</v>
      </c>
      <c r="D1300" s="14">
        <v>0</v>
      </c>
      <c r="E1300" s="11">
        <f t="shared" si="23"/>
        <v>5698.1099985539913</v>
      </c>
      <c r="F1300" s="8" t="s">
        <v>19</v>
      </c>
      <c r="G1300" s="8" t="s">
        <v>189</v>
      </c>
    </row>
    <row r="1301" spans="1:9" s="8" customFormat="1" ht="15.75">
      <c r="A1301" s="13">
        <v>45993</v>
      </c>
      <c r="B1301" s="8" t="s">
        <v>5886</v>
      </c>
      <c r="C1301" s="14">
        <v>0</v>
      </c>
      <c r="D1301" s="14">
        <v>68100000</v>
      </c>
      <c r="E1301" s="11">
        <f t="shared" si="23"/>
        <v>68105698.109998554</v>
      </c>
      <c r="F1301" s="8" t="s">
        <v>920</v>
      </c>
      <c r="G1301" s="8" t="s">
        <v>4241</v>
      </c>
    </row>
    <row r="1302" spans="1:9" s="8" customFormat="1" ht="15.75">
      <c r="A1302" s="13">
        <v>45993</v>
      </c>
      <c r="B1302" s="8" t="s">
        <v>5887</v>
      </c>
      <c r="C1302" s="14">
        <v>68101633</v>
      </c>
      <c r="D1302" s="14">
        <v>0</v>
      </c>
      <c r="E1302" s="11">
        <f t="shared" si="23"/>
        <v>4065.1099985539913</v>
      </c>
      <c r="F1302" s="8" t="s">
        <v>920</v>
      </c>
      <c r="G1302" s="8" t="s">
        <v>4250</v>
      </c>
      <c r="H1302" s="8" t="s">
        <v>51</v>
      </c>
    </row>
    <row r="1303" spans="1:9" s="8" customFormat="1" ht="15.75">
      <c r="A1303" s="13">
        <v>45993</v>
      </c>
      <c r="B1303" s="8" t="s">
        <v>5868</v>
      </c>
      <c r="C1303" s="14">
        <v>0</v>
      </c>
      <c r="D1303" s="14">
        <v>755674498</v>
      </c>
      <c r="E1303" s="11">
        <f t="shared" si="23"/>
        <v>755678563.10999858</v>
      </c>
      <c r="F1303" s="8" t="s">
        <v>2140</v>
      </c>
      <c r="G1303" s="8" t="s">
        <v>2141</v>
      </c>
      <c r="H1303" s="154" t="s">
        <v>4080</v>
      </c>
      <c r="I1303" s="37" t="s">
        <v>4079</v>
      </c>
    </row>
    <row r="1304" spans="1:9" s="8" customFormat="1" ht="15.75">
      <c r="A1304" s="13">
        <v>45994</v>
      </c>
      <c r="B1304" s="8" t="s">
        <v>5888</v>
      </c>
      <c r="C1304" s="14">
        <v>250000000</v>
      </c>
      <c r="D1304" s="14">
        <v>0</v>
      </c>
      <c r="E1304" s="11">
        <f t="shared" si="23"/>
        <v>505678563.10999858</v>
      </c>
      <c r="F1304" s="8" t="s">
        <v>6</v>
      </c>
      <c r="G1304" s="8" t="s">
        <v>24</v>
      </c>
      <c r="H1304" s="8" t="s">
        <v>25</v>
      </c>
    </row>
    <row r="1305" spans="1:9" s="8" customFormat="1" ht="15.75">
      <c r="A1305" s="13">
        <v>45994</v>
      </c>
      <c r="B1305" s="8" t="s">
        <v>5889</v>
      </c>
      <c r="C1305" s="14">
        <v>2500</v>
      </c>
      <c r="D1305" s="14">
        <v>0</v>
      </c>
      <c r="E1305" s="11">
        <f t="shared" si="23"/>
        <v>505676063.10999858</v>
      </c>
      <c r="F1305" s="8" t="s">
        <v>19</v>
      </c>
      <c r="G1305" s="8" t="s">
        <v>189</v>
      </c>
    </row>
    <row r="1306" spans="1:9" s="8" customFormat="1" ht="15.75">
      <c r="A1306" s="13">
        <v>45994</v>
      </c>
      <c r="B1306" s="8" t="s">
        <v>5890</v>
      </c>
      <c r="C1306" s="14">
        <v>250000000</v>
      </c>
      <c r="D1306" s="14">
        <v>0</v>
      </c>
      <c r="E1306" s="11">
        <f t="shared" si="23"/>
        <v>255676063.10999858</v>
      </c>
      <c r="F1306" s="8" t="s">
        <v>6</v>
      </c>
      <c r="G1306" s="8" t="s">
        <v>24</v>
      </c>
      <c r="H1306" s="8" t="s">
        <v>25</v>
      </c>
    </row>
    <row r="1307" spans="1:9" s="8" customFormat="1" ht="15.75">
      <c r="A1307" s="13">
        <v>45994</v>
      </c>
      <c r="B1307" s="8" t="s">
        <v>5891</v>
      </c>
      <c r="C1307" s="14">
        <v>2500</v>
      </c>
      <c r="D1307" s="14">
        <v>0</v>
      </c>
      <c r="E1307" s="11">
        <f t="shared" si="23"/>
        <v>255673563.10999858</v>
      </c>
      <c r="F1307" s="8" t="s">
        <v>19</v>
      </c>
      <c r="G1307" s="8" t="s">
        <v>189</v>
      </c>
    </row>
    <row r="1308" spans="1:9" s="8" customFormat="1" ht="15.75">
      <c r="A1308" s="13">
        <v>45994</v>
      </c>
      <c r="B1308" s="8" t="s">
        <v>5892</v>
      </c>
      <c r="C1308" s="54">
        <v>0</v>
      </c>
      <c r="D1308" s="54">
        <v>5915567599</v>
      </c>
      <c r="E1308" s="11">
        <f t="shared" si="23"/>
        <v>6171241162.1099987</v>
      </c>
      <c r="F1308" s="8" t="s">
        <v>2140</v>
      </c>
      <c r="G1308" s="8" t="s">
        <v>2141</v>
      </c>
      <c r="H1308" s="154" t="s">
        <v>4098</v>
      </c>
      <c r="I1308" s="37" t="s">
        <v>5849</v>
      </c>
    </row>
    <row r="1309" spans="1:9" s="8" customFormat="1" ht="15.75">
      <c r="A1309" s="13">
        <v>45995</v>
      </c>
      <c r="B1309" s="8" t="s">
        <v>379</v>
      </c>
      <c r="C1309" s="14">
        <v>250000000</v>
      </c>
      <c r="D1309" s="14">
        <v>0</v>
      </c>
      <c r="E1309" s="11">
        <f t="shared" si="23"/>
        <v>5921241162.1099987</v>
      </c>
      <c r="F1309" s="8" t="s">
        <v>920</v>
      </c>
      <c r="G1309" s="8" t="s">
        <v>4242</v>
      </c>
    </row>
    <row r="1310" spans="1:9" s="8" customFormat="1" ht="15.75">
      <c r="A1310" s="13">
        <v>45995</v>
      </c>
      <c r="B1310" s="8" t="s">
        <v>5893</v>
      </c>
      <c r="C1310" s="14">
        <v>2500</v>
      </c>
      <c r="D1310" s="14">
        <v>0</v>
      </c>
      <c r="E1310" s="11">
        <f t="shared" si="23"/>
        <v>5921238662.1099987</v>
      </c>
      <c r="F1310" s="8" t="s">
        <v>19</v>
      </c>
      <c r="G1310" s="8" t="s">
        <v>189</v>
      </c>
    </row>
    <row r="1311" spans="1:9" s="8" customFormat="1" ht="15.75">
      <c r="A1311" s="13">
        <v>45995</v>
      </c>
      <c r="B1311" s="8" t="s">
        <v>5894</v>
      </c>
      <c r="C1311" s="14">
        <v>1000000000</v>
      </c>
      <c r="D1311" s="14">
        <v>0</v>
      </c>
      <c r="E1311" s="11">
        <f t="shared" si="23"/>
        <v>4921238662.1099987</v>
      </c>
      <c r="F1311" s="8" t="s">
        <v>6</v>
      </c>
      <c r="G1311" s="8" t="s">
        <v>24</v>
      </c>
      <c r="H1311" s="8" t="s">
        <v>25</v>
      </c>
    </row>
    <row r="1312" spans="1:9" s="8" customFormat="1" ht="15.75">
      <c r="A1312" s="13">
        <v>45995</v>
      </c>
      <c r="B1312" s="8" t="s">
        <v>5895</v>
      </c>
      <c r="C1312" s="14">
        <v>15000</v>
      </c>
      <c r="D1312" s="14">
        <v>0</v>
      </c>
      <c r="E1312" s="11">
        <f t="shared" si="23"/>
        <v>4921223662.1099987</v>
      </c>
      <c r="F1312" s="8" t="s">
        <v>19</v>
      </c>
      <c r="G1312" s="8" t="s">
        <v>189</v>
      </c>
    </row>
    <row r="1313" spans="1:9" s="8" customFormat="1" ht="15.75">
      <c r="A1313" s="13">
        <v>45995</v>
      </c>
      <c r="B1313" s="8" t="s">
        <v>379</v>
      </c>
      <c r="C1313" s="14">
        <v>250000000</v>
      </c>
      <c r="D1313" s="14">
        <v>0</v>
      </c>
      <c r="E1313" s="11">
        <f t="shared" si="23"/>
        <v>4671223662.1099987</v>
      </c>
      <c r="F1313" s="8" t="s">
        <v>920</v>
      </c>
      <c r="G1313" s="8" t="s">
        <v>4242</v>
      </c>
    </row>
    <row r="1314" spans="1:9" s="8" customFormat="1" ht="15.75">
      <c r="A1314" s="13">
        <v>45995</v>
      </c>
      <c r="B1314" s="8" t="s">
        <v>5896</v>
      </c>
      <c r="C1314" s="14">
        <v>2500</v>
      </c>
      <c r="D1314" s="14">
        <v>0</v>
      </c>
      <c r="E1314" s="11">
        <f t="shared" si="23"/>
        <v>4671221162.1099987</v>
      </c>
      <c r="F1314" s="8" t="s">
        <v>19</v>
      </c>
      <c r="G1314" s="8" t="s">
        <v>189</v>
      </c>
    </row>
    <row r="1315" spans="1:9" s="8" customFormat="1" ht="15.75">
      <c r="A1315" s="13">
        <v>45995</v>
      </c>
      <c r="B1315" s="8" t="s">
        <v>5897</v>
      </c>
      <c r="C1315" s="14">
        <v>0</v>
      </c>
      <c r="D1315" s="14">
        <v>662162162.44000006</v>
      </c>
      <c r="E1315" s="11">
        <f t="shared" si="23"/>
        <v>5333383324.5499992</v>
      </c>
      <c r="F1315" s="8" t="s">
        <v>2140</v>
      </c>
      <c r="G1315" s="8" t="s">
        <v>2141</v>
      </c>
      <c r="H1315" s="8" t="s">
        <v>4080</v>
      </c>
      <c r="I1315" s="8" t="s">
        <v>5902</v>
      </c>
    </row>
    <row r="1316" spans="1:9" s="8" customFormat="1" ht="15.75">
      <c r="A1316" s="13">
        <v>45996</v>
      </c>
      <c r="B1316" s="8" t="s">
        <v>6044</v>
      </c>
      <c r="C1316" s="14">
        <v>1728500</v>
      </c>
      <c r="D1316" s="14">
        <v>0</v>
      </c>
      <c r="E1316" s="11">
        <f t="shared" si="23"/>
        <v>5331654824.5499992</v>
      </c>
      <c r="F1316" s="8" t="s">
        <v>10</v>
      </c>
      <c r="G1316" s="8" t="s">
        <v>446</v>
      </c>
      <c r="H1316" s="40" t="s">
        <v>4096</v>
      </c>
    </row>
    <row r="1317" spans="1:9" s="8" customFormat="1" ht="15.75">
      <c r="A1317" s="13">
        <v>45996</v>
      </c>
      <c r="B1317" s="8" t="s">
        <v>7121</v>
      </c>
      <c r="C1317" s="11">
        <v>18018020</v>
      </c>
      <c r="D1317" s="11">
        <v>0</v>
      </c>
      <c r="E1317" s="11">
        <f t="shared" si="23"/>
        <v>5313636804.5499992</v>
      </c>
      <c r="F1317" s="8" t="s">
        <v>8</v>
      </c>
      <c r="G1317" s="8" t="s">
        <v>77</v>
      </c>
      <c r="H1317" s="8" t="s">
        <v>4565</v>
      </c>
    </row>
    <row r="1318" spans="1:9" s="8" customFormat="1" ht="15.75">
      <c r="A1318" s="13">
        <v>45996</v>
      </c>
      <c r="B1318" s="8" t="s">
        <v>7121</v>
      </c>
      <c r="C1318" s="11">
        <v>1981982</v>
      </c>
      <c r="D1318" s="11">
        <v>0</v>
      </c>
      <c r="E1318" s="11">
        <f t="shared" si="23"/>
        <v>5311654822.5499992</v>
      </c>
      <c r="F1318" s="8" t="s">
        <v>920</v>
      </c>
      <c r="G1318" t="s">
        <v>7856</v>
      </c>
      <c r="H1318" s="8" t="s">
        <v>7032</v>
      </c>
      <c r="I1318" s="8" t="s">
        <v>4565</v>
      </c>
    </row>
    <row r="1319" spans="1:9" s="8" customFormat="1" ht="15.75">
      <c r="A1319" s="13">
        <v>45996</v>
      </c>
      <c r="B1319" s="8" t="s">
        <v>7121</v>
      </c>
      <c r="C1319" s="39">
        <v>0</v>
      </c>
      <c r="D1319" s="39">
        <f>C1317+C1318-18198200</f>
        <v>1801802</v>
      </c>
      <c r="E1319" s="11">
        <f t="shared" si="23"/>
        <v>5313456624.5499992</v>
      </c>
      <c r="F1319" s="8" t="s">
        <v>6</v>
      </c>
      <c r="G1319" s="8" t="s">
        <v>53</v>
      </c>
      <c r="H1319" s="8" t="s">
        <v>7126</v>
      </c>
      <c r="I1319" s="8" t="s">
        <v>4565</v>
      </c>
    </row>
    <row r="1320" spans="1:9" s="8" customFormat="1" ht="15.75">
      <c r="A1320" s="13">
        <v>45996</v>
      </c>
      <c r="B1320" s="8" t="s">
        <v>6045</v>
      </c>
      <c r="C1320" s="14">
        <v>2500</v>
      </c>
      <c r="D1320" s="14">
        <v>0</v>
      </c>
      <c r="E1320" s="11">
        <f t="shared" si="23"/>
        <v>5313454124.5499992</v>
      </c>
      <c r="F1320" s="8" t="s">
        <v>19</v>
      </c>
      <c r="G1320" s="8" t="s">
        <v>189</v>
      </c>
    </row>
    <row r="1321" spans="1:9" s="8" customFormat="1" ht="15.75">
      <c r="A1321" s="13">
        <v>45996</v>
      </c>
      <c r="B1321" s="8" t="s">
        <v>6046</v>
      </c>
      <c r="C1321" s="14">
        <v>1100000</v>
      </c>
      <c r="D1321" s="14">
        <v>0</v>
      </c>
      <c r="E1321" s="11">
        <f t="shared" si="23"/>
        <v>5312354124.5499992</v>
      </c>
      <c r="F1321" s="8" t="s">
        <v>21</v>
      </c>
      <c r="G1321" s="8" t="s">
        <v>187</v>
      </c>
    </row>
    <row r="1322" spans="1:9" s="8" customFormat="1" ht="15.75">
      <c r="A1322" s="13">
        <v>45996</v>
      </c>
      <c r="B1322" s="8" t="s">
        <v>6047</v>
      </c>
      <c r="C1322" s="14">
        <v>39000000</v>
      </c>
      <c r="D1322" s="14">
        <v>0</v>
      </c>
      <c r="E1322" s="11">
        <f t="shared" si="23"/>
        <v>5273354124.5499992</v>
      </c>
      <c r="F1322" s="8" t="s">
        <v>4</v>
      </c>
      <c r="G1322" s="8" t="s">
        <v>5</v>
      </c>
      <c r="H1322" s="40" t="s">
        <v>1627</v>
      </c>
    </row>
    <row r="1323" spans="1:9" s="8" customFormat="1" ht="15.75">
      <c r="A1323" s="13">
        <v>45996</v>
      </c>
      <c r="B1323" s="8" t="s">
        <v>6048</v>
      </c>
      <c r="C1323" s="14">
        <v>2500</v>
      </c>
      <c r="D1323" s="14">
        <v>0</v>
      </c>
      <c r="E1323" s="11">
        <f t="shared" si="23"/>
        <v>5273351624.5499992</v>
      </c>
      <c r="F1323" s="8" t="s">
        <v>19</v>
      </c>
      <c r="G1323" s="8" t="s">
        <v>189</v>
      </c>
    </row>
    <row r="1324" spans="1:9" s="8" customFormat="1" ht="15.75">
      <c r="A1324" s="13">
        <v>45996</v>
      </c>
      <c r="B1324" s="8" t="s">
        <v>6049</v>
      </c>
      <c r="C1324" s="14">
        <v>5079922</v>
      </c>
      <c r="D1324" s="14">
        <v>0</v>
      </c>
      <c r="E1324" s="11">
        <f t="shared" si="23"/>
        <v>5268271702.5499992</v>
      </c>
      <c r="F1324" s="8" t="s">
        <v>10</v>
      </c>
      <c r="G1324" s="8" t="s">
        <v>446</v>
      </c>
      <c r="H1324" s="40" t="s">
        <v>4096</v>
      </c>
    </row>
    <row r="1325" spans="1:9" s="8" customFormat="1" ht="15.75">
      <c r="A1325" s="13">
        <v>45996</v>
      </c>
      <c r="B1325" s="8" t="s">
        <v>6050</v>
      </c>
      <c r="C1325" s="14">
        <v>2500</v>
      </c>
      <c r="D1325" s="14">
        <v>0</v>
      </c>
      <c r="E1325" s="11">
        <f t="shared" si="23"/>
        <v>5268269202.5499992</v>
      </c>
      <c r="F1325" s="8" t="s">
        <v>19</v>
      </c>
      <c r="G1325" s="8" t="s">
        <v>189</v>
      </c>
    </row>
    <row r="1326" spans="1:9" s="8" customFormat="1" ht="15.75">
      <c r="A1326" s="13">
        <v>46001</v>
      </c>
      <c r="B1326" s="8" t="s">
        <v>338</v>
      </c>
      <c r="C1326" s="14">
        <v>0</v>
      </c>
      <c r="D1326" s="14">
        <v>43120000</v>
      </c>
      <c r="E1326" s="11">
        <f t="shared" si="23"/>
        <v>5311389202.5499992</v>
      </c>
      <c r="F1326" s="8" t="s">
        <v>2140</v>
      </c>
      <c r="G1326" s="8" t="s">
        <v>2141</v>
      </c>
      <c r="H1326" s="8" t="s">
        <v>3092</v>
      </c>
      <c r="I1326" s="8" t="s">
        <v>5805</v>
      </c>
    </row>
    <row r="1327" spans="1:9" s="8" customFormat="1" ht="15.75">
      <c r="A1327" s="13">
        <v>46001</v>
      </c>
      <c r="B1327" s="8" t="s">
        <v>6065</v>
      </c>
      <c r="C1327" s="14">
        <v>412500</v>
      </c>
      <c r="D1327" s="14">
        <v>0</v>
      </c>
      <c r="E1327" s="11">
        <f t="shared" si="23"/>
        <v>5310976702.5499992</v>
      </c>
      <c r="F1327" s="8" t="s">
        <v>10</v>
      </c>
      <c r="G1327" s="8" t="s">
        <v>446</v>
      </c>
      <c r="H1327" s="8" t="s">
        <v>6101</v>
      </c>
    </row>
    <row r="1328" spans="1:9" s="8" customFormat="1" ht="15.75">
      <c r="A1328" s="13">
        <v>46001</v>
      </c>
      <c r="B1328" s="8" t="s">
        <v>6308</v>
      </c>
      <c r="C1328" s="14">
        <v>250000000</v>
      </c>
      <c r="D1328" s="14">
        <v>0</v>
      </c>
      <c r="E1328" s="11">
        <f t="shared" si="23"/>
        <v>5060976702.5499992</v>
      </c>
      <c r="F1328" s="8" t="s">
        <v>920</v>
      </c>
      <c r="G1328" s="8" t="s">
        <v>4250</v>
      </c>
      <c r="H1328" s="8" t="s">
        <v>6309</v>
      </c>
    </row>
    <row r="1329" spans="1:8" s="8" customFormat="1" ht="15.75">
      <c r="A1329" s="13">
        <v>46001</v>
      </c>
      <c r="B1329" s="8" t="s">
        <v>6066</v>
      </c>
      <c r="C1329" s="14">
        <v>2500</v>
      </c>
      <c r="D1329" s="14">
        <v>0</v>
      </c>
      <c r="E1329" s="11">
        <f t="shared" si="23"/>
        <v>5060974202.5499992</v>
      </c>
      <c r="F1329" s="8" t="s">
        <v>19</v>
      </c>
      <c r="G1329" s="8" t="s">
        <v>189</v>
      </c>
    </row>
    <row r="1330" spans="1:8" s="8" customFormat="1" ht="15.75">
      <c r="A1330" s="13">
        <v>46001</v>
      </c>
      <c r="B1330" s="8" t="s">
        <v>6067</v>
      </c>
      <c r="C1330" s="14">
        <v>1932020</v>
      </c>
      <c r="D1330" s="14">
        <v>0</v>
      </c>
      <c r="E1330" s="11">
        <f t="shared" si="23"/>
        <v>5059042182.5499992</v>
      </c>
      <c r="F1330" s="8" t="s">
        <v>10</v>
      </c>
      <c r="G1330" s="8" t="s">
        <v>446</v>
      </c>
      <c r="H1330" s="40" t="s">
        <v>3283</v>
      </c>
    </row>
    <row r="1331" spans="1:8" s="8" customFormat="1" ht="15.75">
      <c r="A1331" s="13">
        <v>46001</v>
      </c>
      <c r="B1331" s="8" t="s">
        <v>6068</v>
      </c>
      <c r="C1331" s="14">
        <v>2586350</v>
      </c>
      <c r="D1331" s="14">
        <v>0</v>
      </c>
      <c r="E1331" s="11">
        <f t="shared" si="23"/>
        <v>5056455832.5499992</v>
      </c>
      <c r="F1331" s="8" t="s">
        <v>10</v>
      </c>
      <c r="G1331" s="8" t="s">
        <v>446</v>
      </c>
      <c r="H1331" s="40" t="s">
        <v>4096</v>
      </c>
    </row>
    <row r="1332" spans="1:8" s="8" customFormat="1" ht="15.75">
      <c r="A1332" s="13">
        <v>46001</v>
      </c>
      <c r="B1332" s="8" t="s">
        <v>6069</v>
      </c>
      <c r="C1332" s="14">
        <v>2500</v>
      </c>
      <c r="D1332" s="14">
        <v>0</v>
      </c>
      <c r="E1332" s="11">
        <f t="shared" si="23"/>
        <v>5056453332.5499992</v>
      </c>
      <c r="F1332" s="8" t="s">
        <v>19</v>
      </c>
      <c r="G1332" s="8" t="s">
        <v>189</v>
      </c>
    </row>
    <row r="1333" spans="1:8" s="8" customFormat="1" ht="15.75">
      <c r="A1333" s="13">
        <v>46001</v>
      </c>
      <c r="B1333" s="8" t="s">
        <v>6070</v>
      </c>
      <c r="C1333" s="54">
        <v>11290500</v>
      </c>
      <c r="D1333" s="54">
        <v>0</v>
      </c>
      <c r="E1333" s="11">
        <f t="shared" si="23"/>
        <v>5045162832.5499992</v>
      </c>
      <c r="F1333" t="s">
        <v>10</v>
      </c>
      <c r="G1333" t="s">
        <v>446</v>
      </c>
      <c r="H1333" s="40" t="s">
        <v>4090</v>
      </c>
    </row>
    <row r="1334" spans="1:8" s="8" customFormat="1" ht="15.75">
      <c r="A1334" s="13">
        <v>46001</v>
      </c>
      <c r="B1334" s="8" t="s">
        <v>6308</v>
      </c>
      <c r="C1334" s="14">
        <v>250000000</v>
      </c>
      <c r="D1334" s="14">
        <v>0</v>
      </c>
      <c r="E1334" s="11">
        <f t="shared" si="23"/>
        <v>4795162832.5499992</v>
      </c>
      <c r="F1334" s="8" t="s">
        <v>920</v>
      </c>
      <c r="G1334" s="8" t="s">
        <v>4250</v>
      </c>
      <c r="H1334" s="8" t="s">
        <v>6309</v>
      </c>
    </row>
    <row r="1335" spans="1:8" s="8" customFormat="1" ht="15.75">
      <c r="A1335" s="13">
        <v>46001</v>
      </c>
      <c r="B1335" s="8" t="s">
        <v>6071</v>
      </c>
      <c r="C1335" s="14">
        <v>2500</v>
      </c>
      <c r="D1335" s="14">
        <v>0</v>
      </c>
      <c r="E1335" s="11">
        <f t="shared" si="23"/>
        <v>4795160332.5499992</v>
      </c>
      <c r="F1335" s="8" t="s">
        <v>19</v>
      </c>
      <c r="G1335" s="8" t="s">
        <v>189</v>
      </c>
    </row>
    <row r="1336" spans="1:8" s="8" customFormat="1" ht="15.75">
      <c r="A1336" s="13">
        <v>46001</v>
      </c>
      <c r="B1336" s="8" t="s">
        <v>6072</v>
      </c>
      <c r="C1336" s="14">
        <v>8393955</v>
      </c>
      <c r="D1336" s="14">
        <v>0</v>
      </c>
      <c r="E1336" s="11">
        <f t="shared" si="23"/>
        <v>4786766377.5499992</v>
      </c>
      <c r="F1336" s="8" t="s">
        <v>10</v>
      </c>
      <c r="G1336" s="8" t="s">
        <v>446</v>
      </c>
      <c r="H1336" s="40" t="s">
        <v>4096</v>
      </c>
    </row>
    <row r="1337" spans="1:8" s="8" customFormat="1" ht="15.75">
      <c r="A1337" s="13">
        <v>46001</v>
      </c>
      <c r="B1337" s="8" t="s">
        <v>6073</v>
      </c>
      <c r="C1337" s="14">
        <v>2500</v>
      </c>
      <c r="D1337" s="14">
        <v>0</v>
      </c>
      <c r="E1337" s="11">
        <f t="shared" si="23"/>
        <v>4786763877.5499992</v>
      </c>
      <c r="F1337" s="8" t="s">
        <v>19</v>
      </c>
      <c r="G1337" s="8" t="s">
        <v>189</v>
      </c>
    </row>
    <row r="1338" spans="1:8" s="8" customFormat="1" ht="15.75">
      <c r="A1338" s="13">
        <v>46001</v>
      </c>
      <c r="B1338" s="8" t="s">
        <v>6074</v>
      </c>
      <c r="C1338" s="14">
        <v>15485760</v>
      </c>
      <c r="D1338" s="14">
        <v>0</v>
      </c>
      <c r="E1338" s="11">
        <f t="shared" si="23"/>
        <v>4771278117.5499992</v>
      </c>
      <c r="F1338" s="8" t="s">
        <v>10</v>
      </c>
      <c r="G1338" s="8" t="s">
        <v>446</v>
      </c>
      <c r="H1338" s="8" t="s">
        <v>6101</v>
      </c>
    </row>
    <row r="1339" spans="1:8" s="8" customFormat="1" ht="15.75">
      <c r="A1339" s="13">
        <v>46001</v>
      </c>
      <c r="B1339" s="8" t="s">
        <v>6075</v>
      </c>
      <c r="C1339" s="14">
        <v>7961399</v>
      </c>
      <c r="D1339" s="14">
        <v>0</v>
      </c>
      <c r="E1339" s="11">
        <f t="shared" si="23"/>
        <v>4763316718.5499992</v>
      </c>
      <c r="F1339" s="8" t="s">
        <v>10</v>
      </c>
      <c r="G1339" s="8" t="s">
        <v>446</v>
      </c>
      <c r="H1339" s="40" t="s">
        <v>4096</v>
      </c>
    </row>
    <row r="1340" spans="1:8" s="8" customFormat="1" ht="15.75">
      <c r="A1340" s="13">
        <v>46001</v>
      </c>
      <c r="B1340" s="8" t="s">
        <v>6102</v>
      </c>
      <c r="C1340" s="14">
        <v>10000000</v>
      </c>
      <c r="D1340" s="14">
        <v>0</v>
      </c>
      <c r="E1340" s="11">
        <f t="shared" si="23"/>
        <v>4753316718.5499992</v>
      </c>
      <c r="F1340" s="8" t="s">
        <v>10</v>
      </c>
      <c r="G1340" s="8" t="s">
        <v>446</v>
      </c>
      <c r="H1340" s="8" t="s">
        <v>6103</v>
      </c>
    </row>
    <row r="1341" spans="1:8" s="8" customFormat="1" ht="15.75">
      <c r="A1341" s="13">
        <v>46001</v>
      </c>
      <c r="B1341" s="8" t="s">
        <v>6076</v>
      </c>
      <c r="C1341" s="14">
        <v>2500</v>
      </c>
      <c r="D1341" s="14">
        <v>0</v>
      </c>
      <c r="E1341" s="11">
        <f t="shared" si="23"/>
        <v>4753314218.5499992</v>
      </c>
      <c r="F1341" s="8" t="s">
        <v>19</v>
      </c>
      <c r="G1341" s="8" t="s">
        <v>189</v>
      </c>
    </row>
    <row r="1342" spans="1:8" s="8" customFormat="1" ht="15.75">
      <c r="A1342" s="13">
        <v>46001</v>
      </c>
      <c r="B1342" s="8" t="s">
        <v>6077</v>
      </c>
      <c r="C1342" s="14">
        <v>1872239</v>
      </c>
      <c r="D1342" s="14">
        <v>0</v>
      </c>
      <c r="E1342" s="11">
        <f t="shared" si="23"/>
        <v>4751441979.5499992</v>
      </c>
      <c r="F1342" s="8" t="s">
        <v>10</v>
      </c>
      <c r="G1342" s="8" t="s">
        <v>446</v>
      </c>
      <c r="H1342" s="40" t="s">
        <v>4096</v>
      </c>
    </row>
    <row r="1343" spans="1:8" s="8" customFormat="1" ht="15.75">
      <c r="A1343" s="13">
        <v>46001</v>
      </c>
      <c r="B1343" s="8" t="s">
        <v>6078</v>
      </c>
      <c r="C1343" s="54">
        <v>1387800</v>
      </c>
      <c r="D1343" s="54">
        <v>0</v>
      </c>
      <c r="E1343" s="11">
        <f t="shared" si="23"/>
        <v>4750054179.5499992</v>
      </c>
      <c r="F1343" s="8" t="s">
        <v>10</v>
      </c>
      <c r="G1343" s="8" t="s">
        <v>446</v>
      </c>
      <c r="H1343" s="40" t="s">
        <v>5999</v>
      </c>
    </row>
    <row r="1344" spans="1:8" s="8" customFormat="1" ht="15.75">
      <c r="A1344" s="13">
        <v>46001</v>
      </c>
      <c r="B1344" s="8" t="s">
        <v>6079</v>
      </c>
      <c r="C1344" s="54">
        <v>13749509</v>
      </c>
      <c r="D1344" s="54">
        <v>0</v>
      </c>
      <c r="E1344" s="11">
        <f t="shared" si="23"/>
        <v>4736304670.5499992</v>
      </c>
      <c r="F1344" s="8" t="s">
        <v>10</v>
      </c>
      <c r="G1344" s="8" t="s">
        <v>446</v>
      </c>
      <c r="H1344" s="40" t="s">
        <v>4096</v>
      </c>
    </row>
    <row r="1345" spans="1:8" s="8" customFormat="1" ht="15.75">
      <c r="A1345" s="13">
        <v>46001</v>
      </c>
      <c r="B1345" s="8" t="s">
        <v>6080</v>
      </c>
      <c r="C1345" s="54">
        <v>9502310</v>
      </c>
      <c r="D1345" s="54">
        <v>0</v>
      </c>
      <c r="E1345" s="11">
        <f t="shared" si="23"/>
        <v>4726802360.5499992</v>
      </c>
      <c r="F1345" s="8" t="s">
        <v>10</v>
      </c>
      <c r="G1345" s="8" t="s">
        <v>446</v>
      </c>
      <c r="H1345" s="40" t="s">
        <v>5999</v>
      </c>
    </row>
    <row r="1346" spans="1:8" s="8" customFormat="1" ht="15.75">
      <c r="A1346" s="13">
        <v>46001</v>
      </c>
      <c r="B1346" s="8" t="s">
        <v>6081</v>
      </c>
      <c r="C1346" s="14">
        <v>13000000</v>
      </c>
      <c r="D1346" s="14">
        <v>0</v>
      </c>
      <c r="E1346" s="11">
        <f t="shared" si="23"/>
        <v>4713802360.5499992</v>
      </c>
      <c r="F1346" s="8" t="s">
        <v>1400</v>
      </c>
      <c r="G1346" s="8" t="s">
        <v>1400</v>
      </c>
      <c r="H1346" s="40" t="s">
        <v>7826</v>
      </c>
    </row>
    <row r="1347" spans="1:8" s="8" customFormat="1" ht="15.75">
      <c r="A1347" s="13">
        <v>46001</v>
      </c>
      <c r="B1347" s="8" t="s">
        <v>6082</v>
      </c>
      <c r="C1347" s="14">
        <v>2500</v>
      </c>
      <c r="D1347" s="14">
        <v>0</v>
      </c>
      <c r="E1347" s="11">
        <f t="shared" si="23"/>
        <v>4713799860.5499992</v>
      </c>
      <c r="F1347" s="8" t="s">
        <v>19</v>
      </c>
      <c r="G1347" s="8" t="s">
        <v>189</v>
      </c>
    </row>
    <row r="1348" spans="1:8" s="8" customFormat="1" ht="15.75">
      <c r="A1348" s="13">
        <v>46001</v>
      </c>
      <c r="B1348" s="8" t="s">
        <v>6083</v>
      </c>
      <c r="C1348" s="14">
        <v>135000000</v>
      </c>
      <c r="D1348" s="14">
        <v>0</v>
      </c>
      <c r="E1348" s="11">
        <f t="shared" si="23"/>
        <v>4578799860.5499992</v>
      </c>
      <c r="F1348" s="8" t="s">
        <v>1400</v>
      </c>
      <c r="G1348" s="8" t="s">
        <v>1400</v>
      </c>
      <c r="H1348" s="40" t="s">
        <v>7826</v>
      </c>
    </row>
    <row r="1349" spans="1:8" s="8" customFormat="1" ht="15.75">
      <c r="A1349" s="13">
        <v>46001</v>
      </c>
      <c r="B1349" s="8" t="s">
        <v>6084</v>
      </c>
      <c r="C1349" s="14">
        <v>2500</v>
      </c>
      <c r="D1349" s="14">
        <v>0</v>
      </c>
      <c r="E1349" s="11">
        <f t="shared" si="23"/>
        <v>4578797360.5499992</v>
      </c>
      <c r="F1349" s="8" t="s">
        <v>19</v>
      </c>
      <c r="G1349" s="8" t="s">
        <v>189</v>
      </c>
    </row>
    <row r="1350" spans="1:8" s="8" customFormat="1" ht="15.75">
      <c r="A1350" s="13">
        <v>46001</v>
      </c>
      <c r="B1350" s="8" t="s">
        <v>6081</v>
      </c>
      <c r="C1350" s="14">
        <v>25064000</v>
      </c>
      <c r="D1350" s="14">
        <v>0</v>
      </c>
      <c r="E1350" s="11">
        <f t="shared" si="23"/>
        <v>4553733360.5499992</v>
      </c>
      <c r="F1350" s="8" t="s">
        <v>1400</v>
      </c>
      <c r="G1350" s="8" t="s">
        <v>1400</v>
      </c>
      <c r="H1350" s="40" t="s">
        <v>7826</v>
      </c>
    </row>
    <row r="1351" spans="1:8" s="8" customFormat="1" ht="15.75">
      <c r="A1351" s="13">
        <v>46001</v>
      </c>
      <c r="B1351" s="8" t="s">
        <v>6085</v>
      </c>
      <c r="C1351" s="14">
        <v>2500</v>
      </c>
      <c r="D1351" s="14">
        <v>0</v>
      </c>
      <c r="E1351" s="11">
        <f t="shared" si="23"/>
        <v>4553730860.5499992</v>
      </c>
      <c r="F1351" s="8" t="s">
        <v>19</v>
      </c>
      <c r="G1351" s="8" t="s">
        <v>189</v>
      </c>
    </row>
    <row r="1352" spans="1:8" s="8" customFormat="1" ht="15.75">
      <c r="A1352" s="13">
        <v>46001</v>
      </c>
      <c r="B1352" s="8" t="s">
        <v>6086</v>
      </c>
      <c r="C1352" s="14">
        <v>134757000</v>
      </c>
      <c r="D1352" s="14">
        <v>0</v>
      </c>
      <c r="E1352" s="11">
        <f t="shared" si="23"/>
        <v>4418973860.5499992</v>
      </c>
      <c r="F1352" s="8" t="s">
        <v>1400</v>
      </c>
      <c r="G1352" s="8" t="s">
        <v>1400</v>
      </c>
      <c r="H1352" s="40" t="s">
        <v>7826</v>
      </c>
    </row>
    <row r="1353" spans="1:8" s="8" customFormat="1" ht="15.75">
      <c r="A1353" s="13">
        <v>46001</v>
      </c>
      <c r="B1353" s="8" t="s">
        <v>6087</v>
      </c>
      <c r="C1353" s="14">
        <v>2500</v>
      </c>
      <c r="D1353" s="14">
        <v>0</v>
      </c>
      <c r="E1353" s="11">
        <f t="shared" si="23"/>
        <v>4418971360.5499992</v>
      </c>
      <c r="F1353" s="8" t="s">
        <v>19</v>
      </c>
      <c r="G1353" s="8" t="s">
        <v>189</v>
      </c>
    </row>
    <row r="1354" spans="1:8" s="8" customFormat="1" ht="15.75">
      <c r="A1354" s="13">
        <v>46002</v>
      </c>
      <c r="B1354" s="8" t="s">
        <v>6051</v>
      </c>
      <c r="C1354" s="14">
        <v>106060000</v>
      </c>
      <c r="D1354" s="14">
        <v>0</v>
      </c>
      <c r="E1354" s="11">
        <f t="shared" si="23"/>
        <v>4312911360.5499992</v>
      </c>
      <c r="F1354" s="8" t="s">
        <v>1400</v>
      </c>
      <c r="G1354" s="8" t="s">
        <v>1400</v>
      </c>
      <c r="H1354" s="40" t="s">
        <v>7826</v>
      </c>
    </row>
    <row r="1355" spans="1:8" s="8" customFormat="1" ht="15.75">
      <c r="A1355" s="13">
        <v>46002</v>
      </c>
      <c r="B1355" s="8" t="s">
        <v>6052</v>
      </c>
      <c r="C1355" s="14">
        <v>2500</v>
      </c>
      <c r="D1355" s="14">
        <v>0</v>
      </c>
      <c r="E1355" s="11">
        <f t="shared" si="23"/>
        <v>4312908860.5499992</v>
      </c>
      <c r="F1355" s="8" t="s">
        <v>19</v>
      </c>
      <c r="G1355" s="8" t="s">
        <v>189</v>
      </c>
    </row>
    <row r="1356" spans="1:8" s="8" customFormat="1" ht="15.75">
      <c r="A1356" s="13">
        <v>46002</v>
      </c>
      <c r="B1356" s="8" t="s">
        <v>6053</v>
      </c>
      <c r="C1356" s="14">
        <v>79650000</v>
      </c>
      <c r="D1356" s="14">
        <v>0</v>
      </c>
      <c r="E1356" s="11">
        <f t="shared" si="23"/>
        <v>4233258860.5499992</v>
      </c>
      <c r="F1356" s="8" t="s">
        <v>1400</v>
      </c>
      <c r="G1356" s="8" t="s">
        <v>1400</v>
      </c>
      <c r="H1356" s="40" t="s">
        <v>7826</v>
      </c>
    </row>
    <row r="1357" spans="1:8" s="8" customFormat="1" ht="15.75">
      <c r="A1357" s="13">
        <v>46002</v>
      </c>
      <c r="B1357" s="8" t="s">
        <v>6054</v>
      </c>
      <c r="C1357" s="14">
        <v>2500</v>
      </c>
      <c r="D1357" s="14">
        <v>0</v>
      </c>
      <c r="E1357" s="11">
        <f t="shared" si="23"/>
        <v>4233256360.5499992</v>
      </c>
      <c r="F1357" s="8" t="s">
        <v>19</v>
      </c>
      <c r="G1357" s="8" t="s">
        <v>189</v>
      </c>
    </row>
    <row r="1358" spans="1:8" s="8" customFormat="1" ht="15.75">
      <c r="A1358" s="13">
        <v>46002</v>
      </c>
      <c r="B1358" s="8" t="s">
        <v>6051</v>
      </c>
      <c r="C1358" s="14">
        <v>42350000</v>
      </c>
      <c r="D1358" s="14">
        <v>0</v>
      </c>
      <c r="E1358" s="11">
        <f t="shared" si="23"/>
        <v>4190906360.5499992</v>
      </c>
      <c r="F1358" s="8" t="s">
        <v>1400</v>
      </c>
      <c r="G1358" s="8" t="s">
        <v>1400</v>
      </c>
      <c r="H1358" s="40" t="s">
        <v>7826</v>
      </c>
    </row>
    <row r="1359" spans="1:8" s="8" customFormat="1" ht="15.75">
      <c r="A1359" s="13">
        <v>46002</v>
      </c>
      <c r="B1359" s="8" t="s">
        <v>6055</v>
      </c>
      <c r="C1359" s="14">
        <v>2500</v>
      </c>
      <c r="D1359" s="14">
        <v>0</v>
      </c>
      <c r="E1359" s="11">
        <f t="shared" si="23"/>
        <v>4190903860.5499992</v>
      </c>
      <c r="F1359" s="8" t="s">
        <v>19</v>
      </c>
      <c r="G1359" s="8" t="s">
        <v>189</v>
      </c>
    </row>
    <row r="1360" spans="1:8" s="8" customFormat="1" ht="15.75">
      <c r="A1360" s="13">
        <v>46002</v>
      </c>
      <c r="B1360" s="8" t="s">
        <v>6053</v>
      </c>
      <c r="C1360" s="14">
        <v>135000000</v>
      </c>
      <c r="D1360" s="14">
        <v>0</v>
      </c>
      <c r="E1360" s="11">
        <f t="shared" ref="E1360:E1423" si="24">E1359-C1360+D1360</f>
        <v>4055903860.5499992</v>
      </c>
      <c r="F1360" s="8" t="s">
        <v>1400</v>
      </c>
      <c r="G1360" s="8" t="s">
        <v>1400</v>
      </c>
      <c r="H1360" s="40" t="s">
        <v>7826</v>
      </c>
    </row>
    <row r="1361" spans="1:8" s="8" customFormat="1" ht="15.75">
      <c r="A1361" s="13">
        <v>46002</v>
      </c>
      <c r="B1361" s="8" t="s">
        <v>6056</v>
      </c>
      <c r="C1361" s="14">
        <v>2500</v>
      </c>
      <c r="D1361" s="14">
        <v>0</v>
      </c>
      <c r="E1361" s="11">
        <f t="shared" si="24"/>
        <v>4055901360.5499992</v>
      </c>
      <c r="F1361" s="8" t="s">
        <v>19</v>
      </c>
      <c r="G1361" s="8" t="s">
        <v>189</v>
      </c>
    </row>
    <row r="1362" spans="1:8" s="8" customFormat="1" ht="15.75">
      <c r="A1362" s="13">
        <v>46002</v>
      </c>
      <c r="B1362" s="8" t="s">
        <v>6053</v>
      </c>
      <c r="C1362" s="14">
        <v>135000000</v>
      </c>
      <c r="D1362" s="14">
        <v>0</v>
      </c>
      <c r="E1362" s="11">
        <f t="shared" si="24"/>
        <v>3920901360.5499992</v>
      </c>
      <c r="F1362" s="8" t="s">
        <v>1400</v>
      </c>
      <c r="G1362" s="8" t="s">
        <v>1400</v>
      </c>
      <c r="H1362" s="40" t="s">
        <v>7827</v>
      </c>
    </row>
    <row r="1363" spans="1:8" s="8" customFormat="1" ht="15.75">
      <c r="A1363" s="13">
        <v>46002</v>
      </c>
      <c r="B1363" s="8" t="s">
        <v>6057</v>
      </c>
      <c r="C1363" s="14">
        <v>2500</v>
      </c>
      <c r="D1363" s="14">
        <v>0</v>
      </c>
      <c r="E1363" s="11">
        <f t="shared" si="24"/>
        <v>3920898860.5499992</v>
      </c>
      <c r="F1363" s="8" t="s">
        <v>19</v>
      </c>
      <c r="G1363" s="8" t="s">
        <v>189</v>
      </c>
    </row>
    <row r="1364" spans="1:8" s="8" customFormat="1" ht="15.75">
      <c r="A1364" s="13">
        <v>46002</v>
      </c>
      <c r="B1364" s="8" t="s">
        <v>6053</v>
      </c>
      <c r="C1364" s="14">
        <v>0</v>
      </c>
      <c r="D1364" s="14">
        <v>135000000</v>
      </c>
      <c r="E1364" s="11">
        <f t="shared" si="24"/>
        <v>4055898860.5499992</v>
      </c>
      <c r="F1364" s="8" t="s">
        <v>1400</v>
      </c>
      <c r="G1364" s="8" t="s">
        <v>1400</v>
      </c>
      <c r="H1364" s="40" t="s">
        <v>7827</v>
      </c>
    </row>
    <row r="1365" spans="1:8" s="8" customFormat="1" ht="15.75">
      <c r="A1365" s="13">
        <v>46002</v>
      </c>
      <c r="B1365" s="8" t="s">
        <v>6057</v>
      </c>
      <c r="C1365" s="14">
        <v>0</v>
      </c>
      <c r="D1365" s="55">
        <v>2500</v>
      </c>
      <c r="E1365" s="11">
        <f t="shared" si="24"/>
        <v>4055901360.5499992</v>
      </c>
      <c r="F1365" s="8" t="s">
        <v>19</v>
      </c>
      <c r="G1365" s="8" t="s">
        <v>189</v>
      </c>
    </row>
    <row r="1366" spans="1:8" s="8" customFormat="1" ht="15.75">
      <c r="A1366" s="13">
        <v>46002</v>
      </c>
      <c r="B1366" s="8" t="s">
        <v>6053</v>
      </c>
      <c r="C1366" s="14">
        <v>28431000</v>
      </c>
      <c r="D1366" s="14">
        <v>0</v>
      </c>
      <c r="E1366" s="11">
        <f t="shared" si="24"/>
        <v>4027470360.5499992</v>
      </c>
      <c r="F1366" s="8" t="s">
        <v>1400</v>
      </c>
      <c r="G1366" s="8" t="s">
        <v>1400</v>
      </c>
      <c r="H1366" s="40" t="s">
        <v>7826</v>
      </c>
    </row>
    <row r="1367" spans="1:8" s="8" customFormat="1" ht="15.75">
      <c r="A1367" s="13">
        <v>46002</v>
      </c>
      <c r="B1367" s="8" t="s">
        <v>6058</v>
      </c>
      <c r="C1367" s="55">
        <v>2500</v>
      </c>
      <c r="D1367" s="14">
        <v>0</v>
      </c>
      <c r="E1367" s="11">
        <f t="shared" si="24"/>
        <v>4027467860.5499992</v>
      </c>
      <c r="F1367" s="8" t="s">
        <v>19</v>
      </c>
      <c r="G1367" s="8" t="s">
        <v>189</v>
      </c>
    </row>
    <row r="1368" spans="1:8" s="8" customFormat="1" ht="15.75">
      <c r="A1368" s="13">
        <v>46002</v>
      </c>
      <c r="B1368" s="8" t="s">
        <v>6053</v>
      </c>
      <c r="C1368" s="14">
        <v>100845000</v>
      </c>
      <c r="D1368" s="14">
        <v>0</v>
      </c>
      <c r="E1368" s="11">
        <f t="shared" si="24"/>
        <v>3926622860.5499992</v>
      </c>
      <c r="F1368" s="8" t="s">
        <v>1400</v>
      </c>
      <c r="G1368" s="8" t="s">
        <v>1400</v>
      </c>
      <c r="H1368" s="40" t="s">
        <v>7826</v>
      </c>
    </row>
    <row r="1369" spans="1:8" s="8" customFormat="1" ht="15.75">
      <c r="A1369" s="13">
        <v>46002</v>
      </c>
      <c r="B1369" s="8" t="s">
        <v>6059</v>
      </c>
      <c r="C1369" s="55">
        <v>2500</v>
      </c>
      <c r="D1369" s="14">
        <v>0</v>
      </c>
      <c r="E1369" s="11">
        <f t="shared" si="24"/>
        <v>3926620360.5499992</v>
      </c>
      <c r="F1369" s="8" t="s">
        <v>19</v>
      </c>
      <c r="G1369" s="8" t="s">
        <v>189</v>
      </c>
    </row>
    <row r="1370" spans="1:8" s="8" customFormat="1" ht="15.75">
      <c r="A1370" s="13">
        <v>46002</v>
      </c>
      <c r="B1370" s="8" t="s">
        <v>6053</v>
      </c>
      <c r="C1370" s="14">
        <v>135000000</v>
      </c>
      <c r="D1370" s="14">
        <v>0</v>
      </c>
      <c r="E1370" s="11">
        <f t="shared" si="24"/>
        <v>3791620360.5499992</v>
      </c>
      <c r="F1370" s="8" t="s">
        <v>1400</v>
      </c>
      <c r="G1370" s="8" t="s">
        <v>1400</v>
      </c>
      <c r="H1370" s="40" t="s">
        <v>7826</v>
      </c>
    </row>
    <row r="1371" spans="1:8" s="8" customFormat="1" ht="15.75">
      <c r="A1371" s="13">
        <v>46002</v>
      </c>
      <c r="B1371" s="8" t="s">
        <v>6060</v>
      </c>
      <c r="C1371" s="55">
        <v>2500</v>
      </c>
      <c r="D1371" s="14">
        <v>0</v>
      </c>
      <c r="E1371" s="11">
        <f t="shared" si="24"/>
        <v>3791617860.5499992</v>
      </c>
      <c r="F1371" s="8" t="s">
        <v>19</v>
      </c>
      <c r="G1371" s="8" t="s">
        <v>189</v>
      </c>
    </row>
    <row r="1372" spans="1:8" s="8" customFormat="1" ht="15.75">
      <c r="A1372" s="13">
        <v>46002</v>
      </c>
      <c r="B1372" s="8" t="s">
        <v>6053</v>
      </c>
      <c r="C1372" s="14">
        <v>106569000</v>
      </c>
      <c r="D1372" s="14">
        <v>0</v>
      </c>
      <c r="E1372" s="11">
        <f t="shared" si="24"/>
        <v>3685048860.5499992</v>
      </c>
      <c r="F1372" s="8" t="s">
        <v>1400</v>
      </c>
      <c r="G1372" s="8" t="s">
        <v>1400</v>
      </c>
      <c r="H1372" s="40" t="s">
        <v>7826</v>
      </c>
    </row>
    <row r="1373" spans="1:8" ht="15.75">
      <c r="A1373" s="13">
        <v>46002</v>
      </c>
      <c r="B1373" t="s">
        <v>6061</v>
      </c>
      <c r="C1373" s="55">
        <v>2500</v>
      </c>
      <c r="D1373" s="14">
        <v>0</v>
      </c>
      <c r="E1373" s="11">
        <f t="shared" si="24"/>
        <v>3685046360.5499992</v>
      </c>
      <c r="F1373" s="8" t="s">
        <v>19</v>
      </c>
      <c r="G1373" s="8" t="s">
        <v>189</v>
      </c>
    </row>
    <row r="1374" spans="1:8" ht="15.75">
      <c r="A1374" s="13">
        <v>46002</v>
      </c>
      <c r="B1374" t="s">
        <v>6053</v>
      </c>
      <c r="C1374" s="41">
        <v>34155000</v>
      </c>
      <c r="D1374" s="14">
        <v>0</v>
      </c>
      <c r="E1374" s="11">
        <f t="shared" si="24"/>
        <v>3650891360.5499992</v>
      </c>
      <c r="F1374" s="8" t="s">
        <v>1400</v>
      </c>
      <c r="G1374" s="8" t="s">
        <v>1400</v>
      </c>
      <c r="H1374" s="40" t="s">
        <v>7826</v>
      </c>
    </row>
    <row r="1375" spans="1:8" ht="15.75">
      <c r="A1375" s="13">
        <v>46002</v>
      </c>
      <c r="B1375" t="s">
        <v>6062</v>
      </c>
      <c r="C1375" s="55">
        <v>2500</v>
      </c>
      <c r="D1375" s="14">
        <v>0</v>
      </c>
      <c r="E1375" s="11">
        <f t="shared" si="24"/>
        <v>3650888860.5499992</v>
      </c>
      <c r="F1375" s="8" t="s">
        <v>19</v>
      </c>
      <c r="G1375" s="8" t="s">
        <v>189</v>
      </c>
    </row>
    <row r="1376" spans="1:8" ht="15.75">
      <c r="A1376" s="13">
        <v>46002</v>
      </c>
      <c r="B1376" t="s">
        <v>6053</v>
      </c>
      <c r="C1376" s="55">
        <v>135000000</v>
      </c>
      <c r="D1376" s="14">
        <v>0</v>
      </c>
      <c r="E1376" s="11">
        <f t="shared" si="24"/>
        <v>3515888860.5499992</v>
      </c>
      <c r="F1376" s="8" t="s">
        <v>1400</v>
      </c>
      <c r="G1376" s="8" t="s">
        <v>1400</v>
      </c>
      <c r="H1376" s="40" t="s">
        <v>7826</v>
      </c>
    </row>
    <row r="1377" spans="1:9" ht="15.75">
      <c r="A1377" s="13">
        <v>46002</v>
      </c>
      <c r="B1377" t="s">
        <v>6063</v>
      </c>
      <c r="C1377" s="55">
        <v>2500</v>
      </c>
      <c r="D1377" s="14">
        <v>0</v>
      </c>
      <c r="E1377" s="11">
        <f t="shared" si="24"/>
        <v>3515886360.5499992</v>
      </c>
      <c r="F1377" s="8" t="s">
        <v>19</v>
      </c>
      <c r="G1377" s="8" t="s">
        <v>189</v>
      </c>
    </row>
    <row r="1378" spans="1:9" ht="15.75">
      <c r="A1378" s="13">
        <v>46002</v>
      </c>
      <c r="B1378" t="s">
        <v>6053</v>
      </c>
      <c r="C1378" s="55">
        <v>135000000</v>
      </c>
      <c r="D1378" s="14">
        <v>0</v>
      </c>
      <c r="E1378" s="11">
        <f t="shared" si="24"/>
        <v>3380886360.5499992</v>
      </c>
      <c r="F1378" s="8" t="s">
        <v>1400</v>
      </c>
      <c r="G1378" s="8" t="s">
        <v>1400</v>
      </c>
      <c r="H1378" s="40" t="s">
        <v>7826</v>
      </c>
    </row>
    <row r="1379" spans="1:9" ht="15.75">
      <c r="A1379" s="13">
        <v>46002</v>
      </c>
      <c r="B1379" t="s">
        <v>6064</v>
      </c>
      <c r="C1379" s="55">
        <v>2500</v>
      </c>
      <c r="D1379" s="14">
        <v>0</v>
      </c>
      <c r="E1379" s="11">
        <f t="shared" si="24"/>
        <v>3380883860.5499992</v>
      </c>
      <c r="F1379" s="8" t="s">
        <v>19</v>
      </c>
      <c r="G1379" s="8" t="s">
        <v>189</v>
      </c>
    </row>
    <row r="1380" spans="1:9" ht="15.75">
      <c r="A1380" s="13">
        <v>46002</v>
      </c>
      <c r="B1380" t="s">
        <v>6124</v>
      </c>
      <c r="C1380" s="55">
        <v>900500</v>
      </c>
      <c r="D1380" s="14">
        <v>0</v>
      </c>
      <c r="E1380" s="11">
        <f t="shared" si="24"/>
        <v>3379983360.5499992</v>
      </c>
      <c r="F1380" s="8" t="s">
        <v>6</v>
      </c>
      <c r="G1380" s="8" t="s">
        <v>24</v>
      </c>
      <c r="H1380" t="s">
        <v>25</v>
      </c>
    </row>
    <row r="1381" spans="1:9" ht="15.75">
      <c r="A1381" s="13">
        <v>46002</v>
      </c>
      <c r="B1381" t="s">
        <v>6125</v>
      </c>
      <c r="C1381" s="55">
        <v>2500</v>
      </c>
      <c r="D1381" s="14">
        <v>0</v>
      </c>
      <c r="E1381" s="11">
        <f t="shared" si="24"/>
        <v>3379980860.5499992</v>
      </c>
      <c r="F1381" s="8" t="s">
        <v>19</v>
      </c>
      <c r="G1381" s="8" t="s">
        <v>189</v>
      </c>
    </row>
    <row r="1382" spans="1:9" ht="15.75">
      <c r="A1382" s="13">
        <v>46002</v>
      </c>
      <c r="B1382" t="s">
        <v>6126</v>
      </c>
      <c r="C1382" s="55">
        <v>156000</v>
      </c>
      <c r="D1382" s="14">
        <v>0</v>
      </c>
      <c r="E1382" s="11">
        <f t="shared" si="24"/>
        <v>3379824860.5499992</v>
      </c>
      <c r="F1382" s="8" t="s">
        <v>6</v>
      </c>
      <c r="G1382" s="8" t="s">
        <v>24</v>
      </c>
      <c r="H1382" t="s">
        <v>25</v>
      </c>
    </row>
    <row r="1383" spans="1:9" ht="15.75">
      <c r="A1383" s="13">
        <v>46002</v>
      </c>
      <c r="B1383" t="s">
        <v>6127</v>
      </c>
      <c r="C1383" s="55">
        <v>2500</v>
      </c>
      <c r="D1383" s="14">
        <v>0</v>
      </c>
      <c r="E1383" s="11">
        <f t="shared" si="24"/>
        <v>3379822360.5499992</v>
      </c>
      <c r="F1383" s="8" t="s">
        <v>19</v>
      </c>
      <c r="G1383" s="8" t="s">
        <v>189</v>
      </c>
    </row>
    <row r="1384" spans="1:9" ht="15.75">
      <c r="A1384" s="13">
        <v>46003</v>
      </c>
      <c r="B1384" t="s">
        <v>1185</v>
      </c>
      <c r="C1384" s="55">
        <v>0</v>
      </c>
      <c r="D1384" s="14">
        <v>95109000</v>
      </c>
      <c r="E1384" s="11">
        <f t="shared" si="24"/>
        <v>3474931360.5499992</v>
      </c>
      <c r="F1384" s="8" t="s">
        <v>2140</v>
      </c>
      <c r="G1384" s="8" t="s">
        <v>2141</v>
      </c>
      <c r="H1384" s="154" t="s">
        <v>1627</v>
      </c>
      <c r="I1384" s="37" t="s">
        <v>5803</v>
      </c>
    </row>
    <row r="1385" spans="1:9" ht="15.75">
      <c r="A1385" s="13">
        <v>46008</v>
      </c>
      <c r="B1385" t="s">
        <v>6287</v>
      </c>
      <c r="C1385" s="55">
        <v>2737700</v>
      </c>
      <c r="D1385" s="54">
        <v>0</v>
      </c>
      <c r="E1385" s="11">
        <f t="shared" si="24"/>
        <v>3472193660.5499992</v>
      </c>
      <c r="F1385" s="8" t="s">
        <v>8</v>
      </c>
      <c r="G1385" s="8" t="s">
        <v>33</v>
      </c>
      <c r="H1385" s="154"/>
      <c r="I1385" s="37"/>
    </row>
    <row r="1386" spans="1:9" ht="15.75">
      <c r="A1386" s="13">
        <v>46008</v>
      </c>
      <c r="B1386" t="s">
        <v>6288</v>
      </c>
      <c r="C1386" s="55">
        <v>1199100</v>
      </c>
      <c r="D1386" s="54">
        <v>0</v>
      </c>
      <c r="E1386" s="11">
        <f t="shared" si="24"/>
        <v>3470994560.5499992</v>
      </c>
      <c r="F1386" s="8" t="s">
        <v>4</v>
      </c>
      <c r="G1386" s="8" t="s">
        <v>5</v>
      </c>
      <c r="H1386" s="154" t="s">
        <v>1634</v>
      </c>
      <c r="I1386" s="37"/>
    </row>
    <row r="1387" spans="1:9" ht="15.75">
      <c r="A1387" s="13">
        <v>46008</v>
      </c>
      <c r="B1387" t="s">
        <v>6289</v>
      </c>
      <c r="C1387" s="55">
        <v>2500</v>
      </c>
      <c r="D1387" s="54">
        <v>0</v>
      </c>
      <c r="E1387" s="11">
        <f t="shared" si="24"/>
        <v>3470992060.5499992</v>
      </c>
      <c r="F1387" s="8" t="s">
        <v>19</v>
      </c>
      <c r="G1387" s="8" t="s">
        <v>189</v>
      </c>
      <c r="H1387" s="154"/>
      <c r="I1387" s="37"/>
    </row>
    <row r="1388" spans="1:9" ht="15.75">
      <c r="A1388" s="13">
        <v>46008</v>
      </c>
      <c r="B1388" t="s">
        <v>6290</v>
      </c>
      <c r="C1388" s="55">
        <v>45612813</v>
      </c>
      <c r="D1388" s="54">
        <v>0</v>
      </c>
      <c r="E1388" s="11">
        <f t="shared" si="24"/>
        <v>3425379247.5499992</v>
      </c>
      <c r="F1388" s="8" t="s">
        <v>10</v>
      </c>
      <c r="G1388" s="8" t="s">
        <v>446</v>
      </c>
      <c r="H1388" s="154" t="s">
        <v>5751</v>
      </c>
      <c r="I1388" s="37"/>
    </row>
    <row r="1389" spans="1:9" ht="15.75">
      <c r="A1389" s="13">
        <v>46008</v>
      </c>
      <c r="B1389" t="s">
        <v>6337</v>
      </c>
      <c r="C1389" s="55">
        <v>0</v>
      </c>
      <c r="D1389" s="54">
        <v>215559036</v>
      </c>
      <c r="E1389" s="11">
        <f t="shared" si="24"/>
        <v>3640938283.5499992</v>
      </c>
      <c r="F1389" s="8" t="s">
        <v>2140</v>
      </c>
      <c r="G1389" s="8" t="s">
        <v>2141</v>
      </c>
      <c r="H1389" s="154" t="s">
        <v>1634</v>
      </c>
      <c r="I1389" s="154" t="s">
        <v>5804</v>
      </c>
    </row>
    <row r="1390" spans="1:9" ht="15.75">
      <c r="A1390" s="13">
        <v>46008</v>
      </c>
      <c r="B1390" t="s">
        <v>6337</v>
      </c>
      <c r="C1390" s="55">
        <v>0</v>
      </c>
      <c r="D1390" s="54">
        <f>315016688-D1389</f>
        <v>99457652</v>
      </c>
      <c r="E1390" s="11">
        <f t="shared" si="24"/>
        <v>3740395935.5499992</v>
      </c>
      <c r="F1390" s="8" t="s">
        <v>10</v>
      </c>
      <c r="G1390" s="8" t="s">
        <v>18</v>
      </c>
      <c r="H1390" s="154" t="s">
        <v>442</v>
      </c>
      <c r="I1390" s="37" t="s">
        <v>6338</v>
      </c>
    </row>
    <row r="1391" spans="1:9" ht="15.75">
      <c r="A1391" s="13">
        <v>46009</v>
      </c>
      <c r="B1391" t="s">
        <v>6417</v>
      </c>
      <c r="C1391" s="55">
        <v>1370000</v>
      </c>
      <c r="D1391" s="54">
        <v>0</v>
      </c>
      <c r="E1391" s="11">
        <f t="shared" si="24"/>
        <v>3739025935.5499992</v>
      </c>
      <c r="F1391" s="8" t="s">
        <v>10</v>
      </c>
      <c r="G1391" s="8" t="s">
        <v>446</v>
      </c>
      <c r="H1391" s="154" t="s">
        <v>6101</v>
      </c>
      <c r="I1391" s="37"/>
    </row>
    <row r="1392" spans="1:9" ht="15.75">
      <c r="A1392" s="13">
        <v>46010</v>
      </c>
      <c r="B1392" t="s">
        <v>423</v>
      </c>
      <c r="C1392" s="55">
        <v>0</v>
      </c>
      <c r="D1392" s="54">
        <v>52319485</v>
      </c>
      <c r="E1392" s="11">
        <f t="shared" si="24"/>
        <v>3791345420.5499992</v>
      </c>
      <c r="F1392" s="8" t="s">
        <v>2140</v>
      </c>
      <c r="G1392" s="8" t="s">
        <v>2141</v>
      </c>
      <c r="H1392" s="154" t="s">
        <v>3263</v>
      </c>
      <c r="I1392" s="37" t="s">
        <v>5854</v>
      </c>
    </row>
    <row r="1393" spans="1:9" s="276" customFormat="1" ht="15.75">
      <c r="A1393" s="13">
        <v>46010</v>
      </c>
      <c r="B1393" t="s">
        <v>6535</v>
      </c>
      <c r="C1393" s="55">
        <v>0</v>
      </c>
      <c r="D1393" s="54">
        <v>171283665</v>
      </c>
      <c r="E1393" s="11">
        <f t="shared" si="24"/>
        <v>3962629085.5499992</v>
      </c>
      <c r="F1393" s="8" t="s">
        <v>2140</v>
      </c>
      <c r="G1393" s="8" t="s">
        <v>2141</v>
      </c>
      <c r="H1393" s="154" t="s">
        <v>1378</v>
      </c>
      <c r="I1393" s="37" t="s">
        <v>5806</v>
      </c>
    </row>
    <row r="1394" spans="1:9" s="276" customFormat="1" ht="15.75">
      <c r="A1394" s="13">
        <v>46010</v>
      </c>
      <c r="B1394" t="s">
        <v>6535</v>
      </c>
      <c r="C1394" s="55">
        <v>0</v>
      </c>
      <c r="D1394" s="54">
        <f>351692852-D1393</f>
        <v>180409187</v>
      </c>
      <c r="E1394" s="11">
        <f t="shared" si="24"/>
        <v>4143038272.5499992</v>
      </c>
      <c r="F1394" s="8" t="s">
        <v>10</v>
      </c>
      <c r="G1394" s="8" t="s">
        <v>18</v>
      </c>
      <c r="H1394" s="154" t="s">
        <v>420</v>
      </c>
      <c r="I1394" s="37" t="s">
        <v>6264</v>
      </c>
    </row>
    <row r="1395" spans="1:9" ht="15.75">
      <c r="A1395" s="13">
        <v>46013</v>
      </c>
      <c r="B1395" t="s">
        <v>423</v>
      </c>
      <c r="C1395" s="55">
        <v>0</v>
      </c>
      <c r="D1395" s="54">
        <v>34079500</v>
      </c>
      <c r="E1395" s="11">
        <f t="shared" si="24"/>
        <v>4177117772.5499992</v>
      </c>
      <c r="F1395" s="8" t="s">
        <v>10</v>
      </c>
      <c r="G1395" s="8" t="s">
        <v>18</v>
      </c>
      <c r="H1395" s="154" t="s">
        <v>439</v>
      </c>
      <c r="I1395" s="37" t="s">
        <v>6265</v>
      </c>
    </row>
    <row r="1396" spans="1:9" ht="15.75">
      <c r="A1396" s="13">
        <v>46013</v>
      </c>
      <c r="B1396" t="s">
        <v>6536</v>
      </c>
      <c r="C1396" s="55">
        <v>0</v>
      </c>
      <c r="D1396" s="54">
        <v>157186168</v>
      </c>
      <c r="E1396" s="11">
        <f t="shared" si="24"/>
        <v>4334303940.5499992</v>
      </c>
      <c r="F1396" s="8" t="s">
        <v>10</v>
      </c>
      <c r="G1396" s="8" t="s">
        <v>18</v>
      </c>
      <c r="H1396" s="154" t="s">
        <v>395</v>
      </c>
      <c r="I1396" s="37" t="s">
        <v>6267</v>
      </c>
    </row>
    <row r="1397" spans="1:9" ht="15.75">
      <c r="A1397" s="13">
        <v>46013</v>
      </c>
      <c r="B1397" t="s">
        <v>6536</v>
      </c>
      <c r="C1397" s="55">
        <v>0</v>
      </c>
      <c r="D1397" s="54">
        <v>156729339</v>
      </c>
      <c r="E1397" s="11">
        <f t="shared" si="24"/>
        <v>4491033279.5499992</v>
      </c>
      <c r="F1397" s="8" t="s">
        <v>10</v>
      </c>
      <c r="G1397" s="8" t="s">
        <v>18</v>
      </c>
      <c r="H1397" s="154" t="s">
        <v>2198</v>
      </c>
      <c r="I1397" s="37" t="s">
        <v>6268</v>
      </c>
    </row>
    <row r="1398" spans="1:9" ht="15.75">
      <c r="A1398" s="13">
        <v>46013</v>
      </c>
      <c r="B1398" t="s">
        <v>6536</v>
      </c>
      <c r="C1398" s="55">
        <v>0</v>
      </c>
      <c r="D1398" s="54">
        <f>424784017-D1396-D1397</f>
        <v>110868510</v>
      </c>
      <c r="E1398" s="11">
        <f t="shared" si="24"/>
        <v>4601901789.5499992</v>
      </c>
      <c r="F1398" s="8" t="s">
        <v>10</v>
      </c>
      <c r="G1398" s="8" t="s">
        <v>18</v>
      </c>
      <c r="H1398" s="154" t="s">
        <v>435</v>
      </c>
      <c r="I1398" s="37" t="s">
        <v>6266</v>
      </c>
    </row>
    <row r="1399" spans="1:9" ht="15.75">
      <c r="A1399" s="13">
        <v>46019</v>
      </c>
      <c r="B1399" t="s">
        <v>6418</v>
      </c>
      <c r="C1399" s="55">
        <v>232150000</v>
      </c>
      <c r="D1399" s="54">
        <v>0</v>
      </c>
      <c r="E1399" s="11">
        <f t="shared" si="24"/>
        <v>4369751789.5499992</v>
      </c>
      <c r="F1399" s="8" t="s">
        <v>62</v>
      </c>
      <c r="G1399" s="8" t="s">
        <v>23</v>
      </c>
      <c r="H1399" s="154"/>
      <c r="I1399" s="37"/>
    </row>
    <row r="1400" spans="1:9" ht="15.75">
      <c r="A1400" s="13">
        <v>46019</v>
      </c>
      <c r="B1400" t="s">
        <v>6419</v>
      </c>
      <c r="C1400" s="55">
        <v>2500</v>
      </c>
      <c r="D1400" s="54">
        <v>0</v>
      </c>
      <c r="E1400" s="11">
        <f t="shared" si="24"/>
        <v>4369749289.5499992</v>
      </c>
      <c r="F1400" s="8" t="s">
        <v>19</v>
      </c>
      <c r="G1400" s="8" t="s">
        <v>189</v>
      </c>
      <c r="H1400" s="154"/>
      <c r="I1400" s="37"/>
    </row>
    <row r="1401" spans="1:9" ht="15.75">
      <c r="A1401" s="13">
        <v>46019</v>
      </c>
      <c r="B1401" t="s">
        <v>374</v>
      </c>
      <c r="C1401" s="55">
        <v>250000000</v>
      </c>
      <c r="D1401" s="54">
        <v>0</v>
      </c>
      <c r="E1401" s="11">
        <f t="shared" si="24"/>
        <v>4119749289.5499992</v>
      </c>
      <c r="F1401" s="8" t="s">
        <v>920</v>
      </c>
      <c r="G1401" s="8" t="s">
        <v>4242</v>
      </c>
      <c r="H1401" s="154"/>
      <c r="I1401" s="37"/>
    </row>
    <row r="1402" spans="1:9" ht="15.75">
      <c r="A1402" s="13">
        <v>46019</v>
      </c>
      <c r="B1402" t="s">
        <v>6420</v>
      </c>
      <c r="C1402" s="55">
        <v>2500</v>
      </c>
      <c r="D1402" s="54">
        <v>0</v>
      </c>
      <c r="E1402" s="11">
        <f t="shared" si="24"/>
        <v>4119746789.5499992</v>
      </c>
      <c r="F1402" s="8" t="s">
        <v>19</v>
      </c>
      <c r="G1402" s="8" t="s">
        <v>189</v>
      </c>
      <c r="H1402" s="154"/>
      <c r="I1402" s="37"/>
    </row>
    <row r="1403" spans="1:9" ht="15.75">
      <c r="A1403" s="13">
        <v>46019</v>
      </c>
      <c r="B1403" t="s">
        <v>374</v>
      </c>
      <c r="C1403" s="55">
        <v>250000000</v>
      </c>
      <c r="D1403" s="54">
        <v>0</v>
      </c>
      <c r="E1403" s="11">
        <f t="shared" si="24"/>
        <v>3869746789.5499992</v>
      </c>
      <c r="F1403" s="8" t="s">
        <v>920</v>
      </c>
      <c r="G1403" s="8" t="s">
        <v>4242</v>
      </c>
      <c r="H1403" s="154"/>
      <c r="I1403" s="37"/>
    </row>
    <row r="1404" spans="1:9" ht="15.75">
      <c r="A1404" s="13">
        <v>46019</v>
      </c>
      <c r="B1404" t="s">
        <v>6421</v>
      </c>
      <c r="C1404" s="55">
        <v>2500</v>
      </c>
      <c r="D1404" s="54">
        <v>0</v>
      </c>
      <c r="E1404" s="11">
        <f t="shared" si="24"/>
        <v>3869744289.5499992</v>
      </c>
      <c r="F1404" s="8" t="s">
        <v>19</v>
      </c>
      <c r="G1404" s="8" t="s">
        <v>189</v>
      </c>
      <c r="H1404" s="154"/>
      <c r="I1404" s="37"/>
    </row>
    <row r="1405" spans="1:9" ht="15.75">
      <c r="A1405" s="13">
        <v>46019</v>
      </c>
      <c r="B1405" t="s">
        <v>375</v>
      </c>
      <c r="C1405" s="55">
        <v>250000000</v>
      </c>
      <c r="D1405" s="54">
        <v>0</v>
      </c>
      <c r="E1405" s="11">
        <f t="shared" si="24"/>
        <v>3619744289.5499992</v>
      </c>
      <c r="F1405" s="8" t="s">
        <v>920</v>
      </c>
      <c r="G1405" s="8" t="s">
        <v>4242</v>
      </c>
      <c r="H1405" s="154"/>
      <c r="I1405" s="37"/>
    </row>
    <row r="1406" spans="1:9" ht="15.75">
      <c r="A1406" s="13">
        <v>46019</v>
      </c>
      <c r="B1406" t="s">
        <v>6422</v>
      </c>
      <c r="C1406" s="55">
        <v>2500</v>
      </c>
      <c r="D1406" s="54">
        <v>0</v>
      </c>
      <c r="E1406" s="11">
        <f t="shared" si="24"/>
        <v>3619741789.5499992</v>
      </c>
      <c r="F1406" s="8" t="s">
        <v>19</v>
      </c>
      <c r="G1406" s="8" t="s">
        <v>189</v>
      </c>
      <c r="H1406" s="154"/>
      <c r="I1406" s="37"/>
    </row>
    <row r="1407" spans="1:9" s="276" customFormat="1" ht="15.75">
      <c r="A1407" s="13">
        <v>46021</v>
      </c>
      <c r="B1407" t="s">
        <v>6423</v>
      </c>
      <c r="C1407" s="55">
        <v>0</v>
      </c>
      <c r="D1407" s="54">
        <v>48845625</v>
      </c>
      <c r="E1407" s="11">
        <f t="shared" si="24"/>
        <v>3668587414.5499992</v>
      </c>
      <c r="F1407" s="8" t="s">
        <v>2140</v>
      </c>
      <c r="G1407" s="8" t="s">
        <v>2141</v>
      </c>
      <c r="H1407" s="154" t="s">
        <v>6363</v>
      </c>
      <c r="I1407" s="37" t="s">
        <v>6361</v>
      </c>
    </row>
    <row r="1408" spans="1:9" ht="15.75">
      <c r="A1408" s="13">
        <v>46021</v>
      </c>
      <c r="B1408" t="s">
        <v>3529</v>
      </c>
      <c r="C1408" s="55">
        <v>6861646</v>
      </c>
      <c r="D1408" s="54">
        <v>0</v>
      </c>
      <c r="E1408" s="11">
        <f t="shared" si="24"/>
        <v>3661725768.5499992</v>
      </c>
      <c r="F1408" s="8" t="s">
        <v>62</v>
      </c>
      <c r="G1408" s="8" t="s">
        <v>251</v>
      </c>
      <c r="H1408" s="154" t="s">
        <v>6537</v>
      </c>
      <c r="I1408" s="37"/>
    </row>
    <row r="1409" spans="1:9" ht="15.75">
      <c r="A1409" s="13">
        <v>46021</v>
      </c>
      <c r="B1409" t="s">
        <v>339</v>
      </c>
      <c r="C1409" s="55">
        <v>17752909</v>
      </c>
      <c r="D1409" s="54">
        <v>0</v>
      </c>
      <c r="E1409" s="11">
        <f t="shared" si="24"/>
        <v>3643972859.5499992</v>
      </c>
      <c r="F1409" s="8" t="s">
        <v>62</v>
      </c>
      <c r="G1409" s="8" t="s">
        <v>252</v>
      </c>
      <c r="H1409" s="154" t="s">
        <v>6537</v>
      </c>
      <c r="I1409" s="37"/>
    </row>
    <row r="1410" spans="1:9" ht="15.75">
      <c r="A1410" s="13">
        <v>46022</v>
      </c>
      <c r="B1410" t="s">
        <v>6424</v>
      </c>
      <c r="C1410" s="55">
        <v>4175570</v>
      </c>
      <c r="D1410" s="54">
        <v>0</v>
      </c>
      <c r="E1410" s="11">
        <f t="shared" si="24"/>
        <v>3639797289.5499992</v>
      </c>
      <c r="F1410" s="8" t="s">
        <v>10</v>
      </c>
      <c r="G1410" s="8" t="s">
        <v>446</v>
      </c>
      <c r="H1410" s="154" t="s">
        <v>5751</v>
      </c>
      <c r="I1410" s="37"/>
    </row>
    <row r="1411" spans="1:9" ht="15.75">
      <c r="A1411" s="13">
        <v>46022</v>
      </c>
      <c r="B1411" t="s">
        <v>6425</v>
      </c>
      <c r="C1411" s="55">
        <v>12531000</v>
      </c>
      <c r="D1411" s="54">
        <v>0</v>
      </c>
      <c r="E1411" s="11">
        <f t="shared" si="24"/>
        <v>3627266289.5499992</v>
      </c>
      <c r="F1411" s="8" t="s">
        <v>10</v>
      </c>
      <c r="G1411" s="8" t="s">
        <v>446</v>
      </c>
      <c r="H1411" s="154" t="s">
        <v>4096</v>
      </c>
      <c r="I1411" s="37"/>
    </row>
    <row r="1412" spans="1:9" ht="15.75">
      <c r="A1412" s="13">
        <v>46022</v>
      </c>
      <c r="B1412" t="s">
        <v>6426</v>
      </c>
      <c r="C1412" s="55">
        <v>2500</v>
      </c>
      <c r="D1412" s="54">
        <v>0</v>
      </c>
      <c r="E1412" s="11">
        <f t="shared" si="24"/>
        <v>3627263789.5499992</v>
      </c>
      <c r="F1412" s="8" t="s">
        <v>19</v>
      </c>
      <c r="G1412" s="8" t="s">
        <v>189</v>
      </c>
      <c r="H1412" s="154"/>
      <c r="I1412" s="37"/>
    </row>
    <row r="1413" spans="1:9" ht="15.75">
      <c r="A1413" s="13">
        <v>46022</v>
      </c>
      <c r="B1413" t="s">
        <v>7113</v>
      </c>
      <c r="C1413" s="55">
        <v>18018018</v>
      </c>
      <c r="D1413" s="54">
        <v>0</v>
      </c>
      <c r="E1413" s="11">
        <f t="shared" si="24"/>
        <v>3609245771.5499992</v>
      </c>
      <c r="F1413" s="8" t="s">
        <v>8</v>
      </c>
      <c r="G1413" s="8" t="s">
        <v>77</v>
      </c>
      <c r="H1413" s="154" t="s">
        <v>6537</v>
      </c>
      <c r="I1413" s="37"/>
    </row>
    <row r="1414" spans="1:9" ht="15.75">
      <c r="A1414" s="13">
        <v>46022</v>
      </c>
      <c r="B1414" t="s">
        <v>7113</v>
      </c>
      <c r="C1414" s="55">
        <v>1981982</v>
      </c>
      <c r="D1414" s="54">
        <v>0</v>
      </c>
      <c r="E1414" s="11">
        <f t="shared" si="24"/>
        <v>3607263789.5499992</v>
      </c>
      <c r="F1414" t="s">
        <v>920</v>
      </c>
      <c r="G1414" t="s">
        <v>7856</v>
      </c>
      <c r="H1414" t="s">
        <v>7032</v>
      </c>
      <c r="I1414" t="s">
        <v>6537</v>
      </c>
    </row>
    <row r="1415" spans="1:9" s="8" customFormat="1" ht="15.75">
      <c r="A1415" s="13">
        <v>46022</v>
      </c>
      <c r="B1415" s="8" t="s">
        <v>7113</v>
      </c>
      <c r="C1415" s="55">
        <v>0</v>
      </c>
      <c r="D1415" s="55">
        <f>C1413+C1414-18198198</f>
        <v>1801802</v>
      </c>
      <c r="E1415" s="11">
        <f t="shared" si="24"/>
        <v>3609065591.5499992</v>
      </c>
      <c r="F1415" s="8" t="s">
        <v>6</v>
      </c>
      <c r="G1415" s="8" t="s">
        <v>53</v>
      </c>
      <c r="H1415" s="8" t="s">
        <v>7126</v>
      </c>
      <c r="I1415" s="8" t="s">
        <v>6537</v>
      </c>
    </row>
    <row r="1416" spans="1:9" ht="15.75">
      <c r="A1416" s="13">
        <v>46022</v>
      </c>
      <c r="B1416" t="s">
        <v>6427</v>
      </c>
      <c r="C1416" s="55">
        <v>2281300</v>
      </c>
      <c r="D1416" s="54">
        <v>0</v>
      </c>
      <c r="E1416" s="11">
        <f t="shared" si="24"/>
        <v>3606784291.5499992</v>
      </c>
      <c r="F1416" s="8" t="s">
        <v>10</v>
      </c>
      <c r="G1416" s="8" t="s">
        <v>446</v>
      </c>
      <c r="H1416" s="154" t="s">
        <v>4096</v>
      </c>
      <c r="I1416" s="37"/>
    </row>
    <row r="1417" spans="1:9" ht="15.75">
      <c r="A1417" s="13">
        <v>46022</v>
      </c>
      <c r="B1417" t="s">
        <v>6428</v>
      </c>
      <c r="C1417" s="55">
        <v>2500</v>
      </c>
      <c r="D1417" s="54">
        <v>0</v>
      </c>
      <c r="E1417" s="11">
        <f t="shared" si="24"/>
        <v>3606781791.5499992</v>
      </c>
      <c r="F1417" s="8" t="s">
        <v>19</v>
      </c>
      <c r="G1417" s="8" t="s">
        <v>189</v>
      </c>
      <c r="H1417" s="154"/>
      <c r="I1417" s="37"/>
    </row>
    <row r="1418" spans="1:9" ht="15.75">
      <c r="A1418" s="13">
        <v>46022</v>
      </c>
      <c r="B1418" t="s">
        <v>6429</v>
      </c>
      <c r="C1418" s="55">
        <v>2601170</v>
      </c>
      <c r="D1418" s="54">
        <v>0</v>
      </c>
      <c r="E1418" s="11">
        <f t="shared" si="24"/>
        <v>3604180621.5499992</v>
      </c>
      <c r="F1418" s="8" t="s">
        <v>4</v>
      </c>
      <c r="G1418" s="8" t="s">
        <v>5</v>
      </c>
      <c r="H1418" s="154" t="s">
        <v>2238</v>
      </c>
      <c r="I1418" s="37"/>
    </row>
    <row r="1419" spans="1:9" ht="15.75">
      <c r="A1419" s="13">
        <v>46022</v>
      </c>
      <c r="B1419" t="s">
        <v>6430</v>
      </c>
      <c r="C1419" s="55">
        <v>2500</v>
      </c>
      <c r="D1419" s="54">
        <v>0</v>
      </c>
      <c r="E1419" s="11">
        <f t="shared" si="24"/>
        <v>3604178121.5499992</v>
      </c>
      <c r="F1419" s="8" t="s">
        <v>19</v>
      </c>
      <c r="G1419" s="8" t="s">
        <v>189</v>
      </c>
      <c r="H1419" s="154"/>
      <c r="I1419" s="37"/>
    </row>
    <row r="1420" spans="1:9" ht="15.75">
      <c r="A1420" s="13">
        <v>46022</v>
      </c>
      <c r="B1420" t="s">
        <v>6431</v>
      </c>
      <c r="C1420" s="55">
        <v>4518484</v>
      </c>
      <c r="D1420" s="54">
        <v>0</v>
      </c>
      <c r="E1420" s="11">
        <f t="shared" si="24"/>
        <v>3599659637.5499992</v>
      </c>
      <c r="F1420" t="s">
        <v>10</v>
      </c>
      <c r="G1420" t="s">
        <v>446</v>
      </c>
      <c r="H1420" s="154" t="s">
        <v>4089</v>
      </c>
      <c r="I1420" s="37"/>
    </row>
    <row r="1421" spans="1:9" ht="15.75">
      <c r="A1421" s="13">
        <v>46022</v>
      </c>
      <c r="B1421" t="s">
        <v>6432</v>
      </c>
      <c r="C1421" s="55">
        <v>12765014</v>
      </c>
      <c r="D1421" s="54">
        <v>0</v>
      </c>
      <c r="E1421" s="11">
        <f t="shared" si="24"/>
        <v>3586894623.5499992</v>
      </c>
      <c r="F1421" s="8" t="s">
        <v>10</v>
      </c>
      <c r="G1421" s="8" t="s">
        <v>446</v>
      </c>
      <c r="H1421" s="154" t="s">
        <v>6001</v>
      </c>
      <c r="I1421" s="37"/>
    </row>
    <row r="1422" spans="1:9" ht="15.75">
      <c r="A1422" s="13">
        <v>46022</v>
      </c>
      <c r="B1422" t="s">
        <v>6433</v>
      </c>
      <c r="C1422" s="55">
        <v>1298545</v>
      </c>
      <c r="D1422" s="54">
        <v>0</v>
      </c>
      <c r="E1422" s="11">
        <f t="shared" si="24"/>
        <v>3585596078.5499992</v>
      </c>
      <c r="F1422" s="8" t="s">
        <v>10</v>
      </c>
      <c r="G1422" s="8" t="s">
        <v>446</v>
      </c>
      <c r="H1422" s="154" t="s">
        <v>6101</v>
      </c>
      <c r="I1422" s="37"/>
    </row>
    <row r="1423" spans="1:9" ht="15.75">
      <c r="A1423" s="13">
        <v>46022</v>
      </c>
      <c r="B1423" t="s">
        <v>6434</v>
      </c>
      <c r="C1423" s="55">
        <v>106558618</v>
      </c>
      <c r="D1423" s="54">
        <v>0</v>
      </c>
      <c r="E1423" s="11">
        <f t="shared" si="24"/>
        <v>3479037460.5499992</v>
      </c>
      <c r="F1423" s="8" t="s">
        <v>10</v>
      </c>
      <c r="G1423" s="8" t="s">
        <v>446</v>
      </c>
      <c r="H1423" s="154" t="s">
        <v>6472</v>
      </c>
      <c r="I1423" s="37"/>
    </row>
    <row r="1424" spans="1:9" ht="15.75">
      <c r="A1424" s="13">
        <v>46022</v>
      </c>
      <c r="B1424" t="s">
        <v>6435</v>
      </c>
      <c r="C1424" s="55">
        <v>1500745</v>
      </c>
      <c r="D1424" s="54">
        <v>0</v>
      </c>
      <c r="E1424" s="11">
        <f t="shared" ref="E1424:E1429" si="25">E1423-C1424+D1424</f>
        <v>3477536715.5499992</v>
      </c>
      <c r="F1424" s="8" t="s">
        <v>10</v>
      </c>
      <c r="G1424" s="8" t="s">
        <v>446</v>
      </c>
      <c r="H1424" s="154" t="s">
        <v>6101</v>
      </c>
      <c r="I1424" s="37"/>
    </row>
    <row r="1425" spans="1:9" ht="15.75">
      <c r="A1425" s="13">
        <v>46022</v>
      </c>
      <c r="B1425" t="s">
        <v>6436</v>
      </c>
      <c r="C1425" s="55">
        <v>2500000</v>
      </c>
      <c r="D1425" s="54">
        <v>0</v>
      </c>
      <c r="E1425" s="11">
        <f t="shared" si="25"/>
        <v>3475036715.5499992</v>
      </c>
      <c r="F1425" s="8" t="s">
        <v>4</v>
      </c>
      <c r="G1425" s="8" t="s">
        <v>5</v>
      </c>
      <c r="H1425" s="154" t="s">
        <v>6293</v>
      </c>
      <c r="I1425" s="37"/>
    </row>
    <row r="1426" spans="1:9" ht="15.75">
      <c r="A1426" s="13">
        <v>46022</v>
      </c>
      <c r="B1426" t="s">
        <v>6437</v>
      </c>
      <c r="C1426" s="55">
        <v>2500</v>
      </c>
      <c r="D1426" s="54">
        <v>0</v>
      </c>
      <c r="E1426" s="11">
        <f t="shared" si="25"/>
        <v>3475034215.5499992</v>
      </c>
      <c r="F1426" s="8" t="s">
        <v>19</v>
      </c>
      <c r="G1426" s="8" t="s">
        <v>189</v>
      </c>
      <c r="H1426" s="154"/>
      <c r="I1426" s="37"/>
    </row>
    <row r="1427" spans="1:9" ht="15.75">
      <c r="A1427" s="13">
        <v>46022</v>
      </c>
      <c r="B1427" t="s">
        <v>1217</v>
      </c>
      <c r="C1427" s="55">
        <v>25000</v>
      </c>
      <c r="D1427" s="54">
        <v>0</v>
      </c>
      <c r="E1427" s="11">
        <f t="shared" si="25"/>
        <v>3475009215.5499992</v>
      </c>
      <c r="F1427" s="8" t="s">
        <v>19</v>
      </c>
      <c r="G1427" s="8" t="s">
        <v>189</v>
      </c>
      <c r="H1427" s="154"/>
      <c r="I1427" s="37"/>
    </row>
    <row r="1428" spans="1:9" ht="15.75">
      <c r="A1428" s="13">
        <v>46022</v>
      </c>
      <c r="B1428" t="s">
        <v>1216</v>
      </c>
      <c r="C1428" s="55">
        <v>0</v>
      </c>
      <c r="D1428" s="54">
        <v>3439784.83</v>
      </c>
      <c r="E1428" s="11">
        <f t="shared" si="25"/>
        <v>3478449000.3799992</v>
      </c>
      <c r="F1428" s="8" t="s">
        <v>190</v>
      </c>
      <c r="G1428" s="8" t="s">
        <v>79</v>
      </c>
      <c r="H1428" s="154"/>
      <c r="I1428" s="37"/>
    </row>
    <row r="1429" spans="1:9" ht="15.75">
      <c r="A1429" s="13">
        <v>46022</v>
      </c>
      <c r="B1429" t="s">
        <v>1218</v>
      </c>
      <c r="C1429" s="55">
        <v>687956.97</v>
      </c>
      <c r="D1429" s="54">
        <v>0</v>
      </c>
      <c r="E1429" s="11">
        <f t="shared" si="25"/>
        <v>3477761043.4099994</v>
      </c>
      <c r="F1429" s="8" t="s">
        <v>190</v>
      </c>
      <c r="G1429" s="8" t="s">
        <v>79</v>
      </c>
      <c r="H1429" s="154"/>
      <c r="I1429" s="37"/>
    </row>
    <row r="1431" spans="1:9">
      <c r="C1431" s="1">
        <f>SUBTOTAL(9,C5:C1430)</f>
        <v>42253656847.360001</v>
      </c>
      <c r="D1431" s="1">
        <f>SUBTOTAL(9,D5:D1430)</f>
        <v>43873340440</v>
      </c>
    </row>
    <row r="1432" spans="1:9">
      <c r="D1432" s="1">
        <f>D1431-C1431</f>
        <v>1619683592.6399994</v>
      </c>
    </row>
  </sheetData>
  <autoFilter ref="A4:I1429"/>
  <phoneticPr fontId="27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opLeftCell="A98" zoomScale="108" workbookViewId="0">
      <selection activeCell="B26" sqref="B26"/>
    </sheetView>
  </sheetViews>
  <sheetFormatPr defaultColWidth="11.5546875" defaultRowHeight="15"/>
  <cols>
    <col min="1" max="1" width="10.77734375" style="5" customWidth="1"/>
    <col min="2" max="2" width="65.77734375" customWidth="1"/>
    <col min="3" max="3" width="21.33203125" style="1" customWidth="1"/>
    <col min="4" max="5" width="19.44140625" style="1" customWidth="1"/>
    <col min="6" max="6" width="22.6640625" customWidth="1"/>
    <col min="7" max="7" width="33.6640625" customWidth="1"/>
    <col min="8" max="8" width="52" customWidth="1"/>
    <col min="9" max="9" width="27" customWidth="1"/>
    <col min="10" max="10" width="10.77734375" customWidth="1"/>
  </cols>
  <sheetData>
    <row r="1" spans="1:9" ht="15.75">
      <c r="A1" s="4" t="s">
        <v>74</v>
      </c>
      <c r="B1" s="9" t="s">
        <v>75</v>
      </c>
      <c r="C1" s="1" t="s">
        <v>26</v>
      </c>
      <c r="E1" s="1" t="s">
        <v>26</v>
      </c>
    </row>
    <row r="2" spans="1:9" ht="15.75">
      <c r="A2" s="4" t="s">
        <v>17</v>
      </c>
    </row>
    <row r="4" spans="1:9" ht="15.75">
      <c r="A4" s="4" t="s">
        <v>3</v>
      </c>
      <c r="B4" s="3" t="s">
        <v>511</v>
      </c>
      <c r="C4" s="10"/>
      <c r="D4" s="10">
        <v>0</v>
      </c>
      <c r="E4" s="10">
        <v>339393737.32999957</v>
      </c>
    </row>
    <row r="5" spans="1:9" ht="15.75">
      <c r="A5" s="5">
        <v>45672</v>
      </c>
      <c r="B5" t="s">
        <v>735</v>
      </c>
      <c r="C5" s="11">
        <v>1500000</v>
      </c>
      <c r="D5" s="39">
        <v>0</v>
      </c>
      <c r="E5" s="11">
        <f t="shared" ref="E5:E69" si="0">E4-C5+D5</f>
        <v>337893737.32999957</v>
      </c>
      <c r="F5" t="s">
        <v>6</v>
      </c>
      <c r="G5" t="s">
        <v>7</v>
      </c>
      <c r="H5" s="8" t="s">
        <v>507</v>
      </c>
    </row>
    <row r="6" spans="1:9" s="8" customFormat="1" ht="15.75">
      <c r="A6" s="13">
        <v>45677</v>
      </c>
      <c r="B6" t="s">
        <v>733</v>
      </c>
      <c r="C6" s="11">
        <v>200000</v>
      </c>
      <c r="D6" s="11">
        <v>0</v>
      </c>
      <c r="E6" s="11">
        <f t="shared" si="0"/>
        <v>337693737.32999957</v>
      </c>
      <c r="F6" s="8" t="s">
        <v>19</v>
      </c>
      <c r="G6" s="8" t="s">
        <v>189</v>
      </c>
      <c r="H6" s="40"/>
    </row>
    <row r="7" spans="1:9" ht="15.75">
      <c r="A7" s="5">
        <v>45681</v>
      </c>
      <c r="B7" s="8" t="s">
        <v>734</v>
      </c>
      <c r="C7" s="11">
        <v>0</v>
      </c>
      <c r="D7" s="39">
        <v>155000000</v>
      </c>
      <c r="E7" s="11">
        <f t="shared" si="0"/>
        <v>492693737.32999957</v>
      </c>
      <c r="F7" t="s">
        <v>920</v>
      </c>
      <c r="G7" t="s">
        <v>4246</v>
      </c>
      <c r="H7" s="40"/>
    </row>
    <row r="8" spans="1:9" ht="15.75">
      <c r="A8" s="5">
        <v>45682</v>
      </c>
      <c r="B8" t="s">
        <v>340</v>
      </c>
      <c r="C8" s="11">
        <v>0</v>
      </c>
      <c r="D8" s="11">
        <v>296069</v>
      </c>
      <c r="E8" s="11">
        <f t="shared" si="0"/>
        <v>492989806.32999957</v>
      </c>
      <c r="F8" s="8" t="s">
        <v>190</v>
      </c>
      <c r="G8" s="8" t="s">
        <v>79</v>
      </c>
      <c r="H8" s="40"/>
    </row>
    <row r="9" spans="1:9" ht="15.75">
      <c r="A9" s="5">
        <v>45682</v>
      </c>
      <c r="B9" t="s">
        <v>341</v>
      </c>
      <c r="C9" s="11">
        <v>59214</v>
      </c>
      <c r="D9" s="11">
        <v>0</v>
      </c>
      <c r="E9" s="11">
        <f t="shared" si="0"/>
        <v>492930592.32999957</v>
      </c>
      <c r="F9" s="8" t="s">
        <v>190</v>
      </c>
      <c r="G9" s="8" t="s">
        <v>79</v>
      </c>
    </row>
    <row r="10" spans="1:9" ht="15.75">
      <c r="A10" s="5">
        <v>45705</v>
      </c>
      <c r="B10" t="s">
        <v>903</v>
      </c>
      <c r="C10" s="11">
        <v>15002455</v>
      </c>
      <c r="D10" s="11">
        <v>0</v>
      </c>
      <c r="E10" s="11">
        <f t="shared" si="0"/>
        <v>477928137.32999957</v>
      </c>
      <c r="F10" s="8" t="s">
        <v>920</v>
      </c>
      <c r="G10" t="s">
        <v>352</v>
      </c>
      <c r="H10" t="s">
        <v>6471</v>
      </c>
    </row>
    <row r="11" spans="1:9" ht="15.75">
      <c r="A11" s="5">
        <v>45705</v>
      </c>
      <c r="B11" t="s">
        <v>904</v>
      </c>
      <c r="C11" s="11">
        <v>33153049</v>
      </c>
      <c r="D11" s="11">
        <v>0</v>
      </c>
      <c r="E11" s="11">
        <f t="shared" si="0"/>
        <v>444775088.32999957</v>
      </c>
      <c r="F11" s="8" t="s">
        <v>920</v>
      </c>
      <c r="G11" t="s">
        <v>352</v>
      </c>
      <c r="H11" t="s">
        <v>6471</v>
      </c>
    </row>
    <row r="12" spans="1:9" ht="15.75">
      <c r="A12" s="5">
        <v>45705</v>
      </c>
      <c r="B12" t="s">
        <v>905</v>
      </c>
      <c r="C12" s="11">
        <v>22992555</v>
      </c>
      <c r="D12" s="11">
        <v>0</v>
      </c>
      <c r="E12" s="11">
        <f t="shared" si="0"/>
        <v>421782533.32999957</v>
      </c>
      <c r="F12" s="8" t="s">
        <v>920</v>
      </c>
      <c r="G12" t="s">
        <v>352</v>
      </c>
      <c r="H12" t="s">
        <v>6471</v>
      </c>
    </row>
    <row r="13" spans="1:9" ht="15.75">
      <c r="A13" s="5">
        <v>45706</v>
      </c>
      <c r="B13" t="s">
        <v>906</v>
      </c>
      <c r="C13" s="11">
        <v>0</v>
      </c>
      <c r="D13" s="11">
        <v>662162162</v>
      </c>
      <c r="E13" s="11">
        <f t="shared" si="0"/>
        <v>1083944695.3299994</v>
      </c>
      <c r="F13" s="8" t="s">
        <v>2140</v>
      </c>
      <c r="G13" t="s">
        <v>2141</v>
      </c>
      <c r="H13" t="s">
        <v>1352</v>
      </c>
      <c r="I13" s="37" t="s">
        <v>1468</v>
      </c>
    </row>
    <row r="14" spans="1:9" ht="15.75">
      <c r="A14" s="5">
        <v>45706</v>
      </c>
      <c r="B14" t="s">
        <v>907</v>
      </c>
      <c r="C14" s="11">
        <v>225182726</v>
      </c>
      <c r="D14" s="11">
        <v>0</v>
      </c>
      <c r="E14" s="11">
        <f t="shared" si="0"/>
        <v>858761969.32999945</v>
      </c>
      <c r="F14" s="8" t="s">
        <v>920</v>
      </c>
      <c r="G14" t="s">
        <v>352</v>
      </c>
      <c r="H14" t="s">
        <v>6471</v>
      </c>
    </row>
    <row r="15" spans="1:9" ht="15.75">
      <c r="A15" s="5">
        <v>45706</v>
      </c>
      <c r="B15" t="s">
        <v>908</v>
      </c>
      <c r="C15" s="11">
        <v>7800000</v>
      </c>
      <c r="D15" s="11">
        <v>0</v>
      </c>
      <c r="E15" s="11">
        <f t="shared" si="0"/>
        <v>850961969.32999945</v>
      </c>
      <c r="F15" s="8" t="s">
        <v>4</v>
      </c>
      <c r="G15" t="s">
        <v>5</v>
      </c>
      <c r="H15" s="154" t="s">
        <v>1364</v>
      </c>
    </row>
    <row r="16" spans="1:9" ht="15.75">
      <c r="A16" s="5">
        <v>45708</v>
      </c>
      <c r="B16" t="s">
        <v>909</v>
      </c>
      <c r="C16" s="11">
        <v>200000</v>
      </c>
      <c r="D16" s="11">
        <v>0</v>
      </c>
      <c r="E16" s="11">
        <f t="shared" si="0"/>
        <v>850761969.32999945</v>
      </c>
      <c r="F16" s="8" t="s">
        <v>19</v>
      </c>
      <c r="G16" s="8" t="s">
        <v>189</v>
      </c>
    </row>
    <row r="17" spans="1:9" ht="15.75">
      <c r="A17" s="5">
        <v>45708</v>
      </c>
      <c r="B17" t="s">
        <v>910</v>
      </c>
      <c r="C17" s="11">
        <v>0</v>
      </c>
      <c r="D17" s="11">
        <v>5450000</v>
      </c>
      <c r="E17" s="11">
        <f t="shared" si="0"/>
        <v>856211969.32999945</v>
      </c>
      <c r="F17" s="8" t="s">
        <v>2140</v>
      </c>
      <c r="G17" t="s">
        <v>2141</v>
      </c>
      <c r="H17" t="s">
        <v>1352</v>
      </c>
      <c r="I17" s="37" t="s">
        <v>1469</v>
      </c>
    </row>
    <row r="18" spans="1:9" ht="15.75">
      <c r="A18" s="5">
        <v>45713</v>
      </c>
      <c r="B18" t="s">
        <v>340</v>
      </c>
      <c r="C18" s="11">
        <v>0</v>
      </c>
      <c r="D18" s="11">
        <v>496039</v>
      </c>
      <c r="E18" s="11">
        <f t="shared" si="0"/>
        <v>856708008.32999945</v>
      </c>
      <c r="F18" s="8" t="s">
        <v>190</v>
      </c>
      <c r="G18" s="8" t="s">
        <v>79</v>
      </c>
    </row>
    <row r="19" spans="1:9" ht="15.75">
      <c r="A19" s="5">
        <v>45713</v>
      </c>
      <c r="B19" t="s">
        <v>341</v>
      </c>
      <c r="C19" s="11">
        <v>99208</v>
      </c>
      <c r="D19" s="11">
        <v>0</v>
      </c>
      <c r="E19" s="11">
        <f t="shared" si="0"/>
        <v>856608800.32999945</v>
      </c>
      <c r="F19" s="8" t="s">
        <v>190</v>
      </c>
      <c r="G19" s="8" t="s">
        <v>79</v>
      </c>
    </row>
    <row r="20" spans="1:9" ht="15.75">
      <c r="A20" s="5">
        <v>45736</v>
      </c>
      <c r="B20" t="s">
        <v>1201</v>
      </c>
      <c r="C20" s="11">
        <v>200000</v>
      </c>
      <c r="D20" s="11">
        <v>0</v>
      </c>
      <c r="E20" s="11">
        <f t="shared" si="0"/>
        <v>856408800.32999945</v>
      </c>
      <c r="F20" s="8" t="s">
        <v>19</v>
      </c>
      <c r="G20" s="8" t="s">
        <v>189</v>
      </c>
    </row>
    <row r="21" spans="1:9" ht="15.75">
      <c r="A21" s="5">
        <v>45741</v>
      </c>
      <c r="B21" t="s">
        <v>340</v>
      </c>
      <c r="C21" s="11">
        <v>0</v>
      </c>
      <c r="D21" s="11">
        <v>657092</v>
      </c>
      <c r="E21" s="11">
        <f t="shared" si="0"/>
        <v>857065892.32999945</v>
      </c>
      <c r="F21" s="8" t="s">
        <v>190</v>
      </c>
      <c r="G21" s="8" t="s">
        <v>79</v>
      </c>
    </row>
    <row r="22" spans="1:9" ht="15.75">
      <c r="A22" s="5">
        <v>45741</v>
      </c>
      <c r="B22" t="s">
        <v>341</v>
      </c>
      <c r="C22" s="11">
        <v>131418</v>
      </c>
      <c r="D22" s="11">
        <v>0</v>
      </c>
      <c r="E22" s="11">
        <f t="shared" si="0"/>
        <v>856934474.32999945</v>
      </c>
      <c r="F22" s="8" t="s">
        <v>190</v>
      </c>
      <c r="G22" s="8" t="s">
        <v>79</v>
      </c>
    </row>
    <row r="23" spans="1:9" ht="15.75">
      <c r="A23" s="5">
        <v>45762</v>
      </c>
      <c r="B23" t="s">
        <v>1202</v>
      </c>
      <c r="C23" s="11">
        <v>17127736</v>
      </c>
      <c r="D23" s="11">
        <v>0</v>
      </c>
      <c r="E23" s="11">
        <f t="shared" si="0"/>
        <v>839806738.32999945</v>
      </c>
      <c r="F23" s="8" t="s">
        <v>920</v>
      </c>
      <c r="G23" t="s">
        <v>352</v>
      </c>
      <c r="H23" t="s">
        <v>6471</v>
      </c>
    </row>
    <row r="24" spans="1:9" ht="15.75">
      <c r="A24" s="5">
        <v>45767</v>
      </c>
      <c r="B24" t="s">
        <v>1203</v>
      </c>
      <c r="C24" s="11">
        <v>200000</v>
      </c>
      <c r="D24" s="11">
        <v>0</v>
      </c>
      <c r="E24" s="11">
        <f t="shared" si="0"/>
        <v>839606738.32999945</v>
      </c>
      <c r="F24" s="8" t="s">
        <v>19</v>
      </c>
      <c r="G24" s="8" t="s">
        <v>189</v>
      </c>
    </row>
    <row r="25" spans="1:9" s="8" customFormat="1" ht="15.75">
      <c r="A25" s="13">
        <v>45771</v>
      </c>
      <c r="B25" s="8" t="s">
        <v>1204</v>
      </c>
      <c r="C25" s="54">
        <v>0</v>
      </c>
      <c r="D25" s="54">
        <v>11000</v>
      </c>
      <c r="E25" s="54">
        <f t="shared" si="0"/>
        <v>839617738.32999945</v>
      </c>
      <c r="F25" s="8" t="s">
        <v>190</v>
      </c>
      <c r="G25" s="8" t="s">
        <v>192</v>
      </c>
    </row>
    <row r="26" spans="1:9" ht="15.75">
      <c r="A26" s="5">
        <v>45772</v>
      </c>
      <c r="B26" t="s">
        <v>340</v>
      </c>
      <c r="C26" s="11">
        <v>0</v>
      </c>
      <c r="D26" s="11">
        <v>722613</v>
      </c>
      <c r="E26" s="11">
        <f t="shared" si="0"/>
        <v>840340351.32999945</v>
      </c>
      <c r="F26" s="8" t="s">
        <v>190</v>
      </c>
      <c r="G26" s="8" t="s">
        <v>79</v>
      </c>
    </row>
    <row r="27" spans="1:9" ht="15.75">
      <c r="A27" s="5">
        <v>45772</v>
      </c>
      <c r="B27" t="s">
        <v>341</v>
      </c>
      <c r="C27" s="11">
        <v>144523</v>
      </c>
      <c r="D27" s="11">
        <v>0</v>
      </c>
      <c r="E27" s="11">
        <f t="shared" si="0"/>
        <v>840195828.32999945</v>
      </c>
      <c r="F27" s="8" t="s">
        <v>190</v>
      </c>
      <c r="G27" s="8" t="s">
        <v>79</v>
      </c>
    </row>
    <row r="28" spans="1:9" ht="15.75">
      <c r="A28" s="5">
        <v>45772</v>
      </c>
      <c r="B28" t="s">
        <v>1205</v>
      </c>
      <c r="C28" s="11">
        <v>0</v>
      </c>
      <c r="D28" s="11">
        <v>80364900</v>
      </c>
      <c r="E28" s="11">
        <f t="shared" si="0"/>
        <v>920560728.32999945</v>
      </c>
      <c r="F28" s="8" t="s">
        <v>2140</v>
      </c>
      <c r="G28" s="8" t="s">
        <v>2141</v>
      </c>
      <c r="H28" s="146" t="s">
        <v>1599</v>
      </c>
      <c r="I28" s="37" t="s">
        <v>1536</v>
      </c>
    </row>
    <row r="29" spans="1:9" ht="15.75">
      <c r="A29" s="5">
        <v>45791</v>
      </c>
      <c r="B29" t="s">
        <v>1339</v>
      </c>
      <c r="C29" s="11">
        <v>0</v>
      </c>
      <c r="D29" s="11">
        <v>205216000</v>
      </c>
      <c r="E29" s="11">
        <f t="shared" si="0"/>
        <v>1125776728.3299994</v>
      </c>
      <c r="F29" s="8" t="s">
        <v>2140</v>
      </c>
      <c r="G29" t="s">
        <v>2141</v>
      </c>
      <c r="H29" s="146" t="s">
        <v>1609</v>
      </c>
      <c r="I29" s="37" t="s">
        <v>1547</v>
      </c>
    </row>
    <row r="30" spans="1:9" ht="15.75">
      <c r="A30" s="5">
        <v>45792</v>
      </c>
      <c r="B30" t="s">
        <v>1337</v>
      </c>
      <c r="C30" s="11">
        <v>39902976</v>
      </c>
      <c r="D30" s="11">
        <v>0</v>
      </c>
      <c r="E30" s="11">
        <f t="shared" si="0"/>
        <v>1085873752.3299994</v>
      </c>
      <c r="F30" s="8" t="s">
        <v>920</v>
      </c>
      <c r="G30" t="s">
        <v>352</v>
      </c>
      <c r="H30" t="s">
        <v>6471</v>
      </c>
    </row>
    <row r="31" spans="1:9" ht="15.75">
      <c r="A31" s="5">
        <v>45797</v>
      </c>
      <c r="B31" t="s">
        <v>1336</v>
      </c>
      <c r="C31" s="11">
        <v>200000</v>
      </c>
      <c r="D31" s="11">
        <v>0</v>
      </c>
      <c r="E31" s="11">
        <f t="shared" si="0"/>
        <v>1085673752.3299994</v>
      </c>
      <c r="F31" s="8" t="s">
        <v>19</v>
      </c>
      <c r="G31" t="s">
        <v>189</v>
      </c>
    </row>
    <row r="32" spans="1:9" ht="15.75">
      <c r="A32" s="5">
        <v>45802</v>
      </c>
      <c r="B32" t="s">
        <v>340</v>
      </c>
      <c r="C32" s="11">
        <v>0</v>
      </c>
      <c r="D32" s="11">
        <v>1163490</v>
      </c>
      <c r="E32" s="11">
        <f t="shared" si="0"/>
        <v>1086837242.3299994</v>
      </c>
      <c r="F32" s="8" t="s">
        <v>190</v>
      </c>
      <c r="G32" t="s">
        <v>79</v>
      </c>
    </row>
    <row r="33" spans="1:9" ht="15.75">
      <c r="A33" s="5">
        <v>45802</v>
      </c>
      <c r="B33" t="s">
        <v>341</v>
      </c>
      <c r="C33" s="11">
        <v>232698</v>
      </c>
      <c r="D33" s="11">
        <v>0</v>
      </c>
      <c r="E33" s="11">
        <f t="shared" si="0"/>
        <v>1086604544.3299994</v>
      </c>
      <c r="F33" s="8" t="s">
        <v>190</v>
      </c>
      <c r="G33" t="s">
        <v>79</v>
      </c>
    </row>
    <row r="34" spans="1:9" ht="15.75">
      <c r="A34" s="5">
        <v>45804</v>
      </c>
      <c r="B34" t="s">
        <v>1338</v>
      </c>
      <c r="C34" s="11">
        <v>0</v>
      </c>
      <c r="D34" s="11">
        <v>259932750</v>
      </c>
      <c r="E34" s="11">
        <f t="shared" si="0"/>
        <v>1346537294.3299994</v>
      </c>
      <c r="F34" s="8" t="s">
        <v>2140</v>
      </c>
      <c r="G34" t="s">
        <v>2141</v>
      </c>
      <c r="H34" s="146" t="s">
        <v>1609</v>
      </c>
      <c r="I34" s="37" t="s">
        <v>1548</v>
      </c>
    </row>
    <row r="35" spans="1:9" ht="15.75">
      <c r="A35" s="5">
        <v>45804</v>
      </c>
      <c r="B35" t="s">
        <v>5398</v>
      </c>
      <c r="C35" s="11">
        <v>600000000</v>
      </c>
      <c r="D35" s="11">
        <v>0</v>
      </c>
      <c r="E35" s="11">
        <f t="shared" si="0"/>
        <v>746537294.32999945</v>
      </c>
      <c r="F35" s="8" t="s">
        <v>920</v>
      </c>
      <c r="G35" s="8" t="s">
        <v>352</v>
      </c>
      <c r="H35" s="154" t="s">
        <v>5399</v>
      </c>
    </row>
    <row r="36" spans="1:9" ht="15.75">
      <c r="A36" s="5">
        <v>45804</v>
      </c>
      <c r="B36" t="s">
        <v>1340</v>
      </c>
      <c r="C36" s="11">
        <v>9768000</v>
      </c>
      <c r="D36" s="11">
        <v>0</v>
      </c>
      <c r="E36" s="11">
        <f t="shared" si="0"/>
        <v>736769294.32999945</v>
      </c>
      <c r="F36" s="8" t="s">
        <v>10</v>
      </c>
      <c r="G36" t="s">
        <v>446</v>
      </c>
      <c r="H36" s="40" t="s">
        <v>2325</v>
      </c>
      <c r="I36" t="s">
        <v>26</v>
      </c>
    </row>
    <row r="37" spans="1:9" ht="15.75">
      <c r="A37" s="5">
        <v>45805</v>
      </c>
      <c r="B37" t="s">
        <v>5398</v>
      </c>
      <c r="C37" s="11">
        <v>170000000</v>
      </c>
      <c r="D37" s="11">
        <v>0</v>
      </c>
      <c r="E37" s="11">
        <f t="shared" si="0"/>
        <v>566769294.32999945</v>
      </c>
      <c r="F37" s="8" t="s">
        <v>920</v>
      </c>
      <c r="G37" s="8" t="s">
        <v>352</v>
      </c>
      <c r="H37" s="154" t="s">
        <v>5399</v>
      </c>
    </row>
    <row r="38" spans="1:9" ht="15.75">
      <c r="A38" s="5">
        <v>45805</v>
      </c>
      <c r="B38" t="s">
        <v>1341</v>
      </c>
      <c r="C38" s="11">
        <v>225000000</v>
      </c>
      <c r="D38" s="11">
        <v>0</v>
      </c>
      <c r="E38" s="11">
        <f t="shared" si="0"/>
        <v>341769294.32999945</v>
      </c>
      <c r="F38" s="8" t="s">
        <v>920</v>
      </c>
      <c r="G38" t="s">
        <v>4253</v>
      </c>
    </row>
    <row r="39" spans="1:9" ht="15.75">
      <c r="A39" s="5">
        <v>45805</v>
      </c>
      <c r="B39" t="s">
        <v>3023</v>
      </c>
      <c r="C39" s="11">
        <v>2500</v>
      </c>
      <c r="D39" s="11">
        <v>0</v>
      </c>
      <c r="E39" s="11">
        <f t="shared" si="0"/>
        <v>341766794.32999945</v>
      </c>
      <c r="F39" s="8" t="s">
        <v>19</v>
      </c>
      <c r="G39" t="s">
        <v>189</v>
      </c>
    </row>
    <row r="40" spans="1:9">
      <c r="A40" s="5">
        <v>45827</v>
      </c>
      <c r="B40" t="s">
        <v>2330</v>
      </c>
      <c r="C40" s="11">
        <v>0</v>
      </c>
      <c r="D40" s="11">
        <v>100000000</v>
      </c>
      <c r="E40" s="11">
        <f t="shared" si="0"/>
        <v>441766794.32999945</v>
      </c>
      <c r="F40" t="s">
        <v>920</v>
      </c>
      <c r="G40" t="s">
        <v>4246</v>
      </c>
    </row>
    <row r="41" spans="1:9" ht="15.75">
      <c r="A41" s="5">
        <v>45827</v>
      </c>
      <c r="B41" t="s">
        <v>2329</v>
      </c>
      <c r="C41" s="11">
        <v>93742913</v>
      </c>
      <c r="D41" s="11">
        <v>0</v>
      </c>
      <c r="E41" s="11">
        <f t="shared" si="0"/>
        <v>348023881.32999945</v>
      </c>
      <c r="F41" s="8" t="s">
        <v>920</v>
      </c>
      <c r="G41" t="s">
        <v>352</v>
      </c>
      <c r="H41" t="s">
        <v>6471</v>
      </c>
    </row>
    <row r="42" spans="1:9" ht="15.75">
      <c r="A42" s="5">
        <v>45828</v>
      </c>
      <c r="B42" t="s">
        <v>2331</v>
      </c>
      <c r="C42" s="11">
        <v>200000</v>
      </c>
      <c r="D42" s="11">
        <v>0</v>
      </c>
      <c r="E42" s="11">
        <f t="shared" si="0"/>
        <v>347823881.32999945</v>
      </c>
      <c r="F42" s="8" t="s">
        <v>19</v>
      </c>
      <c r="G42" t="s">
        <v>189</v>
      </c>
    </row>
    <row r="43" spans="1:9" ht="15.75">
      <c r="A43" s="5">
        <v>45833</v>
      </c>
      <c r="B43" t="s">
        <v>2332</v>
      </c>
      <c r="C43" s="11">
        <v>4835000</v>
      </c>
      <c r="D43" s="11">
        <v>0</v>
      </c>
      <c r="E43" s="11">
        <f t="shared" si="0"/>
        <v>342988881.32999945</v>
      </c>
      <c r="F43" s="8" t="s">
        <v>4</v>
      </c>
      <c r="G43" t="s">
        <v>5</v>
      </c>
      <c r="H43" s="40" t="s">
        <v>7814</v>
      </c>
      <c r="I43" t="s">
        <v>26</v>
      </c>
    </row>
    <row r="44" spans="1:9" ht="15.75">
      <c r="A44" s="5">
        <v>45833</v>
      </c>
      <c r="B44" t="s">
        <v>340</v>
      </c>
      <c r="C44" s="11">
        <v>0</v>
      </c>
      <c r="D44" s="11">
        <v>352301</v>
      </c>
      <c r="E44" s="11">
        <f t="shared" si="0"/>
        <v>343341182.32999945</v>
      </c>
      <c r="F44" s="8" t="s">
        <v>190</v>
      </c>
      <c r="G44" t="s">
        <v>79</v>
      </c>
    </row>
    <row r="45" spans="1:9" ht="15.75">
      <c r="A45" s="5">
        <v>45833</v>
      </c>
      <c r="B45" t="s">
        <v>341</v>
      </c>
      <c r="C45" s="11">
        <v>70460</v>
      </c>
      <c r="D45" s="11">
        <v>0</v>
      </c>
      <c r="E45" s="11">
        <f t="shared" si="0"/>
        <v>343270722.32999945</v>
      </c>
      <c r="F45" s="8" t="s">
        <v>190</v>
      </c>
      <c r="G45" t="s">
        <v>79</v>
      </c>
    </row>
    <row r="46" spans="1:9" ht="15.75">
      <c r="A46" s="5">
        <v>45841</v>
      </c>
      <c r="B46" t="s">
        <v>2370</v>
      </c>
      <c r="C46" s="11">
        <v>0</v>
      </c>
      <c r="D46" s="1">
        <v>26486486</v>
      </c>
      <c r="E46" s="11">
        <f t="shared" si="0"/>
        <v>369757208.32999945</v>
      </c>
      <c r="F46" s="8" t="s">
        <v>2140</v>
      </c>
      <c r="G46" t="s">
        <v>2141</v>
      </c>
      <c r="H46" s="154" t="s">
        <v>2235</v>
      </c>
      <c r="I46" s="37" t="s">
        <v>2234</v>
      </c>
    </row>
    <row r="47" spans="1:9" ht="15.75">
      <c r="A47" s="5">
        <v>45844</v>
      </c>
      <c r="B47" t="s">
        <v>2371</v>
      </c>
      <c r="C47" s="11">
        <v>0</v>
      </c>
      <c r="D47" s="1">
        <v>214540541</v>
      </c>
      <c r="E47" s="11">
        <f t="shared" si="0"/>
        <v>584297749.32999945</v>
      </c>
      <c r="F47" s="8" t="s">
        <v>2140</v>
      </c>
      <c r="G47" t="s">
        <v>2141</v>
      </c>
      <c r="H47" s="154" t="s">
        <v>2235</v>
      </c>
      <c r="I47" s="37" t="s">
        <v>2242</v>
      </c>
    </row>
    <row r="48" spans="1:9" ht="15.75">
      <c r="A48" s="5">
        <v>45845</v>
      </c>
      <c r="B48" t="s">
        <v>2372</v>
      </c>
      <c r="C48" s="11">
        <v>100000000</v>
      </c>
      <c r="D48" s="1">
        <v>0</v>
      </c>
      <c r="E48" s="11">
        <f t="shared" si="0"/>
        <v>484297749.32999945</v>
      </c>
      <c r="F48" s="8" t="s">
        <v>4</v>
      </c>
      <c r="G48" t="s">
        <v>5</v>
      </c>
      <c r="H48" s="40" t="s">
        <v>2320</v>
      </c>
    </row>
    <row r="49" spans="1:9" ht="15.75">
      <c r="A49" s="5">
        <v>45848</v>
      </c>
      <c r="B49" t="s">
        <v>2373</v>
      </c>
      <c r="C49" s="11">
        <v>11050000</v>
      </c>
      <c r="D49" s="1">
        <v>0</v>
      </c>
      <c r="E49" s="11">
        <f t="shared" si="0"/>
        <v>473247749.32999945</v>
      </c>
      <c r="F49" s="8" t="s">
        <v>4</v>
      </c>
      <c r="G49" t="s">
        <v>5</v>
      </c>
      <c r="H49" s="40" t="s">
        <v>2320</v>
      </c>
    </row>
    <row r="50" spans="1:9" ht="15.75">
      <c r="A50" s="5">
        <v>45848</v>
      </c>
      <c r="B50" t="s">
        <v>2374</v>
      </c>
      <c r="C50" s="11">
        <v>1565953</v>
      </c>
      <c r="D50" s="1">
        <v>0</v>
      </c>
      <c r="E50" s="11">
        <f t="shared" si="0"/>
        <v>471681796.32999945</v>
      </c>
      <c r="F50" s="8" t="s">
        <v>10</v>
      </c>
      <c r="G50" t="s">
        <v>446</v>
      </c>
      <c r="H50" s="40" t="s">
        <v>1639</v>
      </c>
      <c r="I50" t="s">
        <v>26</v>
      </c>
    </row>
    <row r="51" spans="1:9" ht="15.75">
      <c r="A51" s="5">
        <v>45848</v>
      </c>
      <c r="B51" t="s">
        <v>2375</v>
      </c>
      <c r="C51" s="11">
        <v>80615000</v>
      </c>
      <c r="D51" s="1">
        <v>0</v>
      </c>
      <c r="E51" s="11">
        <f t="shared" si="0"/>
        <v>391066796.32999945</v>
      </c>
      <c r="F51" s="8" t="s">
        <v>4</v>
      </c>
      <c r="G51" t="s">
        <v>5</v>
      </c>
      <c r="H51" s="40" t="s">
        <v>2320</v>
      </c>
    </row>
    <row r="52" spans="1:9" s="8" customFormat="1" ht="15.75">
      <c r="A52" s="13">
        <v>45852</v>
      </c>
      <c r="B52" s="8" t="s">
        <v>2968</v>
      </c>
      <c r="C52" s="54">
        <v>0</v>
      </c>
      <c r="D52" s="54">
        <v>20000000</v>
      </c>
      <c r="E52" s="54">
        <f t="shared" si="0"/>
        <v>411066796.32999945</v>
      </c>
      <c r="F52" s="8" t="s">
        <v>4</v>
      </c>
      <c r="G52" s="8" t="s">
        <v>5</v>
      </c>
      <c r="H52" s="8" t="s">
        <v>6002</v>
      </c>
    </row>
    <row r="53" spans="1:9" ht="15.75">
      <c r="A53" s="5">
        <v>45853</v>
      </c>
      <c r="B53" t="s">
        <v>2969</v>
      </c>
      <c r="C53" s="11">
        <v>4960000</v>
      </c>
      <c r="D53" s="11">
        <v>0</v>
      </c>
      <c r="E53" s="11">
        <f t="shared" si="0"/>
        <v>406106796.32999945</v>
      </c>
      <c r="F53" s="8" t="s">
        <v>4</v>
      </c>
      <c r="G53" t="s">
        <v>5</v>
      </c>
      <c r="H53" s="40" t="s">
        <v>1622</v>
      </c>
    </row>
    <row r="54" spans="1:9" ht="15.75">
      <c r="A54" s="5">
        <v>45858</v>
      </c>
      <c r="B54" s="11" t="s">
        <v>2970</v>
      </c>
      <c r="C54" s="11">
        <v>200000</v>
      </c>
      <c r="D54" s="11">
        <v>0</v>
      </c>
      <c r="E54" s="11">
        <f t="shared" si="0"/>
        <v>405906796.32999945</v>
      </c>
      <c r="F54" s="8" t="s">
        <v>19</v>
      </c>
      <c r="G54" t="s">
        <v>189</v>
      </c>
    </row>
    <row r="55" spans="1:9" ht="15.75">
      <c r="A55" s="5">
        <v>45863</v>
      </c>
      <c r="B55" s="11" t="s">
        <v>340</v>
      </c>
      <c r="C55" s="11">
        <v>0</v>
      </c>
      <c r="D55" s="11">
        <v>343223</v>
      </c>
      <c r="E55" s="11">
        <f t="shared" si="0"/>
        <v>406250019.32999945</v>
      </c>
      <c r="F55" s="8" t="s">
        <v>190</v>
      </c>
      <c r="G55" t="s">
        <v>79</v>
      </c>
    </row>
    <row r="56" spans="1:9" ht="15.75">
      <c r="A56" s="5">
        <v>45863</v>
      </c>
      <c r="B56" s="11" t="s">
        <v>341</v>
      </c>
      <c r="C56" s="11">
        <v>68645</v>
      </c>
      <c r="D56" s="11">
        <v>0</v>
      </c>
      <c r="E56" s="11">
        <f t="shared" si="0"/>
        <v>406181374.32999945</v>
      </c>
      <c r="F56" s="8" t="s">
        <v>190</v>
      </c>
      <c r="G56" t="s">
        <v>79</v>
      </c>
    </row>
    <row r="57" spans="1:9" ht="15.75">
      <c r="A57" s="5">
        <v>45866</v>
      </c>
      <c r="B57" s="11" t="s">
        <v>2962</v>
      </c>
      <c r="C57" s="11">
        <v>31720415</v>
      </c>
      <c r="D57" s="11">
        <v>0</v>
      </c>
      <c r="E57" s="11">
        <f t="shared" si="0"/>
        <v>374460959.32999945</v>
      </c>
      <c r="F57" s="8" t="s">
        <v>920</v>
      </c>
      <c r="G57" t="s">
        <v>352</v>
      </c>
      <c r="H57" t="s">
        <v>6471</v>
      </c>
    </row>
    <row r="58" spans="1:9">
      <c r="A58" s="5">
        <v>45866</v>
      </c>
      <c r="B58" s="11" t="s">
        <v>2963</v>
      </c>
      <c r="C58" s="11">
        <v>0</v>
      </c>
      <c r="D58" s="11">
        <v>100000000</v>
      </c>
      <c r="E58" s="11">
        <f t="shared" si="0"/>
        <v>474460959.32999945</v>
      </c>
      <c r="F58" t="s">
        <v>920</v>
      </c>
      <c r="G58" t="s">
        <v>4246</v>
      </c>
    </row>
    <row r="59" spans="1:9" ht="15.75">
      <c r="A59" s="5">
        <v>45866</v>
      </c>
      <c r="B59" s="11" t="s">
        <v>2964</v>
      </c>
      <c r="C59" s="11">
        <v>102374938</v>
      </c>
      <c r="D59" s="11">
        <v>0</v>
      </c>
      <c r="E59" s="11">
        <f t="shared" si="0"/>
        <v>372086021.32999945</v>
      </c>
      <c r="F59" s="8" t="s">
        <v>920</v>
      </c>
      <c r="G59" t="s">
        <v>352</v>
      </c>
      <c r="H59" t="s">
        <v>6471</v>
      </c>
    </row>
    <row r="60" spans="1:9" ht="15.75">
      <c r="A60" s="5">
        <v>45875</v>
      </c>
      <c r="B60" t="s">
        <v>2965</v>
      </c>
      <c r="C60" s="11">
        <v>30235420</v>
      </c>
      <c r="D60" s="11">
        <v>0</v>
      </c>
      <c r="E60" s="11">
        <f t="shared" si="0"/>
        <v>341850601.32999945</v>
      </c>
      <c r="F60" s="8" t="s">
        <v>4</v>
      </c>
      <c r="G60" t="s">
        <v>5</v>
      </c>
      <c r="H60" s="40" t="s">
        <v>2235</v>
      </c>
    </row>
    <row r="61" spans="1:9" ht="15.75">
      <c r="A61" s="5">
        <v>45879</v>
      </c>
      <c r="B61" t="s">
        <v>2963</v>
      </c>
      <c r="C61" s="11">
        <v>0</v>
      </c>
      <c r="D61" s="11">
        <v>250000000</v>
      </c>
      <c r="E61" s="11">
        <f t="shared" si="0"/>
        <v>591850601.32999945</v>
      </c>
      <c r="F61" s="15" t="s">
        <v>920</v>
      </c>
      <c r="G61" t="s">
        <v>4252</v>
      </c>
    </row>
    <row r="62" spans="1:9" ht="15.75">
      <c r="A62" s="5">
        <v>45879</v>
      </c>
      <c r="B62" t="s">
        <v>2963</v>
      </c>
      <c r="C62" s="11">
        <v>0</v>
      </c>
      <c r="D62" s="11">
        <v>250000000</v>
      </c>
      <c r="E62" s="11">
        <f t="shared" si="0"/>
        <v>841850601.32999945</v>
      </c>
      <c r="F62" s="15" t="s">
        <v>920</v>
      </c>
      <c r="G62" t="s">
        <v>4252</v>
      </c>
    </row>
    <row r="63" spans="1:9" ht="15.75">
      <c r="A63" s="5">
        <v>45879</v>
      </c>
      <c r="B63" t="s">
        <v>5542</v>
      </c>
      <c r="C63" s="11">
        <v>500000000</v>
      </c>
      <c r="D63" s="11">
        <v>0</v>
      </c>
      <c r="E63" s="11">
        <f t="shared" si="0"/>
        <v>341850601.32999945</v>
      </c>
      <c r="F63" s="8" t="s">
        <v>920</v>
      </c>
      <c r="G63" t="s">
        <v>352</v>
      </c>
      <c r="H63" s="40" t="s">
        <v>5541</v>
      </c>
    </row>
    <row r="64" spans="1:9" ht="15.75">
      <c r="A64" s="5">
        <v>45889</v>
      </c>
      <c r="B64" t="s">
        <v>2966</v>
      </c>
      <c r="C64" s="11">
        <v>200000</v>
      </c>
      <c r="D64" s="11">
        <v>0</v>
      </c>
      <c r="E64" s="11">
        <f t="shared" si="0"/>
        <v>341650601.32999945</v>
      </c>
      <c r="F64" s="8" t="s">
        <v>19</v>
      </c>
      <c r="G64" t="s">
        <v>189</v>
      </c>
    </row>
    <row r="65" spans="1:9" s="8" customFormat="1" ht="15.75">
      <c r="A65" s="13">
        <v>45890</v>
      </c>
      <c r="B65" s="8" t="s">
        <v>2967</v>
      </c>
      <c r="C65" s="54">
        <v>0</v>
      </c>
      <c r="D65" s="54">
        <v>98047000</v>
      </c>
      <c r="E65" s="54">
        <f t="shared" si="0"/>
        <v>439697601.32999945</v>
      </c>
      <c r="F65" s="8" t="s">
        <v>920</v>
      </c>
      <c r="G65" s="8" t="s">
        <v>473</v>
      </c>
      <c r="H65" s="40" t="s">
        <v>5541</v>
      </c>
    </row>
    <row r="66" spans="1:9" ht="15.75">
      <c r="A66" s="5">
        <v>45894</v>
      </c>
      <c r="B66" t="s">
        <v>340</v>
      </c>
      <c r="C66" s="11">
        <v>0</v>
      </c>
      <c r="D66" s="11">
        <v>314717</v>
      </c>
      <c r="E66" s="11">
        <f t="shared" si="0"/>
        <v>440012318.32999945</v>
      </c>
      <c r="F66" s="8" t="s">
        <v>190</v>
      </c>
      <c r="G66" t="s">
        <v>79</v>
      </c>
    </row>
    <row r="67" spans="1:9" ht="15.75">
      <c r="A67" s="5">
        <v>45894</v>
      </c>
      <c r="B67" t="s">
        <v>341</v>
      </c>
      <c r="C67" s="11">
        <v>62943</v>
      </c>
      <c r="D67" s="11">
        <v>0</v>
      </c>
      <c r="E67" s="11">
        <f t="shared" si="0"/>
        <v>439949375.32999945</v>
      </c>
      <c r="F67" s="8" t="s">
        <v>190</v>
      </c>
      <c r="G67" t="s">
        <v>79</v>
      </c>
    </row>
    <row r="68" spans="1:9" ht="15.75">
      <c r="A68" s="5">
        <v>45898</v>
      </c>
      <c r="B68" t="s">
        <v>2961</v>
      </c>
      <c r="C68" s="11">
        <v>98779547</v>
      </c>
      <c r="D68" s="11">
        <v>0</v>
      </c>
      <c r="E68" s="11">
        <f t="shared" si="0"/>
        <v>341169828.32999945</v>
      </c>
      <c r="F68" s="8" t="s">
        <v>920</v>
      </c>
      <c r="G68" t="s">
        <v>352</v>
      </c>
      <c r="H68" t="s">
        <v>6471</v>
      </c>
    </row>
    <row r="69" spans="1:9" ht="15.75">
      <c r="A69" s="5">
        <v>45919</v>
      </c>
      <c r="B69" t="s">
        <v>4032</v>
      </c>
      <c r="C69" s="11">
        <v>0</v>
      </c>
      <c r="D69" s="11">
        <v>512072072</v>
      </c>
      <c r="E69" s="11">
        <f t="shared" si="0"/>
        <v>853241900.32999945</v>
      </c>
      <c r="F69" s="8" t="s">
        <v>2140</v>
      </c>
      <c r="G69" t="s">
        <v>2141</v>
      </c>
      <c r="H69" t="s">
        <v>2326</v>
      </c>
      <c r="I69" t="s">
        <v>3455</v>
      </c>
    </row>
    <row r="70" spans="1:9" ht="15.75">
      <c r="A70" s="5">
        <v>45920</v>
      </c>
      <c r="B70" t="s">
        <v>3592</v>
      </c>
      <c r="C70" s="11">
        <v>200000</v>
      </c>
      <c r="D70" s="11">
        <v>0</v>
      </c>
      <c r="E70" s="11">
        <f t="shared" ref="E70:E106" si="1">E69-C70+D70</f>
        <v>853041900.32999945</v>
      </c>
      <c r="F70" s="8" t="s">
        <v>19</v>
      </c>
      <c r="G70" t="s">
        <v>189</v>
      </c>
    </row>
    <row r="71" spans="1:9" ht="15.75">
      <c r="A71" s="5">
        <v>45923</v>
      </c>
      <c r="B71" t="s">
        <v>4232</v>
      </c>
      <c r="C71" s="11">
        <v>0</v>
      </c>
      <c r="D71" s="11">
        <v>227548209</v>
      </c>
      <c r="E71" s="11">
        <f t="shared" si="1"/>
        <v>1080590109.3299994</v>
      </c>
      <c r="F71" s="8" t="s">
        <v>2140</v>
      </c>
      <c r="G71" t="s">
        <v>2141</v>
      </c>
      <c r="H71" t="s">
        <v>3457</v>
      </c>
      <c r="I71" t="s">
        <v>3456</v>
      </c>
    </row>
    <row r="72" spans="1:9" ht="15.75">
      <c r="A72" s="5">
        <v>45925</v>
      </c>
      <c r="B72" t="s">
        <v>340</v>
      </c>
      <c r="C72" s="11">
        <v>0</v>
      </c>
      <c r="D72" s="11">
        <v>376198</v>
      </c>
      <c r="E72" s="11">
        <f t="shared" si="1"/>
        <v>1080966307.3299994</v>
      </c>
      <c r="F72" s="8" t="s">
        <v>190</v>
      </c>
      <c r="G72" t="s">
        <v>79</v>
      </c>
    </row>
    <row r="73" spans="1:9" ht="15.75">
      <c r="A73" s="5">
        <v>45925</v>
      </c>
      <c r="B73" t="s">
        <v>341</v>
      </c>
      <c r="C73" s="11">
        <v>75240</v>
      </c>
      <c r="D73" s="11">
        <v>0</v>
      </c>
      <c r="E73" s="11">
        <f t="shared" si="1"/>
        <v>1080891067.3299994</v>
      </c>
      <c r="F73" s="8" t="s">
        <v>190</v>
      </c>
      <c r="G73" t="s">
        <v>79</v>
      </c>
    </row>
    <row r="74" spans="1:9" ht="15.75">
      <c r="A74" s="5">
        <v>45926</v>
      </c>
      <c r="B74" t="s">
        <v>3593</v>
      </c>
      <c r="C74" s="11">
        <v>46883109</v>
      </c>
      <c r="D74" s="11">
        <v>0</v>
      </c>
      <c r="E74" s="11">
        <f t="shared" si="1"/>
        <v>1034007958.3299994</v>
      </c>
      <c r="F74" s="8" t="s">
        <v>920</v>
      </c>
      <c r="G74" t="s">
        <v>352</v>
      </c>
      <c r="H74" t="s">
        <v>6471</v>
      </c>
    </row>
    <row r="75" spans="1:9" ht="15.75">
      <c r="A75" s="5">
        <v>45932</v>
      </c>
      <c r="B75" t="s">
        <v>4014</v>
      </c>
      <c r="C75" s="11">
        <v>250000000</v>
      </c>
      <c r="D75" s="11">
        <v>0</v>
      </c>
      <c r="E75" s="11">
        <f t="shared" si="1"/>
        <v>784007958.32999945</v>
      </c>
      <c r="F75" s="8" t="s">
        <v>920</v>
      </c>
      <c r="G75" t="s">
        <v>4253</v>
      </c>
    </row>
    <row r="76" spans="1:9" ht="15.75">
      <c r="A76" s="5">
        <v>45932</v>
      </c>
      <c r="B76" t="s">
        <v>4014</v>
      </c>
      <c r="C76" s="11">
        <v>2500</v>
      </c>
      <c r="D76" s="11">
        <v>0</v>
      </c>
      <c r="E76" s="11">
        <f t="shared" si="1"/>
        <v>784005458.32999945</v>
      </c>
      <c r="F76" s="8" t="s">
        <v>19</v>
      </c>
      <c r="G76" t="s">
        <v>189</v>
      </c>
    </row>
    <row r="77" spans="1:9" ht="15.75">
      <c r="A77" s="5">
        <v>45932</v>
      </c>
      <c r="B77" t="s">
        <v>4015</v>
      </c>
      <c r="C77" s="11">
        <v>200000000</v>
      </c>
      <c r="D77" s="11">
        <v>0</v>
      </c>
      <c r="E77" s="11">
        <f t="shared" si="1"/>
        <v>584005458.32999945</v>
      </c>
      <c r="F77" s="8" t="s">
        <v>920</v>
      </c>
      <c r="G77" t="s">
        <v>4253</v>
      </c>
    </row>
    <row r="78" spans="1:9" ht="15.75">
      <c r="A78" s="5">
        <v>45932</v>
      </c>
      <c r="B78" t="s">
        <v>4015</v>
      </c>
      <c r="C78" s="11">
        <v>2500</v>
      </c>
      <c r="D78" s="11">
        <v>0</v>
      </c>
      <c r="E78" s="11">
        <f t="shared" si="1"/>
        <v>584002958.32999945</v>
      </c>
      <c r="F78" s="8" t="s">
        <v>19</v>
      </c>
      <c r="G78" t="s">
        <v>189</v>
      </c>
    </row>
    <row r="79" spans="1:9" ht="15.75">
      <c r="A79" s="5">
        <v>45932</v>
      </c>
      <c r="B79" t="s">
        <v>4016</v>
      </c>
      <c r="C79" s="11">
        <v>250000000</v>
      </c>
      <c r="D79" s="11">
        <v>0</v>
      </c>
      <c r="E79" s="11">
        <f t="shared" si="1"/>
        <v>334002958.32999945</v>
      </c>
      <c r="F79" s="8" t="s">
        <v>920</v>
      </c>
      <c r="G79" t="s">
        <v>4253</v>
      </c>
    </row>
    <row r="80" spans="1:9" ht="15.75">
      <c r="A80" s="5">
        <v>45932</v>
      </c>
      <c r="B80" t="s">
        <v>4016</v>
      </c>
      <c r="C80" s="11">
        <v>2500</v>
      </c>
      <c r="D80" s="11">
        <v>0</v>
      </c>
      <c r="E80" s="11">
        <f t="shared" si="1"/>
        <v>334000458.32999945</v>
      </c>
      <c r="F80" s="8" t="s">
        <v>19</v>
      </c>
      <c r="G80" t="s">
        <v>189</v>
      </c>
    </row>
    <row r="81" spans="1:8" ht="15.75">
      <c r="A81" s="5">
        <v>45938</v>
      </c>
      <c r="B81" t="s">
        <v>4017</v>
      </c>
      <c r="C81" s="11">
        <v>3997950</v>
      </c>
      <c r="D81" s="11">
        <v>0</v>
      </c>
      <c r="E81" s="11">
        <f t="shared" si="1"/>
        <v>330002508.32999945</v>
      </c>
      <c r="F81" s="8" t="s">
        <v>920</v>
      </c>
      <c r="G81" t="s">
        <v>4253</v>
      </c>
    </row>
    <row r="82" spans="1:8" ht="15.75">
      <c r="A82" s="5">
        <v>45938</v>
      </c>
      <c r="B82" t="s">
        <v>4017</v>
      </c>
      <c r="C82" s="11">
        <v>2500</v>
      </c>
      <c r="D82" s="11">
        <v>0</v>
      </c>
      <c r="E82" s="11">
        <f t="shared" si="1"/>
        <v>330000008.32999945</v>
      </c>
      <c r="F82" s="8" t="s">
        <v>19</v>
      </c>
      <c r="G82" t="s">
        <v>189</v>
      </c>
    </row>
    <row r="83" spans="1:8" ht="15.75">
      <c r="A83" s="5">
        <v>45955</v>
      </c>
      <c r="B83" t="s">
        <v>340</v>
      </c>
      <c r="C83" s="11">
        <v>0</v>
      </c>
      <c r="D83" s="11">
        <v>321289</v>
      </c>
      <c r="E83" s="11">
        <f t="shared" si="1"/>
        <v>330321297.32999945</v>
      </c>
      <c r="F83" s="8" t="s">
        <v>190</v>
      </c>
      <c r="G83" t="s">
        <v>79</v>
      </c>
    </row>
    <row r="84" spans="1:8" ht="15.75">
      <c r="A84" s="5">
        <v>45955</v>
      </c>
      <c r="B84" t="s">
        <v>341</v>
      </c>
      <c r="C84" s="11">
        <v>64258</v>
      </c>
      <c r="D84" s="11">
        <v>0</v>
      </c>
      <c r="E84" s="11">
        <f t="shared" si="1"/>
        <v>330257039.32999945</v>
      </c>
      <c r="F84" s="8" t="s">
        <v>190</v>
      </c>
      <c r="G84" t="s">
        <v>79</v>
      </c>
    </row>
    <row r="85" spans="1:8" ht="15.75">
      <c r="A85" s="5">
        <v>45960</v>
      </c>
      <c r="B85" t="s">
        <v>4018</v>
      </c>
      <c r="C85" s="11">
        <v>0</v>
      </c>
      <c r="D85" s="11">
        <v>103397835</v>
      </c>
      <c r="E85" s="11">
        <f t="shared" si="1"/>
        <v>433654874.32999945</v>
      </c>
      <c r="F85" s="8" t="s">
        <v>920</v>
      </c>
      <c r="G85" t="s">
        <v>4246</v>
      </c>
    </row>
    <row r="86" spans="1:8" ht="15.75">
      <c r="A86" s="5">
        <v>45960</v>
      </c>
      <c r="B86" t="s">
        <v>4019</v>
      </c>
      <c r="C86" s="11">
        <v>87280902</v>
      </c>
      <c r="D86" s="11">
        <v>0</v>
      </c>
      <c r="E86" s="11">
        <f t="shared" si="1"/>
        <v>346373972.32999945</v>
      </c>
      <c r="F86" s="8" t="s">
        <v>920</v>
      </c>
      <c r="G86" t="s">
        <v>352</v>
      </c>
      <c r="H86" t="s">
        <v>6471</v>
      </c>
    </row>
    <row r="87" spans="1:8" ht="15.75">
      <c r="A87" s="5">
        <v>45960</v>
      </c>
      <c r="B87" t="s">
        <v>4020</v>
      </c>
      <c r="C87" s="11">
        <v>15827603</v>
      </c>
      <c r="D87" s="11">
        <v>0</v>
      </c>
      <c r="E87" s="11">
        <f t="shared" si="1"/>
        <v>330546369.32999945</v>
      </c>
      <c r="F87" s="8" t="s">
        <v>920</v>
      </c>
      <c r="G87" t="s">
        <v>352</v>
      </c>
      <c r="H87" t="s">
        <v>6471</v>
      </c>
    </row>
    <row r="88" spans="1:8" ht="15.75">
      <c r="A88" s="5">
        <v>45960</v>
      </c>
      <c r="B88" t="s">
        <v>4021</v>
      </c>
      <c r="C88" s="11">
        <v>289330</v>
      </c>
      <c r="D88" s="11">
        <v>0</v>
      </c>
      <c r="E88" s="11">
        <f t="shared" si="1"/>
        <v>330257039.32999945</v>
      </c>
      <c r="F88" s="8" t="s">
        <v>920</v>
      </c>
      <c r="G88" t="s">
        <v>352</v>
      </c>
      <c r="H88" t="s">
        <v>6471</v>
      </c>
    </row>
    <row r="89" spans="1:8" ht="15.75">
      <c r="A89" s="5">
        <v>45968</v>
      </c>
      <c r="B89" t="s">
        <v>4230</v>
      </c>
      <c r="C89" s="11">
        <v>0</v>
      </c>
      <c r="D89" s="11">
        <v>20000000</v>
      </c>
      <c r="E89" s="11">
        <f t="shared" si="1"/>
        <v>350257039.32999945</v>
      </c>
      <c r="F89" s="8" t="s">
        <v>1400</v>
      </c>
      <c r="G89" s="8" t="s">
        <v>1400</v>
      </c>
    </row>
    <row r="90" spans="1:8" ht="15.75">
      <c r="A90" s="5">
        <v>45968</v>
      </c>
      <c r="B90" t="s">
        <v>4226</v>
      </c>
      <c r="C90" s="11">
        <v>20000000</v>
      </c>
      <c r="D90" s="11">
        <v>0</v>
      </c>
      <c r="E90" s="11">
        <f t="shared" si="1"/>
        <v>330257039.32999945</v>
      </c>
      <c r="F90" s="8" t="s">
        <v>1400</v>
      </c>
      <c r="G90" s="8" t="s">
        <v>1400</v>
      </c>
    </row>
    <row r="91" spans="1:8" ht="15.75">
      <c r="A91" s="5">
        <v>45981</v>
      </c>
      <c r="B91" t="s">
        <v>4227</v>
      </c>
      <c r="C91" s="11">
        <v>200000</v>
      </c>
      <c r="D91" s="11">
        <v>0</v>
      </c>
      <c r="E91" s="11">
        <f t="shared" si="1"/>
        <v>330057039.32999945</v>
      </c>
      <c r="F91" s="8" t="s">
        <v>19</v>
      </c>
      <c r="G91" t="s">
        <v>189</v>
      </c>
    </row>
    <row r="92" spans="1:8" s="8" customFormat="1" ht="15.75">
      <c r="A92" s="13">
        <v>45982</v>
      </c>
      <c r="B92" s="8" t="s">
        <v>4233</v>
      </c>
      <c r="C92" s="54">
        <v>0</v>
      </c>
      <c r="D92" s="54">
        <v>103000000</v>
      </c>
      <c r="E92" s="54">
        <f t="shared" si="1"/>
        <v>433057039.32999945</v>
      </c>
      <c r="F92" s="8" t="s">
        <v>920</v>
      </c>
      <c r="G92" s="8" t="s">
        <v>350</v>
      </c>
    </row>
    <row r="93" spans="1:8" ht="15.75">
      <c r="A93" s="5">
        <v>45982</v>
      </c>
      <c r="B93" t="s">
        <v>4234</v>
      </c>
      <c r="C93" s="11">
        <v>0</v>
      </c>
      <c r="D93" s="11">
        <v>1930000</v>
      </c>
      <c r="E93" s="11">
        <f t="shared" si="1"/>
        <v>434987039.32999945</v>
      </c>
      <c r="F93" s="8" t="s">
        <v>920</v>
      </c>
      <c r="G93" t="s">
        <v>4246</v>
      </c>
    </row>
    <row r="94" spans="1:8" ht="15.75">
      <c r="A94" s="5">
        <v>45982</v>
      </c>
      <c r="B94" t="s">
        <v>4228</v>
      </c>
      <c r="C94" s="11">
        <v>10871644</v>
      </c>
      <c r="D94" s="11">
        <v>0</v>
      </c>
      <c r="E94" s="11">
        <f t="shared" si="1"/>
        <v>424115395.32999945</v>
      </c>
      <c r="F94" s="8" t="s">
        <v>920</v>
      </c>
      <c r="G94" t="s">
        <v>352</v>
      </c>
      <c r="H94" t="s">
        <v>6471</v>
      </c>
    </row>
    <row r="95" spans="1:8" ht="15.75">
      <c r="A95" s="5">
        <v>45982</v>
      </c>
      <c r="B95" t="s">
        <v>4229</v>
      </c>
      <c r="C95" s="11">
        <v>94115034</v>
      </c>
      <c r="D95" s="11">
        <v>0</v>
      </c>
      <c r="E95" s="11">
        <f t="shared" si="1"/>
        <v>330000361.32999945</v>
      </c>
      <c r="F95" s="8" t="s">
        <v>920</v>
      </c>
      <c r="G95" s="80" t="s">
        <v>352</v>
      </c>
      <c r="H95" t="s">
        <v>6471</v>
      </c>
    </row>
    <row r="96" spans="1:8" ht="15.75">
      <c r="A96" s="5">
        <v>45986</v>
      </c>
      <c r="B96" t="s">
        <v>340</v>
      </c>
      <c r="C96" s="11">
        <v>0</v>
      </c>
      <c r="D96" s="11">
        <v>140226</v>
      </c>
      <c r="E96" s="11">
        <f t="shared" si="1"/>
        <v>330140587.32999945</v>
      </c>
      <c r="F96" s="8" t="s">
        <v>190</v>
      </c>
      <c r="G96" s="80" t="s">
        <v>79</v>
      </c>
    </row>
    <row r="97" spans="1:9" ht="15.75">
      <c r="A97" s="5">
        <v>45986</v>
      </c>
      <c r="B97" t="s">
        <v>341</v>
      </c>
      <c r="C97" s="11">
        <v>28045</v>
      </c>
      <c r="D97" s="11">
        <v>0</v>
      </c>
      <c r="E97" s="11">
        <f t="shared" si="1"/>
        <v>330112542.32999945</v>
      </c>
      <c r="F97" s="8" t="s">
        <v>190</v>
      </c>
      <c r="G97" s="80" t="s">
        <v>79</v>
      </c>
    </row>
    <row r="98" spans="1:9" ht="15.75">
      <c r="A98" s="5">
        <v>45990</v>
      </c>
      <c r="B98" t="s">
        <v>5801</v>
      </c>
      <c r="C98" s="11">
        <v>110000</v>
      </c>
      <c r="D98" s="11">
        <v>0</v>
      </c>
      <c r="E98" s="11">
        <f t="shared" si="1"/>
        <v>330002542.32999945</v>
      </c>
      <c r="F98" s="8" t="s">
        <v>920</v>
      </c>
      <c r="G98" s="80" t="s">
        <v>351</v>
      </c>
    </row>
    <row r="99" spans="1:9" ht="15.75">
      <c r="A99" s="5">
        <v>45990</v>
      </c>
      <c r="B99" t="s">
        <v>5801</v>
      </c>
      <c r="C99" s="11">
        <v>2500</v>
      </c>
      <c r="D99" s="11">
        <v>0</v>
      </c>
      <c r="E99" s="11">
        <f t="shared" si="1"/>
        <v>330000042.32999945</v>
      </c>
      <c r="F99" s="8" t="s">
        <v>19</v>
      </c>
      <c r="G99" s="80" t="s">
        <v>189</v>
      </c>
    </row>
    <row r="100" spans="1:9" ht="15.75">
      <c r="A100" s="5">
        <v>46016</v>
      </c>
      <c r="B100" t="s">
        <v>340</v>
      </c>
      <c r="C100" s="11">
        <v>0</v>
      </c>
      <c r="D100" s="11">
        <v>135621</v>
      </c>
      <c r="E100" s="11">
        <f t="shared" si="1"/>
        <v>330135663.32999945</v>
      </c>
      <c r="F100" s="8" t="s">
        <v>190</v>
      </c>
      <c r="G100" s="80" t="s">
        <v>79</v>
      </c>
    </row>
    <row r="101" spans="1:9" ht="15.75">
      <c r="A101" s="5">
        <v>46016</v>
      </c>
      <c r="B101" t="s">
        <v>341</v>
      </c>
      <c r="C101" s="11">
        <v>27124</v>
      </c>
      <c r="D101" s="11">
        <v>0</v>
      </c>
      <c r="E101" s="11">
        <f t="shared" si="1"/>
        <v>330108539.32999945</v>
      </c>
      <c r="F101" s="8" t="s">
        <v>190</v>
      </c>
      <c r="G101" s="80" t="s">
        <v>79</v>
      </c>
    </row>
    <row r="102" spans="1:9" ht="15.75">
      <c r="A102" s="5">
        <v>46017</v>
      </c>
      <c r="B102" t="s">
        <v>6438</v>
      </c>
      <c r="C102" s="11">
        <v>0</v>
      </c>
      <c r="D102" s="11">
        <v>573873873</v>
      </c>
      <c r="E102" s="11">
        <f t="shared" si="1"/>
        <v>903982412.32999945</v>
      </c>
      <c r="F102" s="8" t="s">
        <v>2140</v>
      </c>
      <c r="G102" s="80" t="s">
        <v>2141</v>
      </c>
      <c r="H102" t="s">
        <v>5998</v>
      </c>
      <c r="I102" t="s">
        <v>6365</v>
      </c>
    </row>
    <row r="103" spans="1:9" ht="15.75">
      <c r="A103" s="5">
        <v>46017</v>
      </c>
      <c r="B103" t="s">
        <v>6439</v>
      </c>
      <c r="C103" s="11">
        <v>0</v>
      </c>
      <c r="D103" s="11">
        <v>441441441</v>
      </c>
      <c r="E103" s="11">
        <f t="shared" si="1"/>
        <v>1345423853.3299994</v>
      </c>
      <c r="F103" s="8" t="s">
        <v>2140</v>
      </c>
      <c r="G103" s="80" t="s">
        <v>2141</v>
      </c>
      <c r="H103" t="s">
        <v>5956</v>
      </c>
      <c r="I103" t="s">
        <v>6367</v>
      </c>
    </row>
    <row r="104" spans="1:9" ht="15.75">
      <c r="A104" s="5">
        <v>46017</v>
      </c>
      <c r="B104" t="s">
        <v>6440</v>
      </c>
      <c r="C104" s="11">
        <v>0</v>
      </c>
      <c r="D104" s="11">
        <v>706306307</v>
      </c>
      <c r="E104" s="11">
        <f t="shared" si="1"/>
        <v>2051730160.3299994</v>
      </c>
      <c r="F104" s="8" t="s">
        <v>2140</v>
      </c>
      <c r="G104" s="80" t="s">
        <v>2141</v>
      </c>
      <c r="H104" t="s">
        <v>4080</v>
      </c>
      <c r="I104" t="s">
        <v>6369</v>
      </c>
    </row>
    <row r="105" spans="1:9" ht="15.75">
      <c r="A105" s="5">
        <v>46021</v>
      </c>
      <c r="B105" t="s">
        <v>4020</v>
      </c>
      <c r="C105" s="11">
        <v>9695599</v>
      </c>
      <c r="D105" s="11">
        <v>0</v>
      </c>
      <c r="E105" s="11">
        <f t="shared" si="1"/>
        <v>2042034561.3299994</v>
      </c>
      <c r="F105" s="8" t="s">
        <v>920</v>
      </c>
      <c r="G105" s="80" t="s">
        <v>352</v>
      </c>
      <c r="H105" t="s">
        <v>6471</v>
      </c>
    </row>
    <row r="106" spans="1:9" ht="15.75">
      <c r="A106" s="5">
        <v>46021</v>
      </c>
      <c r="B106" t="s">
        <v>4019</v>
      </c>
      <c r="C106" s="11">
        <v>48529416</v>
      </c>
      <c r="D106" s="11">
        <v>0</v>
      </c>
      <c r="E106" s="11">
        <f t="shared" si="1"/>
        <v>1993505145.3299994</v>
      </c>
      <c r="F106" s="8" t="s">
        <v>920</v>
      </c>
      <c r="G106" s="80" t="s">
        <v>352</v>
      </c>
      <c r="H106" t="s">
        <v>6471</v>
      </c>
    </row>
    <row r="107" spans="1:9" ht="15.75">
      <c r="C107" s="11"/>
      <c r="D107" s="11"/>
      <c r="E107" s="11"/>
      <c r="F107" s="8"/>
      <c r="G107" s="80"/>
    </row>
    <row r="108" spans="1:9" ht="15.75">
      <c r="C108" s="11"/>
      <c r="D108" s="11"/>
      <c r="E108" s="11"/>
      <c r="F108" s="8"/>
    </row>
    <row r="110" spans="1:9">
      <c r="C110" s="1">
        <f>SUBTOTAL(9,C5:C109)</f>
        <v>3467988046</v>
      </c>
      <c r="D110" s="1">
        <f>SUBTOTAL(9,D5:D109)</f>
        <v>5122099454</v>
      </c>
    </row>
    <row r="111" spans="1:9">
      <c r="D111" s="1">
        <f>D110-C110</f>
        <v>1654111408</v>
      </c>
    </row>
  </sheetData>
  <autoFilter ref="A4:I106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88" zoomScale="106" workbookViewId="0">
      <selection activeCell="E98" sqref="E98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3.109375" customWidth="1"/>
    <col min="7" max="7" width="25.33203125" customWidth="1"/>
    <col min="8" max="8" width="40" customWidth="1"/>
    <col min="9" max="9" width="23.33203125" customWidth="1"/>
  </cols>
  <sheetData>
    <row r="1" spans="1:9" ht="15.75">
      <c r="A1" s="6" t="s">
        <v>80</v>
      </c>
      <c r="B1" s="9" t="s">
        <v>81</v>
      </c>
    </row>
    <row r="2" spans="1:9" ht="15.75">
      <c r="A2" s="6" t="s">
        <v>17</v>
      </c>
    </row>
    <row r="4" spans="1:9" ht="15.75">
      <c r="A4" s="4" t="s">
        <v>3</v>
      </c>
      <c r="B4" s="3" t="s">
        <v>511</v>
      </c>
      <c r="C4" s="10"/>
      <c r="D4" s="10">
        <v>0</v>
      </c>
      <c r="E4" s="10">
        <v>3286023161.3499994</v>
      </c>
    </row>
    <row r="5" spans="1:9" ht="15.75">
      <c r="A5" s="5">
        <v>45674</v>
      </c>
      <c r="B5" t="s">
        <v>778</v>
      </c>
      <c r="C5" s="11">
        <f>1000002900-C6</f>
        <v>1000000000</v>
      </c>
      <c r="D5" s="1">
        <v>0</v>
      </c>
      <c r="E5" s="1">
        <f>E4-C5+D5</f>
        <v>2286023161.3499994</v>
      </c>
      <c r="F5" t="s">
        <v>920</v>
      </c>
      <c r="G5" t="s">
        <v>4245</v>
      </c>
      <c r="I5" s="153"/>
    </row>
    <row r="6" spans="1:9" ht="15.75">
      <c r="A6" s="5">
        <v>45674</v>
      </c>
      <c r="B6" t="s">
        <v>778</v>
      </c>
      <c r="C6" s="11">
        <v>2900</v>
      </c>
      <c r="D6" s="1">
        <v>0</v>
      </c>
      <c r="E6" s="1">
        <f t="shared" ref="E6:E69" si="0">E5-C6+D6</f>
        <v>2286020261.3499994</v>
      </c>
      <c r="F6" t="s">
        <v>19</v>
      </c>
      <c r="G6" t="s">
        <v>189</v>
      </c>
      <c r="I6" s="153"/>
    </row>
    <row r="7" spans="1:9" ht="15.75">
      <c r="A7" s="5">
        <v>45674</v>
      </c>
      <c r="B7" t="s">
        <v>779</v>
      </c>
      <c r="C7" s="11">
        <f>1000002900-C8</f>
        <v>1000000000</v>
      </c>
      <c r="D7" s="11">
        <v>0</v>
      </c>
      <c r="E7" s="1">
        <f t="shared" si="0"/>
        <v>1286020261.3499994</v>
      </c>
      <c r="F7" t="s">
        <v>920</v>
      </c>
      <c r="G7" t="s">
        <v>461</v>
      </c>
      <c r="H7" s="8"/>
    </row>
    <row r="8" spans="1:9" ht="15.75">
      <c r="A8" s="5">
        <v>45674</v>
      </c>
      <c r="B8" t="s">
        <v>779</v>
      </c>
      <c r="C8" s="11">
        <v>2900</v>
      </c>
      <c r="D8" s="11">
        <v>0</v>
      </c>
      <c r="E8" s="1">
        <f t="shared" si="0"/>
        <v>1286017361.3499994</v>
      </c>
      <c r="F8" t="s">
        <v>19</v>
      </c>
      <c r="G8" t="s">
        <v>189</v>
      </c>
      <c r="H8" s="8"/>
    </row>
    <row r="9" spans="1:9" ht="15.75">
      <c r="A9" s="5">
        <v>45688</v>
      </c>
      <c r="B9" t="s">
        <v>780</v>
      </c>
      <c r="C9" s="11">
        <v>25000</v>
      </c>
      <c r="D9" s="11">
        <v>0</v>
      </c>
      <c r="E9" s="1">
        <f t="shared" si="0"/>
        <v>1285992361.3499994</v>
      </c>
      <c r="F9" t="s">
        <v>19</v>
      </c>
      <c r="G9" t="s">
        <v>189</v>
      </c>
      <c r="H9" s="8"/>
    </row>
    <row r="10" spans="1:9" ht="15.75">
      <c r="A10" s="5">
        <v>45688</v>
      </c>
      <c r="B10" t="s">
        <v>383</v>
      </c>
      <c r="C10" s="11">
        <v>393789.81</v>
      </c>
      <c r="D10" s="1">
        <v>0</v>
      </c>
      <c r="E10" s="1">
        <f t="shared" si="0"/>
        <v>1285598571.5399995</v>
      </c>
      <c r="F10" t="s">
        <v>190</v>
      </c>
      <c r="G10" t="s">
        <v>79</v>
      </c>
      <c r="H10" s="8"/>
    </row>
    <row r="11" spans="1:9" s="1" customFormat="1">
      <c r="A11" s="5">
        <v>45688</v>
      </c>
      <c r="B11" t="s">
        <v>781</v>
      </c>
      <c r="C11" s="1">
        <v>0</v>
      </c>
      <c r="D11" s="1">
        <v>1968948.79</v>
      </c>
      <c r="E11" s="1">
        <f t="shared" si="0"/>
        <v>1287567520.3299994</v>
      </c>
      <c r="F11" t="s">
        <v>190</v>
      </c>
      <c r="G11" t="s">
        <v>79</v>
      </c>
      <c r="H11"/>
      <c r="I11"/>
    </row>
    <row r="12" spans="1:9" s="1" customFormat="1" ht="15.75">
      <c r="A12" s="5">
        <v>45701</v>
      </c>
      <c r="B12" t="s">
        <v>782</v>
      </c>
      <c r="C12" s="1">
        <v>0</v>
      </c>
      <c r="D12" s="1">
        <v>10838800</v>
      </c>
      <c r="E12" s="1">
        <f t="shared" si="0"/>
        <v>1298406320.3299994</v>
      </c>
      <c r="F12" t="s">
        <v>2140</v>
      </c>
      <c r="G12" t="s">
        <v>2141</v>
      </c>
      <c r="H12" s="154" t="s">
        <v>1352</v>
      </c>
      <c r="I12" s="37" t="s">
        <v>1470</v>
      </c>
    </row>
    <row r="13" spans="1:9" s="1" customFormat="1" ht="15.75">
      <c r="A13" s="5">
        <v>45705</v>
      </c>
      <c r="B13" t="s">
        <v>783</v>
      </c>
      <c r="C13" s="1">
        <v>0</v>
      </c>
      <c r="D13" s="1">
        <v>220720720</v>
      </c>
      <c r="E13" s="1">
        <f t="shared" si="0"/>
        <v>1519127040.3299994</v>
      </c>
      <c r="F13" t="s">
        <v>2140</v>
      </c>
      <c r="G13" t="s">
        <v>2141</v>
      </c>
      <c r="H13" s="154" t="s">
        <v>1352</v>
      </c>
      <c r="I13" s="37" t="s">
        <v>1466</v>
      </c>
    </row>
    <row r="14" spans="1:9">
      <c r="A14" s="5">
        <v>45716</v>
      </c>
      <c r="B14" t="s">
        <v>780</v>
      </c>
      <c r="C14" s="1">
        <v>25000</v>
      </c>
      <c r="D14" s="1">
        <v>0</v>
      </c>
      <c r="E14" s="1">
        <f t="shared" si="0"/>
        <v>1519102040.3299994</v>
      </c>
      <c r="F14" t="s">
        <v>19</v>
      </c>
      <c r="G14" t="s">
        <v>189</v>
      </c>
    </row>
    <row r="15" spans="1:9">
      <c r="A15" s="5">
        <v>45716</v>
      </c>
      <c r="B15" t="s">
        <v>383</v>
      </c>
      <c r="C15" s="1">
        <v>213007.92</v>
      </c>
      <c r="D15" s="1">
        <v>0</v>
      </c>
      <c r="E15" s="1">
        <f t="shared" si="0"/>
        <v>1518889032.4099994</v>
      </c>
      <c r="F15" t="s">
        <v>190</v>
      </c>
      <c r="G15" t="s">
        <v>79</v>
      </c>
    </row>
    <row r="16" spans="1:9">
      <c r="A16" s="5">
        <v>45716</v>
      </c>
      <c r="B16" t="s">
        <v>781</v>
      </c>
      <c r="C16" s="1">
        <v>0</v>
      </c>
      <c r="D16" s="1">
        <v>1065040</v>
      </c>
      <c r="E16" s="1">
        <f t="shared" si="0"/>
        <v>1519954072.4099994</v>
      </c>
      <c r="F16" t="s">
        <v>190</v>
      </c>
      <c r="G16" t="s">
        <v>79</v>
      </c>
    </row>
    <row r="17" spans="1:9" ht="15.75">
      <c r="A17" s="5">
        <v>45728</v>
      </c>
      <c r="B17" t="s">
        <v>1206</v>
      </c>
      <c r="C17" s="1">
        <v>0</v>
      </c>
      <c r="D17" s="1">
        <v>166820500</v>
      </c>
      <c r="E17" s="1">
        <f t="shared" si="0"/>
        <v>1686774572.4099994</v>
      </c>
      <c r="F17" t="s">
        <v>2140</v>
      </c>
      <c r="G17" t="s">
        <v>2141</v>
      </c>
      <c r="H17" s="154" t="s">
        <v>1583</v>
      </c>
      <c r="I17" s="37" t="s">
        <v>1515</v>
      </c>
    </row>
    <row r="18" spans="1:9" ht="15.75">
      <c r="A18" s="5">
        <v>45734</v>
      </c>
      <c r="B18" t="s">
        <v>1207</v>
      </c>
      <c r="C18" s="1">
        <v>0</v>
      </c>
      <c r="D18" s="1">
        <v>196095060</v>
      </c>
      <c r="E18" s="1">
        <f t="shared" si="0"/>
        <v>1882869632.4099994</v>
      </c>
      <c r="F18" t="s">
        <v>2140</v>
      </c>
      <c r="G18" t="s">
        <v>2141</v>
      </c>
      <c r="H18" s="154" t="s">
        <v>757</v>
      </c>
      <c r="I18" s="37" t="s">
        <v>1520</v>
      </c>
    </row>
    <row r="19" spans="1:9" ht="15.75">
      <c r="A19" s="5">
        <v>45734</v>
      </c>
      <c r="B19" t="s">
        <v>1208</v>
      </c>
      <c r="C19" s="1">
        <v>0</v>
      </c>
      <c r="D19" s="1">
        <v>79274160</v>
      </c>
      <c r="E19" s="1">
        <f t="shared" si="0"/>
        <v>1962143792.4099994</v>
      </c>
      <c r="F19" t="s">
        <v>2140</v>
      </c>
      <c r="G19" t="s">
        <v>2141</v>
      </c>
      <c r="H19" s="154" t="s">
        <v>1411</v>
      </c>
      <c r="I19" s="37" t="s">
        <v>1519</v>
      </c>
    </row>
    <row r="20" spans="1:9">
      <c r="A20" s="5">
        <v>45747</v>
      </c>
      <c r="B20" t="s">
        <v>780</v>
      </c>
      <c r="C20" s="1">
        <v>25000</v>
      </c>
      <c r="D20" s="1">
        <v>0</v>
      </c>
      <c r="E20" s="1">
        <f t="shared" si="0"/>
        <v>1962118792.4099994</v>
      </c>
      <c r="F20" t="s">
        <v>19</v>
      </c>
      <c r="G20" t="s">
        <v>189</v>
      </c>
    </row>
    <row r="21" spans="1:9">
      <c r="A21" s="5">
        <v>45747</v>
      </c>
      <c r="B21" t="s">
        <v>383</v>
      </c>
      <c r="C21" s="1">
        <v>297589.90000000002</v>
      </c>
      <c r="D21" s="1">
        <v>0</v>
      </c>
      <c r="E21" s="1">
        <f t="shared" si="0"/>
        <v>1961821202.5099993</v>
      </c>
      <c r="F21" t="s">
        <v>190</v>
      </c>
      <c r="G21" t="s">
        <v>79</v>
      </c>
    </row>
    <row r="22" spans="1:9" ht="15.75">
      <c r="A22" s="5">
        <v>45747</v>
      </c>
      <c r="B22" t="s">
        <v>781</v>
      </c>
      <c r="C22" s="1">
        <v>0</v>
      </c>
      <c r="D22" s="1">
        <v>1487949.46</v>
      </c>
      <c r="E22" s="1">
        <f t="shared" si="0"/>
        <v>1963309151.9699993</v>
      </c>
      <c r="F22" t="s">
        <v>190</v>
      </c>
      <c r="G22" t="s">
        <v>79</v>
      </c>
      <c r="H22" s="146"/>
      <c r="I22" s="153"/>
    </row>
    <row r="23" spans="1:9">
      <c r="A23" s="5">
        <v>45777</v>
      </c>
      <c r="B23" t="s">
        <v>780</v>
      </c>
      <c r="C23" s="1">
        <v>25000</v>
      </c>
      <c r="D23" s="1">
        <v>0</v>
      </c>
      <c r="E23" s="1">
        <f t="shared" si="0"/>
        <v>1963284151.9699993</v>
      </c>
      <c r="F23" t="s">
        <v>19</v>
      </c>
      <c r="G23" t="s">
        <v>189</v>
      </c>
    </row>
    <row r="24" spans="1:9">
      <c r="A24" s="5">
        <v>45777</v>
      </c>
      <c r="B24" t="s">
        <v>383</v>
      </c>
      <c r="C24" s="1">
        <v>322735.8</v>
      </c>
      <c r="D24" s="1">
        <v>0</v>
      </c>
      <c r="E24" s="1">
        <f t="shared" si="0"/>
        <v>1962961416.1699994</v>
      </c>
      <c r="F24" t="s">
        <v>190</v>
      </c>
      <c r="G24" t="s">
        <v>79</v>
      </c>
    </row>
    <row r="25" spans="1:9">
      <c r="A25" s="5">
        <v>45777</v>
      </c>
      <c r="B25" t="s">
        <v>781</v>
      </c>
      <c r="C25" s="1">
        <v>0</v>
      </c>
      <c r="D25" s="1">
        <v>1613678.76</v>
      </c>
      <c r="E25" s="1">
        <f t="shared" si="0"/>
        <v>1964575094.9299994</v>
      </c>
      <c r="F25" t="s">
        <v>190</v>
      </c>
      <c r="G25" t="s">
        <v>79</v>
      </c>
    </row>
    <row r="26" spans="1:9">
      <c r="A26" s="5">
        <v>45792</v>
      </c>
      <c r="B26" t="s">
        <v>1342</v>
      </c>
      <c r="C26" s="1">
        <v>250000000</v>
      </c>
      <c r="D26" s="1">
        <v>0</v>
      </c>
      <c r="E26" s="1">
        <f t="shared" si="0"/>
        <v>1714575094.9299994</v>
      </c>
      <c r="F26" t="s">
        <v>920</v>
      </c>
      <c r="G26" t="s">
        <v>493</v>
      </c>
    </row>
    <row r="27" spans="1:9">
      <c r="A27" s="5">
        <v>45792</v>
      </c>
      <c r="B27" t="s">
        <v>1342</v>
      </c>
      <c r="C27" s="1">
        <v>2500</v>
      </c>
      <c r="D27" s="1">
        <v>0</v>
      </c>
      <c r="E27" s="1">
        <f t="shared" si="0"/>
        <v>1714572594.9299994</v>
      </c>
      <c r="F27" t="s">
        <v>19</v>
      </c>
      <c r="G27" t="s">
        <v>189</v>
      </c>
    </row>
    <row r="28" spans="1:9" ht="15.75">
      <c r="A28" s="5">
        <v>45792</v>
      </c>
      <c r="B28" t="s">
        <v>1343</v>
      </c>
      <c r="C28" s="1">
        <v>250000000</v>
      </c>
      <c r="D28" s="1">
        <v>0</v>
      </c>
      <c r="E28" s="1">
        <f t="shared" si="0"/>
        <v>1464572594.9299994</v>
      </c>
      <c r="F28" t="s">
        <v>920</v>
      </c>
      <c r="G28" t="s">
        <v>493</v>
      </c>
      <c r="H28" s="146"/>
      <c r="I28" s="153"/>
    </row>
    <row r="29" spans="1:9" ht="15.75">
      <c r="A29" s="5">
        <v>45792</v>
      </c>
      <c r="B29" t="s">
        <v>1343</v>
      </c>
      <c r="C29" s="1">
        <v>2500</v>
      </c>
      <c r="D29" s="1">
        <v>0</v>
      </c>
      <c r="E29" s="1">
        <f t="shared" si="0"/>
        <v>1464570094.9299994</v>
      </c>
      <c r="F29" t="s">
        <v>19</v>
      </c>
      <c r="G29" t="s">
        <v>189</v>
      </c>
      <c r="H29" s="146"/>
      <c r="I29" s="153"/>
    </row>
    <row r="30" spans="1:9">
      <c r="A30" s="5">
        <v>45792</v>
      </c>
      <c r="B30" t="s">
        <v>1344</v>
      </c>
      <c r="C30" s="1">
        <v>250000000</v>
      </c>
      <c r="D30" s="1">
        <v>0</v>
      </c>
      <c r="E30" s="1">
        <f t="shared" si="0"/>
        <v>1214570094.9299994</v>
      </c>
      <c r="F30" t="s">
        <v>920</v>
      </c>
      <c r="G30" t="s">
        <v>493</v>
      </c>
    </row>
    <row r="31" spans="1:9">
      <c r="A31" s="5">
        <v>45792</v>
      </c>
      <c r="B31" t="s">
        <v>1344</v>
      </c>
      <c r="C31" s="1">
        <v>2500</v>
      </c>
      <c r="D31" s="1">
        <v>0</v>
      </c>
      <c r="E31" s="1">
        <f t="shared" si="0"/>
        <v>1214567594.9299994</v>
      </c>
      <c r="F31" t="s">
        <v>19</v>
      </c>
      <c r="G31" t="s">
        <v>189</v>
      </c>
    </row>
    <row r="32" spans="1:9">
      <c r="A32" s="5">
        <v>45792</v>
      </c>
      <c r="B32" t="s">
        <v>1345</v>
      </c>
      <c r="C32" s="1">
        <v>250000000</v>
      </c>
      <c r="D32" s="1">
        <v>0</v>
      </c>
      <c r="E32" s="1">
        <f t="shared" si="0"/>
        <v>964567594.92999935</v>
      </c>
      <c r="F32" t="s">
        <v>920</v>
      </c>
      <c r="G32" t="s">
        <v>493</v>
      </c>
    </row>
    <row r="33" spans="1:10">
      <c r="A33" s="5">
        <v>45792</v>
      </c>
      <c r="B33" t="s">
        <v>1345</v>
      </c>
      <c r="C33" s="1">
        <v>2500</v>
      </c>
      <c r="D33" s="1">
        <v>0</v>
      </c>
      <c r="E33" s="1">
        <f t="shared" si="0"/>
        <v>964565094.92999935</v>
      </c>
      <c r="F33" t="s">
        <v>19</v>
      </c>
      <c r="G33" t="s">
        <v>189</v>
      </c>
    </row>
    <row r="34" spans="1:10" ht="15.75">
      <c r="A34" s="5">
        <v>45805</v>
      </c>
      <c r="B34" t="s">
        <v>1346</v>
      </c>
      <c r="C34" s="1">
        <v>0</v>
      </c>
      <c r="D34" s="1">
        <v>507657658</v>
      </c>
      <c r="E34" s="1">
        <f t="shared" si="0"/>
        <v>1472222752.9299994</v>
      </c>
      <c r="F34" t="s">
        <v>2140</v>
      </c>
      <c r="G34" t="s">
        <v>2141</v>
      </c>
      <c r="H34" s="154" t="s">
        <v>1364</v>
      </c>
      <c r="I34" s="37" t="s">
        <v>1552</v>
      </c>
    </row>
    <row r="35" spans="1:10">
      <c r="A35" s="5">
        <v>45808</v>
      </c>
      <c r="B35" t="s">
        <v>780</v>
      </c>
      <c r="C35" s="1">
        <v>25000</v>
      </c>
      <c r="D35" s="1">
        <v>0</v>
      </c>
      <c r="E35" s="1">
        <f t="shared" si="0"/>
        <v>1472197752.9299994</v>
      </c>
      <c r="F35" t="s">
        <v>19</v>
      </c>
      <c r="G35" t="s">
        <v>189</v>
      </c>
    </row>
    <row r="36" spans="1:10">
      <c r="A36" s="5">
        <v>45808</v>
      </c>
      <c r="B36" t="s">
        <v>383</v>
      </c>
      <c r="C36" s="1">
        <v>251683.85</v>
      </c>
      <c r="D36" s="1">
        <v>0</v>
      </c>
      <c r="E36" s="1">
        <f t="shared" si="0"/>
        <v>1471946069.0799994</v>
      </c>
      <c r="F36" t="s">
        <v>190</v>
      </c>
      <c r="G36" t="s">
        <v>79</v>
      </c>
    </row>
    <row r="37" spans="1:10">
      <c r="A37" s="5">
        <v>45808</v>
      </c>
      <c r="B37" t="s">
        <v>781</v>
      </c>
      <c r="C37" s="1">
        <v>0</v>
      </c>
      <c r="D37" s="1">
        <v>1258418.8600000001</v>
      </c>
      <c r="E37" s="1">
        <f t="shared" si="0"/>
        <v>1473204487.9399993</v>
      </c>
      <c r="F37" t="s">
        <v>190</v>
      </c>
      <c r="G37" t="s">
        <v>79</v>
      </c>
    </row>
    <row r="38" spans="1:10">
      <c r="A38" s="5">
        <v>45810</v>
      </c>
      <c r="B38" t="s">
        <v>2336</v>
      </c>
      <c r="C38" s="1">
        <v>250000000</v>
      </c>
      <c r="D38" s="1">
        <v>0</v>
      </c>
      <c r="E38" s="1">
        <f t="shared" si="0"/>
        <v>1223204487.9399993</v>
      </c>
      <c r="F38" t="s">
        <v>920</v>
      </c>
      <c r="G38" t="s">
        <v>493</v>
      </c>
    </row>
    <row r="39" spans="1:10">
      <c r="A39" s="5">
        <v>45810</v>
      </c>
      <c r="B39" t="s">
        <v>2336</v>
      </c>
      <c r="C39" s="1">
        <v>2500</v>
      </c>
      <c r="D39" s="1">
        <v>0</v>
      </c>
      <c r="E39" s="1">
        <f t="shared" si="0"/>
        <v>1223201987.9399993</v>
      </c>
      <c r="F39" t="s">
        <v>19</v>
      </c>
      <c r="G39" t="s">
        <v>189</v>
      </c>
    </row>
    <row r="40" spans="1:10">
      <c r="A40" s="5">
        <v>45810</v>
      </c>
      <c r="B40" t="s">
        <v>2335</v>
      </c>
      <c r="C40" s="1">
        <v>250000000</v>
      </c>
      <c r="D40" s="1">
        <v>0</v>
      </c>
      <c r="E40" s="1">
        <f t="shared" si="0"/>
        <v>973201987.93999934</v>
      </c>
      <c r="F40" t="s">
        <v>920</v>
      </c>
      <c r="G40" t="s">
        <v>493</v>
      </c>
    </row>
    <row r="41" spans="1:10">
      <c r="A41" s="5">
        <v>45810</v>
      </c>
      <c r="B41" t="s">
        <v>2335</v>
      </c>
      <c r="C41" s="1">
        <v>2500</v>
      </c>
      <c r="D41" s="1">
        <v>0</v>
      </c>
      <c r="E41" s="1">
        <f t="shared" si="0"/>
        <v>973199487.93999934</v>
      </c>
      <c r="F41" t="s">
        <v>19</v>
      </c>
      <c r="G41" t="s">
        <v>189</v>
      </c>
    </row>
    <row r="42" spans="1:10" ht="15.75">
      <c r="A42" s="5">
        <v>45810</v>
      </c>
      <c r="B42" t="s">
        <v>2337</v>
      </c>
      <c r="C42" s="1">
        <v>0</v>
      </c>
      <c r="D42" s="1">
        <v>30900901</v>
      </c>
      <c r="E42" s="1">
        <f t="shared" si="0"/>
        <v>1004100388.9399993</v>
      </c>
      <c r="F42" t="s">
        <v>2140</v>
      </c>
      <c r="G42" t="s">
        <v>2141</v>
      </c>
      <c r="H42" s="154" t="s">
        <v>1364</v>
      </c>
      <c r="I42" s="37" t="s">
        <v>1553</v>
      </c>
      <c r="J42" s="37" t="s">
        <v>26</v>
      </c>
    </row>
    <row r="43" spans="1:10">
      <c r="A43" s="5">
        <v>45831</v>
      </c>
      <c r="B43" t="s">
        <v>2338</v>
      </c>
      <c r="C43" s="1">
        <v>250000000</v>
      </c>
      <c r="D43" s="1">
        <v>0</v>
      </c>
      <c r="E43" s="1">
        <f t="shared" si="0"/>
        <v>754100388.93999934</v>
      </c>
      <c r="F43" t="s">
        <v>920</v>
      </c>
      <c r="G43" t="s">
        <v>493</v>
      </c>
    </row>
    <row r="44" spans="1:10">
      <c r="A44" s="5">
        <v>45831</v>
      </c>
      <c r="B44" t="s">
        <v>2338</v>
      </c>
      <c r="C44" s="1">
        <v>2500</v>
      </c>
      <c r="D44" s="1">
        <v>0</v>
      </c>
      <c r="E44" s="1">
        <f t="shared" si="0"/>
        <v>754097888.93999934</v>
      </c>
      <c r="F44" t="s">
        <v>19</v>
      </c>
      <c r="G44" t="s">
        <v>189</v>
      </c>
    </row>
    <row r="45" spans="1:10">
      <c r="A45" s="5">
        <v>45831</v>
      </c>
      <c r="B45" t="s">
        <v>2339</v>
      </c>
      <c r="C45" s="1">
        <v>250000000</v>
      </c>
      <c r="D45" s="1">
        <v>0</v>
      </c>
      <c r="E45" s="1">
        <f t="shared" si="0"/>
        <v>504097888.93999934</v>
      </c>
      <c r="F45" t="s">
        <v>920</v>
      </c>
      <c r="G45" t="s">
        <v>493</v>
      </c>
    </row>
    <row r="46" spans="1:10">
      <c r="A46" s="5">
        <v>45810</v>
      </c>
      <c r="B46" t="s">
        <v>2339</v>
      </c>
      <c r="C46" s="1">
        <v>2500</v>
      </c>
      <c r="D46" s="1">
        <v>0</v>
      </c>
      <c r="E46" s="1">
        <f t="shared" si="0"/>
        <v>504095388.93999934</v>
      </c>
      <c r="F46" t="s">
        <v>19</v>
      </c>
      <c r="G46" t="s">
        <v>189</v>
      </c>
    </row>
    <row r="47" spans="1:10">
      <c r="A47" s="5">
        <v>45838</v>
      </c>
      <c r="B47" t="s">
        <v>780</v>
      </c>
      <c r="C47" s="1">
        <v>25000</v>
      </c>
      <c r="D47" s="1">
        <v>0</v>
      </c>
      <c r="E47" s="1">
        <f t="shared" si="0"/>
        <v>504070388.93999934</v>
      </c>
      <c r="F47" t="s">
        <v>19</v>
      </c>
      <c r="G47" t="s">
        <v>189</v>
      </c>
    </row>
    <row r="48" spans="1:10">
      <c r="A48" s="5">
        <v>45838</v>
      </c>
      <c r="B48" t="s">
        <v>383</v>
      </c>
      <c r="C48" s="1">
        <v>145710.03</v>
      </c>
      <c r="D48" s="1">
        <v>0</v>
      </c>
      <c r="E48" s="1">
        <f t="shared" si="0"/>
        <v>503924678.90999937</v>
      </c>
      <c r="F48" t="s">
        <v>190</v>
      </c>
      <c r="G48" t="s">
        <v>79</v>
      </c>
    </row>
    <row r="49" spans="1:9">
      <c r="A49" s="5">
        <v>45838</v>
      </c>
      <c r="B49" t="s">
        <v>781</v>
      </c>
      <c r="C49" s="1">
        <v>0</v>
      </c>
      <c r="D49" s="1">
        <v>728550.03</v>
      </c>
      <c r="E49" s="1">
        <f t="shared" si="0"/>
        <v>504653228.93999934</v>
      </c>
      <c r="F49" t="s">
        <v>190</v>
      </c>
      <c r="G49" t="s">
        <v>79</v>
      </c>
    </row>
    <row r="50" spans="1:9">
      <c r="A50" s="5">
        <v>45839</v>
      </c>
      <c r="B50" t="s">
        <v>2333</v>
      </c>
      <c r="C50" s="1">
        <v>250000000</v>
      </c>
      <c r="D50" s="1">
        <v>0</v>
      </c>
      <c r="E50" s="1">
        <f t="shared" si="0"/>
        <v>254653228.93999934</v>
      </c>
      <c r="F50" t="s">
        <v>920</v>
      </c>
      <c r="G50" t="s">
        <v>461</v>
      </c>
    </row>
    <row r="51" spans="1:9">
      <c r="A51" s="5">
        <v>45839</v>
      </c>
      <c r="B51" t="s">
        <v>2333</v>
      </c>
      <c r="C51" s="1">
        <v>2500</v>
      </c>
      <c r="D51" s="1">
        <v>0</v>
      </c>
      <c r="E51" s="1">
        <f t="shared" si="0"/>
        <v>254650728.93999934</v>
      </c>
      <c r="F51" t="s">
        <v>19</v>
      </c>
      <c r="G51" t="s">
        <v>189</v>
      </c>
    </row>
    <row r="52" spans="1:9">
      <c r="A52" s="5">
        <v>45842</v>
      </c>
      <c r="B52" t="s">
        <v>2334</v>
      </c>
      <c r="C52" s="1">
        <v>200000000</v>
      </c>
      <c r="D52" s="1">
        <v>0</v>
      </c>
      <c r="E52" s="1">
        <f t="shared" si="0"/>
        <v>54650728.939999342</v>
      </c>
      <c r="F52" t="s">
        <v>920</v>
      </c>
      <c r="G52" t="s">
        <v>493</v>
      </c>
    </row>
    <row r="53" spans="1:9">
      <c r="A53" s="5">
        <v>45842</v>
      </c>
      <c r="B53" t="s">
        <v>2334</v>
      </c>
      <c r="C53" s="1">
        <v>2500</v>
      </c>
      <c r="D53" s="1">
        <v>0</v>
      </c>
      <c r="E53" s="1">
        <f t="shared" si="0"/>
        <v>54648228.939999342</v>
      </c>
      <c r="F53" t="s">
        <v>19</v>
      </c>
      <c r="G53" t="s">
        <v>189</v>
      </c>
    </row>
    <row r="54" spans="1:9">
      <c r="A54" s="5">
        <v>45869</v>
      </c>
      <c r="B54" t="s">
        <v>780</v>
      </c>
      <c r="C54" s="1">
        <v>25000</v>
      </c>
      <c r="D54" s="1">
        <v>0</v>
      </c>
      <c r="E54" s="1">
        <f t="shared" si="0"/>
        <v>54623228.939999342</v>
      </c>
      <c r="F54" t="s">
        <v>19</v>
      </c>
      <c r="G54" t="s">
        <v>189</v>
      </c>
    </row>
    <row r="55" spans="1:9">
      <c r="A55" s="5">
        <v>45869</v>
      </c>
      <c r="B55" t="s">
        <v>383</v>
      </c>
      <c r="C55" s="1">
        <v>5235.6099999999997</v>
      </c>
      <c r="D55" s="1">
        <v>0</v>
      </c>
      <c r="E55" s="1">
        <f t="shared" si="0"/>
        <v>54617993.329999343</v>
      </c>
      <c r="F55" t="s">
        <v>190</v>
      </c>
      <c r="G55" t="s">
        <v>79</v>
      </c>
    </row>
    <row r="56" spans="1:9">
      <c r="A56" s="5">
        <v>45869</v>
      </c>
      <c r="B56" t="s">
        <v>781</v>
      </c>
      <c r="C56" s="1">
        <v>0</v>
      </c>
      <c r="D56" s="1">
        <v>26178.13</v>
      </c>
      <c r="E56" s="1">
        <f t="shared" si="0"/>
        <v>54644171.459999345</v>
      </c>
      <c r="F56" t="s">
        <v>190</v>
      </c>
      <c r="G56" t="s">
        <v>79</v>
      </c>
    </row>
    <row r="57" spans="1:9">
      <c r="A57" s="5">
        <v>45900</v>
      </c>
      <c r="B57" t="s">
        <v>780</v>
      </c>
      <c r="C57" s="1">
        <v>25000</v>
      </c>
      <c r="D57" s="1">
        <v>0</v>
      </c>
      <c r="E57" s="1">
        <f t="shared" si="0"/>
        <v>54619171.459999345</v>
      </c>
      <c r="F57" t="s">
        <v>19</v>
      </c>
      <c r="G57" t="s">
        <v>189</v>
      </c>
    </row>
    <row r="58" spans="1:9">
      <c r="A58" s="5">
        <v>45900</v>
      </c>
      <c r="B58" t="s">
        <v>383</v>
      </c>
      <c r="C58" s="1">
        <v>2320.66</v>
      </c>
      <c r="D58" s="1">
        <v>0</v>
      </c>
      <c r="E58" s="1">
        <f t="shared" si="0"/>
        <v>54616850.799999349</v>
      </c>
      <c r="F58" t="s">
        <v>190</v>
      </c>
      <c r="G58" t="s">
        <v>79</v>
      </c>
    </row>
    <row r="59" spans="1:9">
      <c r="A59" s="5">
        <v>45900</v>
      </c>
      <c r="B59" t="s">
        <v>781</v>
      </c>
      <c r="C59" s="1">
        <v>0</v>
      </c>
      <c r="D59" s="1">
        <v>11602.52</v>
      </c>
      <c r="E59" s="1">
        <f t="shared" si="0"/>
        <v>54628453.319999352</v>
      </c>
      <c r="F59" t="s">
        <v>190</v>
      </c>
      <c r="G59" t="s">
        <v>79</v>
      </c>
    </row>
    <row r="60" spans="1:9">
      <c r="A60" s="5">
        <v>45903</v>
      </c>
      <c r="B60" t="s">
        <v>2971</v>
      </c>
      <c r="C60" s="1">
        <v>0</v>
      </c>
      <c r="D60" s="1">
        <v>794594595</v>
      </c>
      <c r="E60" s="1">
        <f t="shared" si="0"/>
        <v>849223048.31999934</v>
      </c>
      <c r="F60" t="s">
        <v>2140</v>
      </c>
      <c r="G60" t="s">
        <v>2141</v>
      </c>
      <c r="H60" t="s">
        <v>2326</v>
      </c>
      <c r="I60" t="s">
        <v>3406</v>
      </c>
    </row>
    <row r="61" spans="1:9">
      <c r="A61" s="5">
        <v>45915</v>
      </c>
      <c r="B61" t="s">
        <v>3594</v>
      </c>
      <c r="C61" s="1">
        <v>0</v>
      </c>
      <c r="D61" s="1">
        <v>264864865</v>
      </c>
      <c r="E61" s="1">
        <f t="shared" si="0"/>
        <v>1114087913.3199992</v>
      </c>
      <c r="F61" t="s">
        <v>2140</v>
      </c>
      <c r="G61" t="s">
        <v>2141</v>
      </c>
      <c r="H61" t="s">
        <v>3457</v>
      </c>
      <c r="I61" t="s">
        <v>4058</v>
      </c>
    </row>
    <row r="62" spans="1:9">
      <c r="A62" s="5">
        <v>45930</v>
      </c>
      <c r="B62" t="s">
        <v>780</v>
      </c>
      <c r="C62" s="1">
        <v>25000</v>
      </c>
      <c r="D62" s="1">
        <v>0</v>
      </c>
      <c r="E62" s="1">
        <f t="shared" si="0"/>
        <v>1114062913.3199992</v>
      </c>
      <c r="F62" t="s">
        <v>19</v>
      </c>
      <c r="G62" t="s">
        <v>189</v>
      </c>
    </row>
    <row r="63" spans="1:9">
      <c r="A63" s="5">
        <v>45930</v>
      </c>
      <c r="B63" t="s">
        <v>383</v>
      </c>
      <c r="C63" s="1">
        <v>153662.46</v>
      </c>
      <c r="D63" s="1">
        <v>0</v>
      </c>
      <c r="E63" s="1">
        <f t="shared" si="0"/>
        <v>1113909250.8599992</v>
      </c>
      <c r="F63" t="s">
        <v>190</v>
      </c>
      <c r="G63" t="s">
        <v>79</v>
      </c>
    </row>
    <row r="64" spans="1:9">
      <c r="A64" s="5">
        <v>45930</v>
      </c>
      <c r="B64" t="s">
        <v>781</v>
      </c>
      <c r="C64" s="1">
        <v>0</v>
      </c>
      <c r="D64" s="1">
        <v>768312.26</v>
      </c>
      <c r="E64" s="1">
        <f t="shared" si="0"/>
        <v>1114677563.1199992</v>
      </c>
      <c r="F64" t="s">
        <v>190</v>
      </c>
      <c r="G64" t="s">
        <v>79</v>
      </c>
    </row>
    <row r="65" spans="1:7">
      <c r="A65" s="5">
        <v>45932</v>
      </c>
      <c r="B65" t="s">
        <v>3708</v>
      </c>
      <c r="C65" s="1">
        <v>1100000000</v>
      </c>
      <c r="D65" s="1">
        <v>0</v>
      </c>
      <c r="E65" s="1">
        <f t="shared" si="0"/>
        <v>14677563.11999917</v>
      </c>
      <c r="F65" t="s">
        <v>920</v>
      </c>
      <c r="G65" t="s">
        <v>4245</v>
      </c>
    </row>
    <row r="66" spans="1:7">
      <c r="A66" s="5">
        <v>45932</v>
      </c>
      <c r="B66" t="s">
        <v>3708</v>
      </c>
      <c r="C66" s="1">
        <v>30000</v>
      </c>
      <c r="D66" s="1">
        <v>0</v>
      </c>
      <c r="E66" s="1">
        <f t="shared" si="0"/>
        <v>14647563.11999917</v>
      </c>
      <c r="F66" t="s">
        <v>19</v>
      </c>
      <c r="G66" t="s">
        <v>189</v>
      </c>
    </row>
    <row r="67" spans="1:7">
      <c r="A67" s="5">
        <v>45938</v>
      </c>
      <c r="B67" t="s">
        <v>3711</v>
      </c>
      <c r="C67" s="1">
        <v>14645000</v>
      </c>
      <c r="D67" s="1">
        <v>0</v>
      </c>
      <c r="E67" s="1">
        <f t="shared" si="0"/>
        <v>2563.1199991703033</v>
      </c>
      <c r="F67" t="s">
        <v>920</v>
      </c>
      <c r="G67" t="s">
        <v>461</v>
      </c>
    </row>
    <row r="68" spans="1:7">
      <c r="A68" s="5">
        <v>45938</v>
      </c>
      <c r="B68" t="s">
        <v>3712</v>
      </c>
      <c r="C68" s="1">
        <v>2500</v>
      </c>
      <c r="D68" s="1">
        <v>0</v>
      </c>
      <c r="E68" s="1">
        <f t="shared" si="0"/>
        <v>63.119999170303345</v>
      </c>
      <c r="F68" t="s">
        <v>19</v>
      </c>
      <c r="G68" t="s">
        <v>189</v>
      </c>
    </row>
    <row r="69" spans="1:7">
      <c r="A69" s="5">
        <v>45957</v>
      </c>
      <c r="B69" t="s">
        <v>3713</v>
      </c>
      <c r="C69" s="1">
        <v>0</v>
      </c>
      <c r="D69" s="1">
        <v>250000000</v>
      </c>
      <c r="E69" s="1">
        <f t="shared" si="0"/>
        <v>250000063.11999917</v>
      </c>
      <c r="F69" t="s">
        <v>920</v>
      </c>
      <c r="G69" t="s">
        <v>487</v>
      </c>
    </row>
    <row r="70" spans="1:7">
      <c r="A70" s="5">
        <v>45957</v>
      </c>
      <c r="B70" t="s">
        <v>3714</v>
      </c>
      <c r="C70" s="1">
        <v>0</v>
      </c>
      <c r="D70" s="1">
        <v>250000000</v>
      </c>
      <c r="E70" s="1">
        <f t="shared" ref="E70:E98" si="1">E69-C70+D70</f>
        <v>500000063.11999917</v>
      </c>
      <c r="F70" t="s">
        <v>920</v>
      </c>
      <c r="G70" t="s">
        <v>487</v>
      </c>
    </row>
    <row r="71" spans="1:7">
      <c r="A71" s="5">
        <v>45958</v>
      </c>
      <c r="B71" t="s">
        <v>3715</v>
      </c>
      <c r="C71" s="1">
        <v>0</v>
      </c>
      <c r="D71" s="1">
        <v>250000000</v>
      </c>
      <c r="E71" s="1">
        <f t="shared" si="1"/>
        <v>750000063.11999917</v>
      </c>
      <c r="F71" t="s">
        <v>920</v>
      </c>
      <c r="G71" t="s">
        <v>487</v>
      </c>
    </row>
    <row r="72" spans="1:7">
      <c r="A72" s="5">
        <v>45958</v>
      </c>
      <c r="B72" t="s">
        <v>3716</v>
      </c>
      <c r="C72" s="1">
        <v>0</v>
      </c>
      <c r="D72" s="1">
        <v>250000000</v>
      </c>
      <c r="E72" s="1">
        <f t="shared" si="1"/>
        <v>1000000063.1199992</v>
      </c>
      <c r="F72" t="s">
        <v>920</v>
      </c>
      <c r="G72" t="s">
        <v>487</v>
      </c>
    </row>
    <row r="73" spans="1:7">
      <c r="A73" s="5">
        <v>45958</v>
      </c>
      <c r="B73" t="s">
        <v>3717</v>
      </c>
      <c r="C73" s="1">
        <v>0</v>
      </c>
      <c r="D73" s="1">
        <v>60000</v>
      </c>
      <c r="E73" s="1">
        <f t="shared" si="1"/>
        <v>1000060063.1199992</v>
      </c>
      <c r="F73" t="s">
        <v>920</v>
      </c>
      <c r="G73" t="s">
        <v>4248</v>
      </c>
    </row>
    <row r="74" spans="1:7">
      <c r="A74" s="5">
        <v>45958</v>
      </c>
      <c r="B74" t="s">
        <v>3709</v>
      </c>
      <c r="C74" s="1">
        <v>30000</v>
      </c>
      <c r="D74" s="1">
        <v>0</v>
      </c>
      <c r="E74" s="1">
        <f t="shared" si="1"/>
        <v>1000030063.1199992</v>
      </c>
      <c r="F74" t="s">
        <v>19</v>
      </c>
      <c r="G74" t="s">
        <v>189</v>
      </c>
    </row>
    <row r="75" spans="1:7">
      <c r="A75" s="5">
        <v>45958</v>
      </c>
      <c r="B75" t="s">
        <v>3709</v>
      </c>
      <c r="C75" s="1">
        <v>1000000000</v>
      </c>
      <c r="D75" s="1">
        <v>0</v>
      </c>
      <c r="E75" s="1">
        <f t="shared" si="1"/>
        <v>30063.119999170303</v>
      </c>
      <c r="F75" t="s">
        <v>920</v>
      </c>
      <c r="G75" t="s">
        <v>4245</v>
      </c>
    </row>
    <row r="76" spans="1:7">
      <c r="A76" s="5">
        <v>45960</v>
      </c>
      <c r="B76" t="s">
        <v>3718</v>
      </c>
      <c r="C76" s="1">
        <v>0</v>
      </c>
      <c r="D76" s="1">
        <v>250000000</v>
      </c>
      <c r="E76" s="1">
        <f t="shared" si="1"/>
        <v>250030063.11999917</v>
      </c>
      <c r="F76" t="s">
        <v>920</v>
      </c>
      <c r="G76" t="s">
        <v>487</v>
      </c>
    </row>
    <row r="77" spans="1:7">
      <c r="A77" s="5">
        <v>45960</v>
      </c>
      <c r="B77" t="s">
        <v>3719</v>
      </c>
      <c r="C77" s="1">
        <v>0</v>
      </c>
      <c r="D77" s="1">
        <v>250000000</v>
      </c>
      <c r="E77" s="1">
        <f t="shared" si="1"/>
        <v>500030063.11999917</v>
      </c>
      <c r="F77" t="s">
        <v>920</v>
      </c>
      <c r="G77" t="s">
        <v>487</v>
      </c>
    </row>
    <row r="78" spans="1:7">
      <c r="A78" s="5">
        <v>45960</v>
      </c>
      <c r="B78" t="s">
        <v>3710</v>
      </c>
      <c r="C78" s="1">
        <v>500000000</v>
      </c>
      <c r="D78" s="1">
        <v>0</v>
      </c>
      <c r="E78" s="1">
        <f t="shared" si="1"/>
        <v>30063.119999170303</v>
      </c>
      <c r="F78" t="s">
        <v>920</v>
      </c>
      <c r="G78" t="s">
        <v>4245</v>
      </c>
    </row>
    <row r="79" spans="1:7">
      <c r="A79" s="5">
        <v>45960</v>
      </c>
      <c r="B79" t="s">
        <v>3710</v>
      </c>
      <c r="C79" s="1">
        <v>2900</v>
      </c>
      <c r="D79" s="1">
        <v>0</v>
      </c>
      <c r="E79" s="1">
        <f t="shared" si="1"/>
        <v>27163.119999170303</v>
      </c>
      <c r="F79" t="s">
        <v>19</v>
      </c>
      <c r="G79" t="s">
        <v>189</v>
      </c>
    </row>
    <row r="80" spans="1:7">
      <c r="A80" s="5">
        <v>45961</v>
      </c>
      <c r="B80" t="s">
        <v>4022</v>
      </c>
      <c r="C80" s="1">
        <v>25000</v>
      </c>
      <c r="D80" s="1">
        <v>0</v>
      </c>
      <c r="E80" s="1">
        <f t="shared" si="1"/>
        <v>2163.1199991703033</v>
      </c>
      <c r="F80" t="s">
        <v>19</v>
      </c>
      <c r="G80" t="s">
        <v>189</v>
      </c>
    </row>
    <row r="81" spans="1:9">
      <c r="A81" s="5">
        <v>45961</v>
      </c>
      <c r="B81" t="s">
        <v>911</v>
      </c>
      <c r="C81" s="1">
        <v>25000</v>
      </c>
      <c r="D81" s="1">
        <v>0</v>
      </c>
      <c r="E81" s="1">
        <f t="shared" si="1"/>
        <v>-22836.880000829697</v>
      </c>
      <c r="F81" t="s">
        <v>19</v>
      </c>
      <c r="G81" t="s">
        <v>189</v>
      </c>
    </row>
    <row r="82" spans="1:9">
      <c r="A82" s="5">
        <v>45961</v>
      </c>
      <c r="B82" t="s">
        <v>1218</v>
      </c>
      <c r="C82" s="1">
        <v>9995.48</v>
      </c>
      <c r="D82" s="1">
        <v>0</v>
      </c>
      <c r="E82" s="1">
        <f t="shared" si="1"/>
        <v>-32832.360000829693</v>
      </c>
      <c r="F82" t="s">
        <v>190</v>
      </c>
      <c r="G82" t="s">
        <v>79</v>
      </c>
    </row>
    <row r="83" spans="1:9">
      <c r="A83" s="5">
        <v>45961</v>
      </c>
      <c r="B83" t="s">
        <v>4023</v>
      </c>
      <c r="C83" s="1">
        <v>0</v>
      </c>
      <c r="D83" s="1">
        <v>49977.25</v>
      </c>
      <c r="E83" s="1">
        <f t="shared" si="1"/>
        <v>17144.889999170307</v>
      </c>
      <c r="F83" t="s">
        <v>190</v>
      </c>
      <c r="G83" t="s">
        <v>79</v>
      </c>
    </row>
    <row r="84" spans="1:9">
      <c r="A84" s="5">
        <v>45961</v>
      </c>
      <c r="B84" t="s">
        <v>4024</v>
      </c>
      <c r="C84" s="1">
        <v>0</v>
      </c>
      <c r="D84" s="1">
        <v>250000000</v>
      </c>
      <c r="E84" s="1">
        <f t="shared" si="1"/>
        <v>250017144.88999918</v>
      </c>
      <c r="F84" t="s">
        <v>920</v>
      </c>
      <c r="G84" t="s">
        <v>487</v>
      </c>
    </row>
    <row r="85" spans="1:9">
      <c r="A85" s="5">
        <v>45967</v>
      </c>
      <c r="B85" t="s">
        <v>4614</v>
      </c>
      <c r="C85" s="1">
        <v>250000000</v>
      </c>
      <c r="D85" s="1">
        <v>0</v>
      </c>
      <c r="E85" s="1">
        <f t="shared" si="1"/>
        <v>17144.889999181032</v>
      </c>
      <c r="F85" t="s">
        <v>920</v>
      </c>
      <c r="G85" t="s">
        <v>4245</v>
      </c>
    </row>
    <row r="86" spans="1:9">
      <c r="A86" s="5">
        <v>45967</v>
      </c>
      <c r="B86" t="s">
        <v>4614</v>
      </c>
      <c r="C86" s="1">
        <v>2500</v>
      </c>
      <c r="D86" s="1">
        <v>0</v>
      </c>
      <c r="E86" s="1">
        <f t="shared" si="1"/>
        <v>14644.889999181032</v>
      </c>
      <c r="F86" t="s">
        <v>19</v>
      </c>
      <c r="G86" t="s">
        <v>189</v>
      </c>
    </row>
    <row r="87" spans="1:9" ht="15.75">
      <c r="A87" s="5">
        <v>45975</v>
      </c>
      <c r="B87" t="s">
        <v>4613</v>
      </c>
      <c r="C87" s="1">
        <v>0</v>
      </c>
      <c r="D87" s="1">
        <v>706306307</v>
      </c>
      <c r="E87" s="1">
        <f t="shared" si="1"/>
        <v>706320951.88999915</v>
      </c>
      <c r="F87" t="s">
        <v>2140</v>
      </c>
      <c r="G87" t="s">
        <v>2141</v>
      </c>
      <c r="H87" s="154" t="s">
        <v>4080</v>
      </c>
      <c r="I87" s="37" t="s">
        <v>5843</v>
      </c>
    </row>
    <row r="88" spans="1:9">
      <c r="A88" s="5">
        <v>45990</v>
      </c>
      <c r="B88" t="s">
        <v>4614</v>
      </c>
      <c r="C88" s="1">
        <v>250000000</v>
      </c>
      <c r="D88" s="1">
        <v>0</v>
      </c>
      <c r="E88" s="1">
        <f t="shared" si="1"/>
        <v>456320951.88999915</v>
      </c>
      <c r="F88" t="s">
        <v>920</v>
      </c>
      <c r="G88" t="s">
        <v>4245</v>
      </c>
    </row>
    <row r="89" spans="1:9">
      <c r="A89" s="5">
        <v>45990</v>
      </c>
      <c r="B89" t="s">
        <v>4614</v>
      </c>
      <c r="C89" s="1">
        <v>2500</v>
      </c>
      <c r="D89" s="1">
        <v>0</v>
      </c>
      <c r="E89" s="1">
        <f t="shared" si="1"/>
        <v>456318451.88999915</v>
      </c>
      <c r="F89" t="s">
        <v>19</v>
      </c>
      <c r="G89" t="s">
        <v>189</v>
      </c>
    </row>
    <row r="90" spans="1:9">
      <c r="A90" s="5">
        <v>45990</v>
      </c>
      <c r="B90" t="s">
        <v>4615</v>
      </c>
      <c r="C90" s="1">
        <v>250000000</v>
      </c>
      <c r="D90" s="1">
        <v>0</v>
      </c>
      <c r="E90" s="1">
        <f t="shared" si="1"/>
        <v>206318451.88999915</v>
      </c>
      <c r="F90" t="s">
        <v>920</v>
      </c>
      <c r="G90" t="s">
        <v>461</v>
      </c>
    </row>
    <row r="91" spans="1:9">
      <c r="A91" s="5">
        <v>45990</v>
      </c>
      <c r="B91" t="s">
        <v>4615</v>
      </c>
      <c r="C91" s="1">
        <v>2500</v>
      </c>
      <c r="D91" s="1">
        <v>0</v>
      </c>
      <c r="E91" s="1">
        <f t="shared" si="1"/>
        <v>206315951.88999915</v>
      </c>
      <c r="F91" t="s">
        <v>19</v>
      </c>
      <c r="G91" t="s">
        <v>189</v>
      </c>
    </row>
    <row r="92" spans="1:9">
      <c r="A92" s="5">
        <v>45990</v>
      </c>
      <c r="B92" t="s">
        <v>4614</v>
      </c>
      <c r="C92" s="1">
        <v>200000000</v>
      </c>
      <c r="D92" s="1">
        <v>0</v>
      </c>
      <c r="E92" s="1">
        <f t="shared" si="1"/>
        <v>6315951.8899991512</v>
      </c>
      <c r="F92" t="s">
        <v>920</v>
      </c>
      <c r="G92" t="s">
        <v>4245</v>
      </c>
    </row>
    <row r="93" spans="1:9">
      <c r="A93" s="5">
        <v>45990</v>
      </c>
      <c r="B93" t="s">
        <v>4614</v>
      </c>
      <c r="C93" s="1">
        <v>2500</v>
      </c>
      <c r="D93" s="1">
        <v>0</v>
      </c>
      <c r="E93" s="1">
        <f t="shared" si="1"/>
        <v>6313451.8899991512</v>
      </c>
      <c r="F93" t="s">
        <v>19</v>
      </c>
      <c r="G93" t="s">
        <v>189</v>
      </c>
    </row>
    <row r="94" spans="1:9">
      <c r="A94" s="5">
        <v>45991</v>
      </c>
      <c r="B94" t="s">
        <v>4022</v>
      </c>
      <c r="C94" s="1">
        <v>25000</v>
      </c>
      <c r="D94" s="1">
        <v>0</v>
      </c>
      <c r="E94" s="1">
        <f t="shared" si="1"/>
        <v>6288451.8899991512</v>
      </c>
      <c r="F94" t="s">
        <v>19</v>
      </c>
      <c r="G94" t="s">
        <v>189</v>
      </c>
    </row>
    <row r="95" spans="1:9">
      <c r="A95" s="5">
        <v>45991</v>
      </c>
      <c r="B95" t="s">
        <v>911</v>
      </c>
      <c r="C95" s="1">
        <v>25000</v>
      </c>
      <c r="D95" s="1">
        <v>0</v>
      </c>
      <c r="E95" s="1">
        <f t="shared" si="1"/>
        <v>6263451.8899991512</v>
      </c>
      <c r="F95" t="s">
        <v>19</v>
      </c>
      <c r="G95" t="s">
        <v>189</v>
      </c>
    </row>
    <row r="96" spans="1:9">
      <c r="A96" s="5">
        <v>45991</v>
      </c>
      <c r="B96" t="s">
        <v>1218</v>
      </c>
      <c r="C96" s="1">
        <v>63191.1</v>
      </c>
      <c r="D96" s="1">
        <v>0</v>
      </c>
      <c r="E96" s="1">
        <f t="shared" si="1"/>
        <v>6200260.7899991516</v>
      </c>
      <c r="F96" t="s">
        <v>190</v>
      </c>
      <c r="G96" t="s">
        <v>79</v>
      </c>
    </row>
    <row r="97" spans="1:7">
      <c r="A97" s="5">
        <v>45991</v>
      </c>
      <c r="B97" t="s">
        <v>4023</v>
      </c>
      <c r="C97" s="1">
        <v>0</v>
      </c>
      <c r="D97" s="1">
        <v>315955.57</v>
      </c>
      <c r="E97" s="1">
        <f t="shared" si="1"/>
        <v>6516216.3599991519</v>
      </c>
      <c r="F97" t="s">
        <v>190</v>
      </c>
      <c r="G97" t="s">
        <v>79</v>
      </c>
    </row>
    <row r="98" spans="1:7">
      <c r="A98" s="5">
        <v>46022</v>
      </c>
      <c r="B98" t="s">
        <v>911</v>
      </c>
      <c r="C98" s="11">
        <v>25000</v>
      </c>
      <c r="D98" s="11">
        <v>0</v>
      </c>
      <c r="E98" s="11">
        <f t="shared" si="1"/>
        <v>6491216.3599991519</v>
      </c>
      <c r="F98" t="s">
        <v>19</v>
      </c>
      <c r="G98" t="s">
        <v>189</v>
      </c>
    </row>
    <row r="100" spans="1:7">
      <c r="C100" s="1">
        <f>SUBTOTAL(9,C5:C99)</f>
        <v>8016960122.6199999</v>
      </c>
      <c r="D100" s="1">
        <f>SUBTOTAL(9,D5:D99)</f>
        <v>4737428177.6300001</v>
      </c>
    </row>
    <row r="101" spans="1:7">
      <c r="D101" s="1">
        <f>D100-C100</f>
        <v>-3279531944.9899998</v>
      </c>
    </row>
  </sheetData>
  <autoFilter ref="A4:I9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E16" sqref="E16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0.6640625" customWidth="1"/>
    <col min="7" max="7" width="25.33203125" customWidth="1"/>
    <col min="8" max="8" width="40" customWidth="1"/>
  </cols>
  <sheetData>
    <row r="1" spans="1:7" ht="15.75">
      <c r="A1" s="6" t="s">
        <v>241</v>
      </c>
      <c r="B1" s="9" t="s">
        <v>303</v>
      </c>
    </row>
    <row r="2" spans="1:7" ht="15.75">
      <c r="A2" s="6" t="s">
        <v>17</v>
      </c>
    </row>
    <row r="4" spans="1:7" ht="15.75">
      <c r="A4" s="4" t="s">
        <v>3</v>
      </c>
      <c r="B4" s="9" t="s">
        <v>511</v>
      </c>
      <c r="C4" s="10"/>
      <c r="D4" s="10">
        <v>0</v>
      </c>
      <c r="E4" s="10">
        <v>3556331.49</v>
      </c>
    </row>
    <row r="5" spans="1:7">
      <c r="A5" s="5">
        <v>45688</v>
      </c>
      <c r="B5" t="s">
        <v>911</v>
      </c>
      <c r="C5" s="11">
        <v>20000</v>
      </c>
      <c r="D5" s="1">
        <v>0</v>
      </c>
      <c r="E5" s="1">
        <f>E4-C5+D5</f>
        <v>3536331.49</v>
      </c>
      <c r="F5" t="s">
        <v>19</v>
      </c>
      <c r="G5" t="s">
        <v>912</v>
      </c>
    </row>
    <row r="6" spans="1:7">
      <c r="A6" s="5">
        <v>45716</v>
      </c>
      <c r="B6" t="s">
        <v>911</v>
      </c>
      <c r="C6" s="11">
        <v>20000</v>
      </c>
      <c r="D6" s="1">
        <v>0</v>
      </c>
      <c r="E6" s="1">
        <f>E5-C6+D6</f>
        <v>3516331.49</v>
      </c>
      <c r="F6" t="s">
        <v>19</v>
      </c>
      <c r="G6" t="s">
        <v>912</v>
      </c>
    </row>
    <row r="7" spans="1:7">
      <c r="A7" s="5">
        <v>45747</v>
      </c>
      <c r="B7" t="s">
        <v>911</v>
      </c>
      <c r="C7" s="11">
        <v>20000</v>
      </c>
      <c r="D7" s="1">
        <v>0</v>
      </c>
      <c r="E7" s="1">
        <f t="shared" ref="E7:E13" si="0">E6-C7+D7</f>
        <v>3496331.49</v>
      </c>
      <c r="F7" t="s">
        <v>19</v>
      </c>
      <c r="G7" t="s">
        <v>912</v>
      </c>
    </row>
    <row r="8" spans="1:7">
      <c r="A8" s="5">
        <v>45777</v>
      </c>
      <c r="B8" t="s">
        <v>911</v>
      </c>
      <c r="C8" s="11">
        <v>20000</v>
      </c>
      <c r="D8" s="1">
        <v>0</v>
      </c>
      <c r="E8" s="1">
        <f t="shared" si="0"/>
        <v>3476331.49</v>
      </c>
      <c r="F8" t="s">
        <v>19</v>
      </c>
      <c r="G8" t="s">
        <v>912</v>
      </c>
    </row>
    <row r="9" spans="1:7">
      <c r="A9" s="5">
        <v>45808</v>
      </c>
      <c r="B9" t="s">
        <v>911</v>
      </c>
      <c r="C9" s="11">
        <v>20000</v>
      </c>
      <c r="D9" s="1">
        <v>0</v>
      </c>
      <c r="E9" s="1">
        <f t="shared" si="0"/>
        <v>3456331.49</v>
      </c>
      <c r="F9" t="s">
        <v>19</v>
      </c>
      <c r="G9" t="s">
        <v>912</v>
      </c>
    </row>
    <row r="10" spans="1:7">
      <c r="A10" s="5">
        <v>45838</v>
      </c>
      <c r="B10" t="s">
        <v>911</v>
      </c>
      <c r="C10" s="11">
        <v>20000</v>
      </c>
      <c r="D10" s="1">
        <v>0</v>
      </c>
      <c r="E10" s="1">
        <f t="shared" si="0"/>
        <v>3436331.49</v>
      </c>
      <c r="F10" t="s">
        <v>19</v>
      </c>
      <c r="G10" t="s">
        <v>912</v>
      </c>
    </row>
    <row r="11" spans="1:7">
      <c r="A11" s="5">
        <v>45869</v>
      </c>
      <c r="B11" t="s">
        <v>911</v>
      </c>
      <c r="C11" s="11">
        <v>20000</v>
      </c>
      <c r="D11" s="1">
        <v>0</v>
      </c>
      <c r="E11" s="1">
        <f t="shared" si="0"/>
        <v>3416331.49</v>
      </c>
      <c r="F11" t="s">
        <v>19</v>
      </c>
      <c r="G11" t="s">
        <v>912</v>
      </c>
    </row>
    <row r="12" spans="1:7">
      <c r="A12" s="5">
        <v>45900</v>
      </c>
      <c r="B12" t="s">
        <v>911</v>
      </c>
      <c r="C12" s="11">
        <v>20000</v>
      </c>
      <c r="D12" s="1">
        <v>0</v>
      </c>
      <c r="E12" s="1">
        <f t="shared" si="0"/>
        <v>3396331.49</v>
      </c>
      <c r="F12" t="s">
        <v>19</v>
      </c>
      <c r="G12" t="s">
        <v>912</v>
      </c>
    </row>
    <row r="13" spans="1:7">
      <c r="A13" s="5">
        <v>45930</v>
      </c>
      <c r="B13" t="s">
        <v>911</v>
      </c>
      <c r="C13" s="11">
        <v>20000</v>
      </c>
      <c r="D13" s="1">
        <v>0</v>
      </c>
      <c r="E13" s="1">
        <f t="shared" si="0"/>
        <v>3376331.49</v>
      </c>
      <c r="F13" t="s">
        <v>19</v>
      </c>
      <c r="G13" t="s">
        <v>912</v>
      </c>
    </row>
    <row r="14" spans="1:7">
      <c r="A14" s="5">
        <v>45961</v>
      </c>
      <c r="B14" t="s">
        <v>911</v>
      </c>
      <c r="C14" s="11">
        <v>20000</v>
      </c>
      <c r="D14" s="1">
        <v>0</v>
      </c>
      <c r="E14" s="1">
        <f t="shared" ref="E14" si="1">E13-C14+D14</f>
        <v>3356331.49</v>
      </c>
      <c r="F14" t="s">
        <v>19</v>
      </c>
      <c r="G14" t="s">
        <v>912</v>
      </c>
    </row>
    <row r="15" spans="1:7">
      <c r="A15" s="5">
        <v>45991</v>
      </c>
      <c r="B15" t="s">
        <v>911</v>
      </c>
      <c r="C15" s="11">
        <v>20000</v>
      </c>
      <c r="D15" s="1">
        <v>0</v>
      </c>
      <c r="E15" s="1">
        <f t="shared" ref="E15" si="2">E14-C15+D15</f>
        <v>3336331.49</v>
      </c>
      <c r="F15" t="s">
        <v>19</v>
      </c>
      <c r="G15" t="s">
        <v>912</v>
      </c>
    </row>
    <row r="16" spans="1:7">
      <c r="A16" s="5">
        <v>46022</v>
      </c>
      <c r="B16" t="s">
        <v>911</v>
      </c>
      <c r="C16" s="11">
        <v>20000</v>
      </c>
      <c r="D16" s="11">
        <v>0</v>
      </c>
      <c r="E16" s="11">
        <f t="shared" ref="E16" si="3">E15-C16+D16</f>
        <v>3316331.49</v>
      </c>
      <c r="F16" t="s">
        <v>19</v>
      </c>
      <c r="G16" t="s">
        <v>912</v>
      </c>
    </row>
    <row r="17" spans="1:9">
      <c r="C17" s="11"/>
    </row>
    <row r="18" spans="1:9" s="1" customFormat="1">
      <c r="A18" s="5"/>
      <c r="B18"/>
      <c r="C18" s="1">
        <f>SUBTOTAL(9,C5:C17)</f>
        <v>240000</v>
      </c>
      <c r="D18" s="1">
        <f>SUBTOTAL(9,D5:D17)</f>
        <v>0</v>
      </c>
      <c r="F18"/>
      <c r="G18"/>
      <c r="H18"/>
      <c r="I18"/>
    </row>
    <row r="19" spans="1:9" s="1" customFormat="1">
      <c r="A19" s="5"/>
      <c r="B19"/>
      <c r="D19" s="1">
        <f>D18-C18</f>
        <v>-240000</v>
      </c>
      <c r="F19"/>
      <c r="G19"/>
      <c r="H19"/>
      <c r="I19"/>
    </row>
  </sheetData>
  <autoFilter ref="A4:G4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opLeftCell="A99" workbookViewId="0">
      <selection activeCell="D86" sqref="D86:D114"/>
    </sheetView>
  </sheetViews>
  <sheetFormatPr defaultColWidth="11.5546875" defaultRowHeight="15"/>
  <cols>
    <col min="1" max="1" width="10.77734375" style="5"/>
    <col min="2" max="2" width="81.77734375" customWidth="1"/>
    <col min="3" max="5" width="19.44140625" style="1" customWidth="1"/>
    <col min="6" max="6" width="20.6640625" customWidth="1"/>
    <col min="7" max="7" width="31" customWidth="1"/>
    <col min="8" max="8" width="40" customWidth="1"/>
    <col min="9" max="9" width="23.77734375" customWidth="1"/>
  </cols>
  <sheetData>
    <row r="1" spans="1:9" ht="15.75">
      <c r="A1" s="6" t="s">
        <v>455</v>
      </c>
      <c r="B1" s="9" t="s">
        <v>26</v>
      </c>
    </row>
    <row r="2" spans="1:9" ht="15.75">
      <c r="A2" s="6" t="s">
        <v>17</v>
      </c>
    </row>
    <row r="4" spans="1:9" ht="15.75">
      <c r="A4" s="4" t="s">
        <v>3</v>
      </c>
      <c r="B4" s="9" t="s">
        <v>511</v>
      </c>
      <c r="C4" s="10"/>
      <c r="D4" s="10" t="s">
        <v>26</v>
      </c>
      <c r="E4" s="10">
        <v>5492093</v>
      </c>
    </row>
    <row r="5" spans="1:9" ht="15.75">
      <c r="A5" s="5">
        <v>45658</v>
      </c>
      <c r="B5" t="s">
        <v>416</v>
      </c>
      <c r="C5" s="11">
        <v>750</v>
      </c>
      <c r="D5" s="11">
        <v>0</v>
      </c>
      <c r="E5" s="11">
        <f>E4-C5+D5</f>
        <v>5491343</v>
      </c>
      <c r="F5" t="s">
        <v>19</v>
      </c>
      <c r="G5" t="s">
        <v>189</v>
      </c>
      <c r="H5" s="146" t="s">
        <v>26</v>
      </c>
      <c r="I5" s="153" t="s">
        <v>26</v>
      </c>
    </row>
    <row r="6" spans="1:9" ht="15.75">
      <c r="A6" s="5">
        <v>45662</v>
      </c>
      <c r="B6" t="s">
        <v>416</v>
      </c>
      <c r="C6" s="11">
        <v>750</v>
      </c>
      <c r="D6" s="11">
        <v>0</v>
      </c>
      <c r="E6" s="11">
        <f t="shared" ref="E6:E69" si="0">E5-C6+D6</f>
        <v>5490593</v>
      </c>
      <c r="F6" t="s">
        <v>19</v>
      </c>
      <c r="G6" t="s">
        <v>189</v>
      </c>
      <c r="H6" s="146" t="s">
        <v>26</v>
      </c>
      <c r="I6" s="153" t="s">
        <v>26</v>
      </c>
    </row>
    <row r="7" spans="1:9" ht="15.75">
      <c r="A7" s="5">
        <v>45666</v>
      </c>
      <c r="B7" t="s">
        <v>416</v>
      </c>
      <c r="C7" s="11">
        <v>750</v>
      </c>
      <c r="D7" s="11">
        <v>0</v>
      </c>
      <c r="E7" s="11">
        <f t="shared" si="0"/>
        <v>5489843</v>
      </c>
      <c r="F7" t="s">
        <v>19</v>
      </c>
      <c r="G7" t="s">
        <v>189</v>
      </c>
      <c r="H7" s="146" t="s">
        <v>26</v>
      </c>
      <c r="I7" s="153" t="s">
        <v>26</v>
      </c>
    </row>
    <row r="8" spans="1:9" ht="15.75">
      <c r="A8" s="5">
        <v>45670</v>
      </c>
      <c r="B8" t="s">
        <v>416</v>
      </c>
      <c r="C8" s="11">
        <v>750</v>
      </c>
      <c r="D8" s="11">
        <v>0</v>
      </c>
      <c r="E8" s="11">
        <f t="shared" si="0"/>
        <v>5489093</v>
      </c>
      <c r="F8" t="s">
        <v>19</v>
      </c>
      <c r="G8" t="s">
        <v>189</v>
      </c>
      <c r="H8" s="146" t="s">
        <v>26</v>
      </c>
      <c r="I8" s="153" t="s">
        <v>26</v>
      </c>
    </row>
    <row r="9" spans="1:9" ht="15.75">
      <c r="A9" s="5">
        <v>45674</v>
      </c>
      <c r="B9" t="s">
        <v>416</v>
      </c>
      <c r="C9" s="11">
        <v>750</v>
      </c>
      <c r="D9" s="11">
        <v>0</v>
      </c>
      <c r="E9" s="11">
        <f t="shared" si="0"/>
        <v>5488343</v>
      </c>
      <c r="F9" t="s">
        <v>19</v>
      </c>
      <c r="G9" t="s">
        <v>189</v>
      </c>
      <c r="H9" s="8" t="s">
        <v>26</v>
      </c>
      <c r="I9" s="153" t="s">
        <v>26</v>
      </c>
    </row>
    <row r="10" spans="1:9" ht="15.75">
      <c r="A10" s="5">
        <v>45678</v>
      </c>
      <c r="B10" t="s">
        <v>416</v>
      </c>
      <c r="C10" s="11">
        <v>750</v>
      </c>
      <c r="D10" s="11">
        <v>0</v>
      </c>
      <c r="E10" s="11">
        <f t="shared" si="0"/>
        <v>5487593</v>
      </c>
      <c r="F10" t="s">
        <v>19</v>
      </c>
      <c r="G10" t="s">
        <v>189</v>
      </c>
      <c r="H10" s="146" t="s">
        <v>277</v>
      </c>
      <c r="I10" s="153" t="s">
        <v>26</v>
      </c>
    </row>
    <row r="11" spans="1:9" ht="15.75">
      <c r="A11" s="5">
        <v>45682</v>
      </c>
      <c r="B11" t="s">
        <v>416</v>
      </c>
      <c r="C11" s="11">
        <v>750</v>
      </c>
      <c r="D11" s="11">
        <v>0</v>
      </c>
      <c r="E11" s="11">
        <f t="shared" si="0"/>
        <v>5486843</v>
      </c>
      <c r="F11" t="s">
        <v>19</v>
      </c>
      <c r="G11" t="s">
        <v>189</v>
      </c>
      <c r="H11" s="8" t="s">
        <v>26</v>
      </c>
      <c r="I11" s="153" t="s">
        <v>26</v>
      </c>
    </row>
    <row r="12" spans="1:9" ht="15.75">
      <c r="A12" s="5">
        <v>45682</v>
      </c>
      <c r="B12" t="s">
        <v>340</v>
      </c>
      <c r="C12" s="11">
        <v>0</v>
      </c>
      <c r="D12" s="11">
        <v>1166</v>
      </c>
      <c r="E12" s="11">
        <f t="shared" si="0"/>
        <v>5488009</v>
      </c>
      <c r="F12" t="s">
        <v>190</v>
      </c>
      <c r="G12" t="s">
        <v>79</v>
      </c>
      <c r="H12" s="8" t="s">
        <v>26</v>
      </c>
      <c r="I12" s="153" t="s">
        <v>26</v>
      </c>
    </row>
    <row r="13" spans="1:9" ht="15.75">
      <c r="A13" s="5">
        <v>45682</v>
      </c>
      <c r="B13" t="s">
        <v>454</v>
      </c>
      <c r="C13" s="11">
        <v>35000</v>
      </c>
      <c r="D13" s="11">
        <v>0</v>
      </c>
      <c r="E13" s="11">
        <f t="shared" si="0"/>
        <v>5453009</v>
      </c>
      <c r="F13" t="s">
        <v>19</v>
      </c>
      <c r="G13" t="s">
        <v>189</v>
      </c>
      <c r="H13" s="146" t="s">
        <v>26</v>
      </c>
      <c r="I13" s="153" t="s">
        <v>26</v>
      </c>
    </row>
    <row r="14" spans="1:9" ht="15.75">
      <c r="A14" s="5">
        <v>45682</v>
      </c>
      <c r="B14" t="s">
        <v>342</v>
      </c>
      <c r="C14" s="11">
        <v>1500</v>
      </c>
      <c r="D14" s="11">
        <v>0</v>
      </c>
      <c r="E14" s="11">
        <f t="shared" si="0"/>
        <v>5451509</v>
      </c>
      <c r="F14" t="s">
        <v>19</v>
      </c>
      <c r="G14" t="s">
        <v>189</v>
      </c>
      <c r="H14" s="8"/>
    </row>
    <row r="15" spans="1:9" ht="15.75">
      <c r="A15" s="5">
        <v>45686</v>
      </c>
      <c r="B15" t="s">
        <v>416</v>
      </c>
      <c r="C15" s="11">
        <v>750</v>
      </c>
      <c r="D15" s="11">
        <v>0</v>
      </c>
      <c r="E15" s="11">
        <f t="shared" si="0"/>
        <v>5450759</v>
      </c>
      <c r="F15" t="s">
        <v>19</v>
      </c>
      <c r="G15" t="s">
        <v>189</v>
      </c>
      <c r="H15" s="8"/>
    </row>
    <row r="16" spans="1:9" ht="15.75">
      <c r="A16" s="5">
        <v>45689</v>
      </c>
      <c r="B16" t="s">
        <v>416</v>
      </c>
      <c r="C16" s="11">
        <v>750</v>
      </c>
      <c r="D16" s="1">
        <v>0</v>
      </c>
      <c r="E16" s="11">
        <f t="shared" si="0"/>
        <v>5450009</v>
      </c>
      <c r="F16" t="s">
        <v>19</v>
      </c>
      <c r="G16" t="s">
        <v>189</v>
      </c>
      <c r="H16" s="8"/>
    </row>
    <row r="17" spans="1:8">
      <c r="A17" s="5">
        <v>45693</v>
      </c>
      <c r="B17" t="s">
        <v>416</v>
      </c>
      <c r="C17" s="11">
        <v>750</v>
      </c>
      <c r="D17" s="1">
        <v>0</v>
      </c>
      <c r="E17" s="11">
        <f t="shared" si="0"/>
        <v>5449259</v>
      </c>
      <c r="F17" t="s">
        <v>19</v>
      </c>
      <c r="G17" t="s">
        <v>189</v>
      </c>
    </row>
    <row r="18" spans="1:8">
      <c r="A18" s="5">
        <v>45695</v>
      </c>
      <c r="B18" t="s">
        <v>913</v>
      </c>
      <c r="C18" s="1">
        <v>0</v>
      </c>
      <c r="D18" s="1">
        <v>150224667</v>
      </c>
      <c r="E18" s="11">
        <f t="shared" si="0"/>
        <v>155673926</v>
      </c>
      <c r="F18" t="s">
        <v>920</v>
      </c>
      <c r="G18" t="s">
        <v>4247</v>
      </c>
    </row>
    <row r="19" spans="1:8" ht="15.75">
      <c r="A19" s="5">
        <v>45695</v>
      </c>
      <c r="B19" t="s">
        <v>914</v>
      </c>
      <c r="C19" s="1">
        <v>20274405</v>
      </c>
      <c r="D19" s="1">
        <v>0</v>
      </c>
      <c r="E19" s="11">
        <f t="shared" si="0"/>
        <v>135399521</v>
      </c>
      <c r="F19" s="8" t="s">
        <v>6</v>
      </c>
      <c r="G19" s="8" t="s">
        <v>50</v>
      </c>
      <c r="H19" s="8" t="s">
        <v>247</v>
      </c>
    </row>
    <row r="20" spans="1:8" ht="15.75">
      <c r="A20" s="5">
        <v>45695</v>
      </c>
      <c r="B20" t="s">
        <v>915</v>
      </c>
      <c r="C20" s="1">
        <v>4684000</v>
      </c>
      <c r="D20" s="1">
        <v>0</v>
      </c>
      <c r="E20" s="11">
        <f t="shared" si="0"/>
        <v>130715521</v>
      </c>
      <c r="F20" s="8" t="s">
        <v>6</v>
      </c>
      <c r="G20" s="8" t="s">
        <v>50</v>
      </c>
      <c r="H20" s="8" t="s">
        <v>247</v>
      </c>
    </row>
    <row r="21" spans="1:8" ht="15.75">
      <c r="A21" s="5">
        <v>45695</v>
      </c>
      <c r="B21" t="s">
        <v>916</v>
      </c>
      <c r="C21" s="1">
        <v>129076262</v>
      </c>
      <c r="D21" s="1">
        <v>0</v>
      </c>
      <c r="E21" s="11">
        <f t="shared" si="0"/>
        <v>1639259</v>
      </c>
      <c r="F21" s="8" t="s">
        <v>6</v>
      </c>
      <c r="G21" s="8" t="s">
        <v>50</v>
      </c>
      <c r="H21" s="8" t="s">
        <v>247</v>
      </c>
    </row>
    <row r="22" spans="1:8">
      <c r="A22" s="5">
        <v>45697</v>
      </c>
      <c r="B22" t="s">
        <v>416</v>
      </c>
      <c r="C22" s="11">
        <v>750</v>
      </c>
      <c r="D22" s="1">
        <v>0</v>
      </c>
      <c r="E22" s="11">
        <f t="shared" si="0"/>
        <v>1638509</v>
      </c>
      <c r="F22" t="s">
        <v>19</v>
      </c>
      <c r="G22" t="s">
        <v>189</v>
      </c>
    </row>
    <row r="23" spans="1:8">
      <c r="A23" s="5">
        <v>45701</v>
      </c>
      <c r="B23" t="s">
        <v>917</v>
      </c>
      <c r="C23" s="11">
        <v>3750</v>
      </c>
      <c r="D23" s="1">
        <v>0</v>
      </c>
      <c r="E23" s="11">
        <f t="shared" si="0"/>
        <v>1634759</v>
      </c>
      <c r="F23" t="s">
        <v>19</v>
      </c>
      <c r="G23" t="s">
        <v>189</v>
      </c>
    </row>
    <row r="24" spans="1:8">
      <c r="A24" s="5">
        <v>45705</v>
      </c>
      <c r="B24" t="s">
        <v>416</v>
      </c>
      <c r="C24" s="11">
        <v>750</v>
      </c>
      <c r="D24" s="1">
        <v>0</v>
      </c>
      <c r="E24" s="11">
        <f t="shared" si="0"/>
        <v>1634009</v>
      </c>
      <c r="F24" t="s">
        <v>19</v>
      </c>
      <c r="G24" t="s">
        <v>189</v>
      </c>
    </row>
    <row r="25" spans="1:8">
      <c r="A25" s="5">
        <v>45709</v>
      </c>
      <c r="B25" t="s">
        <v>416</v>
      </c>
      <c r="C25" s="11">
        <v>750</v>
      </c>
      <c r="D25" s="1">
        <v>0</v>
      </c>
      <c r="E25" s="11">
        <f t="shared" si="0"/>
        <v>1633259</v>
      </c>
      <c r="F25" t="s">
        <v>19</v>
      </c>
      <c r="G25" t="s">
        <v>189</v>
      </c>
    </row>
    <row r="26" spans="1:8">
      <c r="A26" s="5">
        <v>45713</v>
      </c>
      <c r="B26" t="s">
        <v>416</v>
      </c>
      <c r="C26" s="11">
        <v>750</v>
      </c>
      <c r="D26" s="1">
        <v>0</v>
      </c>
      <c r="E26" s="11">
        <f t="shared" si="0"/>
        <v>1632509</v>
      </c>
      <c r="F26" t="s">
        <v>19</v>
      </c>
      <c r="G26" t="s">
        <v>189</v>
      </c>
    </row>
    <row r="27" spans="1:8">
      <c r="A27" s="5">
        <v>45713</v>
      </c>
      <c r="B27" t="s">
        <v>340</v>
      </c>
      <c r="C27" s="1">
        <v>0</v>
      </c>
      <c r="D27" s="1">
        <v>448</v>
      </c>
      <c r="E27" s="11">
        <f t="shared" si="0"/>
        <v>1632957</v>
      </c>
      <c r="F27" t="s">
        <v>190</v>
      </c>
      <c r="G27" t="s">
        <v>79</v>
      </c>
    </row>
    <row r="28" spans="1:8">
      <c r="A28" s="5">
        <v>45713</v>
      </c>
      <c r="B28" t="s">
        <v>454</v>
      </c>
      <c r="C28" s="1">
        <v>35000</v>
      </c>
      <c r="D28" s="1">
        <v>0</v>
      </c>
      <c r="E28" s="11">
        <f t="shared" si="0"/>
        <v>1597957</v>
      </c>
      <c r="F28" t="s">
        <v>19</v>
      </c>
      <c r="G28" t="s">
        <v>189</v>
      </c>
    </row>
    <row r="29" spans="1:8">
      <c r="A29" s="5">
        <v>45713</v>
      </c>
      <c r="B29" t="s">
        <v>342</v>
      </c>
      <c r="C29" s="1">
        <v>1500</v>
      </c>
      <c r="D29" s="1">
        <v>0</v>
      </c>
      <c r="E29" s="11">
        <f t="shared" si="0"/>
        <v>1596457</v>
      </c>
      <c r="F29" t="s">
        <v>19</v>
      </c>
      <c r="G29" t="s">
        <v>189</v>
      </c>
    </row>
    <row r="30" spans="1:8">
      <c r="A30" s="5">
        <v>45717</v>
      </c>
      <c r="B30" t="s">
        <v>416</v>
      </c>
      <c r="C30" s="1">
        <v>750</v>
      </c>
      <c r="D30" s="1">
        <v>0</v>
      </c>
      <c r="E30" s="11">
        <f t="shared" si="0"/>
        <v>1595707</v>
      </c>
      <c r="F30" t="s">
        <v>19</v>
      </c>
      <c r="G30" t="s">
        <v>189</v>
      </c>
    </row>
    <row r="31" spans="1:8">
      <c r="A31" s="5">
        <v>45721</v>
      </c>
      <c r="B31" t="s">
        <v>416</v>
      </c>
      <c r="C31" s="1">
        <v>750</v>
      </c>
      <c r="D31" s="1">
        <v>0</v>
      </c>
      <c r="E31" s="11">
        <f t="shared" si="0"/>
        <v>1594957</v>
      </c>
      <c r="F31" t="s">
        <v>19</v>
      </c>
      <c r="G31" t="s">
        <v>189</v>
      </c>
    </row>
    <row r="32" spans="1:8">
      <c r="A32" s="5">
        <v>45725</v>
      </c>
      <c r="B32" t="s">
        <v>416</v>
      </c>
      <c r="C32" s="1">
        <v>750</v>
      </c>
      <c r="D32" s="1">
        <v>0</v>
      </c>
      <c r="E32" s="11">
        <f t="shared" si="0"/>
        <v>1594207</v>
      </c>
      <c r="F32" t="s">
        <v>19</v>
      </c>
      <c r="G32" t="s">
        <v>189</v>
      </c>
    </row>
    <row r="33" spans="1:7">
      <c r="A33" s="5">
        <v>45729</v>
      </c>
      <c r="B33" t="s">
        <v>416</v>
      </c>
      <c r="C33" s="1">
        <v>750</v>
      </c>
      <c r="D33" s="1">
        <v>0</v>
      </c>
      <c r="E33" s="11">
        <f t="shared" si="0"/>
        <v>1593457</v>
      </c>
      <c r="F33" t="s">
        <v>19</v>
      </c>
      <c r="G33" t="s">
        <v>189</v>
      </c>
    </row>
    <row r="34" spans="1:7">
      <c r="A34" s="5">
        <v>45733</v>
      </c>
      <c r="B34" t="s">
        <v>416</v>
      </c>
      <c r="C34" s="1">
        <v>750</v>
      </c>
      <c r="D34" s="1">
        <v>0</v>
      </c>
      <c r="E34" s="11">
        <f t="shared" si="0"/>
        <v>1592707</v>
      </c>
      <c r="F34" t="s">
        <v>19</v>
      </c>
      <c r="G34" t="s">
        <v>189</v>
      </c>
    </row>
    <row r="35" spans="1:7">
      <c r="A35" s="5">
        <v>45737</v>
      </c>
      <c r="B35" t="s">
        <v>416</v>
      </c>
      <c r="C35" s="1">
        <v>750</v>
      </c>
      <c r="D35" s="1">
        <v>0</v>
      </c>
      <c r="E35" s="11">
        <f t="shared" si="0"/>
        <v>1591957</v>
      </c>
      <c r="F35" t="s">
        <v>19</v>
      </c>
      <c r="G35" t="s">
        <v>189</v>
      </c>
    </row>
    <row r="36" spans="1:7">
      <c r="A36" s="5">
        <v>45741</v>
      </c>
      <c r="B36" t="s">
        <v>342</v>
      </c>
      <c r="C36" s="1">
        <v>1500</v>
      </c>
      <c r="D36" s="1">
        <v>0</v>
      </c>
      <c r="E36" s="11">
        <f t="shared" si="0"/>
        <v>1590457</v>
      </c>
      <c r="F36" t="s">
        <v>19</v>
      </c>
      <c r="G36" t="s">
        <v>189</v>
      </c>
    </row>
    <row r="37" spans="1:7">
      <c r="A37" s="5">
        <v>45741</v>
      </c>
      <c r="B37" s="80" t="s">
        <v>416</v>
      </c>
      <c r="C37" s="1">
        <v>750</v>
      </c>
      <c r="D37" s="1">
        <v>0</v>
      </c>
      <c r="E37" s="11">
        <f t="shared" si="0"/>
        <v>1589707</v>
      </c>
      <c r="F37" t="s">
        <v>19</v>
      </c>
      <c r="G37" t="s">
        <v>189</v>
      </c>
    </row>
    <row r="38" spans="1:7">
      <c r="A38" s="5">
        <v>45741</v>
      </c>
      <c r="B38" t="s">
        <v>454</v>
      </c>
      <c r="C38" s="1">
        <v>35000</v>
      </c>
      <c r="D38" s="1">
        <v>0</v>
      </c>
      <c r="E38" s="11">
        <f t="shared" si="0"/>
        <v>1554707</v>
      </c>
      <c r="F38" t="s">
        <v>19</v>
      </c>
      <c r="G38" t="s">
        <v>189</v>
      </c>
    </row>
    <row r="39" spans="1:7">
      <c r="A39" s="5">
        <v>45745</v>
      </c>
      <c r="B39" s="80" t="s">
        <v>416</v>
      </c>
      <c r="C39" s="1">
        <v>750</v>
      </c>
      <c r="D39" s="1">
        <v>0</v>
      </c>
      <c r="E39" s="11">
        <f t="shared" si="0"/>
        <v>1553957</v>
      </c>
      <c r="F39" t="s">
        <v>19</v>
      </c>
      <c r="G39" t="s">
        <v>189</v>
      </c>
    </row>
    <row r="40" spans="1:7">
      <c r="A40" s="5">
        <v>45748</v>
      </c>
      <c r="B40" s="80" t="s">
        <v>416</v>
      </c>
      <c r="C40" s="1">
        <v>750</v>
      </c>
      <c r="D40" s="1">
        <v>0</v>
      </c>
      <c r="E40" s="11">
        <f t="shared" si="0"/>
        <v>1553207</v>
      </c>
      <c r="F40" t="s">
        <v>19</v>
      </c>
      <c r="G40" t="s">
        <v>189</v>
      </c>
    </row>
    <row r="41" spans="1:7">
      <c r="A41" s="5">
        <v>45752</v>
      </c>
      <c r="B41" s="80" t="s">
        <v>416</v>
      </c>
      <c r="C41" s="1">
        <v>750</v>
      </c>
      <c r="D41" s="1">
        <v>0</v>
      </c>
      <c r="E41" s="11">
        <f t="shared" si="0"/>
        <v>1552457</v>
      </c>
      <c r="F41" t="s">
        <v>19</v>
      </c>
      <c r="G41" t="s">
        <v>189</v>
      </c>
    </row>
    <row r="42" spans="1:7">
      <c r="A42" s="5">
        <v>45756</v>
      </c>
      <c r="B42" s="80" t="s">
        <v>416</v>
      </c>
      <c r="C42" s="1">
        <v>750</v>
      </c>
      <c r="D42" s="1">
        <v>0</v>
      </c>
      <c r="E42" s="11">
        <f t="shared" si="0"/>
        <v>1551707</v>
      </c>
      <c r="F42" t="s">
        <v>19</v>
      </c>
      <c r="G42" t="s">
        <v>189</v>
      </c>
    </row>
    <row r="43" spans="1:7">
      <c r="A43" s="5">
        <v>45760</v>
      </c>
      <c r="B43" s="80" t="s">
        <v>416</v>
      </c>
      <c r="C43" s="1">
        <v>750</v>
      </c>
      <c r="D43" s="1">
        <v>0</v>
      </c>
      <c r="E43" s="11">
        <f t="shared" si="0"/>
        <v>1550957</v>
      </c>
      <c r="F43" t="s">
        <v>19</v>
      </c>
      <c r="G43" t="s">
        <v>189</v>
      </c>
    </row>
    <row r="44" spans="1:7">
      <c r="A44" s="5">
        <v>45764</v>
      </c>
      <c r="B44" s="80" t="s">
        <v>416</v>
      </c>
      <c r="C44" s="44">
        <v>750</v>
      </c>
      <c r="D44" s="1">
        <v>0</v>
      </c>
      <c r="E44" s="11">
        <f t="shared" si="0"/>
        <v>1550207</v>
      </c>
      <c r="F44" t="s">
        <v>19</v>
      </c>
      <c r="G44" t="s">
        <v>189</v>
      </c>
    </row>
    <row r="45" spans="1:7">
      <c r="A45" s="5">
        <v>45768</v>
      </c>
      <c r="B45" s="80" t="s">
        <v>416</v>
      </c>
      <c r="C45" s="44">
        <v>750</v>
      </c>
      <c r="D45" s="1">
        <v>0</v>
      </c>
      <c r="E45" s="11">
        <f t="shared" si="0"/>
        <v>1549457</v>
      </c>
      <c r="F45" t="s">
        <v>19</v>
      </c>
      <c r="G45" t="s">
        <v>189</v>
      </c>
    </row>
    <row r="46" spans="1:7">
      <c r="A46" s="5">
        <v>45772</v>
      </c>
      <c r="B46" s="80" t="s">
        <v>342</v>
      </c>
      <c r="C46" s="1">
        <v>1500</v>
      </c>
      <c r="D46" s="1">
        <v>0</v>
      </c>
      <c r="E46" s="11">
        <f t="shared" si="0"/>
        <v>1547957</v>
      </c>
      <c r="F46" t="s">
        <v>19</v>
      </c>
      <c r="G46" t="s">
        <v>189</v>
      </c>
    </row>
    <row r="47" spans="1:7">
      <c r="A47" s="5">
        <v>45772</v>
      </c>
      <c r="B47" s="80" t="s">
        <v>416</v>
      </c>
      <c r="C47" s="44">
        <v>750</v>
      </c>
      <c r="D47" s="1">
        <v>0</v>
      </c>
      <c r="E47" s="11">
        <f t="shared" si="0"/>
        <v>1547207</v>
      </c>
      <c r="F47" t="s">
        <v>19</v>
      </c>
      <c r="G47" t="s">
        <v>189</v>
      </c>
    </row>
    <row r="48" spans="1:7">
      <c r="A48" s="5">
        <v>45772</v>
      </c>
      <c r="B48" s="80" t="s">
        <v>454</v>
      </c>
      <c r="C48" s="1">
        <v>35000</v>
      </c>
      <c r="D48" s="1">
        <v>0</v>
      </c>
      <c r="E48" s="11">
        <f t="shared" si="0"/>
        <v>1512207</v>
      </c>
      <c r="F48" t="s">
        <v>19</v>
      </c>
      <c r="G48" t="s">
        <v>189</v>
      </c>
    </row>
    <row r="49" spans="1:7">
      <c r="A49" s="5">
        <v>45776</v>
      </c>
      <c r="B49" s="80" t="s">
        <v>416</v>
      </c>
      <c r="C49" s="44">
        <v>750</v>
      </c>
      <c r="D49" s="1">
        <v>0</v>
      </c>
      <c r="E49" s="11">
        <f t="shared" si="0"/>
        <v>1511457</v>
      </c>
      <c r="F49" t="s">
        <v>19</v>
      </c>
      <c r="G49" t="s">
        <v>189</v>
      </c>
    </row>
    <row r="50" spans="1:7">
      <c r="A50" s="5">
        <v>45782</v>
      </c>
      <c r="B50" s="80" t="s">
        <v>416</v>
      </c>
      <c r="C50" s="44">
        <v>750</v>
      </c>
      <c r="D50" s="1">
        <v>0</v>
      </c>
      <c r="E50" s="11">
        <f t="shared" si="0"/>
        <v>1510707</v>
      </c>
      <c r="F50" t="s">
        <v>19</v>
      </c>
      <c r="G50" t="s">
        <v>189</v>
      </c>
    </row>
    <row r="51" spans="1:7">
      <c r="A51" s="5">
        <v>45786</v>
      </c>
      <c r="B51" s="80" t="s">
        <v>416</v>
      </c>
      <c r="C51" s="44">
        <v>750</v>
      </c>
      <c r="D51" s="1">
        <v>0</v>
      </c>
      <c r="E51" s="11">
        <f t="shared" si="0"/>
        <v>1509957</v>
      </c>
      <c r="F51" t="s">
        <v>19</v>
      </c>
      <c r="G51" t="s">
        <v>189</v>
      </c>
    </row>
    <row r="52" spans="1:7">
      <c r="A52" s="5">
        <v>45790</v>
      </c>
      <c r="B52" s="80" t="s">
        <v>416</v>
      </c>
      <c r="C52" s="44">
        <v>750</v>
      </c>
      <c r="D52" s="1">
        <v>0</v>
      </c>
      <c r="E52" s="11">
        <f t="shared" si="0"/>
        <v>1509207</v>
      </c>
      <c r="F52" t="s">
        <v>19</v>
      </c>
      <c r="G52" t="s">
        <v>189</v>
      </c>
    </row>
    <row r="53" spans="1:7">
      <c r="A53" s="5">
        <v>45794</v>
      </c>
      <c r="B53" s="80" t="s">
        <v>416</v>
      </c>
      <c r="C53" s="44">
        <v>750</v>
      </c>
      <c r="D53" s="1">
        <v>0</v>
      </c>
      <c r="E53" s="11">
        <f t="shared" si="0"/>
        <v>1508457</v>
      </c>
      <c r="F53" t="s">
        <v>19</v>
      </c>
      <c r="G53" t="s">
        <v>189</v>
      </c>
    </row>
    <row r="54" spans="1:7">
      <c r="A54" s="5">
        <v>45798</v>
      </c>
      <c r="B54" s="80" t="s">
        <v>416</v>
      </c>
      <c r="C54" s="44">
        <v>750</v>
      </c>
      <c r="D54" s="1">
        <v>0</v>
      </c>
      <c r="E54" s="11">
        <f t="shared" si="0"/>
        <v>1507707</v>
      </c>
      <c r="F54" t="s">
        <v>19</v>
      </c>
      <c r="G54" t="s">
        <v>189</v>
      </c>
    </row>
    <row r="55" spans="1:7">
      <c r="A55" s="5">
        <v>45802</v>
      </c>
      <c r="B55" s="80" t="s">
        <v>342</v>
      </c>
      <c r="C55" s="44">
        <v>1500</v>
      </c>
      <c r="D55" s="1">
        <v>0</v>
      </c>
      <c r="E55" s="11">
        <f t="shared" si="0"/>
        <v>1506207</v>
      </c>
      <c r="F55" t="s">
        <v>19</v>
      </c>
      <c r="G55" t="s">
        <v>189</v>
      </c>
    </row>
    <row r="56" spans="1:7">
      <c r="A56" s="5">
        <v>45802</v>
      </c>
      <c r="B56" s="80" t="s">
        <v>416</v>
      </c>
      <c r="C56" s="44">
        <v>750</v>
      </c>
      <c r="D56" s="1">
        <v>0</v>
      </c>
      <c r="E56" s="11">
        <f t="shared" si="0"/>
        <v>1505457</v>
      </c>
      <c r="F56" t="s">
        <v>19</v>
      </c>
      <c r="G56" t="s">
        <v>189</v>
      </c>
    </row>
    <row r="57" spans="1:7">
      <c r="A57" s="5">
        <v>45802</v>
      </c>
      <c r="B57" s="80" t="s">
        <v>454</v>
      </c>
      <c r="C57" s="44">
        <v>35000</v>
      </c>
      <c r="D57" s="1">
        <v>0</v>
      </c>
      <c r="E57" s="11">
        <f t="shared" si="0"/>
        <v>1470457</v>
      </c>
      <c r="F57" t="s">
        <v>19</v>
      </c>
      <c r="G57" t="s">
        <v>189</v>
      </c>
    </row>
    <row r="58" spans="1:7">
      <c r="A58" s="5">
        <v>45806</v>
      </c>
      <c r="B58" s="80" t="s">
        <v>416</v>
      </c>
      <c r="C58" s="44">
        <v>750</v>
      </c>
      <c r="D58" s="1">
        <v>0</v>
      </c>
      <c r="E58" s="11">
        <f t="shared" si="0"/>
        <v>1469707</v>
      </c>
      <c r="F58" t="s">
        <v>19</v>
      </c>
      <c r="G58" t="s">
        <v>189</v>
      </c>
    </row>
    <row r="59" spans="1:7">
      <c r="A59" s="5">
        <v>45809</v>
      </c>
      <c r="B59" s="80" t="s">
        <v>416</v>
      </c>
      <c r="C59" s="44">
        <v>750</v>
      </c>
      <c r="D59" s="1">
        <v>0</v>
      </c>
      <c r="E59" s="11">
        <f t="shared" si="0"/>
        <v>1468957</v>
      </c>
      <c r="F59" t="s">
        <v>19</v>
      </c>
      <c r="G59" t="s">
        <v>189</v>
      </c>
    </row>
    <row r="60" spans="1:7">
      <c r="A60" s="5">
        <v>45813</v>
      </c>
      <c r="B60" s="80" t="s">
        <v>416</v>
      </c>
      <c r="C60" s="44">
        <v>750</v>
      </c>
      <c r="D60" s="1">
        <v>0</v>
      </c>
      <c r="E60" s="11">
        <f t="shared" si="0"/>
        <v>1468207</v>
      </c>
      <c r="F60" t="s">
        <v>19</v>
      </c>
      <c r="G60" t="s">
        <v>189</v>
      </c>
    </row>
    <row r="61" spans="1:7">
      <c r="A61" s="5">
        <v>45817</v>
      </c>
      <c r="B61" s="80" t="s">
        <v>416</v>
      </c>
      <c r="C61" s="44">
        <v>750</v>
      </c>
      <c r="D61" s="1">
        <v>0</v>
      </c>
      <c r="E61" s="11">
        <f t="shared" si="0"/>
        <v>1467457</v>
      </c>
      <c r="F61" t="s">
        <v>19</v>
      </c>
      <c r="G61" t="s">
        <v>189</v>
      </c>
    </row>
    <row r="62" spans="1:7">
      <c r="A62" s="5">
        <v>45821</v>
      </c>
      <c r="B62" s="80" t="s">
        <v>416</v>
      </c>
      <c r="C62" s="44">
        <v>750</v>
      </c>
      <c r="D62" s="1">
        <v>0</v>
      </c>
      <c r="E62" s="11">
        <f t="shared" si="0"/>
        <v>1466707</v>
      </c>
      <c r="F62" t="s">
        <v>19</v>
      </c>
      <c r="G62" t="s">
        <v>189</v>
      </c>
    </row>
    <row r="63" spans="1:7">
      <c r="A63" s="5">
        <v>45825</v>
      </c>
      <c r="B63" s="80" t="s">
        <v>416</v>
      </c>
      <c r="C63" s="44">
        <v>750</v>
      </c>
      <c r="D63" s="1">
        <v>0</v>
      </c>
      <c r="E63" s="11">
        <f t="shared" si="0"/>
        <v>1465957</v>
      </c>
      <c r="F63" t="s">
        <v>19</v>
      </c>
      <c r="G63" t="s">
        <v>189</v>
      </c>
    </row>
    <row r="64" spans="1:7">
      <c r="A64" s="5">
        <v>45829</v>
      </c>
      <c r="B64" s="80" t="s">
        <v>416</v>
      </c>
      <c r="C64" s="44">
        <v>750</v>
      </c>
      <c r="D64" s="1">
        <v>0</v>
      </c>
      <c r="E64" s="11">
        <f t="shared" si="0"/>
        <v>1465207</v>
      </c>
      <c r="F64" t="s">
        <v>19</v>
      </c>
      <c r="G64" t="s">
        <v>189</v>
      </c>
    </row>
    <row r="65" spans="1:7">
      <c r="A65" s="5">
        <v>45833</v>
      </c>
      <c r="B65" s="80" t="s">
        <v>416</v>
      </c>
      <c r="C65" s="44">
        <v>750</v>
      </c>
      <c r="D65" s="1">
        <v>0</v>
      </c>
      <c r="E65" s="11">
        <f t="shared" si="0"/>
        <v>1464457</v>
      </c>
      <c r="F65" t="s">
        <v>19</v>
      </c>
      <c r="G65" t="s">
        <v>189</v>
      </c>
    </row>
    <row r="66" spans="1:7">
      <c r="A66" s="5">
        <v>45833</v>
      </c>
      <c r="B66" s="80" t="s">
        <v>454</v>
      </c>
      <c r="C66" s="1">
        <v>35000</v>
      </c>
      <c r="D66" s="1">
        <v>0</v>
      </c>
      <c r="E66" s="11">
        <f t="shared" si="0"/>
        <v>1429457</v>
      </c>
      <c r="F66" t="s">
        <v>19</v>
      </c>
      <c r="G66" t="s">
        <v>189</v>
      </c>
    </row>
    <row r="67" spans="1:7">
      <c r="A67" s="5">
        <v>45833</v>
      </c>
      <c r="B67" s="80" t="s">
        <v>342</v>
      </c>
      <c r="C67" s="1">
        <v>1500</v>
      </c>
      <c r="D67" s="1">
        <v>0</v>
      </c>
      <c r="E67" s="11">
        <f t="shared" si="0"/>
        <v>1427957</v>
      </c>
      <c r="F67" t="s">
        <v>19</v>
      </c>
      <c r="G67" t="s">
        <v>189</v>
      </c>
    </row>
    <row r="68" spans="1:7">
      <c r="A68" s="5">
        <v>45838</v>
      </c>
      <c r="B68" s="80" t="s">
        <v>416</v>
      </c>
      <c r="C68" s="1">
        <v>750</v>
      </c>
      <c r="D68" s="1">
        <v>0</v>
      </c>
      <c r="E68" s="11">
        <f t="shared" si="0"/>
        <v>1427207</v>
      </c>
      <c r="F68" t="s">
        <v>19</v>
      </c>
      <c r="G68" t="s">
        <v>189</v>
      </c>
    </row>
    <row r="69" spans="1:7">
      <c r="A69" s="5">
        <v>45843</v>
      </c>
      <c r="B69" s="80" t="s">
        <v>416</v>
      </c>
      <c r="C69" s="1">
        <v>750</v>
      </c>
      <c r="D69" s="1">
        <v>0</v>
      </c>
      <c r="E69" s="11">
        <f t="shared" si="0"/>
        <v>1426457</v>
      </c>
      <c r="F69" t="s">
        <v>19</v>
      </c>
      <c r="G69" t="s">
        <v>189</v>
      </c>
    </row>
    <row r="70" spans="1:7">
      <c r="A70" s="5">
        <v>45847</v>
      </c>
      <c r="B70" s="80" t="s">
        <v>416</v>
      </c>
      <c r="C70" s="1">
        <v>750</v>
      </c>
      <c r="D70" s="1">
        <v>0</v>
      </c>
      <c r="E70" s="11">
        <f t="shared" ref="E70:E114" si="1">E69-C70+D70</f>
        <v>1425707</v>
      </c>
      <c r="F70" t="s">
        <v>19</v>
      </c>
      <c r="G70" t="s">
        <v>189</v>
      </c>
    </row>
    <row r="71" spans="1:7">
      <c r="A71" s="5">
        <v>45851</v>
      </c>
      <c r="B71" s="80" t="s">
        <v>416</v>
      </c>
      <c r="C71" s="1">
        <v>750</v>
      </c>
      <c r="D71" s="1">
        <v>0</v>
      </c>
      <c r="E71" s="11">
        <f t="shared" si="1"/>
        <v>1424957</v>
      </c>
      <c r="F71" t="s">
        <v>19</v>
      </c>
      <c r="G71" t="s">
        <v>189</v>
      </c>
    </row>
    <row r="72" spans="1:7">
      <c r="A72" s="5">
        <v>45855</v>
      </c>
      <c r="B72" s="80" t="s">
        <v>416</v>
      </c>
      <c r="C72" s="1">
        <v>750</v>
      </c>
      <c r="D72" s="1">
        <v>0</v>
      </c>
      <c r="E72" s="11">
        <f t="shared" si="1"/>
        <v>1424207</v>
      </c>
      <c r="F72" t="s">
        <v>19</v>
      </c>
      <c r="G72" t="s">
        <v>189</v>
      </c>
    </row>
    <row r="73" spans="1:7">
      <c r="A73" s="5">
        <v>45859</v>
      </c>
      <c r="B73" s="80" t="s">
        <v>416</v>
      </c>
      <c r="C73" s="1">
        <v>750</v>
      </c>
      <c r="D73" s="1">
        <v>0</v>
      </c>
      <c r="E73" s="11">
        <f t="shared" si="1"/>
        <v>1423457</v>
      </c>
      <c r="F73" t="s">
        <v>19</v>
      </c>
      <c r="G73" t="s">
        <v>189</v>
      </c>
    </row>
    <row r="74" spans="1:7">
      <c r="A74" s="5">
        <v>45863</v>
      </c>
      <c r="B74" s="80" t="s">
        <v>416</v>
      </c>
      <c r="C74" s="1">
        <v>750</v>
      </c>
      <c r="D74" s="1">
        <v>0</v>
      </c>
      <c r="E74" s="11">
        <f t="shared" si="1"/>
        <v>1422707</v>
      </c>
      <c r="F74" t="s">
        <v>19</v>
      </c>
      <c r="G74" t="s">
        <v>189</v>
      </c>
    </row>
    <row r="75" spans="1:7">
      <c r="A75" s="5">
        <v>45863</v>
      </c>
      <c r="B75" s="80" t="s">
        <v>454</v>
      </c>
      <c r="C75" s="1">
        <v>35000</v>
      </c>
      <c r="D75" s="1">
        <v>0</v>
      </c>
      <c r="E75" s="11">
        <f t="shared" si="1"/>
        <v>1387707</v>
      </c>
      <c r="F75" t="s">
        <v>19</v>
      </c>
      <c r="G75" t="s">
        <v>189</v>
      </c>
    </row>
    <row r="76" spans="1:7">
      <c r="A76" s="5">
        <v>45863</v>
      </c>
      <c r="B76" s="80" t="s">
        <v>342</v>
      </c>
      <c r="C76" s="1">
        <v>1500</v>
      </c>
      <c r="D76" s="1">
        <v>0</v>
      </c>
      <c r="E76" s="11">
        <f t="shared" si="1"/>
        <v>1386207</v>
      </c>
      <c r="F76" t="s">
        <v>19</v>
      </c>
      <c r="G76" t="s">
        <v>189</v>
      </c>
    </row>
    <row r="77" spans="1:7">
      <c r="A77" s="5">
        <v>45867</v>
      </c>
      <c r="B77" s="80" t="s">
        <v>416</v>
      </c>
      <c r="C77" s="1">
        <v>750</v>
      </c>
      <c r="D77" s="1">
        <v>0</v>
      </c>
      <c r="E77" s="11">
        <f t="shared" si="1"/>
        <v>1385457</v>
      </c>
      <c r="F77" t="s">
        <v>19</v>
      </c>
      <c r="G77" t="s">
        <v>189</v>
      </c>
    </row>
    <row r="78" spans="1:7">
      <c r="A78" s="5">
        <v>45870</v>
      </c>
      <c r="B78" s="80" t="s">
        <v>416</v>
      </c>
      <c r="C78" s="1">
        <v>750</v>
      </c>
      <c r="D78" s="1">
        <v>0</v>
      </c>
      <c r="E78" s="11">
        <f t="shared" si="1"/>
        <v>1384707</v>
      </c>
      <c r="F78" t="s">
        <v>19</v>
      </c>
      <c r="G78" t="s">
        <v>189</v>
      </c>
    </row>
    <row r="79" spans="1:7">
      <c r="A79" s="5">
        <v>45874</v>
      </c>
      <c r="B79" s="80" t="s">
        <v>416</v>
      </c>
      <c r="C79" s="1">
        <v>750</v>
      </c>
      <c r="D79" s="1">
        <v>0</v>
      </c>
      <c r="E79" s="11">
        <f t="shared" si="1"/>
        <v>1383957</v>
      </c>
      <c r="F79" t="s">
        <v>19</v>
      </c>
      <c r="G79" t="s">
        <v>189</v>
      </c>
    </row>
    <row r="80" spans="1:7">
      <c r="A80" s="5">
        <v>45878</v>
      </c>
      <c r="B80" s="80" t="s">
        <v>416</v>
      </c>
      <c r="C80" s="1">
        <v>750</v>
      </c>
      <c r="D80" s="1">
        <v>0</v>
      </c>
      <c r="E80" s="11">
        <f t="shared" si="1"/>
        <v>1383207</v>
      </c>
      <c r="F80" t="s">
        <v>19</v>
      </c>
      <c r="G80" t="s">
        <v>189</v>
      </c>
    </row>
    <row r="81" spans="1:7">
      <c r="A81" s="5">
        <v>45882</v>
      </c>
      <c r="B81" s="80" t="s">
        <v>416</v>
      </c>
      <c r="C81" s="1">
        <v>750</v>
      </c>
      <c r="D81" s="1">
        <v>0</v>
      </c>
      <c r="E81" s="11">
        <f t="shared" si="1"/>
        <v>1382457</v>
      </c>
      <c r="F81" t="s">
        <v>19</v>
      </c>
      <c r="G81" t="s">
        <v>189</v>
      </c>
    </row>
    <row r="82" spans="1:7">
      <c r="A82" s="5">
        <v>45886</v>
      </c>
      <c r="B82" s="80" t="s">
        <v>416</v>
      </c>
      <c r="C82" s="1">
        <v>750</v>
      </c>
      <c r="D82" s="1">
        <v>0</v>
      </c>
      <c r="E82" s="11">
        <f t="shared" si="1"/>
        <v>1381707</v>
      </c>
      <c r="F82" t="s">
        <v>19</v>
      </c>
      <c r="G82" t="s">
        <v>189</v>
      </c>
    </row>
    <row r="83" spans="1:7">
      <c r="A83" s="5">
        <v>45890</v>
      </c>
      <c r="B83" s="80" t="s">
        <v>416</v>
      </c>
      <c r="C83" s="1">
        <v>750</v>
      </c>
      <c r="D83" s="1">
        <v>0</v>
      </c>
      <c r="E83" s="11">
        <f t="shared" si="1"/>
        <v>1380957</v>
      </c>
      <c r="F83" t="s">
        <v>19</v>
      </c>
      <c r="G83" t="s">
        <v>189</v>
      </c>
    </row>
    <row r="84" spans="1:7">
      <c r="A84" s="5">
        <v>45894</v>
      </c>
      <c r="B84" s="80" t="s">
        <v>454</v>
      </c>
      <c r="C84" s="1">
        <v>35000</v>
      </c>
      <c r="D84" s="1">
        <v>0</v>
      </c>
      <c r="E84" s="11">
        <f t="shared" si="1"/>
        <v>1345957</v>
      </c>
      <c r="F84" t="s">
        <v>19</v>
      </c>
      <c r="G84" t="s">
        <v>189</v>
      </c>
    </row>
    <row r="85" spans="1:7">
      <c r="A85" s="5">
        <v>45894</v>
      </c>
      <c r="B85" s="80" t="s">
        <v>342</v>
      </c>
      <c r="C85" s="1">
        <v>1500</v>
      </c>
      <c r="D85" s="1">
        <v>0</v>
      </c>
      <c r="E85" s="11">
        <f t="shared" si="1"/>
        <v>1344457</v>
      </c>
      <c r="F85" t="s">
        <v>19</v>
      </c>
      <c r="G85" t="s">
        <v>189</v>
      </c>
    </row>
    <row r="86" spans="1:7">
      <c r="A86" s="5">
        <v>45901</v>
      </c>
      <c r="B86" s="80" t="s">
        <v>416</v>
      </c>
      <c r="C86" s="1">
        <v>750</v>
      </c>
      <c r="D86" s="1">
        <v>0</v>
      </c>
      <c r="E86" s="11">
        <f t="shared" si="1"/>
        <v>1343707</v>
      </c>
      <c r="F86" t="s">
        <v>19</v>
      </c>
      <c r="G86" t="s">
        <v>189</v>
      </c>
    </row>
    <row r="87" spans="1:7">
      <c r="A87" s="5">
        <v>45905</v>
      </c>
      <c r="B87" s="80" t="s">
        <v>416</v>
      </c>
      <c r="C87" s="1">
        <v>750</v>
      </c>
      <c r="D87" s="1">
        <v>0</v>
      </c>
      <c r="E87" s="11">
        <f t="shared" si="1"/>
        <v>1342957</v>
      </c>
      <c r="F87" t="s">
        <v>19</v>
      </c>
      <c r="G87" t="s">
        <v>189</v>
      </c>
    </row>
    <row r="88" spans="1:7">
      <c r="A88" s="5">
        <v>45909</v>
      </c>
      <c r="B88" s="80" t="s">
        <v>416</v>
      </c>
      <c r="C88" s="1">
        <v>750</v>
      </c>
      <c r="D88" s="1">
        <v>0</v>
      </c>
      <c r="E88" s="11">
        <f t="shared" si="1"/>
        <v>1342207</v>
      </c>
      <c r="F88" t="s">
        <v>19</v>
      </c>
      <c r="G88" t="s">
        <v>189</v>
      </c>
    </row>
    <row r="89" spans="1:7">
      <c r="A89" s="5">
        <v>45913</v>
      </c>
      <c r="B89" s="80" t="s">
        <v>416</v>
      </c>
      <c r="C89" s="1">
        <v>750</v>
      </c>
      <c r="D89" s="1">
        <v>0</v>
      </c>
      <c r="E89" s="11">
        <f t="shared" si="1"/>
        <v>1341457</v>
      </c>
      <c r="F89" t="s">
        <v>19</v>
      </c>
      <c r="G89" t="s">
        <v>189</v>
      </c>
    </row>
    <row r="90" spans="1:7">
      <c r="A90" s="5">
        <v>45917</v>
      </c>
      <c r="B90" s="80" t="s">
        <v>416</v>
      </c>
      <c r="C90" s="1">
        <v>750</v>
      </c>
      <c r="D90" s="1">
        <v>0</v>
      </c>
      <c r="E90" s="11">
        <f t="shared" si="1"/>
        <v>1340707</v>
      </c>
      <c r="F90" t="s">
        <v>19</v>
      </c>
      <c r="G90" t="s">
        <v>189</v>
      </c>
    </row>
    <row r="91" spans="1:7">
      <c r="A91" s="5">
        <v>45921</v>
      </c>
      <c r="B91" s="80" t="s">
        <v>416</v>
      </c>
      <c r="C91" s="1">
        <v>750</v>
      </c>
      <c r="D91" s="1">
        <v>0</v>
      </c>
      <c r="E91" s="11">
        <f t="shared" si="1"/>
        <v>1339957</v>
      </c>
      <c r="F91" t="s">
        <v>19</v>
      </c>
      <c r="G91" t="s">
        <v>189</v>
      </c>
    </row>
    <row r="92" spans="1:7">
      <c r="A92" s="5">
        <v>45925</v>
      </c>
      <c r="B92" s="80" t="s">
        <v>416</v>
      </c>
      <c r="C92" s="1">
        <v>750</v>
      </c>
      <c r="D92" s="1">
        <v>0</v>
      </c>
      <c r="E92" s="11">
        <f t="shared" si="1"/>
        <v>1339207</v>
      </c>
      <c r="F92" t="s">
        <v>19</v>
      </c>
      <c r="G92" t="s">
        <v>189</v>
      </c>
    </row>
    <row r="93" spans="1:7">
      <c r="A93" s="5">
        <v>45925</v>
      </c>
      <c r="B93" s="80" t="s">
        <v>454</v>
      </c>
      <c r="C93" s="1">
        <v>35000</v>
      </c>
      <c r="D93" s="1">
        <v>0</v>
      </c>
      <c r="E93" s="11">
        <f t="shared" si="1"/>
        <v>1304207</v>
      </c>
      <c r="F93" t="s">
        <v>19</v>
      </c>
      <c r="G93" t="s">
        <v>189</v>
      </c>
    </row>
    <row r="94" spans="1:7">
      <c r="A94" s="5">
        <v>45925</v>
      </c>
      <c r="B94" s="80" t="s">
        <v>342</v>
      </c>
      <c r="C94" s="1">
        <v>1500</v>
      </c>
      <c r="D94" s="1">
        <v>0</v>
      </c>
      <c r="E94" s="11">
        <f t="shared" si="1"/>
        <v>1302707</v>
      </c>
      <c r="F94" t="s">
        <v>19</v>
      </c>
      <c r="G94" t="s">
        <v>189</v>
      </c>
    </row>
    <row r="95" spans="1:7">
      <c r="A95" s="5">
        <v>45929</v>
      </c>
      <c r="B95" s="80" t="s">
        <v>416</v>
      </c>
      <c r="C95" s="1">
        <v>750</v>
      </c>
      <c r="D95" s="1">
        <v>0</v>
      </c>
      <c r="E95" s="11">
        <f t="shared" si="1"/>
        <v>1301957</v>
      </c>
      <c r="F95" t="s">
        <v>19</v>
      </c>
      <c r="G95" t="s">
        <v>189</v>
      </c>
    </row>
    <row r="96" spans="1:7">
      <c r="A96" s="5">
        <v>45935</v>
      </c>
      <c r="B96" s="80" t="s">
        <v>416</v>
      </c>
      <c r="C96" s="1">
        <v>750</v>
      </c>
      <c r="D96" s="1">
        <v>0</v>
      </c>
      <c r="E96" s="11">
        <f t="shared" si="1"/>
        <v>1301207</v>
      </c>
      <c r="F96" t="s">
        <v>19</v>
      </c>
      <c r="G96" t="s">
        <v>189</v>
      </c>
    </row>
    <row r="97" spans="1:7">
      <c r="A97" s="5">
        <v>45936</v>
      </c>
      <c r="B97" s="80" t="s">
        <v>4028</v>
      </c>
      <c r="C97" s="1">
        <v>1250000</v>
      </c>
      <c r="D97" s="1">
        <v>0</v>
      </c>
      <c r="E97" s="11">
        <f t="shared" si="1"/>
        <v>51207</v>
      </c>
      <c r="F97" t="s">
        <v>920</v>
      </c>
      <c r="G97" t="s">
        <v>496</v>
      </c>
    </row>
    <row r="98" spans="1:7">
      <c r="A98" s="5">
        <v>45936</v>
      </c>
      <c r="B98" s="80" t="s">
        <v>4028</v>
      </c>
      <c r="C98" s="1">
        <v>2500</v>
      </c>
      <c r="D98" s="1">
        <v>0</v>
      </c>
      <c r="E98" s="11">
        <f t="shared" si="1"/>
        <v>48707</v>
      </c>
      <c r="F98" s="80" t="s">
        <v>19</v>
      </c>
      <c r="G98" s="80" t="s">
        <v>189</v>
      </c>
    </row>
    <row r="99" spans="1:7">
      <c r="A99" s="5">
        <v>45939</v>
      </c>
      <c r="B99" s="80" t="s">
        <v>4027</v>
      </c>
      <c r="C99" s="1">
        <v>2250</v>
      </c>
      <c r="D99" s="1">
        <v>0</v>
      </c>
      <c r="E99" s="11">
        <f t="shared" si="1"/>
        <v>46457</v>
      </c>
      <c r="F99" s="80" t="s">
        <v>19</v>
      </c>
      <c r="G99" s="80" t="s">
        <v>189</v>
      </c>
    </row>
    <row r="100" spans="1:7">
      <c r="A100" s="5">
        <v>45943</v>
      </c>
      <c r="B100" s="80" t="s">
        <v>416</v>
      </c>
      <c r="C100" s="1">
        <v>750</v>
      </c>
      <c r="D100" s="1">
        <v>0</v>
      </c>
      <c r="E100" s="11">
        <f t="shared" si="1"/>
        <v>45707</v>
      </c>
      <c r="F100" s="80" t="s">
        <v>19</v>
      </c>
      <c r="G100" s="80" t="s">
        <v>189</v>
      </c>
    </row>
    <row r="101" spans="1:7">
      <c r="A101" s="5">
        <v>45947</v>
      </c>
      <c r="B101" s="80" t="s">
        <v>416</v>
      </c>
      <c r="C101" s="1">
        <v>750</v>
      </c>
      <c r="D101" s="1">
        <v>0</v>
      </c>
      <c r="E101" s="11">
        <f t="shared" si="1"/>
        <v>44957</v>
      </c>
      <c r="F101" s="80" t="s">
        <v>19</v>
      </c>
      <c r="G101" s="80" t="s">
        <v>189</v>
      </c>
    </row>
    <row r="102" spans="1:7">
      <c r="A102" s="5">
        <v>45951</v>
      </c>
      <c r="B102" s="80" t="s">
        <v>416</v>
      </c>
      <c r="C102" s="1">
        <v>750</v>
      </c>
      <c r="D102" s="1">
        <v>0</v>
      </c>
      <c r="E102" s="11">
        <f t="shared" si="1"/>
        <v>44207</v>
      </c>
      <c r="F102" s="80" t="s">
        <v>19</v>
      </c>
      <c r="G102" s="80" t="s">
        <v>189</v>
      </c>
    </row>
    <row r="103" spans="1:7">
      <c r="A103" s="113">
        <v>45955</v>
      </c>
      <c r="B103" s="80" t="s">
        <v>416</v>
      </c>
      <c r="C103" s="1">
        <v>750</v>
      </c>
      <c r="D103" s="1">
        <v>0</v>
      </c>
      <c r="E103" s="11">
        <f t="shared" si="1"/>
        <v>43457</v>
      </c>
      <c r="F103" s="80" t="s">
        <v>19</v>
      </c>
      <c r="G103" s="80" t="s">
        <v>189</v>
      </c>
    </row>
    <row r="104" spans="1:7">
      <c r="A104" s="113">
        <v>45955</v>
      </c>
      <c r="B104" s="80" t="s">
        <v>454</v>
      </c>
      <c r="C104" s="1">
        <v>35000</v>
      </c>
      <c r="D104" s="1">
        <v>0</v>
      </c>
      <c r="E104" s="11">
        <f t="shared" si="1"/>
        <v>8457</v>
      </c>
      <c r="F104" s="80" t="s">
        <v>19</v>
      </c>
      <c r="G104" s="80" t="s">
        <v>189</v>
      </c>
    </row>
    <row r="105" spans="1:7">
      <c r="A105" s="113">
        <v>45955</v>
      </c>
      <c r="B105" s="80" t="s">
        <v>342</v>
      </c>
      <c r="C105" s="1">
        <v>1500</v>
      </c>
      <c r="D105" s="1">
        <v>0</v>
      </c>
      <c r="E105" s="11">
        <f t="shared" si="1"/>
        <v>6957</v>
      </c>
      <c r="F105" s="80" t="s">
        <v>19</v>
      </c>
      <c r="G105" s="80" t="s">
        <v>189</v>
      </c>
    </row>
    <row r="106" spans="1:7">
      <c r="A106" s="5">
        <v>45959</v>
      </c>
      <c r="B106" s="80" t="s">
        <v>416</v>
      </c>
      <c r="C106" s="1">
        <v>750</v>
      </c>
      <c r="D106" s="1">
        <v>0</v>
      </c>
      <c r="E106" s="11">
        <f t="shared" si="1"/>
        <v>6207</v>
      </c>
      <c r="F106" s="80" t="s">
        <v>19</v>
      </c>
      <c r="G106" s="80" t="s">
        <v>189</v>
      </c>
    </row>
    <row r="107" spans="1:7">
      <c r="A107" s="5">
        <v>45966</v>
      </c>
      <c r="B107" s="80" t="s">
        <v>416</v>
      </c>
      <c r="C107" s="1">
        <v>750</v>
      </c>
      <c r="D107" s="1">
        <v>0</v>
      </c>
      <c r="E107" s="11">
        <f t="shared" si="1"/>
        <v>5457</v>
      </c>
      <c r="F107" s="80" t="s">
        <v>19</v>
      </c>
      <c r="G107" s="80" t="s">
        <v>189</v>
      </c>
    </row>
    <row r="108" spans="1:7">
      <c r="A108" s="5">
        <v>45970</v>
      </c>
      <c r="B108" s="80" t="s">
        <v>416</v>
      </c>
      <c r="C108" s="1">
        <v>750</v>
      </c>
      <c r="D108" s="1">
        <v>0</v>
      </c>
      <c r="E108" s="11">
        <f t="shared" si="1"/>
        <v>4707</v>
      </c>
      <c r="F108" s="80" t="s">
        <v>19</v>
      </c>
      <c r="G108" s="80" t="s">
        <v>189</v>
      </c>
    </row>
    <row r="109" spans="1:7">
      <c r="A109" s="5">
        <v>45974</v>
      </c>
      <c r="B109" s="80" t="s">
        <v>416</v>
      </c>
      <c r="C109" s="1">
        <v>750</v>
      </c>
      <c r="D109" s="1">
        <v>0</v>
      </c>
      <c r="E109" s="11">
        <f t="shared" si="1"/>
        <v>3957</v>
      </c>
      <c r="F109" s="80" t="s">
        <v>19</v>
      </c>
      <c r="G109" s="80" t="s">
        <v>189</v>
      </c>
    </row>
    <row r="110" spans="1:7">
      <c r="A110" s="5">
        <v>45978</v>
      </c>
      <c r="B110" s="80" t="s">
        <v>416</v>
      </c>
      <c r="C110" s="1">
        <v>750</v>
      </c>
      <c r="D110" s="1">
        <v>0</v>
      </c>
      <c r="E110" s="11">
        <f t="shared" si="1"/>
        <v>3207</v>
      </c>
      <c r="F110" s="80" t="s">
        <v>19</v>
      </c>
      <c r="G110" s="80" t="s">
        <v>189</v>
      </c>
    </row>
    <row r="111" spans="1:7">
      <c r="A111" s="5">
        <v>45982</v>
      </c>
      <c r="B111" s="80" t="s">
        <v>416</v>
      </c>
      <c r="C111" s="1">
        <v>750</v>
      </c>
      <c r="D111" s="1">
        <v>0</v>
      </c>
      <c r="E111" s="11">
        <f t="shared" si="1"/>
        <v>2457</v>
      </c>
      <c r="F111" s="80" t="s">
        <v>19</v>
      </c>
      <c r="G111" s="80" t="s">
        <v>189</v>
      </c>
    </row>
    <row r="112" spans="1:7">
      <c r="A112" s="5">
        <v>45986</v>
      </c>
      <c r="B112" s="80" t="s">
        <v>416</v>
      </c>
      <c r="C112" s="1">
        <v>750</v>
      </c>
      <c r="D112" s="1">
        <v>0</v>
      </c>
      <c r="E112" s="11">
        <f t="shared" si="1"/>
        <v>1707</v>
      </c>
      <c r="F112" s="80" t="s">
        <v>19</v>
      </c>
      <c r="G112" s="80" t="s">
        <v>189</v>
      </c>
    </row>
    <row r="113" spans="1:7">
      <c r="A113" s="5">
        <v>45986</v>
      </c>
      <c r="B113" s="80" t="s">
        <v>342</v>
      </c>
      <c r="C113" s="1">
        <v>1500</v>
      </c>
      <c r="D113" s="1">
        <v>0</v>
      </c>
      <c r="E113" s="11">
        <f t="shared" si="1"/>
        <v>207</v>
      </c>
      <c r="F113" s="80" t="s">
        <v>19</v>
      </c>
      <c r="G113" s="80" t="s">
        <v>189</v>
      </c>
    </row>
    <row r="114" spans="1:7">
      <c r="A114" s="5">
        <v>45986</v>
      </c>
      <c r="B114" s="80" t="s">
        <v>342</v>
      </c>
      <c r="C114" s="1">
        <v>207</v>
      </c>
      <c r="D114" s="1">
        <v>0</v>
      </c>
      <c r="E114" s="11">
        <f t="shared" si="1"/>
        <v>0</v>
      </c>
      <c r="F114" s="80" t="s">
        <v>19</v>
      </c>
      <c r="G114" s="80" t="s">
        <v>189</v>
      </c>
    </row>
    <row r="116" spans="1:7">
      <c r="C116" s="1">
        <f>SUBTOTAL(9,C5:C115)</f>
        <v>155718374</v>
      </c>
      <c r="D116" s="1">
        <f>SUBTOTAL(9,D5:D115)</f>
        <v>150226281</v>
      </c>
    </row>
    <row r="117" spans="1:7">
      <c r="D117" s="1">
        <f>D116-C116</f>
        <v>-5492093</v>
      </c>
    </row>
  </sheetData>
  <autoFilter ref="A4:I114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topLeftCell="A234" zoomScale="91" zoomScaleNormal="100" workbookViewId="0">
      <selection activeCell="D246" sqref="D246"/>
    </sheetView>
  </sheetViews>
  <sheetFormatPr defaultColWidth="11.5546875" defaultRowHeight="15"/>
  <cols>
    <col min="1" max="1" width="11.6640625" style="5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41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6" t="s">
        <v>15</v>
      </c>
      <c r="B1" s="9" t="s">
        <v>26</v>
      </c>
      <c r="C1" s="1" t="s">
        <v>26</v>
      </c>
      <c r="D1" s="1" t="s">
        <v>26</v>
      </c>
      <c r="E1" s="1" t="s">
        <v>26</v>
      </c>
      <c r="F1" s="52" t="s">
        <v>26</v>
      </c>
      <c r="G1" s="52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52" t="s">
        <v>26</v>
      </c>
    </row>
    <row r="4" spans="1:9" ht="15.75">
      <c r="A4" s="4" t="s">
        <v>3</v>
      </c>
      <c r="B4" s="3" t="s">
        <v>511</v>
      </c>
      <c r="C4" s="10"/>
      <c r="D4" s="10"/>
      <c r="E4" s="10">
        <v>0</v>
      </c>
    </row>
    <row r="5" spans="1:9" ht="15.75">
      <c r="A5" s="201">
        <v>45693</v>
      </c>
      <c r="B5" s="139" t="s">
        <v>1219</v>
      </c>
      <c r="C5" s="139">
        <v>0</v>
      </c>
      <c r="D5" s="139">
        <v>5550000</v>
      </c>
      <c r="E5" s="139">
        <f>E4-C5+D5</f>
        <v>5550000</v>
      </c>
      <c r="F5" s="15" t="s">
        <v>2140</v>
      </c>
      <c r="G5" t="s">
        <v>2141</v>
      </c>
      <c r="H5" s="154" t="s">
        <v>1352</v>
      </c>
      <c r="I5" s="37" t="s">
        <v>1471</v>
      </c>
    </row>
    <row r="6" spans="1:9" ht="15.75">
      <c r="A6" s="201">
        <v>45693</v>
      </c>
      <c r="B6" s="139" t="s">
        <v>1217</v>
      </c>
      <c r="C6" s="139">
        <v>12500</v>
      </c>
      <c r="D6" s="139">
        <v>0</v>
      </c>
      <c r="E6" s="139">
        <f t="shared" ref="E6:E69" si="0">E5-C6+D6</f>
        <v>5537500</v>
      </c>
      <c r="F6" s="15" t="s">
        <v>19</v>
      </c>
      <c r="G6" t="s">
        <v>189</v>
      </c>
    </row>
    <row r="7" spans="1:9" ht="15.75">
      <c r="A7" s="201">
        <v>45694</v>
      </c>
      <c r="B7" s="139" t="s">
        <v>1220</v>
      </c>
      <c r="C7" s="139">
        <v>0</v>
      </c>
      <c r="D7" s="139">
        <v>5772000</v>
      </c>
      <c r="E7" s="139">
        <f t="shared" si="0"/>
        <v>11309500</v>
      </c>
      <c r="F7" s="15" t="s">
        <v>2140</v>
      </c>
      <c r="G7" t="s">
        <v>2141</v>
      </c>
      <c r="H7" s="154" t="s">
        <v>1352</v>
      </c>
      <c r="I7" s="37" t="s">
        <v>1499</v>
      </c>
    </row>
    <row r="8" spans="1:9" ht="15.75">
      <c r="A8" s="201">
        <v>45698</v>
      </c>
      <c r="B8" s="139" t="s">
        <v>1221</v>
      </c>
      <c r="C8" s="139">
        <v>0</v>
      </c>
      <c r="D8" s="139">
        <v>6216000</v>
      </c>
      <c r="E8" s="139">
        <f t="shared" si="0"/>
        <v>17525500</v>
      </c>
      <c r="F8" s="15" t="s">
        <v>2140</v>
      </c>
      <c r="G8" t="s">
        <v>2141</v>
      </c>
      <c r="H8" s="154" t="s">
        <v>1352</v>
      </c>
      <c r="I8" s="37" t="s">
        <v>1472</v>
      </c>
    </row>
    <row r="9" spans="1:9" ht="15.75">
      <c r="A9" s="201">
        <v>45702</v>
      </c>
      <c r="B9" s="139" t="s">
        <v>1222</v>
      </c>
      <c r="C9" s="139">
        <v>0</v>
      </c>
      <c r="D9" s="139">
        <v>44144144</v>
      </c>
      <c r="E9" s="139">
        <f t="shared" si="0"/>
        <v>61669644</v>
      </c>
      <c r="F9" s="15" t="s">
        <v>2140</v>
      </c>
      <c r="G9" t="s">
        <v>2141</v>
      </c>
      <c r="H9" s="154" t="s">
        <v>1352</v>
      </c>
      <c r="I9" s="37" t="s">
        <v>1491</v>
      </c>
    </row>
    <row r="10" spans="1:9" ht="15.75">
      <c r="A10" s="201">
        <v>45705</v>
      </c>
      <c r="B10" s="139" t="s">
        <v>1223</v>
      </c>
      <c r="C10" s="139">
        <v>0</v>
      </c>
      <c r="D10" s="139">
        <v>220720720</v>
      </c>
      <c r="E10" s="139">
        <f t="shared" si="0"/>
        <v>282390364</v>
      </c>
      <c r="F10" s="15" t="s">
        <v>2140</v>
      </c>
      <c r="G10" t="s">
        <v>2141</v>
      </c>
      <c r="H10" s="154" t="s">
        <v>1352</v>
      </c>
      <c r="I10" s="37" t="s">
        <v>1483</v>
      </c>
    </row>
    <row r="11" spans="1:9" ht="15.75">
      <c r="A11" s="201">
        <v>45706</v>
      </c>
      <c r="B11" s="139" t="s">
        <v>1224</v>
      </c>
      <c r="C11" s="139">
        <v>0</v>
      </c>
      <c r="D11" s="139">
        <v>90090090</v>
      </c>
      <c r="E11" s="139">
        <f t="shared" si="0"/>
        <v>372480454</v>
      </c>
      <c r="F11" s="15" t="s">
        <v>2140</v>
      </c>
      <c r="G11" t="s">
        <v>2141</v>
      </c>
      <c r="H11" s="154" t="s">
        <v>1352</v>
      </c>
      <c r="I11" s="37" t="s">
        <v>1474</v>
      </c>
    </row>
    <row r="12" spans="1:9" ht="15.75">
      <c r="A12" s="201">
        <v>45707</v>
      </c>
      <c r="B12" s="139" t="s">
        <v>1225</v>
      </c>
      <c r="C12" s="139">
        <v>0</v>
      </c>
      <c r="D12" s="139">
        <v>49000000</v>
      </c>
      <c r="E12" s="139">
        <f t="shared" si="0"/>
        <v>421480454</v>
      </c>
      <c r="F12" s="15" t="s">
        <v>2140</v>
      </c>
      <c r="G12" t="s">
        <v>2141</v>
      </c>
      <c r="H12" s="154" t="s">
        <v>1352</v>
      </c>
      <c r="I12" s="37" t="s">
        <v>1490</v>
      </c>
    </row>
    <row r="13" spans="1:9" ht="15.75">
      <c r="A13" s="201">
        <v>45707</v>
      </c>
      <c r="B13" s="139" t="s">
        <v>1226</v>
      </c>
      <c r="C13" s="139">
        <v>0</v>
      </c>
      <c r="D13" s="139">
        <v>54500000</v>
      </c>
      <c r="E13" s="139">
        <f t="shared" si="0"/>
        <v>475980454</v>
      </c>
      <c r="F13" s="15" t="s">
        <v>2140</v>
      </c>
      <c r="G13" t="s">
        <v>2141</v>
      </c>
      <c r="H13" s="154" t="s">
        <v>1352</v>
      </c>
      <c r="I13" s="37" t="s">
        <v>1475</v>
      </c>
    </row>
    <row r="14" spans="1:9" ht="15.75">
      <c r="A14" s="201">
        <v>45708</v>
      </c>
      <c r="B14" s="139" t="s">
        <v>1227</v>
      </c>
      <c r="C14" s="139">
        <v>0</v>
      </c>
      <c r="D14" s="139">
        <v>5827500</v>
      </c>
      <c r="E14" s="139">
        <f t="shared" si="0"/>
        <v>481807954</v>
      </c>
      <c r="F14" s="15" t="s">
        <v>2140</v>
      </c>
      <c r="G14" t="s">
        <v>2141</v>
      </c>
      <c r="H14" s="154" t="s">
        <v>1352</v>
      </c>
      <c r="I14" s="37" t="s">
        <v>1500</v>
      </c>
    </row>
    <row r="15" spans="1:9" ht="15.75">
      <c r="A15" s="201">
        <v>45709</v>
      </c>
      <c r="B15" s="139" t="s">
        <v>1228</v>
      </c>
      <c r="C15" s="139">
        <v>0</v>
      </c>
      <c r="D15" s="139">
        <v>88288288</v>
      </c>
      <c r="E15" s="139">
        <f t="shared" si="0"/>
        <v>570096242</v>
      </c>
      <c r="F15" s="15" t="s">
        <v>2140</v>
      </c>
      <c r="G15" t="s">
        <v>2141</v>
      </c>
      <c r="H15" s="154" t="s">
        <v>1352</v>
      </c>
      <c r="I15" s="37" t="s">
        <v>1494</v>
      </c>
    </row>
    <row r="16" spans="1:9" ht="15.75">
      <c r="A16" s="201">
        <v>45709</v>
      </c>
      <c r="B16" s="139" t="s">
        <v>1229</v>
      </c>
      <c r="C16" s="139">
        <v>0</v>
      </c>
      <c r="D16" s="139">
        <v>6867000</v>
      </c>
      <c r="E16" s="139">
        <f t="shared" si="0"/>
        <v>576963242</v>
      </c>
      <c r="F16" s="15" t="s">
        <v>2140</v>
      </c>
      <c r="G16" t="s">
        <v>2141</v>
      </c>
      <c r="H16" s="154" t="s">
        <v>1352</v>
      </c>
      <c r="I16" s="37" t="s">
        <v>1498</v>
      </c>
    </row>
    <row r="17" spans="1:9" ht="15.75">
      <c r="A17" s="201">
        <v>45713</v>
      </c>
      <c r="B17" s="139" t="s">
        <v>1230</v>
      </c>
      <c r="C17" s="139">
        <v>0</v>
      </c>
      <c r="D17" s="139">
        <v>73500000</v>
      </c>
      <c r="E17" s="139">
        <f t="shared" si="0"/>
        <v>650463242</v>
      </c>
      <c r="F17" s="15" t="s">
        <v>2140</v>
      </c>
      <c r="G17" t="s">
        <v>2141</v>
      </c>
      <c r="H17" s="154" t="s">
        <v>1352</v>
      </c>
      <c r="I17" s="37" t="s">
        <v>1505</v>
      </c>
    </row>
    <row r="18" spans="1:9" ht="15.75">
      <c r="A18" s="201">
        <v>45715</v>
      </c>
      <c r="B18" s="139" t="s">
        <v>1231</v>
      </c>
      <c r="C18" s="139">
        <v>0</v>
      </c>
      <c r="D18" s="139">
        <v>14697100</v>
      </c>
      <c r="E18" s="139">
        <f t="shared" si="0"/>
        <v>665160342</v>
      </c>
      <c r="F18" s="15" t="s">
        <v>2140</v>
      </c>
      <c r="G18" t="s">
        <v>2141</v>
      </c>
      <c r="H18" s="154" t="s">
        <v>1352</v>
      </c>
      <c r="I18" s="37" t="s">
        <v>1497</v>
      </c>
    </row>
    <row r="19" spans="1:9" ht="15.75">
      <c r="A19" s="201">
        <v>45715</v>
      </c>
      <c r="B19" s="139" t="s">
        <v>1232</v>
      </c>
      <c r="C19" s="139">
        <v>0</v>
      </c>
      <c r="D19" s="139">
        <v>44144144.100000001</v>
      </c>
      <c r="E19" s="139">
        <f t="shared" si="0"/>
        <v>709304486.10000002</v>
      </c>
      <c r="F19" s="15" t="s">
        <v>2140</v>
      </c>
      <c r="G19" t="s">
        <v>2141</v>
      </c>
      <c r="H19" s="154" t="s">
        <v>1352</v>
      </c>
      <c r="I19" s="37" t="s">
        <v>1492</v>
      </c>
    </row>
    <row r="20" spans="1:9" ht="15.75">
      <c r="A20" s="201">
        <v>45716</v>
      </c>
      <c r="B20" s="139" t="s">
        <v>1233</v>
      </c>
      <c r="C20" s="139">
        <v>0</v>
      </c>
      <c r="D20" s="139">
        <v>44144145</v>
      </c>
      <c r="E20" s="139">
        <f t="shared" si="0"/>
        <v>753448631.10000002</v>
      </c>
      <c r="F20" s="15" t="s">
        <v>2140</v>
      </c>
      <c r="G20" t="s">
        <v>2141</v>
      </c>
      <c r="H20" s="154" t="s">
        <v>1352</v>
      </c>
      <c r="I20" s="37" t="s">
        <v>1489</v>
      </c>
    </row>
    <row r="21" spans="1:9" ht="15.75">
      <c r="A21" s="201">
        <v>45716</v>
      </c>
      <c r="B21" s="139" t="s">
        <v>1217</v>
      </c>
      <c r="C21" s="139">
        <v>12500</v>
      </c>
      <c r="D21" s="139">
        <v>0</v>
      </c>
      <c r="E21" s="139">
        <f t="shared" si="0"/>
        <v>753436131.10000002</v>
      </c>
      <c r="F21" s="15" t="s">
        <v>19</v>
      </c>
      <c r="G21" t="s">
        <v>189</v>
      </c>
    </row>
    <row r="22" spans="1:9" ht="15.75">
      <c r="A22" s="201">
        <v>45716</v>
      </c>
      <c r="B22" s="139" t="s">
        <v>1216</v>
      </c>
      <c r="C22" s="139">
        <v>0</v>
      </c>
      <c r="D22" s="139">
        <v>142032</v>
      </c>
      <c r="E22" s="139">
        <f t="shared" si="0"/>
        <v>753578163.10000002</v>
      </c>
      <c r="F22" s="15" t="s">
        <v>190</v>
      </c>
      <c r="G22" t="s">
        <v>79</v>
      </c>
    </row>
    <row r="23" spans="1:9" ht="15.75">
      <c r="A23" s="201">
        <v>45716</v>
      </c>
      <c r="B23" s="139" t="s">
        <v>1218</v>
      </c>
      <c r="C23" s="139">
        <v>28406.400000000001</v>
      </c>
      <c r="D23" s="139">
        <v>0</v>
      </c>
      <c r="E23" s="139">
        <f t="shared" si="0"/>
        <v>753549756.70000005</v>
      </c>
      <c r="F23" s="15" t="s">
        <v>190</v>
      </c>
      <c r="G23" t="s">
        <v>79</v>
      </c>
    </row>
    <row r="24" spans="1:9" ht="15.75">
      <c r="A24" s="201">
        <v>45719</v>
      </c>
      <c r="B24" s="139" t="s">
        <v>1234</v>
      </c>
      <c r="C24" s="139">
        <v>0</v>
      </c>
      <c r="D24" s="139">
        <v>220720721</v>
      </c>
      <c r="E24" s="139">
        <f t="shared" si="0"/>
        <v>974270477.70000005</v>
      </c>
      <c r="F24" s="15" t="s">
        <v>2140</v>
      </c>
      <c r="G24" t="s">
        <v>2141</v>
      </c>
      <c r="H24" s="154" t="s">
        <v>1352</v>
      </c>
      <c r="I24" s="37" t="s">
        <v>1487</v>
      </c>
    </row>
    <row r="25" spans="1:9" ht="15.75">
      <c r="A25" s="201">
        <v>45719</v>
      </c>
      <c r="B25" s="139" t="s">
        <v>1235</v>
      </c>
      <c r="C25" s="139">
        <v>0</v>
      </c>
      <c r="D25" s="139">
        <v>88288288</v>
      </c>
      <c r="E25" s="139">
        <f t="shared" si="0"/>
        <v>1062558765.7</v>
      </c>
      <c r="F25" s="15" t="s">
        <v>2140</v>
      </c>
      <c r="G25" t="s">
        <v>2141</v>
      </c>
      <c r="H25" s="154" t="s">
        <v>1352</v>
      </c>
      <c r="I25" s="37" t="s">
        <v>1477</v>
      </c>
    </row>
    <row r="26" spans="1:9" ht="15.75">
      <c r="A26" s="201">
        <v>45720</v>
      </c>
      <c r="B26" s="139" t="s">
        <v>1236</v>
      </c>
      <c r="C26" s="139">
        <v>0</v>
      </c>
      <c r="D26" s="139">
        <v>88288288</v>
      </c>
      <c r="E26" s="139">
        <f t="shared" si="0"/>
        <v>1150847053.7</v>
      </c>
      <c r="F26" s="15" t="s">
        <v>2140</v>
      </c>
      <c r="G26" t="s">
        <v>2141</v>
      </c>
      <c r="H26" s="154" t="s">
        <v>1352</v>
      </c>
      <c r="I26" s="37" t="s">
        <v>1484</v>
      </c>
    </row>
    <row r="27" spans="1:9" ht="15.75">
      <c r="A27" s="201">
        <v>45720</v>
      </c>
      <c r="B27" s="139" t="s">
        <v>1237</v>
      </c>
      <c r="C27" s="139">
        <v>0</v>
      </c>
      <c r="D27" s="139">
        <v>220720721</v>
      </c>
      <c r="E27" s="139">
        <f t="shared" si="0"/>
        <v>1371567774.7</v>
      </c>
      <c r="F27" s="15" t="s">
        <v>2140</v>
      </c>
      <c r="G27" t="s">
        <v>2141</v>
      </c>
      <c r="H27" s="154" t="s">
        <v>1352</v>
      </c>
      <c r="I27" s="37" t="s">
        <v>1479</v>
      </c>
    </row>
    <row r="28" spans="1:9" ht="15.75">
      <c r="A28" s="201">
        <v>45720</v>
      </c>
      <c r="B28" s="139" t="s">
        <v>1246</v>
      </c>
      <c r="C28" s="139">
        <v>250000000</v>
      </c>
      <c r="D28" s="139">
        <v>0</v>
      </c>
      <c r="E28" s="139">
        <f t="shared" si="0"/>
        <v>1121567774.7</v>
      </c>
      <c r="F28" s="15" t="s">
        <v>920</v>
      </c>
      <c r="G28" t="s">
        <v>4243</v>
      </c>
    </row>
    <row r="29" spans="1:9" ht="15.75">
      <c r="A29" s="201">
        <v>45720</v>
      </c>
      <c r="B29" s="139" t="s">
        <v>1238</v>
      </c>
      <c r="C29" s="139">
        <v>2500</v>
      </c>
      <c r="D29" s="139">
        <v>0</v>
      </c>
      <c r="E29" s="139">
        <f t="shared" si="0"/>
        <v>1121565274.7</v>
      </c>
      <c r="F29" s="15" t="s">
        <v>19</v>
      </c>
      <c r="G29" t="s">
        <v>189</v>
      </c>
    </row>
    <row r="30" spans="1:9" ht="15.75">
      <c r="A30" s="201">
        <v>45720</v>
      </c>
      <c r="B30" s="139" t="s">
        <v>1239</v>
      </c>
      <c r="C30" s="139">
        <v>1000000000</v>
      </c>
      <c r="D30" s="139">
        <v>0</v>
      </c>
      <c r="E30" s="139">
        <f t="shared" si="0"/>
        <v>121565274.70000005</v>
      </c>
      <c r="F30" s="15" t="s">
        <v>920</v>
      </c>
      <c r="G30" t="s">
        <v>4251</v>
      </c>
    </row>
    <row r="31" spans="1:9" ht="15.75">
      <c r="A31" s="201">
        <v>45720</v>
      </c>
      <c r="B31" s="139" t="s">
        <v>1215</v>
      </c>
      <c r="C31" s="139">
        <v>0</v>
      </c>
      <c r="D31" s="139">
        <v>662162163</v>
      </c>
      <c r="E31" s="139">
        <f t="shared" si="0"/>
        <v>783727437.70000005</v>
      </c>
      <c r="F31" s="15" t="s">
        <v>2140</v>
      </c>
      <c r="G31" t="s">
        <v>2141</v>
      </c>
      <c r="H31" s="154" t="s">
        <v>1352</v>
      </c>
      <c r="I31" s="37" t="s">
        <v>1471</v>
      </c>
    </row>
    <row r="32" spans="1:9" ht="15.75">
      <c r="A32" s="201">
        <v>45721</v>
      </c>
      <c r="B32" s="139" t="s">
        <v>1240</v>
      </c>
      <c r="C32" s="139">
        <v>0</v>
      </c>
      <c r="D32" s="139">
        <v>5550000</v>
      </c>
      <c r="E32" s="139">
        <f t="shared" si="0"/>
        <v>789277437.70000005</v>
      </c>
      <c r="F32" s="15" t="s">
        <v>2140</v>
      </c>
      <c r="G32" t="s">
        <v>2141</v>
      </c>
      <c r="H32" s="154" t="s">
        <v>1352</v>
      </c>
      <c r="I32" s="37" t="s">
        <v>1501</v>
      </c>
    </row>
    <row r="33" spans="1:9" ht="15.75">
      <c r="A33" s="201">
        <v>45721</v>
      </c>
      <c r="B33" s="139" t="s">
        <v>1241</v>
      </c>
      <c r="C33" s="139">
        <v>0</v>
      </c>
      <c r="D33" s="139">
        <v>73500000</v>
      </c>
      <c r="E33" s="139">
        <f t="shared" si="0"/>
        <v>862777437.70000005</v>
      </c>
      <c r="F33" s="15" t="s">
        <v>2140</v>
      </c>
      <c r="G33" t="s">
        <v>2141</v>
      </c>
      <c r="H33" s="154" t="s">
        <v>1352</v>
      </c>
      <c r="I33" s="37" t="s">
        <v>1464</v>
      </c>
    </row>
    <row r="34" spans="1:9" ht="15.75">
      <c r="A34" s="201">
        <v>45722</v>
      </c>
      <c r="B34" s="139" t="s">
        <v>1242</v>
      </c>
      <c r="C34" s="139">
        <v>0</v>
      </c>
      <c r="D34" s="139">
        <v>44144144</v>
      </c>
      <c r="E34" s="139">
        <f t="shared" si="0"/>
        <v>906921581.70000005</v>
      </c>
      <c r="F34" s="15" t="s">
        <v>2140</v>
      </c>
      <c r="G34" t="s">
        <v>2141</v>
      </c>
      <c r="H34" s="154" t="s">
        <v>1352</v>
      </c>
      <c r="I34" s="37" t="s">
        <v>1493</v>
      </c>
    </row>
    <row r="35" spans="1:9" ht="15.75">
      <c r="A35" s="201">
        <v>45723</v>
      </c>
      <c r="B35" s="139" t="s">
        <v>1243</v>
      </c>
      <c r="C35" s="139">
        <v>0</v>
      </c>
      <c r="D35" s="139">
        <v>66216217</v>
      </c>
      <c r="E35" s="139">
        <f t="shared" si="0"/>
        <v>973137798.70000005</v>
      </c>
      <c r="F35" s="15" t="s">
        <v>2140</v>
      </c>
      <c r="G35" t="s">
        <v>2141</v>
      </c>
      <c r="H35" s="154" t="s">
        <v>1352</v>
      </c>
      <c r="I35" s="37" t="s">
        <v>1507</v>
      </c>
    </row>
    <row r="36" spans="1:9" ht="15.75">
      <c r="A36" s="201">
        <v>45723</v>
      </c>
      <c r="B36" s="139" t="s">
        <v>1244</v>
      </c>
      <c r="C36" s="139">
        <v>0</v>
      </c>
      <c r="D36" s="139">
        <v>66216216</v>
      </c>
      <c r="E36" s="139">
        <f t="shared" si="0"/>
        <v>1039354014.7</v>
      </c>
      <c r="F36" s="15" t="s">
        <v>2140</v>
      </c>
      <c r="G36" t="s">
        <v>2141</v>
      </c>
      <c r="H36" s="154" t="s">
        <v>1352</v>
      </c>
      <c r="I36" s="37" t="s">
        <v>1506</v>
      </c>
    </row>
    <row r="37" spans="1:9" ht="15.75">
      <c r="A37" s="201">
        <v>45727</v>
      </c>
      <c r="B37" s="139" t="s">
        <v>1245</v>
      </c>
      <c r="C37" s="139">
        <v>0</v>
      </c>
      <c r="D37" s="139">
        <v>48999999</v>
      </c>
      <c r="E37" s="139">
        <f t="shared" si="0"/>
        <v>1088354013.7</v>
      </c>
      <c r="F37" s="15" t="s">
        <v>2140</v>
      </c>
      <c r="G37" t="s">
        <v>2141</v>
      </c>
      <c r="H37" s="154" t="s">
        <v>1352</v>
      </c>
      <c r="I37" s="37" t="s">
        <v>1503</v>
      </c>
    </row>
    <row r="38" spans="1:9" ht="15.75">
      <c r="A38" s="201">
        <v>45730</v>
      </c>
      <c r="B38" s="139" t="s">
        <v>1246</v>
      </c>
      <c r="C38" s="139">
        <v>250000000</v>
      </c>
      <c r="D38" s="139">
        <v>0</v>
      </c>
      <c r="E38" s="139">
        <f t="shared" si="0"/>
        <v>838354013.70000005</v>
      </c>
      <c r="F38" s="15" t="s">
        <v>920</v>
      </c>
      <c r="G38" t="s">
        <v>4243</v>
      </c>
    </row>
    <row r="39" spans="1:9" ht="15.75">
      <c r="A39" s="201">
        <v>45730</v>
      </c>
      <c r="B39" s="139" t="s">
        <v>1247</v>
      </c>
      <c r="C39" s="139">
        <v>2500</v>
      </c>
      <c r="D39" s="139">
        <v>0</v>
      </c>
      <c r="E39" s="139">
        <f t="shared" si="0"/>
        <v>838351513.70000005</v>
      </c>
      <c r="F39" s="15" t="s">
        <v>19</v>
      </c>
      <c r="G39" t="s">
        <v>189</v>
      </c>
    </row>
    <row r="40" spans="1:9" ht="15.75">
      <c r="A40" s="201">
        <v>45730</v>
      </c>
      <c r="B40" s="139" t="s">
        <v>1248</v>
      </c>
      <c r="C40" s="139">
        <v>500000000</v>
      </c>
      <c r="D40" s="139">
        <v>0</v>
      </c>
      <c r="E40" s="139">
        <f t="shared" si="0"/>
        <v>338351513.70000005</v>
      </c>
      <c r="F40" s="15" t="s">
        <v>920</v>
      </c>
      <c r="G40" t="s">
        <v>4251</v>
      </c>
    </row>
    <row r="41" spans="1:9" ht="15.75">
      <c r="A41" s="201">
        <v>45730</v>
      </c>
      <c r="B41" s="139" t="s">
        <v>1246</v>
      </c>
      <c r="C41" s="139">
        <v>250000000</v>
      </c>
      <c r="D41" s="139">
        <v>0</v>
      </c>
      <c r="E41" s="139">
        <f t="shared" si="0"/>
        <v>88351513.700000048</v>
      </c>
      <c r="F41" s="15" t="s">
        <v>920</v>
      </c>
      <c r="G41" t="s">
        <v>4243</v>
      </c>
    </row>
    <row r="42" spans="1:9" ht="15.75">
      <c r="A42" s="201">
        <v>45730</v>
      </c>
      <c r="B42" s="139" t="s">
        <v>1249</v>
      </c>
      <c r="C42" s="139">
        <v>2500</v>
      </c>
      <c r="D42" s="139">
        <v>0</v>
      </c>
      <c r="E42" s="139">
        <f t="shared" si="0"/>
        <v>88349013.700000048</v>
      </c>
      <c r="F42" s="15" t="s">
        <v>19</v>
      </c>
      <c r="G42" t="s">
        <v>189</v>
      </c>
    </row>
    <row r="43" spans="1:9" ht="15.75">
      <c r="A43" s="201">
        <v>45733</v>
      </c>
      <c r="B43" s="139" t="s">
        <v>1250</v>
      </c>
      <c r="C43" s="139">
        <v>0</v>
      </c>
      <c r="D43" s="139">
        <v>245000000</v>
      </c>
      <c r="E43" s="139">
        <f t="shared" si="0"/>
        <v>333349013.70000005</v>
      </c>
      <c r="F43" s="15" t="s">
        <v>2140</v>
      </c>
      <c r="G43" t="s">
        <v>2141</v>
      </c>
      <c r="H43" t="s">
        <v>1352</v>
      </c>
      <c r="I43" s="37" t="s">
        <v>1504</v>
      </c>
    </row>
    <row r="44" spans="1:9" ht="15.75">
      <c r="A44" s="201">
        <v>45734</v>
      </c>
      <c r="B44" s="139" t="s">
        <v>1251</v>
      </c>
      <c r="C44" s="139">
        <v>0</v>
      </c>
      <c r="D44" s="139">
        <v>220720721</v>
      </c>
      <c r="E44" s="139">
        <f t="shared" si="0"/>
        <v>554069734.70000005</v>
      </c>
      <c r="F44" s="15" t="s">
        <v>2140</v>
      </c>
      <c r="G44" t="s">
        <v>2141</v>
      </c>
      <c r="H44" s="154" t="s">
        <v>1352</v>
      </c>
      <c r="I44" s="37" t="s">
        <v>1496</v>
      </c>
    </row>
    <row r="45" spans="1:9" ht="15.75">
      <c r="A45" s="201">
        <v>45743</v>
      </c>
      <c r="B45" s="139" t="s">
        <v>1252</v>
      </c>
      <c r="C45" s="139">
        <v>500000000</v>
      </c>
      <c r="D45" s="139">
        <v>0</v>
      </c>
      <c r="E45" s="139">
        <f t="shared" si="0"/>
        <v>54069734.700000048</v>
      </c>
      <c r="F45" s="15" t="s">
        <v>920</v>
      </c>
      <c r="G45" t="s">
        <v>4251</v>
      </c>
    </row>
    <row r="46" spans="1:9" ht="15.75">
      <c r="A46" s="201">
        <v>45747</v>
      </c>
      <c r="B46" s="139" t="s">
        <v>1217</v>
      </c>
      <c r="C46" s="139">
        <v>12500</v>
      </c>
      <c r="D46" s="139">
        <v>0</v>
      </c>
      <c r="E46" s="139">
        <f t="shared" si="0"/>
        <v>54057234.700000048</v>
      </c>
      <c r="F46" s="15" t="s">
        <v>19</v>
      </c>
      <c r="G46" t="s">
        <v>189</v>
      </c>
    </row>
    <row r="47" spans="1:9" ht="15.75">
      <c r="A47" s="201">
        <v>45747</v>
      </c>
      <c r="B47" s="139" t="s">
        <v>1216</v>
      </c>
      <c r="C47" s="139">
        <v>0</v>
      </c>
      <c r="D47" s="139">
        <v>445041.07</v>
      </c>
      <c r="E47" s="139">
        <f t="shared" si="0"/>
        <v>54502275.770000048</v>
      </c>
      <c r="F47" s="15" t="s">
        <v>190</v>
      </c>
      <c r="G47" t="s">
        <v>79</v>
      </c>
    </row>
    <row r="48" spans="1:9" ht="15.75">
      <c r="A48" s="201">
        <v>45747</v>
      </c>
      <c r="B48" s="139" t="s">
        <v>1218</v>
      </c>
      <c r="C48" s="139">
        <v>89008.21</v>
      </c>
      <c r="D48" s="139">
        <v>0</v>
      </c>
      <c r="E48" s="139">
        <f t="shared" si="0"/>
        <v>54413267.560000047</v>
      </c>
      <c r="F48" s="15" t="s">
        <v>190</v>
      </c>
      <c r="G48" t="s">
        <v>79</v>
      </c>
    </row>
    <row r="49" spans="1:9" s="15" customFormat="1" ht="15.75">
      <c r="A49" s="201">
        <v>45756</v>
      </c>
      <c r="B49" s="202" t="s">
        <v>1253</v>
      </c>
      <c r="C49" s="139">
        <v>0</v>
      </c>
      <c r="D49" s="139">
        <v>73500000</v>
      </c>
      <c r="E49" s="139">
        <f t="shared" si="0"/>
        <v>127913267.56000005</v>
      </c>
      <c r="F49" s="15" t="s">
        <v>2140</v>
      </c>
      <c r="G49" t="s">
        <v>2141</v>
      </c>
      <c r="H49" s="154" t="s">
        <v>1352</v>
      </c>
      <c r="I49" s="37" t="s">
        <v>1467</v>
      </c>
    </row>
    <row r="50" spans="1:9" s="15" customFormat="1" ht="15.75">
      <c r="A50" s="201">
        <v>45777</v>
      </c>
      <c r="B50" s="202" t="s">
        <v>1254</v>
      </c>
      <c r="C50" s="139">
        <v>0</v>
      </c>
      <c r="D50" s="139">
        <v>66216217</v>
      </c>
      <c r="E50" s="139">
        <f t="shared" si="0"/>
        <v>194129484.56000006</v>
      </c>
      <c r="F50" s="15" t="s">
        <v>2140</v>
      </c>
      <c r="G50" t="s">
        <v>2141</v>
      </c>
      <c r="H50" s="154" t="s">
        <v>1352</v>
      </c>
      <c r="I50" s="37" t="s">
        <v>1481</v>
      </c>
    </row>
    <row r="51" spans="1:9" s="15" customFormat="1" ht="15.75">
      <c r="A51" s="201">
        <v>45777</v>
      </c>
      <c r="B51" s="139" t="s">
        <v>1217</v>
      </c>
      <c r="C51" s="139">
        <v>12500</v>
      </c>
      <c r="D51" s="139">
        <v>0</v>
      </c>
      <c r="E51" s="139">
        <f t="shared" si="0"/>
        <v>194116984.56000006</v>
      </c>
      <c r="F51" s="15" t="s">
        <v>19</v>
      </c>
      <c r="G51" t="s">
        <v>189</v>
      </c>
    </row>
    <row r="52" spans="1:9" s="15" customFormat="1" ht="15.75">
      <c r="A52" s="201">
        <v>45777</v>
      </c>
      <c r="B52" s="139" t="s">
        <v>1216</v>
      </c>
      <c r="C52" s="139">
        <v>0</v>
      </c>
      <c r="D52" s="139">
        <v>54503.040000000001</v>
      </c>
      <c r="E52" s="139">
        <f t="shared" si="0"/>
        <v>194171487.60000005</v>
      </c>
      <c r="F52" s="15" t="s">
        <v>190</v>
      </c>
      <c r="G52" t="s">
        <v>79</v>
      </c>
    </row>
    <row r="53" spans="1:9" s="15" customFormat="1" ht="15.75">
      <c r="A53" s="201">
        <v>45777</v>
      </c>
      <c r="B53" s="139" t="s">
        <v>1218</v>
      </c>
      <c r="C53" s="139">
        <v>10900.61</v>
      </c>
      <c r="D53" s="139">
        <v>0</v>
      </c>
      <c r="E53" s="139">
        <f t="shared" si="0"/>
        <v>194160586.99000004</v>
      </c>
      <c r="F53" s="15" t="s">
        <v>190</v>
      </c>
      <c r="G53" t="s">
        <v>79</v>
      </c>
    </row>
    <row r="54" spans="1:9" s="15" customFormat="1" ht="15.75">
      <c r="A54" s="201">
        <v>45783</v>
      </c>
      <c r="B54" s="139" t="s">
        <v>1347</v>
      </c>
      <c r="C54" s="139">
        <v>0</v>
      </c>
      <c r="D54" s="139">
        <v>5550000</v>
      </c>
      <c r="E54" s="139">
        <f t="shared" si="0"/>
        <v>199710586.99000004</v>
      </c>
      <c r="F54" s="15" t="s">
        <v>2140</v>
      </c>
      <c r="G54" t="s">
        <v>2141</v>
      </c>
      <c r="H54" s="154" t="s">
        <v>1352</v>
      </c>
      <c r="I54" s="37" t="s">
        <v>1502</v>
      </c>
    </row>
    <row r="55" spans="1:9" s="15" customFormat="1" ht="15.75">
      <c r="A55" s="201">
        <v>45785</v>
      </c>
      <c r="B55" s="139" t="s">
        <v>1348</v>
      </c>
      <c r="C55" s="139">
        <v>0</v>
      </c>
      <c r="D55" s="139">
        <v>22072073</v>
      </c>
      <c r="E55" s="139">
        <f t="shared" si="0"/>
        <v>221782659.99000004</v>
      </c>
      <c r="F55" s="15" t="s">
        <v>2140</v>
      </c>
      <c r="G55" t="s">
        <v>2141</v>
      </c>
      <c r="H55" s="154" t="s">
        <v>1352</v>
      </c>
      <c r="I55" s="37" t="s">
        <v>1495</v>
      </c>
    </row>
    <row r="56" spans="1:9" s="15" customFormat="1" ht="15.75">
      <c r="A56" s="201">
        <v>45786</v>
      </c>
      <c r="B56" s="139" t="s">
        <v>1349</v>
      </c>
      <c r="C56" s="139">
        <v>0</v>
      </c>
      <c r="D56" s="139">
        <v>29400000</v>
      </c>
      <c r="E56" s="139">
        <f t="shared" si="0"/>
        <v>251182659.99000004</v>
      </c>
      <c r="F56" s="15" t="s">
        <v>2140</v>
      </c>
      <c r="G56" t="s">
        <v>2141</v>
      </c>
      <c r="H56" s="154" t="s">
        <v>1352</v>
      </c>
      <c r="I56" s="37" t="s">
        <v>1486</v>
      </c>
    </row>
    <row r="57" spans="1:9" s="15" customFormat="1" ht="15.75">
      <c r="A57" s="201">
        <v>45791</v>
      </c>
      <c r="B57" s="139" t="s">
        <v>1350</v>
      </c>
      <c r="C57" s="139">
        <v>0</v>
      </c>
      <c r="D57" s="139">
        <v>612500000</v>
      </c>
      <c r="E57" s="139">
        <f t="shared" si="0"/>
        <v>863682659.99000001</v>
      </c>
      <c r="F57" s="15" t="s">
        <v>2140</v>
      </c>
      <c r="G57" t="s">
        <v>2141</v>
      </c>
      <c r="H57" s="154" t="s">
        <v>1352</v>
      </c>
      <c r="I57" s="37" t="s">
        <v>1482</v>
      </c>
    </row>
    <row r="58" spans="1:9" s="15" customFormat="1" ht="15.75">
      <c r="A58" s="201">
        <v>45808</v>
      </c>
      <c r="B58" s="139" t="s">
        <v>1217</v>
      </c>
      <c r="C58" s="139">
        <v>12500</v>
      </c>
      <c r="D58" s="139">
        <v>0</v>
      </c>
      <c r="E58" s="139">
        <f t="shared" si="0"/>
        <v>863670159.99000001</v>
      </c>
      <c r="F58" s="15" t="s">
        <v>19</v>
      </c>
      <c r="G58" t="s">
        <v>189</v>
      </c>
    </row>
    <row r="59" spans="1:9" s="15" customFormat="1" ht="15.75">
      <c r="A59" s="201">
        <v>45808</v>
      </c>
      <c r="B59" s="139" t="s">
        <v>1216</v>
      </c>
      <c r="C59" s="139">
        <v>0</v>
      </c>
      <c r="D59" s="139">
        <v>387555.41</v>
      </c>
      <c r="E59" s="139">
        <f t="shared" si="0"/>
        <v>864057715.39999998</v>
      </c>
      <c r="F59" s="15" t="s">
        <v>190</v>
      </c>
      <c r="G59" t="s">
        <v>79</v>
      </c>
    </row>
    <row r="60" spans="1:9" s="15" customFormat="1" ht="15.75">
      <c r="A60" s="201">
        <v>45808</v>
      </c>
      <c r="B60" s="139" t="s">
        <v>1218</v>
      </c>
      <c r="C60" s="139">
        <v>77511.08</v>
      </c>
      <c r="D60" s="139">
        <v>0</v>
      </c>
      <c r="E60" s="139">
        <f t="shared" si="0"/>
        <v>863980204.31999993</v>
      </c>
      <c r="F60" s="15" t="s">
        <v>190</v>
      </c>
      <c r="G60" t="s">
        <v>79</v>
      </c>
    </row>
    <row r="61" spans="1:9" s="15" customFormat="1" ht="15.75">
      <c r="A61" s="201">
        <v>45824</v>
      </c>
      <c r="B61" s="139" t="s">
        <v>2369</v>
      </c>
      <c r="C61" s="139">
        <v>0</v>
      </c>
      <c r="D61" s="139">
        <v>30900900</v>
      </c>
      <c r="E61" s="139">
        <f t="shared" si="0"/>
        <v>894881104.31999993</v>
      </c>
      <c r="F61" s="15" t="s">
        <v>2140</v>
      </c>
      <c r="G61" t="s">
        <v>2141</v>
      </c>
      <c r="H61" s="154" t="s">
        <v>1352</v>
      </c>
      <c r="I61" s="37" t="s">
        <v>2204</v>
      </c>
    </row>
    <row r="62" spans="1:9" s="15" customFormat="1" ht="15.75">
      <c r="A62" s="201">
        <v>45838</v>
      </c>
      <c r="B62" s="139" t="s">
        <v>1217</v>
      </c>
      <c r="C62" s="139">
        <v>12500</v>
      </c>
      <c r="D62" s="139">
        <v>0</v>
      </c>
      <c r="E62" s="139">
        <f t="shared" si="0"/>
        <v>894868604.31999993</v>
      </c>
      <c r="F62" s="15" t="s">
        <v>19</v>
      </c>
      <c r="G62" t="s">
        <v>189</v>
      </c>
    </row>
    <row r="63" spans="1:9" s="15" customFormat="1" ht="15.75">
      <c r="A63" s="201">
        <v>45838</v>
      </c>
      <c r="B63" s="139" t="s">
        <v>1216</v>
      </c>
      <c r="C63" s="139">
        <v>0</v>
      </c>
      <c r="D63" s="139">
        <v>578255.5</v>
      </c>
      <c r="E63" s="139">
        <f t="shared" si="0"/>
        <v>895446859.81999993</v>
      </c>
      <c r="F63" s="15" t="s">
        <v>190</v>
      </c>
      <c r="G63" t="s">
        <v>79</v>
      </c>
    </row>
    <row r="64" spans="1:9" s="15" customFormat="1" ht="15.75">
      <c r="A64" s="201">
        <v>45838</v>
      </c>
      <c r="B64" s="139" t="s">
        <v>1218</v>
      </c>
      <c r="C64" s="139">
        <v>115651.1</v>
      </c>
      <c r="D64" s="139">
        <v>0</v>
      </c>
      <c r="E64" s="139">
        <f t="shared" si="0"/>
        <v>895331208.71999991</v>
      </c>
      <c r="F64" s="15" t="s">
        <v>190</v>
      </c>
      <c r="G64" t="s">
        <v>79</v>
      </c>
    </row>
    <row r="65" spans="1:8" s="15" customFormat="1" ht="15.75">
      <c r="A65" s="201">
        <v>45842</v>
      </c>
      <c r="B65" s="139" t="s">
        <v>1239</v>
      </c>
      <c r="C65" s="139">
        <v>800000000</v>
      </c>
      <c r="D65" s="139">
        <v>0</v>
      </c>
      <c r="E65" s="139">
        <f t="shared" si="0"/>
        <v>95331208.719999909</v>
      </c>
      <c r="F65" s="15" t="s">
        <v>920</v>
      </c>
      <c r="G65" t="s">
        <v>4251</v>
      </c>
    </row>
    <row r="66" spans="1:8" s="15" customFormat="1" ht="15.75">
      <c r="A66" s="201">
        <v>45855</v>
      </c>
      <c r="B66" s="139" t="s">
        <v>2973</v>
      </c>
      <c r="C66" s="139">
        <v>17990922</v>
      </c>
      <c r="D66" s="139">
        <v>0</v>
      </c>
      <c r="E66" s="139">
        <f t="shared" si="0"/>
        <v>77340286.719999909</v>
      </c>
      <c r="F66" s="15" t="s">
        <v>920</v>
      </c>
      <c r="G66" t="s">
        <v>4254</v>
      </c>
    </row>
    <row r="67" spans="1:8" s="15" customFormat="1" ht="15.75">
      <c r="A67" s="201">
        <v>45857</v>
      </c>
      <c r="B67" s="139" t="s">
        <v>2974</v>
      </c>
      <c r="C67" s="139">
        <v>10000000</v>
      </c>
      <c r="D67" s="139">
        <v>0</v>
      </c>
      <c r="E67" s="139">
        <f t="shared" si="0"/>
        <v>67340286.719999909</v>
      </c>
      <c r="F67" t="s">
        <v>1212</v>
      </c>
      <c r="G67" t="s">
        <v>367</v>
      </c>
      <c r="H67" t="s">
        <v>3020</v>
      </c>
    </row>
    <row r="68" spans="1:8" s="15" customFormat="1" ht="15.75">
      <c r="A68" s="201">
        <v>45860</v>
      </c>
      <c r="B68" s="139" t="s">
        <v>2972</v>
      </c>
      <c r="C68" s="139">
        <v>0</v>
      </c>
      <c r="D68" s="139">
        <v>100000000</v>
      </c>
      <c r="E68" s="139">
        <f t="shared" si="0"/>
        <v>167340286.71999991</v>
      </c>
      <c r="F68" s="15" t="s">
        <v>1400</v>
      </c>
      <c r="G68" s="15" t="s">
        <v>1400</v>
      </c>
    </row>
    <row r="69" spans="1:8" s="15" customFormat="1" ht="15.75">
      <c r="A69" s="201">
        <v>45860</v>
      </c>
      <c r="B69" s="139" t="s">
        <v>2975</v>
      </c>
      <c r="C69" s="139">
        <v>0</v>
      </c>
      <c r="D69" s="139">
        <v>100000000</v>
      </c>
      <c r="E69" s="139">
        <f t="shared" si="0"/>
        <v>267340286.71999991</v>
      </c>
      <c r="F69" s="15" t="s">
        <v>1400</v>
      </c>
      <c r="G69" s="15" t="s">
        <v>1400</v>
      </c>
    </row>
    <row r="70" spans="1:8" s="15" customFormat="1" ht="15.75">
      <c r="A70" s="201">
        <v>45860</v>
      </c>
      <c r="B70" s="139" t="s">
        <v>2976</v>
      </c>
      <c r="C70" s="139">
        <v>0</v>
      </c>
      <c r="D70" s="139">
        <v>100000000</v>
      </c>
      <c r="E70" s="139">
        <f t="shared" ref="E70:E133" si="1">E69-C70+D70</f>
        <v>367340286.71999991</v>
      </c>
      <c r="F70" s="15" t="s">
        <v>1400</v>
      </c>
      <c r="G70" s="15" t="s">
        <v>1400</v>
      </c>
    </row>
    <row r="71" spans="1:8" s="15" customFormat="1" ht="15.75">
      <c r="A71" s="201">
        <v>45860</v>
      </c>
      <c r="B71" s="139" t="s">
        <v>2977</v>
      </c>
      <c r="C71" s="139">
        <v>0</v>
      </c>
      <c r="D71" s="139">
        <v>100000000</v>
      </c>
      <c r="E71" s="139">
        <f t="shared" si="1"/>
        <v>467340286.71999991</v>
      </c>
      <c r="F71" s="15" t="s">
        <v>1400</v>
      </c>
      <c r="G71" s="15" t="s">
        <v>1400</v>
      </c>
    </row>
    <row r="72" spans="1:8" s="15" customFormat="1" ht="15.75">
      <c r="A72" s="201">
        <v>45860</v>
      </c>
      <c r="B72" s="139" t="s">
        <v>2978</v>
      </c>
      <c r="C72" s="139">
        <v>0</v>
      </c>
      <c r="D72" s="139">
        <v>100000000</v>
      </c>
      <c r="E72" s="139">
        <f t="shared" si="1"/>
        <v>567340286.71999991</v>
      </c>
      <c r="F72" s="15" t="s">
        <v>1400</v>
      </c>
      <c r="G72" s="15" t="s">
        <v>1400</v>
      </c>
    </row>
    <row r="73" spans="1:8" s="15" customFormat="1" ht="15.75">
      <c r="A73" s="201">
        <v>45860</v>
      </c>
      <c r="B73" s="139" t="s">
        <v>2979</v>
      </c>
      <c r="C73" s="139">
        <v>0</v>
      </c>
      <c r="D73" s="139">
        <v>100000000</v>
      </c>
      <c r="E73" s="139">
        <f t="shared" si="1"/>
        <v>667340286.71999991</v>
      </c>
      <c r="F73" s="15" t="s">
        <v>1400</v>
      </c>
      <c r="G73" s="15" t="s">
        <v>1400</v>
      </c>
    </row>
    <row r="74" spans="1:8" s="15" customFormat="1" ht="15.75">
      <c r="A74" s="201">
        <v>45860</v>
      </c>
      <c r="B74" s="139" t="s">
        <v>2980</v>
      </c>
      <c r="C74" s="139">
        <v>0</v>
      </c>
      <c r="D74" s="139">
        <v>100000000</v>
      </c>
      <c r="E74" s="139">
        <f t="shared" si="1"/>
        <v>767340286.71999991</v>
      </c>
      <c r="F74" s="15" t="s">
        <v>1400</v>
      </c>
      <c r="G74" s="15" t="s">
        <v>1400</v>
      </c>
    </row>
    <row r="75" spans="1:8" s="15" customFormat="1" ht="15.75">
      <c r="A75" s="201">
        <v>45860</v>
      </c>
      <c r="B75" s="139" t="s">
        <v>2981</v>
      </c>
      <c r="C75" s="139">
        <v>0</v>
      </c>
      <c r="D75" s="139">
        <v>100000000</v>
      </c>
      <c r="E75" s="139">
        <f t="shared" si="1"/>
        <v>867340286.71999991</v>
      </c>
      <c r="F75" s="15" t="s">
        <v>1400</v>
      </c>
      <c r="G75" s="15" t="s">
        <v>1400</v>
      </c>
    </row>
    <row r="76" spans="1:8" s="15" customFormat="1" ht="15.75">
      <c r="A76" s="201">
        <v>45860</v>
      </c>
      <c r="B76" s="139" t="s">
        <v>2982</v>
      </c>
      <c r="C76" s="139">
        <v>0</v>
      </c>
      <c r="D76" s="139">
        <v>100000000</v>
      </c>
      <c r="E76" s="139">
        <f t="shared" si="1"/>
        <v>967340286.71999991</v>
      </c>
      <c r="F76" s="15" t="s">
        <v>1400</v>
      </c>
      <c r="G76" s="15" t="s">
        <v>1400</v>
      </c>
    </row>
    <row r="77" spans="1:8" s="15" customFormat="1" ht="15.75">
      <c r="A77" s="201">
        <v>45860</v>
      </c>
      <c r="B77" s="139" t="s">
        <v>2983</v>
      </c>
      <c r="C77" s="139">
        <v>0</v>
      </c>
      <c r="D77" s="139">
        <v>100000000</v>
      </c>
      <c r="E77" s="139">
        <f t="shared" si="1"/>
        <v>1067340286.7199999</v>
      </c>
      <c r="F77" s="15" t="s">
        <v>1400</v>
      </c>
      <c r="G77" s="15" t="s">
        <v>1400</v>
      </c>
    </row>
    <row r="78" spans="1:8" s="15" customFormat="1" ht="15.75">
      <c r="A78" s="201">
        <v>45861</v>
      </c>
      <c r="B78" s="139" t="s">
        <v>2984</v>
      </c>
      <c r="C78" s="139">
        <v>147046150</v>
      </c>
      <c r="D78" s="139">
        <v>0</v>
      </c>
      <c r="E78" s="139">
        <f t="shared" si="1"/>
        <v>920294136.71999991</v>
      </c>
      <c r="F78" s="15" t="s">
        <v>4</v>
      </c>
      <c r="G78" t="s">
        <v>5</v>
      </c>
      <c r="H78" s="40" t="s">
        <v>2320</v>
      </c>
    </row>
    <row r="79" spans="1:8" s="15" customFormat="1" ht="15.75">
      <c r="A79" s="201">
        <v>45861</v>
      </c>
      <c r="B79" s="139" t="s">
        <v>2985</v>
      </c>
      <c r="C79" s="139">
        <v>2500</v>
      </c>
      <c r="D79" s="139">
        <v>0</v>
      </c>
      <c r="E79" s="139">
        <f t="shared" si="1"/>
        <v>920291636.71999991</v>
      </c>
      <c r="F79" s="15" t="s">
        <v>19</v>
      </c>
      <c r="G79" t="s">
        <v>189</v>
      </c>
    </row>
    <row r="80" spans="1:8" s="15" customFormat="1" ht="15.75">
      <c r="A80" s="201">
        <v>45863</v>
      </c>
      <c r="B80" s="139" t="s">
        <v>1246</v>
      </c>
      <c r="C80" s="139">
        <v>250000000</v>
      </c>
      <c r="D80" s="139">
        <v>0</v>
      </c>
      <c r="E80" s="139">
        <f t="shared" si="1"/>
        <v>670291636.71999991</v>
      </c>
      <c r="F80" s="15" t="s">
        <v>920</v>
      </c>
      <c r="G80" t="s">
        <v>4243</v>
      </c>
    </row>
    <row r="81" spans="1:7" s="15" customFormat="1" ht="15.75">
      <c r="A81" s="201">
        <v>45863</v>
      </c>
      <c r="B81" s="139" t="s">
        <v>2986</v>
      </c>
      <c r="C81" s="139">
        <v>2500</v>
      </c>
      <c r="D81" s="139">
        <v>0</v>
      </c>
      <c r="E81" s="139">
        <f t="shared" si="1"/>
        <v>670289136.71999991</v>
      </c>
      <c r="F81" s="15" t="s">
        <v>19</v>
      </c>
      <c r="G81" t="s">
        <v>189</v>
      </c>
    </row>
    <row r="82" spans="1:7" s="15" customFormat="1" ht="15.75">
      <c r="A82" s="201">
        <v>45863</v>
      </c>
      <c r="B82" s="139" t="s">
        <v>1246</v>
      </c>
      <c r="C82" s="139">
        <v>250000000</v>
      </c>
      <c r="D82" s="139">
        <v>0</v>
      </c>
      <c r="E82" s="139">
        <f t="shared" si="1"/>
        <v>420289136.71999991</v>
      </c>
      <c r="F82" s="15" t="s">
        <v>920</v>
      </c>
      <c r="G82" t="s">
        <v>4243</v>
      </c>
    </row>
    <row r="83" spans="1:7" s="15" customFormat="1" ht="15.75">
      <c r="A83" s="201">
        <v>45863</v>
      </c>
      <c r="B83" s="139" t="s">
        <v>2987</v>
      </c>
      <c r="C83" s="139">
        <v>2500</v>
      </c>
      <c r="D83" s="139">
        <v>0</v>
      </c>
      <c r="E83" s="139">
        <f t="shared" si="1"/>
        <v>420286636.71999991</v>
      </c>
      <c r="F83" s="15" t="s">
        <v>19</v>
      </c>
      <c r="G83" t="s">
        <v>189</v>
      </c>
    </row>
    <row r="84" spans="1:7" s="15" customFormat="1" ht="15.75">
      <c r="A84" s="201">
        <v>45863</v>
      </c>
      <c r="B84" s="139" t="s">
        <v>1246</v>
      </c>
      <c r="C84" s="139">
        <v>150000000</v>
      </c>
      <c r="D84" s="139">
        <v>0</v>
      </c>
      <c r="E84" s="139">
        <f t="shared" si="1"/>
        <v>270286636.71999991</v>
      </c>
      <c r="F84" s="15" t="s">
        <v>920</v>
      </c>
      <c r="G84" t="s">
        <v>4243</v>
      </c>
    </row>
    <row r="85" spans="1:7" s="15" customFormat="1" ht="15.75">
      <c r="A85" s="201">
        <v>45863</v>
      </c>
      <c r="B85" s="139" t="s">
        <v>2988</v>
      </c>
      <c r="C85" s="139">
        <v>2500</v>
      </c>
      <c r="D85" s="139">
        <v>0</v>
      </c>
      <c r="E85" s="139">
        <f t="shared" si="1"/>
        <v>270284136.71999991</v>
      </c>
      <c r="F85" s="15" t="s">
        <v>19</v>
      </c>
      <c r="G85" t="s">
        <v>189</v>
      </c>
    </row>
    <row r="86" spans="1:7" s="15" customFormat="1" ht="15.75">
      <c r="A86" s="201">
        <v>45863</v>
      </c>
      <c r="B86" s="139" t="s">
        <v>1246</v>
      </c>
      <c r="C86" s="139">
        <v>250000000</v>
      </c>
      <c r="D86" s="139">
        <v>0</v>
      </c>
      <c r="E86" s="139">
        <f t="shared" si="1"/>
        <v>20284136.719999909</v>
      </c>
      <c r="F86" s="15" t="s">
        <v>920</v>
      </c>
      <c r="G86" t="s">
        <v>4243</v>
      </c>
    </row>
    <row r="87" spans="1:7" s="15" customFormat="1" ht="15.75">
      <c r="A87" s="201">
        <v>45863</v>
      </c>
      <c r="B87" s="139" t="s">
        <v>2989</v>
      </c>
      <c r="C87" s="139">
        <v>2500</v>
      </c>
      <c r="D87" s="139">
        <v>0</v>
      </c>
      <c r="E87" s="139">
        <f t="shared" si="1"/>
        <v>20281636.719999909</v>
      </c>
      <c r="F87" s="15" t="s">
        <v>19</v>
      </c>
      <c r="G87" t="s">
        <v>189</v>
      </c>
    </row>
    <row r="88" spans="1:7" s="15" customFormat="1" ht="15.75">
      <c r="A88" s="201">
        <v>45863</v>
      </c>
      <c r="B88" s="139" t="s">
        <v>2990</v>
      </c>
      <c r="C88" s="139">
        <v>0</v>
      </c>
      <c r="D88" s="139">
        <v>100000000</v>
      </c>
      <c r="E88" s="139">
        <f t="shared" si="1"/>
        <v>120281636.71999991</v>
      </c>
      <c r="F88" s="15" t="s">
        <v>1400</v>
      </c>
      <c r="G88" s="15" t="s">
        <v>1400</v>
      </c>
    </row>
    <row r="89" spans="1:7" s="15" customFormat="1" ht="15.75">
      <c r="A89" s="201">
        <v>45863</v>
      </c>
      <c r="B89" s="139" t="s">
        <v>2991</v>
      </c>
      <c r="C89" s="139">
        <v>0</v>
      </c>
      <c r="D89" s="139">
        <v>100000000</v>
      </c>
      <c r="E89" s="139">
        <f t="shared" si="1"/>
        <v>220281636.71999991</v>
      </c>
      <c r="F89" s="15" t="s">
        <v>1400</v>
      </c>
      <c r="G89" s="15" t="s">
        <v>1400</v>
      </c>
    </row>
    <row r="90" spans="1:7" s="15" customFormat="1" ht="15.75">
      <c r="A90" s="201">
        <v>45863</v>
      </c>
      <c r="B90" s="139" t="s">
        <v>2992</v>
      </c>
      <c r="C90" s="139">
        <v>0</v>
      </c>
      <c r="D90" s="139">
        <v>100000000</v>
      </c>
      <c r="E90" s="139">
        <f t="shared" si="1"/>
        <v>320281636.71999991</v>
      </c>
      <c r="F90" s="15" t="s">
        <v>1400</v>
      </c>
      <c r="G90" s="15" t="s">
        <v>1400</v>
      </c>
    </row>
    <row r="91" spans="1:7" s="15" customFormat="1" ht="15.75">
      <c r="A91" s="201">
        <v>45863</v>
      </c>
      <c r="B91" s="139" t="s">
        <v>2993</v>
      </c>
      <c r="C91" s="139">
        <v>0</v>
      </c>
      <c r="D91" s="139">
        <v>100000000</v>
      </c>
      <c r="E91" s="139">
        <f t="shared" si="1"/>
        <v>420281636.71999991</v>
      </c>
      <c r="F91" s="15" t="s">
        <v>1400</v>
      </c>
      <c r="G91" s="15" t="s">
        <v>1400</v>
      </c>
    </row>
    <row r="92" spans="1:7" s="15" customFormat="1" ht="15.75">
      <c r="A92" s="201">
        <v>45863</v>
      </c>
      <c r="B92" s="139" t="s">
        <v>2994</v>
      </c>
      <c r="C92" s="139">
        <v>0</v>
      </c>
      <c r="D92" s="139">
        <v>100000000</v>
      </c>
      <c r="E92" s="139">
        <f t="shared" si="1"/>
        <v>520281636.71999991</v>
      </c>
      <c r="F92" s="15" t="s">
        <v>1400</v>
      </c>
      <c r="G92" s="15" t="s">
        <v>1400</v>
      </c>
    </row>
    <row r="93" spans="1:7" s="15" customFormat="1" ht="15.75">
      <c r="A93" s="201">
        <v>45863</v>
      </c>
      <c r="B93" s="139" t="s">
        <v>2995</v>
      </c>
      <c r="C93" s="139">
        <v>0</v>
      </c>
      <c r="D93" s="139">
        <v>100000000</v>
      </c>
      <c r="E93" s="139">
        <f t="shared" si="1"/>
        <v>620281636.71999991</v>
      </c>
      <c r="F93" s="15" t="s">
        <v>1400</v>
      </c>
      <c r="G93" s="15" t="s">
        <v>1400</v>
      </c>
    </row>
    <row r="94" spans="1:7" s="15" customFormat="1" ht="15.75">
      <c r="A94" s="201">
        <v>45863</v>
      </c>
      <c r="B94" s="139" t="s">
        <v>2996</v>
      </c>
      <c r="C94" s="139">
        <v>0</v>
      </c>
      <c r="D94" s="139">
        <v>100000000</v>
      </c>
      <c r="E94" s="139">
        <f t="shared" si="1"/>
        <v>720281636.71999991</v>
      </c>
      <c r="F94" s="15" t="s">
        <v>1400</v>
      </c>
      <c r="G94" s="15" t="s">
        <v>1400</v>
      </c>
    </row>
    <row r="95" spans="1:7" s="15" customFormat="1" ht="15.75">
      <c r="A95" s="201">
        <v>45863</v>
      </c>
      <c r="B95" s="139" t="s">
        <v>2997</v>
      </c>
      <c r="C95" s="139">
        <v>0</v>
      </c>
      <c r="D95" s="139">
        <v>100000000</v>
      </c>
      <c r="E95" s="139">
        <f t="shared" si="1"/>
        <v>820281636.71999991</v>
      </c>
      <c r="F95" s="15" t="s">
        <v>1400</v>
      </c>
      <c r="G95" s="15" t="s">
        <v>1400</v>
      </c>
    </row>
    <row r="96" spans="1:7" s="15" customFormat="1" ht="15.75">
      <c r="A96" s="201">
        <v>45863</v>
      </c>
      <c r="B96" s="139" t="s">
        <v>2998</v>
      </c>
      <c r="C96" s="139">
        <v>0</v>
      </c>
      <c r="D96" s="139">
        <v>100000000</v>
      </c>
      <c r="E96" s="139">
        <f t="shared" si="1"/>
        <v>920281636.71999991</v>
      </c>
      <c r="F96" s="15" t="s">
        <v>1400</v>
      </c>
      <c r="G96" s="15" t="s">
        <v>1400</v>
      </c>
    </row>
    <row r="97" spans="1:8" s="15" customFormat="1" ht="15.75">
      <c r="A97" s="201">
        <v>45863</v>
      </c>
      <c r="B97" s="139" t="s">
        <v>2999</v>
      </c>
      <c r="C97" s="139">
        <v>0</v>
      </c>
      <c r="D97" s="139">
        <v>100000000</v>
      </c>
      <c r="E97" s="139">
        <f t="shared" si="1"/>
        <v>1020281636.7199999</v>
      </c>
      <c r="F97" s="15" t="s">
        <v>1400</v>
      </c>
      <c r="G97" s="15" t="s">
        <v>1400</v>
      </c>
    </row>
    <row r="98" spans="1:8" s="15" customFormat="1" ht="15.75">
      <c r="A98" s="201">
        <v>45863</v>
      </c>
      <c r="B98" s="139" t="s">
        <v>3000</v>
      </c>
      <c r="C98" s="139">
        <v>2772100</v>
      </c>
      <c r="D98" s="139">
        <v>0</v>
      </c>
      <c r="E98" s="139">
        <f t="shared" si="1"/>
        <v>1017509536.7199999</v>
      </c>
      <c r="F98" s="15" t="s">
        <v>4</v>
      </c>
      <c r="G98" t="s">
        <v>5</v>
      </c>
      <c r="H98" s="40" t="s">
        <v>1634</v>
      </c>
    </row>
    <row r="99" spans="1:8" s="15" customFormat="1" ht="15.75">
      <c r="A99" s="201">
        <v>45863</v>
      </c>
      <c r="B99" s="139" t="s">
        <v>3001</v>
      </c>
      <c r="C99" s="139">
        <v>2500</v>
      </c>
      <c r="D99" s="139">
        <v>0</v>
      </c>
      <c r="E99" s="139">
        <f t="shared" si="1"/>
        <v>1017507036.7199999</v>
      </c>
      <c r="F99" s="15" t="s">
        <v>19</v>
      </c>
      <c r="G99" t="s">
        <v>189</v>
      </c>
    </row>
    <row r="100" spans="1:8" s="15" customFormat="1" ht="15.75">
      <c r="A100" s="201">
        <v>45866</v>
      </c>
      <c r="B100" s="139" t="s">
        <v>3002</v>
      </c>
      <c r="C100" s="139">
        <v>1000000000</v>
      </c>
      <c r="D100" s="139">
        <v>0</v>
      </c>
      <c r="E100" s="139">
        <f t="shared" si="1"/>
        <v>17507036.719999909</v>
      </c>
      <c r="F100" s="15" t="s">
        <v>920</v>
      </c>
      <c r="G100" t="s">
        <v>4251</v>
      </c>
    </row>
    <row r="101" spans="1:8" s="15" customFormat="1" ht="15.75">
      <c r="A101" s="201">
        <v>45867</v>
      </c>
      <c r="B101" s="139" t="s">
        <v>3003</v>
      </c>
      <c r="C101" s="139">
        <v>0</v>
      </c>
      <c r="D101" s="139">
        <v>85000000</v>
      </c>
      <c r="E101" s="139">
        <f t="shared" si="1"/>
        <v>102507036.71999991</v>
      </c>
      <c r="F101" s="15" t="s">
        <v>1400</v>
      </c>
      <c r="G101" s="15" t="s">
        <v>1400</v>
      </c>
    </row>
    <row r="102" spans="1:8" s="15" customFormat="1" ht="15.75">
      <c r="A102" s="201">
        <v>45867</v>
      </c>
      <c r="B102" s="139" t="s">
        <v>3004</v>
      </c>
      <c r="C102" s="139">
        <v>0</v>
      </c>
      <c r="D102" s="139">
        <v>100000000</v>
      </c>
      <c r="E102" s="139">
        <f t="shared" si="1"/>
        <v>202507036.71999991</v>
      </c>
      <c r="F102" s="15" t="s">
        <v>1400</v>
      </c>
      <c r="G102" s="15" t="s">
        <v>1400</v>
      </c>
    </row>
    <row r="103" spans="1:8" s="15" customFormat="1" ht="15.75">
      <c r="A103" s="201">
        <v>45867</v>
      </c>
      <c r="B103" s="139" t="s">
        <v>3005</v>
      </c>
      <c r="C103" s="139">
        <v>0</v>
      </c>
      <c r="D103" s="139">
        <v>100000000</v>
      </c>
      <c r="E103" s="139">
        <f t="shared" si="1"/>
        <v>302507036.71999991</v>
      </c>
      <c r="F103" s="15" t="s">
        <v>1400</v>
      </c>
      <c r="G103" s="15" t="s">
        <v>1400</v>
      </c>
    </row>
    <row r="104" spans="1:8" s="15" customFormat="1" ht="15.75">
      <c r="A104" s="201">
        <v>45867</v>
      </c>
      <c r="B104" s="139" t="s">
        <v>3006</v>
      </c>
      <c r="C104" s="139">
        <v>0</v>
      </c>
      <c r="D104" s="139">
        <v>100000000</v>
      </c>
      <c r="E104" s="139">
        <f t="shared" si="1"/>
        <v>402507036.71999991</v>
      </c>
      <c r="F104" s="15" t="s">
        <v>1400</v>
      </c>
      <c r="G104" s="15" t="s">
        <v>1400</v>
      </c>
    </row>
    <row r="105" spans="1:8" s="15" customFormat="1" ht="15.75">
      <c r="A105" s="201">
        <v>45867</v>
      </c>
      <c r="B105" s="139" t="s">
        <v>3007</v>
      </c>
      <c r="C105" s="139">
        <v>0</v>
      </c>
      <c r="D105" s="139">
        <v>100000000</v>
      </c>
      <c r="E105" s="139">
        <f t="shared" si="1"/>
        <v>502507036.71999991</v>
      </c>
      <c r="F105" s="15" t="s">
        <v>1400</v>
      </c>
      <c r="G105" s="15" t="s">
        <v>1400</v>
      </c>
    </row>
    <row r="106" spans="1:8" s="15" customFormat="1" ht="15.75">
      <c r="A106" s="201">
        <v>45867</v>
      </c>
      <c r="B106" s="139" t="s">
        <v>3008</v>
      </c>
      <c r="C106" s="139">
        <v>0</v>
      </c>
      <c r="D106" s="139">
        <v>100000000</v>
      </c>
      <c r="E106" s="139">
        <f t="shared" si="1"/>
        <v>602507036.71999991</v>
      </c>
      <c r="F106" s="15" t="s">
        <v>1400</v>
      </c>
      <c r="G106" s="15" t="s">
        <v>1400</v>
      </c>
    </row>
    <row r="107" spans="1:8" s="15" customFormat="1" ht="15.75">
      <c r="A107" s="201">
        <v>45867</v>
      </c>
      <c r="B107" s="139" t="s">
        <v>3009</v>
      </c>
      <c r="C107" s="139">
        <v>0</v>
      </c>
      <c r="D107" s="139">
        <v>100000000</v>
      </c>
      <c r="E107" s="139">
        <f t="shared" si="1"/>
        <v>702507036.71999991</v>
      </c>
      <c r="F107" s="15" t="s">
        <v>1400</v>
      </c>
      <c r="G107" s="15" t="s">
        <v>1400</v>
      </c>
    </row>
    <row r="108" spans="1:8" s="15" customFormat="1" ht="15.75">
      <c r="A108" s="201">
        <v>45867</v>
      </c>
      <c r="B108" s="139" t="s">
        <v>3010</v>
      </c>
      <c r="C108" s="139">
        <v>0</v>
      </c>
      <c r="D108" s="139">
        <v>100000000</v>
      </c>
      <c r="E108" s="139">
        <f t="shared" si="1"/>
        <v>802507036.71999991</v>
      </c>
      <c r="F108" s="15" t="s">
        <v>1400</v>
      </c>
      <c r="G108" s="15" t="s">
        <v>1400</v>
      </c>
    </row>
    <row r="109" spans="1:8" s="15" customFormat="1" ht="15.75">
      <c r="A109" s="201">
        <v>45867</v>
      </c>
      <c r="B109" s="139" t="s">
        <v>3011</v>
      </c>
      <c r="C109" s="139">
        <v>0</v>
      </c>
      <c r="D109" s="139">
        <v>100000000</v>
      </c>
      <c r="E109" s="139">
        <f t="shared" si="1"/>
        <v>902507036.71999991</v>
      </c>
      <c r="F109" s="15" t="s">
        <v>1400</v>
      </c>
      <c r="G109" s="15" t="s">
        <v>1400</v>
      </c>
    </row>
    <row r="110" spans="1:8" s="15" customFormat="1" ht="15.75">
      <c r="A110" s="201">
        <v>45867</v>
      </c>
      <c r="B110" s="139" t="s">
        <v>3012</v>
      </c>
      <c r="C110" s="139">
        <v>0</v>
      </c>
      <c r="D110" s="139">
        <v>100000000</v>
      </c>
      <c r="E110" s="139">
        <f t="shared" si="1"/>
        <v>1002507036.7199999</v>
      </c>
      <c r="F110" s="15" t="s">
        <v>1400</v>
      </c>
      <c r="G110" s="15" t="s">
        <v>1400</v>
      </c>
    </row>
    <row r="111" spans="1:8" s="15" customFormat="1" ht="15.75">
      <c r="A111" s="201">
        <v>45869</v>
      </c>
      <c r="B111" s="139" t="s">
        <v>1217</v>
      </c>
      <c r="C111" s="139">
        <v>12500</v>
      </c>
      <c r="D111" s="139">
        <v>0</v>
      </c>
      <c r="E111" s="139">
        <f t="shared" si="1"/>
        <v>1002494536.7199999</v>
      </c>
      <c r="F111" s="15" t="s">
        <v>19</v>
      </c>
      <c r="G111" t="s">
        <v>189</v>
      </c>
    </row>
    <row r="112" spans="1:8" s="15" customFormat="1" ht="15.75">
      <c r="A112" s="201">
        <v>45869</v>
      </c>
      <c r="B112" s="139" t="s">
        <v>1216</v>
      </c>
      <c r="C112" s="139">
        <v>0</v>
      </c>
      <c r="D112" s="139">
        <v>268675.99</v>
      </c>
      <c r="E112" s="139">
        <f t="shared" si="1"/>
        <v>1002763212.7099999</v>
      </c>
      <c r="F112" s="15" t="s">
        <v>190</v>
      </c>
      <c r="G112" t="s">
        <v>79</v>
      </c>
    </row>
    <row r="113" spans="1:9" s="15" customFormat="1" ht="15.75">
      <c r="A113" s="201">
        <v>45869</v>
      </c>
      <c r="B113" s="139" t="s">
        <v>1218</v>
      </c>
      <c r="C113" s="139">
        <v>53735.199999999997</v>
      </c>
      <c r="D113" s="139">
        <v>0</v>
      </c>
      <c r="E113" s="139">
        <f t="shared" si="1"/>
        <v>1002709477.5099999</v>
      </c>
      <c r="F113" s="15" t="s">
        <v>190</v>
      </c>
      <c r="G113" t="s">
        <v>79</v>
      </c>
    </row>
    <row r="114" spans="1:9" s="15" customFormat="1" ht="15.75">
      <c r="A114" s="201">
        <v>45879</v>
      </c>
      <c r="B114" s="139" t="s">
        <v>3014</v>
      </c>
      <c r="C114" s="139">
        <v>250000000</v>
      </c>
      <c r="D114" s="139">
        <v>0</v>
      </c>
      <c r="E114" s="139">
        <f t="shared" si="1"/>
        <v>752709477.50999987</v>
      </c>
      <c r="F114" s="15" t="s">
        <v>920</v>
      </c>
      <c r="G114" t="s">
        <v>4252</v>
      </c>
    </row>
    <row r="115" spans="1:9" s="15" customFormat="1" ht="15.75">
      <c r="A115" s="201">
        <v>45879</v>
      </c>
      <c r="B115" s="139" t="s">
        <v>3013</v>
      </c>
      <c r="C115" s="139">
        <v>2500</v>
      </c>
      <c r="D115" s="139">
        <v>0</v>
      </c>
      <c r="E115" s="139">
        <f t="shared" si="1"/>
        <v>752706977.50999987</v>
      </c>
      <c r="F115" s="15" t="s">
        <v>19</v>
      </c>
      <c r="G115" t="s">
        <v>189</v>
      </c>
    </row>
    <row r="116" spans="1:9" s="15" customFormat="1" ht="15.75">
      <c r="A116" s="201">
        <v>45879</v>
      </c>
      <c r="B116" s="139" t="s">
        <v>3014</v>
      </c>
      <c r="C116" s="139">
        <v>250000000</v>
      </c>
      <c r="D116" s="139">
        <v>0</v>
      </c>
      <c r="E116" s="139">
        <f t="shared" si="1"/>
        <v>502706977.50999987</v>
      </c>
      <c r="F116" s="15" t="s">
        <v>920</v>
      </c>
      <c r="G116" t="s">
        <v>4252</v>
      </c>
    </row>
    <row r="117" spans="1:9" s="15" customFormat="1" ht="15.75">
      <c r="A117" s="201">
        <v>45879</v>
      </c>
      <c r="B117" s="139" t="s">
        <v>3015</v>
      </c>
      <c r="C117" s="139">
        <v>2500</v>
      </c>
      <c r="D117" s="139">
        <v>0</v>
      </c>
      <c r="E117" s="139">
        <f t="shared" si="1"/>
        <v>502704477.50999987</v>
      </c>
      <c r="F117" s="15" t="s">
        <v>19</v>
      </c>
      <c r="G117" t="s">
        <v>189</v>
      </c>
    </row>
    <row r="118" spans="1:9" s="15" customFormat="1" ht="15.75">
      <c r="A118" s="201">
        <v>45881</v>
      </c>
      <c r="B118" s="139" t="s">
        <v>1246</v>
      </c>
      <c r="C118" s="139">
        <v>250000000</v>
      </c>
      <c r="D118" s="139">
        <v>0</v>
      </c>
      <c r="E118" s="139">
        <f t="shared" si="1"/>
        <v>252704477.50999987</v>
      </c>
      <c r="F118" s="15" t="s">
        <v>920</v>
      </c>
      <c r="G118" t="s">
        <v>4243</v>
      </c>
    </row>
    <row r="119" spans="1:9" s="15" customFormat="1" ht="15.75">
      <c r="A119" s="201">
        <v>45881</v>
      </c>
      <c r="B119" s="139" t="s">
        <v>3016</v>
      </c>
      <c r="C119" s="139">
        <v>2500</v>
      </c>
      <c r="D119" s="139">
        <v>0</v>
      </c>
      <c r="E119" s="139">
        <f t="shared" si="1"/>
        <v>252701977.50999987</v>
      </c>
      <c r="F119" s="15" t="s">
        <v>19</v>
      </c>
      <c r="G119" t="s">
        <v>189</v>
      </c>
    </row>
    <row r="120" spans="1:9" s="15" customFormat="1" ht="15.75">
      <c r="A120" s="201">
        <v>45888</v>
      </c>
      <c r="B120" s="139" t="s">
        <v>3017</v>
      </c>
      <c r="C120" s="139">
        <v>250000000</v>
      </c>
      <c r="D120" s="139">
        <v>0</v>
      </c>
      <c r="E120" s="139">
        <f t="shared" si="1"/>
        <v>2701977.5099998713</v>
      </c>
      <c r="F120" s="15" t="s">
        <v>920</v>
      </c>
      <c r="G120" t="s">
        <v>4251</v>
      </c>
    </row>
    <row r="121" spans="1:9" s="15" customFormat="1" ht="15.75">
      <c r="A121" s="201">
        <v>45900</v>
      </c>
      <c r="B121" s="139" t="s">
        <v>1217</v>
      </c>
      <c r="C121" s="139">
        <v>12500</v>
      </c>
      <c r="D121" s="139">
        <v>0</v>
      </c>
      <c r="E121" s="139">
        <f t="shared" si="1"/>
        <v>2689477.5099998713</v>
      </c>
      <c r="F121" s="15" t="s">
        <v>19</v>
      </c>
      <c r="G121" t="s">
        <v>189</v>
      </c>
    </row>
    <row r="122" spans="1:9" s="15" customFormat="1" ht="15.75">
      <c r="A122" s="201">
        <v>45900</v>
      </c>
      <c r="B122" s="139" t="s">
        <v>3018</v>
      </c>
      <c r="C122" s="139">
        <v>25000</v>
      </c>
      <c r="D122" s="139">
        <v>0</v>
      </c>
      <c r="E122" s="139">
        <f t="shared" si="1"/>
        <v>2664477.5099998713</v>
      </c>
      <c r="F122" s="15" t="s">
        <v>19</v>
      </c>
      <c r="G122" t="s">
        <v>189</v>
      </c>
    </row>
    <row r="123" spans="1:9" s="15" customFormat="1" ht="15.75">
      <c r="A123" s="201">
        <v>45900</v>
      </c>
      <c r="B123" s="139" t="s">
        <v>1216</v>
      </c>
      <c r="C123" s="139">
        <v>0</v>
      </c>
      <c r="D123" s="139">
        <v>233899.64</v>
      </c>
      <c r="E123" s="139">
        <f t="shared" si="1"/>
        <v>2898377.1499998714</v>
      </c>
      <c r="F123" s="15" t="s">
        <v>190</v>
      </c>
      <c r="G123" t="s">
        <v>79</v>
      </c>
    </row>
    <row r="124" spans="1:9" s="15" customFormat="1" ht="15.75">
      <c r="A124" s="201">
        <v>45900</v>
      </c>
      <c r="B124" s="139" t="s">
        <v>1218</v>
      </c>
      <c r="C124" s="139">
        <v>46779.93</v>
      </c>
      <c r="D124" s="139">
        <v>0</v>
      </c>
      <c r="E124" s="139">
        <f t="shared" si="1"/>
        <v>2851597.2199998712</v>
      </c>
      <c r="F124" s="15" t="s">
        <v>190</v>
      </c>
      <c r="G124" t="s">
        <v>79</v>
      </c>
    </row>
    <row r="125" spans="1:9" s="15" customFormat="1" ht="15.75">
      <c r="A125" s="201">
        <v>45911</v>
      </c>
      <c r="B125" s="139" t="s">
        <v>3590</v>
      </c>
      <c r="C125" s="139">
        <v>0</v>
      </c>
      <c r="D125" s="139">
        <v>88288289</v>
      </c>
      <c r="E125" s="139">
        <f t="shared" si="1"/>
        <v>91139886.219999865</v>
      </c>
      <c r="F125" s="15" t="s">
        <v>2140</v>
      </c>
      <c r="G125" t="s">
        <v>2141</v>
      </c>
      <c r="H125" s="154" t="s">
        <v>1352</v>
      </c>
      <c r="I125" s="15" t="s">
        <v>1485</v>
      </c>
    </row>
    <row r="126" spans="1:9" s="15" customFormat="1" ht="15.75">
      <c r="A126" s="201">
        <v>45930</v>
      </c>
      <c r="B126" s="139" t="s">
        <v>3591</v>
      </c>
      <c r="C126" s="139">
        <v>91100000</v>
      </c>
      <c r="D126" s="139">
        <v>0</v>
      </c>
      <c r="E126" s="139">
        <f t="shared" si="1"/>
        <v>39886.219999864697</v>
      </c>
      <c r="F126" s="15" t="s">
        <v>920</v>
      </c>
      <c r="G126" t="s">
        <v>4251</v>
      </c>
    </row>
    <row r="127" spans="1:9" s="15" customFormat="1" ht="15.75">
      <c r="A127" s="201">
        <v>45930</v>
      </c>
      <c r="B127" s="139" t="s">
        <v>1217</v>
      </c>
      <c r="C127" s="139">
        <v>12500</v>
      </c>
      <c r="D127" s="139">
        <v>0</v>
      </c>
      <c r="E127" s="139">
        <f t="shared" si="1"/>
        <v>27386.219999864697</v>
      </c>
      <c r="F127" s="15" t="s">
        <v>19</v>
      </c>
      <c r="G127" t="s">
        <v>189</v>
      </c>
    </row>
    <row r="128" spans="1:9" s="15" customFormat="1" ht="15.75">
      <c r="A128" s="201">
        <v>45930</v>
      </c>
      <c r="B128" s="139" t="s">
        <v>3018</v>
      </c>
      <c r="C128" s="139">
        <v>25000</v>
      </c>
      <c r="D128" s="139">
        <v>0</v>
      </c>
      <c r="E128" s="139">
        <f t="shared" si="1"/>
        <v>2386.2199998646975</v>
      </c>
      <c r="F128" s="15" t="s">
        <v>19</v>
      </c>
      <c r="G128" t="s">
        <v>189</v>
      </c>
    </row>
    <row r="129" spans="1:9" s="15" customFormat="1" ht="15.75">
      <c r="A129" s="201">
        <v>45930</v>
      </c>
      <c r="B129" s="139" t="s">
        <v>1216</v>
      </c>
      <c r="C129" s="139">
        <v>0</v>
      </c>
      <c r="D129" s="139">
        <v>19133.32</v>
      </c>
      <c r="E129" s="139">
        <f t="shared" si="1"/>
        <v>21519.539999864697</v>
      </c>
      <c r="F129" s="15" t="s">
        <v>190</v>
      </c>
      <c r="G129" t="s">
        <v>79</v>
      </c>
    </row>
    <row r="130" spans="1:9" s="15" customFormat="1" ht="15.75">
      <c r="A130" s="201">
        <v>45930</v>
      </c>
      <c r="B130" s="139" t="s">
        <v>1218</v>
      </c>
      <c r="C130" s="139">
        <v>3826.66</v>
      </c>
      <c r="D130" s="139">
        <v>0</v>
      </c>
      <c r="E130" s="139">
        <f t="shared" si="1"/>
        <v>17692.879999864697</v>
      </c>
      <c r="F130" s="15" t="s">
        <v>190</v>
      </c>
      <c r="G130" t="s">
        <v>79</v>
      </c>
    </row>
    <row r="131" spans="1:9" s="15" customFormat="1" ht="15.75">
      <c r="A131" s="201">
        <v>45938</v>
      </c>
      <c r="B131" s="139" t="s">
        <v>3597</v>
      </c>
      <c r="C131" s="139">
        <v>0</v>
      </c>
      <c r="D131" s="139">
        <v>38093750</v>
      </c>
      <c r="E131" s="139">
        <f t="shared" si="1"/>
        <v>38111442.879999861</v>
      </c>
      <c r="F131" s="15" t="s">
        <v>2140</v>
      </c>
      <c r="G131" t="s">
        <v>2141</v>
      </c>
      <c r="H131" s="15" t="s">
        <v>2327</v>
      </c>
      <c r="I131" s="15" t="s">
        <v>3450</v>
      </c>
    </row>
    <row r="132" spans="1:9" s="15" customFormat="1" ht="15.75">
      <c r="A132" s="201">
        <v>45938</v>
      </c>
      <c r="B132" s="139" t="s">
        <v>4033</v>
      </c>
      <c r="C132" s="139">
        <v>38100000</v>
      </c>
      <c r="D132" s="139">
        <v>0</v>
      </c>
      <c r="E132" s="139">
        <f t="shared" si="1"/>
        <v>11442.879999861121</v>
      </c>
      <c r="F132" s="15" t="s">
        <v>920</v>
      </c>
      <c r="G132" t="s">
        <v>4251</v>
      </c>
    </row>
    <row r="133" spans="1:9" s="15" customFormat="1" ht="15.75">
      <c r="A133" s="201">
        <v>45940</v>
      </c>
      <c r="B133" s="139" t="s">
        <v>5811</v>
      </c>
      <c r="C133" s="139">
        <v>0</v>
      </c>
      <c r="D133" s="139">
        <v>49000000</v>
      </c>
      <c r="E133" s="139">
        <f t="shared" si="1"/>
        <v>49011442.879999861</v>
      </c>
      <c r="F133" s="15" t="s">
        <v>2140</v>
      </c>
      <c r="G133" t="s">
        <v>2141</v>
      </c>
      <c r="H133" s="154" t="s">
        <v>1352</v>
      </c>
      <c r="I133" s="15" t="s">
        <v>1488</v>
      </c>
    </row>
    <row r="134" spans="1:9" s="15" customFormat="1" ht="15.75">
      <c r="A134" s="201">
        <v>45946</v>
      </c>
      <c r="B134" s="139" t="s">
        <v>4034</v>
      </c>
      <c r="C134" s="139">
        <v>0</v>
      </c>
      <c r="D134" s="139">
        <v>1000000000</v>
      </c>
      <c r="E134" s="139">
        <f t="shared" ref="E134:E195" si="2">E133-C134+D134</f>
        <v>1049011442.8799999</v>
      </c>
      <c r="F134" s="15" t="s">
        <v>920</v>
      </c>
      <c r="G134" s="80" t="s">
        <v>4249</v>
      </c>
    </row>
    <row r="135" spans="1:9" s="15" customFormat="1" ht="15.75">
      <c r="A135" s="201">
        <v>45946</v>
      </c>
      <c r="B135" s="139" t="s">
        <v>3598</v>
      </c>
      <c r="C135" s="139">
        <v>100000000</v>
      </c>
      <c r="D135" s="139">
        <v>0</v>
      </c>
      <c r="E135" s="139">
        <f t="shared" si="2"/>
        <v>949011442.87999988</v>
      </c>
      <c r="F135" s="15" t="s">
        <v>1400</v>
      </c>
      <c r="G135" s="15" t="s">
        <v>1400</v>
      </c>
    </row>
    <row r="136" spans="1:9" s="15" customFormat="1" ht="15.75">
      <c r="A136" s="201">
        <v>45946</v>
      </c>
      <c r="B136" s="139" t="s">
        <v>3599</v>
      </c>
      <c r="C136" s="139">
        <v>2500</v>
      </c>
      <c r="D136" s="139">
        <v>0</v>
      </c>
      <c r="E136" s="139">
        <f t="shared" si="2"/>
        <v>949008942.87999988</v>
      </c>
      <c r="F136" s="15" t="s">
        <v>19</v>
      </c>
      <c r="G136" t="s">
        <v>189</v>
      </c>
    </row>
    <row r="137" spans="1:9" s="15" customFormat="1" ht="15.75">
      <c r="A137" s="201">
        <v>45946</v>
      </c>
      <c r="B137" s="139" t="s">
        <v>3600</v>
      </c>
      <c r="C137" s="139">
        <v>100000000</v>
      </c>
      <c r="D137" s="139">
        <v>0</v>
      </c>
      <c r="E137" s="139">
        <f t="shared" si="2"/>
        <v>849008942.87999988</v>
      </c>
      <c r="F137" s="15" t="s">
        <v>1400</v>
      </c>
      <c r="G137" s="15" t="s">
        <v>1400</v>
      </c>
    </row>
    <row r="138" spans="1:9" s="15" customFormat="1" ht="15.75">
      <c r="A138" s="201">
        <v>45946</v>
      </c>
      <c r="B138" s="139" t="s">
        <v>3601</v>
      </c>
      <c r="C138" s="139">
        <v>2500</v>
      </c>
      <c r="D138" s="139">
        <v>0</v>
      </c>
      <c r="E138" s="139">
        <f t="shared" si="2"/>
        <v>849006442.87999988</v>
      </c>
      <c r="F138" s="15" t="s">
        <v>19</v>
      </c>
      <c r="G138" t="s">
        <v>189</v>
      </c>
    </row>
    <row r="139" spans="1:9" s="15" customFormat="1" ht="15.75">
      <c r="A139" s="201">
        <v>45946</v>
      </c>
      <c r="B139" s="139" t="s">
        <v>3602</v>
      </c>
      <c r="C139" s="139">
        <v>100000000</v>
      </c>
      <c r="D139" s="139">
        <v>0</v>
      </c>
      <c r="E139" s="139">
        <f t="shared" si="2"/>
        <v>749006442.87999988</v>
      </c>
      <c r="F139" s="15" t="s">
        <v>1400</v>
      </c>
      <c r="G139" s="15" t="s">
        <v>1400</v>
      </c>
    </row>
    <row r="140" spans="1:9" s="15" customFormat="1" ht="15.75">
      <c r="A140" s="201">
        <v>45946</v>
      </c>
      <c r="B140" s="139" t="s">
        <v>3603</v>
      </c>
      <c r="C140" s="139">
        <v>2500</v>
      </c>
      <c r="D140" s="139">
        <v>0</v>
      </c>
      <c r="E140" s="139">
        <f t="shared" si="2"/>
        <v>749003942.87999988</v>
      </c>
      <c r="F140" s="15" t="s">
        <v>19</v>
      </c>
      <c r="G140" t="s">
        <v>189</v>
      </c>
    </row>
    <row r="141" spans="1:9" s="15" customFormat="1" ht="15.75">
      <c r="A141" s="201">
        <v>45946</v>
      </c>
      <c r="B141" s="139" t="s">
        <v>3604</v>
      </c>
      <c r="C141" s="139">
        <v>100000000</v>
      </c>
      <c r="D141" s="139">
        <v>0</v>
      </c>
      <c r="E141" s="139">
        <f t="shared" si="2"/>
        <v>649003942.87999988</v>
      </c>
      <c r="F141" s="15" t="s">
        <v>1400</v>
      </c>
      <c r="G141" s="15" t="s">
        <v>1400</v>
      </c>
    </row>
    <row r="142" spans="1:9" s="15" customFormat="1" ht="15.75">
      <c r="A142" s="201">
        <v>45946</v>
      </c>
      <c r="B142" s="139" t="s">
        <v>3605</v>
      </c>
      <c r="C142" s="139">
        <v>2500</v>
      </c>
      <c r="D142" s="139">
        <v>0</v>
      </c>
      <c r="E142" s="139">
        <f t="shared" si="2"/>
        <v>649001442.87999988</v>
      </c>
      <c r="F142" s="15" t="s">
        <v>19</v>
      </c>
      <c r="G142" t="s">
        <v>189</v>
      </c>
    </row>
    <row r="143" spans="1:9" s="15" customFormat="1" ht="15.75">
      <c r="A143" s="201">
        <v>45946</v>
      </c>
      <c r="B143" s="139" t="s">
        <v>3606</v>
      </c>
      <c r="C143" s="139">
        <v>100000000</v>
      </c>
      <c r="D143" s="139">
        <v>0</v>
      </c>
      <c r="E143" s="139">
        <f t="shared" si="2"/>
        <v>549001442.87999988</v>
      </c>
      <c r="F143" s="15" t="s">
        <v>1400</v>
      </c>
      <c r="G143" s="15" t="s">
        <v>1400</v>
      </c>
    </row>
    <row r="144" spans="1:9" s="15" customFormat="1" ht="15.75">
      <c r="A144" s="201">
        <v>45946</v>
      </c>
      <c r="B144" s="139" t="s">
        <v>3607</v>
      </c>
      <c r="C144" s="139">
        <v>2500</v>
      </c>
      <c r="D144" s="139">
        <v>0</v>
      </c>
      <c r="E144" s="139">
        <f t="shared" si="2"/>
        <v>548998942.87999988</v>
      </c>
      <c r="F144" s="15" t="s">
        <v>19</v>
      </c>
      <c r="G144" t="s">
        <v>189</v>
      </c>
    </row>
    <row r="145" spans="1:7" s="15" customFormat="1" ht="15.75">
      <c r="A145" s="201">
        <v>45946</v>
      </c>
      <c r="B145" s="139" t="s">
        <v>3608</v>
      </c>
      <c r="C145" s="139">
        <v>100000000</v>
      </c>
      <c r="D145" s="139">
        <v>0</v>
      </c>
      <c r="E145" s="139">
        <f t="shared" si="2"/>
        <v>448998942.87999988</v>
      </c>
      <c r="F145" s="15" t="s">
        <v>1400</v>
      </c>
      <c r="G145" s="15" t="s">
        <v>1400</v>
      </c>
    </row>
    <row r="146" spans="1:7" s="15" customFormat="1" ht="15.75">
      <c r="A146" s="201">
        <v>45946</v>
      </c>
      <c r="B146" s="139" t="s">
        <v>3609</v>
      </c>
      <c r="C146" s="139">
        <v>2500</v>
      </c>
      <c r="D146" s="139">
        <v>0</v>
      </c>
      <c r="E146" s="139">
        <f t="shared" si="2"/>
        <v>448996442.87999988</v>
      </c>
      <c r="F146" s="15" t="s">
        <v>19</v>
      </c>
      <c r="G146" t="s">
        <v>189</v>
      </c>
    </row>
    <row r="147" spans="1:7" s="15" customFormat="1" ht="15.75">
      <c r="A147" s="201">
        <v>45946</v>
      </c>
      <c r="B147" s="139" t="s">
        <v>3610</v>
      </c>
      <c r="C147" s="139">
        <v>100000000</v>
      </c>
      <c r="D147" s="139">
        <v>0</v>
      </c>
      <c r="E147" s="139">
        <f t="shared" si="2"/>
        <v>348996442.87999988</v>
      </c>
      <c r="F147" s="15" t="s">
        <v>1400</v>
      </c>
      <c r="G147" s="15" t="s">
        <v>1400</v>
      </c>
    </row>
    <row r="148" spans="1:7" s="15" customFormat="1" ht="15.75">
      <c r="A148" s="201">
        <v>45946</v>
      </c>
      <c r="B148" s="139" t="s">
        <v>3611</v>
      </c>
      <c r="C148" s="139">
        <v>2500</v>
      </c>
      <c r="D148" s="139">
        <v>0</v>
      </c>
      <c r="E148" s="139">
        <f t="shared" si="2"/>
        <v>348993942.87999988</v>
      </c>
      <c r="F148" s="15" t="s">
        <v>19</v>
      </c>
      <c r="G148" t="s">
        <v>189</v>
      </c>
    </row>
    <row r="149" spans="1:7" s="15" customFormat="1" ht="15.75">
      <c r="A149" s="201">
        <v>45946</v>
      </c>
      <c r="B149" s="139" t="s">
        <v>3612</v>
      </c>
      <c r="C149" s="139">
        <v>100000000</v>
      </c>
      <c r="D149" s="139">
        <v>0</v>
      </c>
      <c r="E149" s="139">
        <f t="shared" si="2"/>
        <v>248993942.87999988</v>
      </c>
      <c r="F149" s="15" t="s">
        <v>1400</v>
      </c>
      <c r="G149" s="15" t="s">
        <v>1400</v>
      </c>
    </row>
    <row r="150" spans="1:7" s="15" customFormat="1" ht="15.75">
      <c r="A150" s="201">
        <v>45946</v>
      </c>
      <c r="B150" s="139" t="s">
        <v>3613</v>
      </c>
      <c r="C150" s="139">
        <v>2500</v>
      </c>
      <c r="D150" s="139">
        <v>0</v>
      </c>
      <c r="E150" s="139">
        <f t="shared" si="2"/>
        <v>248991442.87999988</v>
      </c>
      <c r="F150" s="15" t="s">
        <v>19</v>
      </c>
      <c r="G150" t="s">
        <v>189</v>
      </c>
    </row>
    <row r="151" spans="1:7" s="15" customFormat="1" ht="15.75">
      <c r="A151" s="201">
        <v>45946</v>
      </c>
      <c r="B151" s="139" t="s">
        <v>3614</v>
      </c>
      <c r="C151" s="139">
        <v>100000000</v>
      </c>
      <c r="D151" s="139">
        <v>0</v>
      </c>
      <c r="E151" s="139">
        <f t="shared" si="2"/>
        <v>148991442.87999988</v>
      </c>
      <c r="F151" s="15" t="s">
        <v>1400</v>
      </c>
      <c r="G151" s="15" t="s">
        <v>1400</v>
      </c>
    </row>
    <row r="152" spans="1:7" s="15" customFormat="1" ht="15.75">
      <c r="A152" s="201">
        <v>45946</v>
      </c>
      <c r="B152" s="139" t="s">
        <v>3615</v>
      </c>
      <c r="C152" s="139">
        <v>2500</v>
      </c>
      <c r="D152" s="139">
        <v>0</v>
      </c>
      <c r="E152" s="139">
        <f t="shared" si="2"/>
        <v>148988942.87999988</v>
      </c>
      <c r="F152" s="15" t="s">
        <v>19</v>
      </c>
      <c r="G152" t="s">
        <v>189</v>
      </c>
    </row>
    <row r="153" spans="1:7" s="15" customFormat="1" ht="15.75">
      <c r="A153" s="201">
        <v>45946</v>
      </c>
      <c r="B153" s="139" t="s">
        <v>3616</v>
      </c>
      <c r="C153" s="139">
        <v>100000000</v>
      </c>
      <c r="D153" s="139">
        <v>0</v>
      </c>
      <c r="E153" s="139">
        <f t="shared" si="2"/>
        <v>48988942.879999876</v>
      </c>
      <c r="F153" s="15" t="s">
        <v>1400</v>
      </c>
      <c r="G153" s="15" t="s">
        <v>1400</v>
      </c>
    </row>
    <row r="154" spans="1:7" s="15" customFormat="1" ht="15.75">
      <c r="A154" s="201">
        <v>45946</v>
      </c>
      <c r="B154" s="139" t="s">
        <v>3617</v>
      </c>
      <c r="C154" s="139">
        <v>2500</v>
      </c>
      <c r="D154" s="139">
        <v>0</v>
      </c>
      <c r="E154" s="139">
        <f t="shared" si="2"/>
        <v>48986442.879999876</v>
      </c>
      <c r="F154" s="15" t="s">
        <v>19</v>
      </c>
      <c r="G154" t="s">
        <v>189</v>
      </c>
    </row>
    <row r="155" spans="1:7" s="15" customFormat="1" ht="15.75">
      <c r="A155" s="201">
        <v>45946</v>
      </c>
      <c r="B155" s="139" t="s">
        <v>4035</v>
      </c>
      <c r="C155" s="139">
        <v>48950000</v>
      </c>
      <c r="D155" s="139">
        <v>0</v>
      </c>
      <c r="E155" s="139">
        <f t="shared" si="2"/>
        <v>36442.879999876022</v>
      </c>
      <c r="F155" s="15" t="s">
        <v>920</v>
      </c>
      <c r="G155" t="s">
        <v>4251</v>
      </c>
    </row>
    <row r="156" spans="1:7" s="15" customFormat="1" ht="15.75">
      <c r="A156" s="201">
        <v>45947</v>
      </c>
      <c r="B156" s="139" t="s">
        <v>3618</v>
      </c>
      <c r="C156" s="139">
        <v>0</v>
      </c>
      <c r="D156" s="139">
        <v>1000000000</v>
      </c>
      <c r="E156" s="139">
        <f t="shared" si="2"/>
        <v>1000036442.8799999</v>
      </c>
      <c r="F156" s="15" t="s">
        <v>920</v>
      </c>
      <c r="G156" s="80" t="s">
        <v>4249</v>
      </c>
    </row>
    <row r="157" spans="1:7" s="15" customFormat="1" ht="15.75">
      <c r="A157" s="201">
        <v>45947</v>
      </c>
      <c r="B157" s="139" t="s">
        <v>3619</v>
      </c>
      <c r="C157" s="139">
        <v>100000000</v>
      </c>
      <c r="D157" s="139">
        <v>0</v>
      </c>
      <c r="E157" s="139">
        <f t="shared" si="2"/>
        <v>900036442.87999988</v>
      </c>
      <c r="F157" s="15" t="s">
        <v>1400</v>
      </c>
      <c r="G157" s="15" t="s">
        <v>1400</v>
      </c>
    </row>
    <row r="158" spans="1:7" s="15" customFormat="1" ht="15.75">
      <c r="A158" s="201">
        <v>45947</v>
      </c>
      <c r="B158" s="139" t="s">
        <v>3620</v>
      </c>
      <c r="C158" s="139">
        <v>2500</v>
      </c>
      <c r="D158" s="139">
        <v>0</v>
      </c>
      <c r="E158" s="139">
        <f t="shared" si="2"/>
        <v>900033942.87999988</v>
      </c>
      <c r="F158" s="15" t="s">
        <v>19</v>
      </c>
      <c r="G158" t="s">
        <v>189</v>
      </c>
    </row>
    <row r="159" spans="1:7" s="15" customFormat="1" ht="15.75">
      <c r="A159" s="201">
        <v>45947</v>
      </c>
      <c r="B159" s="139" t="s">
        <v>3621</v>
      </c>
      <c r="C159" s="139">
        <v>100000000</v>
      </c>
      <c r="D159" s="139">
        <v>0</v>
      </c>
      <c r="E159" s="139">
        <f t="shared" si="2"/>
        <v>800033942.87999988</v>
      </c>
      <c r="F159" s="15" t="s">
        <v>1400</v>
      </c>
      <c r="G159" s="15" t="s">
        <v>1400</v>
      </c>
    </row>
    <row r="160" spans="1:7" s="15" customFormat="1" ht="15.75">
      <c r="A160" s="201">
        <v>45947</v>
      </c>
      <c r="B160" s="139" t="s">
        <v>3622</v>
      </c>
      <c r="C160" s="139">
        <v>2500</v>
      </c>
      <c r="D160" s="139">
        <v>0</v>
      </c>
      <c r="E160" s="139">
        <f t="shared" si="2"/>
        <v>800031442.87999988</v>
      </c>
      <c r="F160" s="15" t="s">
        <v>19</v>
      </c>
      <c r="G160" t="s">
        <v>189</v>
      </c>
    </row>
    <row r="161" spans="1:7" s="15" customFormat="1" ht="15.75">
      <c r="A161" s="201">
        <v>45947</v>
      </c>
      <c r="B161" s="139" t="s">
        <v>3623</v>
      </c>
      <c r="C161" s="139">
        <v>100000000</v>
      </c>
      <c r="D161" s="139">
        <v>0</v>
      </c>
      <c r="E161" s="139">
        <f t="shared" si="2"/>
        <v>700031442.87999988</v>
      </c>
      <c r="F161" s="15" t="s">
        <v>1400</v>
      </c>
      <c r="G161" s="15" t="s">
        <v>1400</v>
      </c>
    </row>
    <row r="162" spans="1:7" s="15" customFormat="1" ht="15.75">
      <c r="A162" s="201">
        <v>45947</v>
      </c>
      <c r="B162" s="139" t="s">
        <v>3624</v>
      </c>
      <c r="C162" s="139">
        <v>2500</v>
      </c>
      <c r="D162" s="139">
        <v>0</v>
      </c>
      <c r="E162" s="139">
        <f t="shared" si="2"/>
        <v>700028942.87999988</v>
      </c>
      <c r="F162" s="15" t="s">
        <v>19</v>
      </c>
      <c r="G162" t="s">
        <v>189</v>
      </c>
    </row>
    <row r="163" spans="1:7" s="15" customFormat="1" ht="15.75">
      <c r="A163" s="201">
        <v>45947</v>
      </c>
      <c r="B163" s="139" t="s">
        <v>3625</v>
      </c>
      <c r="C163" s="139">
        <v>100000000</v>
      </c>
      <c r="D163" s="139">
        <v>0</v>
      </c>
      <c r="E163" s="139">
        <f t="shared" si="2"/>
        <v>600028942.87999988</v>
      </c>
      <c r="F163" s="15" t="s">
        <v>1400</v>
      </c>
      <c r="G163" s="15" t="s">
        <v>1400</v>
      </c>
    </row>
    <row r="164" spans="1:7" s="15" customFormat="1" ht="15.75">
      <c r="A164" s="201">
        <v>45947</v>
      </c>
      <c r="B164" s="139" t="s">
        <v>3626</v>
      </c>
      <c r="C164" s="139">
        <v>2500</v>
      </c>
      <c r="D164" s="139">
        <v>0</v>
      </c>
      <c r="E164" s="139">
        <f t="shared" si="2"/>
        <v>600026442.87999988</v>
      </c>
      <c r="F164" s="15" t="s">
        <v>19</v>
      </c>
      <c r="G164" t="s">
        <v>189</v>
      </c>
    </row>
    <row r="165" spans="1:7" s="15" customFormat="1" ht="15.75">
      <c r="A165" s="201">
        <v>45947</v>
      </c>
      <c r="B165" s="139" t="s">
        <v>3627</v>
      </c>
      <c r="C165" s="139">
        <v>100000000</v>
      </c>
      <c r="D165" s="139">
        <v>0</v>
      </c>
      <c r="E165" s="139">
        <f t="shared" si="2"/>
        <v>500026442.87999988</v>
      </c>
      <c r="F165" s="15" t="s">
        <v>1400</v>
      </c>
      <c r="G165" s="15" t="s">
        <v>1400</v>
      </c>
    </row>
    <row r="166" spans="1:7" s="15" customFormat="1" ht="15.75">
      <c r="A166" s="201">
        <v>45947</v>
      </c>
      <c r="B166" s="139" t="s">
        <v>3628</v>
      </c>
      <c r="C166" s="139">
        <v>2500</v>
      </c>
      <c r="D166" s="139">
        <v>0</v>
      </c>
      <c r="E166" s="139">
        <f t="shared" si="2"/>
        <v>500023942.87999988</v>
      </c>
      <c r="F166" s="15" t="s">
        <v>19</v>
      </c>
      <c r="G166" t="s">
        <v>189</v>
      </c>
    </row>
    <row r="167" spans="1:7" s="15" customFormat="1" ht="15.75">
      <c r="A167" s="201">
        <v>45947</v>
      </c>
      <c r="B167" s="139" t="s">
        <v>3629</v>
      </c>
      <c r="C167" s="139">
        <v>0</v>
      </c>
      <c r="D167" s="139">
        <v>100000000</v>
      </c>
      <c r="E167" s="139">
        <f t="shared" si="2"/>
        <v>600023942.87999988</v>
      </c>
      <c r="F167" s="15" t="s">
        <v>1400</v>
      </c>
      <c r="G167" s="15" t="s">
        <v>1400</v>
      </c>
    </row>
    <row r="168" spans="1:7" s="15" customFormat="1" ht="15.75">
      <c r="A168" s="201">
        <v>45947</v>
      </c>
      <c r="B168" s="139" t="s">
        <v>3629</v>
      </c>
      <c r="C168" s="139">
        <v>100000000</v>
      </c>
      <c r="D168" s="139">
        <v>0</v>
      </c>
      <c r="E168" s="139">
        <f t="shared" si="2"/>
        <v>500023942.87999988</v>
      </c>
      <c r="F168" s="15" t="s">
        <v>1400</v>
      </c>
      <c r="G168" s="15" t="s">
        <v>1400</v>
      </c>
    </row>
    <row r="169" spans="1:7" s="15" customFormat="1" ht="15.75">
      <c r="A169" s="201">
        <v>45947</v>
      </c>
      <c r="B169" s="139" t="s">
        <v>3630</v>
      </c>
      <c r="C169" s="139">
        <v>0</v>
      </c>
      <c r="D169" s="139">
        <v>2500</v>
      </c>
      <c r="E169" s="139">
        <f t="shared" si="2"/>
        <v>500026442.87999988</v>
      </c>
      <c r="F169" s="15" t="s">
        <v>19</v>
      </c>
      <c r="G169" t="s">
        <v>189</v>
      </c>
    </row>
    <row r="170" spans="1:7" s="15" customFormat="1" ht="15.75">
      <c r="A170" s="201">
        <v>45947</v>
      </c>
      <c r="B170" s="139" t="s">
        <v>3630</v>
      </c>
      <c r="C170" s="139">
        <v>2500</v>
      </c>
      <c r="D170" s="139">
        <v>0</v>
      </c>
      <c r="E170" s="139">
        <f t="shared" si="2"/>
        <v>500023942.87999988</v>
      </c>
      <c r="F170" s="15" t="s">
        <v>19</v>
      </c>
      <c r="G170" t="s">
        <v>189</v>
      </c>
    </row>
    <row r="171" spans="1:7" s="15" customFormat="1" ht="15.75">
      <c r="A171" s="201">
        <v>45947</v>
      </c>
      <c r="B171" s="139" t="s">
        <v>3631</v>
      </c>
      <c r="C171" s="139">
        <v>0</v>
      </c>
      <c r="D171" s="139">
        <v>100000000</v>
      </c>
      <c r="E171" s="139">
        <f t="shared" si="2"/>
        <v>600023942.87999988</v>
      </c>
      <c r="F171" s="15" t="s">
        <v>1400</v>
      </c>
      <c r="G171" s="15" t="s">
        <v>1400</v>
      </c>
    </row>
    <row r="172" spans="1:7" s="15" customFormat="1" ht="15.75">
      <c r="A172" s="201">
        <v>45947</v>
      </c>
      <c r="B172" s="139" t="s">
        <v>3631</v>
      </c>
      <c r="C172" s="139">
        <v>100000000</v>
      </c>
      <c r="D172" s="139">
        <v>0</v>
      </c>
      <c r="E172" s="139">
        <f t="shared" si="2"/>
        <v>500023942.87999988</v>
      </c>
      <c r="F172" s="15" t="s">
        <v>1400</v>
      </c>
      <c r="G172" s="15" t="s">
        <v>1400</v>
      </c>
    </row>
    <row r="173" spans="1:7" s="15" customFormat="1" ht="15.75">
      <c r="A173" s="201">
        <v>45947</v>
      </c>
      <c r="B173" s="139" t="s">
        <v>3632</v>
      </c>
      <c r="C173" s="139">
        <v>0</v>
      </c>
      <c r="D173" s="139">
        <v>2500</v>
      </c>
      <c r="E173" s="139">
        <f t="shared" si="2"/>
        <v>500026442.87999988</v>
      </c>
      <c r="F173" s="15" t="s">
        <v>19</v>
      </c>
      <c r="G173" t="s">
        <v>189</v>
      </c>
    </row>
    <row r="174" spans="1:7" s="15" customFormat="1" ht="15.75">
      <c r="A174" s="201">
        <v>45947</v>
      </c>
      <c r="B174" s="139" t="s">
        <v>3632</v>
      </c>
      <c r="C174" s="139">
        <v>2500</v>
      </c>
      <c r="D174" s="139">
        <v>0</v>
      </c>
      <c r="E174" s="139">
        <f t="shared" si="2"/>
        <v>500023942.87999988</v>
      </c>
      <c r="F174" s="15" t="s">
        <v>19</v>
      </c>
      <c r="G174" t="s">
        <v>189</v>
      </c>
    </row>
    <row r="175" spans="1:7" s="15" customFormat="1" ht="15.75">
      <c r="A175" s="201">
        <v>45947</v>
      </c>
      <c r="B175" s="139" t="s">
        <v>3633</v>
      </c>
      <c r="C175" s="139">
        <v>0</v>
      </c>
      <c r="D175" s="139">
        <v>100000000</v>
      </c>
      <c r="E175" s="139">
        <f t="shared" si="2"/>
        <v>600023942.87999988</v>
      </c>
      <c r="F175" s="15" t="s">
        <v>1400</v>
      </c>
      <c r="G175" s="15" t="s">
        <v>1400</v>
      </c>
    </row>
    <row r="176" spans="1:7" s="15" customFormat="1" ht="15.75">
      <c r="A176" s="201">
        <v>45947</v>
      </c>
      <c r="B176" s="139" t="s">
        <v>3677</v>
      </c>
      <c r="C176" s="139">
        <v>100000000</v>
      </c>
      <c r="D176" s="139">
        <v>0</v>
      </c>
      <c r="E176" s="139">
        <f t="shared" si="2"/>
        <v>500023942.87999988</v>
      </c>
      <c r="F176" s="15" t="s">
        <v>1400</v>
      </c>
      <c r="G176" s="15" t="s">
        <v>1400</v>
      </c>
    </row>
    <row r="177" spans="1:7" s="15" customFormat="1" ht="15.75">
      <c r="A177" s="201">
        <v>45947</v>
      </c>
      <c r="B177" s="139" t="s">
        <v>3634</v>
      </c>
      <c r="C177" s="139">
        <v>0</v>
      </c>
      <c r="D177" s="139">
        <v>2500</v>
      </c>
      <c r="E177" s="139">
        <f t="shared" si="2"/>
        <v>500026442.87999988</v>
      </c>
      <c r="F177" s="15" t="s">
        <v>19</v>
      </c>
      <c r="G177" t="s">
        <v>189</v>
      </c>
    </row>
    <row r="178" spans="1:7" s="15" customFormat="1" ht="15.75">
      <c r="A178" s="201">
        <v>45947</v>
      </c>
      <c r="B178" s="139" t="s">
        <v>3634</v>
      </c>
      <c r="C178" s="139">
        <v>2500</v>
      </c>
      <c r="D178" s="139">
        <v>0</v>
      </c>
      <c r="E178" s="139">
        <f t="shared" si="2"/>
        <v>500023942.87999988</v>
      </c>
      <c r="F178" s="15" t="s">
        <v>19</v>
      </c>
      <c r="G178" t="s">
        <v>189</v>
      </c>
    </row>
    <row r="179" spans="1:7" s="15" customFormat="1" ht="15.75">
      <c r="A179" s="201">
        <v>45947</v>
      </c>
      <c r="B179" s="139" t="s">
        <v>3635</v>
      </c>
      <c r="C179" s="139">
        <v>0</v>
      </c>
      <c r="D179" s="139">
        <v>100000000</v>
      </c>
      <c r="E179" s="139">
        <f t="shared" si="2"/>
        <v>600023942.87999988</v>
      </c>
      <c r="F179" s="15" t="s">
        <v>1400</v>
      </c>
      <c r="G179" s="15" t="s">
        <v>1400</v>
      </c>
    </row>
    <row r="180" spans="1:7" s="15" customFormat="1" ht="15.75">
      <c r="A180" s="201">
        <v>45947</v>
      </c>
      <c r="B180" s="139" t="s">
        <v>3635</v>
      </c>
      <c r="C180" s="139">
        <v>100000000</v>
      </c>
      <c r="D180" s="139">
        <v>0</v>
      </c>
      <c r="E180" s="139">
        <f t="shared" si="2"/>
        <v>500023942.87999988</v>
      </c>
      <c r="F180" s="15" t="s">
        <v>1400</v>
      </c>
      <c r="G180" s="15" t="s">
        <v>1400</v>
      </c>
    </row>
    <row r="181" spans="1:7" s="15" customFormat="1" ht="15.75">
      <c r="A181" s="201">
        <v>45947</v>
      </c>
      <c r="B181" s="139" t="s">
        <v>3636</v>
      </c>
      <c r="C181" s="139">
        <v>0</v>
      </c>
      <c r="D181" s="139">
        <v>2500</v>
      </c>
      <c r="E181" s="139">
        <f t="shared" si="2"/>
        <v>500026442.87999988</v>
      </c>
      <c r="F181" s="15" t="s">
        <v>19</v>
      </c>
      <c r="G181" t="s">
        <v>189</v>
      </c>
    </row>
    <row r="182" spans="1:7" s="15" customFormat="1" ht="15.75">
      <c r="A182" s="201">
        <v>45947</v>
      </c>
      <c r="B182" s="139" t="s">
        <v>3636</v>
      </c>
      <c r="C182" s="139">
        <v>2500</v>
      </c>
      <c r="D182" s="139">
        <v>0</v>
      </c>
      <c r="E182" s="139">
        <f t="shared" si="2"/>
        <v>500023942.87999988</v>
      </c>
      <c r="F182" s="15" t="s">
        <v>19</v>
      </c>
      <c r="G182" t="s">
        <v>189</v>
      </c>
    </row>
    <row r="183" spans="1:7" s="15" customFormat="1" ht="15.75">
      <c r="A183" s="201">
        <v>45947</v>
      </c>
      <c r="B183" s="139" t="s">
        <v>3637</v>
      </c>
      <c r="C183" s="139">
        <v>0</v>
      </c>
      <c r="D183" s="139">
        <v>100000000</v>
      </c>
      <c r="E183" s="139">
        <f t="shared" si="2"/>
        <v>600023942.87999988</v>
      </c>
      <c r="F183" s="15" t="s">
        <v>1400</v>
      </c>
      <c r="G183" s="15" t="s">
        <v>1400</v>
      </c>
    </row>
    <row r="184" spans="1:7" s="15" customFormat="1" ht="15.75">
      <c r="A184" s="201">
        <v>45947</v>
      </c>
      <c r="B184" s="139" t="s">
        <v>3637</v>
      </c>
      <c r="C184" s="139">
        <v>100000000</v>
      </c>
      <c r="D184" s="139">
        <v>0</v>
      </c>
      <c r="E184" s="139">
        <f t="shared" si="2"/>
        <v>500023942.87999988</v>
      </c>
      <c r="F184" s="15" t="s">
        <v>1400</v>
      </c>
      <c r="G184" s="15" t="s">
        <v>1400</v>
      </c>
    </row>
    <row r="185" spans="1:7" s="15" customFormat="1" ht="15.75">
      <c r="A185" s="201">
        <v>45947</v>
      </c>
      <c r="B185" s="139" t="s">
        <v>3638</v>
      </c>
      <c r="C185" s="139">
        <v>0</v>
      </c>
      <c r="D185" s="139">
        <v>2500</v>
      </c>
      <c r="E185" s="139">
        <f t="shared" si="2"/>
        <v>500026442.87999988</v>
      </c>
      <c r="F185" s="15" t="s">
        <v>19</v>
      </c>
      <c r="G185" t="s">
        <v>189</v>
      </c>
    </row>
    <row r="186" spans="1:7" s="15" customFormat="1" ht="15.75">
      <c r="A186" s="201">
        <v>45947</v>
      </c>
      <c r="B186" s="139" t="s">
        <v>3638</v>
      </c>
      <c r="C186" s="139">
        <v>2500</v>
      </c>
      <c r="D186" s="139">
        <v>0</v>
      </c>
      <c r="E186" s="139">
        <f t="shared" si="2"/>
        <v>500023942.87999988</v>
      </c>
      <c r="F186" s="15" t="s">
        <v>19</v>
      </c>
      <c r="G186" t="s">
        <v>189</v>
      </c>
    </row>
    <row r="187" spans="1:7" s="15" customFormat="1" ht="15.75">
      <c r="A187" s="201">
        <v>45947</v>
      </c>
      <c r="B187" s="139" t="s">
        <v>3639</v>
      </c>
      <c r="C187" s="139">
        <v>100000000</v>
      </c>
      <c r="D187" s="139">
        <v>0</v>
      </c>
      <c r="E187" s="139">
        <f t="shared" si="2"/>
        <v>400023942.87999988</v>
      </c>
      <c r="F187" s="15" t="s">
        <v>1400</v>
      </c>
      <c r="G187" s="15" t="s">
        <v>1400</v>
      </c>
    </row>
    <row r="188" spans="1:7" s="15" customFormat="1" ht="15.75">
      <c r="A188" s="201">
        <v>45947</v>
      </c>
      <c r="B188" s="139" t="s">
        <v>3640</v>
      </c>
      <c r="C188" s="139">
        <v>2500</v>
      </c>
      <c r="D188" s="139">
        <v>0</v>
      </c>
      <c r="E188" s="139">
        <f t="shared" si="2"/>
        <v>400021442.87999988</v>
      </c>
      <c r="F188" s="15" t="s">
        <v>19</v>
      </c>
      <c r="G188" t="s">
        <v>189</v>
      </c>
    </row>
    <row r="189" spans="1:7" s="15" customFormat="1" ht="15.75">
      <c r="A189" s="201">
        <v>45947</v>
      </c>
      <c r="B189" s="139" t="s">
        <v>3641</v>
      </c>
      <c r="C189" s="139">
        <v>100000000</v>
      </c>
      <c r="D189" s="139">
        <v>0</v>
      </c>
      <c r="E189" s="139">
        <f t="shared" si="2"/>
        <v>300021442.87999988</v>
      </c>
      <c r="F189" s="15" t="s">
        <v>1400</v>
      </c>
      <c r="G189" s="15" t="s">
        <v>1400</v>
      </c>
    </row>
    <row r="190" spans="1:7" s="15" customFormat="1" ht="15.75">
      <c r="A190" s="201">
        <v>45947</v>
      </c>
      <c r="B190" s="139" t="s">
        <v>3642</v>
      </c>
      <c r="C190" s="139">
        <v>2500</v>
      </c>
      <c r="D190" s="139">
        <v>0</v>
      </c>
      <c r="E190" s="139">
        <f t="shared" si="2"/>
        <v>300018942.87999988</v>
      </c>
      <c r="F190" s="15" t="s">
        <v>19</v>
      </c>
      <c r="G190" t="s">
        <v>189</v>
      </c>
    </row>
    <row r="191" spans="1:7" s="15" customFormat="1" ht="15.75">
      <c r="A191" s="201">
        <v>45947</v>
      </c>
      <c r="B191" s="139" t="s">
        <v>3643</v>
      </c>
      <c r="C191" s="139">
        <v>100000000</v>
      </c>
      <c r="D191" s="139">
        <v>0</v>
      </c>
      <c r="E191" s="139">
        <f t="shared" si="2"/>
        <v>200018942.87999988</v>
      </c>
      <c r="F191" s="15" t="s">
        <v>1400</v>
      </c>
      <c r="G191" s="15" t="s">
        <v>1400</v>
      </c>
    </row>
    <row r="192" spans="1:7" s="15" customFormat="1" ht="15.75">
      <c r="A192" s="201">
        <v>45947</v>
      </c>
      <c r="B192" s="139" t="s">
        <v>3644</v>
      </c>
      <c r="C192" s="139">
        <v>2500</v>
      </c>
      <c r="D192" s="139">
        <v>0</v>
      </c>
      <c r="E192" s="139">
        <f t="shared" si="2"/>
        <v>200016442.87999988</v>
      </c>
      <c r="F192" s="15" t="s">
        <v>19</v>
      </c>
      <c r="G192" t="s">
        <v>189</v>
      </c>
    </row>
    <row r="193" spans="1:7" s="15" customFormat="1" ht="15.75">
      <c r="A193" s="201">
        <v>45947</v>
      </c>
      <c r="B193" s="139" t="s">
        <v>3645</v>
      </c>
      <c r="C193" s="139">
        <v>100000000</v>
      </c>
      <c r="D193" s="139">
        <v>0</v>
      </c>
      <c r="E193" s="139">
        <f t="shared" si="2"/>
        <v>100016442.87999988</v>
      </c>
      <c r="F193" s="15" t="s">
        <v>1400</v>
      </c>
      <c r="G193" s="15" t="s">
        <v>1400</v>
      </c>
    </row>
    <row r="194" spans="1:7" s="15" customFormat="1" ht="15.75">
      <c r="A194" s="201">
        <v>45947</v>
      </c>
      <c r="B194" s="139" t="s">
        <v>3646</v>
      </c>
      <c r="C194" s="139">
        <v>2500</v>
      </c>
      <c r="D194" s="139">
        <v>0</v>
      </c>
      <c r="E194" s="139">
        <f t="shared" si="2"/>
        <v>100013942.87999988</v>
      </c>
      <c r="F194" s="15" t="s">
        <v>19</v>
      </c>
      <c r="G194" t="s">
        <v>189</v>
      </c>
    </row>
    <row r="195" spans="1:7" s="15" customFormat="1" ht="15.75">
      <c r="A195" s="201">
        <v>45947</v>
      </c>
      <c r="B195" s="139" t="s">
        <v>3647</v>
      </c>
      <c r="C195" s="139">
        <v>100000000</v>
      </c>
      <c r="D195" s="139">
        <v>0</v>
      </c>
      <c r="E195" s="139">
        <f t="shared" si="2"/>
        <v>13942.879999876022</v>
      </c>
      <c r="F195" s="15" t="s">
        <v>1400</v>
      </c>
      <c r="G195" s="15" t="s">
        <v>1400</v>
      </c>
    </row>
    <row r="196" spans="1:7" s="15" customFormat="1" ht="15.75">
      <c r="A196" s="201">
        <v>45947</v>
      </c>
      <c r="B196" s="139" t="s">
        <v>3648</v>
      </c>
      <c r="C196" s="139">
        <v>2500</v>
      </c>
      <c r="D196" s="139">
        <v>0</v>
      </c>
      <c r="E196" s="139">
        <f t="shared" ref="E196:E245" si="3">E195-C196+D196</f>
        <v>11442.879999876022</v>
      </c>
      <c r="F196" s="15" t="s">
        <v>19</v>
      </c>
      <c r="G196" t="s">
        <v>189</v>
      </c>
    </row>
    <row r="197" spans="1:7" s="15" customFormat="1" ht="15.75">
      <c r="A197" s="201">
        <v>45947</v>
      </c>
      <c r="B197" s="139" t="s">
        <v>3618</v>
      </c>
      <c r="C197" s="139">
        <v>0</v>
      </c>
      <c r="D197" s="139">
        <v>985000000</v>
      </c>
      <c r="E197" s="139">
        <f t="shared" si="3"/>
        <v>985011442.87999988</v>
      </c>
      <c r="F197" s="15" t="s">
        <v>920</v>
      </c>
      <c r="G197" s="80" t="s">
        <v>4249</v>
      </c>
    </row>
    <row r="198" spans="1:7" s="15" customFormat="1" ht="15.75">
      <c r="A198" s="201">
        <v>45947</v>
      </c>
      <c r="B198" s="139" t="s">
        <v>3649</v>
      </c>
      <c r="C198" s="139">
        <v>85000000</v>
      </c>
      <c r="D198" s="139">
        <v>0</v>
      </c>
      <c r="E198" s="139">
        <f t="shared" si="3"/>
        <v>900011442.87999988</v>
      </c>
      <c r="F198" s="15" t="s">
        <v>1400</v>
      </c>
      <c r="G198" s="15" t="s">
        <v>1400</v>
      </c>
    </row>
    <row r="199" spans="1:7" s="15" customFormat="1" ht="15.75">
      <c r="A199" s="201">
        <v>45947</v>
      </c>
      <c r="B199" s="139" t="s">
        <v>3650</v>
      </c>
      <c r="C199" s="139">
        <v>2500</v>
      </c>
      <c r="D199" s="139">
        <v>0</v>
      </c>
      <c r="E199" s="139">
        <f t="shared" si="3"/>
        <v>900008942.87999988</v>
      </c>
      <c r="F199" s="15" t="s">
        <v>19</v>
      </c>
      <c r="G199" t="s">
        <v>189</v>
      </c>
    </row>
    <row r="200" spans="1:7" s="15" customFormat="1" ht="15.75">
      <c r="A200" s="201">
        <v>45947</v>
      </c>
      <c r="B200" s="139" t="s">
        <v>3651</v>
      </c>
      <c r="C200" s="222">
        <v>100000000</v>
      </c>
      <c r="D200" s="139">
        <v>0</v>
      </c>
      <c r="E200" s="139">
        <f t="shared" si="3"/>
        <v>800008942.87999988</v>
      </c>
      <c r="F200" s="15" t="s">
        <v>1400</v>
      </c>
      <c r="G200" s="15" t="s">
        <v>1400</v>
      </c>
    </row>
    <row r="201" spans="1:7" s="15" customFormat="1" ht="15.75">
      <c r="A201" s="201">
        <v>45947</v>
      </c>
      <c r="B201" s="139" t="s">
        <v>3652</v>
      </c>
      <c r="C201" s="139">
        <v>2500</v>
      </c>
      <c r="D201" s="139">
        <v>0</v>
      </c>
      <c r="E201" s="139">
        <f t="shared" si="3"/>
        <v>800006442.87999988</v>
      </c>
      <c r="F201" s="15" t="s">
        <v>19</v>
      </c>
      <c r="G201" t="s">
        <v>189</v>
      </c>
    </row>
    <row r="202" spans="1:7" s="15" customFormat="1" ht="15.75">
      <c r="A202" s="201">
        <v>45947</v>
      </c>
      <c r="B202" s="139" t="s">
        <v>3653</v>
      </c>
      <c r="C202" s="222">
        <v>100000000</v>
      </c>
      <c r="D202" s="139">
        <v>0</v>
      </c>
      <c r="E202" s="139">
        <f t="shared" si="3"/>
        <v>700006442.87999988</v>
      </c>
      <c r="F202" s="15" t="s">
        <v>1400</v>
      </c>
      <c r="G202" s="15" t="s">
        <v>1400</v>
      </c>
    </row>
    <row r="203" spans="1:7" s="15" customFormat="1" ht="15.75">
      <c r="A203" s="201">
        <v>45947</v>
      </c>
      <c r="B203" s="139" t="s">
        <v>3654</v>
      </c>
      <c r="C203" s="139">
        <v>2500</v>
      </c>
      <c r="D203" s="139">
        <v>0</v>
      </c>
      <c r="E203" s="139">
        <f t="shared" si="3"/>
        <v>700003942.87999988</v>
      </c>
      <c r="F203" s="15" t="s">
        <v>19</v>
      </c>
      <c r="G203" t="s">
        <v>189</v>
      </c>
    </row>
    <row r="204" spans="1:7" s="15" customFormat="1" ht="15.75">
      <c r="A204" s="201">
        <v>45947</v>
      </c>
      <c r="B204" s="139" t="s">
        <v>3655</v>
      </c>
      <c r="C204" s="222">
        <v>100000000</v>
      </c>
      <c r="D204" s="139">
        <v>0</v>
      </c>
      <c r="E204" s="139">
        <f t="shared" si="3"/>
        <v>600003942.87999988</v>
      </c>
      <c r="F204" s="15" t="s">
        <v>1400</v>
      </c>
      <c r="G204" s="15" t="s">
        <v>1400</v>
      </c>
    </row>
    <row r="205" spans="1:7" s="15" customFormat="1" ht="15.75">
      <c r="A205" s="201">
        <v>45947</v>
      </c>
      <c r="B205" s="139" t="s">
        <v>3656</v>
      </c>
      <c r="C205" s="139">
        <v>2500</v>
      </c>
      <c r="D205" s="139">
        <v>0</v>
      </c>
      <c r="E205" s="139">
        <f t="shared" si="3"/>
        <v>600001442.87999988</v>
      </c>
      <c r="F205" s="15" t="s">
        <v>19</v>
      </c>
      <c r="G205" t="s">
        <v>189</v>
      </c>
    </row>
    <row r="206" spans="1:7" s="15" customFormat="1" ht="15.75">
      <c r="A206" s="201">
        <v>45947</v>
      </c>
      <c r="B206" s="139" t="s">
        <v>3657</v>
      </c>
      <c r="C206" s="222">
        <v>100000000</v>
      </c>
      <c r="D206" s="139">
        <v>0</v>
      </c>
      <c r="E206" s="139">
        <f t="shared" si="3"/>
        <v>500001442.87999988</v>
      </c>
      <c r="F206" s="15" t="s">
        <v>1400</v>
      </c>
      <c r="G206" s="15" t="s">
        <v>1400</v>
      </c>
    </row>
    <row r="207" spans="1:7" s="15" customFormat="1" ht="15.75">
      <c r="A207" s="201">
        <v>45947</v>
      </c>
      <c r="B207" s="139" t="s">
        <v>3658</v>
      </c>
      <c r="C207" s="139">
        <v>2500</v>
      </c>
      <c r="D207" s="139">
        <v>0</v>
      </c>
      <c r="E207" s="139">
        <f t="shared" si="3"/>
        <v>499998942.87999988</v>
      </c>
      <c r="F207" s="15" t="s">
        <v>19</v>
      </c>
      <c r="G207" t="s">
        <v>189</v>
      </c>
    </row>
    <row r="208" spans="1:7" s="15" customFormat="1" ht="15.75">
      <c r="A208" s="201">
        <v>45947</v>
      </c>
      <c r="B208" s="139" t="s">
        <v>3659</v>
      </c>
      <c r="C208" s="222">
        <v>100000000</v>
      </c>
      <c r="D208" s="139">
        <v>0</v>
      </c>
      <c r="E208" s="139">
        <f t="shared" si="3"/>
        <v>399998942.87999988</v>
      </c>
      <c r="F208" s="15" t="s">
        <v>1400</v>
      </c>
      <c r="G208" s="15" t="s">
        <v>1400</v>
      </c>
    </row>
    <row r="209" spans="1:7" s="15" customFormat="1" ht="15.75">
      <c r="A209" s="201">
        <v>45947</v>
      </c>
      <c r="B209" s="139" t="s">
        <v>3660</v>
      </c>
      <c r="C209" s="139">
        <v>2500</v>
      </c>
      <c r="D209" s="139">
        <v>0</v>
      </c>
      <c r="E209" s="139">
        <f t="shared" si="3"/>
        <v>399996442.87999988</v>
      </c>
      <c r="F209" s="15" t="s">
        <v>19</v>
      </c>
      <c r="G209" t="s">
        <v>189</v>
      </c>
    </row>
    <row r="210" spans="1:7" s="15" customFormat="1" ht="15.75">
      <c r="A210" s="201">
        <v>45947</v>
      </c>
      <c r="B210" s="139" t="s">
        <v>3659</v>
      </c>
      <c r="C210" s="139">
        <v>0</v>
      </c>
      <c r="D210" s="139">
        <v>100000000</v>
      </c>
      <c r="E210" s="139">
        <f t="shared" si="3"/>
        <v>499996442.87999988</v>
      </c>
      <c r="F210" s="15" t="s">
        <v>1400</v>
      </c>
      <c r="G210" s="15" t="s">
        <v>1400</v>
      </c>
    </row>
    <row r="211" spans="1:7" s="15" customFormat="1" ht="15.75">
      <c r="A211" s="201">
        <v>45947</v>
      </c>
      <c r="B211" s="139" t="s">
        <v>3660</v>
      </c>
      <c r="C211" s="139">
        <v>0</v>
      </c>
      <c r="D211" s="139">
        <v>2500</v>
      </c>
      <c r="E211" s="139">
        <f t="shared" si="3"/>
        <v>499998942.87999988</v>
      </c>
      <c r="F211" s="15" t="s">
        <v>19</v>
      </c>
      <c r="G211" t="s">
        <v>189</v>
      </c>
    </row>
    <row r="212" spans="1:7" s="15" customFormat="1" ht="15.75">
      <c r="A212" s="201">
        <v>45947</v>
      </c>
      <c r="B212" s="139" t="s">
        <v>3661</v>
      </c>
      <c r="C212" s="139">
        <v>0</v>
      </c>
      <c r="D212" s="139">
        <v>100000000</v>
      </c>
      <c r="E212" s="139">
        <f t="shared" si="3"/>
        <v>599998942.87999988</v>
      </c>
      <c r="F212" s="15" t="s">
        <v>1400</v>
      </c>
      <c r="G212" s="15" t="s">
        <v>1400</v>
      </c>
    </row>
    <row r="213" spans="1:7" s="15" customFormat="1" ht="15.75">
      <c r="A213" s="201">
        <v>45947</v>
      </c>
      <c r="B213" s="139" t="s">
        <v>3661</v>
      </c>
      <c r="C213" s="222">
        <v>100000000</v>
      </c>
      <c r="D213" s="139">
        <v>0</v>
      </c>
      <c r="E213" s="139">
        <f t="shared" si="3"/>
        <v>499998942.87999988</v>
      </c>
      <c r="F213" s="15" t="s">
        <v>1400</v>
      </c>
      <c r="G213" s="15" t="s">
        <v>1400</v>
      </c>
    </row>
    <row r="214" spans="1:7" s="15" customFormat="1" ht="15.75">
      <c r="A214" s="201">
        <v>45947</v>
      </c>
      <c r="B214" s="139" t="s">
        <v>3662</v>
      </c>
      <c r="C214" s="139">
        <v>0</v>
      </c>
      <c r="D214" s="139">
        <v>2500</v>
      </c>
      <c r="E214" s="139">
        <f t="shared" si="3"/>
        <v>500001442.87999988</v>
      </c>
      <c r="F214" s="15" t="s">
        <v>19</v>
      </c>
      <c r="G214" t="s">
        <v>189</v>
      </c>
    </row>
    <row r="215" spans="1:7" s="15" customFormat="1" ht="15.75">
      <c r="A215" s="201">
        <v>45947</v>
      </c>
      <c r="B215" s="139" t="s">
        <v>3662</v>
      </c>
      <c r="C215" s="139">
        <v>2500</v>
      </c>
      <c r="D215" s="139">
        <v>0</v>
      </c>
      <c r="E215" s="139">
        <f t="shared" si="3"/>
        <v>499998942.87999988</v>
      </c>
      <c r="F215" s="15" t="s">
        <v>19</v>
      </c>
      <c r="G215" t="s">
        <v>189</v>
      </c>
    </row>
    <row r="216" spans="1:7" s="15" customFormat="1" ht="15.75">
      <c r="A216" s="201">
        <v>45947</v>
      </c>
      <c r="B216" s="139" t="s">
        <v>3663</v>
      </c>
      <c r="C216" s="139">
        <v>0</v>
      </c>
      <c r="D216" s="139">
        <v>100000000</v>
      </c>
      <c r="E216" s="139">
        <f t="shared" si="3"/>
        <v>599998942.87999988</v>
      </c>
      <c r="F216" s="15" t="s">
        <v>1400</v>
      </c>
      <c r="G216" s="15" t="s">
        <v>1400</v>
      </c>
    </row>
    <row r="217" spans="1:7" s="15" customFormat="1" ht="15.75">
      <c r="A217" s="201">
        <v>45947</v>
      </c>
      <c r="B217" s="139" t="s">
        <v>3663</v>
      </c>
      <c r="C217" s="222">
        <v>100000000</v>
      </c>
      <c r="D217" s="139">
        <v>0</v>
      </c>
      <c r="E217" s="139">
        <f t="shared" si="3"/>
        <v>499998942.87999988</v>
      </c>
      <c r="F217" s="15" t="s">
        <v>1400</v>
      </c>
      <c r="G217" s="15" t="s">
        <v>1400</v>
      </c>
    </row>
    <row r="218" spans="1:7" s="15" customFormat="1" ht="15.75">
      <c r="A218" s="201">
        <v>45947</v>
      </c>
      <c r="B218" s="139" t="s">
        <v>3664</v>
      </c>
      <c r="C218" s="139">
        <v>0</v>
      </c>
      <c r="D218" s="139">
        <v>2500</v>
      </c>
      <c r="E218" s="139">
        <f t="shared" si="3"/>
        <v>500001442.87999988</v>
      </c>
      <c r="F218" s="15" t="s">
        <v>19</v>
      </c>
      <c r="G218" t="s">
        <v>189</v>
      </c>
    </row>
    <row r="219" spans="1:7" s="15" customFormat="1" ht="15.75">
      <c r="A219" s="201">
        <v>45947</v>
      </c>
      <c r="B219" s="139" t="s">
        <v>3664</v>
      </c>
      <c r="C219" s="139">
        <v>2500</v>
      </c>
      <c r="D219" s="139">
        <v>0</v>
      </c>
      <c r="E219" s="139">
        <f t="shared" si="3"/>
        <v>499998942.87999988</v>
      </c>
      <c r="F219" s="15" t="s">
        <v>19</v>
      </c>
      <c r="G219" t="s">
        <v>189</v>
      </c>
    </row>
    <row r="220" spans="1:7" s="15" customFormat="1" ht="15.75">
      <c r="A220" s="201">
        <v>45947</v>
      </c>
      <c r="B220" s="139" t="s">
        <v>3665</v>
      </c>
      <c r="C220" s="222">
        <v>100000000</v>
      </c>
      <c r="D220" s="139">
        <v>0</v>
      </c>
      <c r="E220" s="139">
        <f t="shared" si="3"/>
        <v>399998942.87999988</v>
      </c>
      <c r="F220" s="15" t="s">
        <v>1400</v>
      </c>
      <c r="G220" s="15" t="s">
        <v>1400</v>
      </c>
    </row>
    <row r="221" spans="1:7" s="15" customFormat="1" ht="15.75">
      <c r="A221" s="201">
        <v>45947</v>
      </c>
      <c r="B221" s="139" t="s">
        <v>3666</v>
      </c>
      <c r="C221" s="139">
        <v>2500</v>
      </c>
      <c r="D221" s="139">
        <v>0</v>
      </c>
      <c r="E221" s="139">
        <f t="shared" si="3"/>
        <v>399996442.87999988</v>
      </c>
      <c r="F221" s="15" t="s">
        <v>19</v>
      </c>
      <c r="G221" t="s">
        <v>189</v>
      </c>
    </row>
    <row r="222" spans="1:7" s="15" customFormat="1" ht="15.75">
      <c r="A222" s="201">
        <v>45947</v>
      </c>
      <c r="B222" s="139" t="s">
        <v>3665</v>
      </c>
      <c r="C222" s="139">
        <v>0</v>
      </c>
      <c r="D222" s="139">
        <v>100000000</v>
      </c>
      <c r="E222" s="139">
        <f t="shared" si="3"/>
        <v>499996442.87999988</v>
      </c>
      <c r="F222" s="15" t="s">
        <v>1400</v>
      </c>
      <c r="G222" s="15" t="s">
        <v>1400</v>
      </c>
    </row>
    <row r="223" spans="1:7" s="15" customFormat="1" ht="15.75">
      <c r="A223" s="201">
        <v>45947</v>
      </c>
      <c r="B223" s="139" t="s">
        <v>3666</v>
      </c>
      <c r="C223" s="139">
        <v>0</v>
      </c>
      <c r="D223" s="139">
        <v>2500</v>
      </c>
      <c r="E223" s="139">
        <f t="shared" si="3"/>
        <v>499998942.87999988</v>
      </c>
      <c r="F223" s="15" t="s">
        <v>19</v>
      </c>
      <c r="G223" t="s">
        <v>189</v>
      </c>
    </row>
    <row r="224" spans="1:7" s="15" customFormat="1" ht="15.75">
      <c r="A224" s="201">
        <v>45947</v>
      </c>
      <c r="B224" s="139" t="s">
        <v>3667</v>
      </c>
      <c r="C224" s="139">
        <v>0</v>
      </c>
      <c r="D224" s="139">
        <v>100000000</v>
      </c>
      <c r="E224" s="139">
        <f t="shared" si="3"/>
        <v>599998942.87999988</v>
      </c>
      <c r="F224" s="15" t="s">
        <v>1400</v>
      </c>
      <c r="G224" s="15" t="s">
        <v>1400</v>
      </c>
    </row>
    <row r="225" spans="1:7" s="15" customFormat="1" ht="15.75">
      <c r="A225" s="201">
        <v>45947</v>
      </c>
      <c r="B225" s="139" t="s">
        <v>3667</v>
      </c>
      <c r="C225" s="222">
        <v>100000000</v>
      </c>
      <c r="D225" s="139">
        <v>0</v>
      </c>
      <c r="E225" s="139">
        <f t="shared" si="3"/>
        <v>499998942.87999988</v>
      </c>
      <c r="F225" s="15" t="s">
        <v>1400</v>
      </c>
      <c r="G225" s="15" t="s">
        <v>1400</v>
      </c>
    </row>
    <row r="226" spans="1:7" s="15" customFormat="1" ht="15.75">
      <c r="A226" s="201">
        <v>45947</v>
      </c>
      <c r="B226" s="139" t="s">
        <v>3668</v>
      </c>
      <c r="C226" s="139">
        <v>0</v>
      </c>
      <c r="D226" s="139">
        <v>2500</v>
      </c>
      <c r="E226" s="139">
        <f t="shared" si="3"/>
        <v>500001442.87999988</v>
      </c>
      <c r="F226" s="15" t="s">
        <v>19</v>
      </c>
      <c r="G226" t="s">
        <v>189</v>
      </c>
    </row>
    <row r="227" spans="1:7" s="15" customFormat="1" ht="15.75">
      <c r="A227" s="201">
        <v>45947</v>
      </c>
      <c r="B227" s="139" t="s">
        <v>3668</v>
      </c>
      <c r="C227" s="139">
        <v>2500</v>
      </c>
      <c r="D227" s="139">
        <v>0</v>
      </c>
      <c r="E227" s="139">
        <f t="shared" si="3"/>
        <v>499998942.87999988</v>
      </c>
      <c r="F227" s="15" t="s">
        <v>19</v>
      </c>
      <c r="G227" t="s">
        <v>189</v>
      </c>
    </row>
    <row r="228" spans="1:7" s="15" customFormat="1" ht="15.75">
      <c r="A228" s="201">
        <v>45947</v>
      </c>
      <c r="B228" s="139" t="s">
        <v>3618</v>
      </c>
      <c r="C228" s="139">
        <v>0</v>
      </c>
      <c r="D228" s="139">
        <v>15000</v>
      </c>
      <c r="E228" s="139">
        <f t="shared" si="3"/>
        <v>500013942.87999988</v>
      </c>
      <c r="F228" s="15" t="s">
        <v>920</v>
      </c>
      <c r="G228" s="80" t="s">
        <v>4249</v>
      </c>
    </row>
    <row r="229" spans="1:7" s="15" customFormat="1" ht="15.75">
      <c r="A229" s="201">
        <v>45947</v>
      </c>
      <c r="B229" s="139" t="s">
        <v>3669</v>
      </c>
      <c r="C229" s="222">
        <v>100000000</v>
      </c>
      <c r="D229" s="139">
        <v>0</v>
      </c>
      <c r="E229" s="139">
        <f t="shared" si="3"/>
        <v>400013942.87999988</v>
      </c>
      <c r="F229" s="15" t="s">
        <v>1400</v>
      </c>
      <c r="G229" s="15" t="s">
        <v>1400</v>
      </c>
    </row>
    <row r="230" spans="1:7" s="15" customFormat="1" ht="15.75">
      <c r="A230" s="201">
        <v>45947</v>
      </c>
      <c r="B230" s="139" t="s">
        <v>3670</v>
      </c>
      <c r="C230" s="139">
        <v>2500</v>
      </c>
      <c r="D230" s="139">
        <v>0</v>
      </c>
      <c r="E230" s="139">
        <f t="shared" si="3"/>
        <v>400011442.87999988</v>
      </c>
      <c r="F230" s="15" t="s">
        <v>19</v>
      </c>
      <c r="G230" t="s">
        <v>189</v>
      </c>
    </row>
    <row r="231" spans="1:7" s="15" customFormat="1" ht="15.75">
      <c r="A231" s="201">
        <v>45947</v>
      </c>
      <c r="B231" s="139" t="s">
        <v>3671</v>
      </c>
      <c r="C231" s="222">
        <v>100000000</v>
      </c>
      <c r="D231" s="139">
        <v>0</v>
      </c>
      <c r="E231" s="139">
        <f t="shared" si="3"/>
        <v>300011442.87999988</v>
      </c>
      <c r="F231" s="15" t="s">
        <v>1400</v>
      </c>
      <c r="G231" s="15" t="s">
        <v>1400</v>
      </c>
    </row>
    <row r="232" spans="1:7" s="15" customFormat="1" ht="15.75">
      <c r="A232" s="201">
        <v>45947</v>
      </c>
      <c r="B232" s="139" t="s">
        <v>3672</v>
      </c>
      <c r="C232" s="139">
        <v>2500</v>
      </c>
      <c r="D232" s="139">
        <v>0</v>
      </c>
      <c r="E232" s="139">
        <f t="shared" si="3"/>
        <v>300008942.87999988</v>
      </c>
      <c r="F232" s="15" t="s">
        <v>19</v>
      </c>
      <c r="G232" t="s">
        <v>189</v>
      </c>
    </row>
    <row r="233" spans="1:7" s="15" customFormat="1" ht="15.75">
      <c r="A233" s="201">
        <v>45947</v>
      </c>
      <c r="B233" s="139" t="s">
        <v>3673</v>
      </c>
      <c r="C233" s="222">
        <v>100000000</v>
      </c>
      <c r="D233" s="139">
        <v>0</v>
      </c>
      <c r="E233" s="139">
        <f t="shared" si="3"/>
        <v>200008942.87999988</v>
      </c>
      <c r="F233" s="15" t="s">
        <v>1400</v>
      </c>
      <c r="G233" s="15" t="s">
        <v>1400</v>
      </c>
    </row>
    <row r="234" spans="1:7" s="15" customFormat="1" ht="15.75">
      <c r="A234" s="201">
        <v>45947</v>
      </c>
      <c r="B234" s="15" t="s">
        <v>3674</v>
      </c>
      <c r="C234" s="139">
        <v>2500</v>
      </c>
      <c r="D234" s="139">
        <v>0</v>
      </c>
      <c r="E234" s="139">
        <f t="shared" si="3"/>
        <v>200006442.87999988</v>
      </c>
      <c r="F234" s="15" t="s">
        <v>19</v>
      </c>
      <c r="G234" t="s">
        <v>189</v>
      </c>
    </row>
    <row r="235" spans="1:7" s="15" customFormat="1" ht="15.75">
      <c r="A235" s="201">
        <v>45947</v>
      </c>
      <c r="B235" s="15" t="s">
        <v>3675</v>
      </c>
      <c r="C235" s="222">
        <v>100000000</v>
      </c>
      <c r="D235" s="139">
        <v>0</v>
      </c>
      <c r="E235" s="139">
        <f t="shared" si="3"/>
        <v>100006442.87999988</v>
      </c>
      <c r="F235" s="15" t="s">
        <v>1400</v>
      </c>
      <c r="G235" s="15" t="s">
        <v>1400</v>
      </c>
    </row>
    <row r="236" spans="1:7" s="15" customFormat="1" ht="15.75">
      <c r="A236" s="201">
        <v>45947</v>
      </c>
      <c r="B236" s="15" t="s">
        <v>3676</v>
      </c>
      <c r="C236" s="139">
        <v>2500</v>
      </c>
      <c r="D236" s="139">
        <v>0</v>
      </c>
      <c r="E236" s="139">
        <f t="shared" si="3"/>
        <v>100003942.87999988</v>
      </c>
      <c r="F236" s="15" t="s">
        <v>19</v>
      </c>
      <c r="G236" t="s">
        <v>189</v>
      </c>
    </row>
    <row r="237" spans="1:7" ht="15.75">
      <c r="A237" s="201">
        <v>45947</v>
      </c>
      <c r="B237" t="s">
        <v>4036</v>
      </c>
      <c r="C237" s="1">
        <v>0</v>
      </c>
      <c r="D237" s="1">
        <v>50000</v>
      </c>
      <c r="E237" s="139">
        <f t="shared" si="3"/>
        <v>100053942.87999988</v>
      </c>
      <c r="F237" s="15" t="s">
        <v>920</v>
      </c>
      <c r="G237" s="80" t="s">
        <v>4249</v>
      </c>
    </row>
    <row r="238" spans="1:7" ht="15.75">
      <c r="A238" s="201">
        <v>45947</v>
      </c>
      <c r="B238" t="s">
        <v>3707</v>
      </c>
      <c r="C238" s="1">
        <v>100000000</v>
      </c>
      <c r="D238" s="1">
        <v>0</v>
      </c>
      <c r="E238" s="139">
        <f t="shared" si="3"/>
        <v>53942.879999876022</v>
      </c>
      <c r="F238" s="15" t="s">
        <v>1400</v>
      </c>
      <c r="G238" s="15" t="s">
        <v>1400</v>
      </c>
    </row>
    <row r="239" spans="1:7" ht="15.75">
      <c r="A239" s="201">
        <v>45947</v>
      </c>
      <c r="B239" t="s">
        <v>4013</v>
      </c>
      <c r="C239" s="1">
        <v>2500</v>
      </c>
      <c r="D239" s="1">
        <v>0</v>
      </c>
      <c r="E239" s="139">
        <f t="shared" si="3"/>
        <v>51442.879999876022</v>
      </c>
      <c r="F239" s="15" t="s">
        <v>19</v>
      </c>
      <c r="G239" t="s">
        <v>189</v>
      </c>
    </row>
    <row r="240" spans="1:7" ht="15.75">
      <c r="A240" s="5">
        <v>45961</v>
      </c>
      <c r="B240" t="s">
        <v>1217</v>
      </c>
      <c r="C240" s="1">
        <v>12500</v>
      </c>
      <c r="D240" s="1">
        <v>0</v>
      </c>
      <c r="E240" s="139">
        <f t="shared" si="3"/>
        <v>38942.879999876022</v>
      </c>
      <c r="F240" s="15" t="s">
        <v>19</v>
      </c>
      <c r="G240" t="s">
        <v>189</v>
      </c>
    </row>
    <row r="241" spans="1:7" ht="15.75">
      <c r="A241" s="5">
        <v>45961</v>
      </c>
      <c r="B241" t="s">
        <v>3018</v>
      </c>
      <c r="C241" s="1">
        <v>25000</v>
      </c>
      <c r="D241" s="1">
        <v>0</v>
      </c>
      <c r="E241" s="139">
        <f t="shared" si="3"/>
        <v>13942.879999876022</v>
      </c>
      <c r="F241" s="15" t="s">
        <v>19</v>
      </c>
      <c r="G241" t="s">
        <v>189</v>
      </c>
    </row>
    <row r="242" spans="1:7" ht="15.75">
      <c r="A242" s="5">
        <v>45961</v>
      </c>
      <c r="B242" t="s">
        <v>1216</v>
      </c>
      <c r="C242" s="1">
        <v>0</v>
      </c>
      <c r="D242" s="1">
        <v>1611.34</v>
      </c>
      <c r="E242" s="139">
        <f t="shared" si="3"/>
        <v>15554.219999876022</v>
      </c>
      <c r="F242" t="s">
        <v>190</v>
      </c>
      <c r="G242" t="s">
        <v>79</v>
      </c>
    </row>
    <row r="243" spans="1:7" ht="15.75">
      <c r="A243" s="5">
        <v>45961</v>
      </c>
      <c r="B243" t="s">
        <v>1218</v>
      </c>
      <c r="C243" s="1">
        <v>322.27</v>
      </c>
      <c r="D243" s="1">
        <v>0</v>
      </c>
      <c r="E243" s="139">
        <f t="shared" si="3"/>
        <v>15231.949999876022</v>
      </c>
      <c r="F243" t="s">
        <v>190</v>
      </c>
      <c r="G243" t="s">
        <v>79</v>
      </c>
    </row>
    <row r="244" spans="1:7" ht="15.75">
      <c r="A244" s="5">
        <v>45991</v>
      </c>
      <c r="B244" t="s">
        <v>1217</v>
      </c>
      <c r="C244" s="1">
        <v>12500</v>
      </c>
      <c r="D244" s="1">
        <v>0</v>
      </c>
      <c r="E244" s="139">
        <f t="shared" si="3"/>
        <v>2731.949999876022</v>
      </c>
      <c r="F244" t="s">
        <v>19</v>
      </c>
      <c r="G244" t="s">
        <v>189</v>
      </c>
    </row>
    <row r="245" spans="1:7" ht="15.75">
      <c r="A245" s="5">
        <v>45991</v>
      </c>
      <c r="B245" t="s">
        <v>3018</v>
      </c>
      <c r="C245" s="1">
        <v>2731.949999876022</v>
      </c>
      <c r="D245" s="1">
        <v>0</v>
      </c>
      <c r="E245" s="139">
        <f t="shared" si="3"/>
        <v>0</v>
      </c>
      <c r="F245" t="s">
        <v>19</v>
      </c>
      <c r="G245" t="s">
        <v>189</v>
      </c>
    </row>
    <row r="247" spans="1:7">
      <c r="C247" s="1">
        <f>SUBTOTAL(9,C5:C246)</f>
        <v>10791730545.41</v>
      </c>
      <c r="D247" s="1">
        <f>SUBTOTAL(9,D5:D246)</f>
        <v>10791730545.41</v>
      </c>
    </row>
    <row r="248" spans="1:7">
      <c r="D248" s="1">
        <f>D247-C247</f>
        <v>0</v>
      </c>
    </row>
  </sheetData>
  <autoFilter ref="A4:I245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91" zoomScaleNormal="100" workbookViewId="0">
      <selection activeCell="D33" sqref="D33"/>
    </sheetView>
  </sheetViews>
  <sheetFormatPr defaultColWidth="11.5546875" defaultRowHeight="15"/>
  <cols>
    <col min="1" max="1" width="11.6640625" style="5" customWidth="1"/>
    <col min="2" max="2" width="78.44140625" customWidth="1"/>
    <col min="3" max="4" width="21.109375" style="1" customWidth="1"/>
    <col min="5" max="5" width="19.109375" style="1" customWidth="1"/>
    <col min="6" max="6" width="26.44140625" customWidth="1"/>
    <col min="7" max="7" width="30.6640625" customWidth="1"/>
    <col min="8" max="8" width="71" customWidth="1"/>
    <col min="9" max="9" width="49.109375" customWidth="1"/>
    <col min="10" max="10" width="66.33203125" customWidth="1"/>
  </cols>
  <sheetData>
    <row r="1" spans="1:9" ht="15.75">
      <c r="A1" s="6" t="s">
        <v>90</v>
      </c>
      <c r="B1" s="9" t="s">
        <v>26</v>
      </c>
      <c r="C1" s="1" t="s">
        <v>26</v>
      </c>
      <c r="D1" s="1" t="s">
        <v>26</v>
      </c>
      <c r="E1" s="1" t="s">
        <v>26</v>
      </c>
      <c r="F1" s="52" t="s">
        <v>26</v>
      </c>
      <c r="G1" s="52" t="s">
        <v>26</v>
      </c>
    </row>
    <row r="2" spans="1:9" ht="15.75">
      <c r="A2" s="6" t="s">
        <v>17</v>
      </c>
      <c r="C2" s="1" t="s">
        <v>26</v>
      </c>
      <c r="D2" s="1" t="s">
        <v>26</v>
      </c>
      <c r="E2" s="1" t="s">
        <v>26</v>
      </c>
      <c r="F2" s="52" t="s">
        <v>26</v>
      </c>
    </row>
    <row r="4" spans="1:9" ht="15.75">
      <c r="A4" s="4" t="s">
        <v>3</v>
      </c>
      <c r="B4" s="3" t="s">
        <v>511</v>
      </c>
      <c r="C4" s="10"/>
      <c r="D4" s="10"/>
      <c r="E4" s="10">
        <v>0</v>
      </c>
    </row>
    <row r="5" spans="1:9" ht="15.75">
      <c r="A5" s="201">
        <v>45894</v>
      </c>
      <c r="B5" s="139" t="s">
        <v>2950</v>
      </c>
      <c r="C5" s="139">
        <v>0</v>
      </c>
      <c r="D5" s="139">
        <v>462382639</v>
      </c>
      <c r="E5" s="139">
        <f>E4-C5+D5</f>
        <v>462382639</v>
      </c>
      <c r="F5" s="15" t="s">
        <v>2140</v>
      </c>
      <c r="G5" t="s">
        <v>2141</v>
      </c>
      <c r="H5" s="146" t="s">
        <v>2326</v>
      </c>
      <c r="I5" s="37" t="s">
        <v>3404</v>
      </c>
    </row>
    <row r="6" spans="1:9" ht="15.75">
      <c r="A6" s="201">
        <v>45900</v>
      </c>
      <c r="B6" s="139" t="s">
        <v>2951</v>
      </c>
      <c r="C6" s="139">
        <v>0</v>
      </c>
      <c r="D6" s="139">
        <v>83402</v>
      </c>
      <c r="E6" s="139">
        <f t="shared" ref="E6:E31" si="0">E5-C6+D6</f>
        <v>462466041</v>
      </c>
      <c r="F6" s="15" t="s">
        <v>1209</v>
      </c>
      <c r="G6" t="s">
        <v>79</v>
      </c>
    </row>
    <row r="7" spans="1:9" ht="15.75">
      <c r="A7" s="201">
        <v>45900</v>
      </c>
      <c r="B7" s="139" t="s">
        <v>2952</v>
      </c>
      <c r="C7" s="139">
        <v>16681</v>
      </c>
      <c r="D7" s="139">
        <v>0</v>
      </c>
      <c r="E7" s="139">
        <f t="shared" si="0"/>
        <v>462449360</v>
      </c>
      <c r="F7" s="15" t="s">
        <v>1209</v>
      </c>
      <c r="G7" t="s">
        <v>79</v>
      </c>
      <c r="H7" s="154" t="s">
        <v>26</v>
      </c>
      <c r="I7" s="37" t="s">
        <v>26</v>
      </c>
    </row>
    <row r="8" spans="1:9" ht="15.75">
      <c r="A8" s="201">
        <v>45900</v>
      </c>
      <c r="B8" s="139" t="s">
        <v>2953</v>
      </c>
      <c r="C8" s="139">
        <v>25000</v>
      </c>
      <c r="D8" s="139">
        <v>0</v>
      </c>
      <c r="E8" s="139">
        <f t="shared" si="0"/>
        <v>462424360</v>
      </c>
      <c r="F8" s="15" t="s">
        <v>19</v>
      </c>
      <c r="G8" t="s">
        <v>912</v>
      </c>
      <c r="H8" s="154" t="s">
        <v>26</v>
      </c>
      <c r="I8" s="37" t="s">
        <v>26</v>
      </c>
    </row>
    <row r="9" spans="1:9" ht="15.75">
      <c r="A9" s="201">
        <v>45911</v>
      </c>
      <c r="B9" s="139" t="s">
        <v>2954</v>
      </c>
      <c r="C9" s="139">
        <v>0</v>
      </c>
      <c r="D9" s="139">
        <v>441441441</v>
      </c>
      <c r="E9" s="139">
        <f t="shared" si="0"/>
        <v>903865801</v>
      </c>
      <c r="F9" s="15" t="s">
        <v>2140</v>
      </c>
      <c r="G9" t="s">
        <v>2141</v>
      </c>
      <c r="H9" s="154" t="s">
        <v>1352</v>
      </c>
      <c r="I9" s="37" t="s">
        <v>1473</v>
      </c>
    </row>
    <row r="10" spans="1:9" ht="15.75">
      <c r="A10" s="201">
        <v>45911</v>
      </c>
      <c r="B10" s="139" t="s">
        <v>2955</v>
      </c>
      <c r="C10" s="139">
        <v>250000000</v>
      </c>
      <c r="D10" s="139">
        <v>0</v>
      </c>
      <c r="E10" s="139">
        <f t="shared" si="0"/>
        <v>653865801</v>
      </c>
      <c r="F10" s="15" t="s">
        <v>1400</v>
      </c>
      <c r="G10" s="15" t="s">
        <v>1400</v>
      </c>
      <c r="H10" s="154" t="s">
        <v>26</v>
      </c>
      <c r="I10" s="37" t="s">
        <v>26</v>
      </c>
    </row>
    <row r="11" spans="1:9" ht="15.75">
      <c r="A11" s="201">
        <v>45911</v>
      </c>
      <c r="B11" s="139" t="s">
        <v>2956</v>
      </c>
      <c r="C11" s="139">
        <v>2500</v>
      </c>
      <c r="D11" s="139">
        <v>0</v>
      </c>
      <c r="E11" s="139">
        <f t="shared" si="0"/>
        <v>653863301</v>
      </c>
      <c r="F11" s="15" t="s">
        <v>1400</v>
      </c>
      <c r="G11" s="15" t="s">
        <v>1400</v>
      </c>
      <c r="H11" s="154" t="s">
        <v>26</v>
      </c>
      <c r="I11" s="37" t="s">
        <v>26</v>
      </c>
    </row>
    <row r="12" spans="1:9" ht="15.75">
      <c r="A12" s="201">
        <v>45911</v>
      </c>
      <c r="B12" s="139" t="s">
        <v>2957</v>
      </c>
      <c r="C12" s="139">
        <v>0</v>
      </c>
      <c r="D12" s="139">
        <v>250000000</v>
      </c>
      <c r="E12" s="139">
        <f t="shared" si="0"/>
        <v>903863301</v>
      </c>
      <c r="F12" s="15" t="s">
        <v>1400</v>
      </c>
      <c r="G12" s="15" t="s">
        <v>1400</v>
      </c>
      <c r="H12" s="154" t="s">
        <v>26</v>
      </c>
      <c r="I12" s="37" t="s">
        <v>26</v>
      </c>
    </row>
    <row r="13" spans="1:9" ht="15.75">
      <c r="A13" s="201">
        <v>45911</v>
      </c>
      <c r="B13" s="139" t="s">
        <v>2958</v>
      </c>
      <c r="C13" s="139">
        <v>0</v>
      </c>
      <c r="D13" s="139">
        <v>2500</v>
      </c>
      <c r="E13" s="139">
        <f t="shared" si="0"/>
        <v>903865801</v>
      </c>
      <c r="F13" s="15" t="s">
        <v>1400</v>
      </c>
      <c r="G13" s="15" t="s">
        <v>1400</v>
      </c>
      <c r="H13" s="154" t="s">
        <v>277</v>
      </c>
      <c r="I13" s="37" t="s">
        <v>26</v>
      </c>
    </row>
    <row r="14" spans="1:9" ht="15.75">
      <c r="A14" s="201">
        <v>45911</v>
      </c>
      <c r="B14" s="139" t="s">
        <v>2959</v>
      </c>
      <c r="C14" s="139">
        <v>250000000</v>
      </c>
      <c r="D14" s="139">
        <v>0</v>
      </c>
      <c r="E14" s="139">
        <f t="shared" si="0"/>
        <v>653865801</v>
      </c>
      <c r="F14" s="15" t="s">
        <v>920</v>
      </c>
      <c r="G14" t="s">
        <v>4237</v>
      </c>
      <c r="H14" s="154" t="s">
        <v>26</v>
      </c>
      <c r="I14" s="37" t="s">
        <v>26</v>
      </c>
    </row>
    <row r="15" spans="1:9" ht="15.75">
      <c r="A15" s="201">
        <v>45911</v>
      </c>
      <c r="B15" s="139" t="s">
        <v>2956</v>
      </c>
      <c r="C15" s="139">
        <v>2500</v>
      </c>
      <c r="D15" s="139">
        <v>0</v>
      </c>
      <c r="E15" s="139">
        <f t="shared" si="0"/>
        <v>653863301</v>
      </c>
      <c r="F15" s="15" t="s">
        <v>19</v>
      </c>
      <c r="G15" t="s">
        <v>912</v>
      </c>
      <c r="H15" s="154" t="s">
        <v>26</v>
      </c>
      <c r="I15" s="37" t="s">
        <v>26</v>
      </c>
    </row>
    <row r="16" spans="1:9" ht="15.75">
      <c r="A16" s="201">
        <v>45911</v>
      </c>
      <c r="B16" s="139" t="s">
        <v>2960</v>
      </c>
      <c r="C16" s="139">
        <v>250000000</v>
      </c>
      <c r="D16" s="139">
        <v>0</v>
      </c>
      <c r="E16" s="139">
        <f t="shared" si="0"/>
        <v>403863301</v>
      </c>
      <c r="F16" s="15" t="s">
        <v>920</v>
      </c>
      <c r="G16" t="s">
        <v>4244</v>
      </c>
      <c r="H16" s="154" t="s">
        <v>26</v>
      </c>
      <c r="I16" s="37" t="s">
        <v>26</v>
      </c>
    </row>
    <row r="17" spans="1:9" ht="15.75">
      <c r="A17" s="201">
        <v>45911</v>
      </c>
      <c r="B17" s="139" t="s">
        <v>2956</v>
      </c>
      <c r="C17" s="139">
        <v>2500</v>
      </c>
      <c r="D17" s="139">
        <v>0</v>
      </c>
      <c r="E17" s="139">
        <f t="shared" si="0"/>
        <v>403860801</v>
      </c>
      <c r="F17" s="15" t="s">
        <v>19</v>
      </c>
      <c r="G17" t="s">
        <v>912</v>
      </c>
      <c r="H17" s="154" t="s">
        <v>26</v>
      </c>
      <c r="I17" s="37" t="s">
        <v>26</v>
      </c>
    </row>
    <row r="18" spans="1:9" ht="15.75">
      <c r="A18" s="201">
        <v>45917.804016203707</v>
      </c>
      <c r="B18" s="139" t="s">
        <v>3595</v>
      </c>
      <c r="C18" s="139">
        <v>250000000</v>
      </c>
      <c r="D18" s="139">
        <v>0</v>
      </c>
      <c r="E18" s="139">
        <f t="shared" si="0"/>
        <v>153860801</v>
      </c>
      <c r="F18" s="15" t="s">
        <v>920</v>
      </c>
      <c r="G18" t="s">
        <v>4244</v>
      </c>
      <c r="H18" s="154"/>
      <c r="I18" s="37"/>
    </row>
    <row r="19" spans="1:9" ht="15.75">
      <c r="A19" s="201">
        <v>45917</v>
      </c>
      <c r="B19" s="139" t="s">
        <v>2956</v>
      </c>
      <c r="C19" s="139">
        <v>2500</v>
      </c>
      <c r="D19" s="139">
        <v>0</v>
      </c>
      <c r="E19" s="139">
        <f t="shared" si="0"/>
        <v>153858301</v>
      </c>
      <c r="F19" s="15" t="s">
        <v>19</v>
      </c>
      <c r="G19" t="s">
        <v>912</v>
      </c>
      <c r="H19" s="154"/>
      <c r="I19" s="37"/>
    </row>
    <row r="20" spans="1:9" ht="15.75">
      <c r="A20" s="201">
        <v>45930.333333333343</v>
      </c>
      <c r="B20" s="139" t="s">
        <v>3596</v>
      </c>
      <c r="C20" s="139">
        <v>0</v>
      </c>
      <c r="D20" s="139">
        <v>363235</v>
      </c>
      <c r="E20" s="139">
        <f t="shared" si="0"/>
        <v>154221536</v>
      </c>
      <c r="F20" s="15" t="s">
        <v>1209</v>
      </c>
      <c r="G20" t="s">
        <v>79</v>
      </c>
      <c r="H20" s="154"/>
      <c r="I20" s="37"/>
    </row>
    <row r="21" spans="1:9" ht="15.75">
      <c r="A21" s="201">
        <v>45930.333333333343</v>
      </c>
      <c r="B21" s="139" t="s">
        <v>2952</v>
      </c>
      <c r="C21" s="139">
        <v>72647</v>
      </c>
      <c r="D21" s="139">
        <v>0</v>
      </c>
      <c r="E21" s="139">
        <f t="shared" si="0"/>
        <v>154148889</v>
      </c>
      <c r="F21" s="15" t="s">
        <v>1209</v>
      </c>
      <c r="G21" t="s">
        <v>79</v>
      </c>
      <c r="H21" s="154"/>
      <c r="I21" s="37"/>
    </row>
    <row r="22" spans="1:9" ht="15.75">
      <c r="A22" s="201">
        <v>45930.333333333343</v>
      </c>
      <c r="B22" s="139" t="s">
        <v>2953</v>
      </c>
      <c r="C22" s="139">
        <v>25000</v>
      </c>
      <c r="D22" s="139">
        <v>0</v>
      </c>
      <c r="E22" s="139">
        <f t="shared" si="0"/>
        <v>154123889</v>
      </c>
      <c r="F22" s="15" t="s">
        <v>19</v>
      </c>
      <c r="G22" t="s">
        <v>912</v>
      </c>
      <c r="H22" s="154"/>
      <c r="I22" s="37"/>
    </row>
    <row r="23" spans="1:9" ht="15.75">
      <c r="A23" s="201">
        <v>45933.644131944457</v>
      </c>
      <c r="B23" s="139" t="s">
        <v>4025</v>
      </c>
      <c r="C23" s="139">
        <v>0</v>
      </c>
      <c r="D23" s="139">
        <v>247207207</v>
      </c>
      <c r="E23" s="139">
        <f t="shared" si="0"/>
        <v>401331096</v>
      </c>
      <c r="F23" s="15" t="s">
        <v>2140</v>
      </c>
      <c r="G23" t="s">
        <v>2141</v>
      </c>
      <c r="H23" s="154" t="s">
        <v>3457</v>
      </c>
      <c r="I23" s="37" t="s">
        <v>4061</v>
      </c>
    </row>
    <row r="24" spans="1:9" ht="15.75">
      <c r="A24" s="201">
        <v>45936.438935185171</v>
      </c>
      <c r="B24" s="139" t="s">
        <v>4026</v>
      </c>
      <c r="C24" s="139">
        <v>250000000</v>
      </c>
      <c r="D24" s="139">
        <v>0</v>
      </c>
      <c r="E24" s="139">
        <f t="shared" si="0"/>
        <v>151331096</v>
      </c>
      <c r="F24" s="15" t="s">
        <v>920</v>
      </c>
      <c r="G24" t="s">
        <v>4237</v>
      </c>
      <c r="H24" s="154"/>
      <c r="I24" s="37"/>
    </row>
    <row r="25" spans="1:9" ht="15.75">
      <c r="A25" s="201">
        <v>45936</v>
      </c>
      <c r="B25" s="139" t="s">
        <v>2956</v>
      </c>
      <c r="C25" s="139">
        <v>2500</v>
      </c>
      <c r="D25" s="139">
        <v>0</v>
      </c>
      <c r="E25" s="139">
        <f t="shared" si="0"/>
        <v>151328596</v>
      </c>
      <c r="F25" s="15" t="s">
        <v>19</v>
      </c>
      <c r="G25" t="s">
        <v>912</v>
      </c>
      <c r="H25" s="154"/>
      <c r="I25" s="37"/>
    </row>
    <row r="26" spans="1:9" ht="15.75">
      <c r="A26" s="201">
        <v>45936.43895833334</v>
      </c>
      <c r="B26" s="139" t="s">
        <v>4026</v>
      </c>
      <c r="C26" s="139">
        <v>150000000</v>
      </c>
      <c r="D26" s="139">
        <v>0</v>
      </c>
      <c r="E26" s="139">
        <f t="shared" si="0"/>
        <v>1328596</v>
      </c>
      <c r="F26" s="15" t="s">
        <v>920</v>
      </c>
      <c r="G26" t="s">
        <v>4237</v>
      </c>
      <c r="H26" s="154"/>
      <c r="I26" s="37"/>
    </row>
    <row r="27" spans="1:9" ht="15.75">
      <c r="A27" s="201">
        <v>45936</v>
      </c>
      <c r="B27" s="139" t="s">
        <v>2956</v>
      </c>
      <c r="C27" s="139">
        <v>2500</v>
      </c>
      <c r="D27" s="139">
        <v>0</v>
      </c>
      <c r="E27" s="139">
        <f t="shared" si="0"/>
        <v>1326096</v>
      </c>
      <c r="F27" s="15" t="s">
        <v>19</v>
      </c>
      <c r="G27" t="s">
        <v>912</v>
      </c>
      <c r="H27" s="154"/>
      <c r="I27" s="37"/>
    </row>
    <row r="28" spans="1:9" ht="15.75">
      <c r="A28" s="201">
        <v>45961.333333333343</v>
      </c>
      <c r="B28" s="139" t="s">
        <v>3596</v>
      </c>
      <c r="C28" s="139">
        <v>0</v>
      </c>
      <c r="D28" s="139">
        <v>37664</v>
      </c>
      <c r="E28" s="139">
        <f t="shared" si="0"/>
        <v>1363760</v>
      </c>
      <c r="F28" s="15" t="s">
        <v>1209</v>
      </c>
      <c r="G28" t="s">
        <v>79</v>
      </c>
      <c r="H28" s="154"/>
      <c r="I28" s="37"/>
    </row>
    <row r="29" spans="1:9" ht="15.75">
      <c r="A29" s="201">
        <v>45961.333333333343</v>
      </c>
      <c r="B29" s="139" t="s">
        <v>2952</v>
      </c>
      <c r="C29" s="139">
        <v>7533</v>
      </c>
      <c r="D29" s="139">
        <v>0</v>
      </c>
      <c r="E29" s="139">
        <f t="shared" si="0"/>
        <v>1356227</v>
      </c>
      <c r="F29" s="15" t="s">
        <v>1209</v>
      </c>
      <c r="G29" t="s">
        <v>79</v>
      </c>
      <c r="H29" s="154"/>
      <c r="I29" s="37"/>
    </row>
    <row r="30" spans="1:9" ht="15.75">
      <c r="A30" s="201">
        <v>45961.333333333343</v>
      </c>
      <c r="B30" s="139" t="s">
        <v>2953</v>
      </c>
      <c r="C30" s="139">
        <v>25000</v>
      </c>
      <c r="D30" s="139">
        <v>0</v>
      </c>
      <c r="E30" s="139">
        <f t="shared" si="0"/>
        <v>1331227</v>
      </c>
      <c r="F30" s="15" t="s">
        <v>19</v>
      </c>
      <c r="G30" t="s">
        <v>912</v>
      </c>
      <c r="H30" s="154"/>
      <c r="I30" s="37"/>
    </row>
    <row r="31" spans="1:9" ht="15.75">
      <c r="A31" s="201">
        <v>45991</v>
      </c>
      <c r="B31" s="139" t="s">
        <v>2953</v>
      </c>
      <c r="C31" s="139">
        <v>25000</v>
      </c>
      <c r="D31" s="139">
        <v>0</v>
      </c>
      <c r="E31" s="139">
        <f t="shared" si="0"/>
        <v>1306227</v>
      </c>
      <c r="F31" s="15" t="s">
        <v>19</v>
      </c>
      <c r="G31" t="s">
        <v>912</v>
      </c>
      <c r="H31" s="154"/>
      <c r="I31" s="37"/>
    </row>
    <row r="32" spans="1:9" ht="15.75">
      <c r="A32" s="201">
        <v>46022</v>
      </c>
      <c r="B32" s="144" t="s">
        <v>2953</v>
      </c>
      <c r="C32" s="144">
        <v>25000</v>
      </c>
      <c r="D32" s="144">
        <v>0</v>
      </c>
      <c r="E32" s="144">
        <f t="shared" ref="E32" si="1">E31-C32+D32</f>
        <v>1281227</v>
      </c>
      <c r="F32" s="15" t="s">
        <v>19</v>
      </c>
      <c r="G32" t="s">
        <v>912</v>
      </c>
      <c r="H32" s="154"/>
      <c r="I32" s="37"/>
    </row>
    <row r="33" spans="1:5" s="15" customFormat="1" ht="15.75">
      <c r="A33" s="201"/>
      <c r="C33" s="139"/>
      <c r="D33" s="139"/>
      <c r="E33" s="139"/>
    </row>
    <row r="34" spans="1:5" s="15" customFormat="1" ht="15.75">
      <c r="A34" s="201"/>
      <c r="C34" s="139">
        <f>SUBTOTAL(9,C5:C33)</f>
        <v>1400236861</v>
      </c>
      <c r="D34" s="139">
        <f>SUBTOTAL(9,D5:D33)</f>
        <v>1401518088</v>
      </c>
      <c r="E34" s="139"/>
    </row>
    <row r="35" spans="1:5" s="15" customFormat="1" ht="15.75">
      <c r="A35" s="201"/>
      <c r="C35" s="139"/>
      <c r="D35" s="139">
        <f>D34-C34</f>
        <v>1281227</v>
      </c>
      <c r="E35" s="139"/>
    </row>
    <row r="36" spans="1:5" s="15" customFormat="1" ht="15.75">
      <c r="A36" s="201"/>
      <c r="C36" s="139"/>
      <c r="D36" s="139"/>
      <c r="E36" s="139"/>
    </row>
  </sheetData>
  <autoFilter ref="A4:I32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workbookViewId="0">
      <selection activeCell="D633" sqref="D633"/>
    </sheetView>
  </sheetViews>
  <sheetFormatPr defaultColWidth="11.5546875" defaultRowHeight="15"/>
  <cols>
    <col min="1" max="1" width="10.77734375" style="5"/>
    <col min="2" max="2" width="68.77734375" customWidth="1"/>
    <col min="3" max="5" width="17.44140625" style="1" customWidth="1"/>
    <col min="6" max="6" width="21" customWidth="1"/>
    <col min="7" max="7" width="31.6640625" customWidth="1"/>
    <col min="8" max="8" width="62.109375" customWidth="1"/>
    <col min="9" max="9" width="16.33203125" customWidth="1"/>
  </cols>
  <sheetData>
    <row r="1" spans="1:8" ht="15.75">
      <c r="A1" s="6" t="s">
        <v>239</v>
      </c>
    </row>
    <row r="2" spans="1:8" ht="15.75">
      <c r="A2" s="6"/>
    </row>
    <row r="4" spans="1:8" ht="15.75">
      <c r="A4" s="4" t="s">
        <v>28</v>
      </c>
      <c r="B4" s="9" t="s">
        <v>511</v>
      </c>
      <c r="C4" s="10"/>
      <c r="D4" s="10"/>
      <c r="E4" s="10">
        <v>346869</v>
      </c>
    </row>
    <row r="5" spans="1:8" ht="15.75">
      <c r="A5" s="5">
        <v>45660</v>
      </c>
      <c r="B5" t="s">
        <v>432</v>
      </c>
      <c r="C5" s="1">
        <v>0</v>
      </c>
      <c r="D5" s="1">
        <v>9653131</v>
      </c>
      <c r="E5" s="1">
        <f>E4-C5+D5</f>
        <v>10000000</v>
      </c>
      <c r="F5" t="s">
        <v>920</v>
      </c>
      <c r="G5" s="8" t="s">
        <v>376</v>
      </c>
    </row>
    <row r="6" spans="1:8">
      <c r="A6" s="5">
        <v>45660</v>
      </c>
      <c r="B6" t="s">
        <v>736</v>
      </c>
      <c r="C6" s="1">
        <v>220000</v>
      </c>
      <c r="D6" s="1">
        <v>0</v>
      </c>
      <c r="E6" s="1">
        <f t="shared" ref="E6:E69" si="0">E5-C6+D6</f>
        <v>9780000</v>
      </c>
      <c r="F6" t="s">
        <v>8</v>
      </c>
      <c r="G6" t="s">
        <v>181</v>
      </c>
    </row>
    <row r="7" spans="1:8">
      <c r="A7" s="5">
        <v>45660</v>
      </c>
      <c r="B7" t="s">
        <v>503</v>
      </c>
      <c r="C7" s="1">
        <v>195000</v>
      </c>
      <c r="D7" s="1">
        <v>0</v>
      </c>
      <c r="E7" s="1">
        <f t="shared" si="0"/>
        <v>9585000</v>
      </c>
      <c r="F7" t="s">
        <v>8</v>
      </c>
      <c r="G7" t="s">
        <v>181</v>
      </c>
    </row>
    <row r="8" spans="1:8">
      <c r="A8" s="5">
        <v>45660</v>
      </c>
      <c r="B8" t="s">
        <v>502</v>
      </c>
      <c r="C8" s="1">
        <v>200000</v>
      </c>
      <c r="D8" s="1">
        <v>0</v>
      </c>
      <c r="E8" s="1">
        <f t="shared" si="0"/>
        <v>9385000</v>
      </c>
      <c r="F8" t="s">
        <v>8</v>
      </c>
      <c r="G8" t="s">
        <v>181</v>
      </c>
    </row>
    <row r="9" spans="1:8" ht="15.75">
      <c r="A9" s="5">
        <v>45660</v>
      </c>
      <c r="B9" t="s">
        <v>504</v>
      </c>
      <c r="C9" s="1">
        <v>31000</v>
      </c>
      <c r="D9" s="1">
        <v>0</v>
      </c>
      <c r="E9" s="1">
        <f t="shared" si="0"/>
        <v>9354000</v>
      </c>
      <c r="F9" t="s">
        <v>6</v>
      </c>
      <c r="G9" t="s">
        <v>7</v>
      </c>
      <c r="H9" s="8" t="s">
        <v>440</v>
      </c>
    </row>
    <row r="10" spans="1:8">
      <c r="A10" s="5">
        <v>45660</v>
      </c>
      <c r="B10" t="s">
        <v>737</v>
      </c>
      <c r="C10" s="1">
        <v>12000</v>
      </c>
      <c r="D10" s="1">
        <v>0</v>
      </c>
      <c r="E10" s="1">
        <f t="shared" si="0"/>
        <v>9342000</v>
      </c>
      <c r="F10" t="s">
        <v>8</v>
      </c>
      <c r="G10" t="s">
        <v>240</v>
      </c>
    </row>
    <row r="11" spans="1:8">
      <c r="A11" s="5">
        <v>45660</v>
      </c>
      <c r="B11" t="s">
        <v>738</v>
      </c>
      <c r="C11" s="1">
        <v>100000</v>
      </c>
      <c r="D11" s="1">
        <v>0</v>
      </c>
      <c r="E11" s="1">
        <f t="shared" si="0"/>
        <v>9242000</v>
      </c>
      <c r="F11" t="s">
        <v>8</v>
      </c>
      <c r="G11" t="s">
        <v>78</v>
      </c>
    </row>
    <row r="12" spans="1:8">
      <c r="A12" s="5">
        <v>45660</v>
      </c>
      <c r="B12" t="s">
        <v>739</v>
      </c>
      <c r="C12" s="1">
        <v>279600</v>
      </c>
      <c r="D12" s="1">
        <v>0</v>
      </c>
      <c r="E12" s="1">
        <f t="shared" si="0"/>
        <v>8962400</v>
      </c>
      <c r="F12" t="s">
        <v>8</v>
      </c>
      <c r="G12" t="s">
        <v>181</v>
      </c>
    </row>
    <row r="13" spans="1:8">
      <c r="A13" s="5">
        <v>45660</v>
      </c>
      <c r="B13" t="s">
        <v>385</v>
      </c>
      <c r="C13" s="1">
        <v>500000</v>
      </c>
      <c r="D13" s="1">
        <v>0</v>
      </c>
      <c r="E13" s="1">
        <f t="shared" si="0"/>
        <v>8462400</v>
      </c>
      <c r="F13" t="s">
        <v>8</v>
      </c>
      <c r="G13" t="s">
        <v>240</v>
      </c>
    </row>
    <row r="14" spans="1:8">
      <c r="A14" s="5">
        <v>45660</v>
      </c>
      <c r="B14" t="s">
        <v>740</v>
      </c>
      <c r="C14" s="1">
        <v>500000</v>
      </c>
      <c r="D14" s="1">
        <v>0</v>
      </c>
      <c r="E14" s="1">
        <f t="shared" si="0"/>
        <v>7962400</v>
      </c>
      <c r="F14" t="s">
        <v>8</v>
      </c>
      <c r="G14" t="s">
        <v>14</v>
      </c>
      <c r="H14" t="s">
        <v>292</v>
      </c>
    </row>
    <row r="15" spans="1:8">
      <c r="A15" s="5">
        <v>45660</v>
      </c>
      <c r="B15" t="s">
        <v>741</v>
      </c>
      <c r="C15" s="1">
        <v>299000</v>
      </c>
      <c r="D15" s="1">
        <v>0</v>
      </c>
      <c r="E15" s="1">
        <f t="shared" si="0"/>
        <v>7663400</v>
      </c>
      <c r="F15" t="s">
        <v>8</v>
      </c>
      <c r="G15" t="s">
        <v>14</v>
      </c>
      <c r="H15" t="s">
        <v>292</v>
      </c>
    </row>
    <row r="16" spans="1:8" ht="15.75">
      <c r="A16" s="5">
        <v>45660</v>
      </c>
      <c r="B16" t="s">
        <v>742</v>
      </c>
      <c r="C16" s="1">
        <v>19000</v>
      </c>
      <c r="D16" s="1">
        <v>0</v>
      </c>
      <c r="E16" s="1">
        <f t="shared" si="0"/>
        <v>7644400</v>
      </c>
      <c r="F16" t="s">
        <v>6</v>
      </c>
      <c r="G16" t="s">
        <v>7</v>
      </c>
      <c r="H16" s="8" t="s">
        <v>440</v>
      </c>
    </row>
    <row r="17" spans="1:8" ht="15.75">
      <c r="A17" s="5">
        <v>45660</v>
      </c>
      <c r="B17" t="s">
        <v>501</v>
      </c>
      <c r="C17" s="1">
        <v>27000</v>
      </c>
      <c r="D17" s="1">
        <v>0</v>
      </c>
      <c r="E17" s="1">
        <f t="shared" si="0"/>
        <v>7617400</v>
      </c>
      <c r="F17" t="s">
        <v>6</v>
      </c>
      <c r="G17" t="s">
        <v>7</v>
      </c>
      <c r="H17" s="8" t="s">
        <v>440</v>
      </c>
    </row>
    <row r="18" spans="1:8">
      <c r="A18" s="5">
        <v>45660</v>
      </c>
      <c r="B18" t="s">
        <v>743</v>
      </c>
      <c r="C18" s="1">
        <v>213315</v>
      </c>
      <c r="D18" s="1">
        <v>0</v>
      </c>
      <c r="E18" s="1">
        <f t="shared" si="0"/>
        <v>7404085</v>
      </c>
      <c r="F18" t="s">
        <v>21</v>
      </c>
      <c r="G18" t="s">
        <v>187</v>
      </c>
    </row>
    <row r="19" spans="1:8">
      <c r="A19" s="5">
        <v>45664</v>
      </c>
      <c r="B19" t="s">
        <v>744</v>
      </c>
      <c r="C19" s="1">
        <v>137000</v>
      </c>
      <c r="D19" s="1">
        <v>0</v>
      </c>
      <c r="E19" s="1">
        <f t="shared" si="0"/>
        <v>7267085</v>
      </c>
      <c r="F19" t="s">
        <v>8</v>
      </c>
      <c r="G19" t="s">
        <v>180</v>
      </c>
    </row>
    <row r="20" spans="1:8">
      <c r="A20" s="5">
        <v>45664</v>
      </c>
      <c r="B20" t="s">
        <v>745</v>
      </c>
      <c r="C20" s="1">
        <v>41000</v>
      </c>
      <c r="D20" s="1">
        <v>0</v>
      </c>
      <c r="E20" s="1">
        <f t="shared" si="0"/>
        <v>7226085</v>
      </c>
      <c r="F20" t="s">
        <v>8</v>
      </c>
      <c r="G20" t="s">
        <v>180</v>
      </c>
    </row>
    <row r="21" spans="1:8">
      <c r="A21" s="5">
        <v>45664</v>
      </c>
      <c r="B21" t="s">
        <v>746</v>
      </c>
      <c r="C21" s="1">
        <v>52000</v>
      </c>
      <c r="D21" s="1">
        <v>0</v>
      </c>
      <c r="E21" s="1">
        <f t="shared" si="0"/>
        <v>7174085</v>
      </c>
      <c r="F21" t="s">
        <v>8</v>
      </c>
      <c r="G21" t="s">
        <v>183</v>
      </c>
    </row>
    <row r="22" spans="1:8">
      <c r="A22" s="5">
        <v>45664</v>
      </c>
      <c r="B22" t="s">
        <v>747</v>
      </c>
      <c r="C22" s="1">
        <v>22000</v>
      </c>
      <c r="D22" s="1">
        <v>0</v>
      </c>
      <c r="E22" s="1">
        <f t="shared" si="0"/>
        <v>7152085</v>
      </c>
      <c r="F22" t="s">
        <v>8</v>
      </c>
      <c r="G22" t="s">
        <v>183</v>
      </c>
    </row>
    <row r="23" spans="1:8">
      <c r="A23" s="5">
        <v>45664</v>
      </c>
      <c r="B23" t="s">
        <v>748</v>
      </c>
      <c r="C23" s="1">
        <v>16000</v>
      </c>
      <c r="D23" s="1">
        <v>0</v>
      </c>
      <c r="E23" s="1">
        <f t="shared" si="0"/>
        <v>7136085</v>
      </c>
      <c r="F23" t="s">
        <v>8</v>
      </c>
      <c r="G23" t="s">
        <v>183</v>
      </c>
    </row>
    <row r="24" spans="1:8">
      <c r="A24" s="5">
        <v>45664</v>
      </c>
      <c r="B24" t="s">
        <v>749</v>
      </c>
      <c r="C24" s="1">
        <v>16000</v>
      </c>
      <c r="D24" s="1">
        <v>0</v>
      </c>
      <c r="E24" s="1">
        <f t="shared" si="0"/>
        <v>7120085</v>
      </c>
      <c r="F24" t="s">
        <v>8</v>
      </c>
      <c r="G24" t="s">
        <v>183</v>
      </c>
    </row>
    <row r="25" spans="1:8">
      <c r="A25" s="5">
        <v>45666</v>
      </c>
      <c r="B25" t="s">
        <v>398</v>
      </c>
      <c r="C25" s="1">
        <v>680500</v>
      </c>
      <c r="D25" s="1">
        <v>0</v>
      </c>
      <c r="E25" s="1">
        <f t="shared" si="0"/>
        <v>6439585</v>
      </c>
      <c r="F25" t="s">
        <v>8</v>
      </c>
      <c r="G25" t="s">
        <v>14</v>
      </c>
      <c r="H25" s="40" t="s">
        <v>370</v>
      </c>
    </row>
    <row r="26" spans="1:8">
      <c r="A26" s="5">
        <v>45666</v>
      </c>
      <c r="B26" t="s">
        <v>397</v>
      </c>
      <c r="C26" s="1">
        <v>134000</v>
      </c>
      <c r="D26" s="1">
        <v>0</v>
      </c>
      <c r="E26" s="1">
        <f t="shared" si="0"/>
        <v>6305585</v>
      </c>
      <c r="F26" t="s">
        <v>8</v>
      </c>
      <c r="G26" t="s">
        <v>14</v>
      </c>
      <c r="H26" t="s">
        <v>370</v>
      </c>
    </row>
    <row r="27" spans="1:8">
      <c r="A27" s="5">
        <v>45670</v>
      </c>
      <c r="B27" t="s">
        <v>398</v>
      </c>
      <c r="C27" s="1">
        <v>400500</v>
      </c>
      <c r="D27" s="1">
        <v>0</v>
      </c>
      <c r="E27" s="1">
        <f t="shared" si="0"/>
        <v>5905085</v>
      </c>
      <c r="F27" t="s">
        <v>8</v>
      </c>
      <c r="G27" t="s">
        <v>14</v>
      </c>
      <c r="H27" t="s">
        <v>291</v>
      </c>
    </row>
    <row r="28" spans="1:8">
      <c r="A28" s="5">
        <v>45670</v>
      </c>
      <c r="B28" t="s">
        <v>397</v>
      </c>
      <c r="C28" s="1">
        <v>102000</v>
      </c>
      <c r="D28" s="1">
        <v>0</v>
      </c>
      <c r="E28" s="1">
        <f t="shared" si="0"/>
        <v>5803085</v>
      </c>
      <c r="F28" t="s">
        <v>8</v>
      </c>
      <c r="G28" t="s">
        <v>14</v>
      </c>
      <c r="H28" t="s">
        <v>291</v>
      </c>
    </row>
    <row r="29" spans="1:8">
      <c r="A29" s="5">
        <v>45673</v>
      </c>
      <c r="B29" t="s">
        <v>750</v>
      </c>
      <c r="C29" s="1">
        <v>539750</v>
      </c>
      <c r="D29" s="1">
        <v>0</v>
      </c>
      <c r="E29" s="1">
        <f t="shared" si="0"/>
        <v>5263335</v>
      </c>
      <c r="F29" t="s">
        <v>62</v>
      </c>
      <c r="G29" t="s">
        <v>70</v>
      </c>
      <c r="H29" t="s">
        <v>60</v>
      </c>
    </row>
    <row r="30" spans="1:8" ht="15.75">
      <c r="A30" s="5">
        <v>45673</v>
      </c>
      <c r="B30" t="s">
        <v>751</v>
      </c>
      <c r="C30" s="1">
        <v>176000</v>
      </c>
      <c r="D30" s="1">
        <v>0</v>
      </c>
      <c r="E30" s="1">
        <f t="shared" si="0"/>
        <v>5087335</v>
      </c>
      <c r="F30" t="s">
        <v>4</v>
      </c>
      <c r="G30" t="s">
        <v>5</v>
      </c>
      <c r="H30" s="43" t="s">
        <v>1352</v>
      </c>
    </row>
    <row r="31" spans="1:8">
      <c r="A31" s="5">
        <v>45674</v>
      </c>
      <c r="B31" t="s">
        <v>387</v>
      </c>
      <c r="C31" s="1">
        <v>500000</v>
      </c>
      <c r="D31" s="1">
        <v>0</v>
      </c>
      <c r="E31" s="1">
        <f t="shared" si="0"/>
        <v>4587335</v>
      </c>
      <c r="F31" t="s">
        <v>8</v>
      </c>
      <c r="G31" t="s">
        <v>240</v>
      </c>
    </row>
    <row r="32" spans="1:8" ht="15.75">
      <c r="A32" s="5">
        <v>45674</v>
      </c>
      <c r="B32" t="s">
        <v>752</v>
      </c>
      <c r="C32" s="1">
        <v>179815</v>
      </c>
      <c r="D32" s="1">
        <v>0</v>
      </c>
      <c r="E32" s="1">
        <f t="shared" si="0"/>
        <v>4407520</v>
      </c>
      <c r="F32" t="s">
        <v>4</v>
      </c>
      <c r="G32" t="s">
        <v>5</v>
      </c>
      <c r="H32" s="43" t="s">
        <v>1352</v>
      </c>
    </row>
    <row r="33" spans="1:8">
      <c r="A33" s="5">
        <v>45674</v>
      </c>
      <c r="B33" t="s">
        <v>753</v>
      </c>
      <c r="C33" s="1">
        <v>27000</v>
      </c>
      <c r="D33" s="1">
        <v>0</v>
      </c>
      <c r="E33" s="1">
        <f t="shared" si="0"/>
        <v>4380520</v>
      </c>
      <c r="F33" t="s">
        <v>8</v>
      </c>
      <c r="G33" t="s">
        <v>240</v>
      </c>
    </row>
    <row r="34" spans="1:8">
      <c r="A34" s="5">
        <v>45674</v>
      </c>
      <c r="B34" t="s">
        <v>754</v>
      </c>
      <c r="C34" s="1">
        <v>24000</v>
      </c>
      <c r="D34" s="1">
        <v>0</v>
      </c>
      <c r="E34" s="1">
        <f t="shared" si="0"/>
        <v>4356520</v>
      </c>
      <c r="F34" t="s">
        <v>21</v>
      </c>
      <c r="G34" t="s">
        <v>187</v>
      </c>
    </row>
    <row r="35" spans="1:8" ht="15.75">
      <c r="A35" s="5">
        <v>45674</v>
      </c>
      <c r="B35" t="s">
        <v>755</v>
      </c>
      <c r="C35" s="1">
        <v>18000</v>
      </c>
      <c r="D35" s="1">
        <v>0</v>
      </c>
      <c r="E35" s="1">
        <f t="shared" si="0"/>
        <v>4338520</v>
      </c>
      <c r="F35" t="s">
        <v>4</v>
      </c>
      <c r="G35" t="s">
        <v>5</v>
      </c>
      <c r="H35" s="43" t="s">
        <v>1352</v>
      </c>
    </row>
    <row r="36" spans="1:8">
      <c r="A36" s="5">
        <v>45680</v>
      </c>
      <c r="B36" t="s">
        <v>398</v>
      </c>
      <c r="C36" s="1">
        <v>309000</v>
      </c>
      <c r="D36" s="1">
        <v>0</v>
      </c>
      <c r="E36" s="1">
        <f t="shared" si="0"/>
        <v>4029520</v>
      </c>
      <c r="F36" t="s">
        <v>8</v>
      </c>
      <c r="G36" t="s">
        <v>14</v>
      </c>
      <c r="H36" t="s">
        <v>291</v>
      </c>
    </row>
    <row r="37" spans="1:8">
      <c r="A37" s="5">
        <v>45680</v>
      </c>
      <c r="B37" t="s">
        <v>397</v>
      </c>
      <c r="C37" s="1">
        <v>55000</v>
      </c>
      <c r="D37" s="1">
        <v>0</v>
      </c>
      <c r="E37" s="1">
        <f t="shared" si="0"/>
        <v>3974520</v>
      </c>
      <c r="F37" t="s">
        <v>8</v>
      </c>
      <c r="G37" t="s">
        <v>14</v>
      </c>
      <c r="H37" t="s">
        <v>291</v>
      </c>
    </row>
    <row r="38" spans="1:8" ht="15.75">
      <c r="A38" s="5">
        <v>45680</v>
      </c>
      <c r="B38" t="s">
        <v>756</v>
      </c>
      <c r="C38" s="1">
        <v>75000</v>
      </c>
      <c r="D38" s="1">
        <v>0</v>
      </c>
      <c r="E38" s="1">
        <f t="shared" si="0"/>
        <v>3899520</v>
      </c>
      <c r="F38" t="s">
        <v>4</v>
      </c>
      <c r="G38" t="s">
        <v>5</v>
      </c>
      <c r="H38" s="43" t="s">
        <v>2473</v>
      </c>
    </row>
    <row r="39" spans="1:8" ht="15.75">
      <c r="A39" s="5">
        <v>45680</v>
      </c>
      <c r="B39" t="s">
        <v>758</v>
      </c>
      <c r="C39" s="1">
        <v>31000</v>
      </c>
      <c r="D39" s="1">
        <v>0</v>
      </c>
      <c r="E39" s="1">
        <f t="shared" si="0"/>
        <v>3868520</v>
      </c>
      <c r="F39" t="s">
        <v>4</v>
      </c>
      <c r="G39" t="s">
        <v>5</v>
      </c>
      <c r="H39" s="43" t="s">
        <v>1352</v>
      </c>
    </row>
    <row r="40" spans="1:8">
      <c r="A40" s="5">
        <v>45681</v>
      </c>
      <c r="B40" t="s">
        <v>759</v>
      </c>
      <c r="C40" s="1">
        <v>150000</v>
      </c>
      <c r="D40" s="1">
        <v>0</v>
      </c>
      <c r="E40" s="1">
        <f t="shared" si="0"/>
        <v>3718520</v>
      </c>
      <c r="F40" t="s">
        <v>8</v>
      </c>
      <c r="G40" t="s">
        <v>78</v>
      </c>
    </row>
    <row r="41" spans="1:8">
      <c r="A41" s="5">
        <v>45681</v>
      </c>
      <c r="B41" t="s">
        <v>760</v>
      </c>
      <c r="C41" s="1">
        <v>300000</v>
      </c>
      <c r="D41" s="1">
        <v>0</v>
      </c>
      <c r="E41" s="1">
        <f t="shared" si="0"/>
        <v>3418520</v>
      </c>
      <c r="F41" t="s">
        <v>62</v>
      </c>
      <c r="G41" t="s">
        <v>70</v>
      </c>
      <c r="H41" s="40" t="s">
        <v>386</v>
      </c>
    </row>
    <row r="42" spans="1:8">
      <c r="A42" s="5">
        <v>45681</v>
      </c>
      <c r="B42" t="s">
        <v>761</v>
      </c>
      <c r="C42" s="1">
        <v>137000</v>
      </c>
      <c r="D42" s="1">
        <v>0</v>
      </c>
      <c r="E42" s="1">
        <f t="shared" si="0"/>
        <v>3281520</v>
      </c>
      <c r="F42" t="s">
        <v>62</v>
      </c>
      <c r="G42" t="s">
        <v>70</v>
      </c>
      <c r="H42" t="s">
        <v>386</v>
      </c>
    </row>
    <row r="43" spans="1:8">
      <c r="A43" s="5">
        <v>45687</v>
      </c>
      <c r="B43" t="s">
        <v>398</v>
      </c>
      <c r="C43" s="1">
        <v>71500</v>
      </c>
      <c r="D43" s="1">
        <v>0</v>
      </c>
      <c r="E43" s="1">
        <f t="shared" si="0"/>
        <v>3210020</v>
      </c>
      <c r="F43" t="s">
        <v>8</v>
      </c>
      <c r="G43" t="s">
        <v>14</v>
      </c>
      <c r="H43" t="s">
        <v>314</v>
      </c>
    </row>
    <row r="44" spans="1:8">
      <c r="A44" s="5">
        <v>45687</v>
      </c>
      <c r="B44" t="s">
        <v>396</v>
      </c>
      <c r="C44" s="1">
        <v>52000</v>
      </c>
      <c r="D44" s="1">
        <v>0</v>
      </c>
      <c r="E44" s="1">
        <f t="shared" si="0"/>
        <v>3158020</v>
      </c>
      <c r="F44" t="s">
        <v>8</v>
      </c>
      <c r="G44" t="s">
        <v>14</v>
      </c>
      <c r="H44" t="s">
        <v>314</v>
      </c>
    </row>
    <row r="45" spans="1:8">
      <c r="A45" s="5">
        <v>45687</v>
      </c>
      <c r="B45" t="s">
        <v>397</v>
      </c>
      <c r="C45" s="1">
        <v>212000</v>
      </c>
      <c r="D45" s="1">
        <v>0</v>
      </c>
      <c r="E45" s="1">
        <f t="shared" si="0"/>
        <v>2946020</v>
      </c>
      <c r="F45" t="s">
        <v>8</v>
      </c>
      <c r="G45" t="s">
        <v>14</v>
      </c>
      <c r="H45" t="s">
        <v>314</v>
      </c>
    </row>
    <row r="46" spans="1:8">
      <c r="A46" s="5">
        <v>45688</v>
      </c>
      <c r="B46" t="s">
        <v>397</v>
      </c>
      <c r="C46" s="1">
        <v>911000</v>
      </c>
      <c r="D46" s="1">
        <v>0</v>
      </c>
      <c r="E46" s="1">
        <f t="shared" si="0"/>
        <v>2035020</v>
      </c>
      <c r="F46" t="s">
        <v>8</v>
      </c>
      <c r="G46" t="s">
        <v>14</v>
      </c>
      <c r="H46" s="40" t="s">
        <v>370</v>
      </c>
    </row>
    <row r="47" spans="1:8">
      <c r="A47" s="5">
        <v>45688</v>
      </c>
      <c r="B47" t="s">
        <v>396</v>
      </c>
      <c r="C47" s="1">
        <v>150000</v>
      </c>
      <c r="D47" s="1">
        <v>0</v>
      </c>
      <c r="E47" s="1">
        <f t="shared" si="0"/>
        <v>1885020</v>
      </c>
      <c r="F47" t="s">
        <v>8</v>
      </c>
      <c r="G47" t="s">
        <v>14</v>
      </c>
      <c r="H47" t="s">
        <v>370</v>
      </c>
    </row>
    <row r="48" spans="1:8">
      <c r="A48" s="5">
        <v>45688</v>
      </c>
      <c r="B48" t="s">
        <v>762</v>
      </c>
      <c r="C48" s="1">
        <v>500000</v>
      </c>
      <c r="D48" s="1">
        <v>0</v>
      </c>
      <c r="E48" s="1">
        <f t="shared" si="0"/>
        <v>1385020</v>
      </c>
      <c r="F48" t="s">
        <v>8</v>
      </c>
      <c r="G48" t="s">
        <v>14</v>
      </c>
      <c r="H48" t="s">
        <v>292</v>
      </c>
    </row>
    <row r="49" spans="1:8">
      <c r="A49" s="5">
        <v>45688</v>
      </c>
      <c r="B49" t="s">
        <v>763</v>
      </c>
      <c r="C49" s="1">
        <v>250000</v>
      </c>
      <c r="D49" s="1">
        <v>0</v>
      </c>
      <c r="E49" s="1">
        <f t="shared" si="0"/>
        <v>1135020</v>
      </c>
      <c r="F49" t="s">
        <v>8</v>
      </c>
      <c r="G49" t="s">
        <v>14</v>
      </c>
      <c r="H49" t="s">
        <v>292</v>
      </c>
    </row>
    <row r="50" spans="1:8">
      <c r="A50" s="5">
        <v>45688</v>
      </c>
      <c r="B50" t="s">
        <v>396</v>
      </c>
      <c r="C50" s="1">
        <v>34500</v>
      </c>
      <c r="D50" s="1">
        <v>0</v>
      </c>
      <c r="E50" s="1">
        <f t="shared" si="0"/>
        <v>1100520</v>
      </c>
      <c r="F50" t="s">
        <v>8</v>
      </c>
      <c r="G50" t="s">
        <v>14</v>
      </c>
      <c r="H50" t="s">
        <v>292</v>
      </c>
    </row>
    <row r="51" spans="1:8" ht="15.75">
      <c r="A51" s="5">
        <v>45688</v>
      </c>
      <c r="B51" t="s">
        <v>764</v>
      </c>
      <c r="C51" s="1">
        <v>175000</v>
      </c>
      <c r="D51" s="1">
        <v>0</v>
      </c>
      <c r="E51" s="1">
        <f t="shared" si="0"/>
        <v>925520</v>
      </c>
      <c r="F51" t="s">
        <v>6</v>
      </c>
      <c r="G51" t="s">
        <v>7</v>
      </c>
      <c r="H51" s="8" t="s">
        <v>440</v>
      </c>
    </row>
    <row r="52" spans="1:8" ht="15.75">
      <c r="A52" s="5">
        <v>45688</v>
      </c>
      <c r="B52" t="s">
        <v>765</v>
      </c>
      <c r="C52" s="1">
        <v>80000</v>
      </c>
      <c r="D52" s="1">
        <v>0</v>
      </c>
      <c r="E52" s="1">
        <f t="shared" si="0"/>
        <v>845520</v>
      </c>
      <c r="F52" t="s">
        <v>6</v>
      </c>
      <c r="G52" t="s">
        <v>7</v>
      </c>
      <c r="H52" s="8" t="s">
        <v>440</v>
      </c>
    </row>
    <row r="53" spans="1:8">
      <c r="A53" s="5">
        <v>45688</v>
      </c>
      <c r="B53" t="s">
        <v>766</v>
      </c>
      <c r="C53" s="1">
        <v>105000</v>
      </c>
      <c r="D53" s="1">
        <v>0</v>
      </c>
      <c r="E53" s="1">
        <f t="shared" si="0"/>
        <v>740520</v>
      </c>
      <c r="F53" t="s">
        <v>8</v>
      </c>
      <c r="G53" t="s">
        <v>14</v>
      </c>
      <c r="H53" t="s">
        <v>314</v>
      </c>
    </row>
    <row r="54" spans="1:8">
      <c r="A54" s="5">
        <v>45691</v>
      </c>
      <c r="B54" t="s">
        <v>767</v>
      </c>
      <c r="C54" s="1">
        <v>60000</v>
      </c>
      <c r="D54" s="1">
        <v>0</v>
      </c>
      <c r="E54" s="1">
        <f t="shared" si="0"/>
        <v>680520</v>
      </c>
      <c r="F54" t="s">
        <v>8</v>
      </c>
      <c r="G54" t="s">
        <v>181</v>
      </c>
    </row>
    <row r="55" spans="1:8">
      <c r="A55" s="5">
        <v>45691</v>
      </c>
      <c r="B55" t="s">
        <v>503</v>
      </c>
      <c r="C55" s="1">
        <v>242500</v>
      </c>
      <c r="D55" s="1">
        <v>0</v>
      </c>
      <c r="E55" s="1">
        <f t="shared" si="0"/>
        <v>438020</v>
      </c>
      <c r="F55" t="s">
        <v>8</v>
      </c>
      <c r="G55" t="s">
        <v>181</v>
      </c>
    </row>
    <row r="56" spans="1:8">
      <c r="A56" s="5">
        <v>45691</v>
      </c>
      <c r="B56" t="s">
        <v>502</v>
      </c>
      <c r="C56" s="1">
        <v>140000</v>
      </c>
      <c r="D56" s="1">
        <v>0</v>
      </c>
      <c r="E56" s="1">
        <f t="shared" si="0"/>
        <v>298020</v>
      </c>
      <c r="F56" t="s">
        <v>8</v>
      </c>
      <c r="G56" t="s">
        <v>181</v>
      </c>
    </row>
    <row r="57" spans="1:8">
      <c r="A57" s="5">
        <v>45691</v>
      </c>
      <c r="B57" t="s">
        <v>768</v>
      </c>
      <c r="C57" s="1">
        <v>119600</v>
      </c>
      <c r="D57" s="1">
        <v>0</v>
      </c>
      <c r="E57" s="1">
        <f t="shared" si="0"/>
        <v>178420</v>
      </c>
      <c r="F57" t="s">
        <v>8</v>
      </c>
      <c r="G57" t="s">
        <v>181</v>
      </c>
    </row>
    <row r="58" spans="1:8">
      <c r="A58" s="5">
        <v>45691</v>
      </c>
      <c r="B58" t="s">
        <v>769</v>
      </c>
      <c r="C58" s="1">
        <v>90000</v>
      </c>
      <c r="D58" s="1">
        <v>0</v>
      </c>
      <c r="E58" s="1">
        <f t="shared" si="0"/>
        <v>88420</v>
      </c>
      <c r="F58" t="s">
        <v>8</v>
      </c>
      <c r="G58" t="s">
        <v>183</v>
      </c>
    </row>
    <row r="59" spans="1:8" ht="15.75">
      <c r="A59" s="5">
        <v>45691</v>
      </c>
      <c r="B59" t="s">
        <v>770</v>
      </c>
      <c r="C59" s="1">
        <v>110000</v>
      </c>
      <c r="D59" s="1">
        <v>0</v>
      </c>
      <c r="E59" s="1">
        <f t="shared" si="0"/>
        <v>-21580</v>
      </c>
      <c r="F59" t="s">
        <v>4</v>
      </c>
      <c r="G59" t="s">
        <v>5</v>
      </c>
      <c r="H59" s="43" t="s">
        <v>2473</v>
      </c>
    </row>
    <row r="60" spans="1:8">
      <c r="A60" s="5">
        <v>45691</v>
      </c>
      <c r="B60" t="s">
        <v>771</v>
      </c>
      <c r="C60" s="1">
        <v>135000</v>
      </c>
      <c r="D60" s="1">
        <v>0</v>
      </c>
      <c r="E60" s="1">
        <f t="shared" si="0"/>
        <v>-156580</v>
      </c>
      <c r="F60" t="s">
        <v>21</v>
      </c>
      <c r="G60" t="s">
        <v>187</v>
      </c>
    </row>
    <row r="61" spans="1:8">
      <c r="A61" s="5">
        <v>45692</v>
      </c>
      <c r="B61" t="s">
        <v>399</v>
      </c>
      <c r="C61" s="1">
        <v>343500</v>
      </c>
      <c r="D61" s="1">
        <v>0</v>
      </c>
      <c r="E61" s="1">
        <f t="shared" si="0"/>
        <v>-500080</v>
      </c>
      <c r="F61" t="s">
        <v>8</v>
      </c>
      <c r="G61" t="s">
        <v>14</v>
      </c>
      <c r="H61" t="s">
        <v>291</v>
      </c>
    </row>
    <row r="62" spans="1:8">
      <c r="A62" s="5">
        <v>45692</v>
      </c>
      <c r="B62" t="s">
        <v>396</v>
      </c>
      <c r="C62" s="1">
        <v>45000</v>
      </c>
      <c r="D62" s="1">
        <v>0</v>
      </c>
      <c r="E62" s="1">
        <f t="shared" si="0"/>
        <v>-545080</v>
      </c>
      <c r="F62" t="s">
        <v>8</v>
      </c>
      <c r="G62" t="s">
        <v>14</v>
      </c>
      <c r="H62" t="s">
        <v>291</v>
      </c>
    </row>
    <row r="63" spans="1:8">
      <c r="A63" s="5">
        <v>45692</v>
      </c>
      <c r="B63" t="s">
        <v>772</v>
      </c>
      <c r="C63" s="1">
        <v>295250</v>
      </c>
      <c r="D63" s="1">
        <v>0</v>
      </c>
      <c r="E63" s="1">
        <f t="shared" si="0"/>
        <v>-840330</v>
      </c>
      <c r="F63" t="s">
        <v>8</v>
      </c>
      <c r="G63" t="s">
        <v>180</v>
      </c>
      <c r="H63" t="s">
        <v>26</v>
      </c>
    </row>
    <row r="64" spans="1:8">
      <c r="A64" s="5">
        <v>45692</v>
      </c>
      <c r="B64" t="s">
        <v>773</v>
      </c>
      <c r="C64" s="1">
        <v>31000</v>
      </c>
      <c r="D64" s="1">
        <v>0</v>
      </c>
      <c r="E64" s="1">
        <f t="shared" si="0"/>
        <v>-871330</v>
      </c>
      <c r="F64" t="s">
        <v>1400</v>
      </c>
      <c r="G64" t="s">
        <v>1400</v>
      </c>
      <c r="H64" t="s">
        <v>26</v>
      </c>
    </row>
    <row r="65" spans="1:9">
      <c r="A65" s="5">
        <v>45692</v>
      </c>
      <c r="B65" t="s">
        <v>774</v>
      </c>
      <c r="C65" s="1">
        <v>33300</v>
      </c>
      <c r="D65" s="1">
        <v>0</v>
      </c>
      <c r="E65" s="1">
        <f t="shared" si="0"/>
        <v>-904630</v>
      </c>
      <c r="F65" t="s">
        <v>8</v>
      </c>
      <c r="G65" t="s">
        <v>31</v>
      </c>
      <c r="H65" t="s">
        <v>308</v>
      </c>
    </row>
    <row r="66" spans="1:9">
      <c r="A66" s="5">
        <v>45692</v>
      </c>
      <c r="B66" t="s">
        <v>775</v>
      </c>
      <c r="C66" s="1">
        <v>194800</v>
      </c>
      <c r="D66" s="1">
        <v>0</v>
      </c>
      <c r="E66" s="1">
        <f t="shared" si="0"/>
        <v>-1099430</v>
      </c>
      <c r="F66" t="s">
        <v>8</v>
      </c>
      <c r="G66" t="s">
        <v>31</v>
      </c>
      <c r="H66" t="s">
        <v>308</v>
      </c>
    </row>
    <row r="67" spans="1:9">
      <c r="A67" s="5">
        <v>45692</v>
      </c>
      <c r="B67" t="s">
        <v>776</v>
      </c>
      <c r="C67" s="1">
        <v>33300</v>
      </c>
      <c r="D67" s="1">
        <v>0</v>
      </c>
      <c r="E67" s="1">
        <f t="shared" si="0"/>
        <v>-1132730</v>
      </c>
      <c r="F67" t="s">
        <v>8</v>
      </c>
      <c r="G67" t="s">
        <v>31</v>
      </c>
      <c r="H67" t="s">
        <v>308</v>
      </c>
    </row>
    <row r="68" spans="1:9">
      <c r="A68" s="5">
        <v>45692</v>
      </c>
      <c r="B68" t="s">
        <v>777</v>
      </c>
      <c r="C68" s="1">
        <v>1000000</v>
      </c>
      <c r="D68" s="1">
        <v>0</v>
      </c>
      <c r="E68" s="1">
        <f t="shared" si="0"/>
        <v>-2132730</v>
      </c>
      <c r="F68" t="s">
        <v>8</v>
      </c>
      <c r="G68" t="s">
        <v>240</v>
      </c>
    </row>
    <row r="69" spans="1:9">
      <c r="A69" s="5">
        <v>45700</v>
      </c>
      <c r="B69" t="s">
        <v>415</v>
      </c>
      <c r="C69" s="1">
        <v>0</v>
      </c>
      <c r="D69" s="1">
        <v>12132730</v>
      </c>
      <c r="E69" s="1">
        <f t="shared" si="0"/>
        <v>10000000</v>
      </c>
      <c r="F69" t="s">
        <v>920</v>
      </c>
      <c r="G69" t="s">
        <v>376</v>
      </c>
    </row>
    <row r="70" spans="1:9" ht="15.75">
      <c r="A70" s="5">
        <v>45699</v>
      </c>
      <c r="B70" t="s">
        <v>1351</v>
      </c>
      <c r="C70" s="1">
        <v>443600</v>
      </c>
      <c r="D70" s="1">
        <v>0</v>
      </c>
      <c r="E70" s="1">
        <f t="shared" ref="E70:E133" si="1">E69-C70+D70</f>
        <v>9556400</v>
      </c>
      <c r="F70" t="s">
        <v>4</v>
      </c>
      <c r="G70" t="s">
        <v>5</v>
      </c>
      <c r="H70" s="43" t="s">
        <v>1352</v>
      </c>
      <c r="I70" t="s">
        <v>1353</v>
      </c>
    </row>
    <row r="71" spans="1:9">
      <c r="A71" s="5">
        <v>45699</v>
      </c>
      <c r="B71" t="s">
        <v>399</v>
      </c>
      <c r="C71" s="1">
        <v>341500</v>
      </c>
      <c r="D71" s="1">
        <v>0</v>
      </c>
      <c r="E71" s="1">
        <f t="shared" si="1"/>
        <v>9214900</v>
      </c>
      <c r="F71" t="s">
        <v>8</v>
      </c>
      <c r="G71" t="s">
        <v>14</v>
      </c>
      <c r="H71" t="s">
        <v>291</v>
      </c>
      <c r="I71" t="s">
        <v>96</v>
      </c>
    </row>
    <row r="72" spans="1:9">
      <c r="A72" s="5">
        <v>45699</v>
      </c>
      <c r="B72" t="s">
        <v>396</v>
      </c>
      <c r="C72" s="1">
        <v>35000</v>
      </c>
      <c r="D72" s="1">
        <v>0</v>
      </c>
      <c r="E72" s="1">
        <f t="shared" si="1"/>
        <v>9179900</v>
      </c>
      <c r="F72" t="s">
        <v>8</v>
      </c>
      <c r="G72" t="s">
        <v>14</v>
      </c>
      <c r="H72" t="s">
        <v>291</v>
      </c>
      <c r="I72" t="s">
        <v>96</v>
      </c>
    </row>
    <row r="73" spans="1:9">
      <c r="A73" s="5">
        <v>45702</v>
      </c>
      <c r="B73" t="s">
        <v>385</v>
      </c>
      <c r="C73" s="1">
        <v>500000</v>
      </c>
      <c r="D73" s="1">
        <v>0</v>
      </c>
      <c r="E73" s="1">
        <f t="shared" si="1"/>
        <v>8679900</v>
      </c>
      <c r="F73" t="s">
        <v>8</v>
      </c>
      <c r="G73" t="s">
        <v>240</v>
      </c>
      <c r="I73" t="s">
        <v>292</v>
      </c>
    </row>
    <row r="74" spans="1:9">
      <c r="A74" s="5">
        <v>45706</v>
      </c>
      <c r="B74" t="s">
        <v>399</v>
      </c>
      <c r="C74" s="1">
        <v>730000</v>
      </c>
      <c r="D74" s="1">
        <v>0</v>
      </c>
      <c r="E74" s="1">
        <f t="shared" si="1"/>
        <v>7949900</v>
      </c>
      <c r="F74" t="s">
        <v>8</v>
      </c>
      <c r="G74" t="s">
        <v>14</v>
      </c>
      <c r="H74" t="s">
        <v>370</v>
      </c>
      <c r="I74" t="s">
        <v>450</v>
      </c>
    </row>
    <row r="75" spans="1:9">
      <c r="A75" s="5">
        <v>45706</v>
      </c>
      <c r="B75" t="s">
        <v>396</v>
      </c>
      <c r="C75" s="1">
        <v>118000</v>
      </c>
      <c r="D75" s="1">
        <v>0</v>
      </c>
      <c r="E75" s="1">
        <f t="shared" si="1"/>
        <v>7831900</v>
      </c>
      <c r="F75" t="s">
        <v>8</v>
      </c>
      <c r="G75" t="s">
        <v>14</v>
      </c>
      <c r="H75" t="s">
        <v>370</v>
      </c>
      <c r="I75" t="s">
        <v>450</v>
      </c>
    </row>
    <row r="76" spans="1:9">
      <c r="A76" s="5">
        <v>45709</v>
      </c>
      <c r="B76" t="s">
        <v>399</v>
      </c>
      <c r="C76" s="1">
        <v>356000</v>
      </c>
      <c r="D76" s="1">
        <v>0</v>
      </c>
      <c r="E76" s="1">
        <f t="shared" si="1"/>
        <v>7475900</v>
      </c>
      <c r="F76" t="s">
        <v>8</v>
      </c>
      <c r="G76" t="s">
        <v>14</v>
      </c>
      <c r="H76" t="s">
        <v>314</v>
      </c>
      <c r="I76" t="s">
        <v>97</v>
      </c>
    </row>
    <row r="77" spans="1:9">
      <c r="A77" s="5">
        <v>45709</v>
      </c>
      <c r="B77" t="s">
        <v>396</v>
      </c>
      <c r="C77" s="1">
        <v>55000</v>
      </c>
      <c r="D77" s="1">
        <v>0</v>
      </c>
      <c r="E77" s="1">
        <f t="shared" si="1"/>
        <v>7420900</v>
      </c>
      <c r="F77" t="s">
        <v>8</v>
      </c>
      <c r="G77" t="s">
        <v>14</v>
      </c>
      <c r="H77" t="s">
        <v>314</v>
      </c>
      <c r="I77" t="s">
        <v>97</v>
      </c>
    </row>
    <row r="78" spans="1:9">
      <c r="A78" s="5">
        <v>45710</v>
      </c>
      <c r="B78" t="s">
        <v>1354</v>
      </c>
      <c r="C78" s="1">
        <v>328000</v>
      </c>
      <c r="D78" s="1">
        <v>0</v>
      </c>
      <c r="E78" s="1">
        <f t="shared" si="1"/>
        <v>7092900</v>
      </c>
      <c r="F78" t="s">
        <v>62</v>
      </c>
      <c r="G78" t="s">
        <v>70</v>
      </c>
      <c r="H78" t="s">
        <v>60</v>
      </c>
      <c r="I78" t="s">
        <v>60</v>
      </c>
    </row>
    <row r="79" spans="1:9">
      <c r="A79" s="5">
        <v>45712</v>
      </c>
      <c r="B79" t="s">
        <v>503</v>
      </c>
      <c r="C79" s="1">
        <v>206000</v>
      </c>
      <c r="D79" s="1">
        <v>0</v>
      </c>
      <c r="E79" s="1">
        <f t="shared" si="1"/>
        <v>6886900</v>
      </c>
      <c r="F79" t="s">
        <v>8</v>
      </c>
      <c r="G79" t="s">
        <v>181</v>
      </c>
      <c r="I79" t="s">
        <v>1355</v>
      </c>
    </row>
    <row r="80" spans="1:9">
      <c r="A80" s="5">
        <v>45712</v>
      </c>
      <c r="B80" t="s">
        <v>1356</v>
      </c>
      <c r="C80" s="1">
        <v>106000</v>
      </c>
      <c r="D80" s="1">
        <v>0</v>
      </c>
      <c r="E80" s="1">
        <f t="shared" si="1"/>
        <v>6780900</v>
      </c>
      <c r="F80" t="s">
        <v>4</v>
      </c>
      <c r="G80" t="s">
        <v>5</v>
      </c>
      <c r="H80" t="s">
        <v>1357</v>
      </c>
      <c r="I80" t="s">
        <v>1355</v>
      </c>
    </row>
    <row r="81" spans="1:9">
      <c r="A81" s="5">
        <v>45712</v>
      </c>
      <c r="B81" t="s">
        <v>1358</v>
      </c>
      <c r="C81" s="1">
        <v>125000</v>
      </c>
      <c r="D81" s="1">
        <v>0</v>
      </c>
      <c r="E81" s="1">
        <f t="shared" si="1"/>
        <v>6655900</v>
      </c>
      <c r="F81" t="s">
        <v>8</v>
      </c>
      <c r="G81" t="s">
        <v>78</v>
      </c>
      <c r="H81" t="s">
        <v>1359</v>
      </c>
      <c r="I81" t="s">
        <v>1355</v>
      </c>
    </row>
    <row r="82" spans="1:9">
      <c r="A82" s="5">
        <v>45712</v>
      </c>
      <c r="B82" t="s">
        <v>1360</v>
      </c>
      <c r="C82" s="1">
        <v>180000</v>
      </c>
      <c r="D82" s="1">
        <v>0</v>
      </c>
      <c r="E82" s="1">
        <f t="shared" si="1"/>
        <v>6475900</v>
      </c>
      <c r="F82" t="s">
        <v>8</v>
      </c>
      <c r="G82" t="s">
        <v>181</v>
      </c>
      <c r="I82" t="s">
        <v>1355</v>
      </c>
    </row>
    <row r="83" spans="1:9">
      <c r="A83" s="5">
        <v>45712</v>
      </c>
      <c r="B83" t="s">
        <v>1361</v>
      </c>
      <c r="C83" s="1">
        <v>100000</v>
      </c>
      <c r="D83" s="1">
        <v>0</v>
      </c>
      <c r="E83" s="1">
        <f t="shared" si="1"/>
        <v>6375900</v>
      </c>
      <c r="F83" t="s">
        <v>8</v>
      </c>
      <c r="G83" t="s">
        <v>78</v>
      </c>
      <c r="I83" t="s">
        <v>1355</v>
      </c>
    </row>
    <row r="84" spans="1:9">
      <c r="A84" s="5">
        <v>45712</v>
      </c>
      <c r="B84" t="s">
        <v>1362</v>
      </c>
      <c r="C84" s="1">
        <v>67600</v>
      </c>
      <c r="D84" s="1">
        <v>0</v>
      </c>
      <c r="E84" s="1">
        <f t="shared" si="1"/>
        <v>6308300</v>
      </c>
      <c r="F84" t="s">
        <v>8</v>
      </c>
      <c r="G84" t="s">
        <v>181</v>
      </c>
      <c r="I84" t="s">
        <v>1355</v>
      </c>
    </row>
    <row r="85" spans="1:9" ht="15.75">
      <c r="A85" s="5">
        <v>45712</v>
      </c>
      <c r="B85" t="s">
        <v>1363</v>
      </c>
      <c r="C85" s="1">
        <v>75000</v>
      </c>
      <c r="D85" s="1">
        <v>0</v>
      </c>
      <c r="E85" s="1">
        <f t="shared" si="1"/>
        <v>6233300</v>
      </c>
      <c r="F85" t="s">
        <v>4</v>
      </c>
      <c r="G85" t="s">
        <v>5</v>
      </c>
      <c r="H85" s="154" t="s">
        <v>1364</v>
      </c>
      <c r="I85" t="s">
        <v>1355</v>
      </c>
    </row>
    <row r="86" spans="1:9" ht="15.75">
      <c r="A86" s="5">
        <v>45712</v>
      </c>
      <c r="B86" t="s">
        <v>1365</v>
      </c>
      <c r="C86" s="1">
        <v>10000</v>
      </c>
      <c r="D86" s="1">
        <v>0</v>
      </c>
      <c r="E86" s="1">
        <f t="shared" si="1"/>
        <v>6223300</v>
      </c>
      <c r="F86" t="s">
        <v>4</v>
      </c>
      <c r="G86" t="s">
        <v>5</v>
      </c>
      <c r="H86" s="154" t="s">
        <v>1364</v>
      </c>
      <c r="I86" t="s">
        <v>1355</v>
      </c>
    </row>
    <row r="87" spans="1:9" ht="15.75">
      <c r="A87" s="5">
        <v>45713</v>
      </c>
      <c r="B87" t="s">
        <v>1366</v>
      </c>
      <c r="C87" s="1">
        <v>98000</v>
      </c>
      <c r="D87" s="1">
        <v>0</v>
      </c>
      <c r="E87" s="1">
        <f t="shared" si="1"/>
        <v>6125300</v>
      </c>
      <c r="F87" t="s">
        <v>4</v>
      </c>
      <c r="G87" t="s">
        <v>5</v>
      </c>
      <c r="H87" s="154" t="s">
        <v>1364</v>
      </c>
      <c r="I87" t="s">
        <v>445</v>
      </c>
    </row>
    <row r="88" spans="1:9">
      <c r="A88" s="5">
        <v>45713</v>
      </c>
      <c r="B88" t="s">
        <v>1367</v>
      </c>
      <c r="C88" s="1">
        <v>42000</v>
      </c>
      <c r="D88" s="1">
        <v>0</v>
      </c>
      <c r="E88" s="1">
        <f t="shared" si="1"/>
        <v>6083300</v>
      </c>
      <c r="F88" t="s">
        <v>4</v>
      </c>
      <c r="G88" t="s">
        <v>5</v>
      </c>
      <c r="H88" t="s">
        <v>1368</v>
      </c>
      <c r="I88" t="s">
        <v>445</v>
      </c>
    </row>
    <row r="89" spans="1:9">
      <c r="A89" s="5">
        <v>45720</v>
      </c>
      <c r="B89" t="s">
        <v>1369</v>
      </c>
      <c r="C89" s="1">
        <v>500000</v>
      </c>
      <c r="D89" s="1">
        <v>0</v>
      </c>
      <c r="E89" s="1">
        <f t="shared" si="1"/>
        <v>5583300</v>
      </c>
      <c r="F89" t="s">
        <v>8</v>
      </c>
      <c r="G89" t="s">
        <v>14</v>
      </c>
      <c r="H89" t="s">
        <v>292</v>
      </c>
      <c r="I89" t="s">
        <v>292</v>
      </c>
    </row>
    <row r="90" spans="1:9">
      <c r="A90" s="5">
        <v>45720</v>
      </c>
      <c r="B90" t="s">
        <v>1370</v>
      </c>
      <c r="C90" s="1">
        <v>297000</v>
      </c>
      <c r="D90" s="1">
        <v>0</v>
      </c>
      <c r="E90" s="1">
        <f t="shared" si="1"/>
        <v>5286300</v>
      </c>
      <c r="F90" t="s">
        <v>8</v>
      </c>
      <c r="G90" t="s">
        <v>14</v>
      </c>
      <c r="H90" t="s">
        <v>292</v>
      </c>
      <c r="I90" t="s">
        <v>292</v>
      </c>
    </row>
    <row r="91" spans="1:9">
      <c r="A91" s="5">
        <v>45720</v>
      </c>
      <c r="B91" t="s">
        <v>1371</v>
      </c>
      <c r="C91" s="1">
        <v>23500</v>
      </c>
      <c r="D91" s="1">
        <v>0</v>
      </c>
      <c r="E91" s="1">
        <f t="shared" si="1"/>
        <v>5262800</v>
      </c>
      <c r="F91" t="s">
        <v>8</v>
      </c>
      <c r="G91" t="s">
        <v>14</v>
      </c>
      <c r="H91" t="s">
        <v>292</v>
      </c>
      <c r="I91" t="s">
        <v>292</v>
      </c>
    </row>
    <row r="92" spans="1:9">
      <c r="A92" s="5">
        <v>45720</v>
      </c>
      <c r="B92" t="s">
        <v>1372</v>
      </c>
      <c r="C92" s="1">
        <v>273815</v>
      </c>
      <c r="D92" s="1">
        <v>0</v>
      </c>
      <c r="E92" s="1">
        <f t="shared" si="1"/>
        <v>4988985</v>
      </c>
      <c r="F92" t="s">
        <v>21</v>
      </c>
      <c r="G92" t="s">
        <v>187</v>
      </c>
      <c r="I92" t="s">
        <v>292</v>
      </c>
    </row>
    <row r="93" spans="1:9">
      <c r="A93" s="5">
        <v>45720</v>
      </c>
      <c r="B93" t="s">
        <v>1373</v>
      </c>
      <c r="C93" s="1">
        <v>479080</v>
      </c>
      <c r="D93" s="1">
        <v>0</v>
      </c>
      <c r="E93" s="1">
        <f t="shared" si="1"/>
        <v>4509905</v>
      </c>
      <c r="F93" t="s">
        <v>21</v>
      </c>
      <c r="G93" t="s">
        <v>187</v>
      </c>
      <c r="I93" t="s">
        <v>292</v>
      </c>
    </row>
    <row r="94" spans="1:9">
      <c r="A94" s="5">
        <v>45720</v>
      </c>
      <c r="B94" t="s">
        <v>1374</v>
      </c>
      <c r="C94" s="1">
        <v>174000</v>
      </c>
      <c r="D94" s="1">
        <v>0</v>
      </c>
      <c r="E94" s="1">
        <f t="shared" si="1"/>
        <v>4335905</v>
      </c>
      <c r="F94" t="s">
        <v>8</v>
      </c>
      <c r="G94" t="s">
        <v>240</v>
      </c>
      <c r="I94" t="s">
        <v>292</v>
      </c>
    </row>
    <row r="95" spans="1:9" ht="15.75">
      <c r="A95" s="5">
        <v>45720</v>
      </c>
      <c r="B95" t="s">
        <v>1375</v>
      </c>
      <c r="C95" s="1">
        <v>268000</v>
      </c>
      <c r="D95" s="1">
        <v>0</v>
      </c>
      <c r="E95" s="1">
        <f t="shared" si="1"/>
        <v>4067905</v>
      </c>
      <c r="F95" t="s">
        <v>4</v>
      </c>
      <c r="G95" t="s">
        <v>5</v>
      </c>
      <c r="H95" s="154" t="s">
        <v>1376</v>
      </c>
      <c r="I95" t="s">
        <v>445</v>
      </c>
    </row>
    <row r="96" spans="1:9">
      <c r="A96" s="5">
        <v>45721</v>
      </c>
      <c r="B96" t="s">
        <v>399</v>
      </c>
      <c r="C96" s="1">
        <v>489000</v>
      </c>
      <c r="D96" s="1">
        <v>0</v>
      </c>
      <c r="E96" s="1">
        <f t="shared" si="1"/>
        <v>3578905</v>
      </c>
      <c r="F96" t="s">
        <v>8</v>
      </c>
      <c r="G96" t="s">
        <v>14</v>
      </c>
      <c r="H96" t="s">
        <v>370</v>
      </c>
      <c r="I96" t="s">
        <v>450</v>
      </c>
    </row>
    <row r="97" spans="1:9">
      <c r="A97" s="5">
        <v>45721</v>
      </c>
      <c r="B97" t="s">
        <v>396</v>
      </c>
      <c r="C97" s="1">
        <v>86000</v>
      </c>
      <c r="D97" s="1">
        <v>0</v>
      </c>
      <c r="E97" s="1">
        <f t="shared" si="1"/>
        <v>3492905</v>
      </c>
      <c r="F97" t="s">
        <v>8</v>
      </c>
      <c r="G97" t="s">
        <v>14</v>
      </c>
      <c r="H97" t="s">
        <v>370</v>
      </c>
      <c r="I97" t="s">
        <v>450</v>
      </c>
    </row>
    <row r="98" spans="1:9">
      <c r="A98" s="5">
        <v>45721</v>
      </c>
      <c r="B98" t="s">
        <v>1377</v>
      </c>
      <c r="C98" s="1">
        <v>30000</v>
      </c>
      <c r="D98" s="1">
        <v>0</v>
      </c>
      <c r="E98" s="1">
        <f t="shared" si="1"/>
        <v>3462905</v>
      </c>
      <c r="F98" t="s">
        <v>4</v>
      </c>
      <c r="G98" t="s">
        <v>5</v>
      </c>
      <c r="H98" t="s">
        <v>1378</v>
      </c>
      <c r="I98" t="s">
        <v>60</v>
      </c>
    </row>
    <row r="99" spans="1:9">
      <c r="A99" s="5">
        <v>45723</v>
      </c>
      <c r="B99" t="s">
        <v>1379</v>
      </c>
      <c r="C99" s="1">
        <v>110000</v>
      </c>
      <c r="D99" s="1">
        <v>0</v>
      </c>
      <c r="E99" s="1">
        <f t="shared" si="1"/>
        <v>3352905</v>
      </c>
      <c r="F99" t="s">
        <v>62</v>
      </c>
      <c r="G99" t="s">
        <v>70</v>
      </c>
      <c r="H99" t="s">
        <v>95</v>
      </c>
      <c r="I99" t="s">
        <v>95</v>
      </c>
    </row>
    <row r="100" spans="1:9">
      <c r="A100" s="5">
        <v>45723</v>
      </c>
      <c r="B100" t="s">
        <v>1380</v>
      </c>
      <c r="C100" s="1">
        <v>100000</v>
      </c>
      <c r="D100" s="1">
        <v>0</v>
      </c>
      <c r="E100" s="1">
        <f t="shared" si="1"/>
        <v>3252905</v>
      </c>
      <c r="F100" t="s">
        <v>62</v>
      </c>
      <c r="G100" t="s">
        <v>70</v>
      </c>
      <c r="H100" t="s">
        <v>95</v>
      </c>
      <c r="I100" t="s">
        <v>95</v>
      </c>
    </row>
    <row r="101" spans="1:9">
      <c r="A101" s="5">
        <v>45723</v>
      </c>
      <c r="B101" t="s">
        <v>1381</v>
      </c>
      <c r="C101" s="1">
        <v>50000</v>
      </c>
      <c r="D101" s="1">
        <v>0</v>
      </c>
      <c r="E101" s="1">
        <f t="shared" si="1"/>
        <v>3202905</v>
      </c>
      <c r="F101" t="s">
        <v>8</v>
      </c>
      <c r="G101" t="s">
        <v>240</v>
      </c>
      <c r="I101" t="s">
        <v>292</v>
      </c>
    </row>
    <row r="102" spans="1:9">
      <c r="A102" s="5">
        <v>45723</v>
      </c>
      <c r="B102" t="s">
        <v>1382</v>
      </c>
      <c r="C102" s="1">
        <v>61115</v>
      </c>
      <c r="D102" s="1">
        <v>0</v>
      </c>
      <c r="E102" s="1">
        <f t="shared" si="1"/>
        <v>3141790</v>
      </c>
      <c r="F102" t="s">
        <v>21</v>
      </c>
      <c r="G102" t="s">
        <v>187</v>
      </c>
      <c r="I102" t="s">
        <v>292</v>
      </c>
    </row>
    <row r="103" spans="1:9">
      <c r="A103" s="5">
        <v>45723</v>
      </c>
      <c r="B103" t="s">
        <v>1383</v>
      </c>
      <c r="C103" s="1">
        <v>477015</v>
      </c>
      <c r="D103" s="1">
        <v>0</v>
      </c>
      <c r="E103" s="1">
        <f t="shared" si="1"/>
        <v>2664775</v>
      </c>
      <c r="F103" t="s">
        <v>21</v>
      </c>
      <c r="G103" t="s">
        <v>187</v>
      </c>
      <c r="I103" t="s">
        <v>292</v>
      </c>
    </row>
    <row r="104" spans="1:9">
      <c r="A104" s="5">
        <v>45723</v>
      </c>
      <c r="B104" t="s">
        <v>1384</v>
      </c>
      <c r="C104" s="1">
        <v>110000</v>
      </c>
      <c r="D104" s="1">
        <v>0</v>
      </c>
      <c r="E104" s="1">
        <f t="shared" si="1"/>
        <v>2554775</v>
      </c>
      <c r="F104" t="s">
        <v>62</v>
      </c>
      <c r="G104" t="s">
        <v>70</v>
      </c>
      <c r="H104" t="s">
        <v>97</v>
      </c>
      <c r="I104" t="s">
        <v>97</v>
      </c>
    </row>
    <row r="105" spans="1:9">
      <c r="A105" s="5">
        <v>45723</v>
      </c>
      <c r="B105" t="s">
        <v>1385</v>
      </c>
      <c r="C105" s="1">
        <v>395000</v>
      </c>
      <c r="D105" s="1">
        <v>0</v>
      </c>
      <c r="E105" s="1">
        <f t="shared" si="1"/>
        <v>2159775</v>
      </c>
      <c r="F105" t="s">
        <v>8</v>
      </c>
      <c r="G105" t="s">
        <v>240</v>
      </c>
      <c r="I105" t="s">
        <v>60</v>
      </c>
    </row>
    <row r="106" spans="1:9">
      <c r="A106" s="5">
        <v>45723</v>
      </c>
      <c r="B106" t="s">
        <v>1386</v>
      </c>
      <c r="C106" s="1">
        <v>244355</v>
      </c>
      <c r="D106" s="1">
        <v>0</v>
      </c>
      <c r="E106" s="1">
        <f t="shared" si="1"/>
        <v>1915420</v>
      </c>
      <c r="F106" t="s">
        <v>8</v>
      </c>
      <c r="G106" t="s">
        <v>183</v>
      </c>
      <c r="I106" t="s">
        <v>1353</v>
      </c>
    </row>
    <row r="107" spans="1:9">
      <c r="A107" s="5">
        <v>45723</v>
      </c>
      <c r="B107" t="s">
        <v>1387</v>
      </c>
      <c r="C107" s="1">
        <v>149960</v>
      </c>
      <c r="D107" s="1">
        <v>0</v>
      </c>
      <c r="E107" s="1">
        <f t="shared" si="1"/>
        <v>1765460</v>
      </c>
      <c r="F107" t="s">
        <v>8</v>
      </c>
      <c r="G107" t="s">
        <v>180</v>
      </c>
      <c r="I107" t="s">
        <v>1353</v>
      </c>
    </row>
    <row r="108" spans="1:9">
      <c r="A108" s="5">
        <v>45723</v>
      </c>
      <c r="B108" t="s">
        <v>1388</v>
      </c>
      <c r="C108" s="1">
        <v>812599</v>
      </c>
      <c r="D108" s="1">
        <v>0</v>
      </c>
      <c r="E108" s="1">
        <f t="shared" si="1"/>
        <v>952861</v>
      </c>
      <c r="F108" t="s">
        <v>8</v>
      </c>
      <c r="G108" t="s">
        <v>31</v>
      </c>
      <c r="H108" t="s">
        <v>308</v>
      </c>
      <c r="I108" t="s">
        <v>1353</v>
      </c>
    </row>
    <row r="109" spans="1:9">
      <c r="A109" s="5">
        <v>45723</v>
      </c>
      <c r="B109" t="s">
        <v>1389</v>
      </c>
      <c r="C109" s="1">
        <v>33300</v>
      </c>
      <c r="D109" s="1">
        <v>0</v>
      </c>
      <c r="E109" s="1">
        <f t="shared" si="1"/>
        <v>919561</v>
      </c>
      <c r="F109" t="s">
        <v>8</v>
      </c>
      <c r="G109" t="s">
        <v>31</v>
      </c>
      <c r="H109" t="s">
        <v>308</v>
      </c>
      <c r="I109" t="s">
        <v>1353</v>
      </c>
    </row>
    <row r="110" spans="1:9">
      <c r="A110" s="5">
        <v>45723</v>
      </c>
      <c r="B110" t="s">
        <v>1390</v>
      </c>
      <c r="C110" s="1">
        <v>201770</v>
      </c>
      <c r="D110" s="1">
        <v>0</v>
      </c>
      <c r="E110" s="1">
        <f t="shared" si="1"/>
        <v>717791</v>
      </c>
      <c r="F110" t="s">
        <v>8</v>
      </c>
      <c r="G110" t="s">
        <v>180</v>
      </c>
      <c r="I110" t="s">
        <v>1353</v>
      </c>
    </row>
    <row r="111" spans="1:9">
      <c r="A111" s="5">
        <v>45723</v>
      </c>
      <c r="B111" t="s">
        <v>385</v>
      </c>
      <c r="C111" s="1">
        <v>500000</v>
      </c>
      <c r="D111" s="1">
        <v>0</v>
      </c>
      <c r="E111" s="1">
        <f t="shared" si="1"/>
        <v>217791</v>
      </c>
      <c r="F111" t="s">
        <v>8</v>
      </c>
      <c r="G111" t="s">
        <v>240</v>
      </c>
      <c r="I111" t="s">
        <v>292</v>
      </c>
    </row>
    <row r="112" spans="1:9">
      <c r="A112" s="5">
        <v>45730</v>
      </c>
      <c r="B112" t="s">
        <v>963</v>
      </c>
      <c r="C112" s="1">
        <v>0</v>
      </c>
      <c r="D112" s="1">
        <v>9782209</v>
      </c>
      <c r="E112" s="1">
        <f t="shared" si="1"/>
        <v>10000000</v>
      </c>
      <c r="F112" t="s">
        <v>920</v>
      </c>
      <c r="G112" t="s">
        <v>376</v>
      </c>
    </row>
    <row r="113" spans="1:9" ht="15.75">
      <c r="A113" s="5">
        <v>45726</v>
      </c>
      <c r="B113" t="s">
        <v>1391</v>
      </c>
      <c r="C113" s="1">
        <v>394000</v>
      </c>
      <c r="D113" s="1">
        <v>0</v>
      </c>
      <c r="E113" s="1">
        <f t="shared" si="1"/>
        <v>9606000</v>
      </c>
      <c r="F113" t="s">
        <v>4</v>
      </c>
      <c r="G113" t="s">
        <v>5</v>
      </c>
      <c r="H113" s="154" t="s">
        <v>1376</v>
      </c>
      <c r="I113" t="s">
        <v>445</v>
      </c>
    </row>
    <row r="114" spans="1:9" ht="15.75">
      <c r="A114" s="5">
        <v>45726</v>
      </c>
      <c r="B114" t="s">
        <v>1392</v>
      </c>
      <c r="C114" s="1">
        <v>260000</v>
      </c>
      <c r="D114" s="1">
        <v>0</v>
      </c>
      <c r="E114" s="1">
        <f t="shared" si="1"/>
        <v>9346000</v>
      </c>
      <c r="F114" t="s">
        <v>4</v>
      </c>
      <c r="G114" t="s">
        <v>5</v>
      </c>
      <c r="H114" s="154" t="s">
        <v>1376</v>
      </c>
      <c r="I114" t="s">
        <v>55</v>
      </c>
    </row>
    <row r="115" spans="1:9">
      <c r="A115" s="5">
        <v>45727</v>
      </c>
      <c r="B115" t="s">
        <v>399</v>
      </c>
      <c r="C115" s="1">
        <v>423500</v>
      </c>
      <c r="D115" s="1">
        <v>0</v>
      </c>
      <c r="E115" s="1">
        <f t="shared" si="1"/>
        <v>8922500</v>
      </c>
      <c r="F115" t="s">
        <v>8</v>
      </c>
      <c r="G115" t="s">
        <v>14</v>
      </c>
      <c r="H115" t="s">
        <v>291</v>
      </c>
      <c r="I115" t="s">
        <v>96</v>
      </c>
    </row>
    <row r="116" spans="1:9">
      <c r="A116" s="5">
        <v>45727</v>
      </c>
      <c r="B116" t="s">
        <v>396</v>
      </c>
      <c r="C116" s="1">
        <v>44000</v>
      </c>
      <c r="D116" s="1">
        <v>0</v>
      </c>
      <c r="E116" s="1">
        <f t="shared" si="1"/>
        <v>8878500</v>
      </c>
      <c r="F116" t="s">
        <v>8</v>
      </c>
      <c r="G116" t="s">
        <v>14</v>
      </c>
      <c r="H116" t="s">
        <v>291</v>
      </c>
      <c r="I116" t="s">
        <v>96</v>
      </c>
    </row>
    <row r="117" spans="1:9">
      <c r="A117" s="5">
        <v>45733</v>
      </c>
      <c r="B117" t="s">
        <v>1393</v>
      </c>
      <c r="C117" s="1">
        <v>95000</v>
      </c>
      <c r="D117" s="1">
        <v>0</v>
      </c>
      <c r="E117" s="1">
        <f t="shared" si="1"/>
        <v>8783500</v>
      </c>
      <c r="F117" t="s">
        <v>21</v>
      </c>
      <c r="G117" t="s">
        <v>187</v>
      </c>
      <c r="H117" t="s">
        <v>1394</v>
      </c>
      <c r="I117" t="s">
        <v>449</v>
      </c>
    </row>
    <row r="118" spans="1:9">
      <c r="A118" s="5">
        <v>45733</v>
      </c>
      <c r="B118" t="s">
        <v>1395</v>
      </c>
      <c r="C118" s="1">
        <v>88000</v>
      </c>
      <c r="D118" s="1">
        <v>0</v>
      </c>
      <c r="E118" s="1">
        <f t="shared" si="1"/>
        <v>8695500</v>
      </c>
      <c r="F118" t="s">
        <v>21</v>
      </c>
      <c r="G118" t="s">
        <v>187</v>
      </c>
      <c r="H118" t="s">
        <v>1394</v>
      </c>
      <c r="I118" t="s">
        <v>449</v>
      </c>
    </row>
    <row r="119" spans="1:9">
      <c r="A119" s="5">
        <v>45733</v>
      </c>
      <c r="B119" t="s">
        <v>1396</v>
      </c>
      <c r="C119" s="1">
        <v>35000</v>
      </c>
      <c r="D119" s="1">
        <v>0</v>
      </c>
      <c r="E119" s="1">
        <f t="shared" si="1"/>
        <v>8660500</v>
      </c>
      <c r="F119" t="s">
        <v>21</v>
      </c>
      <c r="G119" t="s">
        <v>187</v>
      </c>
      <c r="H119" t="s">
        <v>1394</v>
      </c>
      <c r="I119" t="s">
        <v>449</v>
      </c>
    </row>
    <row r="120" spans="1:9">
      <c r="A120" s="5">
        <v>45733</v>
      </c>
      <c r="B120" t="s">
        <v>1397</v>
      </c>
      <c r="C120" s="1">
        <v>235500</v>
      </c>
      <c r="D120" s="1">
        <v>0</v>
      </c>
      <c r="E120" s="1">
        <f t="shared" si="1"/>
        <v>8425000</v>
      </c>
      <c r="F120" t="s">
        <v>21</v>
      </c>
      <c r="G120" t="s">
        <v>187</v>
      </c>
      <c r="H120" t="s">
        <v>1394</v>
      </c>
      <c r="I120" t="s">
        <v>449</v>
      </c>
    </row>
    <row r="121" spans="1:9">
      <c r="A121" s="5">
        <v>45733</v>
      </c>
      <c r="B121" t="s">
        <v>1398</v>
      </c>
      <c r="C121" s="1">
        <v>243200</v>
      </c>
      <c r="D121" s="1">
        <v>0</v>
      </c>
      <c r="E121" s="1">
        <f t="shared" si="1"/>
        <v>8181800</v>
      </c>
      <c r="F121" t="s">
        <v>21</v>
      </c>
      <c r="G121" t="s">
        <v>187</v>
      </c>
      <c r="H121" t="s">
        <v>1394</v>
      </c>
      <c r="I121" t="s">
        <v>449</v>
      </c>
    </row>
    <row r="122" spans="1:9">
      <c r="A122" s="5">
        <v>45735</v>
      </c>
      <c r="B122" t="s">
        <v>1399</v>
      </c>
      <c r="C122" s="1">
        <v>0</v>
      </c>
      <c r="D122" s="1">
        <v>31000</v>
      </c>
      <c r="E122" s="1">
        <f t="shared" si="1"/>
        <v>8212800</v>
      </c>
      <c r="F122" t="s">
        <v>1400</v>
      </c>
      <c r="G122" t="s">
        <v>1400</v>
      </c>
    </row>
    <row r="123" spans="1:9">
      <c r="A123" s="5">
        <v>45736</v>
      </c>
      <c r="B123" t="s">
        <v>1401</v>
      </c>
      <c r="C123" s="1">
        <v>80000</v>
      </c>
      <c r="D123" s="1">
        <v>0</v>
      </c>
      <c r="E123" s="1">
        <f t="shared" si="1"/>
        <v>8132800</v>
      </c>
      <c r="F123" t="s">
        <v>8</v>
      </c>
      <c r="G123" t="s">
        <v>181</v>
      </c>
      <c r="I123" t="s">
        <v>1355</v>
      </c>
    </row>
    <row r="124" spans="1:9">
      <c r="A124" s="5">
        <v>45736</v>
      </c>
      <c r="B124" t="s">
        <v>1402</v>
      </c>
      <c r="C124" s="1">
        <v>44000</v>
      </c>
      <c r="D124" s="1">
        <v>0</v>
      </c>
      <c r="E124" s="1">
        <f t="shared" si="1"/>
        <v>8088800</v>
      </c>
      <c r="F124" t="s">
        <v>8</v>
      </c>
      <c r="G124" t="s">
        <v>181</v>
      </c>
      <c r="I124" t="s">
        <v>1355</v>
      </c>
    </row>
    <row r="125" spans="1:9">
      <c r="A125" s="5">
        <v>45736</v>
      </c>
      <c r="B125" t="s">
        <v>1403</v>
      </c>
      <c r="C125" s="1">
        <v>69500</v>
      </c>
      <c r="D125" s="1">
        <v>0</v>
      </c>
      <c r="E125" s="1">
        <f t="shared" si="1"/>
        <v>8019300</v>
      </c>
      <c r="F125" t="s">
        <v>8</v>
      </c>
      <c r="G125" t="s">
        <v>181</v>
      </c>
      <c r="I125" t="s">
        <v>1355</v>
      </c>
    </row>
    <row r="126" spans="1:9">
      <c r="A126" s="5">
        <v>45736</v>
      </c>
      <c r="B126" t="s">
        <v>502</v>
      </c>
      <c r="C126" s="1">
        <v>252000</v>
      </c>
      <c r="D126" s="1">
        <v>0</v>
      </c>
      <c r="E126" s="1">
        <f t="shared" si="1"/>
        <v>7767300</v>
      </c>
      <c r="F126" t="s">
        <v>8</v>
      </c>
      <c r="G126" t="s">
        <v>181</v>
      </c>
      <c r="I126" t="s">
        <v>1355</v>
      </c>
    </row>
    <row r="127" spans="1:9">
      <c r="A127" s="5">
        <v>45736</v>
      </c>
      <c r="B127" t="s">
        <v>503</v>
      </c>
      <c r="C127" s="1">
        <v>196000</v>
      </c>
      <c r="D127" s="1">
        <v>0</v>
      </c>
      <c r="E127" s="1">
        <f t="shared" si="1"/>
        <v>7571300</v>
      </c>
      <c r="F127" t="s">
        <v>8</v>
      </c>
      <c r="G127" t="s">
        <v>181</v>
      </c>
      <c r="I127" t="s">
        <v>1355</v>
      </c>
    </row>
    <row r="128" spans="1:9">
      <c r="A128" s="5">
        <v>45736</v>
      </c>
      <c r="B128" t="s">
        <v>1404</v>
      </c>
      <c r="C128" s="1">
        <v>40000</v>
      </c>
      <c r="D128" s="1">
        <v>0</v>
      </c>
      <c r="E128" s="1">
        <f t="shared" si="1"/>
        <v>7531300</v>
      </c>
      <c r="F128" t="s">
        <v>8</v>
      </c>
      <c r="G128" t="s">
        <v>183</v>
      </c>
      <c r="I128" t="s">
        <v>1355</v>
      </c>
    </row>
    <row r="129" spans="1:9">
      <c r="A129" s="5">
        <v>45736</v>
      </c>
      <c r="B129" t="s">
        <v>1405</v>
      </c>
      <c r="C129" s="1">
        <v>570000</v>
      </c>
      <c r="D129" s="1">
        <v>0</v>
      </c>
      <c r="E129" s="1">
        <f t="shared" si="1"/>
        <v>6961300</v>
      </c>
      <c r="F129" t="s">
        <v>8</v>
      </c>
      <c r="G129" t="s">
        <v>78</v>
      </c>
      <c r="I129" t="s">
        <v>1355</v>
      </c>
    </row>
    <row r="130" spans="1:9">
      <c r="A130" s="5">
        <v>45736</v>
      </c>
      <c r="B130" t="s">
        <v>1406</v>
      </c>
      <c r="C130" s="1">
        <v>100000</v>
      </c>
      <c r="D130" s="1">
        <v>0</v>
      </c>
      <c r="E130" s="1">
        <f t="shared" si="1"/>
        <v>6861300</v>
      </c>
      <c r="F130" t="s">
        <v>8</v>
      </c>
      <c r="G130" t="s">
        <v>181</v>
      </c>
      <c r="I130" t="s">
        <v>1355</v>
      </c>
    </row>
    <row r="131" spans="1:9">
      <c r="A131" s="5">
        <v>45735</v>
      </c>
      <c r="B131" t="s">
        <v>1407</v>
      </c>
      <c r="C131" s="1">
        <v>220900</v>
      </c>
      <c r="D131" s="1">
        <v>0</v>
      </c>
      <c r="E131" s="1">
        <f t="shared" si="1"/>
        <v>6640400</v>
      </c>
      <c r="F131" t="s">
        <v>8</v>
      </c>
      <c r="G131" t="s">
        <v>180</v>
      </c>
      <c r="H131" t="s">
        <v>449</v>
      </c>
      <c r="I131" t="s">
        <v>1353</v>
      </c>
    </row>
    <row r="132" spans="1:9">
      <c r="A132" s="5">
        <v>45735</v>
      </c>
      <c r="B132" t="s">
        <v>1408</v>
      </c>
      <c r="C132" s="1">
        <v>1177156</v>
      </c>
      <c r="D132" s="1">
        <v>0</v>
      </c>
      <c r="E132" s="1">
        <f t="shared" si="1"/>
        <v>5463244</v>
      </c>
      <c r="F132" t="s">
        <v>8</v>
      </c>
      <c r="G132" t="s">
        <v>31</v>
      </c>
      <c r="H132" t="s">
        <v>308</v>
      </c>
      <c r="I132" t="s">
        <v>1353</v>
      </c>
    </row>
    <row r="133" spans="1:9">
      <c r="A133" s="5">
        <v>45735</v>
      </c>
      <c r="B133" t="s">
        <v>773</v>
      </c>
      <c r="C133" s="1">
        <v>817761</v>
      </c>
      <c r="D133" s="1">
        <v>0</v>
      </c>
      <c r="E133" s="1">
        <f t="shared" si="1"/>
        <v>4645483</v>
      </c>
      <c r="F133" t="s">
        <v>8</v>
      </c>
      <c r="G133" t="s">
        <v>31</v>
      </c>
      <c r="H133" t="s">
        <v>308</v>
      </c>
      <c r="I133" t="s">
        <v>1353</v>
      </c>
    </row>
    <row r="134" spans="1:9">
      <c r="A134" s="5">
        <v>45735</v>
      </c>
      <c r="B134" t="s">
        <v>774</v>
      </c>
      <c r="C134" s="1">
        <v>33300</v>
      </c>
      <c r="D134" s="1">
        <v>0</v>
      </c>
      <c r="E134" s="1">
        <f t="shared" ref="E134:E197" si="2">E133-C134+D134</f>
        <v>4612183</v>
      </c>
      <c r="F134" t="s">
        <v>8</v>
      </c>
      <c r="G134" t="s">
        <v>31</v>
      </c>
      <c r="H134" t="s">
        <v>308</v>
      </c>
      <c r="I134" t="s">
        <v>1353</v>
      </c>
    </row>
    <row r="135" spans="1:9">
      <c r="A135" s="5">
        <v>45735</v>
      </c>
      <c r="B135" t="s">
        <v>1409</v>
      </c>
      <c r="C135" s="1">
        <v>342340</v>
      </c>
      <c r="D135" s="1">
        <v>0</v>
      </c>
      <c r="E135" s="1">
        <f t="shared" si="2"/>
        <v>4269843</v>
      </c>
      <c r="F135" t="s">
        <v>8</v>
      </c>
      <c r="G135" t="s">
        <v>14</v>
      </c>
      <c r="H135" t="s">
        <v>370</v>
      </c>
      <c r="I135" t="s">
        <v>57</v>
      </c>
    </row>
    <row r="136" spans="1:9">
      <c r="A136" s="5">
        <v>45735</v>
      </c>
      <c r="B136" t="s">
        <v>1410</v>
      </c>
      <c r="C136" s="1">
        <v>50000</v>
      </c>
      <c r="D136" s="1">
        <v>0</v>
      </c>
      <c r="E136" s="1">
        <f t="shared" si="2"/>
        <v>4219843</v>
      </c>
      <c r="F136" t="s">
        <v>4</v>
      </c>
      <c r="G136" t="s">
        <v>5</v>
      </c>
      <c r="H136" t="s">
        <v>1357</v>
      </c>
      <c r="I136" t="s">
        <v>12</v>
      </c>
    </row>
    <row r="137" spans="1:9">
      <c r="A137" s="5">
        <v>45735</v>
      </c>
      <c r="B137" t="s">
        <v>1412</v>
      </c>
      <c r="C137" s="1">
        <v>66000</v>
      </c>
      <c r="D137" s="1">
        <v>0</v>
      </c>
      <c r="E137" s="1">
        <f t="shared" si="2"/>
        <v>4153843</v>
      </c>
      <c r="F137" t="s">
        <v>4</v>
      </c>
      <c r="G137" t="s">
        <v>5</v>
      </c>
      <c r="H137" t="s">
        <v>1357</v>
      </c>
      <c r="I137" t="s">
        <v>12</v>
      </c>
    </row>
    <row r="138" spans="1:9">
      <c r="A138" s="5">
        <v>45735</v>
      </c>
      <c r="B138" t="s">
        <v>1413</v>
      </c>
      <c r="C138" s="1">
        <v>50000</v>
      </c>
      <c r="D138" s="1">
        <v>0</v>
      </c>
      <c r="E138" s="1">
        <f t="shared" si="2"/>
        <v>4103843</v>
      </c>
      <c r="F138" t="s">
        <v>4</v>
      </c>
      <c r="G138" t="s">
        <v>5</v>
      </c>
      <c r="H138" t="s">
        <v>1357</v>
      </c>
      <c r="I138" t="s">
        <v>12</v>
      </c>
    </row>
    <row r="139" spans="1:9">
      <c r="A139" s="5">
        <v>45735</v>
      </c>
      <c r="B139" t="s">
        <v>1414</v>
      </c>
      <c r="C139" s="1">
        <v>105000</v>
      </c>
      <c r="D139" s="1">
        <v>0</v>
      </c>
      <c r="E139" s="1">
        <f t="shared" si="2"/>
        <v>3998843</v>
      </c>
      <c r="F139" t="s">
        <v>4</v>
      </c>
      <c r="G139" t="s">
        <v>5</v>
      </c>
      <c r="H139" t="s">
        <v>1357</v>
      </c>
      <c r="I139" t="s">
        <v>12</v>
      </c>
    </row>
    <row r="140" spans="1:9">
      <c r="A140" s="5">
        <v>45735</v>
      </c>
      <c r="B140" t="s">
        <v>1415</v>
      </c>
      <c r="C140" s="1">
        <v>50000</v>
      </c>
      <c r="D140" s="1">
        <v>0</v>
      </c>
      <c r="E140" s="1">
        <f t="shared" si="2"/>
        <v>3948843</v>
      </c>
      <c r="F140" t="s">
        <v>4</v>
      </c>
      <c r="G140" t="s">
        <v>5</v>
      </c>
      <c r="H140" t="s">
        <v>1357</v>
      </c>
      <c r="I140" t="s">
        <v>12</v>
      </c>
    </row>
    <row r="141" spans="1:9">
      <c r="A141" s="5">
        <v>45736</v>
      </c>
      <c r="B141" t="s">
        <v>399</v>
      </c>
      <c r="C141" s="1">
        <v>317000</v>
      </c>
      <c r="D141" s="1">
        <v>0</v>
      </c>
      <c r="E141" s="1">
        <f t="shared" si="2"/>
        <v>3631843</v>
      </c>
      <c r="F141" t="s">
        <v>8</v>
      </c>
      <c r="G141" t="s">
        <v>14</v>
      </c>
      <c r="H141" t="s">
        <v>291</v>
      </c>
      <c r="I141" t="s">
        <v>96</v>
      </c>
    </row>
    <row r="142" spans="1:9">
      <c r="A142" s="5">
        <v>45736</v>
      </c>
      <c r="B142" t="s">
        <v>396</v>
      </c>
      <c r="C142" s="1">
        <v>39000</v>
      </c>
      <c r="D142" s="1">
        <v>0</v>
      </c>
      <c r="E142" s="1">
        <f t="shared" si="2"/>
        <v>3592843</v>
      </c>
      <c r="F142" t="s">
        <v>8</v>
      </c>
      <c r="G142" t="s">
        <v>14</v>
      </c>
      <c r="H142" t="s">
        <v>291</v>
      </c>
      <c r="I142" t="s">
        <v>96</v>
      </c>
    </row>
    <row r="143" spans="1:9">
      <c r="A143" s="5">
        <v>45737</v>
      </c>
      <c r="B143" t="s">
        <v>1416</v>
      </c>
      <c r="C143" s="1">
        <v>160500</v>
      </c>
      <c r="D143" s="1">
        <v>0</v>
      </c>
      <c r="E143" s="1">
        <f t="shared" si="2"/>
        <v>3432343</v>
      </c>
      <c r="F143" t="s">
        <v>4</v>
      </c>
      <c r="G143" t="s">
        <v>5</v>
      </c>
      <c r="H143" t="s">
        <v>1417</v>
      </c>
      <c r="I143" t="s">
        <v>60</v>
      </c>
    </row>
    <row r="144" spans="1:9">
      <c r="A144" s="5">
        <v>45737</v>
      </c>
      <c r="B144" t="s">
        <v>1418</v>
      </c>
      <c r="C144" s="1">
        <v>23812</v>
      </c>
      <c r="D144" s="1">
        <v>0</v>
      </c>
      <c r="E144" s="1">
        <f t="shared" si="2"/>
        <v>3408531</v>
      </c>
      <c r="F144" t="s">
        <v>4</v>
      </c>
      <c r="G144" t="s">
        <v>5</v>
      </c>
      <c r="H144" t="s">
        <v>1378</v>
      </c>
      <c r="I144" t="s">
        <v>60</v>
      </c>
    </row>
    <row r="145" spans="1:9">
      <c r="A145" s="5">
        <v>45737</v>
      </c>
      <c r="B145" t="s">
        <v>1419</v>
      </c>
      <c r="C145" s="1">
        <v>1188</v>
      </c>
      <c r="D145" s="1">
        <v>0</v>
      </c>
      <c r="E145" s="1">
        <f t="shared" si="2"/>
        <v>3407343</v>
      </c>
      <c r="F145" t="s">
        <v>4</v>
      </c>
      <c r="G145" t="s">
        <v>5</v>
      </c>
      <c r="H145" t="s">
        <v>1378</v>
      </c>
      <c r="I145" t="s">
        <v>60</v>
      </c>
    </row>
    <row r="146" spans="1:9">
      <c r="A146" s="5">
        <v>45737</v>
      </c>
      <c r="B146" t="s">
        <v>1420</v>
      </c>
      <c r="C146" s="1">
        <v>15000</v>
      </c>
      <c r="D146" s="1">
        <v>0</v>
      </c>
      <c r="E146" s="1">
        <f t="shared" si="2"/>
        <v>3392343</v>
      </c>
      <c r="F146" t="s">
        <v>4</v>
      </c>
      <c r="G146" t="s">
        <v>5</v>
      </c>
      <c r="H146" t="s">
        <v>1378</v>
      </c>
      <c r="I146" t="s">
        <v>60</v>
      </c>
    </row>
    <row r="147" spans="1:9">
      <c r="A147" s="5">
        <v>45737</v>
      </c>
      <c r="B147" t="s">
        <v>1421</v>
      </c>
      <c r="C147" s="1">
        <v>0</v>
      </c>
      <c r="D147" s="1">
        <v>3270000</v>
      </c>
      <c r="E147" s="1">
        <f t="shared" si="2"/>
        <v>6662343</v>
      </c>
      <c r="F147" t="s">
        <v>1209</v>
      </c>
      <c r="G147" t="s">
        <v>192</v>
      </c>
      <c r="H147" t="s">
        <v>1422</v>
      </c>
    </row>
    <row r="148" spans="1:9">
      <c r="A148" s="5">
        <v>45737</v>
      </c>
      <c r="B148" t="s">
        <v>1423</v>
      </c>
      <c r="C148" s="1">
        <v>2180000</v>
      </c>
      <c r="D148" s="1">
        <v>0</v>
      </c>
      <c r="E148" s="1">
        <f t="shared" si="2"/>
        <v>4482343</v>
      </c>
      <c r="F148" t="s">
        <v>6</v>
      </c>
      <c r="G148" t="s">
        <v>7</v>
      </c>
      <c r="H148" t="s">
        <v>5974</v>
      </c>
    </row>
    <row r="149" spans="1:9">
      <c r="A149" s="5">
        <v>45737</v>
      </c>
      <c r="B149" t="s">
        <v>1424</v>
      </c>
      <c r="C149" s="1">
        <v>1090000</v>
      </c>
      <c r="D149" s="1">
        <v>0</v>
      </c>
      <c r="E149" s="1">
        <f t="shared" si="2"/>
        <v>3392343</v>
      </c>
      <c r="F149" t="s">
        <v>920</v>
      </c>
      <c r="G149" t="s">
        <v>497</v>
      </c>
      <c r="H149" t="s">
        <v>26</v>
      </c>
      <c r="I149" t="s">
        <v>26</v>
      </c>
    </row>
    <row r="150" spans="1:9" ht="15.75">
      <c r="A150" s="5">
        <v>45740</v>
      </c>
      <c r="B150" t="s">
        <v>1425</v>
      </c>
      <c r="C150" s="1">
        <v>208000</v>
      </c>
      <c r="D150" s="1">
        <v>0</v>
      </c>
      <c r="E150" s="1">
        <f t="shared" si="2"/>
        <v>3184343</v>
      </c>
      <c r="F150" t="s">
        <v>4</v>
      </c>
      <c r="G150" t="s">
        <v>5</v>
      </c>
      <c r="H150" s="154" t="s">
        <v>1376</v>
      </c>
      <c r="I150" t="s">
        <v>445</v>
      </c>
    </row>
    <row r="151" spans="1:9" ht="15.75">
      <c r="A151" s="5">
        <v>45740</v>
      </c>
      <c r="B151" t="s">
        <v>1426</v>
      </c>
      <c r="C151" s="1">
        <v>59000</v>
      </c>
      <c r="D151" s="1">
        <v>0</v>
      </c>
      <c r="E151" s="1">
        <f t="shared" si="2"/>
        <v>3125343</v>
      </c>
      <c r="F151" t="s">
        <v>4</v>
      </c>
      <c r="G151" t="s">
        <v>5</v>
      </c>
      <c r="H151" s="154" t="s">
        <v>1376</v>
      </c>
      <c r="I151" t="s">
        <v>445</v>
      </c>
    </row>
    <row r="152" spans="1:9" ht="15.75">
      <c r="A152" s="5">
        <v>45740</v>
      </c>
      <c r="B152" t="s">
        <v>1427</v>
      </c>
      <c r="C152" s="1">
        <v>226500</v>
      </c>
      <c r="D152" s="1">
        <v>0</v>
      </c>
      <c r="E152" s="1">
        <f t="shared" si="2"/>
        <v>2898843</v>
      </c>
      <c r="F152" t="s">
        <v>4</v>
      </c>
      <c r="G152" t="s">
        <v>5</v>
      </c>
      <c r="H152" s="154" t="s">
        <v>1376</v>
      </c>
      <c r="I152" t="s">
        <v>445</v>
      </c>
    </row>
    <row r="153" spans="1:9" ht="15.75">
      <c r="A153" s="5">
        <v>45740</v>
      </c>
      <c r="B153" t="s">
        <v>1428</v>
      </c>
      <c r="C153" s="1">
        <v>200000</v>
      </c>
      <c r="D153" s="1">
        <v>0</v>
      </c>
      <c r="E153" s="1">
        <f t="shared" si="2"/>
        <v>2698843</v>
      </c>
      <c r="F153" t="s">
        <v>4</v>
      </c>
      <c r="G153" t="s">
        <v>5</v>
      </c>
      <c r="H153" s="154" t="s">
        <v>1376</v>
      </c>
      <c r="I153" t="s">
        <v>55</v>
      </c>
    </row>
    <row r="154" spans="1:9">
      <c r="A154" s="5">
        <v>45740</v>
      </c>
      <c r="B154" t="s">
        <v>1429</v>
      </c>
      <c r="C154" s="1">
        <v>939329</v>
      </c>
      <c r="D154" s="1">
        <v>0</v>
      </c>
      <c r="E154" s="1">
        <f t="shared" si="2"/>
        <v>1759514</v>
      </c>
      <c r="F154" t="s">
        <v>62</v>
      </c>
      <c r="G154" t="s">
        <v>177</v>
      </c>
      <c r="I154" t="s">
        <v>1353</v>
      </c>
    </row>
    <row r="155" spans="1:9">
      <c r="A155" s="5">
        <v>45740</v>
      </c>
      <c r="B155" t="s">
        <v>1430</v>
      </c>
      <c r="C155" s="1">
        <v>1650000</v>
      </c>
      <c r="D155" s="1">
        <v>0</v>
      </c>
      <c r="E155" s="1">
        <f t="shared" si="2"/>
        <v>109514</v>
      </c>
      <c r="F155" t="s">
        <v>62</v>
      </c>
      <c r="G155" t="s">
        <v>177</v>
      </c>
      <c r="I155" t="s">
        <v>1353</v>
      </c>
    </row>
    <row r="156" spans="1:9">
      <c r="A156" s="5">
        <v>45742</v>
      </c>
      <c r="B156" t="s">
        <v>378</v>
      </c>
      <c r="C156" s="1">
        <v>0</v>
      </c>
      <c r="D156" s="1">
        <v>9890486</v>
      </c>
      <c r="E156" s="1">
        <f t="shared" si="2"/>
        <v>10000000</v>
      </c>
      <c r="F156" t="s">
        <v>920</v>
      </c>
      <c r="G156" t="s">
        <v>376</v>
      </c>
    </row>
    <row r="157" spans="1:9">
      <c r="A157" s="5">
        <v>45743</v>
      </c>
      <c r="B157" t="s">
        <v>399</v>
      </c>
      <c r="C157" s="1">
        <v>583500</v>
      </c>
      <c r="D157" s="1">
        <v>0</v>
      </c>
      <c r="E157" s="1">
        <f t="shared" si="2"/>
        <v>9416500</v>
      </c>
      <c r="F157" t="s">
        <v>8</v>
      </c>
      <c r="G157" t="s">
        <v>14</v>
      </c>
      <c r="H157" t="s">
        <v>370</v>
      </c>
      <c r="I157" t="s">
        <v>450</v>
      </c>
    </row>
    <row r="158" spans="1:9">
      <c r="A158" s="5">
        <v>45743</v>
      </c>
      <c r="B158" t="s">
        <v>396</v>
      </c>
      <c r="C158" s="1">
        <v>105000</v>
      </c>
      <c r="D158" s="1">
        <v>0</v>
      </c>
      <c r="E158" s="1">
        <f t="shared" si="2"/>
        <v>9311500</v>
      </c>
      <c r="F158" t="s">
        <v>8</v>
      </c>
      <c r="G158" t="s">
        <v>14</v>
      </c>
      <c r="H158" t="s">
        <v>370</v>
      </c>
      <c r="I158" t="s">
        <v>450</v>
      </c>
    </row>
    <row r="159" spans="1:9">
      <c r="A159" s="5">
        <v>45754</v>
      </c>
      <c r="B159" t="s">
        <v>1431</v>
      </c>
      <c r="C159" s="1">
        <v>33300</v>
      </c>
      <c r="D159" s="1">
        <v>0</v>
      </c>
      <c r="E159" s="1">
        <f t="shared" si="2"/>
        <v>9278200</v>
      </c>
      <c r="F159" t="s">
        <v>8</v>
      </c>
      <c r="G159" t="s">
        <v>31</v>
      </c>
      <c r="H159" t="s">
        <v>308</v>
      </c>
      <c r="I159" t="s">
        <v>1353</v>
      </c>
    </row>
    <row r="160" spans="1:9">
      <c r="A160" s="5">
        <v>45754</v>
      </c>
      <c r="B160" t="s">
        <v>1432</v>
      </c>
      <c r="C160" s="1">
        <v>795079</v>
      </c>
      <c r="D160" s="1">
        <v>0</v>
      </c>
      <c r="E160" s="1">
        <f t="shared" si="2"/>
        <v>8483121</v>
      </c>
      <c r="F160" t="s">
        <v>8</v>
      </c>
      <c r="G160" t="s">
        <v>31</v>
      </c>
      <c r="H160" t="s">
        <v>308</v>
      </c>
      <c r="I160" t="s">
        <v>1353</v>
      </c>
    </row>
    <row r="161" spans="1:9">
      <c r="A161" s="5">
        <v>45754</v>
      </c>
      <c r="B161" t="s">
        <v>1433</v>
      </c>
      <c r="C161" s="1">
        <v>183500</v>
      </c>
      <c r="D161" s="1">
        <v>0</v>
      </c>
      <c r="E161" s="1">
        <f t="shared" si="2"/>
        <v>8299621</v>
      </c>
      <c r="F161" t="s">
        <v>8</v>
      </c>
      <c r="G161" t="s">
        <v>180</v>
      </c>
      <c r="I161" t="s">
        <v>1353</v>
      </c>
    </row>
    <row r="162" spans="1:9">
      <c r="A162" s="5">
        <v>45754</v>
      </c>
      <c r="B162" t="s">
        <v>1434</v>
      </c>
      <c r="C162" s="1">
        <v>238230</v>
      </c>
      <c r="D162" s="1">
        <v>0</v>
      </c>
      <c r="E162" s="1">
        <f t="shared" si="2"/>
        <v>8061391</v>
      </c>
      <c r="F162" t="s">
        <v>8</v>
      </c>
      <c r="G162" t="s">
        <v>14</v>
      </c>
      <c r="H162" t="s">
        <v>370</v>
      </c>
      <c r="I162" t="s">
        <v>57</v>
      </c>
    </row>
    <row r="163" spans="1:9">
      <c r="A163" s="5">
        <v>45756</v>
      </c>
      <c r="B163" t="s">
        <v>1435</v>
      </c>
      <c r="C163" s="1">
        <v>208000</v>
      </c>
      <c r="D163" s="1">
        <v>0</v>
      </c>
      <c r="E163" s="1">
        <f t="shared" si="2"/>
        <v>7853391</v>
      </c>
      <c r="F163" t="s">
        <v>62</v>
      </c>
      <c r="G163" t="s">
        <v>63</v>
      </c>
      <c r="H163" t="s">
        <v>1436</v>
      </c>
      <c r="I163" t="s">
        <v>57</v>
      </c>
    </row>
    <row r="164" spans="1:9">
      <c r="A164" s="5">
        <v>45756</v>
      </c>
      <c r="B164" t="s">
        <v>399</v>
      </c>
      <c r="C164" s="1">
        <v>355500</v>
      </c>
      <c r="D164" s="1">
        <v>0</v>
      </c>
      <c r="E164" s="1">
        <f t="shared" si="2"/>
        <v>7497891</v>
      </c>
      <c r="F164" t="s">
        <v>8</v>
      </c>
      <c r="G164" t="s">
        <v>14</v>
      </c>
      <c r="H164" t="s">
        <v>314</v>
      </c>
      <c r="I164" t="s">
        <v>97</v>
      </c>
    </row>
    <row r="165" spans="1:9">
      <c r="A165" s="5">
        <v>45756</v>
      </c>
      <c r="B165" t="s">
        <v>396</v>
      </c>
      <c r="C165" s="1">
        <v>24000</v>
      </c>
      <c r="D165" s="1">
        <v>0</v>
      </c>
      <c r="E165" s="1">
        <f t="shared" si="2"/>
        <v>7473891</v>
      </c>
      <c r="F165" t="s">
        <v>8</v>
      </c>
      <c r="G165" t="s">
        <v>14</v>
      </c>
      <c r="H165" t="s">
        <v>314</v>
      </c>
      <c r="I165" t="s">
        <v>97</v>
      </c>
    </row>
    <row r="166" spans="1:9">
      <c r="A166" s="5">
        <v>45757</v>
      </c>
      <c r="B166" t="s">
        <v>1369</v>
      </c>
      <c r="C166" s="1">
        <v>500000</v>
      </c>
      <c r="D166" s="1">
        <v>0</v>
      </c>
      <c r="E166" s="1">
        <f t="shared" si="2"/>
        <v>6973891</v>
      </c>
      <c r="F166" t="s">
        <v>8</v>
      </c>
      <c r="G166" t="s">
        <v>14</v>
      </c>
      <c r="H166" t="s">
        <v>292</v>
      </c>
      <c r="I166" t="s">
        <v>292</v>
      </c>
    </row>
    <row r="167" spans="1:9">
      <c r="A167" s="5">
        <v>45757</v>
      </c>
      <c r="B167" t="s">
        <v>1437</v>
      </c>
      <c r="C167" s="1">
        <v>348749</v>
      </c>
      <c r="D167" s="1">
        <v>0</v>
      </c>
      <c r="E167" s="1">
        <f t="shared" si="2"/>
        <v>6625142</v>
      </c>
      <c r="F167" t="s">
        <v>8</v>
      </c>
      <c r="G167" t="s">
        <v>14</v>
      </c>
      <c r="H167" t="s">
        <v>292</v>
      </c>
      <c r="I167" t="s">
        <v>292</v>
      </c>
    </row>
    <row r="168" spans="1:9">
      <c r="A168" s="5">
        <v>45757</v>
      </c>
      <c r="B168" t="s">
        <v>1438</v>
      </c>
      <c r="C168" s="1">
        <v>30000</v>
      </c>
      <c r="D168" s="1">
        <v>0</v>
      </c>
      <c r="E168" s="1">
        <f t="shared" si="2"/>
        <v>6595142</v>
      </c>
      <c r="F168" t="s">
        <v>8</v>
      </c>
      <c r="G168" t="s">
        <v>240</v>
      </c>
      <c r="I168" t="s">
        <v>292</v>
      </c>
    </row>
    <row r="169" spans="1:9">
      <c r="A169" s="5">
        <v>45757</v>
      </c>
      <c r="B169" t="s">
        <v>1371</v>
      </c>
      <c r="C169" s="1">
        <v>15000</v>
      </c>
      <c r="D169" s="1">
        <v>0</v>
      </c>
      <c r="E169" s="1">
        <f t="shared" si="2"/>
        <v>6580142</v>
      </c>
      <c r="F169" t="s">
        <v>8</v>
      </c>
      <c r="G169" t="s">
        <v>14</v>
      </c>
      <c r="H169" t="s">
        <v>292</v>
      </c>
      <c r="I169" t="s">
        <v>292</v>
      </c>
    </row>
    <row r="170" spans="1:9">
      <c r="A170" s="5">
        <v>45757</v>
      </c>
      <c r="B170" t="s">
        <v>1439</v>
      </c>
      <c r="C170" s="1">
        <v>65000</v>
      </c>
      <c r="D170" s="1">
        <v>0</v>
      </c>
      <c r="E170" s="1">
        <f t="shared" si="2"/>
        <v>6515142</v>
      </c>
      <c r="F170" t="s">
        <v>62</v>
      </c>
      <c r="G170" t="s">
        <v>70</v>
      </c>
      <c r="H170" t="s">
        <v>95</v>
      </c>
      <c r="I170" t="s">
        <v>95</v>
      </c>
    </row>
    <row r="171" spans="1:9">
      <c r="A171" s="5">
        <v>45764</v>
      </c>
      <c r="B171" t="s">
        <v>399</v>
      </c>
      <c r="C171" s="1">
        <v>372500</v>
      </c>
      <c r="D171" s="1">
        <v>0</v>
      </c>
      <c r="E171" s="1">
        <f t="shared" si="2"/>
        <v>6142642</v>
      </c>
      <c r="F171" t="s">
        <v>8</v>
      </c>
      <c r="G171" t="s">
        <v>14</v>
      </c>
      <c r="H171" t="s">
        <v>291</v>
      </c>
      <c r="I171" t="s">
        <v>96</v>
      </c>
    </row>
    <row r="172" spans="1:9">
      <c r="A172" s="5">
        <v>45764</v>
      </c>
      <c r="B172" t="s">
        <v>396</v>
      </c>
      <c r="C172" s="1">
        <v>70000</v>
      </c>
      <c r="D172" s="1">
        <v>0</v>
      </c>
      <c r="E172" s="1">
        <f t="shared" si="2"/>
        <v>6072642</v>
      </c>
      <c r="F172" t="s">
        <v>8</v>
      </c>
      <c r="G172" t="s">
        <v>14</v>
      </c>
      <c r="H172" t="s">
        <v>291</v>
      </c>
      <c r="I172" t="s">
        <v>96</v>
      </c>
    </row>
    <row r="173" spans="1:9">
      <c r="A173" s="5">
        <v>45768</v>
      </c>
      <c r="B173" t="s">
        <v>1440</v>
      </c>
      <c r="C173" s="1">
        <v>105000</v>
      </c>
      <c r="D173" s="1">
        <v>0</v>
      </c>
      <c r="E173" s="1">
        <f t="shared" si="2"/>
        <v>5967642</v>
      </c>
      <c r="F173" t="s">
        <v>62</v>
      </c>
      <c r="G173" t="s">
        <v>70</v>
      </c>
      <c r="H173" t="s">
        <v>95</v>
      </c>
      <c r="I173" t="s">
        <v>95</v>
      </c>
    </row>
    <row r="174" spans="1:9">
      <c r="A174" s="5">
        <v>45768</v>
      </c>
      <c r="B174" t="s">
        <v>385</v>
      </c>
      <c r="C174" s="1">
        <v>500000</v>
      </c>
      <c r="D174" s="1">
        <v>0</v>
      </c>
      <c r="E174" s="1">
        <f t="shared" si="2"/>
        <v>5467642</v>
      </c>
      <c r="F174" t="s">
        <v>8</v>
      </c>
      <c r="G174" t="s">
        <v>240</v>
      </c>
      <c r="I174" t="s">
        <v>292</v>
      </c>
    </row>
    <row r="175" spans="1:9">
      <c r="A175" s="5">
        <v>45770</v>
      </c>
      <c r="B175" t="s">
        <v>1441</v>
      </c>
      <c r="C175" s="1">
        <v>197500</v>
      </c>
      <c r="D175" s="1">
        <v>0</v>
      </c>
      <c r="E175" s="1">
        <f t="shared" si="2"/>
        <v>5270142</v>
      </c>
      <c r="F175" t="s">
        <v>8</v>
      </c>
      <c r="G175" t="s">
        <v>180</v>
      </c>
      <c r="H175" t="s">
        <v>60</v>
      </c>
      <c r="I175" t="s">
        <v>60</v>
      </c>
    </row>
    <row r="176" spans="1:9" ht="15.75">
      <c r="A176" s="5">
        <v>45770</v>
      </c>
      <c r="B176" t="s">
        <v>1442</v>
      </c>
      <c r="C176" s="1">
        <v>249500</v>
      </c>
      <c r="D176" s="1">
        <v>0</v>
      </c>
      <c r="E176" s="1">
        <f t="shared" si="2"/>
        <v>5020642</v>
      </c>
      <c r="F176" t="s">
        <v>4</v>
      </c>
      <c r="G176" t="s">
        <v>5</v>
      </c>
      <c r="H176" s="146" t="s">
        <v>2216</v>
      </c>
      <c r="I176" t="s">
        <v>60</v>
      </c>
    </row>
    <row r="177" spans="1:9" ht="15.75">
      <c r="A177" s="5">
        <v>45770</v>
      </c>
      <c r="B177" t="s">
        <v>1443</v>
      </c>
      <c r="C177" s="1">
        <v>399200</v>
      </c>
      <c r="D177" s="1">
        <v>0</v>
      </c>
      <c r="E177" s="1">
        <f t="shared" si="2"/>
        <v>4621442</v>
      </c>
      <c r="F177" t="s">
        <v>4</v>
      </c>
      <c r="G177" t="s">
        <v>5</v>
      </c>
      <c r="H177" s="146" t="s">
        <v>2216</v>
      </c>
      <c r="I177" t="s">
        <v>60</v>
      </c>
    </row>
    <row r="178" spans="1:9" ht="15.75">
      <c r="A178" s="5">
        <v>45770</v>
      </c>
      <c r="B178" t="s">
        <v>1444</v>
      </c>
      <c r="C178" s="1">
        <v>166500</v>
      </c>
      <c r="D178" s="1">
        <v>0</v>
      </c>
      <c r="E178" s="1">
        <f t="shared" si="2"/>
        <v>4454942</v>
      </c>
      <c r="F178" t="s">
        <v>4</v>
      </c>
      <c r="G178" t="s">
        <v>5</v>
      </c>
      <c r="H178" s="43" t="s">
        <v>1445</v>
      </c>
      <c r="I178" t="s">
        <v>60</v>
      </c>
    </row>
    <row r="179" spans="1:9">
      <c r="A179" s="5">
        <v>45770</v>
      </c>
      <c r="B179" t="s">
        <v>1446</v>
      </c>
      <c r="C179" s="1">
        <v>52000</v>
      </c>
      <c r="D179" s="1">
        <v>0</v>
      </c>
      <c r="E179" s="1">
        <f t="shared" si="2"/>
        <v>4402942</v>
      </c>
      <c r="F179" t="s">
        <v>4</v>
      </c>
      <c r="G179" t="s">
        <v>5</v>
      </c>
      <c r="H179" t="s">
        <v>1445</v>
      </c>
      <c r="I179" t="s">
        <v>60</v>
      </c>
    </row>
    <row r="180" spans="1:9">
      <c r="A180" s="5">
        <v>45770</v>
      </c>
      <c r="B180" t="s">
        <v>1447</v>
      </c>
      <c r="C180" s="1">
        <v>45000</v>
      </c>
      <c r="D180" s="1">
        <v>0</v>
      </c>
      <c r="E180" s="1">
        <f t="shared" si="2"/>
        <v>4357942</v>
      </c>
      <c r="F180" t="s">
        <v>4</v>
      </c>
      <c r="G180" t="s">
        <v>5</v>
      </c>
      <c r="H180" t="s">
        <v>1445</v>
      </c>
      <c r="I180" t="s">
        <v>60</v>
      </c>
    </row>
    <row r="181" spans="1:9">
      <c r="A181" s="5">
        <v>45770</v>
      </c>
      <c r="B181" t="s">
        <v>1448</v>
      </c>
      <c r="C181" s="1">
        <v>58000</v>
      </c>
      <c r="D181" s="1">
        <v>0</v>
      </c>
      <c r="E181" s="1">
        <f t="shared" si="2"/>
        <v>4299942</v>
      </c>
      <c r="F181" t="s">
        <v>4</v>
      </c>
      <c r="G181" t="s">
        <v>5</v>
      </c>
      <c r="H181" t="s">
        <v>1445</v>
      </c>
      <c r="I181" t="s">
        <v>60</v>
      </c>
    </row>
    <row r="182" spans="1:9">
      <c r="A182" s="5">
        <v>45770</v>
      </c>
      <c r="B182" t="s">
        <v>1449</v>
      </c>
      <c r="C182" s="1">
        <v>100000</v>
      </c>
      <c r="D182" s="1">
        <v>0</v>
      </c>
      <c r="E182" s="1">
        <f t="shared" si="2"/>
        <v>4199942</v>
      </c>
      <c r="F182" t="s">
        <v>4</v>
      </c>
      <c r="G182" t="s">
        <v>5</v>
      </c>
      <c r="H182" t="s">
        <v>1445</v>
      </c>
      <c r="I182" t="s">
        <v>60</v>
      </c>
    </row>
    <row r="183" spans="1:9">
      <c r="A183" s="5">
        <v>45770</v>
      </c>
      <c r="B183" t="s">
        <v>1450</v>
      </c>
      <c r="C183" s="1">
        <v>100000</v>
      </c>
      <c r="D183" s="1">
        <v>0</v>
      </c>
      <c r="E183" s="1">
        <f t="shared" si="2"/>
        <v>4099942</v>
      </c>
      <c r="F183" t="s">
        <v>4</v>
      </c>
      <c r="G183" t="s">
        <v>5</v>
      </c>
      <c r="H183" t="s">
        <v>1445</v>
      </c>
      <c r="I183" t="s">
        <v>60</v>
      </c>
    </row>
    <row r="184" spans="1:9">
      <c r="B184" t="s">
        <v>1451</v>
      </c>
      <c r="C184" s="1">
        <v>0</v>
      </c>
      <c r="D184" s="1">
        <v>55000</v>
      </c>
      <c r="E184" s="1">
        <f t="shared" si="2"/>
        <v>4154942</v>
      </c>
      <c r="F184" t="s">
        <v>4</v>
      </c>
      <c r="G184" t="s">
        <v>5</v>
      </c>
      <c r="H184" t="s">
        <v>1452</v>
      </c>
    </row>
    <row r="185" spans="1:9">
      <c r="A185" s="5">
        <v>45772</v>
      </c>
      <c r="B185" t="s">
        <v>399</v>
      </c>
      <c r="C185" s="1">
        <v>339500</v>
      </c>
      <c r="D185" s="1">
        <v>0</v>
      </c>
      <c r="E185" s="1">
        <f t="shared" si="2"/>
        <v>3815442</v>
      </c>
      <c r="F185" t="s">
        <v>8</v>
      </c>
      <c r="G185" t="s">
        <v>14</v>
      </c>
      <c r="H185" t="s">
        <v>291</v>
      </c>
      <c r="I185" t="s">
        <v>96</v>
      </c>
    </row>
    <row r="186" spans="1:9">
      <c r="A186" s="5">
        <v>45775</v>
      </c>
      <c r="B186" t="s">
        <v>1401</v>
      </c>
      <c r="C186" s="1">
        <v>240000</v>
      </c>
      <c r="D186" s="1">
        <v>0</v>
      </c>
      <c r="E186" s="1">
        <f t="shared" si="2"/>
        <v>3575442</v>
      </c>
      <c r="F186" t="s">
        <v>8</v>
      </c>
      <c r="G186" t="s">
        <v>181</v>
      </c>
      <c r="I186" t="s">
        <v>1355</v>
      </c>
    </row>
    <row r="187" spans="1:9">
      <c r="A187" s="5">
        <v>45775</v>
      </c>
      <c r="B187" t="s">
        <v>1453</v>
      </c>
      <c r="C187" s="1">
        <v>166200</v>
      </c>
      <c r="D187" s="1">
        <v>0</v>
      </c>
      <c r="E187" s="1">
        <f t="shared" si="2"/>
        <v>3409242</v>
      </c>
      <c r="F187" t="s">
        <v>8</v>
      </c>
      <c r="G187" t="s">
        <v>181</v>
      </c>
      <c r="I187" t="s">
        <v>1355</v>
      </c>
    </row>
    <row r="188" spans="1:9">
      <c r="A188" s="5">
        <v>45775</v>
      </c>
      <c r="B188" t="s">
        <v>502</v>
      </c>
      <c r="C188" s="1">
        <v>102000</v>
      </c>
      <c r="D188" s="1">
        <v>0</v>
      </c>
      <c r="E188" s="1">
        <f t="shared" si="2"/>
        <v>3307242</v>
      </c>
      <c r="F188" t="s">
        <v>8</v>
      </c>
      <c r="G188" t="s">
        <v>181</v>
      </c>
      <c r="I188" t="s">
        <v>1355</v>
      </c>
    </row>
    <row r="189" spans="1:9">
      <c r="A189" s="5">
        <v>45775</v>
      </c>
      <c r="B189" t="s">
        <v>503</v>
      </c>
      <c r="C189" s="1">
        <v>141500</v>
      </c>
      <c r="D189" s="1">
        <v>0</v>
      </c>
      <c r="E189" s="1">
        <f t="shared" si="2"/>
        <v>3165742</v>
      </c>
      <c r="F189" t="s">
        <v>8</v>
      </c>
      <c r="G189" t="s">
        <v>181</v>
      </c>
      <c r="I189" t="s">
        <v>1355</v>
      </c>
    </row>
    <row r="190" spans="1:9">
      <c r="A190" s="5">
        <v>45775</v>
      </c>
      <c r="B190" t="s">
        <v>1454</v>
      </c>
      <c r="C190" s="1">
        <v>71500</v>
      </c>
      <c r="D190" s="1">
        <v>0</v>
      </c>
      <c r="E190" s="1">
        <f t="shared" si="2"/>
        <v>3094242</v>
      </c>
      <c r="F190" t="s">
        <v>8</v>
      </c>
      <c r="G190" t="s">
        <v>183</v>
      </c>
      <c r="I190" t="s">
        <v>1355</v>
      </c>
    </row>
    <row r="191" spans="1:9">
      <c r="A191" s="5">
        <v>45775</v>
      </c>
      <c r="B191" t="s">
        <v>1455</v>
      </c>
      <c r="C191" s="1">
        <v>90200</v>
      </c>
      <c r="D191" s="1">
        <v>0</v>
      </c>
      <c r="E191" s="1">
        <f t="shared" si="2"/>
        <v>3004042</v>
      </c>
      <c r="F191" t="s">
        <v>62</v>
      </c>
      <c r="G191" t="s">
        <v>63</v>
      </c>
      <c r="H191" t="s">
        <v>1456</v>
      </c>
      <c r="I191" t="s">
        <v>1355</v>
      </c>
    </row>
    <row r="192" spans="1:9">
      <c r="A192" s="5">
        <v>45775</v>
      </c>
      <c r="B192" t="s">
        <v>1457</v>
      </c>
      <c r="C192" s="1">
        <v>100000</v>
      </c>
      <c r="D192" s="1">
        <v>0</v>
      </c>
      <c r="E192" s="1">
        <f t="shared" si="2"/>
        <v>2904042</v>
      </c>
      <c r="F192" t="s">
        <v>8</v>
      </c>
      <c r="G192" t="s">
        <v>78</v>
      </c>
      <c r="I192" t="s">
        <v>1355</v>
      </c>
    </row>
    <row r="193" spans="1:9">
      <c r="A193" s="5">
        <v>45776</v>
      </c>
      <c r="B193" t="s">
        <v>399</v>
      </c>
      <c r="C193" s="1">
        <v>614000</v>
      </c>
      <c r="D193" s="1">
        <v>0</v>
      </c>
      <c r="E193" s="1">
        <f t="shared" si="2"/>
        <v>2290042</v>
      </c>
      <c r="F193" t="s">
        <v>8</v>
      </c>
      <c r="G193" t="s">
        <v>14</v>
      </c>
      <c r="H193" t="s">
        <v>370</v>
      </c>
      <c r="I193" t="s">
        <v>450</v>
      </c>
    </row>
    <row r="194" spans="1:9">
      <c r="A194" s="5">
        <v>45776</v>
      </c>
      <c r="B194" t="s">
        <v>396</v>
      </c>
      <c r="C194" s="1">
        <v>122000</v>
      </c>
      <c r="D194" s="1">
        <v>0</v>
      </c>
      <c r="E194" s="1">
        <f t="shared" si="2"/>
        <v>2168042</v>
      </c>
      <c r="F194" t="s">
        <v>8</v>
      </c>
      <c r="G194" t="s">
        <v>14</v>
      </c>
      <c r="H194" t="s">
        <v>370</v>
      </c>
      <c r="I194" t="s">
        <v>450</v>
      </c>
    </row>
    <row r="195" spans="1:9">
      <c r="A195" s="5">
        <v>45777</v>
      </c>
      <c r="B195" t="s">
        <v>1458</v>
      </c>
      <c r="C195" s="1">
        <v>500000</v>
      </c>
      <c r="D195" s="1">
        <v>0</v>
      </c>
      <c r="E195" s="1">
        <f t="shared" si="2"/>
        <v>1668042</v>
      </c>
      <c r="F195" t="s">
        <v>8</v>
      </c>
      <c r="G195" t="s">
        <v>14</v>
      </c>
      <c r="H195" t="s">
        <v>292</v>
      </c>
      <c r="I195" t="s">
        <v>292</v>
      </c>
    </row>
    <row r="196" spans="1:9">
      <c r="A196" s="5">
        <v>45777</v>
      </c>
      <c r="B196" t="s">
        <v>1459</v>
      </c>
      <c r="C196" s="1">
        <v>245607</v>
      </c>
      <c r="D196" s="1">
        <v>0</v>
      </c>
      <c r="E196" s="1">
        <f t="shared" si="2"/>
        <v>1422435</v>
      </c>
      <c r="F196" t="s">
        <v>8</v>
      </c>
      <c r="G196" t="s">
        <v>14</v>
      </c>
      <c r="H196" t="s">
        <v>292</v>
      </c>
      <c r="I196" t="s">
        <v>292</v>
      </c>
    </row>
    <row r="197" spans="1:9">
      <c r="A197" s="5">
        <v>45777</v>
      </c>
      <c r="B197" t="s">
        <v>1438</v>
      </c>
      <c r="C197" s="1">
        <v>95300</v>
      </c>
      <c r="D197" s="1">
        <v>0</v>
      </c>
      <c r="E197" s="1">
        <f t="shared" si="2"/>
        <v>1327135</v>
      </c>
      <c r="F197" t="s">
        <v>8</v>
      </c>
      <c r="G197" t="s">
        <v>240</v>
      </c>
      <c r="I197" t="s">
        <v>292</v>
      </c>
    </row>
    <row r="198" spans="1:9">
      <c r="A198" s="5">
        <v>45777</v>
      </c>
      <c r="B198" t="s">
        <v>1460</v>
      </c>
      <c r="C198" s="1">
        <v>22000</v>
      </c>
      <c r="D198" s="1">
        <v>0</v>
      </c>
      <c r="E198" s="1">
        <f t="shared" ref="E198:E261" si="3">E197-C198+D198</f>
        <v>1305135</v>
      </c>
      <c r="F198" t="s">
        <v>62</v>
      </c>
      <c r="G198" t="s">
        <v>70</v>
      </c>
      <c r="H198" t="s">
        <v>308</v>
      </c>
      <c r="I198" t="s">
        <v>292</v>
      </c>
    </row>
    <row r="199" spans="1:9">
      <c r="A199" s="5">
        <v>45776</v>
      </c>
      <c r="B199" t="s">
        <v>5916</v>
      </c>
      <c r="C199" s="1">
        <v>502500</v>
      </c>
      <c r="D199" s="1">
        <v>0</v>
      </c>
      <c r="E199" s="1">
        <f t="shared" si="3"/>
        <v>802635</v>
      </c>
      <c r="F199" t="s">
        <v>10</v>
      </c>
      <c r="G199" t="s">
        <v>446</v>
      </c>
      <c r="H199" t="s">
        <v>1461</v>
      </c>
      <c r="I199" t="s">
        <v>26</v>
      </c>
    </row>
    <row r="200" spans="1:9">
      <c r="A200" s="5">
        <v>45782</v>
      </c>
      <c r="B200" t="s">
        <v>1462</v>
      </c>
      <c r="C200" s="1">
        <v>28325</v>
      </c>
      <c r="D200" s="1">
        <v>0</v>
      </c>
      <c r="E200" s="1">
        <f t="shared" si="3"/>
        <v>774310</v>
      </c>
      <c r="F200" t="s">
        <v>10</v>
      </c>
      <c r="G200" t="s">
        <v>446</v>
      </c>
      <c r="H200" t="s">
        <v>1461</v>
      </c>
      <c r="I200" t="s">
        <v>26</v>
      </c>
    </row>
    <row r="201" spans="1:9">
      <c r="A201" s="5">
        <v>45782</v>
      </c>
      <c r="B201" t="s">
        <v>1463</v>
      </c>
      <c r="C201" s="1">
        <v>25000</v>
      </c>
      <c r="D201" s="1">
        <v>0</v>
      </c>
      <c r="E201" s="1">
        <f t="shared" si="3"/>
        <v>749310</v>
      </c>
      <c r="F201" t="s">
        <v>10</v>
      </c>
      <c r="G201" t="s">
        <v>446</v>
      </c>
      <c r="H201" t="s">
        <v>1461</v>
      </c>
      <c r="I201" t="s">
        <v>26</v>
      </c>
    </row>
    <row r="202" spans="1:9">
      <c r="A202" s="5">
        <v>45785</v>
      </c>
      <c r="B202" t="s">
        <v>378</v>
      </c>
      <c r="C202" s="1">
        <v>0</v>
      </c>
      <c r="D202" s="1">
        <v>9250690</v>
      </c>
      <c r="E202" s="1">
        <f t="shared" si="3"/>
        <v>10000000</v>
      </c>
      <c r="F202" t="s">
        <v>920</v>
      </c>
      <c r="G202" t="s">
        <v>376</v>
      </c>
    </row>
    <row r="203" spans="1:9">
      <c r="A203" s="5">
        <v>45785</v>
      </c>
      <c r="B203" t="s">
        <v>399</v>
      </c>
      <c r="C203" s="1">
        <v>359000</v>
      </c>
      <c r="D203" s="1">
        <v>0</v>
      </c>
      <c r="E203" s="1">
        <f t="shared" si="3"/>
        <v>9641000</v>
      </c>
      <c r="F203" t="s">
        <v>8</v>
      </c>
      <c r="G203" t="s">
        <v>14</v>
      </c>
      <c r="H203" t="s">
        <v>291</v>
      </c>
      <c r="I203" t="s">
        <v>96</v>
      </c>
    </row>
    <row r="204" spans="1:9">
      <c r="A204" s="5">
        <v>45785</v>
      </c>
      <c r="B204" t="s">
        <v>396</v>
      </c>
      <c r="C204" s="1">
        <v>40000</v>
      </c>
      <c r="D204" s="1">
        <v>0</v>
      </c>
      <c r="E204" s="1">
        <f t="shared" si="3"/>
        <v>9601000</v>
      </c>
      <c r="F204" t="s">
        <v>8</v>
      </c>
      <c r="G204" t="s">
        <v>14</v>
      </c>
      <c r="H204" t="s">
        <v>291</v>
      </c>
      <c r="I204" t="s">
        <v>96</v>
      </c>
    </row>
    <row r="205" spans="1:9">
      <c r="A205" s="5">
        <v>45792</v>
      </c>
      <c r="B205" t="s">
        <v>4310</v>
      </c>
      <c r="C205" s="1">
        <v>100000</v>
      </c>
      <c r="D205" s="1">
        <v>0</v>
      </c>
      <c r="E205" s="1">
        <f t="shared" si="3"/>
        <v>9501000</v>
      </c>
      <c r="F205" t="s">
        <v>62</v>
      </c>
      <c r="G205" t="s">
        <v>70</v>
      </c>
      <c r="H205" t="s">
        <v>60</v>
      </c>
      <c r="I205" t="s">
        <v>60</v>
      </c>
    </row>
    <row r="206" spans="1:9">
      <c r="A206" s="5">
        <v>45792</v>
      </c>
      <c r="B206" t="s">
        <v>4311</v>
      </c>
      <c r="C206" s="1">
        <v>202500</v>
      </c>
      <c r="D206" s="1">
        <v>0</v>
      </c>
      <c r="E206" s="1">
        <f t="shared" si="3"/>
        <v>9298500</v>
      </c>
      <c r="F206" t="s">
        <v>10</v>
      </c>
      <c r="G206" t="s">
        <v>446</v>
      </c>
      <c r="H206" s="40" t="s">
        <v>6539</v>
      </c>
      <c r="I206" t="s">
        <v>26</v>
      </c>
    </row>
    <row r="207" spans="1:9">
      <c r="A207" s="5">
        <v>45792</v>
      </c>
      <c r="B207" t="s">
        <v>4312</v>
      </c>
      <c r="C207" s="1">
        <v>40000</v>
      </c>
      <c r="D207" s="1">
        <v>0</v>
      </c>
      <c r="E207" s="1">
        <f t="shared" si="3"/>
        <v>9258500</v>
      </c>
      <c r="F207" t="s">
        <v>4</v>
      </c>
      <c r="G207" t="s">
        <v>5</v>
      </c>
      <c r="H207" t="s">
        <v>1636</v>
      </c>
      <c r="I207" t="s">
        <v>60</v>
      </c>
    </row>
    <row r="208" spans="1:9">
      <c r="A208" s="5">
        <v>45792</v>
      </c>
      <c r="B208" t="s">
        <v>399</v>
      </c>
      <c r="C208" s="1">
        <v>537500</v>
      </c>
      <c r="D208" s="1">
        <v>0</v>
      </c>
      <c r="E208" s="1">
        <f t="shared" si="3"/>
        <v>8721000</v>
      </c>
      <c r="F208" t="s">
        <v>8</v>
      </c>
      <c r="G208" t="s">
        <v>14</v>
      </c>
      <c r="H208" t="s">
        <v>370</v>
      </c>
      <c r="I208" t="s">
        <v>450</v>
      </c>
    </row>
    <row r="209" spans="1:9">
      <c r="A209" s="5">
        <v>45792</v>
      </c>
      <c r="B209" t="s">
        <v>396</v>
      </c>
      <c r="C209" s="1">
        <v>100000</v>
      </c>
      <c r="D209" s="1">
        <v>0</v>
      </c>
      <c r="E209" s="1">
        <f t="shared" si="3"/>
        <v>8621000</v>
      </c>
      <c r="F209" t="s">
        <v>8</v>
      </c>
      <c r="G209" t="s">
        <v>14</v>
      </c>
      <c r="H209" t="s">
        <v>370</v>
      </c>
      <c r="I209" t="s">
        <v>450</v>
      </c>
    </row>
    <row r="210" spans="1:9">
      <c r="A210" s="5">
        <v>45793</v>
      </c>
      <c r="B210" t="s">
        <v>399</v>
      </c>
      <c r="C210" s="1">
        <v>379500</v>
      </c>
      <c r="D210" s="1">
        <v>0</v>
      </c>
      <c r="E210" s="1">
        <f t="shared" si="3"/>
        <v>8241500</v>
      </c>
      <c r="F210" t="s">
        <v>8</v>
      </c>
      <c r="G210" t="s">
        <v>14</v>
      </c>
      <c r="H210" t="s">
        <v>291</v>
      </c>
      <c r="I210" t="s">
        <v>96</v>
      </c>
    </row>
    <row r="211" spans="1:9">
      <c r="A211" s="5">
        <v>45793</v>
      </c>
      <c r="B211" t="s">
        <v>396</v>
      </c>
      <c r="C211" s="1">
        <v>50000</v>
      </c>
      <c r="D211" s="1">
        <v>0</v>
      </c>
      <c r="E211" s="1">
        <f t="shared" si="3"/>
        <v>8191500</v>
      </c>
      <c r="F211" t="s">
        <v>8</v>
      </c>
      <c r="G211" t="s">
        <v>14</v>
      </c>
      <c r="H211" t="s">
        <v>291</v>
      </c>
      <c r="I211" t="s">
        <v>96</v>
      </c>
    </row>
    <row r="212" spans="1:9">
      <c r="A212" s="5">
        <v>45793</v>
      </c>
      <c r="B212" t="s">
        <v>399</v>
      </c>
      <c r="C212" s="1">
        <v>454500</v>
      </c>
      <c r="D212" s="1">
        <v>0</v>
      </c>
      <c r="E212" s="1">
        <f t="shared" si="3"/>
        <v>7737000</v>
      </c>
      <c r="F212" t="s">
        <v>8</v>
      </c>
      <c r="G212" t="s">
        <v>14</v>
      </c>
      <c r="H212" t="s">
        <v>314</v>
      </c>
      <c r="I212" t="s">
        <v>97</v>
      </c>
    </row>
    <row r="213" spans="1:9">
      <c r="A213" s="5">
        <v>45793</v>
      </c>
      <c r="B213" t="s">
        <v>396</v>
      </c>
      <c r="C213" s="1">
        <v>41000</v>
      </c>
      <c r="D213" s="1">
        <v>0</v>
      </c>
      <c r="E213" s="1">
        <f t="shared" si="3"/>
        <v>7696000</v>
      </c>
      <c r="F213" t="s">
        <v>8</v>
      </c>
      <c r="G213" t="s">
        <v>14</v>
      </c>
      <c r="H213" t="s">
        <v>314</v>
      </c>
      <c r="I213" t="s">
        <v>97</v>
      </c>
    </row>
    <row r="214" spans="1:9">
      <c r="A214" s="5">
        <v>45796</v>
      </c>
      <c r="B214" t="s">
        <v>1401</v>
      </c>
      <c r="C214" s="1">
        <v>240000</v>
      </c>
      <c r="D214" s="1">
        <v>0</v>
      </c>
      <c r="E214" s="1">
        <f t="shared" si="3"/>
        <v>7456000</v>
      </c>
      <c r="F214" t="s">
        <v>8</v>
      </c>
      <c r="G214" t="s">
        <v>181</v>
      </c>
      <c r="I214" t="s">
        <v>1355</v>
      </c>
    </row>
    <row r="215" spans="1:9">
      <c r="A215" s="5">
        <v>45796</v>
      </c>
      <c r="B215" t="s">
        <v>4313</v>
      </c>
      <c r="C215" s="1">
        <v>161600</v>
      </c>
      <c r="D215" s="1">
        <v>0</v>
      </c>
      <c r="E215" s="1">
        <f t="shared" si="3"/>
        <v>7294400</v>
      </c>
      <c r="F215" t="s">
        <v>8</v>
      </c>
      <c r="G215" t="s">
        <v>181</v>
      </c>
      <c r="I215" t="s">
        <v>1355</v>
      </c>
    </row>
    <row r="216" spans="1:9">
      <c r="A216" s="5">
        <v>45796</v>
      </c>
      <c r="B216" t="s">
        <v>502</v>
      </c>
      <c r="C216" s="1">
        <v>160000</v>
      </c>
      <c r="D216" s="1">
        <v>0</v>
      </c>
      <c r="E216" s="1">
        <f t="shared" si="3"/>
        <v>7134400</v>
      </c>
      <c r="F216" t="s">
        <v>8</v>
      </c>
      <c r="G216" t="s">
        <v>181</v>
      </c>
      <c r="I216" t="s">
        <v>1355</v>
      </c>
    </row>
    <row r="217" spans="1:9">
      <c r="A217" s="5">
        <v>45796</v>
      </c>
      <c r="B217" t="s">
        <v>503</v>
      </c>
      <c r="C217" s="1">
        <v>186000</v>
      </c>
      <c r="D217" s="1">
        <v>0</v>
      </c>
      <c r="E217" s="1">
        <f t="shared" si="3"/>
        <v>6948400</v>
      </c>
      <c r="F217" t="s">
        <v>8</v>
      </c>
      <c r="G217" t="s">
        <v>181</v>
      </c>
      <c r="I217" t="s">
        <v>1355</v>
      </c>
    </row>
    <row r="218" spans="1:9">
      <c r="A218" s="5">
        <v>45796</v>
      </c>
      <c r="B218" t="s">
        <v>4314</v>
      </c>
      <c r="C218" s="1">
        <v>285000</v>
      </c>
      <c r="D218" s="1">
        <v>0</v>
      </c>
      <c r="E218" s="1">
        <f t="shared" si="3"/>
        <v>6663400</v>
      </c>
      <c r="F218" t="s">
        <v>8</v>
      </c>
      <c r="G218" t="s">
        <v>78</v>
      </c>
      <c r="I218" t="s">
        <v>1355</v>
      </c>
    </row>
    <row r="219" spans="1:9">
      <c r="A219" s="5">
        <v>45796</v>
      </c>
      <c r="B219" t="s">
        <v>4315</v>
      </c>
      <c r="C219" s="1">
        <v>109600</v>
      </c>
      <c r="D219" s="1">
        <v>0</v>
      </c>
      <c r="E219" s="1">
        <f t="shared" si="3"/>
        <v>6553800</v>
      </c>
      <c r="F219" t="s">
        <v>62</v>
      </c>
      <c r="G219" t="s">
        <v>70</v>
      </c>
      <c r="H219" t="s">
        <v>308</v>
      </c>
      <c r="I219" t="s">
        <v>1355</v>
      </c>
    </row>
    <row r="220" spans="1:9">
      <c r="A220" s="5">
        <v>45796</v>
      </c>
      <c r="B220" t="s">
        <v>4316</v>
      </c>
      <c r="C220" s="1">
        <v>283800</v>
      </c>
      <c r="D220" s="1">
        <v>0</v>
      </c>
      <c r="E220" s="1">
        <f t="shared" si="3"/>
        <v>6270000</v>
      </c>
      <c r="F220" t="s">
        <v>62</v>
      </c>
      <c r="G220" t="s">
        <v>63</v>
      </c>
      <c r="H220" t="s">
        <v>1456</v>
      </c>
      <c r="I220" t="s">
        <v>1355</v>
      </c>
    </row>
    <row r="221" spans="1:9">
      <c r="A221" s="5">
        <v>45798</v>
      </c>
      <c r="B221" t="s">
        <v>4317</v>
      </c>
      <c r="C221" s="1">
        <v>148000</v>
      </c>
      <c r="D221" s="1">
        <v>0</v>
      </c>
      <c r="E221" s="1">
        <f t="shared" si="3"/>
        <v>6122000</v>
      </c>
      <c r="F221" t="s">
        <v>62</v>
      </c>
      <c r="G221" t="s">
        <v>70</v>
      </c>
      <c r="H221" t="s">
        <v>95</v>
      </c>
      <c r="I221" t="s">
        <v>95</v>
      </c>
    </row>
    <row r="222" spans="1:9">
      <c r="A222" s="5">
        <v>45798</v>
      </c>
      <c r="B222" t="s">
        <v>4318</v>
      </c>
      <c r="C222" s="1">
        <v>33000</v>
      </c>
      <c r="D222" s="1">
        <v>0</v>
      </c>
      <c r="E222" s="1">
        <f t="shared" si="3"/>
        <v>6089000</v>
      </c>
      <c r="F222" t="s">
        <v>8</v>
      </c>
      <c r="G222" t="s">
        <v>14</v>
      </c>
      <c r="H222" t="s">
        <v>26</v>
      </c>
      <c r="I222" t="s">
        <v>26</v>
      </c>
    </row>
    <row r="223" spans="1:9">
      <c r="A223" s="5">
        <v>45805</v>
      </c>
      <c r="B223" t="s">
        <v>4319</v>
      </c>
      <c r="C223" s="1">
        <v>145700</v>
      </c>
      <c r="D223" s="1">
        <v>0</v>
      </c>
      <c r="E223" s="1">
        <f t="shared" si="3"/>
        <v>5943300</v>
      </c>
      <c r="F223" t="s">
        <v>4</v>
      </c>
      <c r="G223" t="s">
        <v>5</v>
      </c>
      <c r="H223" t="s">
        <v>2326</v>
      </c>
      <c r="I223" t="s">
        <v>57</v>
      </c>
    </row>
    <row r="224" spans="1:9">
      <c r="A224" s="5">
        <v>45805</v>
      </c>
      <c r="B224" t="s">
        <v>4320</v>
      </c>
      <c r="C224" s="1">
        <v>66000</v>
      </c>
      <c r="D224" s="1">
        <v>0</v>
      </c>
      <c r="E224" s="1">
        <f t="shared" si="3"/>
        <v>5877300</v>
      </c>
      <c r="F224" t="s">
        <v>4</v>
      </c>
      <c r="G224" t="s">
        <v>5</v>
      </c>
      <c r="H224" t="s">
        <v>2326</v>
      </c>
      <c r="I224" t="s">
        <v>57</v>
      </c>
    </row>
    <row r="225" spans="1:9">
      <c r="A225" s="5">
        <v>45805</v>
      </c>
      <c r="B225" t="s">
        <v>4321</v>
      </c>
      <c r="C225" s="1">
        <v>61000</v>
      </c>
      <c r="D225" s="1">
        <v>0</v>
      </c>
      <c r="E225" s="1">
        <f t="shared" si="3"/>
        <v>5816300</v>
      </c>
      <c r="F225" t="s">
        <v>4</v>
      </c>
      <c r="G225" t="s">
        <v>5</v>
      </c>
      <c r="H225" t="s">
        <v>2326</v>
      </c>
      <c r="I225" t="s">
        <v>57</v>
      </c>
    </row>
    <row r="226" spans="1:9">
      <c r="A226" s="5">
        <v>45805</v>
      </c>
      <c r="B226" t="s">
        <v>4322</v>
      </c>
      <c r="C226" s="1">
        <v>175000</v>
      </c>
      <c r="D226" s="1">
        <v>0</v>
      </c>
      <c r="E226" s="1">
        <f t="shared" si="3"/>
        <v>5641300</v>
      </c>
      <c r="F226" t="s">
        <v>4</v>
      </c>
      <c r="G226" t="s">
        <v>5</v>
      </c>
      <c r="H226" t="s">
        <v>2326</v>
      </c>
      <c r="I226" t="s">
        <v>57</v>
      </c>
    </row>
    <row r="227" spans="1:9">
      <c r="A227" s="5">
        <v>45807</v>
      </c>
      <c r="B227" t="s">
        <v>399</v>
      </c>
      <c r="C227" s="1">
        <v>743500</v>
      </c>
      <c r="D227" s="1">
        <v>0</v>
      </c>
      <c r="E227" s="1">
        <f t="shared" si="3"/>
        <v>4897800</v>
      </c>
      <c r="F227" t="s">
        <v>8</v>
      </c>
      <c r="G227" t="s">
        <v>14</v>
      </c>
      <c r="H227" t="s">
        <v>370</v>
      </c>
      <c r="I227" t="s">
        <v>450</v>
      </c>
    </row>
    <row r="228" spans="1:9">
      <c r="A228" s="5">
        <v>45807</v>
      </c>
      <c r="B228" t="s">
        <v>396</v>
      </c>
      <c r="C228" s="1">
        <v>107000</v>
      </c>
      <c r="D228" s="1">
        <v>0</v>
      </c>
      <c r="E228" s="1">
        <f t="shared" si="3"/>
        <v>4790800</v>
      </c>
      <c r="F228" t="s">
        <v>8</v>
      </c>
      <c r="G228" t="s">
        <v>14</v>
      </c>
      <c r="H228" t="s">
        <v>370</v>
      </c>
      <c r="I228" t="s">
        <v>450</v>
      </c>
    </row>
    <row r="229" spans="1:9">
      <c r="A229" s="5">
        <v>45807</v>
      </c>
      <c r="B229" t="s">
        <v>4323</v>
      </c>
      <c r="C229" s="1">
        <v>15500</v>
      </c>
      <c r="D229" s="1">
        <v>0</v>
      </c>
      <c r="E229" s="1">
        <f t="shared" si="3"/>
        <v>4775300</v>
      </c>
      <c r="F229" t="s">
        <v>4</v>
      </c>
      <c r="G229" t="s">
        <v>5</v>
      </c>
      <c r="H229" t="s">
        <v>2326</v>
      </c>
      <c r="I229" t="s">
        <v>450</v>
      </c>
    </row>
    <row r="230" spans="1:9">
      <c r="A230" s="5">
        <v>45807</v>
      </c>
      <c r="B230" t="s">
        <v>4324</v>
      </c>
      <c r="C230" s="1">
        <v>200000</v>
      </c>
      <c r="D230" s="1">
        <v>0</v>
      </c>
      <c r="E230" s="1">
        <f t="shared" si="3"/>
        <v>4575300</v>
      </c>
      <c r="F230" t="s">
        <v>8</v>
      </c>
      <c r="G230" t="s">
        <v>14</v>
      </c>
      <c r="H230" t="s">
        <v>370</v>
      </c>
      <c r="I230" t="s">
        <v>57</v>
      </c>
    </row>
    <row r="231" spans="1:9">
      <c r="A231" s="5">
        <v>45810</v>
      </c>
      <c r="B231" t="s">
        <v>4325</v>
      </c>
      <c r="C231" s="1">
        <v>500000</v>
      </c>
      <c r="D231" s="1">
        <v>0</v>
      </c>
      <c r="E231" s="1">
        <f t="shared" si="3"/>
        <v>4075300</v>
      </c>
      <c r="F231" t="s">
        <v>8</v>
      </c>
      <c r="G231" t="s">
        <v>14</v>
      </c>
      <c r="H231" t="s">
        <v>292</v>
      </c>
      <c r="I231" t="s">
        <v>292</v>
      </c>
    </row>
    <row r="232" spans="1:9">
      <c r="A232" s="5">
        <v>45810</v>
      </c>
      <c r="B232" t="s">
        <v>4326</v>
      </c>
      <c r="C232" s="1">
        <v>70000</v>
      </c>
      <c r="D232" s="1">
        <v>0</v>
      </c>
      <c r="E232" s="1">
        <f t="shared" si="3"/>
        <v>4005300</v>
      </c>
      <c r="F232" t="s">
        <v>4</v>
      </c>
      <c r="G232" t="s">
        <v>5</v>
      </c>
      <c r="H232" t="s">
        <v>2326</v>
      </c>
      <c r="I232" t="s">
        <v>292</v>
      </c>
    </row>
    <row r="233" spans="1:9">
      <c r="A233" s="5">
        <v>45810</v>
      </c>
      <c r="B233" t="s">
        <v>4327</v>
      </c>
      <c r="C233" s="1">
        <v>230000</v>
      </c>
      <c r="D233" s="1">
        <v>0</v>
      </c>
      <c r="E233" s="1">
        <f t="shared" si="3"/>
        <v>3775300</v>
      </c>
      <c r="F233" t="s">
        <v>4</v>
      </c>
      <c r="G233" t="s">
        <v>5</v>
      </c>
      <c r="H233" t="s">
        <v>2326</v>
      </c>
      <c r="I233" t="s">
        <v>292</v>
      </c>
    </row>
    <row r="234" spans="1:9">
      <c r="A234" s="5">
        <v>45810</v>
      </c>
      <c r="B234" t="s">
        <v>4328</v>
      </c>
      <c r="C234" s="1">
        <v>315771</v>
      </c>
      <c r="D234" s="1">
        <v>0</v>
      </c>
      <c r="E234" s="1">
        <f t="shared" si="3"/>
        <v>3459529</v>
      </c>
      <c r="F234" t="s">
        <v>8</v>
      </c>
      <c r="G234" t="s">
        <v>14</v>
      </c>
      <c r="H234" t="s">
        <v>292</v>
      </c>
      <c r="I234" t="s">
        <v>292</v>
      </c>
    </row>
    <row r="235" spans="1:9">
      <c r="A235" s="5">
        <v>45810</v>
      </c>
      <c r="B235" t="s">
        <v>1371</v>
      </c>
      <c r="C235" s="1">
        <v>31500</v>
      </c>
      <c r="D235" s="1">
        <v>0</v>
      </c>
      <c r="E235" s="1">
        <f t="shared" si="3"/>
        <v>3428029</v>
      </c>
      <c r="F235" t="s">
        <v>8</v>
      </c>
      <c r="G235" t="s">
        <v>14</v>
      </c>
      <c r="H235" t="s">
        <v>292</v>
      </c>
      <c r="I235" t="s">
        <v>292</v>
      </c>
    </row>
    <row r="236" spans="1:9">
      <c r="A236" s="5">
        <v>45810</v>
      </c>
      <c r="B236" t="s">
        <v>4329</v>
      </c>
      <c r="C236" s="1">
        <v>210000</v>
      </c>
      <c r="D236" s="1">
        <v>0</v>
      </c>
      <c r="E236" s="1">
        <f t="shared" si="3"/>
        <v>3218029</v>
      </c>
      <c r="F236" t="s">
        <v>62</v>
      </c>
      <c r="G236" t="s">
        <v>70</v>
      </c>
      <c r="H236" t="s">
        <v>292</v>
      </c>
      <c r="I236" t="s">
        <v>292</v>
      </c>
    </row>
    <row r="237" spans="1:9">
      <c r="A237" s="5">
        <v>45810</v>
      </c>
      <c r="B237" t="s">
        <v>1401</v>
      </c>
      <c r="C237" s="1">
        <v>120000</v>
      </c>
      <c r="D237" s="1">
        <v>0</v>
      </c>
      <c r="E237" s="1">
        <f t="shared" si="3"/>
        <v>3098029</v>
      </c>
      <c r="F237" t="s">
        <v>8</v>
      </c>
      <c r="G237" t="s">
        <v>181</v>
      </c>
      <c r="I237" t="s">
        <v>1355</v>
      </c>
    </row>
    <row r="238" spans="1:9">
      <c r="A238" s="5">
        <v>45810</v>
      </c>
      <c r="B238" t="s">
        <v>503</v>
      </c>
      <c r="C238" s="1">
        <v>170000</v>
      </c>
      <c r="D238" s="1">
        <v>0</v>
      </c>
      <c r="E238" s="1">
        <f t="shared" si="3"/>
        <v>2928029</v>
      </c>
      <c r="F238" t="s">
        <v>8</v>
      </c>
      <c r="G238" t="s">
        <v>181</v>
      </c>
      <c r="I238" t="s">
        <v>1355</v>
      </c>
    </row>
    <row r="239" spans="1:9">
      <c r="A239" s="5">
        <v>45810</v>
      </c>
      <c r="B239" t="s">
        <v>502</v>
      </c>
      <c r="C239" s="1">
        <v>234000</v>
      </c>
      <c r="D239" s="1">
        <v>0</v>
      </c>
      <c r="E239" s="1">
        <f t="shared" si="3"/>
        <v>2694029</v>
      </c>
      <c r="F239" t="s">
        <v>8</v>
      </c>
      <c r="G239" t="s">
        <v>181</v>
      </c>
      <c r="I239" t="s">
        <v>1355</v>
      </c>
    </row>
    <row r="240" spans="1:9">
      <c r="A240" s="5">
        <v>45810</v>
      </c>
      <c r="B240" t="s">
        <v>4330</v>
      </c>
      <c r="C240" s="1">
        <v>40000</v>
      </c>
      <c r="D240" s="1">
        <v>0</v>
      </c>
      <c r="E240" s="1">
        <f t="shared" si="3"/>
        <v>2654029</v>
      </c>
      <c r="F240" t="s">
        <v>4</v>
      </c>
      <c r="G240" t="s">
        <v>5</v>
      </c>
      <c r="H240" t="s">
        <v>1376</v>
      </c>
      <c r="I240" t="s">
        <v>1355</v>
      </c>
    </row>
    <row r="241" spans="1:9">
      <c r="A241" s="5">
        <v>45810</v>
      </c>
      <c r="B241" t="s">
        <v>4331</v>
      </c>
      <c r="C241" s="1">
        <v>117000</v>
      </c>
      <c r="D241" s="1">
        <v>0</v>
      </c>
      <c r="E241" s="1">
        <f t="shared" si="3"/>
        <v>2537029</v>
      </c>
      <c r="F241" t="s">
        <v>4</v>
      </c>
      <c r="G241" t="s">
        <v>5</v>
      </c>
      <c r="H241" t="s">
        <v>1376</v>
      </c>
      <c r="I241" t="s">
        <v>1355</v>
      </c>
    </row>
    <row r="242" spans="1:9">
      <c r="A242" s="5">
        <v>45810</v>
      </c>
      <c r="B242" t="s">
        <v>4332</v>
      </c>
      <c r="C242" s="1">
        <v>20000</v>
      </c>
      <c r="D242" s="1">
        <v>0</v>
      </c>
      <c r="E242" s="1">
        <f t="shared" si="3"/>
        <v>2517029</v>
      </c>
      <c r="F242" t="s">
        <v>4</v>
      </c>
      <c r="G242" t="s">
        <v>5</v>
      </c>
      <c r="H242" t="s">
        <v>1376</v>
      </c>
      <c r="I242" t="s">
        <v>1355</v>
      </c>
    </row>
    <row r="243" spans="1:9">
      <c r="A243" s="5">
        <v>45810</v>
      </c>
      <c r="B243" t="s">
        <v>4333</v>
      </c>
      <c r="C243" s="1">
        <v>15000</v>
      </c>
      <c r="D243" s="1">
        <v>0</v>
      </c>
      <c r="E243" s="1">
        <f t="shared" si="3"/>
        <v>2502029</v>
      </c>
      <c r="F243" t="s">
        <v>4</v>
      </c>
      <c r="G243" t="s">
        <v>5</v>
      </c>
      <c r="H243" t="s">
        <v>1376</v>
      </c>
      <c r="I243" t="s">
        <v>1355</v>
      </c>
    </row>
    <row r="244" spans="1:9">
      <c r="A244" s="5">
        <v>45810</v>
      </c>
      <c r="B244" t="s">
        <v>4334</v>
      </c>
      <c r="C244" s="1">
        <v>15000</v>
      </c>
      <c r="D244" s="1">
        <v>0</v>
      </c>
      <c r="E244" s="1">
        <f t="shared" si="3"/>
        <v>2487029</v>
      </c>
      <c r="F244" t="s">
        <v>4</v>
      </c>
      <c r="G244" t="s">
        <v>5</v>
      </c>
      <c r="H244" t="s">
        <v>1376</v>
      </c>
      <c r="I244" t="s">
        <v>1355</v>
      </c>
    </row>
    <row r="245" spans="1:9">
      <c r="A245" s="5">
        <v>45810</v>
      </c>
      <c r="B245" t="s">
        <v>4335</v>
      </c>
      <c r="C245" s="11">
        <v>20000</v>
      </c>
      <c r="D245" s="11">
        <v>0</v>
      </c>
      <c r="E245" s="1">
        <f t="shared" si="3"/>
        <v>2467029</v>
      </c>
      <c r="F245" t="s">
        <v>10</v>
      </c>
      <c r="G245" t="s">
        <v>446</v>
      </c>
      <c r="H245" t="s">
        <v>2324</v>
      </c>
      <c r="I245" t="s">
        <v>26</v>
      </c>
    </row>
    <row r="246" spans="1:9">
      <c r="A246" s="5">
        <v>45810</v>
      </c>
      <c r="B246" t="s">
        <v>4336</v>
      </c>
      <c r="C246" s="11">
        <v>100000</v>
      </c>
      <c r="D246" s="11">
        <v>0</v>
      </c>
      <c r="E246" s="1">
        <f t="shared" si="3"/>
        <v>2367029</v>
      </c>
      <c r="F246" t="s">
        <v>10</v>
      </c>
      <c r="G246" t="s">
        <v>446</v>
      </c>
      <c r="H246" t="s">
        <v>2324</v>
      </c>
      <c r="I246" t="s">
        <v>26</v>
      </c>
    </row>
    <row r="247" spans="1:9">
      <c r="A247" s="5">
        <v>45810</v>
      </c>
      <c r="B247" t="s">
        <v>399</v>
      </c>
      <c r="C247" s="1">
        <v>340000</v>
      </c>
      <c r="D247" s="1">
        <v>0</v>
      </c>
      <c r="E247" s="1">
        <f t="shared" si="3"/>
        <v>2027029</v>
      </c>
      <c r="F247" t="s">
        <v>8</v>
      </c>
      <c r="G247" t="s">
        <v>14</v>
      </c>
      <c r="H247" t="s">
        <v>291</v>
      </c>
      <c r="I247" t="s">
        <v>96</v>
      </c>
    </row>
    <row r="248" spans="1:9">
      <c r="A248" s="5">
        <v>45810</v>
      </c>
      <c r="B248" t="s">
        <v>396</v>
      </c>
      <c r="C248" s="1">
        <v>48000</v>
      </c>
      <c r="D248" s="1">
        <v>0</v>
      </c>
      <c r="E248" s="1">
        <f t="shared" si="3"/>
        <v>1979029</v>
      </c>
      <c r="F248" t="s">
        <v>8</v>
      </c>
      <c r="G248" t="s">
        <v>14</v>
      </c>
      <c r="H248" t="s">
        <v>291</v>
      </c>
      <c r="I248" t="s">
        <v>96</v>
      </c>
    </row>
    <row r="249" spans="1:9">
      <c r="A249" s="5">
        <v>45810</v>
      </c>
      <c r="B249" t="s">
        <v>4337</v>
      </c>
      <c r="C249" s="1">
        <v>100000</v>
      </c>
      <c r="D249" s="1">
        <v>0</v>
      </c>
      <c r="E249" s="1">
        <f t="shared" si="3"/>
        <v>1879029</v>
      </c>
      <c r="F249" t="s">
        <v>8</v>
      </c>
      <c r="G249" t="s">
        <v>31</v>
      </c>
      <c r="I249" t="s">
        <v>1353</v>
      </c>
    </row>
    <row r="250" spans="1:9">
      <c r="A250" s="5">
        <v>45810</v>
      </c>
      <c r="B250" t="s">
        <v>4338</v>
      </c>
      <c r="C250" s="1">
        <v>33300</v>
      </c>
      <c r="D250" s="1">
        <v>0</v>
      </c>
      <c r="E250" s="1">
        <f t="shared" si="3"/>
        <v>1845729</v>
      </c>
      <c r="F250" t="s">
        <v>8</v>
      </c>
      <c r="G250" t="s">
        <v>31</v>
      </c>
      <c r="H250" t="s">
        <v>308</v>
      </c>
      <c r="I250" t="s">
        <v>1353</v>
      </c>
    </row>
    <row r="251" spans="1:9">
      <c r="A251" s="5">
        <v>45810</v>
      </c>
      <c r="B251" t="s">
        <v>4339</v>
      </c>
      <c r="C251" s="1">
        <v>37260</v>
      </c>
      <c r="D251" s="1">
        <v>0</v>
      </c>
      <c r="E251" s="1">
        <f t="shared" si="3"/>
        <v>1808469</v>
      </c>
      <c r="F251" t="s">
        <v>8</v>
      </c>
      <c r="G251" t="s">
        <v>31</v>
      </c>
      <c r="H251" t="s">
        <v>308</v>
      </c>
      <c r="I251" t="s">
        <v>1353</v>
      </c>
    </row>
    <row r="252" spans="1:9">
      <c r="A252" s="5">
        <v>45810</v>
      </c>
      <c r="B252" t="s">
        <v>4340</v>
      </c>
      <c r="C252" s="1">
        <v>544370</v>
      </c>
      <c r="D252" s="1">
        <v>0</v>
      </c>
      <c r="E252" s="1">
        <f t="shared" si="3"/>
        <v>1264099</v>
      </c>
      <c r="F252" t="s">
        <v>8</v>
      </c>
      <c r="G252" t="s">
        <v>31</v>
      </c>
      <c r="H252" t="s">
        <v>308</v>
      </c>
      <c r="I252" t="s">
        <v>1353</v>
      </c>
    </row>
    <row r="253" spans="1:9">
      <c r="A253" s="5">
        <v>45810</v>
      </c>
      <c r="B253" t="s">
        <v>4341</v>
      </c>
      <c r="C253" s="1">
        <v>260000</v>
      </c>
      <c r="D253" s="1">
        <v>0</v>
      </c>
      <c r="E253" s="1">
        <f t="shared" si="3"/>
        <v>1004099</v>
      </c>
      <c r="F253" t="s">
        <v>4</v>
      </c>
      <c r="G253" t="s">
        <v>5</v>
      </c>
      <c r="H253" t="s">
        <v>1376</v>
      </c>
      <c r="I253" t="s">
        <v>55</v>
      </c>
    </row>
    <row r="254" spans="1:9">
      <c r="A254" s="5">
        <v>45810</v>
      </c>
      <c r="B254" t="s">
        <v>4342</v>
      </c>
      <c r="C254" s="1">
        <v>225000</v>
      </c>
      <c r="D254" s="1">
        <v>0</v>
      </c>
      <c r="E254" s="1">
        <f t="shared" si="3"/>
        <v>779099</v>
      </c>
      <c r="F254" t="s">
        <v>4</v>
      </c>
      <c r="G254" t="s">
        <v>5</v>
      </c>
      <c r="H254" t="s">
        <v>1376</v>
      </c>
      <c r="I254" t="s">
        <v>55</v>
      </c>
    </row>
    <row r="255" spans="1:9">
      <c r="A255" s="5">
        <v>45812</v>
      </c>
      <c r="B255" t="s">
        <v>399</v>
      </c>
      <c r="C255" s="1">
        <v>498000</v>
      </c>
      <c r="D255" s="1">
        <v>0</v>
      </c>
      <c r="E255" s="1">
        <f t="shared" si="3"/>
        <v>281099</v>
      </c>
      <c r="F255" t="s">
        <v>8</v>
      </c>
      <c r="G255" t="s">
        <v>14</v>
      </c>
      <c r="H255" t="s">
        <v>314</v>
      </c>
      <c r="I255" t="s">
        <v>97</v>
      </c>
    </row>
    <row r="256" spans="1:9">
      <c r="A256" s="5">
        <v>45812</v>
      </c>
      <c r="B256" t="s">
        <v>396</v>
      </c>
      <c r="C256" s="1">
        <v>14000</v>
      </c>
      <c r="D256" s="1">
        <v>0</v>
      </c>
      <c r="E256" s="1">
        <f t="shared" si="3"/>
        <v>267099</v>
      </c>
      <c r="F256" t="s">
        <v>8</v>
      </c>
      <c r="G256" t="s">
        <v>14</v>
      </c>
      <c r="H256" t="s">
        <v>314</v>
      </c>
      <c r="I256" t="s">
        <v>97</v>
      </c>
    </row>
    <row r="257" spans="1:9">
      <c r="A257" s="5">
        <v>45821</v>
      </c>
      <c r="B257" t="s">
        <v>378</v>
      </c>
      <c r="C257" s="1">
        <v>0</v>
      </c>
      <c r="D257" s="1">
        <v>9732901</v>
      </c>
      <c r="E257" s="1">
        <f t="shared" si="3"/>
        <v>10000000</v>
      </c>
      <c r="F257" t="s">
        <v>920</v>
      </c>
      <c r="G257" t="s">
        <v>376</v>
      </c>
    </row>
    <row r="258" spans="1:9">
      <c r="A258" s="5">
        <v>45812</v>
      </c>
      <c r="B258" t="s">
        <v>4343</v>
      </c>
      <c r="C258" s="1">
        <v>160000</v>
      </c>
      <c r="D258" s="1">
        <v>0</v>
      </c>
      <c r="E258" s="1">
        <f t="shared" si="3"/>
        <v>9840000</v>
      </c>
      <c r="F258" t="s">
        <v>8</v>
      </c>
      <c r="G258" t="s">
        <v>181</v>
      </c>
      <c r="H258" t="s">
        <v>26</v>
      </c>
      <c r="I258" t="s">
        <v>26</v>
      </c>
    </row>
    <row r="259" spans="1:9">
      <c r="A259" s="5">
        <v>45812</v>
      </c>
      <c r="B259" t="s">
        <v>4344</v>
      </c>
      <c r="C259" s="1">
        <v>50000</v>
      </c>
      <c r="D259" s="1">
        <v>0</v>
      </c>
      <c r="E259" s="1">
        <f t="shared" si="3"/>
        <v>9790000</v>
      </c>
      <c r="F259" t="s">
        <v>8</v>
      </c>
      <c r="G259" t="s">
        <v>181</v>
      </c>
      <c r="H259" t="s">
        <v>26</v>
      </c>
      <c r="I259" t="s">
        <v>26</v>
      </c>
    </row>
    <row r="260" spans="1:9">
      <c r="A260" s="5">
        <v>45812</v>
      </c>
      <c r="B260" t="s">
        <v>4345</v>
      </c>
      <c r="C260" s="1">
        <v>70000</v>
      </c>
      <c r="D260" s="1">
        <v>0</v>
      </c>
      <c r="E260" s="1">
        <f t="shared" si="3"/>
        <v>9720000</v>
      </c>
      <c r="F260" t="s">
        <v>8</v>
      </c>
      <c r="G260" t="s">
        <v>181</v>
      </c>
      <c r="H260" t="s">
        <v>26</v>
      </c>
      <c r="I260" t="s">
        <v>26</v>
      </c>
    </row>
    <row r="261" spans="1:9">
      <c r="A261" s="5">
        <v>45812</v>
      </c>
      <c r="B261" t="s">
        <v>4346</v>
      </c>
      <c r="C261" s="1">
        <v>151000</v>
      </c>
      <c r="D261" s="1">
        <v>0</v>
      </c>
      <c r="E261" s="1">
        <f t="shared" si="3"/>
        <v>9569000</v>
      </c>
      <c r="F261" t="s">
        <v>8</v>
      </c>
      <c r="G261" t="s">
        <v>181</v>
      </c>
      <c r="H261" t="s">
        <v>26</v>
      </c>
      <c r="I261" t="s">
        <v>26</v>
      </c>
    </row>
    <row r="262" spans="1:9">
      <c r="A262" s="5">
        <v>45812</v>
      </c>
      <c r="B262" t="s">
        <v>4347</v>
      </c>
      <c r="C262" s="1">
        <v>91150</v>
      </c>
      <c r="D262" s="1">
        <v>0</v>
      </c>
      <c r="E262" s="1">
        <f t="shared" ref="E262:E325" si="4">E261-C262+D262</f>
        <v>9477850</v>
      </c>
      <c r="F262" t="s">
        <v>8</v>
      </c>
      <c r="G262" t="s">
        <v>181</v>
      </c>
      <c r="H262" t="s">
        <v>26</v>
      </c>
      <c r="I262" t="s">
        <v>26</v>
      </c>
    </row>
    <row r="263" spans="1:9">
      <c r="A263" s="5">
        <v>45812</v>
      </c>
      <c r="B263" t="s">
        <v>4348</v>
      </c>
      <c r="C263" s="1">
        <v>58300</v>
      </c>
      <c r="D263" s="1">
        <v>0</v>
      </c>
      <c r="E263" s="1">
        <f t="shared" si="4"/>
        <v>9419550</v>
      </c>
      <c r="F263" t="s">
        <v>8</v>
      </c>
      <c r="G263" t="s">
        <v>181</v>
      </c>
      <c r="H263" t="s">
        <v>26</v>
      </c>
      <c r="I263" t="s">
        <v>26</v>
      </c>
    </row>
    <row r="264" spans="1:9">
      <c r="A264" s="5">
        <v>45812</v>
      </c>
      <c r="B264" t="s">
        <v>4349</v>
      </c>
      <c r="C264" s="1">
        <v>139900</v>
      </c>
      <c r="D264" s="1">
        <v>0</v>
      </c>
      <c r="E264" s="1">
        <f t="shared" si="4"/>
        <v>9279650</v>
      </c>
      <c r="F264" t="s">
        <v>8</v>
      </c>
      <c r="G264" t="s">
        <v>181</v>
      </c>
      <c r="H264" t="s">
        <v>26</v>
      </c>
      <c r="I264" t="s">
        <v>26</v>
      </c>
    </row>
    <row r="265" spans="1:9">
      <c r="A265" s="5">
        <v>45812</v>
      </c>
      <c r="B265" t="s">
        <v>4350</v>
      </c>
      <c r="C265" s="1">
        <v>19500</v>
      </c>
      <c r="D265" s="1">
        <v>0</v>
      </c>
      <c r="E265" s="1">
        <f t="shared" si="4"/>
        <v>9260150</v>
      </c>
      <c r="F265" t="s">
        <v>8</v>
      </c>
      <c r="G265" t="s">
        <v>14</v>
      </c>
      <c r="H265" t="s">
        <v>26</v>
      </c>
      <c r="I265" t="s">
        <v>26</v>
      </c>
    </row>
    <row r="266" spans="1:9">
      <c r="A266" s="5">
        <v>45812</v>
      </c>
      <c r="B266" t="s">
        <v>4351</v>
      </c>
      <c r="C266" s="1">
        <v>100000</v>
      </c>
      <c r="D266" s="1">
        <v>0</v>
      </c>
      <c r="E266" s="1">
        <f t="shared" si="4"/>
        <v>9160150</v>
      </c>
      <c r="F266" t="s">
        <v>8</v>
      </c>
      <c r="G266" t="s">
        <v>14</v>
      </c>
      <c r="H266" t="s">
        <v>26</v>
      </c>
      <c r="I266" t="s">
        <v>26</v>
      </c>
    </row>
    <row r="267" spans="1:9">
      <c r="A267" s="5">
        <v>45813</v>
      </c>
      <c r="B267" t="s">
        <v>4352</v>
      </c>
      <c r="C267" s="1">
        <v>46000</v>
      </c>
      <c r="D267" s="1">
        <v>0</v>
      </c>
      <c r="E267" s="1">
        <f t="shared" si="4"/>
        <v>9114150</v>
      </c>
      <c r="F267" t="s">
        <v>8</v>
      </c>
      <c r="G267" t="s">
        <v>240</v>
      </c>
      <c r="H267" t="s">
        <v>26</v>
      </c>
      <c r="I267" t="s">
        <v>26</v>
      </c>
    </row>
    <row r="268" spans="1:9">
      <c r="A268" s="5">
        <v>45813</v>
      </c>
      <c r="B268" t="s">
        <v>4353</v>
      </c>
      <c r="C268" s="1">
        <v>93000</v>
      </c>
      <c r="D268" s="1">
        <v>0</v>
      </c>
      <c r="E268" s="1">
        <f t="shared" si="4"/>
        <v>9021150</v>
      </c>
      <c r="F268" t="s">
        <v>4</v>
      </c>
      <c r="G268" t="s">
        <v>5</v>
      </c>
      <c r="H268" t="s">
        <v>1376</v>
      </c>
      <c r="I268" t="s">
        <v>1353</v>
      </c>
    </row>
    <row r="269" spans="1:9">
      <c r="A269" s="5">
        <v>45813</v>
      </c>
      <c r="B269" t="s">
        <v>4354</v>
      </c>
      <c r="C269" s="1">
        <v>94500</v>
      </c>
      <c r="D269" s="1">
        <v>0</v>
      </c>
      <c r="E269" s="1">
        <f t="shared" si="4"/>
        <v>8926650</v>
      </c>
      <c r="F269" t="s">
        <v>4</v>
      </c>
      <c r="G269" t="s">
        <v>5</v>
      </c>
      <c r="H269" t="s">
        <v>1376</v>
      </c>
      <c r="I269" t="s">
        <v>1353</v>
      </c>
    </row>
    <row r="270" spans="1:9">
      <c r="A270" s="5">
        <v>45818</v>
      </c>
      <c r="B270" t="s">
        <v>4355</v>
      </c>
      <c r="C270" s="1">
        <v>160000</v>
      </c>
      <c r="D270" s="1">
        <v>0</v>
      </c>
      <c r="E270" s="1">
        <f t="shared" si="4"/>
        <v>8766650</v>
      </c>
      <c r="F270" t="s">
        <v>62</v>
      </c>
      <c r="G270" t="s">
        <v>70</v>
      </c>
      <c r="H270" t="s">
        <v>449</v>
      </c>
      <c r="I270" t="s">
        <v>449</v>
      </c>
    </row>
    <row r="271" spans="1:9">
      <c r="A271" s="5">
        <v>45818</v>
      </c>
      <c r="B271" t="s">
        <v>4356</v>
      </c>
      <c r="C271" s="11">
        <v>51000</v>
      </c>
      <c r="D271" s="11">
        <v>0</v>
      </c>
      <c r="E271" s="1">
        <f t="shared" si="4"/>
        <v>8715650</v>
      </c>
      <c r="F271" t="s">
        <v>10</v>
      </c>
      <c r="G271" t="s">
        <v>446</v>
      </c>
      <c r="H271" t="s">
        <v>2324</v>
      </c>
      <c r="I271" t="s">
        <v>26</v>
      </c>
    </row>
    <row r="272" spans="1:9">
      <c r="A272" s="5">
        <v>45818</v>
      </c>
      <c r="B272" t="s">
        <v>4357</v>
      </c>
      <c r="C272" s="11">
        <v>50000</v>
      </c>
      <c r="D272" s="11">
        <v>0</v>
      </c>
      <c r="E272" s="1">
        <f t="shared" si="4"/>
        <v>8665650</v>
      </c>
      <c r="F272" t="s">
        <v>10</v>
      </c>
      <c r="G272" t="s">
        <v>446</v>
      </c>
      <c r="H272" t="s">
        <v>2324</v>
      </c>
      <c r="I272" t="s">
        <v>26</v>
      </c>
    </row>
    <row r="273" spans="1:9">
      <c r="A273" s="5">
        <v>45818</v>
      </c>
      <c r="B273" t="s">
        <v>4358</v>
      </c>
      <c r="C273" s="11">
        <v>57600</v>
      </c>
      <c r="D273" s="11">
        <v>0</v>
      </c>
      <c r="E273" s="1">
        <f t="shared" si="4"/>
        <v>8608050</v>
      </c>
      <c r="F273" t="s">
        <v>10</v>
      </c>
      <c r="G273" t="s">
        <v>446</v>
      </c>
      <c r="H273" t="s">
        <v>2324</v>
      </c>
      <c r="I273" t="s">
        <v>26</v>
      </c>
    </row>
    <row r="274" spans="1:9">
      <c r="A274" s="5">
        <v>45818</v>
      </c>
      <c r="B274" t="s">
        <v>4359</v>
      </c>
      <c r="C274" s="11">
        <v>30000</v>
      </c>
      <c r="D274" s="11">
        <v>0</v>
      </c>
      <c r="E274" s="1">
        <f t="shared" si="4"/>
        <v>8578050</v>
      </c>
      <c r="F274" t="s">
        <v>10</v>
      </c>
      <c r="G274" t="s">
        <v>446</v>
      </c>
      <c r="H274" t="s">
        <v>2324</v>
      </c>
      <c r="I274" t="s">
        <v>277</v>
      </c>
    </row>
    <row r="275" spans="1:9">
      <c r="A275" s="5">
        <v>45818</v>
      </c>
      <c r="B275" t="s">
        <v>4360</v>
      </c>
      <c r="C275" s="11">
        <v>63600</v>
      </c>
      <c r="D275" s="11">
        <v>0</v>
      </c>
      <c r="E275" s="1">
        <f t="shared" si="4"/>
        <v>8514450</v>
      </c>
      <c r="F275" t="s">
        <v>10</v>
      </c>
      <c r="G275" t="s">
        <v>446</v>
      </c>
      <c r="H275" t="s">
        <v>2324</v>
      </c>
      <c r="I275" t="s">
        <v>26</v>
      </c>
    </row>
    <row r="276" spans="1:9">
      <c r="A276" s="5">
        <v>45818</v>
      </c>
      <c r="B276" t="s">
        <v>4361</v>
      </c>
      <c r="C276" s="11">
        <v>50000</v>
      </c>
      <c r="D276" s="11">
        <v>0</v>
      </c>
      <c r="E276" s="1">
        <f t="shared" si="4"/>
        <v>8464450</v>
      </c>
      <c r="F276" t="s">
        <v>10</v>
      </c>
      <c r="G276" t="s">
        <v>446</v>
      </c>
      <c r="H276" t="s">
        <v>2324</v>
      </c>
      <c r="I276" t="s">
        <v>26</v>
      </c>
    </row>
    <row r="277" spans="1:9">
      <c r="A277" s="5">
        <v>45818</v>
      </c>
      <c r="B277" t="s">
        <v>4362</v>
      </c>
      <c r="C277" s="1">
        <v>539212</v>
      </c>
      <c r="D277" s="1">
        <v>0</v>
      </c>
      <c r="E277" s="1">
        <f t="shared" si="4"/>
        <v>7925238</v>
      </c>
      <c r="F277" t="s">
        <v>8</v>
      </c>
      <c r="G277" t="s">
        <v>31</v>
      </c>
      <c r="I277" t="s">
        <v>1353</v>
      </c>
    </row>
    <row r="278" spans="1:9">
      <c r="A278" s="5">
        <v>45824</v>
      </c>
      <c r="B278" t="s">
        <v>399</v>
      </c>
      <c r="C278" s="1">
        <v>360000</v>
      </c>
      <c r="D278" s="1">
        <v>0</v>
      </c>
      <c r="E278" s="1">
        <f t="shared" si="4"/>
        <v>7565238</v>
      </c>
      <c r="F278" t="s">
        <v>8</v>
      </c>
      <c r="G278" t="s">
        <v>14</v>
      </c>
      <c r="H278" t="s">
        <v>291</v>
      </c>
      <c r="I278" t="s">
        <v>96</v>
      </c>
    </row>
    <row r="279" spans="1:9">
      <c r="A279" s="5">
        <v>45824</v>
      </c>
      <c r="B279" t="s">
        <v>396</v>
      </c>
      <c r="C279" s="1">
        <v>63000</v>
      </c>
      <c r="D279" s="1">
        <v>0</v>
      </c>
      <c r="E279" s="1">
        <f t="shared" si="4"/>
        <v>7502238</v>
      </c>
      <c r="F279" t="s">
        <v>8</v>
      </c>
      <c r="G279" t="s">
        <v>14</v>
      </c>
      <c r="H279" t="s">
        <v>291</v>
      </c>
      <c r="I279" t="s">
        <v>96</v>
      </c>
    </row>
    <row r="280" spans="1:9">
      <c r="A280" s="5">
        <v>45825</v>
      </c>
      <c r="B280" t="s">
        <v>399</v>
      </c>
      <c r="C280" s="1">
        <v>569800</v>
      </c>
      <c r="D280" s="1">
        <v>0</v>
      </c>
      <c r="E280" s="1">
        <f t="shared" si="4"/>
        <v>6932438</v>
      </c>
      <c r="F280" t="s">
        <v>8</v>
      </c>
      <c r="G280" t="s">
        <v>14</v>
      </c>
      <c r="H280" t="s">
        <v>3137</v>
      </c>
      <c r="I280" t="s">
        <v>450</v>
      </c>
    </row>
    <row r="281" spans="1:9">
      <c r="A281" s="5">
        <v>45825</v>
      </c>
      <c r="B281" t="s">
        <v>396</v>
      </c>
      <c r="C281" s="1">
        <v>108000</v>
      </c>
      <c r="D281" s="1">
        <v>0</v>
      </c>
      <c r="E281" s="1">
        <f t="shared" si="4"/>
        <v>6824438</v>
      </c>
      <c r="F281" t="s">
        <v>8</v>
      </c>
      <c r="G281" t="s">
        <v>14</v>
      </c>
      <c r="H281" t="s">
        <v>3137</v>
      </c>
      <c r="I281" t="s">
        <v>450</v>
      </c>
    </row>
    <row r="282" spans="1:9">
      <c r="A282" s="5">
        <v>45825</v>
      </c>
      <c r="B282" t="s">
        <v>4363</v>
      </c>
      <c r="C282" s="1">
        <v>8700</v>
      </c>
      <c r="D282" s="1">
        <v>0</v>
      </c>
      <c r="E282" s="1">
        <f t="shared" si="4"/>
        <v>6815738</v>
      </c>
      <c r="F282" t="s">
        <v>8</v>
      </c>
      <c r="G282" t="s">
        <v>183</v>
      </c>
      <c r="I282" t="s">
        <v>450</v>
      </c>
    </row>
    <row r="283" spans="1:9">
      <c r="A283" s="5">
        <v>45825</v>
      </c>
      <c r="B283" t="s">
        <v>4364</v>
      </c>
      <c r="C283" s="1">
        <v>500000</v>
      </c>
      <c r="D283" s="1">
        <v>0</v>
      </c>
      <c r="E283" s="1">
        <f t="shared" si="4"/>
        <v>6315738</v>
      </c>
      <c r="F283" t="s">
        <v>8</v>
      </c>
      <c r="G283" t="s">
        <v>183</v>
      </c>
      <c r="I283" t="s">
        <v>1355</v>
      </c>
    </row>
    <row r="284" spans="1:9">
      <c r="A284" s="5">
        <v>45826</v>
      </c>
      <c r="B284" t="s">
        <v>4365</v>
      </c>
      <c r="C284" s="1">
        <v>148000</v>
      </c>
      <c r="D284" s="1">
        <v>0</v>
      </c>
      <c r="E284" s="1">
        <f t="shared" si="4"/>
        <v>6167738</v>
      </c>
      <c r="F284" t="s">
        <v>62</v>
      </c>
      <c r="G284" t="s">
        <v>70</v>
      </c>
      <c r="H284" t="s">
        <v>95</v>
      </c>
      <c r="I284" t="s">
        <v>95</v>
      </c>
    </row>
    <row r="285" spans="1:9">
      <c r="A285" s="5">
        <v>45826</v>
      </c>
      <c r="B285" t="s">
        <v>1401</v>
      </c>
      <c r="C285" s="1">
        <v>160000</v>
      </c>
      <c r="D285" s="1">
        <v>0</v>
      </c>
      <c r="E285" s="1">
        <f t="shared" si="4"/>
        <v>6007738</v>
      </c>
      <c r="F285" t="s">
        <v>8</v>
      </c>
      <c r="G285" t="s">
        <v>181</v>
      </c>
      <c r="I285" t="s">
        <v>1355</v>
      </c>
    </row>
    <row r="286" spans="1:9">
      <c r="A286" s="5">
        <v>45826</v>
      </c>
      <c r="B286" t="s">
        <v>503</v>
      </c>
      <c r="C286" s="1">
        <v>190000</v>
      </c>
      <c r="D286" s="1">
        <v>0</v>
      </c>
      <c r="E286" s="1">
        <f t="shared" si="4"/>
        <v>5817738</v>
      </c>
      <c r="F286" t="s">
        <v>8</v>
      </c>
      <c r="G286" t="s">
        <v>181</v>
      </c>
      <c r="I286" t="s">
        <v>1355</v>
      </c>
    </row>
    <row r="287" spans="1:9">
      <c r="A287" s="5">
        <v>45826</v>
      </c>
      <c r="B287" t="s">
        <v>4366</v>
      </c>
      <c r="C287" s="1">
        <v>70000</v>
      </c>
      <c r="D287" s="1">
        <v>0</v>
      </c>
      <c r="E287" s="1">
        <f t="shared" si="4"/>
        <v>5747738</v>
      </c>
      <c r="F287" t="s">
        <v>8</v>
      </c>
      <c r="G287" t="s">
        <v>181</v>
      </c>
      <c r="I287" t="s">
        <v>1355</v>
      </c>
    </row>
    <row r="288" spans="1:9">
      <c r="A288" s="5">
        <v>45826</v>
      </c>
      <c r="B288" t="s">
        <v>4367</v>
      </c>
      <c r="C288" s="1">
        <v>480000</v>
      </c>
      <c r="D288" s="1">
        <v>0</v>
      </c>
      <c r="E288" s="1">
        <f t="shared" si="4"/>
        <v>5267738</v>
      </c>
      <c r="F288" t="s">
        <v>8</v>
      </c>
      <c r="G288" t="s">
        <v>78</v>
      </c>
      <c r="I288" t="s">
        <v>1355</v>
      </c>
    </row>
    <row r="289" spans="1:9">
      <c r="A289" s="5">
        <v>45826</v>
      </c>
      <c r="B289" t="s">
        <v>4368</v>
      </c>
      <c r="C289" s="1">
        <v>205700</v>
      </c>
      <c r="D289" s="1">
        <v>0</v>
      </c>
      <c r="E289" s="1">
        <f t="shared" si="4"/>
        <v>5062038</v>
      </c>
      <c r="F289" t="s">
        <v>62</v>
      </c>
      <c r="G289" t="s">
        <v>63</v>
      </c>
      <c r="H289" t="s">
        <v>1456</v>
      </c>
      <c r="I289" t="s">
        <v>1355</v>
      </c>
    </row>
    <row r="290" spans="1:9">
      <c r="A290" s="5">
        <v>45826</v>
      </c>
      <c r="B290" t="s">
        <v>4369</v>
      </c>
      <c r="C290" s="1">
        <v>198000</v>
      </c>
      <c r="D290" s="1">
        <v>0</v>
      </c>
      <c r="E290" s="1">
        <f t="shared" si="4"/>
        <v>4864038</v>
      </c>
      <c r="F290" t="s">
        <v>62</v>
      </c>
      <c r="G290" t="s">
        <v>63</v>
      </c>
      <c r="H290" t="s">
        <v>1456</v>
      </c>
      <c r="I290" t="s">
        <v>1355</v>
      </c>
    </row>
    <row r="291" spans="1:9">
      <c r="A291" s="5">
        <v>45826</v>
      </c>
      <c r="B291" t="s">
        <v>4370</v>
      </c>
      <c r="C291" s="1">
        <v>99000</v>
      </c>
      <c r="D291" s="1">
        <v>0</v>
      </c>
      <c r="E291" s="1">
        <f t="shared" si="4"/>
        <v>4765038</v>
      </c>
      <c r="F291" t="s">
        <v>62</v>
      </c>
      <c r="G291" t="s">
        <v>63</v>
      </c>
      <c r="H291" t="s">
        <v>1456</v>
      </c>
      <c r="I291" t="s">
        <v>1355</v>
      </c>
    </row>
    <row r="292" spans="1:9">
      <c r="A292" s="5">
        <v>45826</v>
      </c>
      <c r="B292" t="s">
        <v>4371</v>
      </c>
      <c r="C292" s="1">
        <v>365075</v>
      </c>
      <c r="D292" s="1">
        <v>0</v>
      </c>
      <c r="E292" s="1">
        <f t="shared" si="4"/>
        <v>4399963</v>
      </c>
      <c r="F292" t="s">
        <v>4</v>
      </c>
      <c r="G292" t="s">
        <v>5</v>
      </c>
      <c r="H292" t="s">
        <v>1622</v>
      </c>
      <c r="I292" t="s">
        <v>445</v>
      </c>
    </row>
    <row r="293" spans="1:9">
      <c r="A293" s="5">
        <v>45827</v>
      </c>
      <c r="B293" t="s">
        <v>4372</v>
      </c>
      <c r="C293" s="1">
        <v>323000</v>
      </c>
      <c r="D293" s="1">
        <v>0</v>
      </c>
      <c r="E293" s="1">
        <f t="shared" si="4"/>
        <v>4076963</v>
      </c>
      <c r="F293" t="s">
        <v>4</v>
      </c>
      <c r="G293" t="s">
        <v>5</v>
      </c>
      <c r="H293" t="s">
        <v>1622</v>
      </c>
      <c r="I293" t="s">
        <v>445</v>
      </c>
    </row>
    <row r="294" spans="1:9">
      <c r="A294" s="5">
        <v>45827</v>
      </c>
      <c r="B294" t="s">
        <v>4373</v>
      </c>
      <c r="C294" s="1">
        <v>40000</v>
      </c>
      <c r="D294" s="1">
        <v>0</v>
      </c>
      <c r="E294" s="1">
        <f t="shared" si="4"/>
        <v>4036963</v>
      </c>
      <c r="F294" t="s">
        <v>4</v>
      </c>
      <c r="G294" t="s">
        <v>5</v>
      </c>
      <c r="H294" t="s">
        <v>1636</v>
      </c>
      <c r="I294" t="s">
        <v>60</v>
      </c>
    </row>
    <row r="295" spans="1:9">
      <c r="A295" s="5">
        <v>45834</v>
      </c>
      <c r="B295" t="s">
        <v>4374</v>
      </c>
      <c r="C295" s="1">
        <v>635000</v>
      </c>
      <c r="D295" s="1">
        <v>0</v>
      </c>
      <c r="E295" s="1">
        <f t="shared" si="4"/>
        <v>3401963</v>
      </c>
      <c r="F295" t="s">
        <v>62</v>
      </c>
      <c r="G295" t="s">
        <v>177</v>
      </c>
      <c r="I295" t="s">
        <v>1353</v>
      </c>
    </row>
    <row r="296" spans="1:9">
      <c r="A296" s="5">
        <v>45834</v>
      </c>
      <c r="B296" t="s">
        <v>4375</v>
      </c>
      <c r="C296" s="1">
        <v>935000</v>
      </c>
      <c r="D296" s="1">
        <v>0</v>
      </c>
      <c r="E296" s="1">
        <f t="shared" si="4"/>
        <v>2466963</v>
      </c>
      <c r="F296" t="s">
        <v>62</v>
      </c>
      <c r="G296" t="s">
        <v>177</v>
      </c>
      <c r="I296" t="s">
        <v>1353</v>
      </c>
    </row>
    <row r="297" spans="1:9">
      <c r="A297" s="5">
        <v>45834</v>
      </c>
      <c r="B297" t="s">
        <v>4376</v>
      </c>
      <c r="C297" s="1">
        <v>1500000</v>
      </c>
      <c r="D297" s="1">
        <v>0</v>
      </c>
      <c r="E297" s="1">
        <f t="shared" si="4"/>
        <v>966963</v>
      </c>
      <c r="F297" t="s">
        <v>62</v>
      </c>
      <c r="G297" t="s">
        <v>177</v>
      </c>
      <c r="I297" t="s">
        <v>1353</v>
      </c>
    </row>
    <row r="298" spans="1:9">
      <c r="A298" s="5">
        <v>45839</v>
      </c>
      <c r="B298" t="s">
        <v>378</v>
      </c>
      <c r="C298" s="1">
        <v>0</v>
      </c>
      <c r="D298" s="1">
        <v>9033037</v>
      </c>
      <c r="E298" s="1">
        <f t="shared" si="4"/>
        <v>10000000</v>
      </c>
      <c r="F298" t="s">
        <v>920</v>
      </c>
      <c r="G298" t="s">
        <v>376</v>
      </c>
    </row>
    <row r="299" spans="1:9">
      <c r="A299" s="5">
        <v>45840</v>
      </c>
      <c r="B299" t="s">
        <v>4377</v>
      </c>
      <c r="C299" s="1">
        <v>306572</v>
      </c>
      <c r="D299" s="1">
        <v>0</v>
      </c>
      <c r="E299" s="1">
        <f t="shared" si="4"/>
        <v>9693428</v>
      </c>
      <c r="F299" t="s">
        <v>8</v>
      </c>
      <c r="G299" t="s">
        <v>14</v>
      </c>
      <c r="H299" t="s">
        <v>292</v>
      </c>
      <c r="I299" t="s">
        <v>292</v>
      </c>
    </row>
    <row r="300" spans="1:9">
      <c r="A300" s="5">
        <v>45840</v>
      </c>
      <c r="B300" t="s">
        <v>4378</v>
      </c>
      <c r="C300" s="1">
        <v>500000</v>
      </c>
      <c r="D300" s="1">
        <v>0</v>
      </c>
      <c r="E300" s="1">
        <f t="shared" si="4"/>
        <v>9193428</v>
      </c>
      <c r="F300" t="s">
        <v>8</v>
      </c>
      <c r="G300" t="s">
        <v>14</v>
      </c>
      <c r="H300" t="s">
        <v>292</v>
      </c>
      <c r="I300" t="s">
        <v>292</v>
      </c>
    </row>
    <row r="301" spans="1:9">
      <c r="A301" s="5">
        <v>45840</v>
      </c>
      <c r="B301" t="s">
        <v>4329</v>
      </c>
      <c r="C301" s="1">
        <v>250000</v>
      </c>
      <c r="D301" s="1">
        <v>0</v>
      </c>
      <c r="E301" s="1">
        <f t="shared" si="4"/>
        <v>8943428</v>
      </c>
      <c r="F301" t="s">
        <v>62</v>
      </c>
      <c r="G301" t="s">
        <v>70</v>
      </c>
      <c r="H301" t="s">
        <v>292</v>
      </c>
      <c r="I301" t="s">
        <v>292</v>
      </c>
    </row>
    <row r="302" spans="1:9">
      <c r="A302" s="5">
        <v>45841</v>
      </c>
      <c r="B302" t="s">
        <v>399</v>
      </c>
      <c r="C302" s="1">
        <v>470000</v>
      </c>
      <c r="D302" s="1">
        <v>0</v>
      </c>
      <c r="E302" s="1">
        <f t="shared" si="4"/>
        <v>8473428</v>
      </c>
      <c r="F302" t="s">
        <v>8</v>
      </c>
      <c r="G302" t="s">
        <v>14</v>
      </c>
      <c r="H302" t="s">
        <v>291</v>
      </c>
      <c r="I302" t="s">
        <v>96</v>
      </c>
    </row>
    <row r="303" spans="1:9">
      <c r="A303" s="5">
        <v>45841</v>
      </c>
      <c r="B303" t="s">
        <v>396</v>
      </c>
      <c r="C303" s="1">
        <v>70000</v>
      </c>
      <c r="D303" s="1">
        <v>0</v>
      </c>
      <c r="E303" s="1">
        <f t="shared" si="4"/>
        <v>8403428</v>
      </c>
      <c r="F303" t="s">
        <v>8</v>
      </c>
      <c r="G303" t="s">
        <v>14</v>
      </c>
      <c r="H303" t="s">
        <v>291</v>
      </c>
      <c r="I303" t="s">
        <v>96</v>
      </c>
    </row>
    <row r="304" spans="1:9">
      <c r="A304" s="5">
        <v>45841</v>
      </c>
      <c r="B304" t="s">
        <v>4379</v>
      </c>
      <c r="C304" s="1">
        <v>106000</v>
      </c>
      <c r="D304" s="1">
        <v>0</v>
      </c>
      <c r="E304" s="1">
        <f t="shared" si="4"/>
        <v>8297428</v>
      </c>
      <c r="F304" t="s">
        <v>62</v>
      </c>
      <c r="G304" t="s">
        <v>70</v>
      </c>
      <c r="H304" t="s">
        <v>60</v>
      </c>
      <c r="I304" t="s">
        <v>60</v>
      </c>
    </row>
    <row r="305" spans="1:9">
      <c r="A305" s="5">
        <v>45841</v>
      </c>
      <c r="B305" t="s">
        <v>4380</v>
      </c>
      <c r="C305" s="1">
        <v>23000</v>
      </c>
      <c r="D305" s="1">
        <v>0</v>
      </c>
      <c r="E305" s="1">
        <f t="shared" si="4"/>
        <v>8274428</v>
      </c>
      <c r="F305" t="s">
        <v>8</v>
      </c>
      <c r="G305" t="s">
        <v>240</v>
      </c>
      <c r="I305" t="s">
        <v>60</v>
      </c>
    </row>
    <row r="306" spans="1:9">
      <c r="A306" s="5">
        <v>45842</v>
      </c>
      <c r="B306" t="s">
        <v>4381</v>
      </c>
      <c r="C306" s="1">
        <v>202500</v>
      </c>
      <c r="D306" s="1">
        <v>0</v>
      </c>
      <c r="E306" s="1">
        <f t="shared" si="4"/>
        <v>8071928</v>
      </c>
      <c r="F306" t="s">
        <v>4</v>
      </c>
      <c r="G306" t="s">
        <v>5</v>
      </c>
      <c r="H306" t="s">
        <v>2313</v>
      </c>
      <c r="I306" t="s">
        <v>4382</v>
      </c>
    </row>
    <row r="307" spans="1:9">
      <c r="A307" s="5">
        <v>45845</v>
      </c>
      <c r="B307" t="s">
        <v>399</v>
      </c>
      <c r="C307" s="1">
        <v>767500</v>
      </c>
      <c r="D307" s="1">
        <v>0</v>
      </c>
      <c r="E307" s="1">
        <f t="shared" si="4"/>
        <v>7304428</v>
      </c>
      <c r="F307" t="s">
        <v>8</v>
      </c>
      <c r="G307" t="s">
        <v>14</v>
      </c>
      <c r="H307" t="s">
        <v>3137</v>
      </c>
      <c r="I307" t="s">
        <v>450</v>
      </c>
    </row>
    <row r="308" spans="1:9">
      <c r="A308" s="5">
        <v>45845</v>
      </c>
      <c r="B308" t="s">
        <v>396</v>
      </c>
      <c r="C308" s="1">
        <v>145000</v>
      </c>
      <c r="D308" s="1">
        <v>0</v>
      </c>
      <c r="E308" s="1">
        <f t="shared" si="4"/>
        <v>7159428</v>
      </c>
      <c r="F308" t="s">
        <v>8</v>
      </c>
      <c r="G308" t="s">
        <v>14</v>
      </c>
      <c r="H308" t="s">
        <v>3137</v>
      </c>
      <c r="I308" t="s">
        <v>450</v>
      </c>
    </row>
    <row r="309" spans="1:9">
      <c r="A309" s="5">
        <v>45845</v>
      </c>
      <c r="B309" t="s">
        <v>4383</v>
      </c>
      <c r="C309" s="1">
        <v>111000</v>
      </c>
      <c r="D309" s="1">
        <v>0</v>
      </c>
      <c r="E309" s="1">
        <f t="shared" si="4"/>
        <v>7048428</v>
      </c>
      <c r="F309" t="s">
        <v>8</v>
      </c>
      <c r="G309" s="80" t="s">
        <v>180</v>
      </c>
      <c r="I309" t="s">
        <v>60</v>
      </c>
    </row>
    <row r="310" spans="1:9">
      <c r="A310" s="5">
        <v>45845</v>
      </c>
      <c r="B310" t="s">
        <v>4384</v>
      </c>
      <c r="C310" s="1">
        <v>12500</v>
      </c>
      <c r="D310" s="1">
        <v>0</v>
      </c>
      <c r="E310" s="1">
        <f t="shared" si="4"/>
        <v>7035928</v>
      </c>
      <c r="F310" t="s">
        <v>8</v>
      </c>
      <c r="G310" t="s">
        <v>240</v>
      </c>
      <c r="I310" t="s">
        <v>60</v>
      </c>
    </row>
    <row r="311" spans="1:9">
      <c r="A311" s="5">
        <v>45847</v>
      </c>
      <c r="B311" t="s">
        <v>4385</v>
      </c>
      <c r="C311" s="1">
        <v>380500</v>
      </c>
      <c r="D311" s="1">
        <v>0</v>
      </c>
      <c r="E311" s="1">
        <f t="shared" si="4"/>
        <v>6655428</v>
      </c>
      <c r="F311" t="s">
        <v>6</v>
      </c>
      <c r="G311" t="s">
        <v>7</v>
      </c>
      <c r="H311" t="s">
        <v>428</v>
      </c>
      <c r="I311" t="s">
        <v>34</v>
      </c>
    </row>
    <row r="312" spans="1:9">
      <c r="A312" s="5">
        <v>45848</v>
      </c>
      <c r="B312" t="s">
        <v>4386</v>
      </c>
      <c r="C312" s="1">
        <v>100000</v>
      </c>
      <c r="D312" s="1">
        <v>0</v>
      </c>
      <c r="E312" s="1">
        <f t="shared" si="4"/>
        <v>6555428</v>
      </c>
      <c r="F312" t="s">
        <v>4</v>
      </c>
      <c r="G312" t="s">
        <v>5</v>
      </c>
      <c r="H312" t="s">
        <v>2313</v>
      </c>
      <c r="I312" t="s">
        <v>60</v>
      </c>
    </row>
    <row r="313" spans="1:9">
      <c r="A313" s="5">
        <v>45848</v>
      </c>
      <c r="B313" t="s">
        <v>399</v>
      </c>
      <c r="C313" s="1">
        <v>106000</v>
      </c>
      <c r="D313" s="1">
        <v>0</v>
      </c>
      <c r="E313" s="1">
        <f t="shared" si="4"/>
        <v>6449428</v>
      </c>
      <c r="F313" t="s">
        <v>4</v>
      </c>
      <c r="G313" t="s">
        <v>5</v>
      </c>
      <c r="H313" t="s">
        <v>2313</v>
      </c>
      <c r="I313" t="s">
        <v>60</v>
      </c>
    </row>
    <row r="314" spans="1:9">
      <c r="A314" s="5">
        <v>45849</v>
      </c>
      <c r="B314" t="s">
        <v>1401</v>
      </c>
      <c r="C314" s="1">
        <v>140000</v>
      </c>
      <c r="D314" s="1">
        <v>0</v>
      </c>
      <c r="E314" s="1">
        <f t="shared" si="4"/>
        <v>6309428</v>
      </c>
      <c r="F314" t="s">
        <v>8</v>
      </c>
      <c r="G314" t="s">
        <v>181</v>
      </c>
      <c r="I314" t="s">
        <v>1355</v>
      </c>
    </row>
    <row r="315" spans="1:9">
      <c r="A315" s="5">
        <v>45849</v>
      </c>
      <c r="B315" t="s">
        <v>4387</v>
      </c>
      <c r="C315" s="1">
        <v>499700</v>
      </c>
      <c r="D315" s="1">
        <v>0</v>
      </c>
      <c r="E315" s="1">
        <f t="shared" si="4"/>
        <v>5809728</v>
      </c>
      <c r="F315" t="s">
        <v>8</v>
      </c>
      <c r="G315" t="s">
        <v>181</v>
      </c>
      <c r="I315" t="s">
        <v>1355</v>
      </c>
    </row>
    <row r="316" spans="1:9">
      <c r="A316" s="5">
        <v>45849</v>
      </c>
      <c r="B316" t="s">
        <v>4388</v>
      </c>
      <c r="C316" s="1">
        <v>93000</v>
      </c>
      <c r="D316" s="1">
        <v>0</v>
      </c>
      <c r="E316" s="1">
        <f t="shared" si="4"/>
        <v>5716728</v>
      </c>
      <c r="F316" t="s">
        <v>8</v>
      </c>
      <c r="G316" t="s">
        <v>183</v>
      </c>
      <c r="I316" t="s">
        <v>1355</v>
      </c>
    </row>
    <row r="317" spans="1:9">
      <c r="A317" s="5">
        <v>45849</v>
      </c>
      <c r="B317" t="s">
        <v>4389</v>
      </c>
      <c r="C317" s="1">
        <v>108200</v>
      </c>
      <c r="D317" s="1">
        <v>0</v>
      </c>
      <c r="E317" s="1">
        <f t="shared" si="4"/>
        <v>5608528</v>
      </c>
      <c r="F317" t="s">
        <v>62</v>
      </c>
      <c r="G317" t="s">
        <v>63</v>
      </c>
      <c r="H317" t="s">
        <v>1456</v>
      </c>
      <c r="I317" t="s">
        <v>1355</v>
      </c>
    </row>
    <row r="318" spans="1:9">
      <c r="A318" s="5">
        <v>45849</v>
      </c>
      <c r="B318" t="s">
        <v>4390</v>
      </c>
      <c r="C318" s="1">
        <v>100000</v>
      </c>
      <c r="D318" s="1">
        <v>0</v>
      </c>
      <c r="E318" s="1">
        <f t="shared" si="4"/>
        <v>5508528</v>
      </c>
      <c r="F318" t="s">
        <v>8</v>
      </c>
      <c r="G318" t="s">
        <v>78</v>
      </c>
      <c r="I318" t="s">
        <v>1355</v>
      </c>
    </row>
    <row r="319" spans="1:9">
      <c r="A319" s="5">
        <v>45853</v>
      </c>
      <c r="B319" t="s">
        <v>399</v>
      </c>
      <c r="C319" s="1">
        <v>415300</v>
      </c>
      <c r="D319" s="1">
        <v>0</v>
      </c>
      <c r="E319" s="1">
        <f t="shared" si="4"/>
        <v>5093228</v>
      </c>
      <c r="F319" t="s">
        <v>8</v>
      </c>
      <c r="G319" t="s">
        <v>14</v>
      </c>
      <c r="H319" t="s">
        <v>291</v>
      </c>
      <c r="I319" t="s">
        <v>96</v>
      </c>
    </row>
    <row r="320" spans="1:9">
      <c r="A320" s="5">
        <v>45853</v>
      </c>
      <c r="B320" t="s">
        <v>396</v>
      </c>
      <c r="C320" s="1">
        <v>35000</v>
      </c>
      <c r="D320" s="1">
        <v>0</v>
      </c>
      <c r="E320" s="1">
        <f t="shared" si="4"/>
        <v>5058228</v>
      </c>
      <c r="F320" t="s">
        <v>8</v>
      </c>
      <c r="G320" t="s">
        <v>14</v>
      </c>
      <c r="H320" t="s">
        <v>291</v>
      </c>
      <c r="I320" t="s">
        <v>96</v>
      </c>
    </row>
    <row r="321" spans="1:9">
      <c r="A321" s="5">
        <v>45853</v>
      </c>
      <c r="B321" t="s">
        <v>4391</v>
      </c>
      <c r="C321" s="1">
        <v>146000</v>
      </c>
      <c r="D321" s="1">
        <v>0</v>
      </c>
      <c r="E321" s="1">
        <f t="shared" si="4"/>
        <v>4912228</v>
      </c>
      <c r="F321" t="s">
        <v>4</v>
      </c>
      <c r="G321" t="s">
        <v>5</v>
      </c>
      <c r="H321" t="s">
        <v>2216</v>
      </c>
      <c r="I321" t="s">
        <v>60</v>
      </c>
    </row>
    <row r="322" spans="1:9">
      <c r="A322" s="5">
        <v>45853</v>
      </c>
      <c r="B322" t="s">
        <v>4392</v>
      </c>
      <c r="C322" s="1">
        <v>250000</v>
      </c>
      <c r="D322" s="1">
        <v>0</v>
      </c>
      <c r="E322" s="1">
        <f t="shared" si="4"/>
        <v>4662228</v>
      </c>
      <c r="F322" t="s">
        <v>8</v>
      </c>
      <c r="G322" t="s">
        <v>78</v>
      </c>
      <c r="I322" t="s">
        <v>4393</v>
      </c>
    </row>
    <row r="323" spans="1:9">
      <c r="A323" s="5">
        <v>45854</v>
      </c>
      <c r="B323" t="s">
        <v>4394</v>
      </c>
      <c r="C323" s="1">
        <v>101000</v>
      </c>
      <c r="D323" s="1">
        <v>0</v>
      </c>
      <c r="E323" s="1">
        <f t="shared" si="4"/>
        <v>4561228</v>
      </c>
      <c r="F323" t="s">
        <v>4</v>
      </c>
      <c r="G323" t="s">
        <v>5</v>
      </c>
      <c r="H323" t="s">
        <v>2326</v>
      </c>
      <c r="I323" t="s">
        <v>1353</v>
      </c>
    </row>
    <row r="324" spans="1:9">
      <c r="A324" s="5">
        <v>45854</v>
      </c>
      <c r="B324" t="s">
        <v>4395</v>
      </c>
      <c r="C324" s="1">
        <v>12000</v>
      </c>
      <c r="D324" s="1">
        <v>0</v>
      </c>
      <c r="E324" s="1">
        <f t="shared" si="4"/>
        <v>4549228</v>
      </c>
      <c r="F324" t="s">
        <v>4</v>
      </c>
      <c r="G324" t="s">
        <v>5</v>
      </c>
      <c r="H324" t="s">
        <v>2326</v>
      </c>
      <c r="I324" t="s">
        <v>1353</v>
      </c>
    </row>
    <row r="325" spans="1:9">
      <c r="A325" s="5">
        <v>45854</v>
      </c>
      <c r="B325" t="s">
        <v>4396</v>
      </c>
      <c r="C325" s="1">
        <v>38500</v>
      </c>
      <c r="D325" s="1">
        <v>0</v>
      </c>
      <c r="E325" s="1">
        <f t="shared" si="4"/>
        <v>4510728</v>
      </c>
      <c r="F325" t="s">
        <v>4</v>
      </c>
      <c r="G325" t="s">
        <v>5</v>
      </c>
      <c r="H325" t="s">
        <v>1622</v>
      </c>
      <c r="I325" t="s">
        <v>1353</v>
      </c>
    </row>
    <row r="326" spans="1:9">
      <c r="A326" s="5">
        <v>45855</v>
      </c>
      <c r="B326" t="s">
        <v>4397</v>
      </c>
      <c r="C326" s="1">
        <v>33300</v>
      </c>
      <c r="D326" s="1">
        <v>0</v>
      </c>
      <c r="E326" s="1">
        <f t="shared" ref="E326:E389" si="5">E325-C326+D326</f>
        <v>4477428</v>
      </c>
      <c r="F326" t="s">
        <v>8</v>
      </c>
      <c r="G326" t="s">
        <v>31</v>
      </c>
      <c r="H326" t="s">
        <v>308</v>
      </c>
      <c r="I326" t="s">
        <v>1353</v>
      </c>
    </row>
    <row r="327" spans="1:9">
      <c r="A327" s="5">
        <v>45855</v>
      </c>
      <c r="B327" t="s">
        <v>4398</v>
      </c>
      <c r="C327" s="1">
        <v>33300</v>
      </c>
      <c r="D327" s="1">
        <v>0</v>
      </c>
      <c r="E327" s="1">
        <f t="shared" si="5"/>
        <v>4444128</v>
      </c>
      <c r="F327" t="s">
        <v>8</v>
      </c>
      <c r="G327" t="s">
        <v>31</v>
      </c>
      <c r="H327" t="s">
        <v>308</v>
      </c>
      <c r="I327" t="s">
        <v>1353</v>
      </c>
    </row>
    <row r="328" spans="1:9">
      <c r="A328" s="5">
        <v>45855</v>
      </c>
      <c r="B328" t="s">
        <v>4399</v>
      </c>
      <c r="C328" s="1">
        <v>874059</v>
      </c>
      <c r="D328" s="1">
        <v>0</v>
      </c>
      <c r="E328" s="1">
        <f t="shared" si="5"/>
        <v>3570069</v>
      </c>
      <c r="F328" t="s">
        <v>8</v>
      </c>
      <c r="G328" t="s">
        <v>31</v>
      </c>
      <c r="H328" t="s">
        <v>308</v>
      </c>
      <c r="I328" t="s">
        <v>1353</v>
      </c>
    </row>
    <row r="329" spans="1:9">
      <c r="A329" s="5">
        <v>45855</v>
      </c>
      <c r="B329" t="s">
        <v>4400</v>
      </c>
      <c r="C329" s="1">
        <v>68500</v>
      </c>
      <c r="D329" s="1">
        <v>0</v>
      </c>
      <c r="E329" s="1">
        <f t="shared" si="5"/>
        <v>3501569</v>
      </c>
      <c r="F329" t="s">
        <v>62</v>
      </c>
      <c r="G329" t="s">
        <v>63</v>
      </c>
      <c r="H329" t="s">
        <v>2185</v>
      </c>
      <c r="I329" t="s">
        <v>1353</v>
      </c>
    </row>
    <row r="330" spans="1:9">
      <c r="A330" s="5">
        <v>45855</v>
      </c>
      <c r="B330" t="s">
        <v>399</v>
      </c>
      <c r="C330" s="1">
        <v>411000</v>
      </c>
      <c r="D330" s="1">
        <v>0</v>
      </c>
      <c r="E330" s="1">
        <f t="shared" si="5"/>
        <v>3090569</v>
      </c>
      <c r="F330" t="s">
        <v>8</v>
      </c>
      <c r="G330" t="s">
        <v>14</v>
      </c>
      <c r="H330" t="s">
        <v>314</v>
      </c>
      <c r="I330" t="s">
        <v>97</v>
      </c>
    </row>
    <row r="331" spans="1:9">
      <c r="A331" s="5">
        <v>45855</v>
      </c>
      <c r="B331" t="s">
        <v>396</v>
      </c>
      <c r="C331" s="1">
        <v>14000</v>
      </c>
      <c r="D331" s="1">
        <v>0</v>
      </c>
      <c r="E331" s="1">
        <f t="shared" si="5"/>
        <v>3076569</v>
      </c>
      <c r="F331" t="s">
        <v>8</v>
      </c>
      <c r="G331" t="s">
        <v>14</v>
      </c>
      <c r="H331" t="s">
        <v>314</v>
      </c>
      <c r="I331" t="s">
        <v>97</v>
      </c>
    </row>
    <row r="332" spans="1:9">
      <c r="A332" s="5">
        <v>45855</v>
      </c>
      <c r="B332" t="s">
        <v>4401</v>
      </c>
      <c r="C332" s="1">
        <v>317500</v>
      </c>
      <c r="D332" s="1">
        <v>0</v>
      </c>
      <c r="E332" s="1">
        <f t="shared" si="5"/>
        <v>2759069</v>
      </c>
      <c r="F332" t="s">
        <v>8</v>
      </c>
      <c r="G332" t="s">
        <v>14</v>
      </c>
      <c r="H332" t="s">
        <v>314</v>
      </c>
      <c r="I332" t="s">
        <v>1353</v>
      </c>
    </row>
    <row r="333" spans="1:9">
      <c r="A333" s="5">
        <v>45859</v>
      </c>
      <c r="B333" t="s">
        <v>4402</v>
      </c>
      <c r="C333" s="1">
        <v>420000</v>
      </c>
      <c r="D333" s="1">
        <v>0</v>
      </c>
      <c r="E333" s="1">
        <f t="shared" si="5"/>
        <v>2339069</v>
      </c>
      <c r="F333" t="s">
        <v>4</v>
      </c>
      <c r="G333" t="s">
        <v>5</v>
      </c>
      <c r="H333" t="s">
        <v>2316</v>
      </c>
      <c r="I333" t="s">
        <v>4403</v>
      </c>
    </row>
    <row r="334" spans="1:9">
      <c r="A334" s="5">
        <v>45859</v>
      </c>
      <c r="B334" t="s">
        <v>4404</v>
      </c>
      <c r="C334" s="1">
        <v>105000</v>
      </c>
      <c r="D334" s="1">
        <v>0</v>
      </c>
      <c r="E334" s="1">
        <f t="shared" si="5"/>
        <v>2234069</v>
      </c>
      <c r="F334" t="s">
        <v>4</v>
      </c>
      <c r="G334" t="s">
        <v>5</v>
      </c>
      <c r="H334" t="s">
        <v>2316</v>
      </c>
      <c r="I334" t="s">
        <v>4403</v>
      </c>
    </row>
    <row r="335" spans="1:9">
      <c r="A335" s="5">
        <v>45860</v>
      </c>
      <c r="B335" t="s">
        <v>1401</v>
      </c>
      <c r="C335" s="1">
        <v>80000</v>
      </c>
      <c r="D335" s="1">
        <v>0</v>
      </c>
      <c r="E335" s="1">
        <f t="shared" si="5"/>
        <v>2154069</v>
      </c>
      <c r="F335" t="s">
        <v>8</v>
      </c>
      <c r="G335" t="s">
        <v>181</v>
      </c>
      <c r="I335" t="s">
        <v>1355</v>
      </c>
    </row>
    <row r="336" spans="1:9">
      <c r="A336" s="5">
        <v>45860</v>
      </c>
      <c r="B336" t="s">
        <v>4405</v>
      </c>
      <c r="C336" s="1">
        <v>310000</v>
      </c>
      <c r="D336" s="1">
        <v>0</v>
      </c>
      <c r="E336" s="1">
        <f t="shared" si="5"/>
        <v>1844069</v>
      </c>
      <c r="F336" t="s">
        <v>8</v>
      </c>
      <c r="G336" t="s">
        <v>181</v>
      </c>
      <c r="I336" t="s">
        <v>1355</v>
      </c>
    </row>
    <row r="337" spans="1:9">
      <c r="A337" s="5">
        <v>45860</v>
      </c>
      <c r="B337" t="s">
        <v>4406</v>
      </c>
      <c r="C337" s="1">
        <v>186000</v>
      </c>
      <c r="D337" s="1">
        <v>0</v>
      </c>
      <c r="E337" s="1">
        <f t="shared" si="5"/>
        <v>1658069</v>
      </c>
      <c r="F337" t="s">
        <v>62</v>
      </c>
      <c r="G337" t="s">
        <v>63</v>
      </c>
      <c r="H337" t="s">
        <v>308</v>
      </c>
      <c r="I337" t="s">
        <v>1355</v>
      </c>
    </row>
    <row r="338" spans="1:9">
      <c r="A338" s="5">
        <v>45860</v>
      </c>
      <c r="B338" t="s">
        <v>4407</v>
      </c>
      <c r="C338" s="1">
        <v>350000</v>
      </c>
      <c r="D338" s="1">
        <v>0</v>
      </c>
      <c r="E338" s="1">
        <f t="shared" si="5"/>
        <v>1308069</v>
      </c>
      <c r="F338" t="s">
        <v>8</v>
      </c>
      <c r="G338" t="s">
        <v>78</v>
      </c>
      <c r="I338" t="s">
        <v>1355</v>
      </c>
    </row>
    <row r="339" spans="1:9">
      <c r="A339" s="5">
        <v>45860</v>
      </c>
      <c r="B339" t="s">
        <v>4408</v>
      </c>
      <c r="C339" s="1">
        <v>70000</v>
      </c>
      <c r="D339" s="1">
        <v>0</v>
      </c>
      <c r="E339" s="1">
        <f t="shared" si="5"/>
        <v>1238069</v>
      </c>
      <c r="F339" t="s">
        <v>8</v>
      </c>
      <c r="G339" t="s">
        <v>240</v>
      </c>
      <c r="I339" t="s">
        <v>1355</v>
      </c>
    </row>
    <row r="340" spans="1:9">
      <c r="A340" s="5">
        <v>45860</v>
      </c>
      <c r="B340" t="s">
        <v>502</v>
      </c>
      <c r="C340" s="1">
        <v>138000</v>
      </c>
      <c r="D340" s="1">
        <v>0</v>
      </c>
      <c r="E340" s="1">
        <f t="shared" si="5"/>
        <v>1100069</v>
      </c>
      <c r="F340" t="s">
        <v>8</v>
      </c>
      <c r="G340" t="s">
        <v>181</v>
      </c>
      <c r="I340" t="s">
        <v>1355</v>
      </c>
    </row>
    <row r="341" spans="1:9">
      <c r="A341" s="5">
        <v>45860</v>
      </c>
      <c r="B341" t="s">
        <v>385</v>
      </c>
      <c r="C341" s="1">
        <v>500000</v>
      </c>
      <c r="D341" s="1">
        <v>0</v>
      </c>
      <c r="E341" s="1">
        <f t="shared" si="5"/>
        <v>600069</v>
      </c>
      <c r="F341" t="s">
        <v>8</v>
      </c>
      <c r="G341" t="s">
        <v>240</v>
      </c>
      <c r="I341" t="s">
        <v>1355</v>
      </c>
    </row>
    <row r="342" spans="1:9">
      <c r="A342" s="5">
        <v>45860</v>
      </c>
      <c r="B342" t="s">
        <v>4409</v>
      </c>
      <c r="C342" s="1">
        <v>160000</v>
      </c>
      <c r="D342" s="1">
        <v>0</v>
      </c>
      <c r="E342" s="1">
        <f t="shared" si="5"/>
        <v>440069</v>
      </c>
      <c r="F342" t="s">
        <v>4</v>
      </c>
      <c r="G342" t="s">
        <v>5</v>
      </c>
      <c r="H342" t="s">
        <v>1622</v>
      </c>
      <c r="I342" t="s">
        <v>4410</v>
      </c>
    </row>
    <row r="343" spans="1:9">
      <c r="A343" s="5">
        <v>45867</v>
      </c>
      <c r="B343" t="s">
        <v>378</v>
      </c>
      <c r="C343" s="1">
        <v>0</v>
      </c>
      <c r="D343" s="1">
        <v>9559931</v>
      </c>
      <c r="E343" s="1">
        <f t="shared" si="5"/>
        <v>10000000</v>
      </c>
      <c r="F343" t="s">
        <v>920</v>
      </c>
      <c r="G343" t="s">
        <v>376</v>
      </c>
    </row>
    <row r="344" spans="1:9">
      <c r="A344" s="5">
        <v>45862</v>
      </c>
      <c r="B344" t="s">
        <v>399</v>
      </c>
      <c r="C344" s="1">
        <v>700500</v>
      </c>
      <c r="D344" s="1">
        <v>0</v>
      </c>
      <c r="E344" s="1">
        <f t="shared" si="5"/>
        <v>9299500</v>
      </c>
      <c r="F344" t="s">
        <v>8</v>
      </c>
      <c r="G344" t="s">
        <v>14</v>
      </c>
      <c r="H344" t="s">
        <v>3137</v>
      </c>
      <c r="I344" t="s">
        <v>450</v>
      </c>
    </row>
    <row r="345" spans="1:9">
      <c r="A345" s="5">
        <v>45862</v>
      </c>
      <c r="B345" t="s">
        <v>396</v>
      </c>
      <c r="C345" s="1">
        <v>125000</v>
      </c>
      <c r="D345" s="1">
        <v>0</v>
      </c>
      <c r="E345" s="1">
        <f t="shared" si="5"/>
        <v>9174500</v>
      </c>
      <c r="F345" t="s">
        <v>8</v>
      </c>
      <c r="G345" t="s">
        <v>14</v>
      </c>
      <c r="H345" t="s">
        <v>3137</v>
      </c>
      <c r="I345" t="s">
        <v>450</v>
      </c>
    </row>
    <row r="346" spans="1:9">
      <c r="A346" s="5">
        <v>45862</v>
      </c>
      <c r="B346" t="s">
        <v>4411</v>
      </c>
      <c r="C346" s="1">
        <v>550000</v>
      </c>
      <c r="D346" s="1">
        <v>0</v>
      </c>
      <c r="E346" s="1">
        <f t="shared" si="5"/>
        <v>8624500</v>
      </c>
      <c r="F346" t="s">
        <v>8</v>
      </c>
      <c r="G346" s="80" t="s">
        <v>180</v>
      </c>
      <c r="I346" t="s">
        <v>1353</v>
      </c>
    </row>
    <row r="347" spans="1:9">
      <c r="A347" s="5">
        <v>45862</v>
      </c>
      <c r="B347" t="s">
        <v>4412</v>
      </c>
      <c r="C347" s="1">
        <v>114289</v>
      </c>
      <c r="D347" s="1">
        <v>0</v>
      </c>
      <c r="E347" s="1">
        <f t="shared" si="5"/>
        <v>8510211</v>
      </c>
      <c r="F347" t="s">
        <v>21</v>
      </c>
      <c r="G347" t="s">
        <v>187</v>
      </c>
      <c r="H347" t="s">
        <v>4413</v>
      </c>
      <c r="I347" t="s">
        <v>1353</v>
      </c>
    </row>
    <row r="348" spans="1:9">
      <c r="A348" s="5">
        <v>45862</v>
      </c>
      <c r="B348" t="s">
        <v>4414</v>
      </c>
      <c r="C348" s="1">
        <v>372500</v>
      </c>
      <c r="D348" s="1">
        <v>0</v>
      </c>
      <c r="E348" s="1">
        <f t="shared" si="5"/>
        <v>8137711</v>
      </c>
      <c r="F348" t="s">
        <v>62</v>
      </c>
      <c r="G348" t="s">
        <v>63</v>
      </c>
      <c r="H348" t="s">
        <v>1456</v>
      </c>
      <c r="I348" t="s">
        <v>4415</v>
      </c>
    </row>
    <row r="349" spans="1:9">
      <c r="A349" s="5">
        <v>45866</v>
      </c>
      <c r="B349" t="s">
        <v>4416</v>
      </c>
      <c r="C349" s="1">
        <v>260000</v>
      </c>
      <c r="D349" s="1">
        <v>0</v>
      </c>
      <c r="E349" s="1">
        <f t="shared" si="5"/>
        <v>7877711</v>
      </c>
      <c r="F349" t="s">
        <v>4</v>
      </c>
      <c r="G349" t="s">
        <v>5</v>
      </c>
      <c r="H349" t="s">
        <v>2316</v>
      </c>
      <c r="I349" t="s">
        <v>55</v>
      </c>
    </row>
    <row r="350" spans="1:9">
      <c r="A350" s="5">
        <v>45866</v>
      </c>
      <c r="B350" t="s">
        <v>4417</v>
      </c>
      <c r="C350" s="1">
        <v>260000</v>
      </c>
      <c r="D350" s="1">
        <v>0</v>
      </c>
      <c r="E350" s="1">
        <f t="shared" si="5"/>
        <v>7617711</v>
      </c>
      <c r="F350" t="s">
        <v>4</v>
      </c>
      <c r="G350" t="s">
        <v>5</v>
      </c>
      <c r="H350" t="s">
        <v>1622</v>
      </c>
      <c r="I350" t="s">
        <v>55</v>
      </c>
    </row>
    <row r="351" spans="1:9">
      <c r="A351" s="5">
        <v>45866</v>
      </c>
      <c r="B351" t="s">
        <v>4418</v>
      </c>
      <c r="C351" s="1">
        <v>671000</v>
      </c>
      <c r="D351" s="1">
        <v>0</v>
      </c>
      <c r="E351" s="1">
        <f t="shared" si="5"/>
        <v>6946711</v>
      </c>
      <c r="F351" t="s">
        <v>4</v>
      </c>
      <c r="G351" t="s">
        <v>5</v>
      </c>
      <c r="H351" t="s">
        <v>3440</v>
      </c>
      <c r="I351" t="s">
        <v>4419</v>
      </c>
    </row>
    <row r="352" spans="1:9">
      <c r="A352" s="5">
        <v>45867</v>
      </c>
      <c r="B352" t="s">
        <v>399</v>
      </c>
      <c r="C352" s="1">
        <v>311500</v>
      </c>
      <c r="D352" s="1">
        <v>0</v>
      </c>
      <c r="E352" s="1">
        <f t="shared" si="5"/>
        <v>6635211</v>
      </c>
      <c r="F352" t="s">
        <v>8</v>
      </c>
      <c r="G352" t="s">
        <v>14</v>
      </c>
      <c r="H352" t="s">
        <v>291</v>
      </c>
      <c r="I352" t="s">
        <v>96</v>
      </c>
    </row>
    <row r="353" spans="1:9">
      <c r="A353" s="5">
        <v>45867</v>
      </c>
      <c r="B353" t="s">
        <v>396</v>
      </c>
      <c r="C353" s="1">
        <v>70000</v>
      </c>
      <c r="D353" s="1">
        <v>0</v>
      </c>
      <c r="E353" s="1">
        <f t="shared" si="5"/>
        <v>6565211</v>
      </c>
      <c r="F353" t="s">
        <v>8</v>
      </c>
      <c r="G353" t="s">
        <v>14</v>
      </c>
      <c r="H353" t="s">
        <v>291</v>
      </c>
      <c r="I353" t="s">
        <v>96</v>
      </c>
    </row>
    <row r="354" spans="1:9">
      <c r="A354" s="5">
        <v>45867</v>
      </c>
      <c r="B354" t="s">
        <v>4420</v>
      </c>
      <c r="C354" s="1">
        <v>128500</v>
      </c>
      <c r="D354" s="1">
        <v>0</v>
      </c>
      <c r="E354" s="1">
        <f t="shared" si="5"/>
        <v>6436711</v>
      </c>
      <c r="F354" t="s">
        <v>4</v>
      </c>
      <c r="G354" t="s">
        <v>5</v>
      </c>
      <c r="H354" t="s">
        <v>3440</v>
      </c>
      <c r="I354" t="s">
        <v>4421</v>
      </c>
    </row>
    <row r="355" spans="1:9">
      <c r="A355" s="5">
        <v>45867</v>
      </c>
      <c r="B355" t="s">
        <v>399</v>
      </c>
      <c r="C355" s="1">
        <v>160500</v>
      </c>
      <c r="D355" s="1">
        <v>0</v>
      </c>
      <c r="E355" s="1">
        <f t="shared" si="5"/>
        <v>6276211</v>
      </c>
      <c r="F355" t="s">
        <v>8</v>
      </c>
      <c r="G355" t="s">
        <v>14</v>
      </c>
      <c r="H355" t="s">
        <v>314</v>
      </c>
      <c r="I355" t="s">
        <v>97</v>
      </c>
    </row>
    <row r="356" spans="1:9">
      <c r="A356" s="5">
        <v>45867</v>
      </c>
      <c r="B356" t="s">
        <v>396</v>
      </c>
      <c r="C356" s="1">
        <v>202000</v>
      </c>
      <c r="D356" s="1">
        <v>0</v>
      </c>
      <c r="E356" s="1">
        <f t="shared" si="5"/>
        <v>6074211</v>
      </c>
      <c r="F356" t="s">
        <v>8</v>
      </c>
      <c r="G356" t="s">
        <v>14</v>
      </c>
      <c r="H356" t="s">
        <v>314</v>
      </c>
      <c r="I356" t="s">
        <v>97</v>
      </c>
    </row>
    <row r="357" spans="1:9">
      <c r="A357" s="5">
        <v>45867</v>
      </c>
      <c r="B357" t="s">
        <v>4422</v>
      </c>
      <c r="C357" s="1">
        <v>112665</v>
      </c>
      <c r="D357" s="1">
        <v>0</v>
      </c>
      <c r="E357" s="1">
        <f t="shared" si="5"/>
        <v>5961546</v>
      </c>
      <c r="F357" t="s">
        <v>4</v>
      </c>
      <c r="G357" t="s">
        <v>5</v>
      </c>
      <c r="H357" t="s">
        <v>2313</v>
      </c>
      <c r="I357" t="s">
        <v>56</v>
      </c>
    </row>
    <row r="358" spans="1:9">
      <c r="A358" s="5">
        <v>45873</v>
      </c>
      <c r="B358" t="s">
        <v>399</v>
      </c>
      <c r="C358" s="1">
        <v>339500</v>
      </c>
      <c r="D358" s="1">
        <v>0</v>
      </c>
      <c r="E358" s="1">
        <f t="shared" si="5"/>
        <v>5622046</v>
      </c>
      <c r="F358" t="s">
        <v>8</v>
      </c>
      <c r="G358" t="s">
        <v>14</v>
      </c>
      <c r="H358" t="s">
        <v>291</v>
      </c>
      <c r="I358" t="s">
        <v>96</v>
      </c>
    </row>
    <row r="359" spans="1:9">
      <c r="A359" s="5">
        <v>45873</v>
      </c>
      <c r="B359" t="s">
        <v>396</v>
      </c>
      <c r="C359" s="1">
        <v>25000</v>
      </c>
      <c r="D359" s="1">
        <v>0</v>
      </c>
      <c r="E359" s="1">
        <f t="shared" si="5"/>
        <v>5597046</v>
      </c>
      <c r="F359" t="s">
        <v>8</v>
      </c>
      <c r="G359" t="s">
        <v>14</v>
      </c>
      <c r="H359" t="s">
        <v>291</v>
      </c>
      <c r="I359" t="s">
        <v>96</v>
      </c>
    </row>
    <row r="360" spans="1:9">
      <c r="A360" s="5">
        <v>45873</v>
      </c>
      <c r="B360" t="s">
        <v>4423</v>
      </c>
      <c r="C360" s="1">
        <v>58058</v>
      </c>
      <c r="D360" s="1">
        <v>0</v>
      </c>
      <c r="E360" s="1">
        <f t="shared" si="5"/>
        <v>5538988</v>
      </c>
      <c r="F360" t="s">
        <v>4</v>
      </c>
      <c r="G360" t="s">
        <v>5</v>
      </c>
      <c r="H360" t="s">
        <v>2320</v>
      </c>
      <c r="I360" t="s">
        <v>292</v>
      </c>
    </row>
    <row r="361" spans="1:9">
      <c r="A361" s="5">
        <v>45873</v>
      </c>
      <c r="B361" t="s">
        <v>4424</v>
      </c>
      <c r="C361" s="1">
        <v>735774</v>
      </c>
      <c r="D361" s="1">
        <v>0</v>
      </c>
      <c r="E361" s="1">
        <f t="shared" si="5"/>
        <v>4803214</v>
      </c>
      <c r="F361" t="s">
        <v>4</v>
      </c>
      <c r="G361" t="s">
        <v>5</v>
      </c>
      <c r="H361" t="s">
        <v>2326</v>
      </c>
      <c r="I361" t="s">
        <v>292</v>
      </c>
    </row>
    <row r="362" spans="1:9">
      <c r="A362" s="5">
        <v>45873</v>
      </c>
      <c r="B362" t="s">
        <v>4425</v>
      </c>
      <c r="C362" s="1">
        <v>338422</v>
      </c>
      <c r="D362" s="1">
        <v>0</v>
      </c>
      <c r="E362" s="1">
        <f t="shared" si="5"/>
        <v>4464792</v>
      </c>
      <c r="F362" t="s">
        <v>8</v>
      </c>
      <c r="G362" t="s">
        <v>14</v>
      </c>
      <c r="H362" t="s">
        <v>292</v>
      </c>
      <c r="I362" t="s">
        <v>292</v>
      </c>
    </row>
    <row r="363" spans="1:9">
      <c r="A363" s="5">
        <v>45873</v>
      </c>
      <c r="B363" t="s">
        <v>4426</v>
      </c>
      <c r="C363" s="1">
        <v>500000</v>
      </c>
      <c r="D363" s="1">
        <v>0</v>
      </c>
      <c r="E363" s="1">
        <f t="shared" si="5"/>
        <v>3964792</v>
      </c>
      <c r="F363" t="s">
        <v>8</v>
      </c>
      <c r="G363" t="s">
        <v>14</v>
      </c>
      <c r="H363" t="s">
        <v>292</v>
      </c>
      <c r="I363" t="s">
        <v>292</v>
      </c>
    </row>
    <row r="364" spans="1:9">
      <c r="A364" s="5">
        <v>45873</v>
      </c>
      <c r="B364" t="s">
        <v>4427</v>
      </c>
      <c r="C364" s="1">
        <v>58000</v>
      </c>
      <c r="D364" s="1">
        <v>0</v>
      </c>
      <c r="E364" s="1">
        <f t="shared" si="5"/>
        <v>3906792</v>
      </c>
      <c r="F364" t="s">
        <v>8</v>
      </c>
      <c r="G364" t="s">
        <v>14</v>
      </c>
      <c r="H364" t="s">
        <v>292</v>
      </c>
      <c r="I364" t="s">
        <v>292</v>
      </c>
    </row>
    <row r="365" spans="1:9">
      <c r="A365" s="5">
        <v>45875</v>
      </c>
      <c r="B365" t="s">
        <v>4428</v>
      </c>
      <c r="C365" s="1">
        <v>368000</v>
      </c>
      <c r="D365" s="1">
        <v>0</v>
      </c>
      <c r="E365" s="1">
        <f t="shared" si="5"/>
        <v>3538792</v>
      </c>
      <c r="F365" t="s">
        <v>21</v>
      </c>
      <c r="G365" t="s">
        <v>187</v>
      </c>
      <c r="I365" t="s">
        <v>12</v>
      </c>
    </row>
    <row r="366" spans="1:9">
      <c r="A366" s="5">
        <v>45875</v>
      </c>
      <c r="B366" t="s">
        <v>4429</v>
      </c>
      <c r="C366" s="1">
        <v>204000</v>
      </c>
      <c r="D366" s="1">
        <v>0</v>
      </c>
      <c r="E366" s="1">
        <f t="shared" si="5"/>
        <v>3334792</v>
      </c>
      <c r="F366" t="s">
        <v>4</v>
      </c>
      <c r="G366" t="s">
        <v>5</v>
      </c>
      <c r="H366" t="s">
        <v>3232</v>
      </c>
      <c r="I366" t="s">
        <v>60</v>
      </c>
    </row>
    <row r="367" spans="1:9">
      <c r="A367" s="5">
        <v>45876</v>
      </c>
      <c r="B367" t="s">
        <v>399</v>
      </c>
      <c r="C367" s="1">
        <v>683000</v>
      </c>
      <c r="D367" s="1">
        <v>0</v>
      </c>
      <c r="E367" s="1">
        <f t="shared" si="5"/>
        <v>2651792</v>
      </c>
      <c r="F367" t="s">
        <v>8</v>
      </c>
      <c r="G367" t="s">
        <v>14</v>
      </c>
      <c r="H367" t="s">
        <v>3137</v>
      </c>
      <c r="I367" t="s">
        <v>450</v>
      </c>
    </row>
    <row r="368" spans="1:9">
      <c r="A368" s="5">
        <v>45876</v>
      </c>
      <c r="B368" t="s">
        <v>396</v>
      </c>
      <c r="C368" s="1">
        <v>175000</v>
      </c>
      <c r="D368" s="1">
        <v>0</v>
      </c>
      <c r="E368" s="1">
        <f t="shared" si="5"/>
        <v>2476792</v>
      </c>
      <c r="F368" t="s">
        <v>8</v>
      </c>
      <c r="G368" t="s">
        <v>14</v>
      </c>
      <c r="H368" t="s">
        <v>3137</v>
      </c>
      <c r="I368" t="s">
        <v>450</v>
      </c>
    </row>
    <row r="369" spans="1:9">
      <c r="A369" s="5">
        <v>45876</v>
      </c>
      <c r="B369" t="s">
        <v>4430</v>
      </c>
      <c r="C369" s="1">
        <v>202080</v>
      </c>
      <c r="D369" s="1">
        <v>0</v>
      </c>
      <c r="E369" s="1">
        <f t="shared" si="5"/>
        <v>2274712</v>
      </c>
      <c r="F369" t="s">
        <v>8</v>
      </c>
      <c r="G369" t="s">
        <v>14</v>
      </c>
      <c r="H369" t="s">
        <v>4431</v>
      </c>
      <c r="I369" t="s">
        <v>308</v>
      </c>
    </row>
    <row r="370" spans="1:9">
      <c r="A370" s="5">
        <v>45880</v>
      </c>
      <c r="B370" t="s">
        <v>4432</v>
      </c>
      <c r="C370" s="1">
        <v>214000</v>
      </c>
      <c r="D370" s="1">
        <v>0</v>
      </c>
      <c r="E370" s="1">
        <f t="shared" si="5"/>
        <v>2060712</v>
      </c>
      <c r="F370" t="s">
        <v>4</v>
      </c>
      <c r="G370" t="s">
        <v>5</v>
      </c>
      <c r="H370" t="s">
        <v>3457</v>
      </c>
      <c r="I370" t="s">
        <v>386</v>
      </c>
    </row>
    <row r="371" spans="1:9">
      <c r="A371" s="5">
        <v>45880</v>
      </c>
      <c r="B371" t="s">
        <v>4433</v>
      </c>
      <c r="C371" s="1">
        <v>49000</v>
      </c>
      <c r="D371" s="1">
        <v>0</v>
      </c>
      <c r="E371" s="1">
        <f t="shared" si="5"/>
        <v>2011712</v>
      </c>
      <c r="F371" t="s">
        <v>21</v>
      </c>
      <c r="G371" t="s">
        <v>187</v>
      </c>
      <c r="H371" t="s">
        <v>4434</v>
      </c>
      <c r="I371" t="s">
        <v>386</v>
      </c>
    </row>
    <row r="372" spans="1:9">
      <c r="A372" s="5">
        <v>45880</v>
      </c>
      <c r="B372" t="s">
        <v>4365</v>
      </c>
      <c r="C372" s="1">
        <v>75000</v>
      </c>
      <c r="D372" s="1">
        <v>0</v>
      </c>
      <c r="E372" s="1">
        <f t="shared" si="5"/>
        <v>1936712</v>
      </c>
      <c r="F372" t="s">
        <v>62</v>
      </c>
      <c r="G372" t="s">
        <v>70</v>
      </c>
      <c r="H372" t="s">
        <v>95</v>
      </c>
      <c r="I372" t="s">
        <v>95</v>
      </c>
    </row>
    <row r="373" spans="1:9">
      <c r="A373" s="5">
        <v>45880</v>
      </c>
      <c r="B373" t="s">
        <v>4435</v>
      </c>
      <c r="C373" s="1">
        <v>368000</v>
      </c>
      <c r="D373" s="1">
        <v>0</v>
      </c>
      <c r="E373" s="1">
        <f t="shared" si="5"/>
        <v>1568712</v>
      </c>
      <c r="F373" t="s">
        <v>62</v>
      </c>
      <c r="G373" t="s">
        <v>63</v>
      </c>
      <c r="H373" t="s">
        <v>1436</v>
      </c>
      <c r="I373" t="s">
        <v>57</v>
      </c>
    </row>
    <row r="374" spans="1:9">
      <c r="A374" s="5">
        <v>45880</v>
      </c>
      <c r="B374" t="s">
        <v>4436</v>
      </c>
      <c r="C374" s="1">
        <v>88000</v>
      </c>
      <c r="D374" s="1">
        <v>0</v>
      </c>
      <c r="E374" s="1">
        <f t="shared" si="5"/>
        <v>1480712</v>
      </c>
      <c r="F374" t="s">
        <v>21</v>
      </c>
      <c r="G374" t="s">
        <v>187</v>
      </c>
      <c r="H374" t="s">
        <v>4434</v>
      </c>
      <c r="I374" t="s">
        <v>4437</v>
      </c>
    </row>
    <row r="375" spans="1:9">
      <c r="A375" s="5">
        <v>45880</v>
      </c>
      <c r="B375" t="s">
        <v>4438</v>
      </c>
      <c r="C375" s="1">
        <v>49000</v>
      </c>
      <c r="D375" s="1">
        <v>0</v>
      </c>
      <c r="E375" s="1">
        <f t="shared" si="5"/>
        <v>1431712</v>
      </c>
      <c r="F375" t="s">
        <v>21</v>
      </c>
      <c r="G375" t="s">
        <v>187</v>
      </c>
      <c r="H375" t="s">
        <v>4434</v>
      </c>
      <c r="I375" t="s">
        <v>4437</v>
      </c>
    </row>
    <row r="376" spans="1:9">
      <c r="A376" s="5">
        <v>45880</v>
      </c>
      <c r="B376" t="s">
        <v>4439</v>
      </c>
      <c r="C376" s="1">
        <v>520888</v>
      </c>
      <c r="D376" s="1">
        <v>0</v>
      </c>
      <c r="E376" s="1">
        <f t="shared" si="5"/>
        <v>910824</v>
      </c>
      <c r="F376" t="s">
        <v>21</v>
      </c>
      <c r="G376" t="s">
        <v>187</v>
      </c>
      <c r="H376" t="s">
        <v>4434</v>
      </c>
      <c r="I376" t="s">
        <v>386</v>
      </c>
    </row>
    <row r="377" spans="1:9">
      <c r="A377" s="5">
        <v>45880</v>
      </c>
      <c r="B377" t="s">
        <v>4440</v>
      </c>
      <c r="C377" s="1">
        <v>240000</v>
      </c>
      <c r="D377" s="1">
        <v>0</v>
      </c>
      <c r="E377" s="1">
        <f t="shared" si="5"/>
        <v>670824</v>
      </c>
      <c r="F377" t="s">
        <v>4</v>
      </c>
      <c r="G377" t="s">
        <v>5</v>
      </c>
      <c r="H377" t="s">
        <v>3232</v>
      </c>
      <c r="I377" t="s">
        <v>57</v>
      </c>
    </row>
    <row r="378" spans="1:9">
      <c r="A378" s="5">
        <v>45890</v>
      </c>
      <c r="B378" t="s">
        <v>432</v>
      </c>
      <c r="C378" s="1">
        <v>0</v>
      </c>
      <c r="D378" s="1">
        <v>9329176</v>
      </c>
      <c r="E378" s="1">
        <f t="shared" si="5"/>
        <v>10000000</v>
      </c>
      <c r="F378" t="s">
        <v>920</v>
      </c>
      <c r="G378" t="s">
        <v>376</v>
      </c>
    </row>
    <row r="379" spans="1:9">
      <c r="A379" s="5">
        <v>45882</v>
      </c>
      <c r="B379" t="s">
        <v>4441</v>
      </c>
      <c r="C379" s="1">
        <v>130000</v>
      </c>
      <c r="D379" s="1">
        <v>0</v>
      </c>
      <c r="E379" s="1">
        <f t="shared" si="5"/>
        <v>9870000</v>
      </c>
      <c r="F379" t="s">
        <v>8</v>
      </c>
      <c r="G379" t="s">
        <v>183</v>
      </c>
      <c r="I379" t="s">
        <v>1353</v>
      </c>
    </row>
    <row r="380" spans="1:9">
      <c r="A380" s="5">
        <v>45882</v>
      </c>
      <c r="B380" t="s">
        <v>4442</v>
      </c>
      <c r="C380" s="1">
        <v>297500</v>
      </c>
      <c r="D380" s="1">
        <v>0</v>
      </c>
      <c r="E380" s="1">
        <f t="shared" si="5"/>
        <v>9572500</v>
      </c>
      <c r="F380" t="s">
        <v>4</v>
      </c>
      <c r="G380" t="s">
        <v>5</v>
      </c>
      <c r="H380" t="s">
        <v>3232</v>
      </c>
      <c r="I380" t="s">
        <v>1353</v>
      </c>
    </row>
    <row r="381" spans="1:9">
      <c r="A381" s="5">
        <v>45882</v>
      </c>
      <c r="B381" t="s">
        <v>4443</v>
      </c>
      <c r="C381" s="1">
        <v>596437</v>
      </c>
      <c r="D381" s="1">
        <v>0</v>
      </c>
      <c r="E381" s="1">
        <f t="shared" si="5"/>
        <v>8976063</v>
      </c>
      <c r="F381" t="s">
        <v>8</v>
      </c>
      <c r="G381" t="s">
        <v>31</v>
      </c>
      <c r="H381" t="s">
        <v>308</v>
      </c>
      <c r="I381" t="s">
        <v>1353</v>
      </c>
    </row>
    <row r="382" spans="1:9">
      <c r="A382" s="5">
        <v>45882</v>
      </c>
      <c r="B382" t="s">
        <v>4444</v>
      </c>
      <c r="C382" s="1">
        <v>33300</v>
      </c>
      <c r="D382" s="1">
        <v>0</v>
      </c>
      <c r="E382" s="1">
        <f t="shared" si="5"/>
        <v>8942763</v>
      </c>
      <c r="F382" t="s">
        <v>8</v>
      </c>
      <c r="G382" t="s">
        <v>31</v>
      </c>
      <c r="H382" t="s">
        <v>308</v>
      </c>
      <c r="I382" t="s">
        <v>1353</v>
      </c>
    </row>
    <row r="383" spans="1:9">
      <c r="A383" s="5">
        <v>45882</v>
      </c>
      <c r="B383" t="s">
        <v>4445</v>
      </c>
      <c r="C383" s="1">
        <v>114289</v>
      </c>
      <c r="D383" s="1">
        <v>0</v>
      </c>
      <c r="E383" s="1">
        <f t="shared" si="5"/>
        <v>8828474</v>
      </c>
      <c r="F383" t="s">
        <v>4</v>
      </c>
      <c r="G383" t="s">
        <v>5</v>
      </c>
      <c r="H383" t="s">
        <v>2326</v>
      </c>
      <c r="I383" t="s">
        <v>1353</v>
      </c>
    </row>
    <row r="384" spans="1:9">
      <c r="A384" s="5">
        <v>45884</v>
      </c>
      <c r="B384" t="s">
        <v>399</v>
      </c>
      <c r="C384" s="1">
        <v>346000</v>
      </c>
      <c r="D384" s="1">
        <v>0</v>
      </c>
      <c r="E384" s="1">
        <f t="shared" si="5"/>
        <v>8482474</v>
      </c>
      <c r="F384" t="s">
        <v>8</v>
      </c>
      <c r="G384" t="s">
        <v>14</v>
      </c>
      <c r="H384" t="s">
        <v>314</v>
      </c>
      <c r="I384" t="s">
        <v>97</v>
      </c>
    </row>
    <row r="385" spans="1:9">
      <c r="A385" s="5">
        <v>45884</v>
      </c>
      <c r="B385" t="s">
        <v>396</v>
      </c>
      <c r="C385" s="1">
        <v>57000</v>
      </c>
      <c r="D385" s="1">
        <v>0</v>
      </c>
      <c r="E385" s="1">
        <f t="shared" si="5"/>
        <v>8425474</v>
      </c>
      <c r="F385" t="s">
        <v>8</v>
      </c>
      <c r="G385" t="s">
        <v>14</v>
      </c>
      <c r="H385" t="s">
        <v>314</v>
      </c>
      <c r="I385" t="s">
        <v>97</v>
      </c>
    </row>
    <row r="386" spans="1:9">
      <c r="A386" s="5">
        <v>45884</v>
      </c>
      <c r="B386" t="s">
        <v>4446</v>
      </c>
      <c r="C386" s="1">
        <v>200412</v>
      </c>
      <c r="D386" s="1">
        <v>0</v>
      </c>
      <c r="E386" s="1">
        <f t="shared" si="5"/>
        <v>8225062</v>
      </c>
      <c r="F386" t="s">
        <v>21</v>
      </c>
      <c r="G386" t="s">
        <v>187</v>
      </c>
      <c r="I386" t="s">
        <v>292</v>
      </c>
    </row>
    <row r="387" spans="1:9">
      <c r="A387" s="5">
        <v>45884</v>
      </c>
      <c r="B387" t="s">
        <v>4447</v>
      </c>
      <c r="C387" s="1">
        <v>344975</v>
      </c>
      <c r="D387" s="1">
        <v>0</v>
      </c>
      <c r="E387" s="1">
        <f t="shared" si="5"/>
        <v>7880087</v>
      </c>
      <c r="F387" t="s">
        <v>62</v>
      </c>
      <c r="G387" t="s">
        <v>70</v>
      </c>
      <c r="H387" t="s">
        <v>292</v>
      </c>
      <c r="I387" t="s">
        <v>292</v>
      </c>
    </row>
    <row r="388" spans="1:9">
      <c r="A388" s="5">
        <v>45884</v>
      </c>
      <c r="B388" t="s">
        <v>4448</v>
      </c>
      <c r="C388" s="1">
        <v>400047</v>
      </c>
      <c r="D388" s="1">
        <v>0</v>
      </c>
      <c r="E388" s="1">
        <f t="shared" si="5"/>
        <v>7480040</v>
      </c>
      <c r="F388" t="s">
        <v>21</v>
      </c>
      <c r="G388" t="s">
        <v>187</v>
      </c>
      <c r="I388" t="s">
        <v>292</v>
      </c>
    </row>
    <row r="389" spans="1:9">
      <c r="A389" s="5">
        <v>45884</v>
      </c>
      <c r="B389" t="s">
        <v>4449</v>
      </c>
      <c r="C389" s="1">
        <v>20000</v>
      </c>
      <c r="D389" s="1">
        <v>0</v>
      </c>
      <c r="E389" s="1">
        <f t="shared" si="5"/>
        <v>7460040</v>
      </c>
      <c r="F389" t="s">
        <v>8</v>
      </c>
      <c r="G389" t="s">
        <v>14</v>
      </c>
      <c r="I389" t="s">
        <v>95</v>
      </c>
    </row>
    <row r="390" spans="1:9">
      <c r="A390" s="5">
        <v>45884</v>
      </c>
      <c r="B390" t="s">
        <v>385</v>
      </c>
      <c r="C390" s="1">
        <v>500000</v>
      </c>
      <c r="D390" s="1">
        <v>0</v>
      </c>
      <c r="E390" s="1">
        <f t="shared" ref="E390:E453" si="6">E389-C390+D390</f>
        <v>6960040</v>
      </c>
      <c r="F390" t="s">
        <v>8</v>
      </c>
      <c r="G390" t="s">
        <v>240</v>
      </c>
      <c r="I390" t="s">
        <v>292</v>
      </c>
    </row>
    <row r="391" spans="1:9">
      <c r="A391" s="5">
        <v>45887</v>
      </c>
      <c r="B391" t="s">
        <v>399</v>
      </c>
      <c r="C391" s="1">
        <v>475000</v>
      </c>
      <c r="D391" s="1">
        <v>0</v>
      </c>
      <c r="E391" s="1">
        <f t="shared" si="6"/>
        <v>6485040</v>
      </c>
      <c r="F391" t="s">
        <v>8</v>
      </c>
      <c r="G391" t="s">
        <v>14</v>
      </c>
      <c r="H391" t="s">
        <v>4431</v>
      </c>
      <c r="I391" t="s">
        <v>96</v>
      </c>
    </row>
    <row r="392" spans="1:9">
      <c r="A392" s="5">
        <v>45887</v>
      </c>
      <c r="B392" t="s">
        <v>396</v>
      </c>
      <c r="C392" s="1">
        <v>132000</v>
      </c>
      <c r="D392" s="1">
        <v>0</v>
      </c>
      <c r="E392" s="1">
        <f t="shared" si="6"/>
        <v>6353040</v>
      </c>
      <c r="F392" t="s">
        <v>8</v>
      </c>
      <c r="G392" t="s">
        <v>14</v>
      </c>
      <c r="H392" t="s">
        <v>4431</v>
      </c>
      <c r="I392" t="s">
        <v>96</v>
      </c>
    </row>
    <row r="393" spans="1:9">
      <c r="A393" s="5">
        <v>45887</v>
      </c>
      <c r="B393" t="s">
        <v>4365</v>
      </c>
      <c r="C393" s="1">
        <v>46500</v>
      </c>
      <c r="D393" s="1">
        <v>0</v>
      </c>
      <c r="E393" s="1">
        <f t="shared" si="6"/>
        <v>6306540</v>
      </c>
      <c r="F393" t="s">
        <v>62</v>
      </c>
      <c r="G393" t="s">
        <v>70</v>
      </c>
      <c r="H393" t="s">
        <v>95</v>
      </c>
      <c r="I393" t="s">
        <v>95</v>
      </c>
    </row>
    <row r="394" spans="1:9">
      <c r="A394" s="5">
        <v>45887</v>
      </c>
      <c r="B394" t="s">
        <v>4450</v>
      </c>
      <c r="C394" s="1">
        <v>336000</v>
      </c>
      <c r="D394" s="1">
        <v>0</v>
      </c>
      <c r="E394" s="1">
        <f t="shared" si="6"/>
        <v>5970540</v>
      </c>
      <c r="F394" t="s">
        <v>21</v>
      </c>
      <c r="G394" t="s">
        <v>187</v>
      </c>
      <c r="I394" t="s">
        <v>12</v>
      </c>
    </row>
    <row r="395" spans="1:9">
      <c r="A395" s="5">
        <v>45888</v>
      </c>
      <c r="B395" t="s">
        <v>1401</v>
      </c>
      <c r="C395" s="1">
        <v>260000</v>
      </c>
      <c r="D395" s="1">
        <v>0</v>
      </c>
      <c r="E395" s="1">
        <f t="shared" si="6"/>
        <v>5710540</v>
      </c>
      <c r="F395" t="s">
        <v>8</v>
      </c>
      <c r="G395" t="s">
        <v>181</v>
      </c>
      <c r="I395" t="s">
        <v>1355</v>
      </c>
    </row>
    <row r="396" spans="1:9">
      <c r="A396" s="5">
        <v>45888</v>
      </c>
      <c r="B396" t="s">
        <v>503</v>
      </c>
      <c r="C396" s="1">
        <v>408000</v>
      </c>
      <c r="D396" s="1">
        <v>0</v>
      </c>
      <c r="E396" s="1">
        <f t="shared" si="6"/>
        <v>5302540</v>
      </c>
      <c r="F396" t="s">
        <v>8</v>
      </c>
      <c r="G396" t="s">
        <v>181</v>
      </c>
      <c r="I396" t="s">
        <v>1355</v>
      </c>
    </row>
    <row r="397" spans="1:9">
      <c r="A397" s="5">
        <v>45888</v>
      </c>
      <c r="B397" t="s">
        <v>4451</v>
      </c>
      <c r="C397" s="1">
        <v>110000</v>
      </c>
      <c r="D397" s="1">
        <v>0</v>
      </c>
      <c r="E397" s="1">
        <f t="shared" si="6"/>
        <v>5192540</v>
      </c>
      <c r="F397" t="s">
        <v>8</v>
      </c>
      <c r="G397" t="s">
        <v>181</v>
      </c>
      <c r="I397" t="s">
        <v>1355</v>
      </c>
    </row>
    <row r="398" spans="1:9">
      <c r="A398" s="5">
        <v>45888</v>
      </c>
      <c r="B398" t="s">
        <v>4452</v>
      </c>
      <c r="C398" s="1">
        <v>18000</v>
      </c>
      <c r="D398" s="1">
        <v>0</v>
      </c>
      <c r="E398" s="1">
        <f t="shared" si="6"/>
        <v>5174540</v>
      </c>
      <c r="F398" t="s">
        <v>8</v>
      </c>
      <c r="G398" t="s">
        <v>181</v>
      </c>
      <c r="I398" t="s">
        <v>1355</v>
      </c>
    </row>
    <row r="399" spans="1:9">
      <c r="A399" s="5">
        <v>45888</v>
      </c>
      <c r="B399" t="s">
        <v>4453</v>
      </c>
      <c r="C399" s="1">
        <v>91000</v>
      </c>
      <c r="D399" s="1">
        <v>0</v>
      </c>
      <c r="E399" s="1">
        <f t="shared" si="6"/>
        <v>5083540</v>
      </c>
      <c r="F399" t="s">
        <v>62</v>
      </c>
      <c r="G399" t="s">
        <v>70</v>
      </c>
      <c r="H399" t="s">
        <v>308</v>
      </c>
      <c r="I399" t="s">
        <v>1355</v>
      </c>
    </row>
    <row r="400" spans="1:9">
      <c r="A400" s="5">
        <v>45888</v>
      </c>
      <c r="B400" t="s">
        <v>4454</v>
      </c>
      <c r="C400" s="1">
        <v>25000</v>
      </c>
      <c r="D400" s="1">
        <v>0</v>
      </c>
      <c r="E400" s="1">
        <f t="shared" si="6"/>
        <v>5058540</v>
      </c>
      <c r="F400" t="s">
        <v>62</v>
      </c>
      <c r="G400" t="s">
        <v>63</v>
      </c>
      <c r="H400" t="s">
        <v>308</v>
      </c>
      <c r="I400" t="s">
        <v>1355</v>
      </c>
    </row>
    <row r="401" spans="1:9">
      <c r="A401" s="5">
        <v>45888</v>
      </c>
      <c r="B401" t="s">
        <v>1406</v>
      </c>
      <c r="C401" s="1">
        <v>75000</v>
      </c>
      <c r="D401" s="1">
        <v>0</v>
      </c>
      <c r="E401" s="1">
        <f t="shared" si="6"/>
        <v>4983540</v>
      </c>
      <c r="F401" t="s">
        <v>8</v>
      </c>
      <c r="G401" t="s">
        <v>14</v>
      </c>
      <c r="H401" t="s">
        <v>4431</v>
      </c>
      <c r="I401" t="s">
        <v>1355</v>
      </c>
    </row>
    <row r="402" spans="1:9">
      <c r="A402" s="5">
        <v>45888</v>
      </c>
      <c r="B402" t="s">
        <v>4455</v>
      </c>
      <c r="C402" s="1">
        <v>14500</v>
      </c>
      <c r="D402" s="1">
        <v>0</v>
      </c>
      <c r="E402" s="1">
        <f t="shared" si="6"/>
        <v>4969040</v>
      </c>
      <c r="F402" t="s">
        <v>4</v>
      </c>
      <c r="G402" t="s">
        <v>5</v>
      </c>
      <c r="H402" t="s">
        <v>3232</v>
      </c>
      <c r="I402" t="s">
        <v>60</v>
      </c>
    </row>
    <row r="403" spans="1:9">
      <c r="A403" s="5">
        <v>45888</v>
      </c>
      <c r="B403" t="s">
        <v>4456</v>
      </c>
      <c r="C403" s="1">
        <v>66500</v>
      </c>
      <c r="D403" s="1">
        <v>0</v>
      </c>
      <c r="E403" s="1">
        <f t="shared" si="6"/>
        <v>4902540</v>
      </c>
      <c r="F403" t="s">
        <v>4</v>
      </c>
      <c r="G403" t="s">
        <v>5</v>
      </c>
      <c r="H403" t="s">
        <v>3232</v>
      </c>
      <c r="I403" t="s">
        <v>60</v>
      </c>
    </row>
    <row r="404" spans="1:9">
      <c r="A404" s="5">
        <v>45888</v>
      </c>
      <c r="B404" t="s">
        <v>4457</v>
      </c>
      <c r="C404" s="1">
        <v>275000</v>
      </c>
      <c r="D404" s="1">
        <v>0</v>
      </c>
      <c r="E404" s="1">
        <f t="shared" si="6"/>
        <v>4627540</v>
      </c>
      <c r="F404" t="s">
        <v>4</v>
      </c>
      <c r="G404" t="s">
        <v>5</v>
      </c>
      <c r="H404" t="s">
        <v>3232</v>
      </c>
      <c r="I404" t="s">
        <v>60</v>
      </c>
    </row>
    <row r="405" spans="1:9">
      <c r="A405" s="5">
        <v>45888</v>
      </c>
      <c r="B405" t="s">
        <v>4458</v>
      </c>
      <c r="C405" s="1">
        <v>35000</v>
      </c>
      <c r="D405" s="1">
        <v>0</v>
      </c>
      <c r="E405" s="1">
        <f t="shared" si="6"/>
        <v>4592540</v>
      </c>
      <c r="F405" t="s">
        <v>8</v>
      </c>
      <c r="G405" t="s">
        <v>32</v>
      </c>
      <c r="H405" t="s">
        <v>308</v>
      </c>
      <c r="I405" t="s">
        <v>60</v>
      </c>
    </row>
    <row r="406" spans="1:9">
      <c r="A406" s="5">
        <v>45888</v>
      </c>
      <c r="B406" t="s">
        <v>4459</v>
      </c>
      <c r="C406" s="1">
        <v>90700</v>
      </c>
      <c r="D406" s="1">
        <v>0</v>
      </c>
      <c r="E406" s="1">
        <f t="shared" si="6"/>
        <v>4501840</v>
      </c>
      <c r="F406" t="s">
        <v>8</v>
      </c>
      <c r="G406" t="s">
        <v>181</v>
      </c>
      <c r="I406" t="s">
        <v>60</v>
      </c>
    </row>
    <row r="407" spans="1:9">
      <c r="A407" s="5">
        <v>45888</v>
      </c>
      <c r="B407" t="s">
        <v>4460</v>
      </c>
      <c r="C407" s="1">
        <v>44200</v>
      </c>
      <c r="D407" s="1">
        <v>0</v>
      </c>
      <c r="E407" s="1">
        <f t="shared" si="6"/>
        <v>4457640</v>
      </c>
      <c r="F407" t="s">
        <v>8</v>
      </c>
      <c r="G407" t="s">
        <v>181</v>
      </c>
      <c r="I407" t="s">
        <v>60</v>
      </c>
    </row>
    <row r="408" spans="1:9">
      <c r="A408" s="5">
        <v>45888</v>
      </c>
      <c r="B408" t="s">
        <v>4461</v>
      </c>
      <c r="C408" s="1">
        <v>35000</v>
      </c>
      <c r="D408" s="1">
        <v>0</v>
      </c>
      <c r="E408" s="1">
        <f t="shared" si="6"/>
        <v>4422640</v>
      </c>
      <c r="F408" t="s">
        <v>8</v>
      </c>
      <c r="G408" t="s">
        <v>32</v>
      </c>
      <c r="H408" t="s">
        <v>308</v>
      </c>
      <c r="I408" t="s">
        <v>60</v>
      </c>
    </row>
    <row r="409" spans="1:9">
      <c r="A409" s="5">
        <v>45889</v>
      </c>
      <c r="B409" t="s">
        <v>4462</v>
      </c>
      <c r="C409" s="1">
        <v>410000</v>
      </c>
      <c r="D409" s="1">
        <v>0</v>
      </c>
      <c r="E409" s="1">
        <f t="shared" si="6"/>
        <v>4012640</v>
      </c>
      <c r="F409" t="s">
        <v>4</v>
      </c>
      <c r="G409" t="s">
        <v>5</v>
      </c>
      <c r="H409" t="s">
        <v>3334</v>
      </c>
      <c r="I409" t="s">
        <v>445</v>
      </c>
    </row>
    <row r="410" spans="1:9">
      <c r="A410" s="5">
        <v>45889</v>
      </c>
      <c r="B410" t="s">
        <v>4463</v>
      </c>
      <c r="C410" s="1">
        <v>235000</v>
      </c>
      <c r="D410" s="1">
        <v>0</v>
      </c>
      <c r="E410" s="1">
        <f t="shared" si="6"/>
        <v>3777640</v>
      </c>
      <c r="F410" t="s">
        <v>4</v>
      </c>
      <c r="G410" t="s">
        <v>5</v>
      </c>
      <c r="H410" t="s">
        <v>3457</v>
      </c>
      <c r="I410" t="s">
        <v>445</v>
      </c>
    </row>
    <row r="411" spans="1:9">
      <c r="A411" s="5">
        <v>45891</v>
      </c>
      <c r="B411" t="s">
        <v>399</v>
      </c>
      <c r="C411" s="1">
        <v>572000</v>
      </c>
      <c r="D411" s="1">
        <v>0</v>
      </c>
      <c r="E411" s="1">
        <f t="shared" si="6"/>
        <v>3205640</v>
      </c>
      <c r="F411" t="s">
        <v>8</v>
      </c>
      <c r="G411" t="s">
        <v>14</v>
      </c>
      <c r="H411" t="s">
        <v>3137</v>
      </c>
      <c r="I411" t="s">
        <v>450</v>
      </c>
    </row>
    <row r="412" spans="1:9">
      <c r="A412" s="5">
        <v>45891</v>
      </c>
      <c r="B412" t="s">
        <v>396</v>
      </c>
      <c r="C412" s="1">
        <v>151000</v>
      </c>
      <c r="D412" s="1">
        <v>0</v>
      </c>
      <c r="E412" s="1">
        <f t="shared" si="6"/>
        <v>3054640</v>
      </c>
      <c r="F412" t="s">
        <v>8</v>
      </c>
      <c r="G412" t="s">
        <v>14</v>
      </c>
      <c r="H412" t="s">
        <v>3137</v>
      </c>
      <c r="I412" t="s">
        <v>450</v>
      </c>
    </row>
    <row r="413" spans="1:9">
      <c r="A413" s="5">
        <v>45891</v>
      </c>
      <c r="B413" t="s">
        <v>4464</v>
      </c>
      <c r="C413" s="1">
        <v>310000</v>
      </c>
      <c r="D413" s="1">
        <v>0</v>
      </c>
      <c r="E413" s="1">
        <f t="shared" si="6"/>
        <v>2744640</v>
      </c>
      <c r="F413" t="s">
        <v>8</v>
      </c>
      <c r="G413" t="s">
        <v>78</v>
      </c>
      <c r="I413" t="s">
        <v>4465</v>
      </c>
    </row>
    <row r="414" spans="1:9">
      <c r="A414" s="5">
        <v>45891</v>
      </c>
      <c r="B414" t="s">
        <v>4466</v>
      </c>
      <c r="C414" s="1">
        <v>60000</v>
      </c>
      <c r="D414" s="1">
        <v>0</v>
      </c>
      <c r="E414" s="1">
        <f t="shared" si="6"/>
        <v>2684640</v>
      </c>
      <c r="F414" t="s">
        <v>8</v>
      </c>
      <c r="G414" t="s">
        <v>78</v>
      </c>
      <c r="I414" t="s">
        <v>4465</v>
      </c>
    </row>
    <row r="415" spans="1:9">
      <c r="A415" s="5">
        <v>45891</v>
      </c>
      <c r="B415" t="s">
        <v>4467</v>
      </c>
      <c r="C415" s="1">
        <v>200000</v>
      </c>
      <c r="D415" s="1">
        <v>0</v>
      </c>
      <c r="E415" s="1">
        <f t="shared" si="6"/>
        <v>2484640</v>
      </c>
      <c r="F415" t="s">
        <v>4</v>
      </c>
      <c r="G415" t="s">
        <v>5</v>
      </c>
      <c r="H415" t="s">
        <v>3457</v>
      </c>
      <c r="I415" t="s">
        <v>55</v>
      </c>
    </row>
    <row r="416" spans="1:9">
      <c r="A416" s="5">
        <v>45891</v>
      </c>
      <c r="B416" t="s">
        <v>4468</v>
      </c>
      <c r="C416" s="1">
        <v>80000</v>
      </c>
      <c r="D416" s="1">
        <v>0</v>
      </c>
      <c r="E416" s="1">
        <f t="shared" si="6"/>
        <v>2404640</v>
      </c>
      <c r="F416" t="s">
        <v>4</v>
      </c>
      <c r="G416" t="s">
        <v>5</v>
      </c>
      <c r="H416" t="s">
        <v>3457</v>
      </c>
      <c r="I416" t="s">
        <v>55</v>
      </c>
    </row>
    <row r="417" spans="1:9">
      <c r="A417" s="5">
        <v>45897</v>
      </c>
      <c r="B417" t="s">
        <v>4469</v>
      </c>
      <c r="C417" s="1">
        <v>50000</v>
      </c>
      <c r="D417" s="1">
        <v>0</v>
      </c>
      <c r="E417" s="1">
        <f t="shared" si="6"/>
        <v>2354640</v>
      </c>
      <c r="F417" t="s">
        <v>8</v>
      </c>
      <c r="G417" t="s">
        <v>78</v>
      </c>
      <c r="I417" t="s">
        <v>1353</v>
      </c>
    </row>
    <row r="418" spans="1:9">
      <c r="A418" s="5">
        <v>45897</v>
      </c>
      <c r="B418" t="s">
        <v>4470</v>
      </c>
      <c r="C418" s="1">
        <v>479624</v>
      </c>
      <c r="D418" s="1">
        <v>0</v>
      </c>
      <c r="E418" s="1">
        <f t="shared" si="6"/>
        <v>1875016</v>
      </c>
      <c r="F418" t="s">
        <v>4</v>
      </c>
      <c r="G418" t="s">
        <v>5</v>
      </c>
      <c r="H418" t="s">
        <v>3440</v>
      </c>
      <c r="I418" t="s">
        <v>1353</v>
      </c>
    </row>
    <row r="419" spans="1:9">
      <c r="A419" s="5">
        <v>45897</v>
      </c>
      <c r="B419" t="s">
        <v>4471</v>
      </c>
      <c r="C419" s="1">
        <v>303776</v>
      </c>
      <c r="D419" s="1">
        <v>0</v>
      </c>
      <c r="E419" s="1">
        <f t="shared" si="6"/>
        <v>1571240</v>
      </c>
      <c r="F419" t="s">
        <v>4</v>
      </c>
      <c r="G419" t="s">
        <v>5</v>
      </c>
      <c r="H419" t="s">
        <v>3440</v>
      </c>
      <c r="I419" t="s">
        <v>1353</v>
      </c>
    </row>
    <row r="420" spans="1:9">
      <c r="A420" s="5">
        <v>45897</v>
      </c>
      <c r="B420" t="s">
        <v>4472</v>
      </c>
      <c r="C420" s="1">
        <v>350000</v>
      </c>
      <c r="D420" s="1">
        <v>0</v>
      </c>
      <c r="E420" s="1">
        <f t="shared" si="6"/>
        <v>1221240</v>
      </c>
      <c r="F420" t="s">
        <v>4</v>
      </c>
      <c r="G420" t="s">
        <v>5</v>
      </c>
      <c r="H420" t="s">
        <v>3232</v>
      </c>
      <c r="I420" t="s">
        <v>1353</v>
      </c>
    </row>
    <row r="421" spans="1:9">
      <c r="A421" s="5">
        <v>45897</v>
      </c>
      <c r="B421" t="s">
        <v>4473</v>
      </c>
      <c r="C421" s="1">
        <v>372218</v>
      </c>
      <c r="D421" s="1">
        <v>0</v>
      </c>
      <c r="E421" s="1">
        <f t="shared" si="6"/>
        <v>849022</v>
      </c>
      <c r="F421" t="s">
        <v>8</v>
      </c>
      <c r="G421" t="s">
        <v>31</v>
      </c>
      <c r="H421" t="s">
        <v>308</v>
      </c>
      <c r="I421" t="s">
        <v>1353</v>
      </c>
    </row>
    <row r="422" spans="1:9">
      <c r="A422" s="5">
        <v>45897</v>
      </c>
      <c r="B422" t="s">
        <v>4474</v>
      </c>
      <c r="C422" s="1">
        <v>420000</v>
      </c>
      <c r="D422" s="1">
        <v>0</v>
      </c>
      <c r="E422" s="1">
        <f t="shared" si="6"/>
        <v>429022</v>
      </c>
      <c r="F422" t="s">
        <v>21</v>
      </c>
      <c r="G422" t="s">
        <v>187</v>
      </c>
      <c r="I422" t="s">
        <v>12</v>
      </c>
    </row>
    <row r="423" spans="1:9">
      <c r="A423" s="5">
        <v>45897</v>
      </c>
      <c r="B423" t="s">
        <v>4475</v>
      </c>
      <c r="C423" s="1">
        <v>23000</v>
      </c>
      <c r="D423" s="1">
        <v>0</v>
      </c>
      <c r="E423" s="1">
        <f t="shared" si="6"/>
        <v>406022</v>
      </c>
      <c r="F423" t="s">
        <v>8</v>
      </c>
      <c r="G423" t="s">
        <v>240</v>
      </c>
      <c r="I423" t="s">
        <v>12</v>
      </c>
    </row>
    <row r="424" spans="1:9">
      <c r="A424" s="5">
        <v>45909</v>
      </c>
      <c r="B424" t="s">
        <v>378</v>
      </c>
      <c r="C424" s="1">
        <v>0</v>
      </c>
      <c r="D424" s="1">
        <v>9593978</v>
      </c>
      <c r="E424" s="1">
        <f t="shared" si="6"/>
        <v>10000000</v>
      </c>
      <c r="F424" t="s">
        <v>920</v>
      </c>
      <c r="G424" t="s">
        <v>376</v>
      </c>
    </row>
    <row r="425" spans="1:9">
      <c r="A425" s="5">
        <v>45897</v>
      </c>
      <c r="B425" t="s">
        <v>399</v>
      </c>
      <c r="C425" s="1">
        <v>442000</v>
      </c>
      <c r="D425" s="1">
        <v>0</v>
      </c>
      <c r="E425" s="1">
        <f t="shared" si="6"/>
        <v>9558000</v>
      </c>
      <c r="F425" t="s">
        <v>8</v>
      </c>
      <c r="G425" t="s">
        <v>14</v>
      </c>
      <c r="H425" t="s">
        <v>314</v>
      </c>
      <c r="I425" t="s">
        <v>97</v>
      </c>
    </row>
    <row r="426" spans="1:9">
      <c r="A426" s="5">
        <v>45897</v>
      </c>
      <c r="B426" t="s">
        <v>396</v>
      </c>
      <c r="C426" s="1">
        <v>44000</v>
      </c>
      <c r="D426" s="1">
        <v>0</v>
      </c>
      <c r="E426" s="1">
        <f t="shared" si="6"/>
        <v>9514000</v>
      </c>
      <c r="F426" t="s">
        <v>8</v>
      </c>
      <c r="G426" t="s">
        <v>14</v>
      </c>
      <c r="H426" t="s">
        <v>314</v>
      </c>
      <c r="I426" t="s">
        <v>97</v>
      </c>
    </row>
    <row r="427" spans="1:9">
      <c r="A427" s="5">
        <v>45902</v>
      </c>
      <c r="B427" t="s">
        <v>4476</v>
      </c>
      <c r="C427" s="1">
        <v>521872</v>
      </c>
      <c r="D427" s="1">
        <v>0</v>
      </c>
      <c r="E427" s="1">
        <f t="shared" si="6"/>
        <v>8992128</v>
      </c>
      <c r="F427" t="s">
        <v>8</v>
      </c>
      <c r="G427" t="s">
        <v>14</v>
      </c>
      <c r="H427" t="s">
        <v>4431</v>
      </c>
      <c r="I427" t="s">
        <v>308</v>
      </c>
    </row>
    <row r="428" spans="1:9">
      <c r="A428" s="5">
        <v>45902</v>
      </c>
      <c r="B428" t="s">
        <v>4477</v>
      </c>
      <c r="C428" s="1">
        <v>108098</v>
      </c>
      <c r="D428" s="1">
        <v>0</v>
      </c>
      <c r="E428" s="1">
        <f t="shared" si="6"/>
        <v>8884030</v>
      </c>
      <c r="F428" t="s">
        <v>21</v>
      </c>
      <c r="G428" t="s">
        <v>187</v>
      </c>
      <c r="I428" t="s">
        <v>292</v>
      </c>
    </row>
    <row r="429" spans="1:9">
      <c r="A429" s="5">
        <v>45902</v>
      </c>
      <c r="B429" t="s">
        <v>4478</v>
      </c>
      <c r="C429" s="1">
        <v>50000</v>
      </c>
      <c r="D429" s="1">
        <v>0</v>
      </c>
      <c r="E429" s="1">
        <f t="shared" si="6"/>
        <v>8834030</v>
      </c>
      <c r="F429" t="s">
        <v>4</v>
      </c>
      <c r="G429" t="s">
        <v>5</v>
      </c>
      <c r="H429" t="s">
        <v>3440</v>
      </c>
      <c r="I429" t="s">
        <v>292</v>
      </c>
    </row>
    <row r="430" spans="1:9">
      <c r="A430" s="5">
        <v>45902</v>
      </c>
      <c r="B430" t="s">
        <v>4479</v>
      </c>
      <c r="C430" s="1">
        <v>18000</v>
      </c>
      <c r="D430" s="1">
        <v>0</v>
      </c>
      <c r="E430" s="1">
        <f t="shared" si="6"/>
        <v>8816030</v>
      </c>
      <c r="F430" t="s">
        <v>21</v>
      </c>
      <c r="G430" t="s">
        <v>187</v>
      </c>
      <c r="I430" t="s">
        <v>292</v>
      </c>
    </row>
    <row r="431" spans="1:9">
      <c r="A431" s="5">
        <v>45902</v>
      </c>
      <c r="B431" t="s">
        <v>4480</v>
      </c>
      <c r="C431" s="1">
        <v>500000</v>
      </c>
      <c r="D431" s="1">
        <v>0</v>
      </c>
      <c r="E431" s="1">
        <f t="shared" si="6"/>
        <v>8316030</v>
      </c>
      <c r="F431" t="s">
        <v>8</v>
      </c>
      <c r="G431" t="s">
        <v>14</v>
      </c>
      <c r="I431" t="s">
        <v>292</v>
      </c>
    </row>
    <row r="432" spans="1:9">
      <c r="A432" s="5">
        <v>45902</v>
      </c>
      <c r="B432" t="s">
        <v>4481</v>
      </c>
      <c r="C432" s="1">
        <v>408466</v>
      </c>
      <c r="D432" s="1">
        <v>0</v>
      </c>
      <c r="E432" s="1">
        <f t="shared" si="6"/>
        <v>7907564</v>
      </c>
      <c r="F432" t="s">
        <v>8</v>
      </c>
      <c r="G432" t="s">
        <v>14</v>
      </c>
      <c r="H432" t="s">
        <v>292</v>
      </c>
      <c r="I432" t="s">
        <v>292</v>
      </c>
    </row>
    <row r="433" spans="1:9">
      <c r="A433" s="5">
        <v>45902</v>
      </c>
      <c r="B433" t="s">
        <v>385</v>
      </c>
      <c r="C433" s="1">
        <v>500000</v>
      </c>
      <c r="D433" s="1">
        <v>0</v>
      </c>
      <c r="E433" s="1">
        <f t="shared" si="6"/>
        <v>7407564</v>
      </c>
      <c r="F433" t="s">
        <v>8</v>
      </c>
      <c r="G433" t="s">
        <v>240</v>
      </c>
      <c r="I433" t="s">
        <v>292</v>
      </c>
    </row>
    <row r="434" spans="1:9">
      <c r="A434" s="5">
        <v>45903</v>
      </c>
      <c r="B434" t="s">
        <v>1379</v>
      </c>
      <c r="C434" s="1">
        <v>115000</v>
      </c>
      <c r="D434" s="1">
        <v>0</v>
      </c>
      <c r="E434" s="1">
        <f t="shared" si="6"/>
        <v>7292564</v>
      </c>
      <c r="F434" t="s">
        <v>62</v>
      </c>
      <c r="G434" t="s">
        <v>70</v>
      </c>
      <c r="H434" t="s">
        <v>95</v>
      </c>
      <c r="I434" t="s">
        <v>95</v>
      </c>
    </row>
    <row r="435" spans="1:9">
      <c r="A435" s="5">
        <v>45908</v>
      </c>
      <c r="B435" t="s">
        <v>399</v>
      </c>
      <c r="C435" s="1">
        <v>474000</v>
      </c>
      <c r="D435" s="1">
        <v>0</v>
      </c>
      <c r="E435" s="1">
        <f t="shared" si="6"/>
        <v>6818564</v>
      </c>
      <c r="F435" t="s">
        <v>8</v>
      </c>
      <c r="G435" t="s">
        <v>14</v>
      </c>
      <c r="H435" t="s">
        <v>4431</v>
      </c>
      <c r="I435" t="s">
        <v>96</v>
      </c>
    </row>
    <row r="436" spans="1:9">
      <c r="A436" s="5">
        <v>45908</v>
      </c>
      <c r="B436" t="s">
        <v>396</v>
      </c>
      <c r="C436" s="1">
        <v>36000</v>
      </c>
      <c r="D436" s="1">
        <v>0</v>
      </c>
      <c r="E436" s="1">
        <f t="shared" si="6"/>
        <v>6782564</v>
      </c>
      <c r="F436" t="s">
        <v>8</v>
      </c>
      <c r="G436" t="s">
        <v>14</v>
      </c>
      <c r="H436" t="s">
        <v>4431</v>
      </c>
      <c r="I436" t="s">
        <v>96</v>
      </c>
    </row>
    <row r="437" spans="1:9">
      <c r="A437" s="5">
        <v>45911</v>
      </c>
      <c r="B437" t="s">
        <v>4482</v>
      </c>
      <c r="C437" s="1">
        <v>54090</v>
      </c>
      <c r="D437" s="1">
        <v>0</v>
      </c>
      <c r="E437" s="1">
        <f t="shared" si="6"/>
        <v>6728474</v>
      </c>
      <c r="F437" t="s">
        <v>8</v>
      </c>
      <c r="G437" t="s">
        <v>78</v>
      </c>
      <c r="I437" t="s">
        <v>60</v>
      </c>
    </row>
    <row r="438" spans="1:9">
      <c r="A438" s="5">
        <v>45911</v>
      </c>
      <c r="B438" t="s">
        <v>4483</v>
      </c>
      <c r="C438" s="1">
        <v>71172</v>
      </c>
      <c r="D438" s="1">
        <v>0</v>
      </c>
      <c r="E438" s="1">
        <f t="shared" si="6"/>
        <v>6657302</v>
      </c>
      <c r="F438" t="s">
        <v>8</v>
      </c>
      <c r="G438" t="s">
        <v>78</v>
      </c>
      <c r="I438" t="s">
        <v>60</v>
      </c>
    </row>
    <row r="439" spans="1:9">
      <c r="A439" s="5">
        <v>45911</v>
      </c>
      <c r="B439" t="s">
        <v>4484</v>
      </c>
      <c r="C439" s="1">
        <v>60000</v>
      </c>
      <c r="D439" s="1">
        <v>0</v>
      </c>
      <c r="E439" s="1">
        <f t="shared" si="6"/>
        <v>6597302</v>
      </c>
      <c r="F439" t="s">
        <v>8</v>
      </c>
      <c r="G439" t="s">
        <v>31</v>
      </c>
      <c r="H439" t="s">
        <v>308</v>
      </c>
      <c r="I439" t="s">
        <v>60</v>
      </c>
    </row>
    <row r="440" spans="1:9">
      <c r="A440" s="5">
        <v>45911</v>
      </c>
      <c r="B440" t="s">
        <v>4485</v>
      </c>
      <c r="C440" s="1">
        <v>145000</v>
      </c>
      <c r="D440" s="1">
        <v>0</v>
      </c>
      <c r="E440" s="1">
        <f t="shared" si="6"/>
        <v>6452302</v>
      </c>
      <c r="F440" t="s">
        <v>8</v>
      </c>
      <c r="G440" t="s">
        <v>78</v>
      </c>
      <c r="I440" t="s">
        <v>60</v>
      </c>
    </row>
    <row r="441" spans="1:9">
      <c r="A441" s="5">
        <v>45911</v>
      </c>
      <c r="B441" t="s">
        <v>4486</v>
      </c>
      <c r="C441" s="1">
        <v>210003</v>
      </c>
      <c r="D441" s="1">
        <v>0</v>
      </c>
      <c r="E441" s="1">
        <f t="shared" si="6"/>
        <v>6242299</v>
      </c>
      <c r="F441" t="s">
        <v>4</v>
      </c>
      <c r="G441" t="s">
        <v>5</v>
      </c>
      <c r="H441" t="s">
        <v>2326</v>
      </c>
      <c r="I441" t="s">
        <v>4487</v>
      </c>
    </row>
    <row r="442" spans="1:9">
      <c r="A442" s="5">
        <v>45911</v>
      </c>
      <c r="B442" t="s">
        <v>4488</v>
      </c>
      <c r="C442" s="1">
        <v>210004</v>
      </c>
      <c r="D442" s="1">
        <v>0</v>
      </c>
      <c r="E442" s="1">
        <f t="shared" si="6"/>
        <v>6032295</v>
      </c>
      <c r="F442" t="s">
        <v>4</v>
      </c>
      <c r="G442" t="s">
        <v>5</v>
      </c>
      <c r="H442" t="s">
        <v>3457</v>
      </c>
      <c r="I442" t="s">
        <v>4487</v>
      </c>
    </row>
    <row r="443" spans="1:9">
      <c r="A443" s="5">
        <v>45911</v>
      </c>
      <c r="B443" t="s">
        <v>4489</v>
      </c>
      <c r="C443" s="1">
        <v>78555</v>
      </c>
      <c r="D443" s="1">
        <v>0</v>
      </c>
      <c r="E443" s="1">
        <f t="shared" si="6"/>
        <v>5953740</v>
      </c>
      <c r="F443" t="s">
        <v>8</v>
      </c>
      <c r="G443" t="s">
        <v>14</v>
      </c>
      <c r="H443" t="s">
        <v>4431</v>
      </c>
      <c r="I443" t="s">
        <v>96</v>
      </c>
    </row>
    <row r="444" spans="1:9">
      <c r="A444" s="5">
        <v>45911</v>
      </c>
      <c r="B444" t="s">
        <v>4490</v>
      </c>
      <c r="C444" s="1">
        <v>115933</v>
      </c>
      <c r="D444" s="1">
        <v>0</v>
      </c>
      <c r="E444" s="1">
        <f t="shared" si="6"/>
        <v>5837807</v>
      </c>
      <c r="F444" t="s">
        <v>8</v>
      </c>
      <c r="G444" t="s">
        <v>14</v>
      </c>
      <c r="H444" t="s">
        <v>4431</v>
      </c>
      <c r="I444" t="s">
        <v>308</v>
      </c>
    </row>
    <row r="445" spans="1:9">
      <c r="A445" s="5">
        <v>45916</v>
      </c>
      <c r="B445" t="s">
        <v>399</v>
      </c>
      <c r="C445" s="1">
        <v>649500</v>
      </c>
      <c r="D445" s="1">
        <v>0</v>
      </c>
      <c r="E445" s="1">
        <f t="shared" si="6"/>
        <v>5188307</v>
      </c>
      <c r="F445" t="s">
        <v>8</v>
      </c>
      <c r="G445" t="s">
        <v>14</v>
      </c>
      <c r="H445" t="s">
        <v>3137</v>
      </c>
      <c r="I445" t="s">
        <v>450</v>
      </c>
    </row>
    <row r="446" spans="1:9">
      <c r="A446" s="5">
        <v>45916</v>
      </c>
      <c r="B446" t="s">
        <v>396</v>
      </c>
      <c r="C446" s="1">
        <v>102000</v>
      </c>
      <c r="D446" s="1">
        <v>0</v>
      </c>
      <c r="E446" s="1">
        <f t="shared" si="6"/>
        <v>5086307</v>
      </c>
      <c r="F446" t="s">
        <v>8</v>
      </c>
      <c r="G446" t="s">
        <v>14</v>
      </c>
      <c r="H446" t="s">
        <v>3137</v>
      </c>
      <c r="I446" t="s">
        <v>450</v>
      </c>
    </row>
    <row r="447" spans="1:9">
      <c r="A447" s="5">
        <v>45879</v>
      </c>
      <c r="B447" t="s">
        <v>4491</v>
      </c>
      <c r="C447" s="1">
        <v>443311</v>
      </c>
      <c r="D447" s="1">
        <v>0</v>
      </c>
      <c r="E447" s="1">
        <f t="shared" si="6"/>
        <v>4642996</v>
      </c>
      <c r="F447" t="s">
        <v>21</v>
      </c>
      <c r="G447" t="s">
        <v>187</v>
      </c>
      <c r="I447" t="s">
        <v>4437</v>
      </c>
    </row>
    <row r="448" spans="1:9">
      <c r="A448" s="5">
        <v>45916</v>
      </c>
      <c r="B448" t="s">
        <v>1379</v>
      </c>
      <c r="C448" s="1">
        <v>210000</v>
      </c>
      <c r="D448" s="1">
        <v>0</v>
      </c>
      <c r="E448" s="1">
        <f t="shared" si="6"/>
        <v>4432996</v>
      </c>
      <c r="F448" t="s">
        <v>62</v>
      </c>
      <c r="G448" t="s">
        <v>70</v>
      </c>
      <c r="H448" t="s">
        <v>95</v>
      </c>
      <c r="I448" t="s">
        <v>95</v>
      </c>
    </row>
    <row r="449" spans="1:9">
      <c r="A449" s="5">
        <v>45916</v>
      </c>
      <c r="B449" t="s">
        <v>4492</v>
      </c>
      <c r="C449" s="1">
        <v>59500</v>
      </c>
      <c r="D449" s="1">
        <v>0</v>
      </c>
      <c r="E449" s="1">
        <f t="shared" si="6"/>
        <v>4373496</v>
      </c>
      <c r="F449" t="s">
        <v>21</v>
      </c>
      <c r="G449" t="s">
        <v>187</v>
      </c>
      <c r="I449" t="s">
        <v>12</v>
      </c>
    </row>
    <row r="450" spans="1:9">
      <c r="A450" s="5">
        <v>45916</v>
      </c>
      <c r="B450" t="s">
        <v>4493</v>
      </c>
      <c r="C450" s="1">
        <v>589000</v>
      </c>
      <c r="D450" s="1">
        <v>0</v>
      </c>
      <c r="E450" s="1">
        <f t="shared" si="6"/>
        <v>3784496</v>
      </c>
      <c r="F450" t="s">
        <v>21</v>
      </c>
      <c r="G450" t="s">
        <v>187</v>
      </c>
      <c r="I450" t="s">
        <v>12</v>
      </c>
    </row>
    <row r="451" spans="1:9">
      <c r="A451" s="5">
        <v>45916</v>
      </c>
      <c r="B451" t="s">
        <v>4494</v>
      </c>
      <c r="C451" s="1">
        <v>102540</v>
      </c>
      <c r="D451" s="1">
        <v>0</v>
      </c>
      <c r="E451" s="1">
        <f t="shared" si="6"/>
        <v>3681956</v>
      </c>
      <c r="F451" t="s">
        <v>8</v>
      </c>
      <c r="G451" t="s">
        <v>14</v>
      </c>
      <c r="H451" t="s">
        <v>4431</v>
      </c>
      <c r="I451" t="s">
        <v>308</v>
      </c>
    </row>
    <row r="452" spans="1:9">
      <c r="A452" s="5">
        <v>45916</v>
      </c>
      <c r="B452" t="s">
        <v>385</v>
      </c>
      <c r="C452" s="1">
        <v>500000</v>
      </c>
      <c r="D452" s="1">
        <v>0</v>
      </c>
      <c r="E452" s="1">
        <f t="shared" si="6"/>
        <v>3181956</v>
      </c>
      <c r="F452" t="s">
        <v>8</v>
      </c>
      <c r="G452" t="s">
        <v>240</v>
      </c>
      <c r="I452" t="s">
        <v>1355</v>
      </c>
    </row>
    <row r="453" spans="1:9">
      <c r="A453" s="5">
        <v>45916</v>
      </c>
      <c r="B453" t="s">
        <v>4495</v>
      </c>
      <c r="C453" s="1">
        <v>130000</v>
      </c>
      <c r="D453" s="1">
        <v>0</v>
      </c>
      <c r="E453" s="1">
        <f t="shared" si="6"/>
        <v>3051956</v>
      </c>
      <c r="F453" t="s">
        <v>62</v>
      </c>
      <c r="G453" t="s">
        <v>70</v>
      </c>
      <c r="H453" t="s">
        <v>97</v>
      </c>
      <c r="I453" t="s">
        <v>97</v>
      </c>
    </row>
    <row r="454" spans="1:9">
      <c r="A454" s="5">
        <v>45918</v>
      </c>
      <c r="B454" t="s">
        <v>4496</v>
      </c>
      <c r="C454" s="1">
        <v>28522</v>
      </c>
      <c r="D454" s="1">
        <v>0</v>
      </c>
      <c r="E454" s="1">
        <f t="shared" ref="E454:E517" si="7">E453-C454+D454</f>
        <v>3023434</v>
      </c>
      <c r="F454" t="s">
        <v>21</v>
      </c>
      <c r="G454" t="s">
        <v>187</v>
      </c>
      <c r="I454" t="s">
        <v>292</v>
      </c>
    </row>
    <row r="455" spans="1:9">
      <c r="A455" s="5">
        <v>45918</v>
      </c>
      <c r="B455" t="s">
        <v>4497</v>
      </c>
      <c r="C455" s="1">
        <v>114441</v>
      </c>
      <c r="D455" s="1">
        <v>0</v>
      </c>
      <c r="E455" s="1">
        <f t="shared" si="7"/>
        <v>2908993</v>
      </c>
      <c r="F455" t="s">
        <v>4</v>
      </c>
      <c r="G455" t="s">
        <v>5</v>
      </c>
      <c r="H455" t="s">
        <v>3457</v>
      </c>
      <c r="I455" t="s">
        <v>292</v>
      </c>
    </row>
    <row r="456" spans="1:9">
      <c r="A456" s="5">
        <v>45918</v>
      </c>
      <c r="B456" t="s">
        <v>4498</v>
      </c>
      <c r="C456" s="1">
        <v>140324</v>
      </c>
      <c r="D456" s="1">
        <v>0</v>
      </c>
      <c r="E456" s="1">
        <f t="shared" si="7"/>
        <v>2768669</v>
      </c>
      <c r="F456" t="s">
        <v>4</v>
      </c>
      <c r="G456" t="s">
        <v>5</v>
      </c>
      <c r="H456" t="s">
        <v>1352</v>
      </c>
      <c r="I456" t="s">
        <v>292</v>
      </c>
    </row>
    <row r="457" spans="1:9">
      <c r="A457" s="5">
        <v>45918</v>
      </c>
      <c r="B457" t="s">
        <v>4499</v>
      </c>
      <c r="C457" s="1">
        <v>46000</v>
      </c>
      <c r="D457" s="1">
        <v>0</v>
      </c>
      <c r="E457" s="1">
        <f t="shared" si="7"/>
        <v>2722669</v>
      </c>
      <c r="F457" t="s">
        <v>8</v>
      </c>
      <c r="G457" t="s">
        <v>240</v>
      </c>
      <c r="I457" t="s">
        <v>292</v>
      </c>
    </row>
    <row r="458" spans="1:9">
      <c r="A458" s="5">
        <v>45918</v>
      </c>
      <c r="B458" t="s">
        <v>4500</v>
      </c>
      <c r="C458" s="1">
        <v>33300</v>
      </c>
      <c r="D458" s="1">
        <v>0</v>
      </c>
      <c r="E458" s="1">
        <f t="shared" si="7"/>
        <v>2689369</v>
      </c>
      <c r="F458" t="s">
        <v>8</v>
      </c>
      <c r="G458" t="s">
        <v>31</v>
      </c>
      <c r="H458" t="s">
        <v>308</v>
      </c>
      <c r="I458" t="s">
        <v>1353</v>
      </c>
    </row>
    <row r="459" spans="1:9">
      <c r="A459" s="5">
        <v>45918</v>
      </c>
      <c r="B459" t="s">
        <v>4501</v>
      </c>
      <c r="C459" s="1">
        <v>108000</v>
      </c>
      <c r="D459" s="1">
        <v>0</v>
      </c>
      <c r="E459" s="1">
        <f t="shared" si="7"/>
        <v>2581369</v>
      </c>
      <c r="F459" t="s">
        <v>62</v>
      </c>
      <c r="G459" t="s">
        <v>63</v>
      </c>
      <c r="H459" t="s">
        <v>1456</v>
      </c>
      <c r="I459" t="s">
        <v>1353</v>
      </c>
    </row>
    <row r="460" spans="1:9">
      <c r="A460" s="5">
        <v>45918</v>
      </c>
      <c r="B460" t="s">
        <v>4502</v>
      </c>
      <c r="C460" s="1">
        <v>273441</v>
      </c>
      <c r="D460" s="1">
        <v>0</v>
      </c>
      <c r="E460" s="1">
        <f t="shared" si="7"/>
        <v>2307928</v>
      </c>
      <c r="F460" t="s">
        <v>4</v>
      </c>
      <c r="G460" t="s">
        <v>5</v>
      </c>
      <c r="H460" t="s">
        <v>2326</v>
      </c>
      <c r="I460" t="s">
        <v>1353</v>
      </c>
    </row>
    <row r="461" spans="1:9">
      <c r="A461" s="5">
        <v>45919</v>
      </c>
      <c r="B461" t="s">
        <v>4503</v>
      </c>
      <c r="C461" s="1">
        <v>91095</v>
      </c>
      <c r="D461" s="1">
        <v>0</v>
      </c>
      <c r="E461" s="1">
        <f t="shared" si="7"/>
        <v>2216833</v>
      </c>
      <c r="F461" t="s">
        <v>21</v>
      </c>
      <c r="G461" t="s">
        <v>187</v>
      </c>
      <c r="I461" t="s">
        <v>4437</v>
      </c>
    </row>
    <row r="462" spans="1:9">
      <c r="A462" s="5">
        <v>45923</v>
      </c>
      <c r="B462" t="s">
        <v>1401</v>
      </c>
      <c r="C462" s="1">
        <v>260000</v>
      </c>
      <c r="D462" s="1">
        <v>0</v>
      </c>
      <c r="E462" s="1">
        <f t="shared" si="7"/>
        <v>1956833</v>
      </c>
      <c r="F462" t="s">
        <v>8</v>
      </c>
      <c r="G462" t="s">
        <v>181</v>
      </c>
      <c r="I462" t="s">
        <v>1355</v>
      </c>
    </row>
    <row r="463" spans="1:9">
      <c r="A463" s="5">
        <v>45923</v>
      </c>
      <c r="B463" t="s">
        <v>4504</v>
      </c>
      <c r="C463" s="1">
        <v>100000</v>
      </c>
      <c r="D463" s="1">
        <v>0</v>
      </c>
      <c r="E463" s="1">
        <f t="shared" si="7"/>
        <v>1856833</v>
      </c>
      <c r="F463" t="s">
        <v>8</v>
      </c>
      <c r="G463" t="s">
        <v>78</v>
      </c>
      <c r="I463" t="s">
        <v>1355</v>
      </c>
    </row>
    <row r="464" spans="1:9">
      <c r="A464" s="5">
        <v>45923</v>
      </c>
      <c r="B464" t="s">
        <v>4505</v>
      </c>
      <c r="C464" s="1">
        <v>141000</v>
      </c>
      <c r="D464" s="1">
        <v>0</v>
      </c>
      <c r="E464" s="1">
        <f t="shared" si="7"/>
        <v>1715833</v>
      </c>
      <c r="F464" t="s">
        <v>62</v>
      </c>
      <c r="G464" t="s">
        <v>63</v>
      </c>
      <c r="H464" t="s">
        <v>1456</v>
      </c>
      <c r="I464" t="s">
        <v>1355</v>
      </c>
    </row>
    <row r="465" spans="1:9">
      <c r="A465" s="5">
        <v>45923</v>
      </c>
      <c r="B465" t="s">
        <v>4506</v>
      </c>
      <c r="C465" s="1">
        <v>100100</v>
      </c>
      <c r="D465" s="1">
        <v>0</v>
      </c>
      <c r="E465" s="1">
        <f t="shared" si="7"/>
        <v>1615733</v>
      </c>
      <c r="F465" t="s">
        <v>62</v>
      </c>
      <c r="G465" t="s">
        <v>63</v>
      </c>
      <c r="H465" t="s">
        <v>308</v>
      </c>
      <c r="I465" t="s">
        <v>1355</v>
      </c>
    </row>
    <row r="466" spans="1:9">
      <c r="A466" s="5">
        <v>45923</v>
      </c>
      <c r="B466" t="s">
        <v>4507</v>
      </c>
      <c r="C466" s="1">
        <v>300000</v>
      </c>
      <c r="D466" s="1">
        <v>0</v>
      </c>
      <c r="E466" s="1">
        <f t="shared" si="7"/>
        <v>1315733</v>
      </c>
      <c r="F466" t="s">
        <v>8</v>
      </c>
      <c r="G466" t="s">
        <v>181</v>
      </c>
      <c r="I466" t="s">
        <v>1355</v>
      </c>
    </row>
    <row r="467" spans="1:9">
      <c r="A467" s="5">
        <v>45923</v>
      </c>
      <c r="B467" t="s">
        <v>502</v>
      </c>
      <c r="C467" s="1">
        <v>177000</v>
      </c>
      <c r="D467" s="1">
        <v>0</v>
      </c>
      <c r="E467" s="1">
        <f t="shared" si="7"/>
        <v>1138733</v>
      </c>
      <c r="F467" t="s">
        <v>8</v>
      </c>
      <c r="G467" t="s">
        <v>181</v>
      </c>
      <c r="I467" t="s">
        <v>1355</v>
      </c>
    </row>
    <row r="468" spans="1:9">
      <c r="A468" s="5">
        <v>45923</v>
      </c>
      <c r="B468" t="s">
        <v>4508</v>
      </c>
      <c r="C468" s="1">
        <v>381700</v>
      </c>
      <c r="D468" s="1">
        <v>0</v>
      </c>
      <c r="E468" s="1">
        <f t="shared" si="7"/>
        <v>757033</v>
      </c>
      <c r="F468" t="s">
        <v>8</v>
      </c>
      <c r="G468" t="s">
        <v>181</v>
      </c>
      <c r="I468" t="s">
        <v>1355</v>
      </c>
    </row>
    <row r="469" spans="1:9">
      <c r="A469" s="5">
        <v>45923</v>
      </c>
      <c r="B469" t="s">
        <v>399</v>
      </c>
      <c r="C469" s="1">
        <v>390000</v>
      </c>
      <c r="D469" s="1">
        <v>0</v>
      </c>
      <c r="E469" s="1">
        <f t="shared" si="7"/>
        <v>367033</v>
      </c>
      <c r="F469" t="s">
        <v>8</v>
      </c>
      <c r="G469" t="s">
        <v>14</v>
      </c>
      <c r="H469" t="s">
        <v>4431</v>
      </c>
      <c r="I469" t="s">
        <v>96</v>
      </c>
    </row>
    <row r="470" spans="1:9">
      <c r="A470" s="5">
        <v>45923</v>
      </c>
      <c r="B470" t="s">
        <v>396</v>
      </c>
      <c r="C470" s="1">
        <v>70000</v>
      </c>
      <c r="D470" s="1">
        <v>0</v>
      </c>
      <c r="E470" s="1">
        <f t="shared" si="7"/>
        <v>297033</v>
      </c>
      <c r="F470" t="s">
        <v>8</v>
      </c>
      <c r="G470" t="s">
        <v>14</v>
      </c>
      <c r="H470" t="s">
        <v>4431</v>
      </c>
      <c r="I470" t="s">
        <v>96</v>
      </c>
    </row>
    <row r="471" spans="1:9">
      <c r="A471" s="5">
        <v>45923</v>
      </c>
      <c r="B471" t="s">
        <v>4509</v>
      </c>
      <c r="C471" s="1">
        <v>127800</v>
      </c>
      <c r="D471" s="1">
        <v>0</v>
      </c>
      <c r="E471" s="1">
        <f t="shared" si="7"/>
        <v>169233</v>
      </c>
      <c r="F471" t="s">
        <v>8</v>
      </c>
      <c r="G471" t="s">
        <v>14</v>
      </c>
      <c r="H471" t="s">
        <v>4431</v>
      </c>
      <c r="I471" t="s">
        <v>96</v>
      </c>
    </row>
    <row r="472" spans="1:9">
      <c r="A472" s="5">
        <v>45923</v>
      </c>
      <c r="B472" t="s">
        <v>4510</v>
      </c>
      <c r="C472" s="1">
        <v>127300</v>
      </c>
      <c r="D472" s="1">
        <v>0</v>
      </c>
      <c r="E472" s="1">
        <f t="shared" si="7"/>
        <v>41933</v>
      </c>
      <c r="F472" t="s">
        <v>8</v>
      </c>
      <c r="G472" t="s">
        <v>14</v>
      </c>
      <c r="H472" t="s">
        <v>4431</v>
      </c>
      <c r="I472" t="s">
        <v>96</v>
      </c>
    </row>
    <row r="473" spans="1:9">
      <c r="A473" s="5">
        <v>45931</v>
      </c>
      <c r="B473" t="s">
        <v>415</v>
      </c>
      <c r="C473" s="1">
        <v>0</v>
      </c>
      <c r="D473" s="1">
        <v>9958067</v>
      </c>
      <c r="E473" s="1">
        <f t="shared" si="7"/>
        <v>10000000</v>
      </c>
      <c r="F473" t="s">
        <v>920</v>
      </c>
      <c r="G473" t="s">
        <v>376</v>
      </c>
    </row>
    <row r="474" spans="1:9">
      <c r="A474" s="5">
        <v>45925</v>
      </c>
      <c r="B474" t="s">
        <v>4511</v>
      </c>
      <c r="C474" s="1">
        <v>662000</v>
      </c>
      <c r="D474" s="1">
        <v>0</v>
      </c>
      <c r="E474" s="1">
        <f t="shared" si="7"/>
        <v>9338000</v>
      </c>
      <c r="F474" t="s">
        <v>8</v>
      </c>
      <c r="G474" t="s">
        <v>78</v>
      </c>
      <c r="H474" t="s">
        <v>4512</v>
      </c>
      <c r="I474" t="s">
        <v>386</v>
      </c>
    </row>
    <row r="475" spans="1:9">
      <c r="A475" s="5">
        <v>45925</v>
      </c>
      <c r="B475" t="s">
        <v>4513</v>
      </c>
      <c r="C475" s="1">
        <v>495000</v>
      </c>
      <c r="D475" s="1">
        <v>0</v>
      </c>
      <c r="E475" s="1">
        <f t="shared" si="7"/>
        <v>8843000</v>
      </c>
      <c r="F475" t="s">
        <v>8</v>
      </c>
      <c r="G475" t="s">
        <v>78</v>
      </c>
      <c r="H475" t="s">
        <v>4512</v>
      </c>
      <c r="I475" t="s">
        <v>386</v>
      </c>
    </row>
    <row r="476" spans="1:9">
      <c r="A476" s="5">
        <v>45925</v>
      </c>
      <c r="B476" t="s">
        <v>4514</v>
      </c>
      <c r="C476" s="1">
        <v>60000</v>
      </c>
      <c r="D476" s="1">
        <v>0</v>
      </c>
      <c r="E476" s="1">
        <f t="shared" si="7"/>
        <v>8783000</v>
      </c>
      <c r="F476" t="s">
        <v>8</v>
      </c>
      <c r="G476" t="s">
        <v>78</v>
      </c>
      <c r="H476" t="s">
        <v>4512</v>
      </c>
      <c r="I476" t="s">
        <v>386</v>
      </c>
    </row>
    <row r="477" spans="1:9">
      <c r="A477" s="5">
        <v>45925</v>
      </c>
      <c r="B477" t="s">
        <v>4515</v>
      </c>
      <c r="C477" s="1">
        <v>82000</v>
      </c>
      <c r="D477" s="1">
        <v>0</v>
      </c>
      <c r="E477" s="1">
        <f t="shared" si="7"/>
        <v>8701000</v>
      </c>
      <c r="F477" t="s">
        <v>8</v>
      </c>
      <c r="G477" t="s">
        <v>78</v>
      </c>
      <c r="H477" t="s">
        <v>4512</v>
      </c>
      <c r="I477" t="s">
        <v>386</v>
      </c>
    </row>
    <row r="478" spans="1:9">
      <c r="A478" s="5">
        <v>45925</v>
      </c>
      <c r="B478" t="s">
        <v>4516</v>
      </c>
      <c r="C478" s="1">
        <v>111000</v>
      </c>
      <c r="D478" s="1">
        <v>0</v>
      </c>
      <c r="E478" s="1">
        <f t="shared" si="7"/>
        <v>8590000</v>
      </c>
      <c r="F478" t="s">
        <v>21</v>
      </c>
      <c r="G478" t="s">
        <v>187</v>
      </c>
      <c r="I478" t="s">
        <v>60</v>
      </c>
    </row>
    <row r="479" spans="1:9">
      <c r="A479" s="5">
        <v>45925</v>
      </c>
      <c r="B479" t="s">
        <v>4517</v>
      </c>
      <c r="C479" s="1">
        <v>201579</v>
      </c>
      <c r="D479" s="1">
        <v>0</v>
      </c>
      <c r="E479" s="1">
        <f t="shared" si="7"/>
        <v>8388421</v>
      </c>
      <c r="F479" t="s">
        <v>21</v>
      </c>
      <c r="G479" t="s">
        <v>187</v>
      </c>
      <c r="I479" t="s">
        <v>292</v>
      </c>
    </row>
    <row r="480" spans="1:9">
      <c r="A480" s="5">
        <v>45925</v>
      </c>
      <c r="B480" t="s">
        <v>4518</v>
      </c>
      <c r="C480" s="1">
        <v>201579</v>
      </c>
      <c r="D480" s="1">
        <v>0</v>
      </c>
      <c r="E480" s="1">
        <f t="shared" si="7"/>
        <v>8186842</v>
      </c>
      <c r="F480" t="s">
        <v>4</v>
      </c>
      <c r="G480" t="s">
        <v>5</v>
      </c>
      <c r="H480" t="s">
        <v>2326</v>
      </c>
      <c r="I480" t="s">
        <v>292</v>
      </c>
    </row>
    <row r="481" spans="1:9">
      <c r="A481" s="5">
        <v>45925</v>
      </c>
      <c r="B481" t="s">
        <v>4519</v>
      </c>
      <c r="C481" s="1">
        <v>114492</v>
      </c>
      <c r="D481" s="1">
        <v>0</v>
      </c>
      <c r="E481" s="1">
        <f t="shared" si="7"/>
        <v>8072350</v>
      </c>
      <c r="F481" t="s">
        <v>4</v>
      </c>
      <c r="G481" t="s">
        <v>5</v>
      </c>
      <c r="H481" t="s">
        <v>2326</v>
      </c>
      <c r="I481" t="s">
        <v>292</v>
      </c>
    </row>
    <row r="482" spans="1:9">
      <c r="A482" s="5">
        <v>45925</v>
      </c>
      <c r="B482" t="s">
        <v>4520</v>
      </c>
      <c r="C482" s="1">
        <v>56000</v>
      </c>
      <c r="D482" s="1">
        <v>0</v>
      </c>
      <c r="E482" s="1">
        <f t="shared" si="7"/>
        <v>8016350</v>
      </c>
      <c r="F482" t="s">
        <v>4</v>
      </c>
      <c r="G482" t="s">
        <v>5</v>
      </c>
      <c r="H482" t="s">
        <v>1352</v>
      </c>
      <c r="I482" t="s">
        <v>292</v>
      </c>
    </row>
    <row r="483" spans="1:9">
      <c r="A483" s="5">
        <v>45926</v>
      </c>
      <c r="B483" t="s">
        <v>399</v>
      </c>
      <c r="C483" s="1">
        <v>427440</v>
      </c>
      <c r="D483" s="1">
        <v>0</v>
      </c>
      <c r="E483" s="1">
        <f t="shared" si="7"/>
        <v>7588910</v>
      </c>
      <c r="F483" t="s">
        <v>8</v>
      </c>
      <c r="G483" t="s">
        <v>14</v>
      </c>
      <c r="H483" t="s">
        <v>3137</v>
      </c>
      <c r="I483" t="s">
        <v>450</v>
      </c>
    </row>
    <row r="484" spans="1:9">
      <c r="A484" s="5">
        <v>45926</v>
      </c>
      <c r="B484" t="s">
        <v>396</v>
      </c>
      <c r="C484" s="1">
        <v>75000</v>
      </c>
      <c r="D484" s="1">
        <v>0</v>
      </c>
      <c r="E484" s="1">
        <f t="shared" si="7"/>
        <v>7513910</v>
      </c>
      <c r="F484" t="s">
        <v>8</v>
      </c>
      <c r="G484" t="s">
        <v>14</v>
      </c>
      <c r="H484" t="s">
        <v>3137</v>
      </c>
      <c r="I484" t="s">
        <v>450</v>
      </c>
    </row>
    <row r="485" spans="1:9">
      <c r="A485" s="5">
        <v>45926</v>
      </c>
      <c r="B485" t="s">
        <v>4521</v>
      </c>
      <c r="C485" s="1">
        <v>77280</v>
      </c>
      <c r="D485" s="1">
        <v>0</v>
      </c>
      <c r="E485" s="1">
        <f t="shared" si="7"/>
        <v>7436630</v>
      </c>
      <c r="F485" t="s">
        <v>8</v>
      </c>
      <c r="G485" t="s">
        <v>14</v>
      </c>
      <c r="H485" t="s">
        <v>4431</v>
      </c>
      <c r="I485" t="s">
        <v>96</v>
      </c>
    </row>
    <row r="486" spans="1:9">
      <c r="A486" s="5">
        <v>45929</v>
      </c>
      <c r="B486" t="s">
        <v>4522</v>
      </c>
      <c r="C486" s="1">
        <v>243982</v>
      </c>
      <c r="D486" s="1">
        <v>0</v>
      </c>
      <c r="E486" s="1">
        <f t="shared" si="7"/>
        <v>7192648</v>
      </c>
      <c r="F486" t="s">
        <v>10</v>
      </c>
      <c r="G486" t="s">
        <v>446</v>
      </c>
      <c r="H486" t="s">
        <v>4093</v>
      </c>
      <c r="I486" t="s">
        <v>26</v>
      </c>
    </row>
    <row r="487" spans="1:9">
      <c r="A487" s="5">
        <v>45931</v>
      </c>
      <c r="B487" t="s">
        <v>4523</v>
      </c>
      <c r="C487" s="1">
        <v>501000</v>
      </c>
      <c r="D487" s="1">
        <v>0</v>
      </c>
      <c r="E487" s="1">
        <f t="shared" si="7"/>
        <v>6691648</v>
      </c>
      <c r="F487" t="s">
        <v>8</v>
      </c>
      <c r="G487" t="s">
        <v>14</v>
      </c>
      <c r="H487" t="s">
        <v>4431</v>
      </c>
      <c r="I487" t="s">
        <v>60</v>
      </c>
    </row>
    <row r="488" spans="1:9">
      <c r="A488" s="5">
        <v>45931</v>
      </c>
      <c r="B488" t="s">
        <v>4524</v>
      </c>
      <c r="C488" s="1">
        <v>234500</v>
      </c>
      <c r="D488" s="1">
        <v>0</v>
      </c>
      <c r="E488" s="1">
        <f t="shared" si="7"/>
        <v>6457148</v>
      </c>
      <c r="F488" t="s">
        <v>21</v>
      </c>
      <c r="G488" t="s">
        <v>187</v>
      </c>
      <c r="I488" t="s">
        <v>4525</v>
      </c>
    </row>
    <row r="489" spans="1:9">
      <c r="A489" s="5">
        <v>45933</v>
      </c>
      <c r="B489" t="s">
        <v>4526</v>
      </c>
      <c r="C489" s="1">
        <v>96000</v>
      </c>
      <c r="D489" s="1">
        <v>0</v>
      </c>
      <c r="E489" s="1">
        <f t="shared" si="7"/>
        <v>6361148</v>
      </c>
      <c r="F489" t="s">
        <v>21</v>
      </c>
      <c r="G489" t="s">
        <v>187</v>
      </c>
      <c r="I489" t="s">
        <v>4525</v>
      </c>
    </row>
    <row r="490" spans="1:9">
      <c r="A490" s="5">
        <v>45936</v>
      </c>
      <c r="B490" t="s">
        <v>4527</v>
      </c>
      <c r="C490" s="1">
        <v>83000</v>
      </c>
      <c r="D490" s="1">
        <v>0</v>
      </c>
      <c r="E490" s="1">
        <f t="shared" si="7"/>
        <v>6278148</v>
      </c>
      <c r="F490" t="s">
        <v>8</v>
      </c>
      <c r="G490" t="s">
        <v>240</v>
      </c>
      <c r="I490" t="s">
        <v>292</v>
      </c>
    </row>
    <row r="491" spans="1:9">
      <c r="A491" s="5">
        <v>45936</v>
      </c>
      <c r="B491" t="s">
        <v>4528</v>
      </c>
      <c r="C491" s="1">
        <v>500000</v>
      </c>
      <c r="D491" s="1">
        <v>0</v>
      </c>
      <c r="E491" s="1">
        <f t="shared" si="7"/>
        <v>5778148</v>
      </c>
      <c r="F491" t="s">
        <v>8</v>
      </c>
      <c r="G491" t="s">
        <v>14</v>
      </c>
      <c r="I491" t="s">
        <v>292</v>
      </c>
    </row>
    <row r="492" spans="1:9">
      <c r="A492" s="5">
        <v>45936</v>
      </c>
      <c r="B492" t="s">
        <v>4529</v>
      </c>
      <c r="C492" s="1">
        <v>210000</v>
      </c>
      <c r="D492" s="1">
        <v>0</v>
      </c>
      <c r="E492" s="1">
        <f t="shared" si="7"/>
        <v>5568148</v>
      </c>
      <c r="F492" t="s">
        <v>62</v>
      </c>
      <c r="G492" t="s">
        <v>70</v>
      </c>
      <c r="H492" t="s">
        <v>292</v>
      </c>
      <c r="I492" t="s">
        <v>292</v>
      </c>
    </row>
    <row r="493" spans="1:9">
      <c r="A493" s="5">
        <v>45936</v>
      </c>
      <c r="B493" t="s">
        <v>4530</v>
      </c>
      <c r="C493" s="1">
        <v>91249</v>
      </c>
      <c r="D493" s="1">
        <v>0</v>
      </c>
      <c r="E493" s="1">
        <f t="shared" si="7"/>
        <v>5476899</v>
      </c>
      <c r="F493" t="s">
        <v>4</v>
      </c>
      <c r="G493" t="s">
        <v>5</v>
      </c>
      <c r="H493" t="s">
        <v>3334</v>
      </c>
      <c r="I493" t="s">
        <v>292</v>
      </c>
    </row>
    <row r="494" spans="1:9">
      <c r="A494" s="5">
        <v>45936</v>
      </c>
      <c r="B494" t="s">
        <v>4531</v>
      </c>
      <c r="C494" s="1">
        <v>72000</v>
      </c>
      <c r="D494" s="1">
        <v>0</v>
      </c>
      <c r="E494" s="1">
        <f t="shared" si="7"/>
        <v>5404899</v>
      </c>
      <c r="F494" t="s">
        <v>4</v>
      </c>
      <c r="G494" t="s">
        <v>5</v>
      </c>
      <c r="H494" t="s">
        <v>4098</v>
      </c>
      <c r="I494" t="s">
        <v>292</v>
      </c>
    </row>
    <row r="495" spans="1:9">
      <c r="A495" s="5">
        <v>45936</v>
      </c>
      <c r="B495" t="s">
        <v>4532</v>
      </c>
      <c r="C495" s="1">
        <v>347112</v>
      </c>
      <c r="D495" s="1">
        <v>0</v>
      </c>
      <c r="E495" s="1">
        <f t="shared" si="7"/>
        <v>5057787</v>
      </c>
      <c r="F495" t="s">
        <v>8</v>
      </c>
      <c r="G495" t="s">
        <v>14</v>
      </c>
      <c r="H495" t="s">
        <v>292</v>
      </c>
      <c r="I495" t="s">
        <v>292</v>
      </c>
    </row>
    <row r="496" spans="1:9">
      <c r="A496" s="5">
        <v>45936</v>
      </c>
      <c r="B496" t="s">
        <v>4533</v>
      </c>
      <c r="C496" s="1">
        <v>45000</v>
      </c>
      <c r="D496" s="1">
        <v>0</v>
      </c>
      <c r="E496" s="1">
        <f t="shared" si="7"/>
        <v>5012787</v>
      </c>
      <c r="F496" t="s">
        <v>8</v>
      </c>
      <c r="G496" t="s">
        <v>14</v>
      </c>
      <c r="H496" t="s">
        <v>292</v>
      </c>
      <c r="I496" t="s">
        <v>292</v>
      </c>
    </row>
    <row r="497" spans="1:9">
      <c r="A497" s="5">
        <v>45939</v>
      </c>
      <c r="B497" t="s">
        <v>4534</v>
      </c>
      <c r="C497" s="1">
        <v>80000</v>
      </c>
      <c r="D497" s="1">
        <v>0</v>
      </c>
      <c r="E497" s="1">
        <f t="shared" si="7"/>
        <v>4932787</v>
      </c>
      <c r="F497" t="s">
        <v>21</v>
      </c>
      <c r="G497" t="s">
        <v>187</v>
      </c>
      <c r="I497" t="s">
        <v>60</v>
      </c>
    </row>
    <row r="498" spans="1:9">
      <c r="A498" s="5">
        <v>45939</v>
      </c>
      <c r="B498" t="s">
        <v>4535</v>
      </c>
      <c r="C498" s="1">
        <v>55000</v>
      </c>
      <c r="D498" s="1">
        <v>0</v>
      </c>
      <c r="E498" s="1">
        <f t="shared" si="7"/>
        <v>4877787</v>
      </c>
      <c r="F498" t="s">
        <v>8</v>
      </c>
      <c r="G498" t="s">
        <v>31</v>
      </c>
      <c r="H498" t="s">
        <v>308</v>
      </c>
      <c r="I498" t="s">
        <v>60</v>
      </c>
    </row>
    <row r="499" spans="1:9">
      <c r="A499" s="5">
        <v>45940</v>
      </c>
      <c r="B499" t="s">
        <v>399</v>
      </c>
      <c r="C499" s="1">
        <v>327500</v>
      </c>
      <c r="D499" s="1">
        <v>0</v>
      </c>
      <c r="E499" s="1">
        <f t="shared" si="7"/>
        <v>4550287</v>
      </c>
      <c r="F499" t="s">
        <v>8</v>
      </c>
      <c r="G499" t="s">
        <v>14</v>
      </c>
      <c r="H499" t="s">
        <v>314</v>
      </c>
      <c r="I499" t="s">
        <v>97</v>
      </c>
    </row>
    <row r="500" spans="1:9">
      <c r="A500" s="5">
        <v>45940</v>
      </c>
      <c r="B500" t="s">
        <v>396</v>
      </c>
      <c r="C500" s="1">
        <v>78000</v>
      </c>
      <c r="D500" s="1">
        <v>0</v>
      </c>
      <c r="E500" s="1">
        <f t="shared" si="7"/>
        <v>4472287</v>
      </c>
      <c r="F500" t="s">
        <v>8</v>
      </c>
      <c r="G500" t="s">
        <v>14</v>
      </c>
      <c r="H500" t="s">
        <v>314</v>
      </c>
      <c r="I500" t="s">
        <v>97</v>
      </c>
    </row>
    <row r="501" spans="1:9">
      <c r="A501" s="5">
        <v>45943</v>
      </c>
      <c r="B501" t="s">
        <v>399</v>
      </c>
      <c r="C501" s="1">
        <v>679000</v>
      </c>
      <c r="D501" s="1">
        <v>0</v>
      </c>
      <c r="E501" s="1">
        <f t="shared" si="7"/>
        <v>3793287</v>
      </c>
      <c r="F501" t="s">
        <v>8</v>
      </c>
      <c r="G501" t="s">
        <v>14</v>
      </c>
      <c r="H501" t="s">
        <v>3137</v>
      </c>
      <c r="I501" t="s">
        <v>450</v>
      </c>
    </row>
    <row r="502" spans="1:9">
      <c r="A502" s="5">
        <v>45943</v>
      </c>
      <c r="B502" t="s">
        <v>396</v>
      </c>
      <c r="C502" s="1">
        <v>134000</v>
      </c>
      <c r="D502" s="1">
        <v>0</v>
      </c>
      <c r="E502" s="1">
        <f t="shared" si="7"/>
        <v>3659287</v>
      </c>
      <c r="F502" t="s">
        <v>8</v>
      </c>
      <c r="G502" t="s">
        <v>14</v>
      </c>
      <c r="H502" t="s">
        <v>3137</v>
      </c>
      <c r="I502" t="s">
        <v>450</v>
      </c>
    </row>
    <row r="503" spans="1:9">
      <c r="A503" s="5">
        <v>45943</v>
      </c>
      <c r="B503" t="s">
        <v>4536</v>
      </c>
      <c r="C503" s="1">
        <v>300000</v>
      </c>
      <c r="D503" s="1">
        <v>0</v>
      </c>
      <c r="E503" s="1">
        <f t="shared" si="7"/>
        <v>3359287</v>
      </c>
      <c r="F503" t="s">
        <v>4</v>
      </c>
      <c r="G503" t="s">
        <v>5</v>
      </c>
      <c r="H503" t="s">
        <v>4098</v>
      </c>
      <c r="I503" t="s">
        <v>4525</v>
      </c>
    </row>
    <row r="504" spans="1:9">
      <c r="A504" s="5">
        <v>45943</v>
      </c>
      <c r="B504" t="s">
        <v>4537</v>
      </c>
      <c r="C504" s="1">
        <v>226000</v>
      </c>
      <c r="D504" s="1">
        <v>0</v>
      </c>
      <c r="E504" s="1">
        <f t="shared" si="7"/>
        <v>3133287</v>
      </c>
      <c r="F504" t="s">
        <v>4</v>
      </c>
      <c r="G504" t="s">
        <v>5</v>
      </c>
      <c r="H504" t="s">
        <v>4098</v>
      </c>
      <c r="I504" t="s">
        <v>4525</v>
      </c>
    </row>
    <row r="505" spans="1:9">
      <c r="A505" s="5">
        <v>45944</v>
      </c>
      <c r="B505" t="s">
        <v>4538</v>
      </c>
      <c r="C505" s="1">
        <v>210000</v>
      </c>
      <c r="D505" s="1">
        <v>0</v>
      </c>
      <c r="E505" s="1">
        <f t="shared" si="7"/>
        <v>2923287</v>
      </c>
      <c r="F505" t="s">
        <v>4</v>
      </c>
      <c r="G505" t="s">
        <v>5</v>
      </c>
      <c r="H505" t="s">
        <v>4098</v>
      </c>
      <c r="I505" t="s">
        <v>386</v>
      </c>
    </row>
    <row r="506" spans="1:9">
      <c r="A506" s="5">
        <v>45944</v>
      </c>
      <c r="B506" t="s">
        <v>4539</v>
      </c>
      <c r="C506" s="1">
        <v>439110</v>
      </c>
      <c r="D506" s="1">
        <v>0</v>
      </c>
      <c r="E506" s="1">
        <f t="shared" si="7"/>
        <v>2484177</v>
      </c>
      <c r="F506" t="s">
        <v>4</v>
      </c>
      <c r="G506" t="s">
        <v>5</v>
      </c>
      <c r="H506" t="s">
        <v>4098</v>
      </c>
      <c r="I506" t="s">
        <v>386</v>
      </c>
    </row>
    <row r="507" spans="1:9">
      <c r="A507" s="5">
        <v>45944</v>
      </c>
      <c r="B507" t="s">
        <v>4540</v>
      </c>
      <c r="C507" s="1">
        <v>156500</v>
      </c>
      <c r="D507" s="1">
        <v>0</v>
      </c>
      <c r="E507" s="1">
        <f t="shared" si="7"/>
        <v>2327677</v>
      </c>
      <c r="F507" t="s">
        <v>8</v>
      </c>
      <c r="G507" t="s">
        <v>181</v>
      </c>
      <c r="I507" t="s">
        <v>1353</v>
      </c>
    </row>
    <row r="508" spans="1:9">
      <c r="A508" s="5">
        <v>45944</v>
      </c>
      <c r="B508" t="s">
        <v>4541</v>
      </c>
      <c r="C508" s="1">
        <v>442749</v>
      </c>
      <c r="D508" s="1">
        <v>0</v>
      </c>
      <c r="E508" s="1">
        <f t="shared" si="7"/>
        <v>1884928</v>
      </c>
      <c r="F508" t="s">
        <v>8</v>
      </c>
      <c r="G508" t="s">
        <v>31</v>
      </c>
      <c r="H508" t="s">
        <v>308</v>
      </c>
      <c r="I508" t="s">
        <v>1353</v>
      </c>
    </row>
    <row r="509" spans="1:9">
      <c r="A509" s="5">
        <v>45944</v>
      </c>
      <c r="B509" t="s">
        <v>4542</v>
      </c>
      <c r="C509" s="1">
        <v>26000</v>
      </c>
      <c r="D509" s="1">
        <v>0</v>
      </c>
      <c r="E509" s="1">
        <f t="shared" si="7"/>
        <v>1858928</v>
      </c>
      <c r="F509" t="s">
        <v>8</v>
      </c>
      <c r="G509" t="s">
        <v>240</v>
      </c>
      <c r="I509" t="s">
        <v>1353</v>
      </c>
    </row>
    <row r="510" spans="1:9">
      <c r="A510" s="5">
        <v>45944</v>
      </c>
      <c r="B510" t="s">
        <v>399</v>
      </c>
      <c r="C510" s="1">
        <v>394000</v>
      </c>
      <c r="D510" s="1">
        <v>0</v>
      </c>
      <c r="E510" s="1">
        <f t="shared" si="7"/>
        <v>1464928</v>
      </c>
      <c r="F510" t="s">
        <v>8</v>
      </c>
      <c r="G510" t="s">
        <v>14</v>
      </c>
      <c r="H510" t="s">
        <v>4431</v>
      </c>
      <c r="I510" t="s">
        <v>96</v>
      </c>
    </row>
    <row r="511" spans="1:9">
      <c r="A511" s="5">
        <v>45944</v>
      </c>
      <c r="B511" t="s">
        <v>396</v>
      </c>
      <c r="C511" s="1">
        <v>35000</v>
      </c>
      <c r="D511" s="1">
        <v>0</v>
      </c>
      <c r="E511" s="1">
        <f t="shared" si="7"/>
        <v>1429928</v>
      </c>
      <c r="F511" t="s">
        <v>8</v>
      </c>
      <c r="G511" t="s">
        <v>14</v>
      </c>
      <c r="H511" t="s">
        <v>4431</v>
      </c>
      <c r="I511" t="s">
        <v>96</v>
      </c>
    </row>
    <row r="512" spans="1:9">
      <c r="A512" s="5">
        <v>45944</v>
      </c>
      <c r="B512" t="s">
        <v>399</v>
      </c>
      <c r="C512" s="1">
        <v>334000</v>
      </c>
      <c r="D512" s="1">
        <v>0</v>
      </c>
      <c r="E512" s="1">
        <f t="shared" si="7"/>
        <v>1095928</v>
      </c>
      <c r="F512" t="s">
        <v>8</v>
      </c>
      <c r="G512" t="s">
        <v>14</v>
      </c>
      <c r="H512" t="s">
        <v>4431</v>
      </c>
      <c r="I512" t="s">
        <v>96</v>
      </c>
    </row>
    <row r="513" spans="1:9">
      <c r="A513" s="5">
        <v>45944</v>
      </c>
      <c r="B513" t="s">
        <v>396</v>
      </c>
      <c r="C513" s="1">
        <v>55000</v>
      </c>
      <c r="D513" s="1">
        <v>0</v>
      </c>
      <c r="E513" s="1">
        <f t="shared" si="7"/>
        <v>1040928</v>
      </c>
      <c r="F513" t="s">
        <v>8</v>
      </c>
      <c r="G513" t="s">
        <v>14</v>
      </c>
      <c r="H513" t="s">
        <v>4431</v>
      </c>
      <c r="I513" t="s">
        <v>96</v>
      </c>
    </row>
    <row r="514" spans="1:9">
      <c r="A514" s="5">
        <v>45944</v>
      </c>
      <c r="B514" t="s">
        <v>4543</v>
      </c>
      <c r="C514" s="1">
        <v>532000</v>
      </c>
      <c r="D514" s="1">
        <v>0</v>
      </c>
      <c r="E514" s="1">
        <f t="shared" si="7"/>
        <v>508928</v>
      </c>
      <c r="F514" t="s">
        <v>4</v>
      </c>
      <c r="G514" t="s">
        <v>5</v>
      </c>
      <c r="H514" t="s">
        <v>4098</v>
      </c>
      <c r="I514" t="s">
        <v>4437</v>
      </c>
    </row>
    <row r="515" spans="1:9">
      <c r="A515" s="5">
        <v>45944</v>
      </c>
      <c r="B515" t="s">
        <v>4544</v>
      </c>
      <c r="C515" s="1">
        <v>82000</v>
      </c>
      <c r="D515" s="1">
        <v>0</v>
      </c>
      <c r="E515" s="1">
        <f t="shared" si="7"/>
        <v>426928</v>
      </c>
      <c r="F515" t="s">
        <v>4</v>
      </c>
      <c r="G515" t="s">
        <v>5</v>
      </c>
      <c r="H515" t="s">
        <v>4098</v>
      </c>
      <c r="I515" t="s">
        <v>4437</v>
      </c>
    </row>
    <row r="516" spans="1:9">
      <c r="A516" s="5">
        <v>45944</v>
      </c>
      <c r="B516" t="s">
        <v>4545</v>
      </c>
      <c r="C516" s="1">
        <v>320000</v>
      </c>
      <c r="D516" s="1">
        <v>0</v>
      </c>
      <c r="E516" s="1">
        <f t="shared" si="7"/>
        <v>106928</v>
      </c>
      <c r="F516" t="s">
        <v>4</v>
      </c>
      <c r="G516" t="s">
        <v>5</v>
      </c>
      <c r="H516" t="s">
        <v>4098</v>
      </c>
      <c r="I516" t="s">
        <v>4437</v>
      </c>
    </row>
    <row r="517" spans="1:9">
      <c r="A517" s="5">
        <v>45945</v>
      </c>
      <c r="B517" t="s">
        <v>4546</v>
      </c>
      <c r="C517" s="1">
        <v>130000</v>
      </c>
      <c r="D517" s="1">
        <v>0</v>
      </c>
      <c r="E517" s="1">
        <f t="shared" si="7"/>
        <v>-23072</v>
      </c>
      <c r="F517" t="s">
        <v>62</v>
      </c>
      <c r="G517" t="s">
        <v>70</v>
      </c>
      <c r="H517" t="s">
        <v>450</v>
      </c>
      <c r="I517" t="s">
        <v>450</v>
      </c>
    </row>
    <row r="518" spans="1:9">
      <c r="A518" s="5">
        <v>45950</v>
      </c>
      <c r="B518" t="s">
        <v>1401</v>
      </c>
      <c r="C518" s="1">
        <v>260000</v>
      </c>
      <c r="D518" s="1">
        <v>0</v>
      </c>
      <c r="E518" s="1">
        <f t="shared" ref="E518:E581" si="8">E517-C518+D518</f>
        <v>-283072</v>
      </c>
      <c r="F518" t="s">
        <v>8</v>
      </c>
      <c r="G518" t="s">
        <v>181</v>
      </c>
      <c r="I518" t="s">
        <v>1355</v>
      </c>
    </row>
    <row r="519" spans="1:9">
      <c r="A519" s="5">
        <v>45950</v>
      </c>
      <c r="B519" t="s">
        <v>4547</v>
      </c>
      <c r="C519" s="1">
        <v>50000</v>
      </c>
      <c r="D519" s="1">
        <v>0</v>
      </c>
      <c r="E519" s="1">
        <f t="shared" si="8"/>
        <v>-333072</v>
      </c>
      <c r="F519" t="s">
        <v>4</v>
      </c>
      <c r="G519" t="s">
        <v>5</v>
      </c>
      <c r="H519" t="s">
        <v>4098</v>
      </c>
      <c r="I519" t="s">
        <v>1355</v>
      </c>
    </row>
    <row r="520" spans="1:9">
      <c r="A520" s="5">
        <v>45950</v>
      </c>
      <c r="B520" t="s">
        <v>4548</v>
      </c>
      <c r="C520" s="1">
        <v>36000</v>
      </c>
      <c r="D520" s="1">
        <v>0</v>
      </c>
      <c r="E520" s="1">
        <f t="shared" si="8"/>
        <v>-369072</v>
      </c>
      <c r="F520" t="s">
        <v>8</v>
      </c>
      <c r="G520" t="s">
        <v>181</v>
      </c>
      <c r="I520" t="s">
        <v>1355</v>
      </c>
    </row>
    <row r="521" spans="1:9">
      <c r="A521" s="5">
        <v>45950</v>
      </c>
      <c r="B521" t="s">
        <v>502</v>
      </c>
      <c r="C521" s="1">
        <v>114000</v>
      </c>
      <c r="D521" s="1">
        <v>0</v>
      </c>
      <c r="E521" s="1">
        <f t="shared" si="8"/>
        <v>-483072</v>
      </c>
      <c r="F521" t="s">
        <v>8</v>
      </c>
      <c r="G521" t="s">
        <v>181</v>
      </c>
      <c r="I521" t="s">
        <v>1355</v>
      </c>
    </row>
    <row r="522" spans="1:9">
      <c r="A522" s="5">
        <v>45950</v>
      </c>
      <c r="B522" t="s">
        <v>4549</v>
      </c>
      <c r="C522" s="1">
        <v>57400</v>
      </c>
      <c r="D522" s="1">
        <v>0</v>
      </c>
      <c r="E522" s="1">
        <f t="shared" si="8"/>
        <v>-540472</v>
      </c>
      <c r="F522" t="s">
        <v>8</v>
      </c>
      <c r="G522" t="s">
        <v>181</v>
      </c>
      <c r="I522" t="s">
        <v>1355</v>
      </c>
    </row>
    <row r="523" spans="1:9">
      <c r="A523" s="5">
        <v>45950</v>
      </c>
      <c r="B523" t="s">
        <v>4550</v>
      </c>
      <c r="C523" s="1">
        <v>57000</v>
      </c>
      <c r="D523" s="1">
        <v>0</v>
      </c>
      <c r="E523" s="1">
        <f t="shared" si="8"/>
        <v>-597472</v>
      </c>
      <c r="F523" t="s">
        <v>8</v>
      </c>
      <c r="G523" t="s">
        <v>240</v>
      </c>
      <c r="I523" t="s">
        <v>1355</v>
      </c>
    </row>
    <row r="524" spans="1:9">
      <c r="A524" s="5">
        <v>45951</v>
      </c>
      <c r="B524" t="s">
        <v>399</v>
      </c>
      <c r="C524" s="1">
        <v>324000</v>
      </c>
      <c r="D524" s="1">
        <v>0</v>
      </c>
      <c r="E524" s="1">
        <f t="shared" si="8"/>
        <v>-921472</v>
      </c>
      <c r="F524" t="s">
        <v>8</v>
      </c>
      <c r="G524" t="s">
        <v>14</v>
      </c>
      <c r="H524" t="s">
        <v>4431</v>
      </c>
      <c r="I524" t="s">
        <v>96</v>
      </c>
    </row>
    <row r="525" spans="1:9">
      <c r="A525" s="5">
        <v>45951</v>
      </c>
      <c r="B525" t="s">
        <v>4523</v>
      </c>
      <c r="C525" s="1">
        <v>501000</v>
      </c>
      <c r="D525" s="1">
        <v>0</v>
      </c>
      <c r="E525" s="1">
        <f t="shared" si="8"/>
        <v>-1422472</v>
      </c>
      <c r="F525" t="s">
        <v>8</v>
      </c>
      <c r="G525" t="s">
        <v>14</v>
      </c>
      <c r="H525" t="s">
        <v>4431</v>
      </c>
      <c r="I525" t="s">
        <v>60</v>
      </c>
    </row>
    <row r="526" spans="1:9">
      <c r="A526" s="5">
        <v>45953</v>
      </c>
      <c r="B526" t="s">
        <v>4523</v>
      </c>
      <c r="C526" s="1">
        <v>501000</v>
      </c>
      <c r="D526" s="1">
        <v>0</v>
      </c>
      <c r="E526" s="1">
        <f t="shared" si="8"/>
        <v>-1923472</v>
      </c>
      <c r="F526" t="s">
        <v>8</v>
      </c>
      <c r="G526" t="s">
        <v>14</v>
      </c>
      <c r="H526" t="s">
        <v>4431</v>
      </c>
      <c r="I526" t="s">
        <v>60</v>
      </c>
    </row>
    <row r="527" spans="1:9">
      <c r="A527" s="5">
        <v>45958</v>
      </c>
      <c r="B527" t="s">
        <v>4341</v>
      </c>
      <c r="C527" s="1">
        <v>200000</v>
      </c>
      <c r="D527" s="1">
        <v>0</v>
      </c>
      <c r="E527" s="1">
        <f t="shared" si="8"/>
        <v>-2123472</v>
      </c>
      <c r="F527" t="s">
        <v>4</v>
      </c>
      <c r="G527" t="s">
        <v>5</v>
      </c>
      <c r="H527" t="s">
        <v>4080</v>
      </c>
      <c r="I527" t="s">
        <v>55</v>
      </c>
    </row>
    <row r="528" spans="1:9">
      <c r="A528" s="5">
        <v>45958</v>
      </c>
      <c r="B528" t="s">
        <v>4341</v>
      </c>
      <c r="C528" s="1">
        <v>380000</v>
      </c>
      <c r="D528" s="1">
        <v>0</v>
      </c>
      <c r="E528" s="1">
        <f t="shared" si="8"/>
        <v>-2503472</v>
      </c>
      <c r="F528" t="s">
        <v>4</v>
      </c>
      <c r="G528" t="s">
        <v>5</v>
      </c>
      <c r="H528" t="s">
        <v>4098</v>
      </c>
      <c r="I528" t="s">
        <v>55</v>
      </c>
    </row>
    <row r="529" spans="1:9">
      <c r="A529" s="5">
        <v>45958</v>
      </c>
      <c r="B529" t="s">
        <v>4551</v>
      </c>
      <c r="C529" s="1">
        <v>39000</v>
      </c>
      <c r="D529" s="1">
        <v>0</v>
      </c>
      <c r="E529" s="1">
        <f t="shared" si="8"/>
        <v>-2542472</v>
      </c>
      <c r="F529" t="s">
        <v>4</v>
      </c>
      <c r="G529" t="s">
        <v>5</v>
      </c>
      <c r="H529" t="s">
        <v>4552</v>
      </c>
      <c r="I529" t="s">
        <v>26</v>
      </c>
    </row>
    <row r="530" spans="1:9">
      <c r="A530" s="5">
        <v>45958</v>
      </c>
      <c r="B530" t="s">
        <v>4553</v>
      </c>
      <c r="C530" s="1">
        <v>300000</v>
      </c>
      <c r="D530" s="1">
        <v>0</v>
      </c>
      <c r="E530" s="1">
        <f t="shared" si="8"/>
        <v>-2842472</v>
      </c>
      <c r="F530" t="s">
        <v>4</v>
      </c>
      <c r="G530" t="s">
        <v>5</v>
      </c>
      <c r="H530" t="s">
        <v>4552</v>
      </c>
      <c r="I530" t="s">
        <v>26</v>
      </c>
    </row>
    <row r="531" spans="1:9">
      <c r="A531" s="5">
        <v>45958</v>
      </c>
      <c r="B531" t="s">
        <v>4554</v>
      </c>
      <c r="C531" s="1">
        <v>124875</v>
      </c>
      <c r="D531" s="1">
        <v>0</v>
      </c>
      <c r="E531" s="1">
        <f t="shared" si="8"/>
        <v>-2967347</v>
      </c>
      <c r="F531" t="s">
        <v>4</v>
      </c>
      <c r="G531" t="s">
        <v>5</v>
      </c>
      <c r="H531" t="s">
        <v>4552</v>
      </c>
      <c r="I531" t="s">
        <v>26</v>
      </c>
    </row>
    <row r="532" spans="1:9">
      <c r="A532" s="5">
        <v>45957</v>
      </c>
      <c r="B532" t="s">
        <v>385</v>
      </c>
      <c r="C532" s="1">
        <v>500000</v>
      </c>
      <c r="D532" s="1">
        <v>0</v>
      </c>
      <c r="E532" s="1">
        <f t="shared" si="8"/>
        <v>-3467347</v>
      </c>
      <c r="F532" t="s">
        <v>8</v>
      </c>
      <c r="G532" t="s">
        <v>240</v>
      </c>
      <c r="I532" t="s">
        <v>292</v>
      </c>
    </row>
    <row r="533" spans="1:9">
      <c r="A533" s="5">
        <v>45958</v>
      </c>
      <c r="B533" t="s">
        <v>399</v>
      </c>
      <c r="C533" s="1">
        <v>398500</v>
      </c>
      <c r="D533" s="1">
        <v>0</v>
      </c>
      <c r="E533" s="1">
        <f t="shared" si="8"/>
        <v>-3865847</v>
      </c>
      <c r="F533" t="s">
        <v>8</v>
      </c>
      <c r="G533" t="s">
        <v>14</v>
      </c>
      <c r="H533" t="s">
        <v>4431</v>
      </c>
      <c r="I533" t="s">
        <v>96</v>
      </c>
    </row>
    <row r="534" spans="1:9">
      <c r="A534" s="5">
        <v>45958</v>
      </c>
      <c r="B534" t="s">
        <v>396</v>
      </c>
      <c r="C534" s="1">
        <v>30000</v>
      </c>
      <c r="D534" s="1">
        <v>0</v>
      </c>
      <c r="E534" s="1">
        <f t="shared" si="8"/>
        <v>-3895847</v>
      </c>
      <c r="F534" t="s">
        <v>8</v>
      </c>
      <c r="G534" t="s">
        <v>14</v>
      </c>
      <c r="H534" t="s">
        <v>4431</v>
      </c>
      <c r="I534" t="s">
        <v>96</v>
      </c>
    </row>
    <row r="535" spans="1:9">
      <c r="A535" s="5">
        <v>45959</v>
      </c>
      <c r="B535" t="s">
        <v>399</v>
      </c>
      <c r="C535" s="1">
        <v>169500</v>
      </c>
      <c r="D535" s="1">
        <v>0</v>
      </c>
      <c r="E535" s="1">
        <f t="shared" si="8"/>
        <v>-4065347</v>
      </c>
      <c r="F535" t="s">
        <v>8</v>
      </c>
      <c r="G535" t="s">
        <v>14</v>
      </c>
      <c r="H535" t="s">
        <v>314</v>
      </c>
      <c r="I535" t="s">
        <v>97</v>
      </c>
    </row>
    <row r="536" spans="1:9">
      <c r="A536" s="5">
        <v>45959</v>
      </c>
      <c r="B536" t="s">
        <v>396</v>
      </c>
      <c r="C536" s="1">
        <v>148000</v>
      </c>
      <c r="D536" s="1">
        <v>0</v>
      </c>
      <c r="E536" s="1">
        <f t="shared" si="8"/>
        <v>-4213347</v>
      </c>
      <c r="F536" t="s">
        <v>8</v>
      </c>
      <c r="G536" t="s">
        <v>14</v>
      </c>
      <c r="H536" t="s">
        <v>314</v>
      </c>
      <c r="I536" t="s">
        <v>97</v>
      </c>
    </row>
    <row r="537" spans="1:9">
      <c r="A537" s="5">
        <v>45959</v>
      </c>
      <c r="B537" t="s">
        <v>399</v>
      </c>
      <c r="C537" s="1">
        <v>597000</v>
      </c>
      <c r="D537" s="1">
        <v>0</v>
      </c>
      <c r="E537" s="1">
        <f t="shared" si="8"/>
        <v>-4810347</v>
      </c>
      <c r="F537" t="s">
        <v>8</v>
      </c>
      <c r="G537" t="s">
        <v>14</v>
      </c>
      <c r="H537" t="s">
        <v>3137</v>
      </c>
      <c r="I537" t="s">
        <v>450</v>
      </c>
    </row>
    <row r="538" spans="1:9">
      <c r="A538" s="5">
        <v>45959</v>
      </c>
      <c r="B538" t="s">
        <v>396</v>
      </c>
      <c r="C538" s="1">
        <v>140000</v>
      </c>
      <c r="D538" s="1">
        <v>0</v>
      </c>
      <c r="E538" s="1">
        <f t="shared" si="8"/>
        <v>-4950347</v>
      </c>
      <c r="F538" t="s">
        <v>8</v>
      </c>
      <c r="G538" t="s">
        <v>14</v>
      </c>
      <c r="H538" t="s">
        <v>3137</v>
      </c>
      <c r="I538" t="s">
        <v>450</v>
      </c>
    </row>
    <row r="539" spans="1:9">
      <c r="A539" s="5">
        <v>45959</v>
      </c>
      <c r="B539" t="s">
        <v>4555</v>
      </c>
      <c r="C539" s="1">
        <v>387200</v>
      </c>
      <c r="D539" s="1">
        <v>0</v>
      </c>
      <c r="E539" s="1">
        <f t="shared" si="8"/>
        <v>-5337547</v>
      </c>
      <c r="F539" t="s">
        <v>8</v>
      </c>
      <c r="G539" t="s">
        <v>14</v>
      </c>
      <c r="H539" t="s">
        <v>2447</v>
      </c>
      <c r="I539" t="s">
        <v>57</v>
      </c>
    </row>
    <row r="540" spans="1:9">
      <c r="A540" s="5">
        <v>45959</v>
      </c>
      <c r="B540" t="s">
        <v>4556</v>
      </c>
      <c r="C540" s="1">
        <v>216804</v>
      </c>
      <c r="D540" s="1">
        <v>0</v>
      </c>
      <c r="E540" s="1">
        <f t="shared" si="8"/>
        <v>-5554351</v>
      </c>
      <c r="F540" t="s">
        <v>4</v>
      </c>
      <c r="G540" t="s">
        <v>5</v>
      </c>
      <c r="H540" t="s">
        <v>4080</v>
      </c>
      <c r="I540" t="s">
        <v>57</v>
      </c>
    </row>
    <row r="541" spans="1:9">
      <c r="A541" s="5">
        <v>45959</v>
      </c>
      <c r="B541" t="s">
        <v>4406</v>
      </c>
      <c r="C541" s="1">
        <v>107217</v>
      </c>
      <c r="D541" s="1">
        <v>0</v>
      </c>
      <c r="E541" s="1">
        <f t="shared" si="8"/>
        <v>-5661568</v>
      </c>
      <c r="F541" t="s">
        <v>62</v>
      </c>
      <c r="G541" t="s">
        <v>63</v>
      </c>
      <c r="H541" t="s">
        <v>308</v>
      </c>
      <c r="I541" t="s">
        <v>57</v>
      </c>
    </row>
    <row r="542" spans="1:9">
      <c r="A542" s="5">
        <v>45959</v>
      </c>
      <c r="B542" t="s">
        <v>4557</v>
      </c>
      <c r="C542" s="1">
        <v>140000</v>
      </c>
      <c r="D542" s="1">
        <v>0</v>
      </c>
      <c r="E542" s="1">
        <f t="shared" si="8"/>
        <v>-5801568</v>
      </c>
      <c r="F542" t="s">
        <v>62</v>
      </c>
      <c r="G542" t="s">
        <v>63</v>
      </c>
      <c r="I542" t="s">
        <v>1355</v>
      </c>
    </row>
    <row r="543" spans="1:9">
      <c r="A543" s="5">
        <v>45959</v>
      </c>
      <c r="B543" t="s">
        <v>4558</v>
      </c>
      <c r="C543" s="1">
        <v>115000</v>
      </c>
      <c r="D543" s="1">
        <v>0</v>
      </c>
      <c r="E543" s="1">
        <f t="shared" si="8"/>
        <v>-5916568</v>
      </c>
      <c r="F543" t="s">
        <v>21</v>
      </c>
      <c r="G543" t="s">
        <v>187</v>
      </c>
      <c r="I543" t="s">
        <v>57</v>
      </c>
    </row>
    <row r="544" spans="1:9">
      <c r="A544" s="5">
        <v>45966</v>
      </c>
      <c r="B544" t="s">
        <v>415</v>
      </c>
      <c r="C544" s="1">
        <v>0</v>
      </c>
      <c r="D544" s="1">
        <v>5916568</v>
      </c>
      <c r="E544" s="1">
        <f t="shared" si="8"/>
        <v>0</v>
      </c>
      <c r="F544" t="s">
        <v>920</v>
      </c>
      <c r="G544" t="s">
        <v>376</v>
      </c>
    </row>
    <row r="545" spans="1:9">
      <c r="A545" s="5">
        <v>45966</v>
      </c>
      <c r="B545" t="s">
        <v>4167</v>
      </c>
      <c r="C545" s="1">
        <v>0</v>
      </c>
      <c r="D545" s="1">
        <v>10000000</v>
      </c>
      <c r="E545" s="1">
        <f t="shared" si="8"/>
        <v>10000000</v>
      </c>
      <c r="F545" t="s">
        <v>920</v>
      </c>
      <c r="G545" t="s">
        <v>376</v>
      </c>
    </row>
    <row r="546" spans="1:9">
      <c r="A546" s="5">
        <v>45967</v>
      </c>
      <c r="B546" t="s">
        <v>5758</v>
      </c>
      <c r="C546" s="1">
        <v>500000</v>
      </c>
      <c r="D546" s="1">
        <v>0</v>
      </c>
      <c r="E546" s="1">
        <f t="shared" si="8"/>
        <v>9500000</v>
      </c>
      <c r="F546" t="s">
        <v>8</v>
      </c>
      <c r="G546" t="s">
        <v>14</v>
      </c>
      <c r="H546" t="s">
        <v>292</v>
      </c>
      <c r="I546" t="s">
        <v>292</v>
      </c>
    </row>
    <row r="547" spans="1:9">
      <c r="A547" s="5">
        <v>45967</v>
      </c>
      <c r="B547" t="s">
        <v>5759</v>
      </c>
      <c r="C547" s="1">
        <v>352092</v>
      </c>
      <c r="D547" s="1">
        <v>0</v>
      </c>
      <c r="E547" s="1">
        <f t="shared" si="8"/>
        <v>9147908</v>
      </c>
      <c r="F547" t="s">
        <v>8</v>
      </c>
      <c r="G547" t="s">
        <v>14</v>
      </c>
      <c r="H547" t="s">
        <v>292</v>
      </c>
      <c r="I547" t="s">
        <v>292</v>
      </c>
    </row>
    <row r="548" spans="1:9">
      <c r="A548" s="5">
        <v>45968</v>
      </c>
      <c r="B548" t="s">
        <v>1401</v>
      </c>
      <c r="C548" s="1">
        <v>200000</v>
      </c>
      <c r="D548" s="1">
        <v>0</v>
      </c>
      <c r="E548" s="1">
        <f t="shared" si="8"/>
        <v>8947908</v>
      </c>
      <c r="F548" t="s">
        <v>8</v>
      </c>
      <c r="G548" t="s">
        <v>181</v>
      </c>
      <c r="I548" t="s">
        <v>1355</v>
      </c>
    </row>
    <row r="549" spans="1:9">
      <c r="A549" s="5">
        <v>45968</v>
      </c>
      <c r="B549" t="s">
        <v>5760</v>
      </c>
      <c r="C549" s="1">
        <v>82000</v>
      </c>
      <c r="D549" s="1">
        <v>0</v>
      </c>
      <c r="E549" s="1">
        <f t="shared" si="8"/>
        <v>8865908</v>
      </c>
      <c r="F549" t="s">
        <v>62</v>
      </c>
      <c r="G549" t="s">
        <v>63</v>
      </c>
      <c r="H549" t="s">
        <v>308</v>
      </c>
      <c r="I549" t="s">
        <v>1355</v>
      </c>
    </row>
    <row r="550" spans="1:9">
      <c r="A550" s="5">
        <v>45968</v>
      </c>
      <c r="B550" t="s">
        <v>5761</v>
      </c>
      <c r="C550" s="1">
        <v>100000</v>
      </c>
      <c r="D550" s="1">
        <v>0</v>
      </c>
      <c r="E550" s="1">
        <f t="shared" si="8"/>
        <v>8765908</v>
      </c>
      <c r="F550" t="s">
        <v>8</v>
      </c>
      <c r="G550" t="s">
        <v>78</v>
      </c>
      <c r="I550" t="s">
        <v>1355</v>
      </c>
    </row>
    <row r="551" spans="1:9">
      <c r="A551" s="5">
        <v>45968</v>
      </c>
      <c r="B551" t="s">
        <v>5762</v>
      </c>
      <c r="C551" s="1">
        <v>148200</v>
      </c>
      <c r="D551" s="1">
        <v>0</v>
      </c>
      <c r="E551" s="1">
        <f t="shared" si="8"/>
        <v>8617708</v>
      </c>
      <c r="F551" t="s">
        <v>8</v>
      </c>
      <c r="G551" t="s">
        <v>181</v>
      </c>
      <c r="I551" t="s">
        <v>1355</v>
      </c>
    </row>
    <row r="552" spans="1:9">
      <c r="A552" s="5">
        <v>45967</v>
      </c>
      <c r="B552" t="s">
        <v>5763</v>
      </c>
      <c r="C552" s="11">
        <v>120000</v>
      </c>
      <c r="D552" s="11">
        <v>0</v>
      </c>
      <c r="E552" s="1">
        <f t="shared" si="8"/>
        <v>8497708</v>
      </c>
      <c r="F552" t="s">
        <v>10</v>
      </c>
      <c r="G552" t="s">
        <v>446</v>
      </c>
      <c r="H552" t="s">
        <v>4631</v>
      </c>
      <c r="I552" t="s">
        <v>26</v>
      </c>
    </row>
    <row r="553" spans="1:9">
      <c r="A553" s="5">
        <v>45971</v>
      </c>
      <c r="B553" t="s">
        <v>5764</v>
      </c>
      <c r="C553" s="1">
        <v>376000</v>
      </c>
      <c r="D553" s="1">
        <v>0</v>
      </c>
      <c r="E553" s="1">
        <f t="shared" si="8"/>
        <v>8121708</v>
      </c>
      <c r="F553" t="s">
        <v>8</v>
      </c>
      <c r="G553" t="s">
        <v>14</v>
      </c>
      <c r="H553" t="s">
        <v>4431</v>
      </c>
      <c r="I553" t="s">
        <v>96</v>
      </c>
    </row>
    <row r="554" spans="1:9">
      <c r="A554" s="5">
        <v>45971</v>
      </c>
      <c r="B554" t="s">
        <v>396</v>
      </c>
      <c r="C554" s="1">
        <v>65000</v>
      </c>
      <c r="D554" s="1">
        <v>0</v>
      </c>
      <c r="E554" s="1">
        <f t="shared" si="8"/>
        <v>8056708</v>
      </c>
      <c r="F554" t="s">
        <v>8</v>
      </c>
      <c r="G554" t="s">
        <v>14</v>
      </c>
      <c r="H554" t="s">
        <v>4431</v>
      </c>
      <c r="I554" t="s">
        <v>96</v>
      </c>
    </row>
    <row r="555" spans="1:9">
      <c r="A555" s="5">
        <v>45968</v>
      </c>
      <c r="B555" t="s">
        <v>4523</v>
      </c>
      <c r="C555" s="1">
        <v>501000</v>
      </c>
      <c r="D555" s="1">
        <v>0</v>
      </c>
      <c r="E555" s="1">
        <f t="shared" si="8"/>
        <v>7555708</v>
      </c>
      <c r="F555" t="s">
        <v>8</v>
      </c>
      <c r="G555" t="s">
        <v>14</v>
      </c>
      <c r="H555" t="s">
        <v>308</v>
      </c>
      <c r="I555" t="s">
        <v>5765</v>
      </c>
    </row>
    <row r="556" spans="1:9">
      <c r="A556" s="5">
        <v>45968</v>
      </c>
      <c r="B556" t="s">
        <v>5766</v>
      </c>
      <c r="C556" s="1">
        <v>115710</v>
      </c>
      <c r="D556" s="1">
        <v>0</v>
      </c>
      <c r="E556" s="1">
        <f t="shared" si="8"/>
        <v>7439998</v>
      </c>
      <c r="F556" t="s">
        <v>21</v>
      </c>
      <c r="G556" t="s">
        <v>187</v>
      </c>
      <c r="I556" t="s">
        <v>59</v>
      </c>
    </row>
    <row r="557" spans="1:9">
      <c r="A557" s="5">
        <v>45968</v>
      </c>
      <c r="B557" t="s">
        <v>5767</v>
      </c>
      <c r="C557" s="1">
        <v>313229</v>
      </c>
      <c r="D557" s="1">
        <v>0</v>
      </c>
      <c r="E557" s="1">
        <f t="shared" si="8"/>
        <v>7126769</v>
      </c>
      <c r="F557" t="s">
        <v>21</v>
      </c>
      <c r="G557" t="s">
        <v>187</v>
      </c>
      <c r="H557" t="s">
        <v>270</v>
      </c>
      <c r="I557" t="s">
        <v>59</v>
      </c>
    </row>
    <row r="558" spans="1:9">
      <c r="A558" s="5">
        <v>45968</v>
      </c>
      <c r="B558" t="s">
        <v>5768</v>
      </c>
      <c r="C558" s="11">
        <v>345000</v>
      </c>
      <c r="D558" s="11">
        <v>0</v>
      </c>
      <c r="E558" s="1">
        <f t="shared" si="8"/>
        <v>6781769</v>
      </c>
      <c r="F558" t="s">
        <v>10</v>
      </c>
      <c r="G558" t="s">
        <v>446</v>
      </c>
      <c r="H558" t="s">
        <v>4631</v>
      </c>
      <c r="I558" t="s">
        <v>26</v>
      </c>
    </row>
    <row r="559" spans="1:9">
      <c r="A559" s="5">
        <v>45968</v>
      </c>
      <c r="B559" t="s">
        <v>5769</v>
      </c>
      <c r="C559" s="1">
        <v>296786</v>
      </c>
      <c r="D559" s="1">
        <v>0</v>
      </c>
      <c r="E559" s="1">
        <f t="shared" si="8"/>
        <v>6484983</v>
      </c>
      <c r="F559" t="s">
        <v>21</v>
      </c>
      <c r="G559" t="s">
        <v>187</v>
      </c>
      <c r="H559" t="s">
        <v>270</v>
      </c>
      <c r="I559" t="s">
        <v>59</v>
      </c>
    </row>
    <row r="560" spans="1:9">
      <c r="A560" s="5">
        <v>45968</v>
      </c>
      <c r="B560" t="s">
        <v>5770</v>
      </c>
      <c r="C560" s="1">
        <v>44000</v>
      </c>
      <c r="D560" s="1">
        <v>0</v>
      </c>
      <c r="E560" s="1">
        <f t="shared" si="8"/>
        <v>6440983</v>
      </c>
      <c r="F560" t="s">
        <v>62</v>
      </c>
      <c r="G560" t="s">
        <v>63</v>
      </c>
      <c r="H560" t="s">
        <v>5771</v>
      </c>
      <c r="I560" t="s">
        <v>57</v>
      </c>
    </row>
    <row r="561" spans="1:9">
      <c r="A561" s="5">
        <v>45968</v>
      </c>
      <c r="B561" t="s">
        <v>5772</v>
      </c>
      <c r="C561" s="1">
        <v>300000</v>
      </c>
      <c r="D561" s="1">
        <v>0</v>
      </c>
      <c r="E561" s="1">
        <f t="shared" si="8"/>
        <v>6140983</v>
      </c>
      <c r="F561" t="s">
        <v>8</v>
      </c>
      <c r="G561" t="s">
        <v>78</v>
      </c>
      <c r="H561" t="s">
        <v>2447</v>
      </c>
      <c r="I561" t="s">
        <v>57</v>
      </c>
    </row>
    <row r="562" spans="1:9">
      <c r="A562" s="5">
        <v>45969</v>
      </c>
      <c r="B562" t="s">
        <v>5773</v>
      </c>
      <c r="C562" s="1">
        <v>361752</v>
      </c>
      <c r="D562" s="1">
        <v>0</v>
      </c>
      <c r="E562" s="1">
        <f t="shared" si="8"/>
        <v>5779231</v>
      </c>
      <c r="F562" t="s">
        <v>8</v>
      </c>
      <c r="G562" t="s">
        <v>31</v>
      </c>
      <c r="H562" t="s">
        <v>308</v>
      </c>
      <c r="I562" t="s">
        <v>57</v>
      </c>
    </row>
    <row r="563" spans="1:9">
      <c r="A563" s="5">
        <v>45972</v>
      </c>
      <c r="B563" t="s">
        <v>5774</v>
      </c>
      <c r="C563" s="1">
        <v>153000</v>
      </c>
      <c r="D563" s="1">
        <v>0</v>
      </c>
      <c r="E563" s="1">
        <f t="shared" si="8"/>
        <v>5626231</v>
      </c>
      <c r="F563" t="s">
        <v>10</v>
      </c>
      <c r="G563" t="s">
        <v>446</v>
      </c>
      <c r="H563" t="s">
        <v>4096</v>
      </c>
      <c r="I563" t="s">
        <v>26</v>
      </c>
    </row>
    <row r="564" spans="1:9">
      <c r="A564" s="5">
        <v>45973</v>
      </c>
      <c r="B564" t="s">
        <v>5775</v>
      </c>
      <c r="C564" s="1">
        <v>137837</v>
      </c>
      <c r="D564" s="1">
        <v>0</v>
      </c>
      <c r="E564" s="1">
        <f t="shared" si="8"/>
        <v>5488394</v>
      </c>
      <c r="F564" t="s">
        <v>4</v>
      </c>
      <c r="G564" t="s">
        <v>5</v>
      </c>
      <c r="H564" t="s">
        <v>4080</v>
      </c>
      <c r="I564" t="s">
        <v>59</v>
      </c>
    </row>
    <row r="565" spans="1:9">
      <c r="A565" s="5">
        <v>45973</v>
      </c>
      <c r="B565" t="s">
        <v>5776</v>
      </c>
      <c r="C565" s="1">
        <v>137837</v>
      </c>
      <c r="D565" s="1">
        <v>0</v>
      </c>
      <c r="E565" s="1">
        <f t="shared" si="8"/>
        <v>5350557</v>
      </c>
      <c r="F565" t="s">
        <v>4</v>
      </c>
      <c r="G565" t="s">
        <v>5</v>
      </c>
      <c r="H565" t="s">
        <v>4080</v>
      </c>
      <c r="I565" t="s">
        <v>59</v>
      </c>
    </row>
    <row r="566" spans="1:9">
      <c r="A566" s="5">
        <v>45973</v>
      </c>
      <c r="B566" t="s">
        <v>5777</v>
      </c>
      <c r="C566" s="1">
        <v>366000</v>
      </c>
      <c r="D566" s="1">
        <v>0</v>
      </c>
      <c r="E566" s="1">
        <f t="shared" si="8"/>
        <v>4984557</v>
      </c>
      <c r="F566" t="s">
        <v>21</v>
      </c>
      <c r="G566" t="s">
        <v>187</v>
      </c>
      <c r="H566" t="s">
        <v>445</v>
      </c>
      <c r="I566" t="s">
        <v>445</v>
      </c>
    </row>
    <row r="567" spans="1:9">
      <c r="A567" s="5">
        <v>45974</v>
      </c>
      <c r="B567" t="s">
        <v>5764</v>
      </c>
      <c r="C567" s="1">
        <v>610000</v>
      </c>
      <c r="D567" s="1">
        <v>0</v>
      </c>
      <c r="E567" s="1">
        <f t="shared" si="8"/>
        <v>4374557</v>
      </c>
      <c r="F567" t="s">
        <v>8</v>
      </c>
      <c r="G567" t="s">
        <v>14</v>
      </c>
      <c r="H567" t="s">
        <v>3137</v>
      </c>
      <c r="I567" t="s">
        <v>450</v>
      </c>
    </row>
    <row r="568" spans="1:9" s="40" customFormat="1">
      <c r="A568" s="218">
        <v>45975</v>
      </c>
      <c r="B568" s="40" t="s">
        <v>5778</v>
      </c>
      <c r="C568" s="41">
        <v>414800</v>
      </c>
      <c r="D568" s="41">
        <v>0</v>
      </c>
      <c r="E568" s="1">
        <f t="shared" si="8"/>
        <v>3959757</v>
      </c>
      <c r="F568" s="40" t="s">
        <v>4</v>
      </c>
      <c r="G568" s="40" t="s">
        <v>5</v>
      </c>
      <c r="H568" s="40" t="s">
        <v>5779</v>
      </c>
      <c r="I568" s="40" t="s">
        <v>26</v>
      </c>
    </row>
    <row r="569" spans="1:9">
      <c r="A569" s="5">
        <v>45975</v>
      </c>
      <c r="B569" t="s">
        <v>5780</v>
      </c>
      <c r="C569" s="1">
        <v>80000</v>
      </c>
      <c r="D569" s="1">
        <v>0</v>
      </c>
      <c r="E569" s="1">
        <f t="shared" si="8"/>
        <v>3879757</v>
      </c>
      <c r="F569" t="s">
        <v>8</v>
      </c>
      <c r="G569" t="s">
        <v>181</v>
      </c>
      <c r="I569" t="s">
        <v>1355</v>
      </c>
    </row>
    <row r="570" spans="1:9">
      <c r="A570" s="5">
        <v>45975</v>
      </c>
      <c r="B570" t="s">
        <v>5781</v>
      </c>
      <c r="C570" s="1">
        <v>90000</v>
      </c>
      <c r="D570" s="1">
        <v>0</v>
      </c>
      <c r="E570" s="1">
        <f t="shared" si="8"/>
        <v>3789757</v>
      </c>
      <c r="F570" t="s">
        <v>8</v>
      </c>
      <c r="G570" t="s">
        <v>181</v>
      </c>
      <c r="I570" t="s">
        <v>1355</v>
      </c>
    </row>
    <row r="571" spans="1:9">
      <c r="A571" s="5">
        <v>45975</v>
      </c>
      <c r="B571" t="s">
        <v>5782</v>
      </c>
      <c r="C571" s="1">
        <v>120000</v>
      </c>
      <c r="D571" s="1">
        <v>0</v>
      </c>
      <c r="E571" s="1">
        <f t="shared" si="8"/>
        <v>3669757</v>
      </c>
      <c r="F571" t="s">
        <v>62</v>
      </c>
      <c r="G571" t="s">
        <v>63</v>
      </c>
      <c r="H571" t="s">
        <v>5783</v>
      </c>
      <c r="I571" t="s">
        <v>1355</v>
      </c>
    </row>
    <row r="572" spans="1:9">
      <c r="A572" s="5">
        <v>45975</v>
      </c>
      <c r="B572" t="s">
        <v>5784</v>
      </c>
      <c r="C572" s="11">
        <v>125000</v>
      </c>
      <c r="D572" s="11">
        <v>0</v>
      </c>
      <c r="E572" s="1">
        <f t="shared" si="8"/>
        <v>3544757</v>
      </c>
      <c r="F572" t="s">
        <v>10</v>
      </c>
      <c r="G572" t="s">
        <v>446</v>
      </c>
      <c r="H572" t="s">
        <v>4631</v>
      </c>
      <c r="I572" t="s">
        <v>26</v>
      </c>
    </row>
    <row r="573" spans="1:9">
      <c r="A573" s="5">
        <v>45975</v>
      </c>
      <c r="B573" t="s">
        <v>5785</v>
      </c>
      <c r="C573" s="11">
        <v>274300</v>
      </c>
      <c r="D573" s="11">
        <v>0</v>
      </c>
      <c r="E573" s="1">
        <f t="shared" si="8"/>
        <v>3270457</v>
      </c>
      <c r="F573" t="s">
        <v>10</v>
      </c>
      <c r="G573" t="s">
        <v>446</v>
      </c>
      <c r="H573" t="s">
        <v>4631</v>
      </c>
      <c r="I573" t="s">
        <v>26</v>
      </c>
    </row>
    <row r="574" spans="1:9">
      <c r="A574" s="5">
        <v>45979</v>
      </c>
      <c r="B574" t="s">
        <v>5786</v>
      </c>
      <c r="C574" s="1">
        <v>140000</v>
      </c>
      <c r="D574" s="1">
        <v>0</v>
      </c>
      <c r="E574" s="1">
        <f t="shared" si="8"/>
        <v>3130457</v>
      </c>
      <c r="F574" t="s">
        <v>4</v>
      </c>
      <c r="G574" t="s">
        <v>5</v>
      </c>
      <c r="H574" t="s">
        <v>4080</v>
      </c>
      <c r="I574" t="s">
        <v>55</v>
      </c>
    </row>
    <row r="575" spans="1:9">
      <c r="A575" s="5">
        <v>45979</v>
      </c>
      <c r="B575" t="s">
        <v>5787</v>
      </c>
      <c r="C575" s="11">
        <v>200000</v>
      </c>
      <c r="D575" s="11">
        <v>0</v>
      </c>
      <c r="E575" s="1">
        <f t="shared" si="8"/>
        <v>2930457</v>
      </c>
      <c r="F575" t="s">
        <v>10</v>
      </c>
      <c r="G575" t="s">
        <v>446</v>
      </c>
      <c r="H575" t="s">
        <v>4631</v>
      </c>
      <c r="I575" t="s">
        <v>26</v>
      </c>
    </row>
    <row r="576" spans="1:9">
      <c r="A576" s="5">
        <v>45979</v>
      </c>
      <c r="B576" t="s">
        <v>5788</v>
      </c>
      <c r="C576" s="11">
        <v>40000</v>
      </c>
      <c r="D576" s="11">
        <v>0</v>
      </c>
      <c r="E576" s="1">
        <f t="shared" si="8"/>
        <v>2890457</v>
      </c>
      <c r="F576" t="s">
        <v>10</v>
      </c>
      <c r="G576" t="s">
        <v>446</v>
      </c>
      <c r="H576" t="s">
        <v>4631</v>
      </c>
      <c r="I576" t="s">
        <v>26</v>
      </c>
    </row>
    <row r="577" spans="1:9">
      <c r="A577" s="5">
        <v>45979</v>
      </c>
      <c r="B577" t="s">
        <v>4523</v>
      </c>
      <c r="C577" s="1">
        <v>501000</v>
      </c>
      <c r="D577" s="1">
        <v>0</v>
      </c>
      <c r="E577" s="1">
        <f t="shared" si="8"/>
        <v>2389457</v>
      </c>
      <c r="F577" t="s">
        <v>8</v>
      </c>
      <c r="G577" t="s">
        <v>14</v>
      </c>
      <c r="H577" t="s">
        <v>308</v>
      </c>
      <c r="I577" t="s">
        <v>5765</v>
      </c>
    </row>
    <row r="578" spans="1:9">
      <c r="A578" s="5">
        <v>45979</v>
      </c>
      <c r="B578" t="s">
        <v>5789</v>
      </c>
      <c r="C578" s="1">
        <v>228000</v>
      </c>
      <c r="D578" s="1">
        <v>0</v>
      </c>
      <c r="E578" s="1">
        <f t="shared" si="8"/>
        <v>2161457</v>
      </c>
      <c r="F578" t="s">
        <v>62</v>
      </c>
      <c r="G578" t="s">
        <v>63</v>
      </c>
      <c r="H578" t="s">
        <v>1436</v>
      </c>
      <c r="I578" t="s">
        <v>57</v>
      </c>
    </row>
    <row r="579" spans="1:9">
      <c r="A579" s="5">
        <v>45981</v>
      </c>
      <c r="B579" t="s">
        <v>5790</v>
      </c>
      <c r="C579" s="1">
        <v>500000</v>
      </c>
      <c r="D579" s="1">
        <v>0</v>
      </c>
      <c r="E579" s="1">
        <f t="shared" si="8"/>
        <v>1661457</v>
      </c>
      <c r="F579" t="s">
        <v>8</v>
      </c>
      <c r="G579" t="s">
        <v>240</v>
      </c>
      <c r="I579" t="s">
        <v>59</v>
      </c>
    </row>
    <row r="580" spans="1:9">
      <c r="A580" s="5">
        <v>45981</v>
      </c>
      <c r="B580" t="s">
        <v>5791</v>
      </c>
      <c r="C580" s="1">
        <v>63128</v>
      </c>
      <c r="D580" s="1">
        <v>0</v>
      </c>
      <c r="E580" s="1">
        <f t="shared" si="8"/>
        <v>1598329</v>
      </c>
      <c r="F580" t="s">
        <v>8</v>
      </c>
      <c r="G580" t="s">
        <v>183</v>
      </c>
      <c r="I580" t="s">
        <v>59</v>
      </c>
    </row>
    <row r="581" spans="1:9">
      <c r="A581" s="5">
        <v>45981</v>
      </c>
      <c r="B581" t="s">
        <v>5764</v>
      </c>
      <c r="C581" s="1">
        <v>333500</v>
      </c>
      <c r="D581" s="1">
        <v>0</v>
      </c>
      <c r="E581" s="1">
        <f t="shared" si="8"/>
        <v>1264829</v>
      </c>
      <c r="F581" t="s">
        <v>8</v>
      </c>
      <c r="G581" t="s">
        <v>14</v>
      </c>
      <c r="H581" t="s">
        <v>4431</v>
      </c>
      <c r="I581" t="s">
        <v>96</v>
      </c>
    </row>
    <row r="582" spans="1:9">
      <c r="A582" s="5">
        <v>45981</v>
      </c>
      <c r="B582" t="s">
        <v>5792</v>
      </c>
      <c r="C582" s="1">
        <v>30000</v>
      </c>
      <c r="D582" s="1">
        <v>0</v>
      </c>
      <c r="E582" s="1">
        <f t="shared" ref="E582:E630" si="9">E581-C582+D582</f>
        <v>1234829</v>
      </c>
      <c r="F582" t="s">
        <v>8</v>
      </c>
      <c r="G582" t="s">
        <v>14</v>
      </c>
      <c r="H582" t="s">
        <v>4431</v>
      </c>
      <c r="I582" t="s">
        <v>96</v>
      </c>
    </row>
    <row r="583" spans="1:9">
      <c r="A583" s="5">
        <v>45981</v>
      </c>
      <c r="B583" t="s">
        <v>5764</v>
      </c>
      <c r="C583" s="1">
        <v>385500</v>
      </c>
      <c r="D583" s="1">
        <v>0</v>
      </c>
      <c r="E583" s="1">
        <f t="shared" si="9"/>
        <v>849329</v>
      </c>
      <c r="F583" t="s">
        <v>8</v>
      </c>
      <c r="G583" t="s">
        <v>14</v>
      </c>
      <c r="H583" t="s">
        <v>314</v>
      </c>
      <c r="I583" t="s">
        <v>97</v>
      </c>
    </row>
    <row r="584" spans="1:9">
      <c r="A584" s="5">
        <v>45981</v>
      </c>
      <c r="B584" t="s">
        <v>396</v>
      </c>
      <c r="C584" s="1">
        <v>41000</v>
      </c>
      <c r="D584" s="1">
        <v>0</v>
      </c>
      <c r="E584" s="1">
        <f t="shared" si="9"/>
        <v>808329</v>
      </c>
      <c r="F584" t="s">
        <v>8</v>
      </c>
      <c r="G584" t="s">
        <v>14</v>
      </c>
      <c r="H584" t="s">
        <v>314</v>
      </c>
      <c r="I584" t="s">
        <v>97</v>
      </c>
    </row>
    <row r="585" spans="1:9">
      <c r="A585" s="5">
        <v>45986</v>
      </c>
      <c r="B585" t="s">
        <v>5793</v>
      </c>
      <c r="C585" s="1">
        <v>439988</v>
      </c>
      <c r="D585" s="1">
        <v>0</v>
      </c>
      <c r="E585" s="1">
        <f t="shared" si="9"/>
        <v>368341</v>
      </c>
      <c r="F585" t="s">
        <v>8</v>
      </c>
      <c r="G585" t="s">
        <v>31</v>
      </c>
      <c r="H585" t="s">
        <v>308</v>
      </c>
      <c r="I585" t="s">
        <v>57</v>
      </c>
    </row>
    <row r="586" spans="1:9">
      <c r="A586" s="5">
        <v>45988</v>
      </c>
      <c r="B586" t="s">
        <v>5764</v>
      </c>
      <c r="C586" s="1">
        <v>266500</v>
      </c>
      <c r="D586" s="1">
        <v>0</v>
      </c>
      <c r="E586" s="1">
        <f t="shared" si="9"/>
        <v>101841</v>
      </c>
      <c r="F586" t="s">
        <v>8</v>
      </c>
      <c r="G586" t="s">
        <v>14</v>
      </c>
      <c r="H586" t="s">
        <v>4431</v>
      </c>
      <c r="I586" t="s">
        <v>96</v>
      </c>
    </row>
    <row r="587" spans="1:9">
      <c r="A587" s="5">
        <v>45988</v>
      </c>
      <c r="B587" t="s">
        <v>396</v>
      </c>
      <c r="C587" s="1">
        <v>45000</v>
      </c>
      <c r="D587" s="1">
        <v>0</v>
      </c>
      <c r="E587" s="1">
        <f t="shared" si="9"/>
        <v>56841</v>
      </c>
      <c r="F587" t="s">
        <v>8</v>
      </c>
      <c r="G587" t="s">
        <v>14</v>
      </c>
      <c r="H587" t="s">
        <v>4431</v>
      </c>
      <c r="I587" t="s">
        <v>96</v>
      </c>
    </row>
    <row r="588" spans="1:9">
      <c r="A588" s="5">
        <v>45989</v>
      </c>
      <c r="B588" t="s">
        <v>4655</v>
      </c>
      <c r="C588" s="1">
        <v>56841</v>
      </c>
      <c r="D588" s="1">
        <v>0</v>
      </c>
      <c r="E588" s="1">
        <f t="shared" si="9"/>
        <v>0</v>
      </c>
      <c r="F588" t="s">
        <v>920</v>
      </c>
      <c r="G588" t="s">
        <v>377</v>
      </c>
    </row>
    <row r="589" spans="1:9" ht="15.75">
      <c r="A589" s="13">
        <v>45992</v>
      </c>
      <c r="B589" s="8" t="s">
        <v>5904</v>
      </c>
      <c r="C589" s="14">
        <v>0</v>
      </c>
      <c r="D589" s="14">
        <v>10000000</v>
      </c>
      <c r="E589" s="1">
        <f t="shared" si="9"/>
        <v>10000000</v>
      </c>
      <c r="F589" s="80" t="s">
        <v>920</v>
      </c>
      <c r="G589" s="80" t="s">
        <v>376</v>
      </c>
    </row>
    <row r="590" spans="1:9" ht="15.75">
      <c r="A590" s="13">
        <v>45992</v>
      </c>
      <c r="B590" s="8" t="s">
        <v>4523</v>
      </c>
      <c r="C590" s="54">
        <v>501000</v>
      </c>
      <c r="D590" s="54">
        <v>0</v>
      </c>
      <c r="E590" s="1">
        <f t="shared" si="9"/>
        <v>9499000</v>
      </c>
      <c r="F590" s="80" t="s">
        <v>8</v>
      </c>
      <c r="G590" s="80" t="s">
        <v>14</v>
      </c>
      <c r="H590" t="s">
        <v>4431</v>
      </c>
      <c r="I590" t="s">
        <v>96</v>
      </c>
    </row>
    <row r="591" spans="1:9" ht="15.75">
      <c r="A591" s="13">
        <v>45993</v>
      </c>
      <c r="B591" s="8" t="s">
        <v>6542</v>
      </c>
      <c r="C591" s="54">
        <v>160000</v>
      </c>
      <c r="D591" s="54">
        <v>0</v>
      </c>
      <c r="E591" s="1">
        <f t="shared" si="9"/>
        <v>9339000</v>
      </c>
      <c r="F591" s="80" t="s">
        <v>8</v>
      </c>
      <c r="G591" s="80" t="s">
        <v>181</v>
      </c>
      <c r="I591" t="s">
        <v>1355</v>
      </c>
    </row>
    <row r="592" spans="1:9" ht="15.75">
      <c r="A592" s="13">
        <v>45993</v>
      </c>
      <c r="B592" s="8" t="s">
        <v>6543</v>
      </c>
      <c r="C592" s="54">
        <v>157500</v>
      </c>
      <c r="D592" s="54">
        <v>0</v>
      </c>
      <c r="E592" s="1">
        <f t="shared" si="9"/>
        <v>9181500</v>
      </c>
      <c r="F592" s="80" t="s">
        <v>8</v>
      </c>
      <c r="G592" s="80" t="s">
        <v>181</v>
      </c>
      <c r="I592" t="s">
        <v>1355</v>
      </c>
    </row>
    <row r="593" spans="1:9" ht="15.75">
      <c r="A593" s="13">
        <v>45993</v>
      </c>
      <c r="B593" s="8" t="s">
        <v>6544</v>
      </c>
      <c r="C593" s="54">
        <v>35000</v>
      </c>
      <c r="D593" s="54">
        <v>0</v>
      </c>
      <c r="E593" s="1">
        <f t="shared" si="9"/>
        <v>9146500</v>
      </c>
      <c r="F593" s="80" t="s">
        <v>8</v>
      </c>
      <c r="G593" s="80" t="s">
        <v>183</v>
      </c>
      <c r="I593" t="s">
        <v>1355</v>
      </c>
    </row>
    <row r="594" spans="1:9" ht="15.75">
      <c r="A594" s="13">
        <v>45993</v>
      </c>
      <c r="B594" s="8" t="s">
        <v>6545</v>
      </c>
      <c r="C594" s="54">
        <v>35000</v>
      </c>
      <c r="D594" s="54">
        <v>0</v>
      </c>
      <c r="E594" s="1">
        <f t="shared" si="9"/>
        <v>9111500</v>
      </c>
      <c r="F594" s="80" t="s">
        <v>21</v>
      </c>
      <c r="G594" s="80" t="s">
        <v>187</v>
      </c>
      <c r="H594" t="s">
        <v>6546</v>
      </c>
      <c r="I594" t="s">
        <v>1355</v>
      </c>
    </row>
    <row r="595" spans="1:9" ht="15.75">
      <c r="A595" s="13">
        <v>45993</v>
      </c>
      <c r="B595" s="8" t="s">
        <v>5764</v>
      </c>
      <c r="C595" s="54">
        <v>483000</v>
      </c>
      <c r="D595" s="54">
        <v>0</v>
      </c>
      <c r="E595" s="1">
        <f t="shared" si="9"/>
        <v>8628500</v>
      </c>
      <c r="F595" s="80" t="s">
        <v>8</v>
      </c>
      <c r="G595" s="80" t="s">
        <v>14</v>
      </c>
      <c r="H595" t="s">
        <v>3137</v>
      </c>
      <c r="I595" t="s">
        <v>450</v>
      </c>
    </row>
    <row r="596" spans="1:9" ht="15.75">
      <c r="A596" s="13">
        <v>45993</v>
      </c>
      <c r="B596" s="8" t="s">
        <v>5792</v>
      </c>
      <c r="C596" s="54">
        <v>110000</v>
      </c>
      <c r="D596" s="54">
        <v>0</v>
      </c>
      <c r="E596" s="1">
        <f t="shared" si="9"/>
        <v>8518500</v>
      </c>
      <c r="F596" s="80" t="s">
        <v>8</v>
      </c>
      <c r="G596" s="80" t="s">
        <v>14</v>
      </c>
      <c r="H596" t="s">
        <v>3137</v>
      </c>
      <c r="I596" t="s">
        <v>450</v>
      </c>
    </row>
    <row r="597" spans="1:9" ht="15.75">
      <c r="A597" s="13">
        <v>45993</v>
      </c>
      <c r="B597" s="8" t="s">
        <v>6547</v>
      </c>
      <c r="C597" s="54">
        <v>500000</v>
      </c>
      <c r="D597" s="54">
        <v>0</v>
      </c>
      <c r="E597" s="1">
        <f t="shared" si="9"/>
        <v>8018500</v>
      </c>
      <c r="F597" s="80" t="s">
        <v>8</v>
      </c>
      <c r="G597" s="80" t="s">
        <v>14</v>
      </c>
      <c r="I597" t="s">
        <v>292</v>
      </c>
    </row>
    <row r="598" spans="1:9" ht="15.75">
      <c r="A598" s="13">
        <v>45993</v>
      </c>
      <c r="B598" s="8" t="s">
        <v>6548</v>
      </c>
      <c r="C598" s="54">
        <v>343550</v>
      </c>
      <c r="D598" s="54">
        <v>0</v>
      </c>
      <c r="E598" s="1">
        <f t="shared" si="9"/>
        <v>7674950</v>
      </c>
      <c r="F598" s="80" t="s">
        <v>8</v>
      </c>
      <c r="G598" s="80" t="s">
        <v>14</v>
      </c>
      <c r="I598" t="s">
        <v>292</v>
      </c>
    </row>
    <row r="599" spans="1:9" ht="15.75">
      <c r="A599" s="13">
        <v>45993</v>
      </c>
      <c r="B599" s="8" t="s">
        <v>5164</v>
      </c>
      <c r="C599" s="54">
        <v>41000</v>
      </c>
      <c r="D599" s="54">
        <v>0</v>
      </c>
      <c r="E599" s="1">
        <f t="shared" si="9"/>
        <v>7633950</v>
      </c>
      <c r="F599" s="80" t="s">
        <v>8</v>
      </c>
      <c r="G599" s="80" t="s">
        <v>14</v>
      </c>
      <c r="I599" t="s">
        <v>292</v>
      </c>
    </row>
    <row r="600" spans="1:9" ht="15.75">
      <c r="A600" s="13">
        <v>45993</v>
      </c>
      <c r="B600" s="8" t="s">
        <v>6549</v>
      </c>
      <c r="C600" s="54">
        <v>181685</v>
      </c>
      <c r="D600" s="54">
        <v>0</v>
      </c>
      <c r="E600" s="1">
        <f t="shared" si="9"/>
        <v>7452265</v>
      </c>
      <c r="F600" s="80" t="s">
        <v>21</v>
      </c>
      <c r="G600" s="80" t="s">
        <v>187</v>
      </c>
      <c r="I600" t="s">
        <v>292</v>
      </c>
    </row>
    <row r="601" spans="1:9" ht="15.75">
      <c r="A601" s="13">
        <v>45993</v>
      </c>
      <c r="B601" s="8" t="s">
        <v>6550</v>
      </c>
      <c r="C601" s="54">
        <v>137837</v>
      </c>
      <c r="D601" s="54">
        <v>0</v>
      </c>
      <c r="E601" s="1">
        <f t="shared" si="9"/>
        <v>7314428</v>
      </c>
      <c r="F601" s="80" t="s">
        <v>4</v>
      </c>
      <c r="G601" s="80" t="s">
        <v>5</v>
      </c>
      <c r="H601" t="s">
        <v>4080</v>
      </c>
      <c r="I601" t="s">
        <v>292</v>
      </c>
    </row>
    <row r="602" spans="1:9" ht="15.75">
      <c r="A602" s="13">
        <v>45993</v>
      </c>
      <c r="B602" s="8" t="s">
        <v>6551</v>
      </c>
      <c r="C602" s="54">
        <v>130834</v>
      </c>
      <c r="D602" s="54">
        <v>0</v>
      </c>
      <c r="E602" s="1">
        <f t="shared" si="9"/>
        <v>7183594</v>
      </c>
      <c r="F602" t="s">
        <v>10</v>
      </c>
      <c r="G602" t="s">
        <v>446</v>
      </c>
      <c r="H602" t="s">
        <v>4631</v>
      </c>
      <c r="I602" t="s">
        <v>292</v>
      </c>
    </row>
    <row r="603" spans="1:9" ht="15.75">
      <c r="A603" s="13">
        <v>45993</v>
      </c>
      <c r="B603" s="8" t="s">
        <v>6552</v>
      </c>
      <c r="C603" s="54">
        <v>82723</v>
      </c>
      <c r="D603" s="54">
        <v>0</v>
      </c>
      <c r="E603" s="1">
        <f t="shared" si="9"/>
        <v>7100871</v>
      </c>
      <c r="F603" s="80" t="s">
        <v>4</v>
      </c>
      <c r="G603" s="80" t="s">
        <v>5</v>
      </c>
      <c r="H603" t="s">
        <v>4098</v>
      </c>
      <c r="I603" t="s">
        <v>292</v>
      </c>
    </row>
    <row r="604" spans="1:9" ht="15.75">
      <c r="A604" s="13">
        <v>45999</v>
      </c>
      <c r="B604" s="8" t="s">
        <v>6553</v>
      </c>
      <c r="C604" s="54">
        <v>537000</v>
      </c>
      <c r="D604" s="54">
        <v>0</v>
      </c>
      <c r="E604" s="1">
        <f t="shared" si="9"/>
        <v>6563871</v>
      </c>
      <c r="F604" s="80" t="s">
        <v>8</v>
      </c>
      <c r="G604" s="80" t="s">
        <v>14</v>
      </c>
      <c r="H604" t="s">
        <v>4431</v>
      </c>
      <c r="I604" t="s">
        <v>96</v>
      </c>
    </row>
    <row r="605" spans="1:9" ht="15.75">
      <c r="A605" s="13">
        <v>45999</v>
      </c>
      <c r="B605" s="8" t="s">
        <v>396</v>
      </c>
      <c r="C605" s="54">
        <v>40000</v>
      </c>
      <c r="D605" s="54">
        <v>0</v>
      </c>
      <c r="E605" s="1">
        <f t="shared" si="9"/>
        <v>6523871</v>
      </c>
      <c r="F605" s="80" t="s">
        <v>8</v>
      </c>
      <c r="G605" s="80" t="s">
        <v>14</v>
      </c>
      <c r="H605" t="s">
        <v>4431</v>
      </c>
      <c r="I605" t="s">
        <v>96</v>
      </c>
    </row>
    <row r="606" spans="1:9" ht="15.75">
      <c r="A606" s="13">
        <v>46000</v>
      </c>
      <c r="B606" s="8" t="s">
        <v>6554</v>
      </c>
      <c r="C606" s="54">
        <v>159761</v>
      </c>
      <c r="D606" s="54">
        <v>0</v>
      </c>
      <c r="E606" s="1">
        <f t="shared" si="9"/>
        <v>6364110</v>
      </c>
      <c r="F606" s="80" t="s">
        <v>21</v>
      </c>
      <c r="G606" s="80" t="s">
        <v>187</v>
      </c>
      <c r="I606" t="s">
        <v>292</v>
      </c>
    </row>
    <row r="607" spans="1:9" ht="15.75">
      <c r="A607" s="13">
        <v>46000</v>
      </c>
      <c r="B607" s="8" t="s">
        <v>5784</v>
      </c>
      <c r="C607" s="54">
        <v>117900</v>
      </c>
      <c r="D607" s="54">
        <v>0</v>
      </c>
      <c r="E607" s="1">
        <f t="shared" si="9"/>
        <v>6246210</v>
      </c>
      <c r="F607" s="80" t="s">
        <v>8</v>
      </c>
      <c r="G607" s="80" t="s">
        <v>183</v>
      </c>
      <c r="I607" t="s">
        <v>292</v>
      </c>
    </row>
    <row r="608" spans="1:9" ht="15.75">
      <c r="A608" s="13">
        <v>46001</v>
      </c>
      <c r="B608" s="8" t="s">
        <v>5790</v>
      </c>
      <c r="C608" s="54">
        <v>500000</v>
      </c>
      <c r="D608" s="54">
        <v>0</v>
      </c>
      <c r="E608" s="1">
        <f t="shared" si="9"/>
        <v>5746210</v>
      </c>
      <c r="F608" s="80" t="s">
        <v>8</v>
      </c>
      <c r="G608" s="80" t="s">
        <v>240</v>
      </c>
      <c r="I608" t="s">
        <v>292</v>
      </c>
    </row>
    <row r="609" spans="1:9" ht="15.75">
      <c r="A609" s="13">
        <v>46003</v>
      </c>
      <c r="B609" s="8" t="s">
        <v>4523</v>
      </c>
      <c r="C609" s="54">
        <v>501000</v>
      </c>
      <c r="D609" s="54">
        <v>0</v>
      </c>
      <c r="E609" s="1">
        <f t="shared" si="9"/>
        <v>5245210</v>
      </c>
      <c r="F609" s="80" t="s">
        <v>8</v>
      </c>
      <c r="G609" s="80" t="s">
        <v>14</v>
      </c>
      <c r="H609" t="s">
        <v>4431</v>
      </c>
      <c r="I609" t="s">
        <v>96</v>
      </c>
    </row>
    <row r="610" spans="1:9" ht="15.75">
      <c r="A610" s="13">
        <v>46004</v>
      </c>
      <c r="B610" s="8" t="s">
        <v>6555</v>
      </c>
      <c r="C610" s="54">
        <v>300000</v>
      </c>
      <c r="D610" s="54">
        <v>0</v>
      </c>
      <c r="E610" s="1">
        <f t="shared" si="9"/>
        <v>4945210</v>
      </c>
      <c r="F610" s="80" t="s">
        <v>8</v>
      </c>
      <c r="G610" s="80" t="s">
        <v>78</v>
      </c>
      <c r="H610" t="s">
        <v>6556</v>
      </c>
      <c r="I610" t="s">
        <v>1355</v>
      </c>
    </row>
    <row r="611" spans="1:9" ht="15.75">
      <c r="A611" s="13">
        <v>46004</v>
      </c>
      <c r="B611" s="8" t="s">
        <v>6557</v>
      </c>
      <c r="C611" s="54">
        <v>105600</v>
      </c>
      <c r="D611" s="54">
        <v>0</v>
      </c>
      <c r="E611" s="1">
        <f t="shared" si="9"/>
        <v>4839610</v>
      </c>
      <c r="F611" s="80" t="s">
        <v>62</v>
      </c>
      <c r="G611" s="80" t="s">
        <v>63</v>
      </c>
      <c r="I611" t="s">
        <v>1355</v>
      </c>
    </row>
    <row r="612" spans="1:9" ht="15.75">
      <c r="A612" s="13">
        <v>46004</v>
      </c>
      <c r="B612" s="8" t="s">
        <v>6558</v>
      </c>
      <c r="C612" s="54">
        <v>140000</v>
      </c>
      <c r="D612" s="54">
        <v>0</v>
      </c>
      <c r="E612" s="1">
        <f t="shared" si="9"/>
        <v>4699610</v>
      </c>
      <c r="F612" s="80" t="s">
        <v>8</v>
      </c>
      <c r="G612" s="80" t="s">
        <v>181</v>
      </c>
      <c r="I612" t="s">
        <v>1355</v>
      </c>
    </row>
    <row r="613" spans="1:9" ht="15.75">
      <c r="A613" s="13">
        <v>46004</v>
      </c>
      <c r="B613" s="8" t="s">
        <v>6559</v>
      </c>
      <c r="C613" s="54">
        <v>80000</v>
      </c>
      <c r="D613" s="54">
        <v>0</v>
      </c>
      <c r="E613" s="1">
        <f t="shared" si="9"/>
        <v>4619610</v>
      </c>
      <c r="F613" s="80" t="s">
        <v>8</v>
      </c>
      <c r="G613" s="80" t="s">
        <v>181</v>
      </c>
      <c r="I613" t="s">
        <v>1355</v>
      </c>
    </row>
    <row r="614" spans="1:9" ht="15.75">
      <c r="A614" s="13">
        <v>46007</v>
      </c>
      <c r="B614" s="8" t="s">
        <v>6560</v>
      </c>
      <c r="C614" s="54">
        <v>130000</v>
      </c>
      <c r="D614" s="54">
        <v>0</v>
      </c>
      <c r="E614" s="1">
        <f t="shared" si="9"/>
        <v>4489610</v>
      </c>
      <c r="F614" s="80" t="s">
        <v>8</v>
      </c>
      <c r="G614" s="80" t="s">
        <v>14</v>
      </c>
      <c r="I614" t="s">
        <v>6561</v>
      </c>
    </row>
    <row r="615" spans="1:9" ht="15.75">
      <c r="A615" s="13">
        <v>46008</v>
      </c>
      <c r="B615" s="8" t="s">
        <v>6562</v>
      </c>
      <c r="C615" s="54">
        <v>246000</v>
      </c>
      <c r="D615" s="54">
        <v>0</v>
      </c>
      <c r="E615" s="1">
        <f t="shared" si="9"/>
        <v>4243610</v>
      </c>
      <c r="F615" s="80" t="s">
        <v>62</v>
      </c>
      <c r="G615" s="80" t="s">
        <v>70</v>
      </c>
      <c r="I615" t="s">
        <v>1355</v>
      </c>
    </row>
    <row r="616" spans="1:9" ht="15.75">
      <c r="A616" s="13">
        <v>46008</v>
      </c>
      <c r="B616" s="8" t="s">
        <v>6563</v>
      </c>
      <c r="C616" s="54">
        <v>17500</v>
      </c>
      <c r="D616" s="54">
        <v>0</v>
      </c>
      <c r="E616" s="1">
        <f t="shared" si="9"/>
        <v>4226110</v>
      </c>
      <c r="F616" s="80" t="s">
        <v>8</v>
      </c>
      <c r="G616" s="80" t="s">
        <v>181</v>
      </c>
      <c r="I616" t="s">
        <v>1355</v>
      </c>
    </row>
    <row r="617" spans="1:9" ht="15.75">
      <c r="A617" s="13">
        <v>46008</v>
      </c>
      <c r="B617" s="8" t="s">
        <v>6564</v>
      </c>
      <c r="C617" s="54">
        <v>341000</v>
      </c>
      <c r="D617" s="54">
        <v>0</v>
      </c>
      <c r="E617" s="1">
        <f t="shared" si="9"/>
        <v>3885110</v>
      </c>
      <c r="F617" s="80" t="s">
        <v>8</v>
      </c>
      <c r="G617" s="80" t="s">
        <v>14</v>
      </c>
      <c r="H617" t="s">
        <v>314</v>
      </c>
      <c r="I617" t="s">
        <v>97</v>
      </c>
    </row>
    <row r="618" spans="1:9" ht="15.75">
      <c r="A618" s="13">
        <v>46008</v>
      </c>
      <c r="B618" s="8" t="s">
        <v>5792</v>
      </c>
      <c r="C618" s="54">
        <v>86000</v>
      </c>
      <c r="D618" s="54">
        <v>0</v>
      </c>
      <c r="E618" s="1">
        <f t="shared" si="9"/>
        <v>3799110</v>
      </c>
      <c r="F618" s="80" t="s">
        <v>8</v>
      </c>
      <c r="G618" s="80" t="s">
        <v>14</v>
      </c>
      <c r="H618" t="s">
        <v>314</v>
      </c>
      <c r="I618" t="s">
        <v>97</v>
      </c>
    </row>
    <row r="619" spans="1:9" ht="15.75">
      <c r="A619" s="13">
        <v>46010</v>
      </c>
      <c r="B619" s="8" t="s">
        <v>6565</v>
      </c>
      <c r="C619" s="54">
        <v>660500</v>
      </c>
      <c r="D619" s="54">
        <v>0</v>
      </c>
      <c r="E619" s="1">
        <f t="shared" si="9"/>
        <v>3138610</v>
      </c>
      <c r="F619" s="80" t="s">
        <v>8</v>
      </c>
      <c r="G619" s="80" t="s">
        <v>14</v>
      </c>
      <c r="H619" t="s">
        <v>3137</v>
      </c>
      <c r="I619" t="s">
        <v>450</v>
      </c>
    </row>
    <row r="620" spans="1:9" ht="15.75">
      <c r="A620" s="13">
        <v>46010</v>
      </c>
      <c r="B620" s="8" t="s">
        <v>5792</v>
      </c>
      <c r="C620" s="54">
        <v>145000</v>
      </c>
      <c r="D620" s="54">
        <v>0</v>
      </c>
      <c r="E620" s="1">
        <f t="shared" si="9"/>
        <v>2993610</v>
      </c>
      <c r="F620" s="80" t="s">
        <v>8</v>
      </c>
      <c r="G620" s="80" t="s">
        <v>14</v>
      </c>
      <c r="H620" t="s">
        <v>3137</v>
      </c>
      <c r="I620" t="s">
        <v>450</v>
      </c>
    </row>
    <row r="621" spans="1:9" ht="15.75">
      <c r="A621" s="13">
        <v>46010</v>
      </c>
      <c r="B621" s="8" t="s">
        <v>6566</v>
      </c>
      <c r="C621" s="54">
        <v>100000</v>
      </c>
      <c r="D621" s="54">
        <v>0</v>
      </c>
      <c r="E621" s="1">
        <f t="shared" si="9"/>
        <v>2893610</v>
      </c>
      <c r="F621" s="80" t="s">
        <v>8</v>
      </c>
      <c r="G621" s="80" t="s">
        <v>183</v>
      </c>
      <c r="I621" t="s">
        <v>59</v>
      </c>
    </row>
    <row r="622" spans="1:9" ht="15.75">
      <c r="A622" s="13">
        <v>46013</v>
      </c>
      <c r="B622" s="8" t="s">
        <v>6567</v>
      </c>
      <c r="C622" s="54">
        <v>487500</v>
      </c>
      <c r="D622" s="54">
        <v>0</v>
      </c>
      <c r="E622" s="1">
        <f t="shared" si="9"/>
        <v>2406110</v>
      </c>
      <c r="F622" s="80" t="s">
        <v>8</v>
      </c>
      <c r="G622" s="80" t="s">
        <v>14</v>
      </c>
      <c r="H622" t="s">
        <v>4431</v>
      </c>
      <c r="I622" t="s">
        <v>96</v>
      </c>
    </row>
    <row r="623" spans="1:9" ht="15.75">
      <c r="A623" s="13">
        <v>46013</v>
      </c>
      <c r="B623" s="8" t="s">
        <v>5792</v>
      </c>
      <c r="C623" s="54">
        <v>20000</v>
      </c>
      <c r="D623" s="54">
        <v>0</v>
      </c>
      <c r="E623" s="1">
        <f t="shared" si="9"/>
        <v>2386110</v>
      </c>
      <c r="F623" s="80" t="s">
        <v>8</v>
      </c>
      <c r="G623" s="80" t="s">
        <v>14</v>
      </c>
      <c r="H623" t="s">
        <v>4431</v>
      </c>
      <c r="I623" t="s">
        <v>96</v>
      </c>
    </row>
    <row r="624" spans="1:9" ht="15.75">
      <c r="A624" s="13">
        <v>46016</v>
      </c>
      <c r="B624" s="8" t="s">
        <v>6568</v>
      </c>
      <c r="C624" s="54">
        <v>206130</v>
      </c>
      <c r="D624" s="54">
        <v>0</v>
      </c>
      <c r="E624" s="1">
        <f t="shared" si="9"/>
        <v>2179980</v>
      </c>
      <c r="F624" s="80" t="s">
        <v>8</v>
      </c>
      <c r="G624" s="80" t="s">
        <v>31</v>
      </c>
      <c r="H624" t="s">
        <v>308</v>
      </c>
      <c r="I624" t="s">
        <v>57</v>
      </c>
    </row>
    <row r="625" spans="1:9" ht="15.75">
      <c r="A625" s="13">
        <v>46018</v>
      </c>
      <c r="B625" s="8" t="s">
        <v>6569</v>
      </c>
      <c r="C625" s="54">
        <v>501000</v>
      </c>
      <c r="D625" s="54">
        <v>0</v>
      </c>
      <c r="E625" s="1">
        <f t="shared" si="9"/>
        <v>1678980</v>
      </c>
      <c r="F625" s="80" t="s">
        <v>8</v>
      </c>
      <c r="G625" s="80" t="s">
        <v>14</v>
      </c>
      <c r="H625" t="s">
        <v>4431</v>
      </c>
      <c r="I625" t="s">
        <v>96</v>
      </c>
    </row>
    <row r="626" spans="1:9" ht="15.75">
      <c r="A626" s="13">
        <v>46020</v>
      </c>
      <c r="B626" s="8" t="s">
        <v>5790</v>
      </c>
      <c r="C626" s="54">
        <v>500000</v>
      </c>
      <c r="D626" s="54">
        <v>0</v>
      </c>
      <c r="E626" s="1">
        <f t="shared" si="9"/>
        <v>1178980</v>
      </c>
      <c r="F626" s="80" t="s">
        <v>8</v>
      </c>
      <c r="G626" s="80" t="s">
        <v>240</v>
      </c>
      <c r="I626" t="s">
        <v>59</v>
      </c>
    </row>
    <row r="627" spans="1:9" ht="15.75">
      <c r="A627" s="13">
        <v>46020</v>
      </c>
      <c r="B627" s="8" t="s">
        <v>6570</v>
      </c>
      <c r="C627" s="54">
        <v>12000</v>
      </c>
      <c r="D627" s="54">
        <v>0</v>
      </c>
      <c r="E627" s="1">
        <f t="shared" si="9"/>
        <v>1166980</v>
      </c>
      <c r="F627" s="80" t="s">
        <v>4</v>
      </c>
      <c r="G627" s="80" t="s">
        <v>5</v>
      </c>
      <c r="H627" t="s">
        <v>6123</v>
      </c>
      <c r="I627" t="s">
        <v>6571</v>
      </c>
    </row>
    <row r="628" spans="1:9" ht="15.75">
      <c r="A628" s="13">
        <v>46021</v>
      </c>
      <c r="B628" s="8" t="s">
        <v>6572</v>
      </c>
      <c r="C628" s="54">
        <v>105000</v>
      </c>
      <c r="D628" s="54">
        <v>0</v>
      </c>
      <c r="E628" s="1">
        <f t="shared" si="9"/>
        <v>1061980</v>
      </c>
      <c r="F628" s="80" t="s">
        <v>62</v>
      </c>
      <c r="G628" s="80" t="s">
        <v>70</v>
      </c>
      <c r="I628" t="s">
        <v>450</v>
      </c>
    </row>
    <row r="629" spans="1:9" ht="15.75">
      <c r="A629" s="13">
        <v>46021</v>
      </c>
      <c r="B629" s="8" t="s">
        <v>6573</v>
      </c>
      <c r="C629" s="54">
        <v>102000</v>
      </c>
      <c r="D629" s="54">
        <v>0</v>
      </c>
      <c r="E629" s="1">
        <f t="shared" si="9"/>
        <v>959980</v>
      </c>
      <c r="F629" s="80" t="s">
        <v>62</v>
      </c>
      <c r="G629" s="80" t="s">
        <v>63</v>
      </c>
      <c r="I629" t="s">
        <v>450</v>
      </c>
    </row>
    <row r="630" spans="1:9" ht="15.75">
      <c r="A630" s="13">
        <v>46021</v>
      </c>
      <c r="B630" s="8" t="s">
        <v>6574</v>
      </c>
      <c r="C630" s="54">
        <v>205000</v>
      </c>
      <c r="D630" s="54">
        <v>0</v>
      </c>
      <c r="E630" s="1">
        <f t="shared" si="9"/>
        <v>754980</v>
      </c>
      <c r="F630" s="80" t="s">
        <v>8</v>
      </c>
      <c r="G630" s="80" t="s">
        <v>14</v>
      </c>
      <c r="I630" t="s">
        <v>6561</v>
      </c>
    </row>
    <row r="632" spans="1:9">
      <c r="C632" s="1">
        <f>SUBTOTAL(9,C5:C630)</f>
        <v>136780793</v>
      </c>
      <c r="D632" s="1">
        <f>SUBTOTAL(9,D5:D630)</f>
        <v>137188904</v>
      </c>
    </row>
    <row r="633" spans="1:9">
      <c r="D633" s="1">
        <f>D632-C632</f>
        <v>408111</v>
      </c>
    </row>
  </sheetData>
  <autoFilter ref="A4:I630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04"/>
  <sheetViews>
    <sheetView topLeftCell="A3287" zoomScale="114" zoomScaleNormal="90" workbookViewId="0">
      <selection activeCell="D3304" sqref="D3304"/>
    </sheetView>
  </sheetViews>
  <sheetFormatPr defaultColWidth="11.5546875" defaultRowHeight="15.75"/>
  <cols>
    <col min="1" max="1" width="10.77734375" style="5"/>
    <col min="2" max="2" width="91.33203125" customWidth="1"/>
    <col min="3" max="3" width="20" style="297" customWidth="1"/>
    <col min="4" max="4" width="20" style="283" customWidth="1"/>
    <col min="5" max="5" width="20" style="284" customWidth="1"/>
    <col min="6" max="6" width="22.109375" customWidth="1"/>
    <col min="7" max="7" width="35" customWidth="1"/>
    <col min="8" max="8" width="60.6640625" customWidth="1"/>
    <col min="9" max="9" width="73.77734375" customWidth="1"/>
    <col min="10" max="10" width="16.109375" customWidth="1"/>
  </cols>
  <sheetData>
    <row r="1" spans="1:8">
      <c r="A1" s="4" t="s">
        <v>27</v>
      </c>
      <c r="C1" s="297" t="s">
        <v>26</v>
      </c>
      <c r="E1" s="284" t="s">
        <v>26</v>
      </c>
    </row>
    <row r="2" spans="1:8">
      <c r="A2" s="6" t="s">
        <v>29</v>
      </c>
      <c r="D2" s="283" t="s">
        <v>26</v>
      </c>
      <c r="E2" s="284" t="s">
        <v>26</v>
      </c>
      <c r="F2" s="52" t="s">
        <v>26</v>
      </c>
      <c r="G2" s="52" t="s">
        <v>26</v>
      </c>
      <c r="H2" s="8" t="s">
        <v>26</v>
      </c>
    </row>
    <row r="4" spans="1:8">
      <c r="A4" s="4" t="s">
        <v>28</v>
      </c>
      <c r="B4" s="9" t="s">
        <v>26</v>
      </c>
      <c r="C4" s="286"/>
      <c r="D4" s="285"/>
      <c r="E4" s="286">
        <v>0</v>
      </c>
    </row>
    <row r="5" spans="1:8" s="15" customFormat="1">
      <c r="A5" s="201">
        <v>45417</v>
      </c>
      <c r="B5" s="15" t="s">
        <v>2156</v>
      </c>
      <c r="C5" s="287">
        <v>0</v>
      </c>
      <c r="D5" s="287">
        <v>7500000</v>
      </c>
      <c r="E5" s="284">
        <f>E4-C5+D5</f>
        <v>7500000</v>
      </c>
      <c r="F5" s="15" t="s">
        <v>10</v>
      </c>
      <c r="G5" t="s">
        <v>446</v>
      </c>
      <c r="H5" s="15" t="s">
        <v>2155</v>
      </c>
    </row>
    <row r="6" spans="1:8" s="15" customFormat="1">
      <c r="A6" s="201">
        <v>45548</v>
      </c>
      <c r="B6" s="15" t="s">
        <v>2157</v>
      </c>
      <c r="C6" s="287">
        <v>0</v>
      </c>
      <c r="D6" s="287">
        <v>7500000</v>
      </c>
      <c r="E6" s="284">
        <f t="shared" ref="E6:E69" si="0">E5-C6+D6</f>
        <v>15000000</v>
      </c>
      <c r="F6" s="15" t="s">
        <v>10</v>
      </c>
      <c r="G6" t="s">
        <v>446</v>
      </c>
      <c r="H6" s="15" t="s">
        <v>2155</v>
      </c>
    </row>
    <row r="7" spans="1:8" s="15" customFormat="1">
      <c r="A7" s="201">
        <v>45581</v>
      </c>
      <c r="B7" s="15" t="s">
        <v>2158</v>
      </c>
      <c r="C7" s="287">
        <v>0</v>
      </c>
      <c r="D7" s="287">
        <v>500000</v>
      </c>
      <c r="E7" s="284">
        <f t="shared" si="0"/>
        <v>15500000</v>
      </c>
      <c r="F7" s="15" t="s">
        <v>10</v>
      </c>
      <c r="G7" t="s">
        <v>446</v>
      </c>
      <c r="H7" s="15" t="s">
        <v>2155</v>
      </c>
    </row>
    <row r="8" spans="1:8" s="15" customFormat="1">
      <c r="A8" s="201">
        <v>45581</v>
      </c>
      <c r="B8" s="15" t="s">
        <v>2159</v>
      </c>
      <c r="C8" s="287">
        <v>0</v>
      </c>
      <c r="D8" s="287">
        <v>400000</v>
      </c>
      <c r="E8" s="284">
        <f t="shared" si="0"/>
        <v>15900000</v>
      </c>
      <c r="F8" s="15" t="s">
        <v>10</v>
      </c>
      <c r="G8" t="s">
        <v>446</v>
      </c>
      <c r="H8" s="15" t="s">
        <v>2155</v>
      </c>
    </row>
    <row r="9" spans="1:8" s="15" customFormat="1">
      <c r="A9" s="201">
        <v>45588</v>
      </c>
      <c r="B9" s="15" t="s">
        <v>2160</v>
      </c>
      <c r="C9" s="287">
        <v>0</v>
      </c>
      <c r="D9" s="287">
        <v>6600000</v>
      </c>
      <c r="E9" s="284">
        <f t="shared" si="0"/>
        <v>22500000</v>
      </c>
      <c r="F9" s="15" t="s">
        <v>10</v>
      </c>
      <c r="G9" t="s">
        <v>446</v>
      </c>
      <c r="H9" s="15" t="s">
        <v>2155</v>
      </c>
    </row>
    <row r="10" spans="1:8" s="15" customFormat="1">
      <c r="A10" s="201">
        <v>45448</v>
      </c>
      <c r="B10" s="15" t="s">
        <v>2161</v>
      </c>
      <c r="C10" s="287">
        <v>0</v>
      </c>
      <c r="D10" s="287">
        <v>92215</v>
      </c>
      <c r="E10" s="284">
        <f t="shared" si="0"/>
        <v>22592215</v>
      </c>
      <c r="F10" s="15" t="s">
        <v>10</v>
      </c>
      <c r="G10" t="s">
        <v>446</v>
      </c>
      <c r="H10" s="15" t="s">
        <v>2155</v>
      </c>
    </row>
    <row r="11" spans="1:8" s="15" customFormat="1">
      <c r="A11" s="201">
        <v>45617</v>
      </c>
      <c r="B11" s="15" t="s">
        <v>2162</v>
      </c>
      <c r="C11" s="287">
        <v>0</v>
      </c>
      <c r="D11" s="287">
        <v>192815</v>
      </c>
      <c r="E11" s="284">
        <f t="shared" si="0"/>
        <v>22785030</v>
      </c>
      <c r="F11" s="15" t="s">
        <v>10</v>
      </c>
      <c r="G11" t="s">
        <v>446</v>
      </c>
      <c r="H11" s="15" t="s">
        <v>2155</v>
      </c>
    </row>
    <row r="12" spans="1:8" s="15" customFormat="1">
      <c r="A12" s="201">
        <v>45618</v>
      </c>
      <c r="B12" s="15" t="s">
        <v>2163</v>
      </c>
      <c r="C12" s="287">
        <v>0</v>
      </c>
      <c r="D12" s="287">
        <v>83515</v>
      </c>
      <c r="E12" s="284">
        <f t="shared" si="0"/>
        <v>22868545</v>
      </c>
      <c r="F12" s="15" t="s">
        <v>10</v>
      </c>
      <c r="G12" t="s">
        <v>446</v>
      </c>
      <c r="H12" s="15" t="s">
        <v>2155</v>
      </c>
    </row>
    <row r="13" spans="1:8" s="15" customFormat="1">
      <c r="A13" s="201"/>
      <c r="B13" s="15" t="s">
        <v>6375</v>
      </c>
      <c r="C13" s="287">
        <v>22868545</v>
      </c>
      <c r="D13" s="287">
        <v>0</v>
      </c>
      <c r="E13" s="284">
        <f t="shared" si="0"/>
        <v>0</v>
      </c>
      <c r="F13" s="15" t="s">
        <v>1209</v>
      </c>
      <c r="G13" s="15" t="s">
        <v>69</v>
      </c>
    </row>
    <row r="14" spans="1:8">
      <c r="A14" s="201">
        <v>45652</v>
      </c>
      <c r="B14" s="15" t="s">
        <v>2165</v>
      </c>
      <c r="C14" s="285">
        <v>0</v>
      </c>
      <c r="D14" s="287">
        <v>100000000</v>
      </c>
      <c r="E14" s="284">
        <f t="shared" si="0"/>
        <v>100000000</v>
      </c>
      <c r="F14" s="15" t="s">
        <v>10</v>
      </c>
      <c r="G14" t="s">
        <v>446</v>
      </c>
      <c r="H14" t="s">
        <v>1352</v>
      </c>
    </row>
    <row r="15" spans="1:8">
      <c r="A15" s="201"/>
      <c r="B15" s="15" t="s">
        <v>2165</v>
      </c>
      <c r="C15" s="287">
        <v>100000000</v>
      </c>
      <c r="D15" s="287">
        <v>0</v>
      </c>
      <c r="E15" s="284">
        <f t="shared" si="0"/>
        <v>0</v>
      </c>
      <c r="F15" s="15" t="s">
        <v>1643</v>
      </c>
      <c r="G15" s="15" t="s">
        <v>5</v>
      </c>
      <c r="H15" s="43" t="s">
        <v>1352</v>
      </c>
    </row>
    <row r="16" spans="1:8">
      <c r="A16" s="201">
        <v>45643</v>
      </c>
      <c r="B16" s="15" t="s">
        <v>2166</v>
      </c>
      <c r="C16" s="285">
        <v>0</v>
      </c>
      <c r="D16" s="287">
        <v>33225000</v>
      </c>
      <c r="E16" s="284">
        <f t="shared" si="0"/>
        <v>33225000</v>
      </c>
      <c r="F16" s="15" t="s">
        <v>10</v>
      </c>
      <c r="G16" t="s">
        <v>446</v>
      </c>
      <c r="H16" t="s">
        <v>1352</v>
      </c>
    </row>
    <row r="17" spans="1:9">
      <c r="A17" s="201"/>
      <c r="B17" s="15" t="s">
        <v>2166</v>
      </c>
      <c r="C17" s="287">
        <v>33225000</v>
      </c>
      <c r="D17" s="287">
        <v>0</v>
      </c>
      <c r="E17" s="284">
        <f t="shared" si="0"/>
        <v>0</v>
      </c>
      <c r="F17" s="15" t="s">
        <v>1643</v>
      </c>
      <c r="G17" s="15" t="s">
        <v>5</v>
      </c>
      <c r="H17" s="43" t="s">
        <v>1352</v>
      </c>
    </row>
    <row r="18" spans="1:9">
      <c r="A18" s="201">
        <v>45630</v>
      </c>
      <c r="B18" s="15" t="s">
        <v>2167</v>
      </c>
      <c r="C18" s="285">
        <v>0</v>
      </c>
      <c r="D18" s="287">
        <v>150000</v>
      </c>
      <c r="E18" s="284">
        <f t="shared" si="0"/>
        <v>150000</v>
      </c>
      <c r="F18" s="15" t="s">
        <v>10</v>
      </c>
      <c r="G18" s="15" t="s">
        <v>446</v>
      </c>
      <c r="H18" s="80" t="s">
        <v>1378</v>
      </c>
    </row>
    <row r="19" spans="1:9">
      <c r="A19" s="4"/>
      <c r="B19" s="15" t="s">
        <v>2167</v>
      </c>
      <c r="C19" s="287">
        <v>150000</v>
      </c>
      <c r="D19" s="285">
        <v>0</v>
      </c>
      <c r="E19" s="284">
        <f t="shared" si="0"/>
        <v>0</v>
      </c>
      <c r="F19" s="15" t="s">
        <v>1643</v>
      </c>
      <c r="G19" s="15" t="s">
        <v>5</v>
      </c>
      <c r="H19" s="80" t="s">
        <v>1378</v>
      </c>
    </row>
    <row r="20" spans="1:9" s="15" customFormat="1">
      <c r="A20" s="201">
        <v>45847</v>
      </c>
      <c r="B20" s="15" t="s">
        <v>5981</v>
      </c>
      <c r="C20" s="287">
        <v>0</v>
      </c>
      <c r="D20" s="287">
        <v>29068615</v>
      </c>
      <c r="E20" s="284">
        <f t="shared" si="0"/>
        <v>29068615</v>
      </c>
      <c r="F20" s="15" t="s">
        <v>10</v>
      </c>
      <c r="G20" s="15" t="s">
        <v>94</v>
      </c>
      <c r="H20" s="15" t="s">
        <v>5980</v>
      </c>
      <c r="I20" s="15" t="s">
        <v>2171</v>
      </c>
    </row>
    <row r="21" spans="1:9" s="15" customFormat="1">
      <c r="A21" s="201"/>
      <c r="B21" s="15" t="s">
        <v>5981</v>
      </c>
      <c r="C21" s="287">
        <v>0</v>
      </c>
      <c r="D21" s="287">
        <v>109953796</v>
      </c>
      <c r="E21" s="284">
        <f t="shared" si="0"/>
        <v>139022411</v>
      </c>
      <c r="F21" s="15" t="s">
        <v>10</v>
      </c>
      <c r="G21" s="15" t="s">
        <v>94</v>
      </c>
      <c r="H21" s="15" t="s">
        <v>5980</v>
      </c>
      <c r="I21" s="15" t="s">
        <v>2173</v>
      </c>
    </row>
    <row r="22" spans="1:9" s="15" customFormat="1">
      <c r="A22" s="201"/>
      <c r="B22" s="15" t="s">
        <v>5981</v>
      </c>
      <c r="C22" s="287">
        <v>0</v>
      </c>
      <c r="D22" s="287">
        <v>773186182</v>
      </c>
      <c r="E22" s="284">
        <f t="shared" si="0"/>
        <v>912208593</v>
      </c>
      <c r="F22" s="15" t="s">
        <v>10</v>
      </c>
      <c r="G22" s="15" t="s">
        <v>94</v>
      </c>
      <c r="H22" s="15" t="s">
        <v>5980</v>
      </c>
      <c r="I22" s="15" t="s">
        <v>2174</v>
      </c>
    </row>
    <row r="23" spans="1:9" s="15" customFormat="1">
      <c r="A23" s="201"/>
      <c r="B23" s="15" t="s">
        <v>5981</v>
      </c>
      <c r="C23" s="287">
        <v>0</v>
      </c>
      <c r="D23" s="287">
        <v>1721836</v>
      </c>
      <c r="E23" s="284">
        <f t="shared" si="0"/>
        <v>913930429</v>
      </c>
      <c r="F23" s="15" t="s">
        <v>10</v>
      </c>
      <c r="G23" s="15" t="s">
        <v>94</v>
      </c>
      <c r="H23" s="15" t="s">
        <v>5980</v>
      </c>
      <c r="I23" s="15" t="s">
        <v>2175</v>
      </c>
    </row>
    <row r="24" spans="1:9" s="15" customFormat="1">
      <c r="A24" s="5">
        <v>45846</v>
      </c>
      <c r="B24" t="s">
        <v>4606</v>
      </c>
      <c r="C24" s="288">
        <v>0</v>
      </c>
      <c r="D24" s="288">
        <v>5934891</v>
      </c>
      <c r="E24" s="284">
        <f t="shared" si="0"/>
        <v>919865320</v>
      </c>
      <c r="F24" s="15" t="s">
        <v>920</v>
      </c>
      <c r="G24" s="15" t="s">
        <v>4250</v>
      </c>
      <c r="H24" s="15" t="s">
        <v>5980</v>
      </c>
    </row>
    <row r="25" spans="1:9" s="15" customFormat="1">
      <c r="A25" s="201"/>
      <c r="B25" s="15" t="s">
        <v>5981</v>
      </c>
      <c r="C25" s="287">
        <v>919865320</v>
      </c>
      <c r="D25" s="287">
        <v>0</v>
      </c>
      <c r="E25" s="284">
        <f t="shared" si="0"/>
        <v>0</v>
      </c>
      <c r="F25" s="15" t="s">
        <v>6</v>
      </c>
      <c r="G25" s="15" t="s">
        <v>53</v>
      </c>
      <c r="H25" s="15" t="s">
        <v>5980</v>
      </c>
    </row>
    <row r="26" spans="1:9">
      <c r="A26" s="201">
        <v>45692</v>
      </c>
      <c r="B26" s="15" t="s">
        <v>710</v>
      </c>
      <c r="C26" s="287">
        <v>0</v>
      </c>
      <c r="D26" s="287">
        <v>45473708</v>
      </c>
      <c r="E26" s="284">
        <f t="shared" si="0"/>
        <v>45473708</v>
      </c>
      <c r="F26" s="15" t="s">
        <v>920</v>
      </c>
      <c r="G26" t="s">
        <v>4250</v>
      </c>
      <c r="H26" t="s">
        <v>368</v>
      </c>
    </row>
    <row r="27" spans="1:9">
      <c r="A27" s="201"/>
      <c r="B27" s="15" t="s">
        <v>1641</v>
      </c>
      <c r="C27" s="287">
        <v>7500</v>
      </c>
      <c r="D27" s="287">
        <v>0</v>
      </c>
      <c r="E27" s="284">
        <f t="shared" si="0"/>
        <v>45466208</v>
      </c>
      <c r="F27" s="15" t="s">
        <v>19</v>
      </c>
      <c r="G27" s="15" t="s">
        <v>189</v>
      </c>
    </row>
    <row r="28" spans="1:9">
      <c r="A28" s="201"/>
      <c r="B28" s="15" t="s">
        <v>1642</v>
      </c>
      <c r="C28" s="287">
        <v>2225820</v>
      </c>
      <c r="D28" s="287">
        <v>0</v>
      </c>
      <c r="E28" s="284">
        <f t="shared" si="0"/>
        <v>43240388</v>
      </c>
      <c r="F28" s="15" t="s">
        <v>1643</v>
      </c>
      <c r="G28" s="15" t="s">
        <v>5</v>
      </c>
      <c r="H28" s="43" t="s">
        <v>1352</v>
      </c>
    </row>
    <row r="29" spans="1:9">
      <c r="A29" s="201"/>
      <c r="B29" s="15" t="s">
        <v>1644</v>
      </c>
      <c r="C29" s="287">
        <v>279800</v>
      </c>
      <c r="D29" s="287">
        <v>0</v>
      </c>
      <c r="E29" s="284">
        <f t="shared" si="0"/>
        <v>42960588</v>
      </c>
      <c r="F29" s="15" t="s">
        <v>1643</v>
      </c>
      <c r="G29" s="15" t="s">
        <v>5</v>
      </c>
      <c r="H29" t="s">
        <v>1352</v>
      </c>
    </row>
    <row r="30" spans="1:9">
      <c r="A30" s="201"/>
      <c r="B30" s="15" t="s">
        <v>1645</v>
      </c>
      <c r="C30" s="287">
        <v>1702600</v>
      </c>
      <c r="D30" s="287">
        <v>0</v>
      </c>
      <c r="E30" s="284">
        <f t="shared" si="0"/>
        <v>41257988</v>
      </c>
      <c r="F30" s="15" t="s">
        <v>1643</v>
      </c>
      <c r="G30" s="15" t="s">
        <v>5</v>
      </c>
      <c r="H30" t="s">
        <v>1352</v>
      </c>
    </row>
    <row r="31" spans="1:9">
      <c r="A31" s="201"/>
      <c r="B31" s="15" t="s">
        <v>1646</v>
      </c>
      <c r="C31" s="287">
        <v>26000000</v>
      </c>
      <c r="D31" s="287">
        <v>0</v>
      </c>
      <c r="E31" s="284">
        <f t="shared" si="0"/>
        <v>15257988</v>
      </c>
      <c r="F31" s="15" t="s">
        <v>1643</v>
      </c>
      <c r="G31" s="15" t="s">
        <v>5</v>
      </c>
      <c r="H31" t="s">
        <v>1352</v>
      </c>
    </row>
    <row r="32" spans="1:9">
      <c r="A32" s="201"/>
      <c r="B32" s="15" t="s">
        <v>1647</v>
      </c>
      <c r="C32" s="287">
        <v>14234988</v>
      </c>
      <c r="D32" s="287">
        <v>0</v>
      </c>
      <c r="E32" s="284">
        <f t="shared" si="0"/>
        <v>1023000</v>
      </c>
      <c r="F32" s="15" t="s">
        <v>1643</v>
      </c>
      <c r="G32" s="15" t="s">
        <v>5</v>
      </c>
      <c r="H32" t="s">
        <v>1352</v>
      </c>
    </row>
    <row r="33" spans="1:8">
      <c r="A33" s="201"/>
      <c r="B33" s="15" t="s">
        <v>1648</v>
      </c>
      <c r="C33" s="287">
        <v>656000</v>
      </c>
      <c r="D33" s="287">
        <v>0</v>
      </c>
      <c r="E33" s="284">
        <f t="shared" si="0"/>
        <v>367000</v>
      </c>
      <c r="F33" s="15" t="s">
        <v>1643</v>
      </c>
      <c r="G33" s="15" t="s">
        <v>5</v>
      </c>
      <c r="H33" t="s">
        <v>1352</v>
      </c>
    </row>
    <row r="34" spans="1:8">
      <c r="A34" s="201"/>
      <c r="B34" s="15" t="s">
        <v>1649</v>
      </c>
      <c r="C34" s="287">
        <v>357000</v>
      </c>
      <c r="D34" s="287">
        <v>0</v>
      </c>
      <c r="E34" s="284">
        <f t="shared" si="0"/>
        <v>10000</v>
      </c>
      <c r="F34" s="15" t="s">
        <v>8</v>
      </c>
      <c r="G34" s="15" t="s">
        <v>14</v>
      </c>
      <c r="H34" t="s">
        <v>314</v>
      </c>
    </row>
    <row r="35" spans="1:8">
      <c r="A35" s="201"/>
      <c r="B35" s="15" t="s">
        <v>1650</v>
      </c>
      <c r="C35" s="287">
        <v>10000</v>
      </c>
      <c r="D35" s="287">
        <v>0</v>
      </c>
      <c r="E35" s="284">
        <f t="shared" si="0"/>
        <v>0</v>
      </c>
      <c r="F35" s="15" t="s">
        <v>19</v>
      </c>
      <c r="G35" s="15" t="s">
        <v>189</v>
      </c>
    </row>
    <row r="36" spans="1:8">
      <c r="A36" s="201">
        <v>45692</v>
      </c>
      <c r="B36" s="15" t="s">
        <v>712</v>
      </c>
      <c r="C36" s="287">
        <v>0</v>
      </c>
      <c r="D36" s="287">
        <v>5406515</v>
      </c>
      <c r="E36" s="284">
        <f t="shared" si="0"/>
        <v>5406515</v>
      </c>
      <c r="F36" s="15" t="s">
        <v>920</v>
      </c>
      <c r="G36" t="s">
        <v>4250</v>
      </c>
      <c r="H36" t="s">
        <v>100</v>
      </c>
    </row>
    <row r="37" spans="1:8">
      <c r="A37" s="201"/>
      <c r="B37" s="15" t="s">
        <v>1656</v>
      </c>
      <c r="C37" s="287">
        <v>7500</v>
      </c>
      <c r="D37" s="287">
        <v>0</v>
      </c>
      <c r="E37" s="284">
        <f t="shared" si="0"/>
        <v>5399015</v>
      </c>
      <c r="F37" s="15" t="s">
        <v>19</v>
      </c>
      <c r="G37" s="15" t="s">
        <v>189</v>
      </c>
    </row>
    <row r="38" spans="1:8">
      <c r="A38" s="201"/>
      <c r="B38" s="15" t="s">
        <v>1657</v>
      </c>
      <c r="C38" s="287">
        <v>4164600</v>
      </c>
      <c r="D38" s="287">
        <v>0</v>
      </c>
      <c r="E38" s="284">
        <f t="shared" si="0"/>
        <v>1234415</v>
      </c>
      <c r="F38" s="15" t="s">
        <v>1643</v>
      </c>
      <c r="G38" s="15" t="s">
        <v>5</v>
      </c>
      <c r="H38" t="s">
        <v>1352</v>
      </c>
    </row>
    <row r="39" spans="1:8">
      <c r="A39" s="201"/>
      <c r="B39" s="15" t="s">
        <v>1658</v>
      </c>
      <c r="C39" s="287">
        <v>700000</v>
      </c>
      <c r="D39" s="287">
        <v>0</v>
      </c>
      <c r="E39" s="284">
        <f t="shared" si="0"/>
        <v>534415</v>
      </c>
      <c r="F39" s="15" t="s">
        <v>1643</v>
      </c>
      <c r="G39" s="15" t="s">
        <v>5</v>
      </c>
      <c r="H39" t="s">
        <v>1352</v>
      </c>
    </row>
    <row r="40" spans="1:8">
      <c r="A40" s="201"/>
      <c r="B40" s="15" t="s">
        <v>6156</v>
      </c>
      <c r="C40" s="289">
        <v>115615</v>
      </c>
      <c r="D40" s="289">
        <v>0</v>
      </c>
      <c r="E40" s="284">
        <f t="shared" si="0"/>
        <v>418800</v>
      </c>
      <c r="F40" s="15" t="s">
        <v>1643</v>
      </c>
      <c r="G40" s="15" t="s">
        <v>5</v>
      </c>
      <c r="H40" t="s">
        <v>757</v>
      </c>
    </row>
    <row r="41" spans="1:8">
      <c r="A41" s="201"/>
      <c r="B41" s="15" t="s">
        <v>6158</v>
      </c>
      <c r="C41" s="289">
        <v>142700</v>
      </c>
      <c r="D41" s="289">
        <v>0</v>
      </c>
      <c r="E41" s="284">
        <f t="shared" si="0"/>
        <v>276100</v>
      </c>
      <c r="F41" s="15" t="s">
        <v>1643</v>
      </c>
      <c r="G41" s="15" t="s">
        <v>5</v>
      </c>
      <c r="H41" t="s">
        <v>757</v>
      </c>
    </row>
    <row r="42" spans="1:8">
      <c r="A42" s="201"/>
      <c r="B42" s="15" t="s">
        <v>6157</v>
      </c>
      <c r="C42" s="289">
        <v>266100</v>
      </c>
      <c r="D42" s="289">
        <v>0</v>
      </c>
      <c r="E42" s="284">
        <f t="shared" si="0"/>
        <v>10000</v>
      </c>
      <c r="F42" s="15" t="s">
        <v>1643</v>
      </c>
      <c r="G42" s="15" t="s">
        <v>5</v>
      </c>
      <c r="H42" t="s">
        <v>757</v>
      </c>
    </row>
    <row r="43" spans="1:8">
      <c r="A43" s="201"/>
      <c r="B43" s="15" t="s">
        <v>1650</v>
      </c>
      <c r="C43" s="287">
        <v>10000</v>
      </c>
      <c r="D43" s="287">
        <v>0</v>
      </c>
      <c r="E43" s="284">
        <f t="shared" si="0"/>
        <v>0</v>
      </c>
      <c r="F43" s="15" t="s">
        <v>19</v>
      </c>
      <c r="G43" s="15" t="s">
        <v>189</v>
      </c>
    </row>
    <row r="44" spans="1:8">
      <c r="A44" s="201">
        <v>45704</v>
      </c>
      <c r="B44" s="15" t="s">
        <v>651</v>
      </c>
      <c r="C44" s="287">
        <v>0</v>
      </c>
      <c r="D44" s="287">
        <v>19344433</v>
      </c>
      <c r="E44" s="284">
        <f t="shared" si="0"/>
        <v>19344433</v>
      </c>
      <c r="F44" s="15" t="s">
        <v>920</v>
      </c>
      <c r="G44" t="s">
        <v>4250</v>
      </c>
      <c r="H44" t="s">
        <v>51</v>
      </c>
    </row>
    <row r="45" spans="1:8">
      <c r="A45" s="201"/>
      <c r="B45" s="15" t="s">
        <v>1659</v>
      </c>
      <c r="C45" s="287">
        <v>331700</v>
      </c>
      <c r="D45" s="287">
        <v>0</v>
      </c>
      <c r="E45" s="284">
        <f t="shared" si="0"/>
        <v>19012733</v>
      </c>
      <c r="F45" s="15" t="s">
        <v>8</v>
      </c>
      <c r="G45" s="15" t="s">
        <v>14</v>
      </c>
      <c r="H45" t="s">
        <v>314</v>
      </c>
    </row>
    <row r="46" spans="1:8">
      <c r="A46" s="201"/>
      <c r="B46" s="15" t="s">
        <v>1660</v>
      </c>
      <c r="C46" s="287">
        <v>1891815</v>
      </c>
      <c r="D46" s="287">
        <v>0</v>
      </c>
      <c r="E46" s="284">
        <f t="shared" si="0"/>
        <v>17120918</v>
      </c>
      <c r="F46" s="15" t="s">
        <v>1643</v>
      </c>
      <c r="G46" s="15" t="s">
        <v>5</v>
      </c>
      <c r="H46" t="s">
        <v>1352</v>
      </c>
    </row>
    <row r="47" spans="1:8">
      <c r="A47" s="201"/>
      <c r="B47" s="15" t="s">
        <v>1661</v>
      </c>
      <c r="C47" s="287">
        <v>10000</v>
      </c>
      <c r="D47" s="287">
        <v>0</v>
      </c>
      <c r="E47" s="284">
        <f t="shared" si="0"/>
        <v>17110918</v>
      </c>
      <c r="F47" s="15" t="s">
        <v>19</v>
      </c>
      <c r="G47" s="15" t="s">
        <v>189</v>
      </c>
    </row>
    <row r="48" spans="1:8" s="8" customFormat="1">
      <c r="A48" s="13"/>
      <c r="B48" s="8" t="s">
        <v>6130</v>
      </c>
      <c r="C48" s="284">
        <v>15000000</v>
      </c>
      <c r="D48" s="284">
        <v>0</v>
      </c>
      <c r="E48" s="284">
        <f t="shared" si="0"/>
        <v>2110918</v>
      </c>
      <c r="F48" s="8" t="s">
        <v>8</v>
      </c>
      <c r="G48" s="8" t="s">
        <v>78</v>
      </c>
      <c r="H48" s="8" t="s">
        <v>26</v>
      </c>
    </row>
    <row r="49" spans="1:8" s="8" customFormat="1">
      <c r="A49" s="13"/>
      <c r="B49" s="8" t="s">
        <v>6131</v>
      </c>
      <c r="C49" s="284">
        <v>609818</v>
      </c>
      <c r="D49" s="284">
        <v>0</v>
      </c>
      <c r="E49" s="284">
        <f t="shared" si="0"/>
        <v>1501100</v>
      </c>
      <c r="F49" s="8" t="s">
        <v>10</v>
      </c>
      <c r="G49" s="8" t="s">
        <v>76</v>
      </c>
      <c r="H49" s="8" t="s">
        <v>45</v>
      </c>
    </row>
    <row r="50" spans="1:8">
      <c r="A50" s="201"/>
      <c r="B50" s="15" t="s">
        <v>1662</v>
      </c>
      <c r="C50" s="287">
        <v>582200</v>
      </c>
      <c r="D50" s="287">
        <v>0</v>
      </c>
      <c r="E50" s="284">
        <f t="shared" si="0"/>
        <v>918900</v>
      </c>
      <c r="F50" s="15" t="s">
        <v>62</v>
      </c>
      <c r="G50" s="15" t="s">
        <v>70</v>
      </c>
      <c r="H50" t="s">
        <v>308</v>
      </c>
    </row>
    <row r="51" spans="1:8" s="8" customFormat="1">
      <c r="A51" s="13"/>
      <c r="B51" s="8" t="s">
        <v>6132</v>
      </c>
      <c r="C51" s="284">
        <v>764500</v>
      </c>
      <c r="D51" s="284">
        <v>0</v>
      </c>
      <c r="E51" s="284">
        <f t="shared" si="0"/>
        <v>154400</v>
      </c>
      <c r="F51" s="8" t="s">
        <v>1643</v>
      </c>
      <c r="G51" s="8" t="s">
        <v>5</v>
      </c>
      <c r="H51" s="8" t="s">
        <v>1352</v>
      </c>
    </row>
    <row r="52" spans="1:8">
      <c r="A52" s="201"/>
      <c r="B52" s="15" t="s">
        <v>1663</v>
      </c>
      <c r="C52" s="287">
        <v>154400</v>
      </c>
      <c r="D52" s="287">
        <v>0</v>
      </c>
      <c r="E52" s="284">
        <f t="shared" si="0"/>
        <v>0</v>
      </c>
      <c r="F52" s="15" t="s">
        <v>62</v>
      </c>
      <c r="G52" s="15" t="s">
        <v>177</v>
      </c>
    </row>
    <row r="53" spans="1:8">
      <c r="A53" s="201">
        <v>45723</v>
      </c>
      <c r="B53" s="15" t="s">
        <v>1110</v>
      </c>
      <c r="C53" s="287">
        <v>0</v>
      </c>
      <c r="D53" s="287">
        <v>42543985</v>
      </c>
      <c r="E53" s="284">
        <f t="shared" si="0"/>
        <v>42543985</v>
      </c>
      <c r="F53" s="15" t="s">
        <v>920</v>
      </c>
      <c r="G53" t="s">
        <v>4250</v>
      </c>
      <c r="H53" t="s">
        <v>368</v>
      </c>
    </row>
    <row r="54" spans="1:8">
      <c r="A54" s="201"/>
      <c r="B54" s="15" t="s">
        <v>1651</v>
      </c>
      <c r="C54" s="287">
        <v>638085</v>
      </c>
      <c r="D54" s="287">
        <v>0</v>
      </c>
      <c r="E54" s="284">
        <f t="shared" si="0"/>
        <v>41905900</v>
      </c>
      <c r="F54" s="15" t="s">
        <v>1643</v>
      </c>
      <c r="G54" s="15" t="s">
        <v>5</v>
      </c>
      <c r="H54" t="s">
        <v>1352</v>
      </c>
    </row>
    <row r="55" spans="1:8">
      <c r="A55" s="201"/>
      <c r="B55" s="15" t="s">
        <v>1652</v>
      </c>
      <c r="C55" s="287">
        <v>366900</v>
      </c>
      <c r="D55" s="287">
        <v>0</v>
      </c>
      <c r="E55" s="284">
        <f t="shared" si="0"/>
        <v>41539000</v>
      </c>
      <c r="F55" s="15" t="s">
        <v>1643</v>
      </c>
      <c r="G55" s="15" t="s">
        <v>5</v>
      </c>
      <c r="H55" t="s">
        <v>1352</v>
      </c>
    </row>
    <row r="56" spans="1:8">
      <c r="A56" s="201"/>
      <c r="B56" s="15" t="s">
        <v>1653</v>
      </c>
      <c r="C56" s="287">
        <v>41529000</v>
      </c>
      <c r="D56" s="287">
        <v>0</v>
      </c>
      <c r="E56" s="284">
        <f t="shared" si="0"/>
        <v>10000</v>
      </c>
      <c r="F56" s="15" t="s">
        <v>1212</v>
      </c>
      <c r="G56" s="15" t="s">
        <v>367</v>
      </c>
      <c r="H56" t="s">
        <v>6145</v>
      </c>
    </row>
    <row r="57" spans="1:8">
      <c r="A57" s="201"/>
      <c r="B57" s="15" t="s">
        <v>1650</v>
      </c>
      <c r="C57" s="287">
        <v>10000</v>
      </c>
      <c r="D57" s="287">
        <v>0</v>
      </c>
      <c r="E57" s="284">
        <f t="shared" si="0"/>
        <v>0</v>
      </c>
      <c r="F57" s="15" t="s">
        <v>19</v>
      </c>
      <c r="G57" s="15" t="s">
        <v>189</v>
      </c>
    </row>
    <row r="58" spans="1:8">
      <c r="A58" s="201">
        <v>45723</v>
      </c>
      <c r="B58" s="15" t="s">
        <v>1111</v>
      </c>
      <c r="C58" s="287">
        <v>0</v>
      </c>
      <c r="D58" s="287">
        <v>50268470</v>
      </c>
      <c r="E58" s="284">
        <f t="shared" si="0"/>
        <v>50268470</v>
      </c>
      <c r="F58" s="15" t="s">
        <v>920</v>
      </c>
      <c r="G58" t="s">
        <v>4250</v>
      </c>
      <c r="H58" t="s">
        <v>51</v>
      </c>
    </row>
    <row r="59" spans="1:8">
      <c r="A59" s="201"/>
      <c r="B59" s="15" t="s">
        <v>1664</v>
      </c>
      <c r="C59" s="287">
        <v>530000</v>
      </c>
      <c r="D59" s="287">
        <v>0</v>
      </c>
      <c r="E59" s="284">
        <f t="shared" si="0"/>
        <v>49738470</v>
      </c>
      <c r="F59" s="15" t="s">
        <v>1643</v>
      </c>
      <c r="G59" s="15" t="s">
        <v>5</v>
      </c>
      <c r="H59" s="154" t="s">
        <v>1368</v>
      </c>
    </row>
    <row r="60" spans="1:8">
      <c r="A60" s="201"/>
      <c r="B60" s="15" t="s">
        <v>1665</v>
      </c>
      <c r="C60" s="287">
        <v>912500</v>
      </c>
      <c r="D60" s="287">
        <v>0</v>
      </c>
      <c r="E60" s="284">
        <f t="shared" si="0"/>
        <v>48825970</v>
      </c>
      <c r="F60" s="15" t="s">
        <v>1643</v>
      </c>
      <c r="G60" s="15" t="s">
        <v>5</v>
      </c>
      <c r="H60" t="s">
        <v>1368</v>
      </c>
    </row>
    <row r="61" spans="1:8">
      <c r="A61" s="201"/>
      <c r="B61" s="15" t="s">
        <v>1666</v>
      </c>
      <c r="C61" s="287">
        <v>140000</v>
      </c>
      <c r="D61" s="287">
        <v>0</v>
      </c>
      <c r="E61" s="284">
        <f t="shared" si="0"/>
        <v>48685970</v>
      </c>
      <c r="F61" s="15" t="s">
        <v>1643</v>
      </c>
      <c r="G61" s="15" t="s">
        <v>5</v>
      </c>
      <c r="H61" t="s">
        <v>1368</v>
      </c>
    </row>
    <row r="62" spans="1:8">
      <c r="A62" s="201"/>
      <c r="B62" s="15" t="s">
        <v>1667</v>
      </c>
      <c r="C62" s="287">
        <v>2502000</v>
      </c>
      <c r="D62" s="287">
        <v>0</v>
      </c>
      <c r="E62" s="284">
        <f t="shared" si="0"/>
        <v>46183970</v>
      </c>
      <c r="F62" s="15" t="s">
        <v>1643</v>
      </c>
      <c r="G62" s="15" t="s">
        <v>5</v>
      </c>
      <c r="H62" t="s">
        <v>1368</v>
      </c>
    </row>
    <row r="63" spans="1:8">
      <c r="A63" s="201"/>
      <c r="B63" s="15" t="s">
        <v>1668</v>
      </c>
      <c r="C63" s="287">
        <v>6000000</v>
      </c>
      <c r="D63" s="287">
        <v>0</v>
      </c>
      <c r="E63" s="284">
        <f t="shared" si="0"/>
        <v>40183970</v>
      </c>
      <c r="F63" s="15" t="s">
        <v>1643</v>
      </c>
      <c r="G63" s="15" t="s">
        <v>5</v>
      </c>
      <c r="H63" t="s">
        <v>1368</v>
      </c>
    </row>
    <row r="64" spans="1:8">
      <c r="A64" s="201"/>
      <c r="B64" s="15" t="s">
        <v>1669</v>
      </c>
      <c r="C64" s="287">
        <v>1573000</v>
      </c>
      <c r="D64" s="287">
        <v>0</v>
      </c>
      <c r="E64" s="284">
        <f t="shared" si="0"/>
        <v>38610970</v>
      </c>
      <c r="F64" s="15" t="s">
        <v>1643</v>
      </c>
      <c r="G64" s="15" t="s">
        <v>5</v>
      </c>
      <c r="H64" t="s">
        <v>1368</v>
      </c>
    </row>
    <row r="65" spans="1:8">
      <c r="A65" s="201"/>
      <c r="B65" s="15" t="s">
        <v>1670</v>
      </c>
      <c r="C65" s="287">
        <v>105000</v>
      </c>
      <c r="D65" s="287">
        <v>0</v>
      </c>
      <c r="E65" s="284">
        <f t="shared" si="0"/>
        <v>38505970</v>
      </c>
      <c r="F65" s="15" t="s">
        <v>1643</v>
      </c>
      <c r="G65" s="15" t="s">
        <v>5</v>
      </c>
      <c r="H65" t="s">
        <v>1368</v>
      </c>
    </row>
    <row r="66" spans="1:8">
      <c r="A66" s="201"/>
      <c r="B66" s="15" t="s">
        <v>1671</v>
      </c>
      <c r="C66" s="287">
        <v>578600</v>
      </c>
      <c r="D66" s="287">
        <v>0</v>
      </c>
      <c r="E66" s="284">
        <f t="shared" si="0"/>
        <v>37927370</v>
      </c>
      <c r="F66" s="15" t="s">
        <v>1643</v>
      </c>
      <c r="G66" s="15" t="s">
        <v>5</v>
      </c>
      <c r="H66" t="s">
        <v>1368</v>
      </c>
    </row>
    <row r="67" spans="1:8">
      <c r="A67" s="201"/>
      <c r="B67" s="15" t="s">
        <v>1672</v>
      </c>
      <c r="C67" s="287">
        <v>424800</v>
      </c>
      <c r="D67" s="287">
        <v>0</v>
      </c>
      <c r="E67" s="284">
        <f t="shared" si="0"/>
        <v>37502570</v>
      </c>
      <c r="F67" s="15" t="s">
        <v>1643</v>
      </c>
      <c r="G67" s="15" t="s">
        <v>5</v>
      </c>
      <c r="H67" t="s">
        <v>1368</v>
      </c>
    </row>
    <row r="68" spans="1:8">
      <c r="A68" s="201"/>
      <c r="B68" s="15" t="s">
        <v>1673</v>
      </c>
      <c r="C68" s="287">
        <v>6782600</v>
      </c>
      <c r="D68" s="287">
        <v>0</v>
      </c>
      <c r="E68" s="284">
        <f t="shared" si="0"/>
        <v>30719970</v>
      </c>
      <c r="F68" s="15" t="s">
        <v>1643</v>
      </c>
      <c r="G68" s="15" t="s">
        <v>5</v>
      </c>
      <c r="H68" t="s">
        <v>1368</v>
      </c>
    </row>
    <row r="69" spans="1:8">
      <c r="A69" s="201"/>
      <c r="B69" s="15" t="s">
        <v>1674</v>
      </c>
      <c r="C69" s="287">
        <v>530000</v>
      </c>
      <c r="D69" s="287">
        <v>0</v>
      </c>
      <c r="E69" s="284">
        <f t="shared" si="0"/>
        <v>30189970</v>
      </c>
      <c r="F69" s="15" t="s">
        <v>1643</v>
      </c>
      <c r="G69" s="15" t="s">
        <v>5</v>
      </c>
      <c r="H69" s="43" t="s">
        <v>1445</v>
      </c>
    </row>
    <row r="70" spans="1:8">
      <c r="A70" s="201"/>
      <c r="B70" s="15" t="s">
        <v>1661</v>
      </c>
      <c r="C70" s="287">
        <v>10000</v>
      </c>
      <c r="D70" s="287">
        <v>0</v>
      </c>
      <c r="E70" s="284">
        <f t="shared" ref="E70:E133" si="1">E69-C70+D70</f>
        <v>30179970</v>
      </c>
      <c r="F70" s="15" t="s">
        <v>19</v>
      </c>
      <c r="G70" s="15" t="s">
        <v>189</v>
      </c>
    </row>
    <row r="71" spans="1:8" s="8" customFormat="1">
      <c r="A71" s="13"/>
      <c r="B71" s="8" t="s">
        <v>6133</v>
      </c>
      <c r="C71" s="290">
        <v>567600</v>
      </c>
      <c r="D71" s="290">
        <v>0</v>
      </c>
      <c r="E71" s="284">
        <f t="shared" si="1"/>
        <v>29612370</v>
      </c>
      <c r="F71" s="8" t="s">
        <v>62</v>
      </c>
      <c r="G71" s="8" t="s">
        <v>63</v>
      </c>
      <c r="H71" s="8" t="s">
        <v>308</v>
      </c>
    </row>
    <row r="72" spans="1:8" s="8" customFormat="1">
      <c r="A72" s="13"/>
      <c r="B72" s="8" t="s">
        <v>6151</v>
      </c>
      <c r="C72" s="290">
        <f>24510070/2</f>
        <v>12255035</v>
      </c>
      <c r="D72" s="290">
        <v>0</v>
      </c>
      <c r="E72" s="284">
        <f t="shared" si="1"/>
        <v>17357335</v>
      </c>
      <c r="F72" s="8" t="s">
        <v>1212</v>
      </c>
      <c r="G72" s="8" t="s">
        <v>367</v>
      </c>
      <c r="H72" s="8" t="s">
        <v>6152</v>
      </c>
    </row>
    <row r="73" spans="1:8" s="8" customFormat="1">
      <c r="A73" s="13"/>
      <c r="B73" s="8" t="s">
        <v>6151</v>
      </c>
      <c r="C73" s="290">
        <f>24510070-C72</f>
        <v>12255035</v>
      </c>
      <c r="D73" s="290">
        <v>0</v>
      </c>
      <c r="E73" s="284">
        <f t="shared" si="1"/>
        <v>5102300</v>
      </c>
      <c r="F73" s="8" t="s">
        <v>1212</v>
      </c>
      <c r="G73" s="8" t="s">
        <v>367</v>
      </c>
      <c r="H73" s="8" t="s">
        <v>6153</v>
      </c>
    </row>
    <row r="74" spans="1:8" s="8" customFormat="1">
      <c r="A74" s="13"/>
      <c r="B74" s="8" t="s">
        <v>1675</v>
      </c>
      <c r="C74" s="290">
        <v>4303600</v>
      </c>
      <c r="D74" s="290">
        <v>0</v>
      </c>
      <c r="E74" s="284">
        <f t="shared" si="1"/>
        <v>798700</v>
      </c>
      <c r="F74" s="8" t="s">
        <v>62</v>
      </c>
      <c r="G74" s="8" t="s">
        <v>70</v>
      </c>
      <c r="H74" s="8" t="s">
        <v>308</v>
      </c>
    </row>
    <row r="75" spans="1:8">
      <c r="A75" s="201"/>
      <c r="B75" s="15" t="s">
        <v>1676</v>
      </c>
      <c r="C75" s="287">
        <v>798700</v>
      </c>
      <c r="D75" s="287">
        <v>0</v>
      </c>
      <c r="E75" s="284">
        <f t="shared" si="1"/>
        <v>0</v>
      </c>
      <c r="F75" s="15" t="s">
        <v>62</v>
      </c>
      <c r="G75" s="15" t="s">
        <v>70</v>
      </c>
      <c r="H75" t="s">
        <v>308</v>
      </c>
    </row>
    <row r="76" spans="1:8">
      <c r="A76" s="201">
        <v>45723</v>
      </c>
      <c r="B76" s="15" t="s">
        <v>1113</v>
      </c>
      <c r="C76" s="287">
        <v>0</v>
      </c>
      <c r="D76" s="287">
        <v>14245427</v>
      </c>
      <c r="E76" s="284">
        <f t="shared" si="1"/>
        <v>14245427</v>
      </c>
      <c r="F76" s="15" t="s">
        <v>920</v>
      </c>
      <c r="G76" t="s">
        <v>4250</v>
      </c>
      <c r="H76" t="s">
        <v>100</v>
      </c>
    </row>
    <row r="77" spans="1:8">
      <c r="A77" s="201"/>
      <c r="B77" s="15" t="s">
        <v>1677</v>
      </c>
      <c r="C77" s="287">
        <v>330000</v>
      </c>
      <c r="D77" s="287">
        <v>0</v>
      </c>
      <c r="E77" s="284">
        <f t="shared" si="1"/>
        <v>13915427</v>
      </c>
      <c r="F77" s="15" t="s">
        <v>1643</v>
      </c>
      <c r="G77" s="15" t="s">
        <v>5</v>
      </c>
      <c r="H77" s="40" t="s">
        <v>757</v>
      </c>
    </row>
    <row r="78" spans="1:8">
      <c r="A78" s="201"/>
      <c r="B78" s="15" t="s">
        <v>1678</v>
      </c>
      <c r="C78" s="287">
        <v>1035000</v>
      </c>
      <c r="D78" s="287">
        <v>0</v>
      </c>
      <c r="E78" s="284">
        <f t="shared" si="1"/>
        <v>12880427</v>
      </c>
      <c r="F78" s="15" t="s">
        <v>1643</v>
      </c>
      <c r="G78" s="15" t="s">
        <v>5</v>
      </c>
      <c r="H78" s="40" t="s">
        <v>757</v>
      </c>
    </row>
    <row r="79" spans="1:8">
      <c r="A79" s="201"/>
      <c r="B79" s="15" t="s">
        <v>1679</v>
      </c>
      <c r="C79" s="287">
        <v>129000</v>
      </c>
      <c r="D79" s="287">
        <v>0</v>
      </c>
      <c r="E79" s="284">
        <f t="shared" si="1"/>
        <v>12751427</v>
      </c>
      <c r="F79" s="15" t="s">
        <v>1643</v>
      </c>
      <c r="G79" s="15" t="s">
        <v>5</v>
      </c>
      <c r="H79" s="40" t="s">
        <v>757</v>
      </c>
    </row>
    <row r="80" spans="1:8">
      <c r="A80" s="201"/>
      <c r="B80" s="15" t="s">
        <v>1680</v>
      </c>
      <c r="C80" s="287">
        <v>4500012</v>
      </c>
      <c r="D80" s="287">
        <v>0</v>
      </c>
      <c r="E80" s="284">
        <f t="shared" si="1"/>
        <v>8251415</v>
      </c>
      <c r="F80" s="15" t="s">
        <v>1643</v>
      </c>
      <c r="G80" s="15" t="s">
        <v>5</v>
      </c>
      <c r="H80" t="s">
        <v>1352</v>
      </c>
    </row>
    <row r="81" spans="1:8">
      <c r="B81" t="s">
        <v>1681</v>
      </c>
      <c r="C81" s="283">
        <v>505600</v>
      </c>
      <c r="D81" s="283">
        <v>0</v>
      </c>
      <c r="E81" s="284">
        <f t="shared" si="1"/>
        <v>7745815</v>
      </c>
      <c r="F81" t="s">
        <v>1643</v>
      </c>
      <c r="G81" t="s">
        <v>5</v>
      </c>
      <c r="H81" t="s">
        <v>1352</v>
      </c>
    </row>
    <row r="82" spans="1:8">
      <c r="B82" t="s">
        <v>1681</v>
      </c>
      <c r="C82" s="283">
        <v>700000</v>
      </c>
      <c r="D82" s="283">
        <v>0</v>
      </c>
      <c r="E82" s="284">
        <f t="shared" si="1"/>
        <v>7045815</v>
      </c>
      <c r="F82" t="s">
        <v>1643</v>
      </c>
      <c r="G82" t="s">
        <v>5</v>
      </c>
      <c r="H82" t="s">
        <v>1352</v>
      </c>
    </row>
    <row r="83" spans="1:8">
      <c r="B83" t="s">
        <v>1682</v>
      </c>
      <c r="C83" s="283">
        <v>700000</v>
      </c>
      <c r="D83" s="283">
        <v>0</v>
      </c>
      <c r="E83" s="284">
        <f t="shared" si="1"/>
        <v>6345815</v>
      </c>
      <c r="F83" t="s">
        <v>1643</v>
      </c>
      <c r="G83" t="s">
        <v>5</v>
      </c>
      <c r="H83" t="s">
        <v>1352</v>
      </c>
    </row>
    <row r="84" spans="1:8">
      <c r="B84" t="s">
        <v>1683</v>
      </c>
      <c r="C84" s="283">
        <v>927000</v>
      </c>
      <c r="D84" s="283">
        <v>0</v>
      </c>
      <c r="E84" s="284">
        <f t="shared" si="1"/>
        <v>5418815</v>
      </c>
      <c r="F84" t="s">
        <v>1643</v>
      </c>
      <c r="G84" t="s">
        <v>5</v>
      </c>
      <c r="H84" t="s">
        <v>1352</v>
      </c>
    </row>
    <row r="85" spans="1:8">
      <c r="B85" t="s">
        <v>1684</v>
      </c>
      <c r="C85" s="283">
        <v>514800</v>
      </c>
      <c r="D85" s="283">
        <v>0</v>
      </c>
      <c r="E85" s="284">
        <f t="shared" si="1"/>
        <v>4904015</v>
      </c>
      <c r="F85" t="s">
        <v>62</v>
      </c>
      <c r="G85" t="s">
        <v>63</v>
      </c>
    </row>
    <row r="86" spans="1:8">
      <c r="B86" t="s">
        <v>1685</v>
      </c>
      <c r="C86" s="283">
        <v>7500</v>
      </c>
      <c r="D86" s="283">
        <v>0</v>
      </c>
      <c r="E86" s="284">
        <f t="shared" si="1"/>
        <v>4896515</v>
      </c>
      <c r="F86" t="s">
        <v>19</v>
      </c>
      <c r="G86" t="s">
        <v>189</v>
      </c>
    </row>
    <row r="87" spans="1:8">
      <c r="B87" t="s">
        <v>1686</v>
      </c>
      <c r="C87" s="283">
        <v>1563000</v>
      </c>
      <c r="D87" s="283">
        <v>0</v>
      </c>
      <c r="E87" s="284">
        <f t="shared" si="1"/>
        <v>3333515</v>
      </c>
      <c r="F87" t="s">
        <v>1643</v>
      </c>
      <c r="G87" t="s">
        <v>5</v>
      </c>
      <c r="H87" t="s">
        <v>433</v>
      </c>
    </row>
    <row r="88" spans="1:8">
      <c r="B88" t="s">
        <v>1687</v>
      </c>
      <c r="C88" s="283">
        <v>3323515</v>
      </c>
      <c r="D88" s="283">
        <v>0</v>
      </c>
      <c r="E88" s="284">
        <f t="shared" si="1"/>
        <v>10000</v>
      </c>
      <c r="F88" t="s">
        <v>1643</v>
      </c>
      <c r="G88" t="s">
        <v>5</v>
      </c>
      <c r="H88" t="s">
        <v>1352</v>
      </c>
    </row>
    <row r="89" spans="1:8">
      <c r="B89" t="s">
        <v>1650</v>
      </c>
      <c r="C89" s="283">
        <v>10000</v>
      </c>
      <c r="D89" s="283">
        <v>0</v>
      </c>
      <c r="E89" s="284">
        <f t="shared" si="1"/>
        <v>0</v>
      </c>
      <c r="F89" t="s">
        <v>19</v>
      </c>
      <c r="G89" t="s">
        <v>189</v>
      </c>
    </row>
    <row r="90" spans="1:8">
      <c r="A90" s="201">
        <v>45750</v>
      </c>
      <c r="B90" s="15" t="s">
        <v>1176</v>
      </c>
      <c r="C90" s="287">
        <v>0</v>
      </c>
      <c r="D90" s="287">
        <v>52826855</v>
      </c>
      <c r="E90" s="284">
        <f t="shared" si="1"/>
        <v>52826855</v>
      </c>
      <c r="F90" s="15" t="s">
        <v>920</v>
      </c>
      <c r="G90" t="s">
        <v>4250</v>
      </c>
      <c r="H90" t="s">
        <v>368</v>
      </c>
    </row>
    <row r="91" spans="1:8">
      <c r="A91" s="201"/>
      <c r="B91" s="15" t="s">
        <v>1654</v>
      </c>
      <c r="C91" s="287">
        <v>48000000</v>
      </c>
      <c r="D91" s="287">
        <v>0</v>
      </c>
      <c r="E91" s="284">
        <f t="shared" si="1"/>
        <v>4826855</v>
      </c>
      <c r="F91" s="15" t="s">
        <v>1643</v>
      </c>
      <c r="G91" s="15" t="s">
        <v>5</v>
      </c>
      <c r="H91" s="43" t="s">
        <v>1445</v>
      </c>
    </row>
    <row r="92" spans="1:8">
      <c r="A92" s="201"/>
      <c r="B92" s="15" t="s">
        <v>1655</v>
      </c>
      <c r="C92" s="287">
        <v>4809355</v>
      </c>
      <c r="D92" s="287">
        <v>0</v>
      </c>
      <c r="E92" s="284">
        <f t="shared" si="1"/>
        <v>17500</v>
      </c>
      <c r="F92" s="15" t="s">
        <v>1643</v>
      </c>
      <c r="G92" s="15" t="s">
        <v>5</v>
      </c>
      <c r="H92" s="43" t="s">
        <v>1445</v>
      </c>
    </row>
    <row r="93" spans="1:8">
      <c r="A93" s="201"/>
      <c r="B93" s="15" t="s">
        <v>1641</v>
      </c>
      <c r="C93" s="287">
        <v>7500</v>
      </c>
      <c r="D93" s="287">
        <v>0</v>
      </c>
      <c r="E93" s="284">
        <f t="shared" si="1"/>
        <v>10000</v>
      </c>
      <c r="F93" s="15" t="s">
        <v>19</v>
      </c>
      <c r="G93" s="15" t="s">
        <v>189</v>
      </c>
    </row>
    <row r="94" spans="1:8">
      <c r="A94" s="201"/>
      <c r="B94" s="15" t="s">
        <v>1650</v>
      </c>
      <c r="C94" s="287">
        <v>10000</v>
      </c>
      <c r="D94" s="287">
        <v>0</v>
      </c>
      <c r="E94" s="284">
        <f t="shared" si="1"/>
        <v>0</v>
      </c>
      <c r="F94" s="15" t="s">
        <v>19</v>
      </c>
      <c r="G94" s="15" t="s">
        <v>189</v>
      </c>
    </row>
    <row r="95" spans="1:8">
      <c r="A95" s="201">
        <v>45750</v>
      </c>
      <c r="B95" s="15" t="s">
        <v>1178</v>
      </c>
      <c r="C95" s="287">
        <v>0</v>
      </c>
      <c r="D95" s="287">
        <v>11298113</v>
      </c>
      <c r="E95" s="284">
        <f t="shared" si="1"/>
        <v>11298113</v>
      </c>
      <c r="F95" s="15" t="s">
        <v>920</v>
      </c>
      <c r="G95" t="s">
        <v>4250</v>
      </c>
      <c r="H95" t="s">
        <v>100</v>
      </c>
    </row>
    <row r="96" spans="1:8">
      <c r="A96" s="201"/>
      <c r="B96" s="15" t="s">
        <v>1688</v>
      </c>
      <c r="C96" s="287">
        <v>110000</v>
      </c>
      <c r="D96" s="287">
        <v>0</v>
      </c>
      <c r="E96" s="284">
        <f t="shared" si="1"/>
        <v>11188113</v>
      </c>
      <c r="F96" s="15" t="s">
        <v>1643</v>
      </c>
      <c r="G96" s="15" t="s">
        <v>5</v>
      </c>
      <c r="H96" s="154" t="s">
        <v>1364</v>
      </c>
    </row>
    <row r="97" spans="1:8">
      <c r="A97" s="201"/>
      <c r="B97" s="15" t="s">
        <v>1689</v>
      </c>
      <c r="C97" s="287">
        <v>933000</v>
      </c>
      <c r="D97" s="287">
        <v>0</v>
      </c>
      <c r="E97" s="284">
        <f t="shared" si="1"/>
        <v>10255113</v>
      </c>
      <c r="F97" s="15" t="s">
        <v>1643</v>
      </c>
      <c r="G97" s="15" t="s">
        <v>5</v>
      </c>
      <c r="H97" s="154" t="s">
        <v>1364</v>
      </c>
    </row>
    <row r="98" spans="1:8">
      <c r="A98" s="201"/>
      <c r="B98" s="15" t="s">
        <v>1690</v>
      </c>
      <c r="C98" s="287">
        <v>261000</v>
      </c>
      <c r="D98" s="287">
        <v>0</v>
      </c>
      <c r="E98" s="284">
        <f t="shared" si="1"/>
        <v>9994113</v>
      </c>
      <c r="F98" s="15" t="s">
        <v>1643</v>
      </c>
      <c r="G98" s="15" t="s">
        <v>5</v>
      </c>
      <c r="H98" s="154" t="s">
        <v>1364</v>
      </c>
    </row>
    <row r="99" spans="1:8">
      <c r="A99" s="201"/>
      <c r="B99" s="15" t="s">
        <v>1691</v>
      </c>
      <c r="C99" s="287">
        <v>7500</v>
      </c>
      <c r="D99" s="287">
        <v>0</v>
      </c>
      <c r="E99" s="284">
        <f t="shared" si="1"/>
        <v>9986613</v>
      </c>
      <c r="F99" s="15" t="s">
        <v>19</v>
      </c>
      <c r="G99" s="15" t="s">
        <v>189</v>
      </c>
    </row>
    <row r="100" spans="1:8">
      <c r="A100" s="201"/>
      <c r="B100" s="15" t="s">
        <v>1692</v>
      </c>
      <c r="C100" s="287">
        <v>997000</v>
      </c>
      <c r="D100" s="287">
        <v>0</v>
      </c>
      <c r="E100" s="284">
        <f t="shared" si="1"/>
        <v>8989613</v>
      </c>
      <c r="F100" s="15" t="s">
        <v>1643</v>
      </c>
      <c r="G100" s="15" t="s">
        <v>5</v>
      </c>
      <c r="H100" s="154" t="s">
        <v>1364</v>
      </c>
    </row>
    <row r="101" spans="1:8">
      <c r="A101" s="201"/>
      <c r="B101" s="15" t="s">
        <v>1693</v>
      </c>
      <c r="C101" s="287">
        <v>1154615</v>
      </c>
      <c r="D101" s="287">
        <v>0</v>
      </c>
      <c r="E101" s="284">
        <f t="shared" si="1"/>
        <v>7834998</v>
      </c>
      <c r="F101" s="15" t="s">
        <v>21</v>
      </c>
      <c r="G101" s="15" t="s">
        <v>187</v>
      </c>
    </row>
    <row r="102" spans="1:8">
      <c r="A102" s="201"/>
      <c r="B102" s="15" t="s">
        <v>1694</v>
      </c>
      <c r="C102" s="287">
        <v>331000</v>
      </c>
      <c r="D102" s="287">
        <v>0</v>
      </c>
      <c r="E102" s="284">
        <f t="shared" si="1"/>
        <v>7503998</v>
      </c>
      <c r="F102" s="15" t="s">
        <v>8</v>
      </c>
      <c r="G102" s="15" t="s">
        <v>14</v>
      </c>
      <c r="H102" t="s">
        <v>314</v>
      </c>
    </row>
    <row r="103" spans="1:8">
      <c r="A103" s="201"/>
      <c r="B103" s="15" t="s">
        <v>1695</v>
      </c>
      <c r="C103" s="287">
        <v>1711908</v>
      </c>
      <c r="D103" s="287">
        <v>0</v>
      </c>
      <c r="E103" s="284">
        <f t="shared" si="1"/>
        <v>5792090</v>
      </c>
      <c r="F103" s="15" t="s">
        <v>1643</v>
      </c>
      <c r="G103" s="15" t="s">
        <v>5</v>
      </c>
      <c r="H103" s="154" t="s">
        <v>1376</v>
      </c>
    </row>
    <row r="104" spans="1:8">
      <c r="A104" s="201"/>
      <c r="B104" s="15" t="s">
        <v>1696</v>
      </c>
      <c r="C104" s="287">
        <v>311905</v>
      </c>
      <c r="D104" s="287">
        <v>0</v>
      </c>
      <c r="E104" s="284">
        <f t="shared" si="1"/>
        <v>5480185</v>
      </c>
      <c r="F104" s="15" t="s">
        <v>1643</v>
      </c>
      <c r="G104" s="15" t="s">
        <v>5</v>
      </c>
      <c r="H104" s="154" t="s">
        <v>1376</v>
      </c>
    </row>
    <row r="105" spans="1:8">
      <c r="A105" s="201"/>
      <c r="B105" s="15" t="s">
        <v>1697</v>
      </c>
      <c r="C105" s="287">
        <v>153010</v>
      </c>
      <c r="D105" s="287">
        <v>0</v>
      </c>
      <c r="E105" s="284">
        <f t="shared" si="1"/>
        <v>5327175</v>
      </c>
      <c r="F105" s="15" t="s">
        <v>1643</v>
      </c>
      <c r="G105" s="15" t="s">
        <v>5</v>
      </c>
      <c r="H105" s="154" t="s">
        <v>1376</v>
      </c>
    </row>
    <row r="106" spans="1:8">
      <c r="A106" s="201"/>
      <c r="B106" s="15" t="s">
        <v>1698</v>
      </c>
      <c r="C106" s="287">
        <v>469480</v>
      </c>
      <c r="D106" s="287">
        <v>0</v>
      </c>
      <c r="E106" s="284">
        <f t="shared" si="1"/>
        <v>4857695</v>
      </c>
      <c r="F106" s="15" t="s">
        <v>1643</v>
      </c>
      <c r="G106" s="15" t="s">
        <v>5</v>
      </c>
      <c r="H106" s="154" t="s">
        <v>1376</v>
      </c>
    </row>
    <row r="107" spans="1:8">
      <c r="A107" s="201"/>
      <c r="B107" s="15" t="s">
        <v>1699</v>
      </c>
      <c r="C107" s="287">
        <v>544500</v>
      </c>
      <c r="D107" s="287">
        <v>0</v>
      </c>
      <c r="E107" s="284">
        <f t="shared" si="1"/>
        <v>4313195</v>
      </c>
      <c r="F107" s="15" t="s">
        <v>1643</v>
      </c>
      <c r="G107" s="15" t="s">
        <v>5</v>
      </c>
      <c r="H107" s="154" t="s">
        <v>1376</v>
      </c>
    </row>
    <row r="108" spans="1:8">
      <c r="A108" s="201"/>
      <c r="B108" s="15" t="s">
        <v>1700</v>
      </c>
      <c r="C108" s="287">
        <v>606380</v>
      </c>
      <c r="D108" s="287">
        <v>0</v>
      </c>
      <c r="E108" s="284">
        <f t="shared" si="1"/>
        <v>3706815</v>
      </c>
      <c r="F108" s="15" t="s">
        <v>1643</v>
      </c>
      <c r="G108" s="15" t="s">
        <v>5</v>
      </c>
      <c r="H108" s="154" t="s">
        <v>1376</v>
      </c>
    </row>
    <row r="109" spans="1:8">
      <c r="A109" s="201"/>
      <c r="B109" s="15" t="s">
        <v>1701</v>
      </c>
      <c r="C109" s="287">
        <v>400000</v>
      </c>
      <c r="D109" s="287">
        <v>0</v>
      </c>
      <c r="E109" s="284">
        <f t="shared" si="1"/>
        <v>3306815</v>
      </c>
      <c r="F109" s="15" t="s">
        <v>1643</v>
      </c>
      <c r="G109" s="15" t="s">
        <v>5</v>
      </c>
      <c r="H109" s="154" t="s">
        <v>1376</v>
      </c>
    </row>
    <row r="110" spans="1:8">
      <c r="A110" s="201"/>
      <c r="B110" s="15" t="s">
        <v>1702</v>
      </c>
      <c r="C110" s="287">
        <v>1016400</v>
      </c>
      <c r="D110" s="287">
        <v>0</v>
      </c>
      <c r="E110" s="284">
        <f t="shared" si="1"/>
        <v>2290415</v>
      </c>
      <c r="F110" s="15" t="s">
        <v>1643</v>
      </c>
      <c r="G110" s="15" t="s">
        <v>5</v>
      </c>
      <c r="H110" s="154" t="s">
        <v>1376</v>
      </c>
    </row>
    <row r="111" spans="1:8">
      <c r="A111" s="201"/>
      <c r="B111" s="15" t="s">
        <v>1703</v>
      </c>
      <c r="C111" s="287">
        <v>114000</v>
      </c>
      <c r="D111" s="287">
        <v>0</v>
      </c>
      <c r="E111" s="284">
        <f t="shared" si="1"/>
        <v>2176415</v>
      </c>
      <c r="F111" s="15" t="s">
        <v>1643</v>
      </c>
      <c r="G111" s="15" t="s">
        <v>5</v>
      </c>
      <c r="H111" s="154" t="s">
        <v>1376</v>
      </c>
    </row>
    <row r="112" spans="1:8">
      <c r="A112" s="201"/>
      <c r="B112" s="15" t="s">
        <v>1693</v>
      </c>
      <c r="C112" s="287">
        <v>1416415</v>
      </c>
      <c r="D112" s="287">
        <v>0</v>
      </c>
      <c r="E112" s="284">
        <f t="shared" si="1"/>
        <v>760000</v>
      </c>
      <c r="F112" s="15" t="s">
        <v>21</v>
      </c>
      <c r="G112" s="15" t="s">
        <v>187</v>
      </c>
    </row>
    <row r="113" spans="1:10">
      <c r="A113" s="201"/>
      <c r="B113" s="15" t="s">
        <v>1704</v>
      </c>
      <c r="C113" s="287">
        <v>750000</v>
      </c>
      <c r="D113" s="287">
        <v>0</v>
      </c>
      <c r="E113" s="284">
        <f t="shared" si="1"/>
        <v>10000</v>
      </c>
      <c r="F113" s="15" t="s">
        <v>8</v>
      </c>
      <c r="G113" s="15" t="s">
        <v>184</v>
      </c>
    </row>
    <row r="114" spans="1:10">
      <c r="A114" s="201"/>
      <c r="B114" s="15" t="s">
        <v>1650</v>
      </c>
      <c r="C114" s="287">
        <v>10000</v>
      </c>
      <c r="D114" s="287">
        <v>0</v>
      </c>
      <c r="E114" s="284">
        <f t="shared" si="1"/>
        <v>0</v>
      </c>
      <c r="F114" s="15" t="s">
        <v>19</v>
      </c>
      <c r="G114" s="15" t="s">
        <v>189</v>
      </c>
    </row>
    <row r="115" spans="1:10">
      <c r="A115" s="201">
        <v>45705</v>
      </c>
      <c r="B115" s="15" t="s">
        <v>903</v>
      </c>
      <c r="C115" s="287">
        <v>0</v>
      </c>
      <c r="D115" s="287">
        <v>15002455</v>
      </c>
      <c r="E115" s="284">
        <f t="shared" si="1"/>
        <v>15002455</v>
      </c>
      <c r="F115" s="15" t="s">
        <v>920</v>
      </c>
      <c r="G115" s="80" t="s">
        <v>352</v>
      </c>
      <c r="H115" s="8" t="s">
        <v>6471</v>
      </c>
    </row>
    <row r="116" spans="1:10">
      <c r="A116" s="201">
        <v>45705</v>
      </c>
      <c r="B116" s="15" t="s">
        <v>904</v>
      </c>
      <c r="C116" s="287">
        <v>0</v>
      </c>
      <c r="D116" s="287">
        <v>33153049</v>
      </c>
      <c r="E116" s="284">
        <f t="shared" si="1"/>
        <v>48155504</v>
      </c>
      <c r="F116" s="15" t="s">
        <v>920</v>
      </c>
      <c r="G116" s="80" t="s">
        <v>352</v>
      </c>
      <c r="H116" s="8" t="s">
        <v>6471</v>
      </c>
    </row>
    <row r="117" spans="1:10" s="8" customFormat="1">
      <c r="A117" s="13">
        <v>45705</v>
      </c>
      <c r="B117" s="8" t="s">
        <v>905</v>
      </c>
      <c r="C117" s="287">
        <v>0</v>
      </c>
      <c r="D117" s="284">
        <v>22992555</v>
      </c>
      <c r="E117" s="284">
        <f t="shared" si="1"/>
        <v>71148059</v>
      </c>
      <c r="F117" s="15" t="s">
        <v>920</v>
      </c>
      <c r="G117" s="80" t="s">
        <v>352</v>
      </c>
      <c r="H117" s="8" t="s">
        <v>6471</v>
      </c>
      <c r="J117" s="15"/>
    </row>
    <row r="118" spans="1:10" s="8" customFormat="1">
      <c r="A118" s="13"/>
      <c r="B118" s="8" t="s">
        <v>1705</v>
      </c>
      <c r="C118" s="287">
        <v>418700</v>
      </c>
      <c r="D118" s="284">
        <v>0</v>
      </c>
      <c r="E118" s="284">
        <f t="shared" si="1"/>
        <v>70729359</v>
      </c>
      <c r="F118" s="15" t="s">
        <v>8</v>
      </c>
      <c r="G118" s="15" t="s">
        <v>14</v>
      </c>
      <c r="H118" s="8" t="s">
        <v>370</v>
      </c>
      <c r="J118" s="15"/>
    </row>
    <row r="119" spans="1:10" s="8" customFormat="1">
      <c r="A119" s="13"/>
      <c r="B119" s="8" t="s">
        <v>1706</v>
      </c>
      <c r="C119" s="287">
        <v>405300</v>
      </c>
      <c r="D119" s="284">
        <v>0</v>
      </c>
      <c r="E119" s="284">
        <f t="shared" si="1"/>
        <v>70324059</v>
      </c>
      <c r="F119" s="15" t="s">
        <v>8</v>
      </c>
      <c r="G119" s="15" t="s">
        <v>14</v>
      </c>
      <c r="H119" s="8" t="s">
        <v>370</v>
      </c>
      <c r="J119" s="15"/>
    </row>
    <row r="120" spans="1:10" s="8" customFormat="1">
      <c r="A120" s="13"/>
      <c r="B120" s="8" t="s">
        <v>1707</v>
      </c>
      <c r="C120" s="287">
        <v>2108052</v>
      </c>
      <c r="D120" s="284">
        <v>0</v>
      </c>
      <c r="E120" s="284">
        <f t="shared" si="1"/>
        <v>68216007</v>
      </c>
      <c r="F120" s="15" t="s">
        <v>1643</v>
      </c>
      <c r="G120" s="15" t="s">
        <v>5</v>
      </c>
      <c r="H120" s="8" t="s">
        <v>1352</v>
      </c>
      <c r="J120" s="15"/>
    </row>
    <row r="121" spans="1:10" s="8" customFormat="1">
      <c r="A121" s="13"/>
      <c r="B121" s="8" t="s">
        <v>1708</v>
      </c>
      <c r="C121" s="287">
        <v>0</v>
      </c>
      <c r="D121" s="284">
        <v>9926700</v>
      </c>
      <c r="E121" s="284">
        <f t="shared" si="1"/>
        <v>78142707</v>
      </c>
      <c r="F121" s="15" t="s">
        <v>1400</v>
      </c>
      <c r="G121" s="15" t="s">
        <v>1400</v>
      </c>
      <c r="J121" s="15"/>
    </row>
    <row r="122" spans="1:10" s="8" customFormat="1">
      <c r="A122" s="13"/>
      <c r="B122" s="8" t="s">
        <v>1708</v>
      </c>
      <c r="C122" s="287">
        <v>9926700</v>
      </c>
      <c r="D122" s="284">
        <v>0</v>
      </c>
      <c r="E122" s="284">
        <f t="shared" si="1"/>
        <v>68216007</v>
      </c>
      <c r="F122" s="15" t="s">
        <v>1400</v>
      </c>
      <c r="G122" s="15" t="s">
        <v>1400</v>
      </c>
      <c r="J122" s="15"/>
    </row>
    <row r="123" spans="1:10" s="8" customFormat="1">
      <c r="A123" s="13"/>
      <c r="B123" s="8" t="s">
        <v>1709</v>
      </c>
      <c r="C123" s="287">
        <v>0</v>
      </c>
      <c r="D123" s="284">
        <v>3810000</v>
      </c>
      <c r="E123" s="284">
        <f t="shared" si="1"/>
        <v>72026007</v>
      </c>
      <c r="F123" s="15" t="s">
        <v>10</v>
      </c>
      <c r="G123" s="15" t="s">
        <v>76</v>
      </c>
      <c r="H123" s="8" t="s">
        <v>57</v>
      </c>
      <c r="J123" s="15"/>
    </row>
    <row r="124" spans="1:10" s="8" customFormat="1">
      <c r="A124" s="13"/>
      <c r="B124" s="8" t="s">
        <v>1710</v>
      </c>
      <c r="C124" s="287">
        <v>336200</v>
      </c>
      <c r="D124" s="284">
        <v>0</v>
      </c>
      <c r="E124" s="284">
        <f t="shared" si="1"/>
        <v>71689807</v>
      </c>
      <c r="F124" s="15" t="s">
        <v>8</v>
      </c>
      <c r="G124" s="15" t="s">
        <v>14</v>
      </c>
      <c r="H124" s="8" t="s">
        <v>314</v>
      </c>
      <c r="J124" s="15"/>
    </row>
    <row r="125" spans="1:10" s="8" customFormat="1">
      <c r="A125" s="13"/>
      <c r="B125" s="8" t="s">
        <v>1711</v>
      </c>
      <c r="C125" s="287">
        <v>94000</v>
      </c>
      <c r="D125" s="284">
        <v>0</v>
      </c>
      <c r="E125" s="284">
        <f t="shared" si="1"/>
        <v>71595807</v>
      </c>
      <c r="F125" s="15" t="s">
        <v>1643</v>
      </c>
      <c r="G125" s="15" t="s">
        <v>5</v>
      </c>
      <c r="H125" s="8" t="s">
        <v>1352</v>
      </c>
      <c r="J125" s="15"/>
    </row>
    <row r="126" spans="1:10" s="8" customFormat="1">
      <c r="A126" s="13"/>
      <c r="B126" s="8" t="s">
        <v>1712</v>
      </c>
      <c r="C126" s="287">
        <v>377500</v>
      </c>
      <c r="D126" s="284">
        <v>0</v>
      </c>
      <c r="E126" s="284">
        <f t="shared" si="1"/>
        <v>71218307</v>
      </c>
      <c r="F126" s="15" t="s">
        <v>8</v>
      </c>
      <c r="G126" s="15" t="s">
        <v>14</v>
      </c>
      <c r="H126" s="8" t="s">
        <v>370</v>
      </c>
      <c r="J126" s="15"/>
    </row>
    <row r="127" spans="1:10" s="8" customFormat="1">
      <c r="A127" s="13"/>
      <c r="B127" s="8" t="s">
        <v>1713</v>
      </c>
      <c r="C127" s="287">
        <v>235500</v>
      </c>
      <c r="D127" s="284">
        <v>0</v>
      </c>
      <c r="E127" s="284">
        <f t="shared" si="1"/>
        <v>70982807</v>
      </c>
      <c r="F127" s="15" t="s">
        <v>1643</v>
      </c>
      <c r="G127" s="15" t="s">
        <v>5</v>
      </c>
      <c r="H127" s="8" t="s">
        <v>1352</v>
      </c>
      <c r="J127" s="15"/>
    </row>
    <row r="128" spans="1:10" s="8" customFormat="1">
      <c r="A128" s="13"/>
      <c r="B128" s="8" t="s">
        <v>1714</v>
      </c>
      <c r="C128" s="287">
        <v>336000</v>
      </c>
      <c r="D128" s="284">
        <v>0</v>
      </c>
      <c r="E128" s="284">
        <f t="shared" si="1"/>
        <v>70646807</v>
      </c>
      <c r="F128" t="s">
        <v>62</v>
      </c>
      <c r="G128" s="15" t="s">
        <v>70</v>
      </c>
      <c r="H128" s="8" t="s">
        <v>1715</v>
      </c>
      <c r="J128" s="15"/>
    </row>
    <row r="129" spans="1:10" s="8" customFormat="1">
      <c r="A129" s="13"/>
      <c r="B129" s="8" t="s">
        <v>1716</v>
      </c>
      <c r="C129" s="287">
        <v>1974000</v>
      </c>
      <c r="D129" s="284">
        <v>0</v>
      </c>
      <c r="E129" s="284">
        <f t="shared" si="1"/>
        <v>68672807</v>
      </c>
      <c r="F129" s="15" t="s">
        <v>1643</v>
      </c>
      <c r="G129" s="15" t="s">
        <v>5</v>
      </c>
      <c r="H129" s="8" t="s">
        <v>1352</v>
      </c>
      <c r="J129" s="15"/>
    </row>
    <row r="130" spans="1:10" s="8" customFormat="1">
      <c r="A130" s="13"/>
      <c r="B130" s="8" t="s">
        <v>1717</v>
      </c>
      <c r="C130" s="287">
        <v>369190</v>
      </c>
      <c r="D130" s="284">
        <v>0</v>
      </c>
      <c r="E130" s="284">
        <f t="shared" si="1"/>
        <v>68303617</v>
      </c>
      <c r="F130" s="15" t="s">
        <v>8</v>
      </c>
      <c r="G130" s="15" t="s">
        <v>14</v>
      </c>
      <c r="H130" s="8" t="s">
        <v>370</v>
      </c>
      <c r="J130" s="15"/>
    </row>
    <row r="131" spans="1:10" s="8" customFormat="1">
      <c r="A131" s="13"/>
      <c r="B131" s="8" t="s">
        <v>1718</v>
      </c>
      <c r="C131" s="287">
        <v>1066948</v>
      </c>
      <c r="D131" s="284">
        <v>0</v>
      </c>
      <c r="E131" s="284">
        <f t="shared" si="1"/>
        <v>67236669</v>
      </c>
      <c r="F131" s="15" t="s">
        <v>1643</v>
      </c>
      <c r="G131" s="15" t="s">
        <v>5</v>
      </c>
      <c r="H131" s="8" t="s">
        <v>1352</v>
      </c>
      <c r="J131" s="15"/>
    </row>
    <row r="132" spans="1:10" s="8" customFormat="1">
      <c r="A132" s="13"/>
      <c r="B132" s="8" t="s">
        <v>1719</v>
      </c>
      <c r="C132" s="287">
        <v>2139584</v>
      </c>
      <c r="D132" s="284">
        <v>0</v>
      </c>
      <c r="E132" s="284">
        <f t="shared" si="1"/>
        <v>65097085</v>
      </c>
      <c r="F132" s="15" t="s">
        <v>1643</v>
      </c>
      <c r="G132" s="15" t="s">
        <v>5</v>
      </c>
      <c r="H132" s="8" t="s">
        <v>1352</v>
      </c>
      <c r="J132" s="15"/>
    </row>
    <row r="133" spans="1:10" s="8" customFormat="1">
      <c r="A133" s="13"/>
      <c r="B133" s="8" t="s">
        <v>1720</v>
      </c>
      <c r="C133" s="287">
        <v>534896</v>
      </c>
      <c r="D133" s="284">
        <v>0</v>
      </c>
      <c r="E133" s="284">
        <f t="shared" si="1"/>
        <v>64562189</v>
      </c>
      <c r="F133" s="15" t="s">
        <v>1643</v>
      </c>
      <c r="G133" s="15" t="s">
        <v>5</v>
      </c>
      <c r="H133" s="8" t="s">
        <v>1352</v>
      </c>
      <c r="J133" s="15"/>
    </row>
    <row r="134" spans="1:10" s="8" customFormat="1">
      <c r="A134" s="13"/>
      <c r="B134" s="8" t="s">
        <v>1721</v>
      </c>
      <c r="C134" s="287">
        <v>550806</v>
      </c>
      <c r="D134" s="284">
        <v>0</v>
      </c>
      <c r="E134" s="284">
        <f t="shared" ref="E134:E197" si="2">E133-C134+D134</f>
        <v>64011383</v>
      </c>
      <c r="F134" s="15" t="s">
        <v>1643</v>
      </c>
      <c r="G134" s="15" t="s">
        <v>5</v>
      </c>
      <c r="H134" s="8" t="s">
        <v>1352</v>
      </c>
      <c r="J134" s="15"/>
    </row>
    <row r="135" spans="1:10" s="8" customFormat="1">
      <c r="A135" s="13"/>
      <c r="B135" s="8" t="s">
        <v>1722</v>
      </c>
      <c r="C135" s="287">
        <v>1870160</v>
      </c>
      <c r="D135" s="284">
        <v>0</v>
      </c>
      <c r="E135" s="284">
        <f t="shared" si="2"/>
        <v>62141223</v>
      </c>
      <c r="F135" s="15" t="s">
        <v>1643</v>
      </c>
      <c r="G135" s="15" t="s">
        <v>5</v>
      </c>
      <c r="H135" s="8" t="s">
        <v>1352</v>
      </c>
      <c r="J135" s="15"/>
    </row>
    <row r="136" spans="1:10" s="8" customFormat="1">
      <c r="A136" s="13"/>
      <c r="B136" s="8" t="s">
        <v>1723</v>
      </c>
      <c r="C136" s="287">
        <v>403420</v>
      </c>
      <c r="D136" s="284">
        <v>0</v>
      </c>
      <c r="E136" s="284">
        <f t="shared" si="2"/>
        <v>61737803</v>
      </c>
      <c r="F136" s="15" t="s">
        <v>8</v>
      </c>
      <c r="G136" s="15" t="s">
        <v>14</v>
      </c>
      <c r="H136" s="8" t="s">
        <v>314</v>
      </c>
      <c r="J136" s="15"/>
    </row>
    <row r="137" spans="1:10" s="8" customFormat="1">
      <c r="A137" s="13"/>
      <c r="B137" s="8" t="s">
        <v>1724</v>
      </c>
      <c r="C137" s="287">
        <v>100000</v>
      </c>
      <c r="D137" s="284">
        <v>0</v>
      </c>
      <c r="E137" s="284">
        <f t="shared" si="2"/>
        <v>61637803</v>
      </c>
      <c r="F137" s="15" t="s">
        <v>19</v>
      </c>
      <c r="G137" s="15" t="s">
        <v>65</v>
      </c>
      <c r="J137" s="15"/>
    </row>
    <row r="138" spans="1:10" s="8" customFormat="1">
      <c r="A138" s="13"/>
      <c r="B138" s="8" t="s">
        <v>1725</v>
      </c>
      <c r="C138" s="287">
        <v>301821</v>
      </c>
      <c r="D138" s="284">
        <v>0</v>
      </c>
      <c r="E138" s="284">
        <f t="shared" si="2"/>
        <v>61335982</v>
      </c>
      <c r="F138" s="15" t="s">
        <v>8</v>
      </c>
      <c r="G138" s="15" t="s">
        <v>32</v>
      </c>
      <c r="J138" s="15"/>
    </row>
    <row r="139" spans="1:10" s="8" customFormat="1">
      <c r="A139" s="13"/>
      <c r="B139" s="8" t="s">
        <v>1726</v>
      </c>
      <c r="C139" s="287">
        <v>200300</v>
      </c>
      <c r="D139" s="284">
        <v>0</v>
      </c>
      <c r="E139" s="284">
        <f t="shared" si="2"/>
        <v>61135682</v>
      </c>
      <c r="F139" s="15" t="s">
        <v>10</v>
      </c>
      <c r="G139" s="15" t="s">
        <v>76</v>
      </c>
      <c r="H139" s="8" t="s">
        <v>57</v>
      </c>
      <c r="I139" s="8" t="s">
        <v>1727</v>
      </c>
      <c r="J139" s="15"/>
    </row>
    <row r="140" spans="1:10" s="8" customFormat="1">
      <c r="A140" s="13"/>
      <c r="B140" s="8" t="s">
        <v>1726</v>
      </c>
      <c r="C140" s="287">
        <v>212200</v>
      </c>
      <c r="D140" s="284">
        <v>0</v>
      </c>
      <c r="E140" s="284">
        <f t="shared" si="2"/>
        <v>60923482</v>
      </c>
      <c r="F140" s="15" t="s">
        <v>10</v>
      </c>
      <c r="G140" s="15" t="s">
        <v>76</v>
      </c>
      <c r="H140" s="8" t="s">
        <v>57</v>
      </c>
      <c r="I140" s="8" t="s">
        <v>1727</v>
      </c>
      <c r="J140" s="15"/>
    </row>
    <row r="141" spans="1:10" s="8" customFormat="1">
      <c r="A141" s="13"/>
      <c r="B141" s="8" t="s">
        <v>1726</v>
      </c>
      <c r="C141" s="287">
        <v>314700</v>
      </c>
      <c r="D141" s="284">
        <v>0</v>
      </c>
      <c r="E141" s="284">
        <f t="shared" si="2"/>
        <v>60608782</v>
      </c>
      <c r="F141" s="15" t="s">
        <v>10</v>
      </c>
      <c r="G141" s="15" t="s">
        <v>76</v>
      </c>
      <c r="H141" s="8" t="s">
        <v>57</v>
      </c>
      <c r="I141" s="8" t="s">
        <v>1727</v>
      </c>
      <c r="J141" s="15"/>
    </row>
    <row r="142" spans="1:10" s="8" customFormat="1">
      <c r="A142" s="13"/>
      <c r="B142" s="8" t="s">
        <v>1726</v>
      </c>
      <c r="C142" s="287">
        <v>189200</v>
      </c>
      <c r="D142" s="284">
        <v>0</v>
      </c>
      <c r="E142" s="284">
        <f t="shared" si="2"/>
        <v>60419582</v>
      </c>
      <c r="F142" s="15" t="s">
        <v>10</v>
      </c>
      <c r="G142" s="15" t="s">
        <v>76</v>
      </c>
      <c r="H142" s="8" t="s">
        <v>57</v>
      </c>
      <c r="I142" s="8" t="s">
        <v>1727</v>
      </c>
      <c r="J142" s="15"/>
    </row>
    <row r="143" spans="1:10" s="8" customFormat="1">
      <c r="A143" s="13"/>
      <c r="B143" s="8" t="s">
        <v>1728</v>
      </c>
      <c r="C143" s="287">
        <v>382000</v>
      </c>
      <c r="D143" s="284">
        <v>0</v>
      </c>
      <c r="E143" s="284">
        <f t="shared" si="2"/>
        <v>60037582</v>
      </c>
      <c r="F143" s="15" t="s">
        <v>8</v>
      </c>
      <c r="G143" s="15" t="s">
        <v>14</v>
      </c>
      <c r="H143" s="8" t="s">
        <v>370</v>
      </c>
      <c r="J143" s="15"/>
    </row>
    <row r="144" spans="1:10" s="8" customFormat="1">
      <c r="A144" s="13"/>
      <c r="B144" s="8" t="s">
        <v>1729</v>
      </c>
      <c r="C144" s="287">
        <v>309700</v>
      </c>
      <c r="D144" s="284">
        <v>0</v>
      </c>
      <c r="E144" s="284">
        <f t="shared" si="2"/>
        <v>59727882</v>
      </c>
      <c r="F144" s="15" t="s">
        <v>8</v>
      </c>
      <c r="G144" s="15" t="s">
        <v>14</v>
      </c>
      <c r="H144" s="8" t="s">
        <v>314</v>
      </c>
      <c r="J144" s="15"/>
    </row>
    <row r="145" spans="1:10" s="8" customFormat="1">
      <c r="A145" s="13"/>
      <c r="B145" s="8" t="s">
        <v>1730</v>
      </c>
      <c r="C145" s="287">
        <v>2862350</v>
      </c>
      <c r="D145" s="284">
        <v>0</v>
      </c>
      <c r="E145" s="284">
        <f t="shared" si="2"/>
        <v>56865532</v>
      </c>
      <c r="F145" t="s">
        <v>62</v>
      </c>
      <c r="G145" s="15" t="s">
        <v>63</v>
      </c>
      <c r="J145" s="15"/>
    </row>
    <row r="146" spans="1:10" s="8" customFormat="1">
      <c r="A146" s="13"/>
      <c r="B146" s="8" t="s">
        <v>1731</v>
      </c>
      <c r="C146" s="287">
        <v>10000</v>
      </c>
      <c r="D146" s="284">
        <v>0</v>
      </c>
      <c r="E146" s="284">
        <f t="shared" si="2"/>
        <v>56855532</v>
      </c>
      <c r="F146" s="15" t="s">
        <v>19</v>
      </c>
      <c r="G146" s="15" t="s">
        <v>189</v>
      </c>
      <c r="J146" s="15"/>
    </row>
    <row r="147" spans="1:10" s="8" customFormat="1">
      <c r="A147" s="13"/>
      <c r="B147" s="8" t="s">
        <v>1726</v>
      </c>
      <c r="C147" s="287">
        <v>249200</v>
      </c>
      <c r="D147" s="284">
        <v>0</v>
      </c>
      <c r="E147" s="284">
        <f t="shared" si="2"/>
        <v>56606332</v>
      </c>
      <c r="F147" s="15" t="s">
        <v>10</v>
      </c>
      <c r="G147" s="15" t="s">
        <v>76</v>
      </c>
      <c r="H147" s="8" t="s">
        <v>57</v>
      </c>
      <c r="I147" s="8" t="s">
        <v>1727</v>
      </c>
      <c r="J147" s="15"/>
    </row>
    <row r="148" spans="1:10" s="8" customFormat="1">
      <c r="A148" s="13"/>
      <c r="B148" s="8" t="s">
        <v>1732</v>
      </c>
      <c r="C148" s="287">
        <v>460728</v>
      </c>
      <c r="D148" s="284">
        <v>0</v>
      </c>
      <c r="E148" s="284">
        <f t="shared" si="2"/>
        <v>56145604</v>
      </c>
      <c r="F148" s="15" t="s">
        <v>19</v>
      </c>
      <c r="G148" s="15" t="s">
        <v>65</v>
      </c>
      <c r="J148" s="15"/>
    </row>
    <row r="149" spans="1:10" s="8" customFormat="1">
      <c r="A149" s="13"/>
      <c r="B149" s="8" t="s">
        <v>1733</v>
      </c>
      <c r="C149" s="287">
        <v>729500</v>
      </c>
      <c r="D149" s="284">
        <v>0</v>
      </c>
      <c r="E149" s="284">
        <f t="shared" si="2"/>
        <v>55416104</v>
      </c>
      <c r="F149" s="15" t="s">
        <v>8</v>
      </c>
      <c r="G149" s="15" t="s">
        <v>14</v>
      </c>
      <c r="H149" s="8" t="s">
        <v>291</v>
      </c>
      <c r="J149" s="15"/>
    </row>
    <row r="150" spans="1:10" s="8" customFormat="1">
      <c r="A150" s="13"/>
      <c r="B150" s="8" t="s">
        <v>6134</v>
      </c>
      <c r="C150" s="284">
        <v>19274303</v>
      </c>
      <c r="D150" s="284">
        <v>0</v>
      </c>
      <c r="E150" s="284">
        <f t="shared" si="2"/>
        <v>36141801</v>
      </c>
      <c r="F150" s="8" t="s">
        <v>8</v>
      </c>
      <c r="G150" s="8" t="s">
        <v>78</v>
      </c>
      <c r="H150" s="8" t="s">
        <v>26</v>
      </c>
    </row>
    <row r="151" spans="1:10" s="8" customFormat="1">
      <c r="A151" s="13"/>
      <c r="B151" s="8" t="s">
        <v>1733</v>
      </c>
      <c r="C151" s="287">
        <v>628130</v>
      </c>
      <c r="D151" s="284">
        <v>0</v>
      </c>
      <c r="E151" s="284">
        <f t="shared" si="2"/>
        <v>35513671</v>
      </c>
      <c r="F151" s="15" t="s">
        <v>8</v>
      </c>
      <c r="G151" s="15" t="s">
        <v>14</v>
      </c>
      <c r="H151" s="8" t="s">
        <v>291</v>
      </c>
      <c r="J151" s="15"/>
    </row>
    <row r="152" spans="1:10" s="8" customFormat="1">
      <c r="A152" s="13"/>
      <c r="B152" s="8" t="s">
        <v>1734</v>
      </c>
      <c r="C152" s="287">
        <v>635500</v>
      </c>
      <c r="D152" s="284">
        <v>0</v>
      </c>
      <c r="E152" s="284">
        <f t="shared" si="2"/>
        <v>34878171</v>
      </c>
      <c r="F152" s="15" t="s">
        <v>8</v>
      </c>
      <c r="G152" s="15" t="s">
        <v>14</v>
      </c>
      <c r="H152" s="8" t="s">
        <v>291</v>
      </c>
      <c r="J152" s="15"/>
    </row>
    <row r="153" spans="1:10" s="8" customFormat="1">
      <c r="A153" s="13"/>
      <c r="B153" s="8" t="s">
        <v>1735</v>
      </c>
      <c r="C153" s="287">
        <v>46840</v>
      </c>
      <c r="D153" s="284">
        <v>0</v>
      </c>
      <c r="E153" s="284">
        <f t="shared" si="2"/>
        <v>34831331</v>
      </c>
      <c r="F153" s="15" t="s">
        <v>19</v>
      </c>
      <c r="G153" s="15" t="s">
        <v>65</v>
      </c>
      <c r="J153" s="15"/>
    </row>
    <row r="154" spans="1:10" s="8" customFormat="1">
      <c r="A154" s="13"/>
      <c r="B154" s="8" t="s">
        <v>1736</v>
      </c>
      <c r="C154" s="287">
        <v>932000</v>
      </c>
      <c r="D154" s="284">
        <v>0</v>
      </c>
      <c r="E154" s="284">
        <f t="shared" si="2"/>
        <v>33899331</v>
      </c>
      <c r="F154" s="15" t="s">
        <v>62</v>
      </c>
      <c r="G154" s="15" t="s">
        <v>70</v>
      </c>
      <c r="H154" s="8" t="s">
        <v>308</v>
      </c>
      <c r="J154" s="15"/>
    </row>
    <row r="155" spans="1:10" s="8" customFormat="1">
      <c r="A155" s="13"/>
      <c r="B155" s="8" t="s">
        <v>1733</v>
      </c>
      <c r="C155" s="287">
        <v>608250</v>
      </c>
      <c r="D155" s="284">
        <v>0</v>
      </c>
      <c r="E155" s="284">
        <f t="shared" si="2"/>
        <v>33291081</v>
      </c>
      <c r="F155" s="15" t="s">
        <v>8</v>
      </c>
      <c r="G155" s="15" t="s">
        <v>14</v>
      </c>
      <c r="H155" s="8" t="s">
        <v>291</v>
      </c>
      <c r="J155" s="15"/>
    </row>
    <row r="156" spans="1:10" s="8" customFormat="1">
      <c r="A156" s="13"/>
      <c r="B156" s="8" t="s">
        <v>1737</v>
      </c>
      <c r="C156" s="287">
        <v>138032</v>
      </c>
      <c r="D156" s="284">
        <v>0</v>
      </c>
      <c r="E156" s="284">
        <f t="shared" si="2"/>
        <v>33153049</v>
      </c>
      <c r="F156" s="15" t="s">
        <v>19</v>
      </c>
      <c r="G156" s="15" t="s">
        <v>65</v>
      </c>
      <c r="J156" s="15"/>
    </row>
    <row r="157" spans="1:10" s="8" customFormat="1">
      <c r="A157" s="13"/>
      <c r="B157" s="8" t="s">
        <v>1738</v>
      </c>
      <c r="C157" s="287">
        <v>5127520</v>
      </c>
      <c r="D157" s="284">
        <v>0</v>
      </c>
      <c r="E157" s="284">
        <f t="shared" si="2"/>
        <v>28025529</v>
      </c>
      <c r="F157" s="15" t="s">
        <v>1643</v>
      </c>
      <c r="G157" s="15" t="s">
        <v>5</v>
      </c>
      <c r="H157" s="8" t="s">
        <v>1352</v>
      </c>
      <c r="J157" s="15"/>
    </row>
    <row r="158" spans="1:10" s="8" customFormat="1">
      <c r="A158" s="13"/>
      <c r="B158" s="8" t="s">
        <v>1739</v>
      </c>
      <c r="C158" s="287">
        <v>2694200</v>
      </c>
      <c r="D158" s="284">
        <v>0</v>
      </c>
      <c r="E158" s="284">
        <f t="shared" si="2"/>
        <v>25331329</v>
      </c>
      <c r="F158" s="15" t="s">
        <v>8</v>
      </c>
      <c r="G158" s="15" t="s">
        <v>180</v>
      </c>
      <c r="J158" s="15"/>
    </row>
    <row r="159" spans="1:10" s="8" customFormat="1">
      <c r="A159" s="13"/>
      <c r="B159" s="8" t="s">
        <v>1740</v>
      </c>
      <c r="C159" s="287">
        <v>88001</v>
      </c>
      <c r="D159" s="284">
        <v>0</v>
      </c>
      <c r="E159" s="284">
        <f t="shared" si="2"/>
        <v>25243328</v>
      </c>
      <c r="F159" s="15" t="s">
        <v>1643</v>
      </c>
      <c r="G159" s="15" t="s">
        <v>5</v>
      </c>
      <c r="H159" s="40" t="s">
        <v>757</v>
      </c>
      <c r="J159" s="15"/>
    </row>
    <row r="160" spans="1:10" s="8" customFormat="1">
      <c r="A160" s="13"/>
      <c r="B160" s="8" t="s">
        <v>1741</v>
      </c>
      <c r="C160" s="287">
        <v>589529</v>
      </c>
      <c r="D160" s="284">
        <v>0</v>
      </c>
      <c r="E160" s="284">
        <f t="shared" si="2"/>
        <v>24653799</v>
      </c>
      <c r="F160" s="15" t="s">
        <v>1643</v>
      </c>
      <c r="G160" s="15" t="s">
        <v>5</v>
      </c>
      <c r="H160" s="40" t="s">
        <v>757</v>
      </c>
      <c r="J160" s="15"/>
    </row>
    <row r="161" spans="1:10" s="8" customFormat="1">
      <c r="A161" s="13"/>
      <c r="B161" s="8" t="s">
        <v>1742</v>
      </c>
      <c r="C161" s="287">
        <v>5345024</v>
      </c>
      <c r="D161" s="284">
        <v>0</v>
      </c>
      <c r="E161" s="284">
        <f t="shared" si="2"/>
        <v>19308775</v>
      </c>
      <c r="F161" s="15" t="s">
        <v>1643</v>
      </c>
      <c r="G161" s="15" t="s">
        <v>5</v>
      </c>
      <c r="H161" s="8" t="s">
        <v>1352</v>
      </c>
      <c r="J161" s="15"/>
    </row>
    <row r="162" spans="1:10" s="8" customFormat="1">
      <c r="A162" s="13"/>
      <c r="B162" s="8" t="s">
        <v>1743</v>
      </c>
      <c r="C162" s="287">
        <v>1460400</v>
      </c>
      <c r="D162" s="284">
        <v>0</v>
      </c>
      <c r="E162" s="284">
        <f t="shared" si="2"/>
        <v>17848375</v>
      </c>
      <c r="F162" s="15" t="s">
        <v>8</v>
      </c>
      <c r="G162" s="15" t="s">
        <v>181</v>
      </c>
      <c r="J162" s="15"/>
    </row>
    <row r="163" spans="1:10" s="8" customFormat="1">
      <c r="A163" s="13"/>
      <c r="B163" s="8" t="s">
        <v>1744</v>
      </c>
      <c r="C163" s="287">
        <v>2311200</v>
      </c>
      <c r="D163" s="284">
        <v>0</v>
      </c>
      <c r="E163" s="284">
        <f t="shared" si="2"/>
        <v>15537175</v>
      </c>
      <c r="F163" s="15" t="s">
        <v>1643</v>
      </c>
      <c r="G163" s="15" t="s">
        <v>5</v>
      </c>
      <c r="H163" s="146" t="s">
        <v>2216</v>
      </c>
      <c r="J163" s="15"/>
    </row>
    <row r="164" spans="1:10" s="8" customFormat="1">
      <c r="A164" s="13"/>
      <c r="B164" s="8" t="s">
        <v>1745</v>
      </c>
      <c r="C164" s="287">
        <v>1636069</v>
      </c>
      <c r="D164" s="284">
        <v>0</v>
      </c>
      <c r="E164" s="284">
        <f t="shared" si="2"/>
        <v>13901106</v>
      </c>
      <c r="F164" s="15" t="s">
        <v>1643</v>
      </c>
      <c r="G164" s="15" t="s">
        <v>5</v>
      </c>
      <c r="H164" s="146" t="s">
        <v>2216</v>
      </c>
      <c r="J164" s="15"/>
    </row>
    <row r="165" spans="1:10" s="8" customFormat="1">
      <c r="A165" s="13"/>
      <c r="B165" s="8" t="s">
        <v>1746</v>
      </c>
      <c r="C165" s="287">
        <v>1657200</v>
      </c>
      <c r="D165" s="284">
        <v>0</v>
      </c>
      <c r="E165" s="284">
        <f t="shared" si="2"/>
        <v>12243906</v>
      </c>
      <c r="F165" s="15" t="s">
        <v>1643</v>
      </c>
      <c r="G165" s="15" t="s">
        <v>5</v>
      </c>
      <c r="H165" s="146" t="s">
        <v>2216</v>
      </c>
      <c r="J165" s="15"/>
    </row>
    <row r="166" spans="1:10" s="8" customFormat="1">
      <c r="A166" s="13"/>
      <c r="B166" s="8" t="s">
        <v>1747</v>
      </c>
      <c r="C166" s="287">
        <v>2060001</v>
      </c>
      <c r="D166" s="284">
        <v>0</v>
      </c>
      <c r="E166" s="284">
        <f t="shared" si="2"/>
        <v>10183905</v>
      </c>
      <c r="F166" s="15" t="s">
        <v>1643</v>
      </c>
      <c r="G166" s="15" t="s">
        <v>5</v>
      </c>
      <c r="H166" s="146" t="s">
        <v>2216</v>
      </c>
      <c r="J166" s="15"/>
    </row>
    <row r="167" spans="1:10" s="8" customFormat="1">
      <c r="A167" s="13"/>
      <c r="B167" s="8" t="s">
        <v>1748</v>
      </c>
      <c r="C167" s="287">
        <v>2060001</v>
      </c>
      <c r="D167" s="284">
        <v>0</v>
      </c>
      <c r="E167" s="284">
        <f t="shared" si="2"/>
        <v>8123904</v>
      </c>
      <c r="F167" s="15" t="s">
        <v>1643</v>
      </c>
      <c r="G167" s="15" t="s">
        <v>5</v>
      </c>
      <c r="H167" s="146" t="s">
        <v>2216</v>
      </c>
      <c r="J167" s="15"/>
    </row>
    <row r="168" spans="1:10" s="8" customFormat="1">
      <c r="A168" s="13"/>
      <c r="B168" s="8" t="s">
        <v>1749</v>
      </c>
      <c r="C168" s="287">
        <v>1313674</v>
      </c>
      <c r="D168" s="284">
        <v>0</v>
      </c>
      <c r="E168" s="284">
        <f t="shared" si="2"/>
        <v>6810230</v>
      </c>
      <c r="F168" s="15" t="s">
        <v>1643</v>
      </c>
      <c r="G168" s="15" t="s">
        <v>5</v>
      </c>
      <c r="H168" s="146" t="s">
        <v>2216</v>
      </c>
      <c r="J168" s="15"/>
    </row>
    <row r="169" spans="1:10" s="8" customFormat="1">
      <c r="A169" s="13"/>
      <c r="B169" s="8" t="s">
        <v>1750</v>
      </c>
      <c r="C169" s="287">
        <v>0</v>
      </c>
      <c r="D169" s="284">
        <v>815674</v>
      </c>
      <c r="E169" s="284">
        <f t="shared" si="2"/>
        <v>7625904</v>
      </c>
      <c r="F169" s="15" t="s">
        <v>1643</v>
      </c>
      <c r="G169" s="15" t="s">
        <v>5</v>
      </c>
      <c r="H169" s="146" t="s">
        <v>2216</v>
      </c>
      <c r="J169" s="15"/>
    </row>
    <row r="170" spans="1:10" s="8" customFormat="1">
      <c r="A170" s="13"/>
      <c r="B170" s="8" t="s">
        <v>1751</v>
      </c>
      <c r="C170" s="287">
        <v>1648366</v>
      </c>
      <c r="D170" s="284">
        <v>0</v>
      </c>
      <c r="E170" s="284">
        <f t="shared" si="2"/>
        <v>5977538</v>
      </c>
      <c r="F170" s="15" t="s">
        <v>1643</v>
      </c>
      <c r="G170" s="15" t="s">
        <v>5</v>
      </c>
      <c r="H170" s="146" t="s">
        <v>2216</v>
      </c>
      <c r="J170" s="15"/>
    </row>
    <row r="171" spans="1:10" s="8" customFormat="1">
      <c r="A171" s="13"/>
      <c r="B171" s="8" t="s">
        <v>1752</v>
      </c>
      <c r="C171" s="287">
        <v>136000</v>
      </c>
      <c r="D171" s="284">
        <v>0</v>
      </c>
      <c r="E171" s="284">
        <f t="shared" si="2"/>
        <v>5841538</v>
      </c>
      <c r="F171" s="15" t="s">
        <v>8</v>
      </c>
      <c r="G171" s="15" t="s">
        <v>180</v>
      </c>
      <c r="J171" s="15"/>
    </row>
    <row r="172" spans="1:10" s="8" customFormat="1">
      <c r="A172" s="13"/>
      <c r="B172" s="8" t="s">
        <v>1735</v>
      </c>
      <c r="C172" s="287">
        <v>100000</v>
      </c>
      <c r="D172" s="284">
        <v>0</v>
      </c>
      <c r="E172" s="284">
        <f t="shared" si="2"/>
        <v>5741538</v>
      </c>
      <c r="F172" s="15" t="s">
        <v>19</v>
      </c>
      <c r="G172" s="15" t="s">
        <v>65</v>
      </c>
      <c r="J172" s="15"/>
    </row>
    <row r="173" spans="1:10" s="8" customFormat="1">
      <c r="A173" s="13"/>
      <c r="B173" s="8" t="s">
        <v>6163</v>
      </c>
      <c r="C173" s="287">
        <v>1604138</v>
      </c>
      <c r="D173" s="284">
        <v>0</v>
      </c>
      <c r="E173" s="284">
        <f t="shared" si="2"/>
        <v>4137400</v>
      </c>
      <c r="F173" s="15" t="s">
        <v>8</v>
      </c>
      <c r="G173" s="15" t="s">
        <v>184</v>
      </c>
      <c r="H173" s="8" t="s">
        <v>26</v>
      </c>
      <c r="J173" s="15"/>
    </row>
    <row r="174" spans="1:10" s="8" customFormat="1">
      <c r="A174" s="13"/>
      <c r="B174" s="8" t="s">
        <v>1753</v>
      </c>
      <c r="C174" s="287">
        <v>4137400</v>
      </c>
      <c r="D174" s="284">
        <v>0</v>
      </c>
      <c r="E174" s="284">
        <f t="shared" si="2"/>
        <v>0</v>
      </c>
      <c r="F174" s="15" t="s">
        <v>19</v>
      </c>
      <c r="G174" s="15" t="s">
        <v>65</v>
      </c>
      <c r="J174" s="15"/>
    </row>
    <row r="175" spans="1:10" s="8" customFormat="1">
      <c r="A175" s="13">
        <v>45706</v>
      </c>
      <c r="B175" s="8" t="s">
        <v>907</v>
      </c>
      <c r="C175" s="287">
        <v>0</v>
      </c>
      <c r="D175" s="284">
        <v>225182726</v>
      </c>
      <c r="E175" s="284">
        <f t="shared" si="2"/>
        <v>225182726</v>
      </c>
      <c r="F175" s="15" t="s">
        <v>920</v>
      </c>
      <c r="G175" s="80" t="s">
        <v>352</v>
      </c>
      <c r="H175" s="8" t="s">
        <v>6471</v>
      </c>
      <c r="J175" s="15"/>
    </row>
    <row r="176" spans="1:10" s="8" customFormat="1">
      <c r="A176" s="13"/>
      <c r="B176" s="8" t="s">
        <v>1754</v>
      </c>
      <c r="C176" s="287">
        <v>376500</v>
      </c>
      <c r="D176" s="284">
        <v>0</v>
      </c>
      <c r="E176" s="284">
        <f t="shared" si="2"/>
        <v>224806226</v>
      </c>
      <c r="F176" s="15" t="s">
        <v>8</v>
      </c>
      <c r="G176" s="15" t="s">
        <v>14</v>
      </c>
      <c r="H176" s="8" t="s">
        <v>370</v>
      </c>
      <c r="J176" s="15"/>
    </row>
    <row r="177" spans="1:10" s="8" customFormat="1">
      <c r="A177" s="13"/>
      <c r="B177" s="8" t="s">
        <v>1755</v>
      </c>
      <c r="C177" s="287">
        <v>261080</v>
      </c>
      <c r="D177" s="284">
        <v>0</v>
      </c>
      <c r="E177" s="284">
        <f t="shared" si="2"/>
        <v>224545146</v>
      </c>
      <c r="F177" s="15" t="s">
        <v>8</v>
      </c>
      <c r="G177" s="15" t="s">
        <v>14</v>
      </c>
      <c r="H177" s="8" t="s">
        <v>370</v>
      </c>
      <c r="J177" s="15"/>
    </row>
    <row r="178" spans="1:10" s="8" customFormat="1">
      <c r="A178" s="13"/>
      <c r="B178" s="8" t="s">
        <v>1756</v>
      </c>
      <c r="C178" s="287">
        <v>6099000</v>
      </c>
      <c r="D178" s="284">
        <v>0</v>
      </c>
      <c r="E178" s="284">
        <f t="shared" si="2"/>
        <v>218446146</v>
      </c>
      <c r="F178" s="15" t="s">
        <v>10</v>
      </c>
      <c r="G178" s="15" t="s">
        <v>76</v>
      </c>
      <c r="H178" s="8" t="s">
        <v>57</v>
      </c>
      <c r="I178" s="8" t="s">
        <v>1757</v>
      </c>
      <c r="J178" s="15"/>
    </row>
    <row r="179" spans="1:10" s="8" customFormat="1">
      <c r="A179" s="13"/>
      <c r="B179" s="8" t="s">
        <v>1756</v>
      </c>
      <c r="C179" s="287">
        <v>6706000</v>
      </c>
      <c r="D179" s="284">
        <v>0</v>
      </c>
      <c r="E179" s="284">
        <f t="shared" si="2"/>
        <v>211740146</v>
      </c>
      <c r="F179" s="15" t="s">
        <v>10</v>
      </c>
      <c r="G179" s="15" t="s">
        <v>76</v>
      </c>
      <c r="H179" s="8" t="s">
        <v>57</v>
      </c>
      <c r="I179" s="8" t="s">
        <v>1757</v>
      </c>
      <c r="J179" s="15"/>
    </row>
    <row r="180" spans="1:10" s="8" customFormat="1">
      <c r="A180" s="13"/>
      <c r="B180" s="8" t="s">
        <v>1758</v>
      </c>
      <c r="C180" s="287">
        <v>94600</v>
      </c>
      <c r="D180" s="284">
        <v>0</v>
      </c>
      <c r="E180" s="284">
        <f t="shared" si="2"/>
        <v>211645546</v>
      </c>
      <c r="F180" s="15" t="s">
        <v>62</v>
      </c>
      <c r="G180" s="15" t="s">
        <v>63</v>
      </c>
      <c r="H180" s="8" t="s">
        <v>308</v>
      </c>
      <c r="J180" s="15"/>
    </row>
    <row r="181" spans="1:10" s="8" customFormat="1">
      <c r="A181" s="13"/>
      <c r="B181" s="8" t="s">
        <v>1759</v>
      </c>
      <c r="C181" s="287">
        <v>355300</v>
      </c>
      <c r="D181" s="284">
        <v>0</v>
      </c>
      <c r="E181" s="284">
        <f t="shared" si="2"/>
        <v>211290246</v>
      </c>
      <c r="F181" s="15" t="s">
        <v>8</v>
      </c>
      <c r="G181" s="15" t="s">
        <v>14</v>
      </c>
      <c r="H181" s="8" t="s">
        <v>314</v>
      </c>
      <c r="J181" s="15"/>
    </row>
    <row r="182" spans="1:10" s="8" customFormat="1">
      <c r="A182" s="13"/>
      <c r="B182" s="8" t="s">
        <v>1760</v>
      </c>
      <c r="C182" s="287">
        <v>2244115</v>
      </c>
      <c r="D182" s="284">
        <v>0</v>
      </c>
      <c r="E182" s="284">
        <f t="shared" si="2"/>
        <v>209046131</v>
      </c>
      <c r="F182" s="15" t="s">
        <v>21</v>
      </c>
      <c r="G182" s="15" t="s">
        <v>187</v>
      </c>
      <c r="J182" s="15"/>
    </row>
    <row r="183" spans="1:10" s="8" customFormat="1">
      <c r="A183" s="13"/>
      <c r="B183" s="8" t="s">
        <v>1761</v>
      </c>
      <c r="C183" s="287">
        <v>296300</v>
      </c>
      <c r="D183" s="284">
        <v>0</v>
      </c>
      <c r="E183" s="284">
        <f t="shared" si="2"/>
        <v>208749831</v>
      </c>
      <c r="F183" s="15" t="s">
        <v>8</v>
      </c>
      <c r="G183" s="15" t="s">
        <v>14</v>
      </c>
      <c r="H183" s="8" t="s">
        <v>370</v>
      </c>
      <c r="J183" s="15"/>
    </row>
    <row r="184" spans="1:10" s="8" customFormat="1">
      <c r="A184" s="13"/>
      <c r="B184" s="8" t="s">
        <v>1762</v>
      </c>
      <c r="C184" s="289">
        <v>1126000</v>
      </c>
      <c r="D184" s="290">
        <v>0</v>
      </c>
      <c r="E184" s="284">
        <f t="shared" si="2"/>
        <v>207623831</v>
      </c>
      <c r="F184" s="15" t="s">
        <v>62</v>
      </c>
      <c r="G184" s="15" t="s">
        <v>70</v>
      </c>
      <c r="H184" s="8" t="s">
        <v>2447</v>
      </c>
      <c r="J184" s="15"/>
    </row>
    <row r="185" spans="1:10" s="8" customFormat="1">
      <c r="A185" s="13"/>
      <c r="B185" s="8" t="s">
        <v>1763</v>
      </c>
      <c r="C185" s="287">
        <v>395370</v>
      </c>
      <c r="D185" s="284">
        <v>0</v>
      </c>
      <c r="E185" s="284">
        <f t="shared" si="2"/>
        <v>207228461</v>
      </c>
      <c r="F185" s="15" t="s">
        <v>8</v>
      </c>
      <c r="G185" s="15" t="s">
        <v>14</v>
      </c>
      <c r="H185" s="8" t="s">
        <v>370</v>
      </c>
      <c r="J185" s="15"/>
    </row>
    <row r="186" spans="1:10" s="8" customFormat="1">
      <c r="A186" s="13"/>
      <c r="B186" s="8" t="s">
        <v>1764</v>
      </c>
      <c r="C186" s="287">
        <v>1151300</v>
      </c>
      <c r="D186" s="284">
        <v>0</v>
      </c>
      <c r="E186" s="284">
        <f t="shared" si="2"/>
        <v>206077161</v>
      </c>
      <c r="F186" s="15" t="s">
        <v>1643</v>
      </c>
      <c r="G186" s="15" t="s">
        <v>5</v>
      </c>
      <c r="H186" s="43" t="s">
        <v>1445</v>
      </c>
      <c r="J186" s="15"/>
    </row>
    <row r="187" spans="1:10" s="8" customFormat="1">
      <c r="A187" s="13"/>
      <c r="B187" s="8" t="s">
        <v>1765</v>
      </c>
      <c r="C187" s="287">
        <v>3027800</v>
      </c>
      <c r="D187" s="284">
        <v>0</v>
      </c>
      <c r="E187" s="284">
        <f t="shared" si="2"/>
        <v>203049361</v>
      </c>
      <c r="F187" s="15" t="s">
        <v>1643</v>
      </c>
      <c r="G187" s="15" t="s">
        <v>5</v>
      </c>
      <c r="H187" s="43" t="s">
        <v>1445</v>
      </c>
      <c r="J187" s="15"/>
    </row>
    <row r="188" spans="1:10" s="8" customFormat="1">
      <c r="A188" s="13"/>
      <c r="B188" s="8" t="s">
        <v>1766</v>
      </c>
      <c r="C188" s="287">
        <v>316500</v>
      </c>
      <c r="D188" s="284">
        <v>0</v>
      </c>
      <c r="E188" s="284">
        <f t="shared" si="2"/>
        <v>202732861</v>
      </c>
      <c r="F188" s="15" t="s">
        <v>8</v>
      </c>
      <c r="G188" s="15" t="s">
        <v>14</v>
      </c>
      <c r="H188" s="8" t="s">
        <v>314</v>
      </c>
      <c r="J188" s="15"/>
    </row>
    <row r="189" spans="1:10" s="8" customFormat="1">
      <c r="A189" s="13"/>
      <c r="B189" s="8" t="s">
        <v>1767</v>
      </c>
      <c r="C189" s="287">
        <v>81500</v>
      </c>
      <c r="D189" s="284">
        <v>0</v>
      </c>
      <c r="E189" s="284">
        <f t="shared" si="2"/>
        <v>202651361</v>
      </c>
      <c r="F189" s="15" t="s">
        <v>8</v>
      </c>
      <c r="G189" s="15" t="s">
        <v>14</v>
      </c>
      <c r="J189" s="15"/>
    </row>
    <row r="190" spans="1:10" s="8" customFormat="1">
      <c r="A190" s="13"/>
      <c r="B190" s="8" t="s">
        <v>1768</v>
      </c>
      <c r="C190" s="287">
        <v>372560</v>
      </c>
      <c r="D190" s="284">
        <v>0</v>
      </c>
      <c r="E190" s="284">
        <f t="shared" si="2"/>
        <v>202278801</v>
      </c>
      <c r="F190" s="15" t="s">
        <v>8</v>
      </c>
      <c r="G190" s="15" t="s">
        <v>14</v>
      </c>
      <c r="H190" s="8" t="s">
        <v>370</v>
      </c>
      <c r="J190" s="15"/>
    </row>
    <row r="191" spans="1:10" s="8" customFormat="1">
      <c r="A191" s="13"/>
      <c r="B191" s="8" t="s">
        <v>1725</v>
      </c>
      <c r="C191" s="287">
        <v>301267</v>
      </c>
      <c r="D191" s="284">
        <v>0</v>
      </c>
      <c r="E191" s="284">
        <f t="shared" si="2"/>
        <v>201977534</v>
      </c>
      <c r="F191" s="15" t="s">
        <v>8</v>
      </c>
      <c r="G191" s="15" t="s">
        <v>32</v>
      </c>
      <c r="J191" s="15"/>
    </row>
    <row r="192" spans="1:10" s="8" customFormat="1">
      <c r="A192" s="13"/>
      <c r="B192" s="8" t="s">
        <v>1769</v>
      </c>
      <c r="C192" s="289">
        <v>2627600</v>
      </c>
      <c r="D192" s="290">
        <v>0</v>
      </c>
      <c r="E192" s="284">
        <f t="shared" si="2"/>
        <v>199349934</v>
      </c>
      <c r="F192" s="15" t="s">
        <v>62</v>
      </c>
      <c r="G192" s="15" t="s">
        <v>70</v>
      </c>
      <c r="H192" s="8" t="s">
        <v>2447</v>
      </c>
      <c r="J192" s="15"/>
    </row>
    <row r="193" spans="1:10" s="8" customFormat="1">
      <c r="A193" s="13"/>
      <c r="B193" s="8" t="s">
        <v>1770</v>
      </c>
      <c r="C193" s="287">
        <v>348020</v>
      </c>
      <c r="D193" s="284">
        <v>0</v>
      </c>
      <c r="E193" s="284">
        <f t="shared" si="2"/>
        <v>199001914</v>
      </c>
      <c r="F193" s="15" t="s">
        <v>8</v>
      </c>
      <c r="G193" s="15" t="s">
        <v>14</v>
      </c>
      <c r="H193" s="8" t="s">
        <v>370</v>
      </c>
      <c r="J193" s="15"/>
    </row>
    <row r="194" spans="1:10" s="8" customFormat="1">
      <c r="A194" s="13"/>
      <c r="B194" s="8" t="s">
        <v>1771</v>
      </c>
      <c r="C194" s="287">
        <v>261460</v>
      </c>
      <c r="D194" s="284">
        <v>0</v>
      </c>
      <c r="E194" s="284">
        <f t="shared" si="2"/>
        <v>198740454</v>
      </c>
      <c r="F194" s="15" t="s">
        <v>8</v>
      </c>
      <c r="G194" s="15" t="s">
        <v>14</v>
      </c>
      <c r="H194" s="8" t="s">
        <v>370</v>
      </c>
      <c r="J194" s="15"/>
    </row>
    <row r="195" spans="1:10" s="8" customFormat="1">
      <c r="A195" s="13"/>
      <c r="B195" s="8" t="s">
        <v>1772</v>
      </c>
      <c r="C195" s="287">
        <v>162060</v>
      </c>
      <c r="D195" s="284">
        <v>0</v>
      </c>
      <c r="E195" s="284">
        <f t="shared" si="2"/>
        <v>198578394</v>
      </c>
      <c r="F195" s="15" t="s">
        <v>10</v>
      </c>
      <c r="G195" s="15" t="s">
        <v>76</v>
      </c>
      <c r="H195" s="8" t="s">
        <v>57</v>
      </c>
      <c r="I195" s="8" t="s">
        <v>1757</v>
      </c>
      <c r="J195" s="15"/>
    </row>
    <row r="196" spans="1:10" s="8" customFormat="1">
      <c r="A196" s="13"/>
      <c r="B196" s="8" t="s">
        <v>1726</v>
      </c>
      <c r="C196" s="287">
        <v>149200</v>
      </c>
      <c r="D196" s="284">
        <v>0</v>
      </c>
      <c r="E196" s="284">
        <f t="shared" si="2"/>
        <v>198429194</v>
      </c>
      <c r="F196" s="15" t="s">
        <v>10</v>
      </c>
      <c r="G196" s="15" t="s">
        <v>76</v>
      </c>
      <c r="H196" s="8" t="s">
        <v>57</v>
      </c>
      <c r="I196" s="8" t="s">
        <v>1757</v>
      </c>
      <c r="J196" s="15"/>
    </row>
    <row r="197" spans="1:10" s="8" customFormat="1">
      <c r="A197" s="13"/>
      <c r="B197" s="8" t="s">
        <v>1733</v>
      </c>
      <c r="C197" s="287">
        <v>633440</v>
      </c>
      <c r="D197" s="284">
        <v>0</v>
      </c>
      <c r="E197" s="284">
        <f t="shared" si="2"/>
        <v>197795754</v>
      </c>
      <c r="F197" s="15" t="s">
        <v>8</v>
      </c>
      <c r="G197" s="15" t="s">
        <v>14</v>
      </c>
      <c r="H197" s="8" t="s">
        <v>291</v>
      </c>
      <c r="J197" s="15"/>
    </row>
    <row r="198" spans="1:10" s="8" customFormat="1">
      <c r="A198" s="13"/>
      <c r="B198" s="8" t="s">
        <v>1733</v>
      </c>
      <c r="C198" s="287">
        <v>632870</v>
      </c>
      <c r="D198" s="284">
        <v>0</v>
      </c>
      <c r="E198" s="284">
        <f t="shared" ref="E198:E261" si="3">E197-C198+D198</f>
        <v>197162884</v>
      </c>
      <c r="F198" s="15" t="s">
        <v>8</v>
      </c>
      <c r="G198" s="15" t="s">
        <v>14</v>
      </c>
      <c r="H198" s="8" t="s">
        <v>291</v>
      </c>
      <c r="J198" s="15"/>
    </row>
    <row r="199" spans="1:10" s="8" customFormat="1">
      <c r="A199" s="13"/>
      <c r="B199" s="8" t="s">
        <v>1733</v>
      </c>
      <c r="C199" s="287">
        <v>593400</v>
      </c>
      <c r="D199" s="284">
        <v>0</v>
      </c>
      <c r="E199" s="284">
        <f t="shared" si="3"/>
        <v>196569484</v>
      </c>
      <c r="F199" s="15" t="s">
        <v>8</v>
      </c>
      <c r="G199" s="15" t="s">
        <v>14</v>
      </c>
      <c r="H199" s="8" t="s">
        <v>291</v>
      </c>
      <c r="J199" s="15"/>
    </row>
    <row r="200" spans="1:10" s="8" customFormat="1">
      <c r="A200" s="13"/>
      <c r="B200" s="8" t="s">
        <v>1773</v>
      </c>
      <c r="C200" s="287">
        <v>937032</v>
      </c>
      <c r="D200" s="284">
        <v>0</v>
      </c>
      <c r="E200" s="284">
        <f t="shared" si="3"/>
        <v>195632452</v>
      </c>
      <c r="F200" s="15" t="s">
        <v>21</v>
      </c>
      <c r="G200" s="15" t="s">
        <v>187</v>
      </c>
      <c r="J200" s="15"/>
    </row>
    <row r="201" spans="1:10" s="8" customFormat="1">
      <c r="A201" s="13"/>
      <c r="B201" s="8" t="s">
        <v>1774</v>
      </c>
      <c r="C201" s="289">
        <v>942405</v>
      </c>
      <c r="D201" s="290">
        <v>0</v>
      </c>
      <c r="E201" s="284">
        <f t="shared" si="3"/>
        <v>194690047</v>
      </c>
      <c r="F201" s="15" t="s">
        <v>10</v>
      </c>
      <c r="G201" s="15" t="s">
        <v>446</v>
      </c>
      <c r="H201" s="8" t="s">
        <v>1629</v>
      </c>
      <c r="I201" s="8" t="s">
        <v>26</v>
      </c>
      <c r="J201" s="15"/>
    </row>
    <row r="202" spans="1:10" s="8" customFormat="1">
      <c r="A202" s="13"/>
      <c r="B202" s="8" t="s">
        <v>1775</v>
      </c>
      <c r="C202" s="289">
        <v>1281900</v>
      </c>
      <c r="D202" s="290">
        <v>0</v>
      </c>
      <c r="E202" s="284">
        <f t="shared" si="3"/>
        <v>193408147</v>
      </c>
      <c r="F202" s="15" t="s">
        <v>1643</v>
      </c>
      <c r="G202" s="15" t="s">
        <v>5</v>
      </c>
      <c r="H202" s="8" t="s">
        <v>6598</v>
      </c>
      <c r="J202" s="15"/>
    </row>
    <row r="203" spans="1:10" s="8" customFormat="1">
      <c r="A203" s="13"/>
      <c r="B203" s="8" t="s">
        <v>1776</v>
      </c>
      <c r="C203" s="289">
        <v>1405700</v>
      </c>
      <c r="D203" s="290">
        <v>0</v>
      </c>
      <c r="E203" s="284">
        <f t="shared" si="3"/>
        <v>192002447</v>
      </c>
      <c r="F203" s="15" t="s">
        <v>10</v>
      </c>
      <c r="G203" s="15" t="s">
        <v>446</v>
      </c>
      <c r="H203" s="8" t="s">
        <v>1629</v>
      </c>
      <c r="I203" s="8" t="s">
        <v>26</v>
      </c>
      <c r="J203" s="15"/>
    </row>
    <row r="204" spans="1:10" s="8" customFormat="1">
      <c r="A204" s="13"/>
      <c r="B204" s="8" t="s">
        <v>1777</v>
      </c>
      <c r="C204" s="289">
        <v>1463600</v>
      </c>
      <c r="D204" s="290">
        <v>0</v>
      </c>
      <c r="E204" s="284">
        <f t="shared" si="3"/>
        <v>190538847</v>
      </c>
      <c r="F204" s="15" t="s">
        <v>10</v>
      </c>
      <c r="G204" s="15" t="s">
        <v>446</v>
      </c>
      <c r="H204" s="8" t="s">
        <v>1629</v>
      </c>
      <c r="I204" s="8" t="s">
        <v>26</v>
      </c>
      <c r="J204" s="15"/>
    </row>
    <row r="205" spans="1:10" s="8" customFormat="1">
      <c r="A205" s="13"/>
      <c r="B205" s="8" t="s">
        <v>1778</v>
      </c>
      <c r="C205" s="289">
        <v>1975100</v>
      </c>
      <c r="D205" s="290">
        <v>0</v>
      </c>
      <c r="E205" s="284">
        <f t="shared" si="3"/>
        <v>188563747</v>
      </c>
      <c r="F205" s="15" t="s">
        <v>10</v>
      </c>
      <c r="G205" s="15" t="s">
        <v>446</v>
      </c>
      <c r="H205" s="8" t="s">
        <v>1629</v>
      </c>
      <c r="I205" s="8" t="s">
        <v>26</v>
      </c>
      <c r="J205" s="15"/>
    </row>
    <row r="206" spans="1:10" s="8" customFormat="1">
      <c r="A206" s="13"/>
      <c r="B206" s="8" t="s">
        <v>1779</v>
      </c>
      <c r="C206" s="287">
        <v>2046800</v>
      </c>
      <c r="D206" s="284">
        <v>0</v>
      </c>
      <c r="E206" s="284">
        <f t="shared" si="3"/>
        <v>186516947</v>
      </c>
      <c r="F206" s="15" t="s">
        <v>1643</v>
      </c>
      <c r="G206" s="15" t="s">
        <v>5</v>
      </c>
      <c r="H206" s="8" t="s">
        <v>1593</v>
      </c>
      <c r="J206" s="15"/>
    </row>
    <row r="207" spans="1:10" s="8" customFormat="1">
      <c r="A207" s="13"/>
      <c r="B207" s="8" t="s">
        <v>1780</v>
      </c>
      <c r="C207" s="287">
        <v>2055500</v>
      </c>
      <c r="D207" s="284">
        <v>0</v>
      </c>
      <c r="E207" s="284">
        <f t="shared" si="3"/>
        <v>184461447</v>
      </c>
      <c r="F207" s="15" t="s">
        <v>1643</v>
      </c>
      <c r="G207" s="15" t="s">
        <v>5</v>
      </c>
      <c r="H207" s="8" t="s">
        <v>1593</v>
      </c>
      <c r="J207" s="15"/>
    </row>
    <row r="208" spans="1:10" s="8" customFormat="1">
      <c r="A208" s="13"/>
      <c r="B208" s="8" t="s">
        <v>1781</v>
      </c>
      <c r="C208" s="287">
        <v>369640</v>
      </c>
      <c r="D208" s="284">
        <v>0</v>
      </c>
      <c r="E208" s="284">
        <f t="shared" si="3"/>
        <v>184091807</v>
      </c>
      <c r="F208" s="15" t="s">
        <v>8</v>
      </c>
      <c r="G208" s="15" t="s">
        <v>14</v>
      </c>
      <c r="H208" s="8" t="s">
        <v>370</v>
      </c>
      <c r="J208" s="15"/>
    </row>
    <row r="209" spans="1:10" s="8" customFormat="1">
      <c r="A209" s="13"/>
      <c r="B209" s="8" t="s">
        <v>1782</v>
      </c>
      <c r="C209" s="289">
        <v>5000000</v>
      </c>
      <c r="D209" s="290">
        <v>0</v>
      </c>
      <c r="E209" s="284">
        <f t="shared" si="3"/>
        <v>179091807</v>
      </c>
      <c r="F209" s="15" t="s">
        <v>10</v>
      </c>
      <c r="G209" s="15" t="s">
        <v>446</v>
      </c>
      <c r="H209" s="8" t="s">
        <v>1629</v>
      </c>
      <c r="I209" s="8" t="s">
        <v>26</v>
      </c>
      <c r="J209" s="15"/>
    </row>
    <row r="210" spans="1:10" s="8" customFormat="1">
      <c r="A210" s="13"/>
      <c r="B210" s="8" t="s">
        <v>1783</v>
      </c>
      <c r="C210" s="289">
        <v>1012455</v>
      </c>
      <c r="D210" s="290">
        <v>0</v>
      </c>
      <c r="E210" s="284">
        <f t="shared" si="3"/>
        <v>178079352</v>
      </c>
      <c r="F210" s="15" t="s">
        <v>10</v>
      </c>
      <c r="G210" s="15" t="s">
        <v>446</v>
      </c>
      <c r="H210" s="8" t="s">
        <v>1629</v>
      </c>
      <c r="I210" s="8" t="s">
        <v>26</v>
      </c>
      <c r="J210" s="15"/>
    </row>
    <row r="211" spans="1:10" s="8" customFormat="1">
      <c r="A211" s="13"/>
      <c r="B211" s="8" t="s">
        <v>1784</v>
      </c>
      <c r="C211" s="289">
        <v>1140800</v>
      </c>
      <c r="D211" s="290">
        <v>0</v>
      </c>
      <c r="E211" s="284">
        <f t="shared" si="3"/>
        <v>176938552</v>
      </c>
      <c r="F211" s="15" t="s">
        <v>10</v>
      </c>
      <c r="G211" s="15" t="s">
        <v>446</v>
      </c>
      <c r="H211" s="8" t="s">
        <v>1629</v>
      </c>
      <c r="I211" s="8" t="s">
        <v>26</v>
      </c>
      <c r="J211" s="15"/>
    </row>
    <row r="212" spans="1:10" s="8" customFormat="1">
      <c r="A212" s="13"/>
      <c r="B212" s="8" t="s">
        <v>1785</v>
      </c>
      <c r="C212" s="287">
        <v>135498</v>
      </c>
      <c r="D212" s="284">
        <v>0</v>
      </c>
      <c r="E212" s="284">
        <f t="shared" si="3"/>
        <v>176803054</v>
      </c>
      <c r="F212" s="15" t="s">
        <v>8</v>
      </c>
      <c r="G212" s="15" t="s">
        <v>78</v>
      </c>
      <c r="J212" s="15"/>
    </row>
    <row r="213" spans="1:10" s="8" customFormat="1">
      <c r="A213" s="13"/>
      <c r="B213" s="8" t="s">
        <v>1786</v>
      </c>
      <c r="C213" s="287">
        <v>957600</v>
      </c>
      <c r="D213" s="284">
        <v>0</v>
      </c>
      <c r="E213" s="284">
        <f t="shared" si="3"/>
        <v>175845454</v>
      </c>
      <c r="F213" s="15" t="s">
        <v>1643</v>
      </c>
      <c r="G213" s="15" t="s">
        <v>5</v>
      </c>
      <c r="H213" s="8" t="s">
        <v>1593</v>
      </c>
      <c r="J213" s="15"/>
    </row>
    <row r="214" spans="1:10" s="8" customFormat="1">
      <c r="A214" s="13"/>
      <c r="B214" s="8" t="s">
        <v>1787</v>
      </c>
      <c r="C214" s="289">
        <v>959700</v>
      </c>
      <c r="D214" s="290">
        <v>0</v>
      </c>
      <c r="E214" s="284">
        <f t="shared" si="3"/>
        <v>174885754</v>
      </c>
      <c r="F214" s="15" t="s">
        <v>10</v>
      </c>
      <c r="G214" s="15" t="s">
        <v>446</v>
      </c>
      <c r="H214" s="8" t="s">
        <v>1629</v>
      </c>
      <c r="I214" s="8" t="s">
        <v>26</v>
      </c>
      <c r="J214" s="15"/>
    </row>
    <row r="215" spans="1:10" s="8" customFormat="1">
      <c r="A215" s="13"/>
      <c r="B215" s="8" t="s">
        <v>1788</v>
      </c>
      <c r="C215" s="287">
        <v>1086700</v>
      </c>
      <c r="D215" s="284">
        <v>0</v>
      </c>
      <c r="E215" s="284">
        <f t="shared" si="3"/>
        <v>173799054</v>
      </c>
      <c r="F215" s="15" t="s">
        <v>1643</v>
      </c>
      <c r="G215" s="15" t="s">
        <v>5</v>
      </c>
      <c r="H215" s="8" t="s">
        <v>1593</v>
      </c>
      <c r="J215" s="15"/>
    </row>
    <row r="216" spans="1:10" s="8" customFormat="1">
      <c r="A216" s="13"/>
      <c r="B216" s="8" t="s">
        <v>1708</v>
      </c>
      <c r="C216" s="287">
        <v>167930</v>
      </c>
      <c r="D216" s="284">
        <v>0</v>
      </c>
      <c r="E216" s="284">
        <f t="shared" si="3"/>
        <v>173631124</v>
      </c>
      <c r="F216" s="15" t="s">
        <v>1400</v>
      </c>
      <c r="G216" s="15" t="s">
        <v>1400</v>
      </c>
      <c r="J216" s="15"/>
    </row>
    <row r="217" spans="1:10" s="8" customFormat="1">
      <c r="A217" s="13"/>
      <c r="B217" s="8" t="s">
        <v>1789</v>
      </c>
      <c r="C217" s="287">
        <v>13860050</v>
      </c>
      <c r="D217" s="284">
        <v>0</v>
      </c>
      <c r="E217" s="284">
        <f t="shared" si="3"/>
        <v>159771074</v>
      </c>
      <c r="F217" s="15" t="s">
        <v>1643</v>
      </c>
      <c r="G217" s="15" t="s">
        <v>5</v>
      </c>
      <c r="H217" s="8" t="s">
        <v>1368</v>
      </c>
      <c r="J217" s="15"/>
    </row>
    <row r="218" spans="1:10" s="8" customFormat="1">
      <c r="A218" s="13"/>
      <c r="B218" s="8" t="s">
        <v>1790</v>
      </c>
      <c r="C218" s="287">
        <v>900000</v>
      </c>
      <c r="D218" s="284">
        <v>0</v>
      </c>
      <c r="E218" s="284">
        <f t="shared" si="3"/>
        <v>158871074</v>
      </c>
      <c r="F218" s="15" t="s">
        <v>1643</v>
      </c>
      <c r="G218" s="15" t="s">
        <v>5</v>
      </c>
      <c r="H218" s="8" t="s">
        <v>1368</v>
      </c>
      <c r="J218" s="15"/>
    </row>
    <row r="219" spans="1:10" s="8" customFormat="1">
      <c r="A219" s="13"/>
      <c r="B219" s="8" t="s">
        <v>1791</v>
      </c>
      <c r="C219" s="287">
        <v>1606000</v>
      </c>
      <c r="D219" s="284">
        <v>0</v>
      </c>
      <c r="E219" s="284">
        <f t="shared" si="3"/>
        <v>157265074</v>
      </c>
      <c r="F219" s="15" t="s">
        <v>1643</v>
      </c>
      <c r="G219" s="15" t="s">
        <v>5</v>
      </c>
      <c r="H219" s="8" t="s">
        <v>1368</v>
      </c>
      <c r="J219" s="15"/>
    </row>
    <row r="220" spans="1:10" s="8" customFormat="1">
      <c r="A220" s="13"/>
      <c r="B220" s="8" t="s">
        <v>1792</v>
      </c>
      <c r="C220" s="289">
        <v>2002244</v>
      </c>
      <c r="D220" s="290">
        <v>0</v>
      </c>
      <c r="E220" s="284">
        <f t="shared" si="3"/>
        <v>155262830</v>
      </c>
      <c r="F220" s="15" t="s">
        <v>1643</v>
      </c>
      <c r="G220" s="15" t="s">
        <v>5</v>
      </c>
      <c r="H220" s="8" t="s">
        <v>1631</v>
      </c>
      <c r="J220" s="15"/>
    </row>
    <row r="221" spans="1:10" s="8" customFormat="1">
      <c r="A221" s="13"/>
      <c r="B221" s="8" t="s">
        <v>1708</v>
      </c>
      <c r="C221" s="287">
        <v>0</v>
      </c>
      <c r="D221" s="284">
        <v>167930</v>
      </c>
      <c r="E221" s="284">
        <f t="shared" si="3"/>
        <v>155430760</v>
      </c>
      <c r="F221" s="15" t="s">
        <v>1400</v>
      </c>
      <c r="G221" s="15" t="s">
        <v>1400</v>
      </c>
      <c r="J221" s="15"/>
    </row>
    <row r="222" spans="1:10" s="8" customFormat="1">
      <c r="A222" s="13"/>
      <c r="B222" s="8" t="s">
        <v>1793</v>
      </c>
      <c r="C222" s="287">
        <v>11610003</v>
      </c>
      <c r="D222" s="284">
        <v>0</v>
      </c>
      <c r="E222" s="284">
        <f t="shared" si="3"/>
        <v>143820757</v>
      </c>
      <c r="F222" s="15" t="s">
        <v>1643</v>
      </c>
      <c r="G222" s="15" t="s">
        <v>5</v>
      </c>
      <c r="H222" s="8" t="s">
        <v>1368</v>
      </c>
      <c r="J222" s="15"/>
    </row>
    <row r="223" spans="1:10" s="8" customFormat="1">
      <c r="A223" s="13"/>
      <c r="B223" s="8" t="s">
        <v>1794</v>
      </c>
      <c r="C223" s="287">
        <v>1305000</v>
      </c>
      <c r="D223" s="284">
        <v>0</v>
      </c>
      <c r="E223" s="284">
        <f t="shared" si="3"/>
        <v>142515757</v>
      </c>
      <c r="F223" s="15" t="s">
        <v>1643</v>
      </c>
      <c r="G223" s="15" t="s">
        <v>5</v>
      </c>
      <c r="H223" s="8" t="s">
        <v>1368</v>
      </c>
      <c r="J223" s="15"/>
    </row>
    <row r="224" spans="1:10" s="8" customFormat="1">
      <c r="A224" s="13"/>
      <c r="B224" s="8" t="s">
        <v>1795</v>
      </c>
      <c r="C224" s="287">
        <v>3655030</v>
      </c>
      <c r="D224" s="284">
        <v>0</v>
      </c>
      <c r="E224" s="284">
        <f t="shared" si="3"/>
        <v>138860727</v>
      </c>
      <c r="F224" s="15" t="s">
        <v>1643</v>
      </c>
      <c r="G224" s="15" t="s">
        <v>5</v>
      </c>
      <c r="H224" s="8" t="s">
        <v>1368</v>
      </c>
      <c r="J224" s="15"/>
    </row>
    <row r="225" spans="1:10" s="8" customFormat="1">
      <c r="A225" s="13"/>
      <c r="B225" s="8" t="s">
        <v>1796</v>
      </c>
      <c r="C225" s="287">
        <v>7744634</v>
      </c>
      <c r="D225" s="284">
        <v>0</v>
      </c>
      <c r="E225" s="284">
        <f t="shared" si="3"/>
        <v>131116093</v>
      </c>
      <c r="F225" s="15" t="s">
        <v>1643</v>
      </c>
      <c r="G225" s="15" t="s">
        <v>5</v>
      </c>
      <c r="H225" s="8" t="s">
        <v>1368</v>
      </c>
      <c r="J225" s="15"/>
    </row>
    <row r="226" spans="1:10" s="8" customFormat="1">
      <c r="A226" s="13"/>
      <c r="B226" s="8" t="s">
        <v>1797</v>
      </c>
      <c r="C226" s="287">
        <v>14226000</v>
      </c>
      <c r="D226" s="284">
        <v>0</v>
      </c>
      <c r="E226" s="284">
        <f t="shared" si="3"/>
        <v>116890093</v>
      </c>
      <c r="F226" s="15" t="s">
        <v>1400</v>
      </c>
      <c r="G226" s="15" t="s">
        <v>1400</v>
      </c>
      <c r="J226" s="15"/>
    </row>
    <row r="227" spans="1:10" s="8" customFormat="1">
      <c r="A227" s="13"/>
      <c r="B227" s="8" t="s">
        <v>1798</v>
      </c>
      <c r="C227" s="287">
        <v>579700</v>
      </c>
      <c r="D227" s="284">
        <v>0</v>
      </c>
      <c r="E227" s="284">
        <f t="shared" si="3"/>
        <v>116310393</v>
      </c>
      <c r="F227" s="15" t="s">
        <v>1643</v>
      </c>
      <c r="G227" s="15" t="s">
        <v>5</v>
      </c>
      <c r="H227" s="8" t="s">
        <v>1368</v>
      </c>
      <c r="J227" s="15"/>
    </row>
    <row r="228" spans="1:10" s="8" customFormat="1">
      <c r="A228" s="13"/>
      <c r="B228" s="8" t="s">
        <v>1799</v>
      </c>
      <c r="C228" s="287">
        <v>3555300</v>
      </c>
      <c r="D228" s="284">
        <v>0</v>
      </c>
      <c r="E228" s="284">
        <f t="shared" si="3"/>
        <v>112755093</v>
      </c>
      <c r="F228" s="15" t="s">
        <v>1643</v>
      </c>
      <c r="G228" s="15" t="s">
        <v>5</v>
      </c>
      <c r="H228" s="8" t="s">
        <v>1368</v>
      </c>
      <c r="J228" s="15"/>
    </row>
    <row r="229" spans="1:10" s="8" customFormat="1">
      <c r="A229" s="13"/>
      <c r="B229" s="8" t="s">
        <v>1800</v>
      </c>
      <c r="C229" s="287">
        <v>3196600</v>
      </c>
      <c r="D229" s="284">
        <v>0</v>
      </c>
      <c r="E229" s="284">
        <f t="shared" si="3"/>
        <v>109558493</v>
      </c>
      <c r="F229" s="15" t="s">
        <v>1643</v>
      </c>
      <c r="G229" s="15" t="s">
        <v>5</v>
      </c>
      <c r="H229" s="8" t="s">
        <v>1368</v>
      </c>
      <c r="J229" s="15"/>
    </row>
    <row r="230" spans="1:10" s="8" customFormat="1">
      <c r="A230" s="13"/>
      <c r="B230" s="8" t="s">
        <v>1801</v>
      </c>
      <c r="C230" s="287">
        <v>4270800</v>
      </c>
      <c r="D230" s="284">
        <v>0</v>
      </c>
      <c r="E230" s="284">
        <f t="shared" si="3"/>
        <v>105287693</v>
      </c>
      <c r="F230" s="15" t="s">
        <v>1643</v>
      </c>
      <c r="G230" s="15" t="s">
        <v>5</v>
      </c>
      <c r="H230" s="8" t="s">
        <v>1368</v>
      </c>
      <c r="J230" s="15"/>
    </row>
    <row r="231" spans="1:10" s="8" customFormat="1">
      <c r="A231" s="13"/>
      <c r="B231" s="8" t="s">
        <v>1802</v>
      </c>
      <c r="C231" s="287">
        <v>8790800</v>
      </c>
      <c r="D231" s="284">
        <v>0</v>
      </c>
      <c r="E231" s="284">
        <f t="shared" si="3"/>
        <v>96496893</v>
      </c>
      <c r="F231" s="15" t="s">
        <v>1643</v>
      </c>
      <c r="G231" s="15" t="s">
        <v>5</v>
      </c>
      <c r="H231" s="8" t="s">
        <v>1368</v>
      </c>
      <c r="J231" s="15"/>
    </row>
    <row r="232" spans="1:10" s="8" customFormat="1">
      <c r="A232" s="13"/>
      <c r="B232" s="8" t="s">
        <v>1803</v>
      </c>
      <c r="C232" s="287">
        <v>14364250</v>
      </c>
      <c r="D232" s="284">
        <v>0</v>
      </c>
      <c r="E232" s="284">
        <f t="shared" si="3"/>
        <v>82132643</v>
      </c>
      <c r="F232" s="15" t="s">
        <v>1643</v>
      </c>
      <c r="G232" s="15" t="s">
        <v>5</v>
      </c>
      <c r="H232" s="8" t="s">
        <v>1368</v>
      </c>
      <c r="J232" s="15"/>
    </row>
    <row r="233" spans="1:10" s="8" customFormat="1">
      <c r="A233" s="13"/>
      <c r="B233" s="8" t="s">
        <v>1797</v>
      </c>
      <c r="C233" s="287">
        <v>0</v>
      </c>
      <c r="D233" s="284">
        <v>14226000</v>
      </c>
      <c r="E233" s="284">
        <f t="shared" si="3"/>
        <v>96358643</v>
      </c>
      <c r="F233" s="15" t="s">
        <v>1400</v>
      </c>
      <c r="G233" s="15" t="s">
        <v>1400</v>
      </c>
      <c r="J233" s="15"/>
    </row>
    <row r="234" spans="1:10" s="8" customFormat="1">
      <c r="A234" s="13"/>
      <c r="B234" s="8" t="s">
        <v>1804</v>
      </c>
      <c r="C234" s="287">
        <v>709954</v>
      </c>
      <c r="D234" s="284">
        <v>0</v>
      </c>
      <c r="E234" s="284">
        <f t="shared" si="3"/>
        <v>95648689</v>
      </c>
      <c r="F234" s="15" t="s">
        <v>1643</v>
      </c>
      <c r="G234" s="15" t="s">
        <v>5</v>
      </c>
      <c r="H234" s="8" t="s">
        <v>1368</v>
      </c>
      <c r="J234" s="15"/>
    </row>
    <row r="235" spans="1:10" s="8" customFormat="1">
      <c r="A235" s="13"/>
      <c r="B235" s="8" t="s">
        <v>1805</v>
      </c>
      <c r="C235" s="287">
        <v>1552200</v>
      </c>
      <c r="D235" s="284">
        <v>0</v>
      </c>
      <c r="E235" s="284">
        <f t="shared" si="3"/>
        <v>94096489</v>
      </c>
      <c r="F235" s="15" t="s">
        <v>1643</v>
      </c>
      <c r="G235" s="15" t="s">
        <v>5</v>
      </c>
      <c r="H235" s="8" t="s">
        <v>1593</v>
      </c>
      <c r="J235" s="15"/>
    </row>
    <row r="236" spans="1:10" s="8" customFormat="1">
      <c r="A236" s="13"/>
      <c r="B236" s="8" t="s">
        <v>1806</v>
      </c>
      <c r="C236" s="289">
        <v>99000</v>
      </c>
      <c r="D236" s="290">
        <v>0</v>
      </c>
      <c r="E236" s="284">
        <f t="shared" si="3"/>
        <v>93997489</v>
      </c>
      <c r="F236" s="15" t="s">
        <v>1643</v>
      </c>
      <c r="G236" s="15" t="s">
        <v>5</v>
      </c>
      <c r="H236" s="8" t="s">
        <v>1631</v>
      </c>
      <c r="J236" s="15"/>
    </row>
    <row r="237" spans="1:10" s="8" customFormat="1">
      <c r="A237" s="13"/>
      <c r="B237" s="8" t="s">
        <v>1807</v>
      </c>
      <c r="C237" s="289">
        <v>1748000</v>
      </c>
      <c r="D237" s="290">
        <v>0</v>
      </c>
      <c r="E237" s="284">
        <f t="shared" si="3"/>
        <v>92249489</v>
      </c>
      <c r="F237" s="15" t="s">
        <v>1643</v>
      </c>
      <c r="G237" s="15" t="s">
        <v>5</v>
      </c>
      <c r="H237" s="8" t="s">
        <v>1631</v>
      </c>
      <c r="J237" s="15"/>
    </row>
    <row r="238" spans="1:10" s="8" customFormat="1">
      <c r="A238" s="13"/>
      <c r="B238" s="8" t="s">
        <v>1808</v>
      </c>
      <c r="C238" s="287">
        <v>145700</v>
      </c>
      <c r="D238" s="284">
        <v>0</v>
      </c>
      <c r="E238" s="284">
        <f t="shared" si="3"/>
        <v>92103789</v>
      </c>
      <c r="F238" s="15" t="s">
        <v>1643</v>
      </c>
      <c r="G238" s="15" t="s">
        <v>5</v>
      </c>
      <c r="H238" s="8" t="s">
        <v>1368</v>
      </c>
      <c r="J238" s="15"/>
    </row>
    <row r="239" spans="1:10" s="8" customFormat="1">
      <c r="A239" s="13"/>
      <c r="B239" s="8" t="s">
        <v>1809</v>
      </c>
      <c r="C239" s="287">
        <v>480396</v>
      </c>
      <c r="D239" s="284">
        <v>0</v>
      </c>
      <c r="E239" s="284">
        <f t="shared" si="3"/>
        <v>91623393</v>
      </c>
      <c r="F239" s="15" t="s">
        <v>1643</v>
      </c>
      <c r="G239" s="15" t="s">
        <v>5</v>
      </c>
      <c r="H239" s="8" t="s">
        <v>1417</v>
      </c>
      <c r="J239" s="15"/>
    </row>
    <row r="240" spans="1:10" s="8" customFormat="1">
      <c r="A240" s="13"/>
      <c r="B240" s="8" t="s">
        <v>1810</v>
      </c>
      <c r="C240" s="287">
        <v>270000</v>
      </c>
      <c r="D240" s="284">
        <v>0</v>
      </c>
      <c r="E240" s="284">
        <f t="shared" si="3"/>
        <v>91353393</v>
      </c>
      <c r="F240" s="15" t="s">
        <v>1643</v>
      </c>
      <c r="G240" s="15" t="s">
        <v>5</v>
      </c>
      <c r="H240" s="43" t="s">
        <v>1445</v>
      </c>
      <c r="J240" s="15"/>
    </row>
    <row r="241" spans="1:10" s="8" customFormat="1">
      <c r="A241" s="13"/>
      <c r="B241" s="8" t="s">
        <v>1811</v>
      </c>
      <c r="C241" s="289">
        <v>1410747</v>
      </c>
      <c r="D241" s="290">
        <v>0</v>
      </c>
      <c r="E241" s="284">
        <f t="shared" si="3"/>
        <v>89942646</v>
      </c>
      <c r="F241" s="15" t="s">
        <v>10</v>
      </c>
      <c r="G241" s="15" t="s">
        <v>446</v>
      </c>
      <c r="H241" s="8" t="s">
        <v>1812</v>
      </c>
      <c r="I241" s="8" t="s">
        <v>26</v>
      </c>
      <c r="J241" s="15"/>
    </row>
    <row r="242" spans="1:10" s="8" customFormat="1">
      <c r="A242" s="13"/>
      <c r="B242" s="8" t="s">
        <v>1813</v>
      </c>
      <c r="C242" s="287">
        <v>1708500</v>
      </c>
      <c r="D242" s="284">
        <v>0</v>
      </c>
      <c r="E242" s="284">
        <f t="shared" si="3"/>
        <v>88234146</v>
      </c>
      <c r="F242" s="15" t="s">
        <v>1643</v>
      </c>
      <c r="G242" s="15" t="s">
        <v>5</v>
      </c>
      <c r="H242" s="8" t="s">
        <v>1445</v>
      </c>
      <c r="J242" s="15"/>
    </row>
    <row r="243" spans="1:10" s="8" customFormat="1">
      <c r="A243" s="13"/>
      <c r="B243" s="8" t="s">
        <v>1814</v>
      </c>
      <c r="C243" s="287">
        <v>180000</v>
      </c>
      <c r="D243" s="284">
        <v>0</v>
      </c>
      <c r="E243" s="284">
        <f t="shared" si="3"/>
        <v>88054146</v>
      </c>
      <c r="F243" s="15" t="s">
        <v>1643</v>
      </c>
      <c r="G243" s="15" t="s">
        <v>5</v>
      </c>
      <c r="H243" s="8" t="s">
        <v>1445</v>
      </c>
      <c r="J243" s="15"/>
    </row>
    <row r="244" spans="1:10" s="8" customFormat="1">
      <c r="A244" s="13"/>
      <c r="B244" s="8" t="s">
        <v>1815</v>
      </c>
      <c r="C244" s="287">
        <v>6875000</v>
      </c>
      <c r="D244" s="284">
        <v>0</v>
      </c>
      <c r="E244" s="284">
        <f t="shared" si="3"/>
        <v>81179146</v>
      </c>
      <c r="F244" s="15" t="s">
        <v>1643</v>
      </c>
      <c r="G244" s="15" t="s">
        <v>5</v>
      </c>
      <c r="H244" s="8" t="s">
        <v>1445</v>
      </c>
      <c r="J244" s="15"/>
    </row>
    <row r="245" spans="1:10" s="8" customFormat="1">
      <c r="A245" s="13"/>
      <c r="B245" s="8" t="s">
        <v>1816</v>
      </c>
      <c r="C245" s="289">
        <v>2520000</v>
      </c>
      <c r="D245" s="290">
        <v>0</v>
      </c>
      <c r="E245" s="284">
        <f t="shared" si="3"/>
        <v>78659146</v>
      </c>
      <c r="F245" s="15" t="s">
        <v>1643</v>
      </c>
      <c r="G245" s="15" t="s">
        <v>5</v>
      </c>
      <c r="H245" s="8" t="s">
        <v>1631</v>
      </c>
      <c r="J245" s="15"/>
    </row>
    <row r="246" spans="1:10" s="8" customFormat="1">
      <c r="A246" s="13"/>
      <c r="B246" s="8" t="s">
        <v>1817</v>
      </c>
      <c r="C246" s="287">
        <v>112500</v>
      </c>
      <c r="D246" s="284">
        <v>0</v>
      </c>
      <c r="E246" s="284">
        <f t="shared" si="3"/>
        <v>78546646</v>
      </c>
      <c r="F246" s="15" t="s">
        <v>1643</v>
      </c>
      <c r="G246" s="15" t="s">
        <v>5</v>
      </c>
      <c r="H246" s="8" t="s">
        <v>1445</v>
      </c>
      <c r="J246" s="15"/>
    </row>
    <row r="247" spans="1:10" s="8" customFormat="1">
      <c r="A247" s="13"/>
      <c r="B247" s="8" t="s">
        <v>1818</v>
      </c>
      <c r="C247" s="289">
        <v>1507400</v>
      </c>
      <c r="D247" s="290">
        <v>0</v>
      </c>
      <c r="E247" s="284">
        <f t="shared" si="3"/>
        <v>77039246</v>
      </c>
      <c r="F247" s="15" t="s">
        <v>1643</v>
      </c>
      <c r="G247" s="15" t="s">
        <v>5</v>
      </c>
      <c r="H247" s="8" t="s">
        <v>1631</v>
      </c>
      <c r="J247" s="15"/>
    </row>
    <row r="248" spans="1:10" s="8" customFormat="1">
      <c r="A248" s="13"/>
      <c r="B248" s="8" t="s">
        <v>1819</v>
      </c>
      <c r="C248" s="287">
        <v>2093920</v>
      </c>
      <c r="D248" s="284">
        <v>0</v>
      </c>
      <c r="E248" s="284">
        <f t="shared" si="3"/>
        <v>74945326</v>
      </c>
      <c r="F248" s="15" t="s">
        <v>1643</v>
      </c>
      <c r="G248" s="15" t="s">
        <v>5</v>
      </c>
      <c r="H248" s="8" t="s">
        <v>1445</v>
      </c>
      <c r="J248" s="15"/>
    </row>
    <row r="249" spans="1:10" s="8" customFormat="1">
      <c r="A249" s="13"/>
      <c r="B249" s="8" t="s">
        <v>1820</v>
      </c>
      <c r="C249" s="289">
        <v>1191002</v>
      </c>
      <c r="D249" s="290">
        <v>0</v>
      </c>
      <c r="E249" s="284">
        <f t="shared" si="3"/>
        <v>73754324</v>
      </c>
      <c r="F249" s="15" t="s">
        <v>1643</v>
      </c>
      <c r="G249" s="15" t="s">
        <v>5</v>
      </c>
      <c r="H249" s="8" t="s">
        <v>1631</v>
      </c>
      <c r="J249" s="15"/>
    </row>
    <row r="250" spans="1:10" s="8" customFormat="1">
      <c r="A250" s="13"/>
      <c r="B250" s="8" t="s">
        <v>1821</v>
      </c>
      <c r="C250" s="289">
        <v>1483647</v>
      </c>
      <c r="D250" s="290">
        <v>0</v>
      </c>
      <c r="E250" s="284">
        <f t="shared" si="3"/>
        <v>72270677</v>
      </c>
      <c r="F250" s="15" t="s">
        <v>1643</v>
      </c>
      <c r="G250" s="15" t="s">
        <v>5</v>
      </c>
      <c r="H250" s="8" t="s">
        <v>1631</v>
      </c>
      <c r="J250" s="15"/>
    </row>
    <row r="251" spans="1:10" s="8" customFormat="1">
      <c r="A251" s="13"/>
      <c r="B251" s="8" t="s">
        <v>1822</v>
      </c>
      <c r="C251" s="287">
        <v>1253200</v>
      </c>
      <c r="D251" s="284">
        <v>0</v>
      </c>
      <c r="E251" s="284">
        <f t="shared" si="3"/>
        <v>71017477</v>
      </c>
      <c r="F251" s="15" t="s">
        <v>1643</v>
      </c>
      <c r="G251" s="15" t="s">
        <v>5</v>
      </c>
      <c r="H251" s="8" t="s">
        <v>1445</v>
      </c>
      <c r="J251" s="15"/>
    </row>
    <row r="252" spans="1:10" s="8" customFormat="1">
      <c r="A252" s="13"/>
      <c r="B252" s="8" t="s">
        <v>1823</v>
      </c>
      <c r="C252" s="289">
        <v>1524827</v>
      </c>
      <c r="D252" s="290">
        <v>0</v>
      </c>
      <c r="E252" s="284">
        <f t="shared" si="3"/>
        <v>69492650</v>
      </c>
      <c r="F252" s="15" t="s">
        <v>1643</v>
      </c>
      <c r="G252" s="15" t="s">
        <v>5</v>
      </c>
      <c r="H252" s="8" t="s">
        <v>1631</v>
      </c>
      <c r="J252" s="15"/>
    </row>
    <row r="253" spans="1:10" s="8" customFormat="1">
      <c r="A253" s="13"/>
      <c r="B253" s="8" t="s">
        <v>1824</v>
      </c>
      <c r="C253" s="289">
        <v>1661220</v>
      </c>
      <c r="D253" s="290">
        <v>0</v>
      </c>
      <c r="E253" s="284">
        <f t="shared" si="3"/>
        <v>67831430</v>
      </c>
      <c r="F253" s="15" t="s">
        <v>1643</v>
      </c>
      <c r="G253" s="15" t="s">
        <v>5</v>
      </c>
      <c r="H253" s="8" t="s">
        <v>1631</v>
      </c>
      <c r="J253" s="15"/>
    </row>
    <row r="254" spans="1:10" s="8" customFormat="1">
      <c r="A254" s="13"/>
      <c r="B254" s="8" t="s">
        <v>1825</v>
      </c>
      <c r="C254" s="289">
        <v>1856000</v>
      </c>
      <c r="D254" s="290">
        <v>0</v>
      </c>
      <c r="E254" s="284">
        <f t="shared" si="3"/>
        <v>65975430</v>
      </c>
      <c r="F254" s="15" t="s">
        <v>1643</v>
      </c>
      <c r="G254" s="15" t="s">
        <v>5</v>
      </c>
      <c r="H254" s="8" t="s">
        <v>1631</v>
      </c>
      <c r="J254" s="15"/>
    </row>
    <row r="255" spans="1:10" s="8" customFormat="1">
      <c r="A255" s="13">
        <v>45762</v>
      </c>
      <c r="B255" s="8" t="s">
        <v>1202</v>
      </c>
      <c r="C255" s="287">
        <v>0</v>
      </c>
      <c r="D255" s="284">
        <v>17127736</v>
      </c>
      <c r="E255" s="284">
        <f t="shared" si="3"/>
        <v>83103166</v>
      </c>
      <c r="F255" s="15" t="s">
        <v>920</v>
      </c>
      <c r="G255" s="80" t="s">
        <v>352</v>
      </c>
      <c r="H255" s="8" t="s">
        <v>6471</v>
      </c>
      <c r="J255" s="15"/>
    </row>
    <row r="256" spans="1:10" s="8" customFormat="1">
      <c r="A256" s="13"/>
      <c r="B256" s="8" t="s">
        <v>1826</v>
      </c>
      <c r="C256" s="287">
        <v>54400</v>
      </c>
      <c r="D256" s="284">
        <v>0</v>
      </c>
      <c r="E256" s="284">
        <f t="shared" si="3"/>
        <v>83048766</v>
      </c>
      <c r="F256" s="15" t="s">
        <v>8</v>
      </c>
      <c r="G256" s="15" t="s">
        <v>78</v>
      </c>
      <c r="H256" s="8" t="s">
        <v>370</v>
      </c>
      <c r="J256" s="15"/>
    </row>
    <row r="257" spans="1:10" s="8" customFormat="1">
      <c r="A257" s="13"/>
      <c r="B257" s="8" t="s">
        <v>1827</v>
      </c>
      <c r="C257" s="287">
        <v>386700</v>
      </c>
      <c r="D257" s="284">
        <v>0</v>
      </c>
      <c r="E257" s="284">
        <f t="shared" si="3"/>
        <v>82662066</v>
      </c>
      <c r="F257" s="15" t="s">
        <v>8</v>
      </c>
      <c r="G257" s="15" t="s">
        <v>14</v>
      </c>
      <c r="H257" s="8" t="s">
        <v>370</v>
      </c>
      <c r="J257" s="15"/>
    </row>
    <row r="258" spans="1:10" s="8" customFormat="1">
      <c r="A258" s="13"/>
      <c r="B258" s="8" t="s">
        <v>1828</v>
      </c>
      <c r="C258" s="287">
        <v>197930</v>
      </c>
      <c r="D258" s="284">
        <v>0</v>
      </c>
      <c r="E258" s="284">
        <f t="shared" si="3"/>
        <v>82464136</v>
      </c>
      <c r="F258" s="15" t="s">
        <v>8</v>
      </c>
      <c r="G258" s="15" t="s">
        <v>14</v>
      </c>
      <c r="H258" s="8" t="s">
        <v>370</v>
      </c>
      <c r="J258" s="15"/>
    </row>
    <row r="259" spans="1:10" s="8" customFormat="1">
      <c r="A259" s="13"/>
      <c r="B259" s="8" t="s">
        <v>1694</v>
      </c>
      <c r="C259" s="287">
        <v>330400</v>
      </c>
      <c r="D259" s="284">
        <v>0</v>
      </c>
      <c r="E259" s="284">
        <f t="shared" si="3"/>
        <v>82133736</v>
      </c>
      <c r="F259" s="15" t="s">
        <v>8</v>
      </c>
      <c r="G259" s="15" t="s">
        <v>14</v>
      </c>
      <c r="H259" s="8" t="s">
        <v>314</v>
      </c>
      <c r="J259" s="15"/>
    </row>
    <row r="260" spans="1:10" s="8" customFormat="1">
      <c r="A260" s="13"/>
      <c r="B260" s="8" t="s">
        <v>1829</v>
      </c>
      <c r="C260" s="287">
        <v>316900</v>
      </c>
      <c r="D260" s="284">
        <v>0</v>
      </c>
      <c r="E260" s="284">
        <f t="shared" si="3"/>
        <v>81816836</v>
      </c>
      <c r="F260" s="15" t="s">
        <v>8</v>
      </c>
      <c r="G260" s="15" t="s">
        <v>14</v>
      </c>
      <c r="H260" s="8" t="s">
        <v>370</v>
      </c>
      <c r="J260" s="15"/>
    </row>
    <row r="261" spans="1:10" s="8" customFormat="1">
      <c r="A261" s="13"/>
      <c r="B261" s="8" t="s">
        <v>1830</v>
      </c>
      <c r="C261" s="287">
        <v>241720</v>
      </c>
      <c r="D261" s="284">
        <v>0</v>
      </c>
      <c r="E261" s="284">
        <f t="shared" si="3"/>
        <v>81575116</v>
      </c>
      <c r="F261" s="15" t="s">
        <v>8</v>
      </c>
      <c r="G261" s="15" t="s">
        <v>14</v>
      </c>
      <c r="H261" s="8" t="s">
        <v>370</v>
      </c>
      <c r="J261" s="15"/>
    </row>
    <row r="262" spans="1:10" s="8" customFormat="1">
      <c r="A262" s="13"/>
      <c r="B262" s="8" t="s">
        <v>1694</v>
      </c>
      <c r="C262" s="287">
        <v>330200</v>
      </c>
      <c r="D262" s="284">
        <v>0</v>
      </c>
      <c r="E262" s="284">
        <f t="shared" ref="E262:E325" si="4">E261-C262+D262</f>
        <v>81244916</v>
      </c>
      <c r="F262" s="15" t="s">
        <v>8</v>
      </c>
      <c r="G262" s="15" t="s">
        <v>14</v>
      </c>
      <c r="H262" s="8" t="s">
        <v>314</v>
      </c>
      <c r="J262" s="15"/>
    </row>
    <row r="263" spans="1:10" s="8" customFormat="1">
      <c r="A263" s="13"/>
      <c r="B263" s="8" t="s">
        <v>1831</v>
      </c>
      <c r="C263" s="287">
        <v>212190</v>
      </c>
      <c r="D263" s="284">
        <v>0</v>
      </c>
      <c r="E263" s="284">
        <f t="shared" si="4"/>
        <v>81032726</v>
      </c>
      <c r="F263" s="15" t="s">
        <v>8</v>
      </c>
      <c r="G263" s="15" t="s">
        <v>14</v>
      </c>
      <c r="H263" s="8" t="s">
        <v>370</v>
      </c>
      <c r="J263" s="15"/>
    </row>
    <row r="264" spans="1:10" s="8" customFormat="1">
      <c r="A264" s="13"/>
      <c r="B264" s="8" t="s">
        <v>1725</v>
      </c>
      <c r="C264" s="287">
        <v>304959</v>
      </c>
      <c r="D264" s="284">
        <v>0</v>
      </c>
      <c r="E264" s="284">
        <f t="shared" si="4"/>
        <v>80727767</v>
      </c>
      <c r="F264" s="15" t="s">
        <v>8</v>
      </c>
      <c r="G264" s="15" t="s">
        <v>32</v>
      </c>
      <c r="J264" s="15"/>
    </row>
    <row r="265" spans="1:10" s="8" customFormat="1">
      <c r="A265" s="13"/>
      <c r="B265" s="8" t="s">
        <v>1832</v>
      </c>
      <c r="C265" s="287">
        <v>345350</v>
      </c>
      <c r="D265" s="284">
        <v>0</v>
      </c>
      <c r="E265" s="284">
        <f t="shared" si="4"/>
        <v>80382417</v>
      </c>
      <c r="F265" s="15" t="s">
        <v>8</v>
      </c>
      <c r="G265" s="15" t="s">
        <v>14</v>
      </c>
      <c r="H265" s="8" t="s">
        <v>2447</v>
      </c>
      <c r="J265" s="15"/>
    </row>
    <row r="266" spans="1:10" s="8" customFormat="1">
      <c r="A266" s="13"/>
      <c r="B266" s="8" t="s">
        <v>1694</v>
      </c>
      <c r="C266" s="287">
        <v>344500</v>
      </c>
      <c r="D266" s="284">
        <v>0</v>
      </c>
      <c r="E266" s="284">
        <f t="shared" si="4"/>
        <v>80037917</v>
      </c>
      <c r="F266" s="15" t="s">
        <v>8</v>
      </c>
      <c r="G266" s="15" t="s">
        <v>14</v>
      </c>
      <c r="H266" s="8" t="s">
        <v>314</v>
      </c>
      <c r="J266" s="15"/>
    </row>
    <row r="267" spans="1:10" s="8" customFormat="1">
      <c r="A267" s="13"/>
      <c r="B267" s="8" t="s">
        <v>2448</v>
      </c>
      <c r="C267" s="287">
        <v>977337</v>
      </c>
      <c r="D267" s="284">
        <v>0</v>
      </c>
      <c r="E267" s="284">
        <f t="shared" si="4"/>
        <v>79060580</v>
      </c>
      <c r="F267" s="15" t="s">
        <v>62</v>
      </c>
      <c r="G267" s="15" t="s">
        <v>63</v>
      </c>
      <c r="H267" s="8" t="s">
        <v>2447</v>
      </c>
      <c r="J267" s="15"/>
    </row>
    <row r="268" spans="1:10" s="8" customFormat="1">
      <c r="A268" s="13"/>
      <c r="B268" s="8" t="s">
        <v>1833</v>
      </c>
      <c r="C268" s="287">
        <v>710720</v>
      </c>
      <c r="D268" s="284">
        <v>0</v>
      </c>
      <c r="E268" s="284">
        <f t="shared" si="4"/>
        <v>78349860</v>
      </c>
      <c r="F268" s="15" t="s">
        <v>8</v>
      </c>
      <c r="G268" s="15" t="s">
        <v>14</v>
      </c>
      <c r="H268" s="8" t="s">
        <v>291</v>
      </c>
      <c r="J268" s="15"/>
    </row>
    <row r="269" spans="1:10" s="8" customFormat="1">
      <c r="A269" s="13"/>
      <c r="B269" s="8" t="s">
        <v>1834</v>
      </c>
      <c r="C269" s="287">
        <v>810400</v>
      </c>
      <c r="D269" s="284">
        <v>0</v>
      </c>
      <c r="E269" s="284">
        <f t="shared" si="4"/>
        <v>77539460</v>
      </c>
      <c r="F269" s="15" t="s">
        <v>62</v>
      </c>
      <c r="G269" s="15" t="s">
        <v>70</v>
      </c>
      <c r="H269" s="8" t="s">
        <v>308</v>
      </c>
      <c r="J269" s="15"/>
    </row>
    <row r="270" spans="1:10" s="8" customFormat="1">
      <c r="A270" s="13"/>
      <c r="B270" s="8" t="s">
        <v>1835</v>
      </c>
      <c r="C270" s="287">
        <v>487942</v>
      </c>
      <c r="D270" s="284">
        <v>0</v>
      </c>
      <c r="E270" s="284">
        <f t="shared" si="4"/>
        <v>77051518</v>
      </c>
      <c r="F270" s="15" t="s">
        <v>8</v>
      </c>
      <c r="G270" s="15" t="s">
        <v>14</v>
      </c>
      <c r="H270" s="8" t="s">
        <v>291</v>
      </c>
      <c r="J270" s="15"/>
    </row>
    <row r="271" spans="1:10" s="8" customFormat="1">
      <c r="A271" s="13"/>
      <c r="B271" s="8" t="s">
        <v>1836</v>
      </c>
      <c r="C271" s="287">
        <v>656120</v>
      </c>
      <c r="D271" s="284">
        <v>0</v>
      </c>
      <c r="E271" s="284">
        <f t="shared" si="4"/>
        <v>76395398</v>
      </c>
      <c r="F271" s="15" t="s">
        <v>8</v>
      </c>
      <c r="G271" s="15" t="s">
        <v>14</v>
      </c>
      <c r="H271" s="8" t="s">
        <v>291</v>
      </c>
      <c r="J271" s="15"/>
    </row>
    <row r="272" spans="1:10" s="8" customFormat="1">
      <c r="A272" s="13"/>
      <c r="B272" s="8" t="s">
        <v>1837</v>
      </c>
      <c r="C272" s="289">
        <v>1191002</v>
      </c>
      <c r="D272" s="290">
        <v>0</v>
      </c>
      <c r="E272" s="284">
        <f t="shared" si="4"/>
        <v>75204396</v>
      </c>
      <c r="F272" s="15" t="s">
        <v>1643</v>
      </c>
      <c r="G272" s="15" t="s">
        <v>5</v>
      </c>
      <c r="H272" s="8" t="s">
        <v>1631</v>
      </c>
      <c r="J272" s="15"/>
    </row>
    <row r="273" spans="1:10" s="8" customFormat="1">
      <c r="A273" s="13"/>
      <c r="B273" s="8" t="s">
        <v>1838</v>
      </c>
      <c r="C273" s="287">
        <v>0</v>
      </c>
      <c r="D273" s="284">
        <v>1176495</v>
      </c>
      <c r="E273" s="284">
        <f t="shared" si="4"/>
        <v>76380891</v>
      </c>
      <c r="F273" s="15" t="s">
        <v>1643</v>
      </c>
      <c r="G273" s="15" t="s">
        <v>5</v>
      </c>
      <c r="H273" s="8" t="s">
        <v>1445</v>
      </c>
      <c r="J273" s="15"/>
    </row>
    <row r="274" spans="1:10" s="8" customFormat="1">
      <c r="A274" s="13"/>
      <c r="B274" s="8" t="s">
        <v>1839</v>
      </c>
      <c r="C274" s="289">
        <v>1514930</v>
      </c>
      <c r="D274" s="290">
        <v>0</v>
      </c>
      <c r="E274" s="284">
        <f t="shared" si="4"/>
        <v>74865961</v>
      </c>
      <c r="F274" s="15" t="s">
        <v>10</v>
      </c>
      <c r="G274" s="15" t="s">
        <v>446</v>
      </c>
      <c r="H274" s="8" t="s">
        <v>1812</v>
      </c>
      <c r="I274" s="8" t="s">
        <v>26</v>
      </c>
      <c r="J274" s="15"/>
    </row>
    <row r="275" spans="1:10" s="8" customFormat="1">
      <c r="A275" s="13"/>
      <c r="B275" s="8" t="s">
        <v>1840</v>
      </c>
      <c r="C275" s="289">
        <v>1646566</v>
      </c>
      <c r="D275" s="290">
        <v>0</v>
      </c>
      <c r="E275" s="284">
        <f t="shared" si="4"/>
        <v>73219395</v>
      </c>
      <c r="F275" s="15" t="s">
        <v>10</v>
      </c>
      <c r="G275" s="15" t="s">
        <v>446</v>
      </c>
      <c r="H275" s="8" t="s">
        <v>1812</v>
      </c>
      <c r="I275" s="8" t="s">
        <v>26</v>
      </c>
      <c r="J275" s="15"/>
    </row>
    <row r="276" spans="1:10" s="8" customFormat="1">
      <c r="A276" s="13"/>
      <c r="B276" s="8" t="s">
        <v>1841</v>
      </c>
      <c r="C276" s="289">
        <v>1439183</v>
      </c>
      <c r="D276" s="290">
        <v>0</v>
      </c>
      <c r="E276" s="284">
        <f t="shared" si="4"/>
        <v>71780212</v>
      </c>
      <c r="F276" s="15" t="s">
        <v>10</v>
      </c>
      <c r="G276" s="15" t="s">
        <v>446</v>
      </c>
      <c r="H276" s="8" t="s">
        <v>1812</v>
      </c>
      <c r="I276" s="8" t="s">
        <v>26</v>
      </c>
      <c r="J276" s="15"/>
    </row>
    <row r="277" spans="1:10" s="8" customFormat="1">
      <c r="A277" s="13"/>
      <c r="B277" s="8" t="s">
        <v>1842</v>
      </c>
      <c r="C277" s="289">
        <v>1048300</v>
      </c>
      <c r="D277" s="290">
        <v>0</v>
      </c>
      <c r="E277" s="284">
        <f t="shared" si="4"/>
        <v>70731912</v>
      </c>
      <c r="F277" s="15" t="s">
        <v>10</v>
      </c>
      <c r="G277" s="15" t="s">
        <v>446</v>
      </c>
      <c r="H277" s="8" t="s">
        <v>1812</v>
      </c>
      <c r="I277" s="8" t="s">
        <v>26</v>
      </c>
      <c r="J277" s="15"/>
    </row>
    <row r="278" spans="1:10" s="8" customFormat="1">
      <c r="A278" s="13"/>
      <c r="B278" s="8" t="s">
        <v>1843</v>
      </c>
      <c r="C278" s="289">
        <v>1122900</v>
      </c>
      <c r="D278" s="290">
        <v>0</v>
      </c>
      <c r="E278" s="284">
        <f t="shared" si="4"/>
        <v>69609012</v>
      </c>
      <c r="F278" s="15" t="s">
        <v>1643</v>
      </c>
      <c r="G278" s="15" t="s">
        <v>5</v>
      </c>
      <c r="H278" s="8" t="s">
        <v>1631</v>
      </c>
      <c r="J278" s="15"/>
    </row>
    <row r="279" spans="1:10" s="8" customFormat="1">
      <c r="A279" s="13"/>
      <c r="B279" s="8" t="s">
        <v>1844</v>
      </c>
      <c r="C279" s="289">
        <v>1221600</v>
      </c>
      <c r="D279" s="290">
        <v>0</v>
      </c>
      <c r="E279" s="284">
        <f t="shared" si="4"/>
        <v>68387412</v>
      </c>
      <c r="F279" s="15" t="s">
        <v>1643</v>
      </c>
      <c r="G279" s="15" t="s">
        <v>5</v>
      </c>
      <c r="H279" s="8" t="s">
        <v>1631</v>
      </c>
      <c r="J279" s="15"/>
    </row>
    <row r="280" spans="1:10" s="8" customFormat="1">
      <c r="A280" s="13"/>
      <c r="B280" s="8" t="s">
        <v>1845</v>
      </c>
      <c r="C280" s="287">
        <v>1260997</v>
      </c>
      <c r="D280" s="284">
        <v>0</v>
      </c>
      <c r="E280" s="284">
        <f t="shared" si="4"/>
        <v>67126415</v>
      </c>
      <c r="F280" s="15" t="s">
        <v>1400</v>
      </c>
      <c r="G280" s="15" t="s">
        <v>1400</v>
      </c>
      <c r="J280" s="15"/>
    </row>
    <row r="281" spans="1:10" s="8" customFormat="1">
      <c r="A281" s="13"/>
      <c r="B281" s="8" t="s">
        <v>1845</v>
      </c>
      <c r="C281" s="287">
        <v>1262981</v>
      </c>
      <c r="D281" s="284">
        <v>0</v>
      </c>
      <c r="E281" s="284">
        <f t="shared" si="4"/>
        <v>65863434</v>
      </c>
      <c r="F281" s="15" t="s">
        <v>1400</v>
      </c>
      <c r="G281" s="15" t="s">
        <v>1400</v>
      </c>
      <c r="H281" s="8" t="s">
        <v>60</v>
      </c>
      <c r="J281" s="15"/>
    </row>
    <row r="282" spans="1:10" s="8" customFormat="1">
      <c r="A282" s="13"/>
      <c r="B282" s="8" t="s">
        <v>1846</v>
      </c>
      <c r="C282" s="289">
        <v>1406497</v>
      </c>
      <c r="D282" s="290">
        <v>0</v>
      </c>
      <c r="E282" s="284">
        <f t="shared" si="4"/>
        <v>64456937</v>
      </c>
      <c r="F282" s="15" t="s">
        <v>1643</v>
      </c>
      <c r="G282" s="15" t="s">
        <v>5</v>
      </c>
      <c r="H282" s="8" t="s">
        <v>1631</v>
      </c>
      <c r="J282" s="15"/>
    </row>
    <row r="283" spans="1:10" s="8" customFormat="1">
      <c r="A283" s="13"/>
      <c r="B283" s="8" t="s">
        <v>1844</v>
      </c>
      <c r="C283" s="289">
        <v>0</v>
      </c>
      <c r="D283" s="290">
        <v>923700</v>
      </c>
      <c r="E283" s="284">
        <f t="shared" si="4"/>
        <v>65380637</v>
      </c>
      <c r="F283" s="15" t="s">
        <v>1643</v>
      </c>
      <c r="G283" s="15" t="s">
        <v>5</v>
      </c>
      <c r="H283" s="8" t="s">
        <v>1631</v>
      </c>
      <c r="J283" s="15"/>
    </row>
    <row r="284" spans="1:10" s="8" customFormat="1">
      <c r="A284" s="13"/>
      <c r="B284" s="8" t="s">
        <v>1847</v>
      </c>
      <c r="C284" s="289">
        <v>1046600</v>
      </c>
      <c r="D284" s="290">
        <v>0</v>
      </c>
      <c r="E284" s="284">
        <f t="shared" si="4"/>
        <v>64334037</v>
      </c>
      <c r="F284" s="15" t="s">
        <v>1643</v>
      </c>
      <c r="G284" s="15" t="s">
        <v>5</v>
      </c>
      <c r="H284" s="8" t="s">
        <v>1631</v>
      </c>
      <c r="J284" s="15"/>
    </row>
    <row r="285" spans="1:10" s="8" customFormat="1">
      <c r="A285" s="13"/>
      <c r="B285" s="8" t="s">
        <v>1845</v>
      </c>
      <c r="C285" s="287">
        <v>0</v>
      </c>
      <c r="D285" s="284">
        <v>1260997</v>
      </c>
      <c r="E285" s="284">
        <f t="shared" si="4"/>
        <v>65595034</v>
      </c>
      <c r="F285" s="15" t="s">
        <v>1400</v>
      </c>
      <c r="G285" s="15" t="s">
        <v>1400</v>
      </c>
      <c r="J285" s="15"/>
    </row>
    <row r="286" spans="1:10" s="8" customFormat="1">
      <c r="A286" s="13"/>
      <c r="B286" s="8" t="s">
        <v>1845</v>
      </c>
      <c r="C286" s="287">
        <v>0</v>
      </c>
      <c r="D286" s="284">
        <v>1262981</v>
      </c>
      <c r="E286" s="284">
        <f t="shared" si="4"/>
        <v>66858015</v>
      </c>
      <c r="F286" s="15" t="s">
        <v>1400</v>
      </c>
      <c r="G286" s="15" t="s">
        <v>1400</v>
      </c>
      <c r="H286" s="8" t="s">
        <v>60</v>
      </c>
      <c r="J286" s="15"/>
    </row>
    <row r="287" spans="1:10" s="8" customFormat="1">
      <c r="A287" s="13"/>
      <c r="B287" s="8" t="s">
        <v>1848</v>
      </c>
      <c r="C287" s="289">
        <v>1374605</v>
      </c>
      <c r="D287" s="290">
        <v>0</v>
      </c>
      <c r="E287" s="284">
        <f t="shared" si="4"/>
        <v>65483410</v>
      </c>
      <c r="F287" s="15" t="s">
        <v>10</v>
      </c>
      <c r="G287" s="15" t="s">
        <v>446</v>
      </c>
      <c r="H287" s="8" t="s">
        <v>1812</v>
      </c>
      <c r="I287" s="8" t="s">
        <v>26</v>
      </c>
      <c r="J287" s="15"/>
    </row>
    <row r="288" spans="1:10" s="8" customFormat="1">
      <c r="A288" s="13"/>
      <c r="B288" s="8" t="s">
        <v>1849</v>
      </c>
      <c r="C288" s="289">
        <v>1648500</v>
      </c>
      <c r="D288" s="290">
        <v>0</v>
      </c>
      <c r="E288" s="284">
        <f t="shared" si="4"/>
        <v>63834910</v>
      </c>
      <c r="F288" s="15" t="s">
        <v>1643</v>
      </c>
      <c r="G288" s="15" t="s">
        <v>5</v>
      </c>
      <c r="H288" s="8" t="s">
        <v>1631</v>
      </c>
      <c r="J288" s="15"/>
    </row>
    <row r="289" spans="1:10" s="8" customFormat="1">
      <c r="A289" s="13"/>
      <c r="B289" s="8" t="s">
        <v>6159</v>
      </c>
      <c r="C289" s="290">
        <v>3316000</v>
      </c>
      <c r="D289" s="290">
        <v>0</v>
      </c>
      <c r="E289" s="284">
        <f t="shared" si="4"/>
        <v>60518910</v>
      </c>
      <c r="F289" s="15" t="s">
        <v>10</v>
      </c>
      <c r="G289" s="15" t="s">
        <v>446</v>
      </c>
      <c r="H289" s="8" t="s">
        <v>1812</v>
      </c>
    </row>
    <row r="290" spans="1:10" s="8" customFormat="1">
      <c r="A290" s="13"/>
      <c r="B290" s="8" t="s">
        <v>6358</v>
      </c>
      <c r="C290" s="290">
        <v>3626000</v>
      </c>
      <c r="D290" s="290">
        <v>0</v>
      </c>
      <c r="E290" s="284">
        <f t="shared" si="4"/>
        <v>56892910</v>
      </c>
      <c r="F290" s="15" t="s">
        <v>10</v>
      </c>
      <c r="G290" s="15" t="s">
        <v>446</v>
      </c>
      <c r="H290" s="8" t="s">
        <v>1812</v>
      </c>
    </row>
    <row r="291" spans="1:10" s="8" customFormat="1">
      <c r="A291" s="13"/>
      <c r="B291" s="8" t="s">
        <v>1850</v>
      </c>
      <c r="C291" s="287">
        <v>1446152</v>
      </c>
      <c r="D291" s="284">
        <v>0</v>
      </c>
      <c r="E291" s="284">
        <f t="shared" si="4"/>
        <v>55446758</v>
      </c>
      <c r="F291" s="15" t="s">
        <v>1643</v>
      </c>
      <c r="G291" s="15" t="s">
        <v>5</v>
      </c>
      <c r="H291" s="8" t="s">
        <v>433</v>
      </c>
      <c r="J291" s="15"/>
    </row>
    <row r="292" spans="1:10" s="8" customFormat="1">
      <c r="A292" s="13"/>
      <c r="B292" s="8" t="s">
        <v>1851</v>
      </c>
      <c r="C292" s="289">
        <v>1628805</v>
      </c>
      <c r="D292" s="290">
        <v>0</v>
      </c>
      <c r="E292" s="284">
        <f t="shared" si="4"/>
        <v>53817953</v>
      </c>
      <c r="F292" s="15" t="s">
        <v>10</v>
      </c>
      <c r="G292" s="15" t="s">
        <v>446</v>
      </c>
      <c r="H292" s="8" t="s">
        <v>1812</v>
      </c>
      <c r="I292" s="8" t="s">
        <v>26</v>
      </c>
      <c r="J292" s="15"/>
    </row>
    <row r="293" spans="1:10" s="8" customFormat="1">
      <c r="A293" s="13"/>
      <c r="B293" s="8" t="s">
        <v>1852</v>
      </c>
      <c r="C293" s="289">
        <v>721544</v>
      </c>
      <c r="D293" s="290">
        <v>0</v>
      </c>
      <c r="E293" s="284">
        <f t="shared" si="4"/>
        <v>53096409</v>
      </c>
      <c r="F293" s="15" t="s">
        <v>1643</v>
      </c>
      <c r="G293" s="15" t="s">
        <v>5</v>
      </c>
      <c r="H293" s="8" t="s">
        <v>1631</v>
      </c>
      <c r="J293" s="15"/>
    </row>
    <row r="294" spans="1:10" s="8" customFormat="1">
      <c r="A294" s="13"/>
      <c r="B294" s="8" t="s">
        <v>1853</v>
      </c>
      <c r="C294" s="289">
        <v>0</v>
      </c>
      <c r="D294" s="290">
        <v>820219</v>
      </c>
      <c r="E294" s="284">
        <f t="shared" si="4"/>
        <v>53916628</v>
      </c>
      <c r="F294" s="15" t="s">
        <v>10</v>
      </c>
      <c r="G294" s="15" t="s">
        <v>446</v>
      </c>
      <c r="H294" s="8" t="s">
        <v>1812</v>
      </c>
      <c r="I294" s="8" t="s">
        <v>26</v>
      </c>
      <c r="J294" s="15"/>
    </row>
    <row r="295" spans="1:10" s="8" customFormat="1">
      <c r="A295" s="13"/>
      <c r="B295" s="8" t="s">
        <v>1854</v>
      </c>
      <c r="C295" s="289">
        <v>1588000</v>
      </c>
      <c r="D295" s="290">
        <v>0</v>
      </c>
      <c r="E295" s="284">
        <f t="shared" si="4"/>
        <v>52328628</v>
      </c>
      <c r="F295" s="15" t="s">
        <v>1643</v>
      </c>
      <c r="G295" s="15" t="s">
        <v>5</v>
      </c>
      <c r="H295" s="8" t="s">
        <v>1631</v>
      </c>
      <c r="J295" s="15"/>
    </row>
    <row r="296" spans="1:10" s="8" customFormat="1">
      <c r="A296" s="13"/>
      <c r="B296" s="8" t="s">
        <v>1855</v>
      </c>
      <c r="C296" s="289">
        <v>1998000</v>
      </c>
      <c r="D296" s="290">
        <v>0</v>
      </c>
      <c r="E296" s="284">
        <f t="shared" si="4"/>
        <v>50330628</v>
      </c>
      <c r="F296" s="15" t="s">
        <v>1643</v>
      </c>
      <c r="G296" s="15" t="s">
        <v>5</v>
      </c>
      <c r="H296" s="8" t="s">
        <v>1631</v>
      </c>
      <c r="J296" s="15"/>
    </row>
    <row r="297" spans="1:10" s="8" customFormat="1">
      <c r="A297" s="13"/>
      <c r="B297" s="8" t="s">
        <v>1856</v>
      </c>
      <c r="C297" s="289">
        <v>0</v>
      </c>
      <c r="D297" s="290">
        <v>1009305</v>
      </c>
      <c r="E297" s="284">
        <f t="shared" si="4"/>
        <v>51339933</v>
      </c>
      <c r="F297" s="15" t="s">
        <v>1643</v>
      </c>
      <c r="G297" s="15" t="s">
        <v>5</v>
      </c>
      <c r="H297" s="8" t="s">
        <v>1631</v>
      </c>
      <c r="J297" s="15"/>
    </row>
    <row r="298" spans="1:10" s="8" customFormat="1">
      <c r="A298" s="13"/>
      <c r="B298" s="8" t="s">
        <v>1845</v>
      </c>
      <c r="C298" s="287">
        <v>856884</v>
      </c>
      <c r="D298" s="284">
        <v>0</v>
      </c>
      <c r="E298" s="284">
        <f t="shared" si="4"/>
        <v>50483049</v>
      </c>
      <c r="F298" s="15" t="s">
        <v>1400</v>
      </c>
      <c r="G298" s="15" t="s">
        <v>1400</v>
      </c>
      <c r="J298" s="15"/>
    </row>
    <row r="299" spans="1:10" s="8" customFormat="1">
      <c r="A299" s="13"/>
      <c r="B299" s="8" t="s">
        <v>6160</v>
      </c>
      <c r="C299" s="290">
        <v>1367142</v>
      </c>
      <c r="D299" s="290">
        <v>0</v>
      </c>
      <c r="E299" s="284">
        <f t="shared" si="4"/>
        <v>49115907</v>
      </c>
      <c r="F299" s="15" t="s">
        <v>1643</v>
      </c>
      <c r="G299" s="15" t="s">
        <v>5</v>
      </c>
      <c r="H299" s="8" t="s">
        <v>1631</v>
      </c>
    </row>
    <row r="300" spans="1:10" s="8" customFormat="1">
      <c r="A300" s="13"/>
      <c r="B300" s="8" t="s">
        <v>1857</v>
      </c>
      <c r="C300" s="289">
        <v>2658886</v>
      </c>
      <c r="D300" s="290">
        <v>0</v>
      </c>
      <c r="E300" s="284">
        <f t="shared" si="4"/>
        <v>46457021</v>
      </c>
      <c r="F300" s="15" t="s">
        <v>1643</v>
      </c>
      <c r="G300" s="15" t="s">
        <v>5</v>
      </c>
      <c r="H300" s="8" t="s">
        <v>1631</v>
      </c>
      <c r="J300" s="15"/>
    </row>
    <row r="301" spans="1:10" s="8" customFormat="1">
      <c r="A301" s="13"/>
      <c r="B301" s="8" t="s">
        <v>1858</v>
      </c>
      <c r="C301" s="289">
        <v>0</v>
      </c>
      <c r="D301" s="290">
        <v>1606019</v>
      </c>
      <c r="E301" s="284">
        <f t="shared" si="4"/>
        <v>48063040</v>
      </c>
      <c r="F301" s="15" t="s">
        <v>1643</v>
      </c>
      <c r="G301" s="15" t="s">
        <v>5</v>
      </c>
      <c r="H301" s="8" t="s">
        <v>1631</v>
      </c>
      <c r="J301" s="15"/>
    </row>
    <row r="302" spans="1:10">
      <c r="B302" t="s">
        <v>1859</v>
      </c>
      <c r="C302" s="288">
        <v>1037919</v>
      </c>
      <c r="D302" s="288">
        <v>0</v>
      </c>
      <c r="E302" s="284">
        <f t="shared" si="4"/>
        <v>47025121</v>
      </c>
      <c r="F302" s="15" t="s">
        <v>1643</v>
      </c>
      <c r="G302" s="15" t="s">
        <v>5</v>
      </c>
      <c r="H302" t="s">
        <v>1631</v>
      </c>
    </row>
    <row r="303" spans="1:10" s="8" customFormat="1">
      <c r="A303" s="13"/>
      <c r="B303" s="8" t="s">
        <v>1860</v>
      </c>
      <c r="C303" s="289">
        <v>1309519</v>
      </c>
      <c r="D303" s="290">
        <v>0</v>
      </c>
      <c r="E303" s="284">
        <f t="shared" si="4"/>
        <v>45715602</v>
      </c>
      <c r="F303" s="15" t="s">
        <v>1643</v>
      </c>
      <c r="G303" s="15" t="s">
        <v>5</v>
      </c>
      <c r="H303" s="8" t="s">
        <v>1631</v>
      </c>
      <c r="J303" s="15"/>
    </row>
    <row r="304" spans="1:10" s="8" customFormat="1">
      <c r="A304" s="13"/>
      <c r="B304" s="8" t="s">
        <v>1861</v>
      </c>
      <c r="C304" s="289">
        <v>518820</v>
      </c>
      <c r="D304" s="290">
        <v>0</v>
      </c>
      <c r="E304" s="284">
        <f t="shared" si="4"/>
        <v>45196782</v>
      </c>
      <c r="F304" s="15" t="s">
        <v>1643</v>
      </c>
      <c r="G304" s="15" t="s">
        <v>5</v>
      </c>
      <c r="H304" s="8" t="s">
        <v>1631</v>
      </c>
      <c r="J304" s="15"/>
    </row>
    <row r="305" spans="1:10" s="8" customFormat="1">
      <c r="A305" s="13"/>
      <c r="B305" s="8" t="s">
        <v>1862</v>
      </c>
      <c r="C305" s="289">
        <v>1000000</v>
      </c>
      <c r="D305" s="290">
        <v>0</v>
      </c>
      <c r="E305" s="284">
        <f t="shared" si="4"/>
        <v>44196782</v>
      </c>
      <c r="F305" s="15" t="s">
        <v>1643</v>
      </c>
      <c r="G305" s="15" t="s">
        <v>5</v>
      </c>
      <c r="H305" s="8" t="s">
        <v>6598</v>
      </c>
      <c r="J305" s="15"/>
    </row>
    <row r="306" spans="1:10" s="8" customFormat="1">
      <c r="A306" s="13"/>
      <c r="B306" s="8" t="s">
        <v>1863</v>
      </c>
      <c r="C306" s="289">
        <v>2000000</v>
      </c>
      <c r="D306" s="290">
        <v>0</v>
      </c>
      <c r="E306" s="284">
        <f t="shared" si="4"/>
        <v>42196782</v>
      </c>
      <c r="F306" s="15" t="s">
        <v>1643</v>
      </c>
      <c r="G306" s="15" t="s">
        <v>5</v>
      </c>
      <c r="H306" s="8" t="s">
        <v>1631</v>
      </c>
      <c r="J306" s="15"/>
    </row>
    <row r="307" spans="1:10" s="8" customFormat="1">
      <c r="A307" s="13"/>
      <c r="B307" s="8" t="s">
        <v>1864</v>
      </c>
      <c r="C307" s="289">
        <v>336862</v>
      </c>
      <c r="D307" s="290">
        <v>0</v>
      </c>
      <c r="E307" s="284">
        <f t="shared" si="4"/>
        <v>41859920</v>
      </c>
      <c r="F307" s="15" t="s">
        <v>1643</v>
      </c>
      <c r="G307" s="15" t="s">
        <v>5</v>
      </c>
      <c r="H307" s="8" t="s">
        <v>1631</v>
      </c>
      <c r="J307" s="15"/>
    </row>
    <row r="308" spans="1:10" s="8" customFormat="1">
      <c r="A308" s="13"/>
      <c r="B308" s="8" t="s">
        <v>1865</v>
      </c>
      <c r="C308" s="287">
        <v>25707</v>
      </c>
      <c r="D308" s="284">
        <v>0</v>
      </c>
      <c r="E308" s="284">
        <f t="shared" si="4"/>
        <v>41834213</v>
      </c>
      <c r="F308" s="15" t="s">
        <v>1400</v>
      </c>
      <c r="G308" s="15" t="s">
        <v>1400</v>
      </c>
      <c r="H308" s="8" t="s">
        <v>60</v>
      </c>
      <c r="J308" s="15"/>
    </row>
    <row r="309" spans="1:10" s="8" customFormat="1">
      <c r="A309" s="13"/>
      <c r="B309" s="8" t="s">
        <v>1866</v>
      </c>
      <c r="C309" s="289">
        <v>2734284</v>
      </c>
      <c r="D309" s="290">
        <v>0</v>
      </c>
      <c r="E309" s="284">
        <f t="shared" si="4"/>
        <v>39099929</v>
      </c>
      <c r="F309" s="15" t="s">
        <v>1643</v>
      </c>
      <c r="G309" s="15" t="s">
        <v>5</v>
      </c>
      <c r="H309" s="8" t="s">
        <v>1631</v>
      </c>
      <c r="J309" s="15"/>
    </row>
    <row r="310" spans="1:10" s="8" customFormat="1">
      <c r="A310" s="13"/>
      <c r="B310" s="8" t="s">
        <v>1867</v>
      </c>
      <c r="C310" s="289">
        <v>600000</v>
      </c>
      <c r="D310" s="290">
        <v>0</v>
      </c>
      <c r="E310" s="284">
        <f t="shared" si="4"/>
        <v>38499929</v>
      </c>
      <c r="F310" s="15" t="s">
        <v>1643</v>
      </c>
      <c r="G310" s="15" t="s">
        <v>5</v>
      </c>
      <c r="H310" s="8" t="s">
        <v>1631</v>
      </c>
      <c r="J310" s="15"/>
    </row>
    <row r="311" spans="1:10" s="8" customFormat="1">
      <c r="A311" s="13"/>
      <c r="B311" s="8" t="s">
        <v>1868</v>
      </c>
      <c r="C311" s="289">
        <v>68357</v>
      </c>
      <c r="D311" s="290">
        <v>0</v>
      </c>
      <c r="E311" s="284">
        <f t="shared" si="4"/>
        <v>38431572</v>
      </c>
      <c r="F311" s="15" t="s">
        <v>1643</v>
      </c>
      <c r="G311" s="15" t="s">
        <v>5</v>
      </c>
      <c r="H311" s="8" t="s">
        <v>1631</v>
      </c>
      <c r="J311" s="15"/>
    </row>
    <row r="312" spans="1:10" s="8" customFormat="1">
      <c r="A312" s="13"/>
      <c r="B312" s="8" t="s">
        <v>1869</v>
      </c>
      <c r="C312" s="289">
        <v>856884</v>
      </c>
      <c r="D312" s="290">
        <v>0</v>
      </c>
      <c r="E312" s="284">
        <f t="shared" si="4"/>
        <v>37574688</v>
      </c>
      <c r="F312" s="15" t="s">
        <v>1643</v>
      </c>
      <c r="G312" s="15" t="s">
        <v>5</v>
      </c>
      <c r="H312" s="8" t="s">
        <v>1631</v>
      </c>
      <c r="J312" s="15"/>
    </row>
    <row r="313" spans="1:10" s="8" customFormat="1">
      <c r="A313" s="13"/>
      <c r="B313" s="8" t="s">
        <v>1870</v>
      </c>
      <c r="C313" s="289">
        <v>2734284</v>
      </c>
      <c r="D313" s="290">
        <v>0</v>
      </c>
      <c r="E313" s="284">
        <f t="shared" si="4"/>
        <v>34840404</v>
      </c>
      <c r="F313" s="15" t="s">
        <v>1643</v>
      </c>
      <c r="G313" s="15" t="s">
        <v>5</v>
      </c>
      <c r="H313" s="8" t="s">
        <v>1631</v>
      </c>
      <c r="J313" s="15"/>
    </row>
    <row r="314" spans="1:10" s="8" customFormat="1">
      <c r="A314" s="13"/>
      <c r="B314" s="8" t="s">
        <v>1871</v>
      </c>
      <c r="C314" s="289">
        <v>1323010</v>
      </c>
      <c r="D314" s="290">
        <v>0</v>
      </c>
      <c r="E314" s="284">
        <f t="shared" si="4"/>
        <v>33517394</v>
      </c>
      <c r="F314" s="15" t="s">
        <v>1643</v>
      </c>
      <c r="G314" s="15" t="s">
        <v>5</v>
      </c>
      <c r="H314" s="8" t="s">
        <v>1631</v>
      </c>
      <c r="J314" s="15"/>
    </row>
    <row r="315" spans="1:10" s="8" customFormat="1">
      <c r="A315" s="13"/>
      <c r="B315" s="8" t="s">
        <v>1872</v>
      </c>
      <c r="C315" s="289">
        <v>1323010</v>
      </c>
      <c r="D315" s="290">
        <v>0</v>
      </c>
      <c r="E315" s="284">
        <f t="shared" si="4"/>
        <v>32194384</v>
      </c>
      <c r="F315" s="15" t="s">
        <v>1643</v>
      </c>
      <c r="G315" s="15" t="s">
        <v>5</v>
      </c>
      <c r="H315" s="8" t="s">
        <v>1631</v>
      </c>
      <c r="J315" s="15"/>
    </row>
    <row r="316" spans="1:10" s="8" customFormat="1">
      <c r="A316" s="13"/>
      <c r="B316" s="8" t="s">
        <v>1873</v>
      </c>
      <c r="C316" s="289">
        <v>1390356</v>
      </c>
      <c r="D316" s="290">
        <v>0</v>
      </c>
      <c r="E316" s="284">
        <f t="shared" si="4"/>
        <v>30804028</v>
      </c>
      <c r="F316" s="15" t="s">
        <v>1643</v>
      </c>
      <c r="G316" s="15" t="s">
        <v>5</v>
      </c>
      <c r="H316" s="8" t="s">
        <v>1631</v>
      </c>
      <c r="J316" s="15"/>
    </row>
    <row r="317" spans="1:10" s="8" customFormat="1">
      <c r="A317" s="13"/>
      <c r="B317" s="8" t="s">
        <v>1874</v>
      </c>
      <c r="C317" s="289">
        <v>1248676</v>
      </c>
      <c r="D317" s="290">
        <v>0</v>
      </c>
      <c r="E317" s="284">
        <f t="shared" si="4"/>
        <v>29555352</v>
      </c>
      <c r="F317" s="15" t="s">
        <v>1643</v>
      </c>
      <c r="G317" s="15" t="s">
        <v>5</v>
      </c>
      <c r="H317" s="8" t="s">
        <v>1631</v>
      </c>
      <c r="J317" s="15"/>
    </row>
    <row r="318" spans="1:10" s="8" customFormat="1">
      <c r="A318" s="13"/>
      <c r="B318" s="8" t="s">
        <v>1875</v>
      </c>
      <c r="C318" s="289">
        <v>1046640</v>
      </c>
      <c r="D318" s="290">
        <v>0</v>
      </c>
      <c r="E318" s="284">
        <f t="shared" si="4"/>
        <v>28508712</v>
      </c>
      <c r="F318" s="15" t="s">
        <v>1643</v>
      </c>
      <c r="G318" s="15" t="s">
        <v>5</v>
      </c>
      <c r="H318" s="8" t="s">
        <v>1631</v>
      </c>
      <c r="J318" s="15"/>
    </row>
    <row r="319" spans="1:10" s="8" customFormat="1">
      <c r="A319" s="13"/>
      <c r="B319" s="8" t="s">
        <v>1876</v>
      </c>
      <c r="C319" s="289">
        <v>0</v>
      </c>
      <c r="D319" s="290">
        <v>415067</v>
      </c>
      <c r="E319" s="284">
        <f t="shared" si="4"/>
        <v>28923779</v>
      </c>
      <c r="F319" s="15" t="s">
        <v>1643</v>
      </c>
      <c r="G319" s="15" t="s">
        <v>5</v>
      </c>
      <c r="H319" s="8" t="s">
        <v>1631</v>
      </c>
      <c r="J319" s="15"/>
    </row>
    <row r="320" spans="1:10" s="8" customFormat="1">
      <c r="A320" s="13"/>
      <c r="B320" s="8" t="s">
        <v>1865</v>
      </c>
      <c r="C320" s="287">
        <v>0</v>
      </c>
      <c r="D320" s="284">
        <v>25707</v>
      </c>
      <c r="E320" s="284">
        <f t="shared" si="4"/>
        <v>28949486</v>
      </c>
      <c r="F320" s="15" t="s">
        <v>1400</v>
      </c>
      <c r="G320" s="15" t="s">
        <v>1400</v>
      </c>
      <c r="H320" s="8" t="s">
        <v>60</v>
      </c>
      <c r="J320" s="15"/>
    </row>
    <row r="321" spans="1:10" s="8" customFormat="1">
      <c r="A321" s="13"/>
      <c r="B321" s="8" t="s">
        <v>6374</v>
      </c>
      <c r="C321" s="290">
        <v>0</v>
      </c>
      <c r="D321" s="290">
        <v>831177</v>
      </c>
      <c r="E321" s="284">
        <f t="shared" si="4"/>
        <v>29780663</v>
      </c>
      <c r="F321" s="15" t="s">
        <v>1643</v>
      </c>
      <c r="G321" s="15" t="s">
        <v>5</v>
      </c>
      <c r="H321" s="8" t="s">
        <v>1631</v>
      </c>
    </row>
    <row r="322" spans="1:10" s="8" customFormat="1">
      <c r="A322" s="13"/>
      <c r="B322" s="8" t="s">
        <v>1865</v>
      </c>
      <c r="C322" s="287">
        <v>0</v>
      </c>
      <c r="D322" s="284">
        <v>856884</v>
      </c>
      <c r="E322" s="284">
        <f t="shared" si="4"/>
        <v>30637547</v>
      </c>
      <c r="F322" s="15" t="s">
        <v>1400</v>
      </c>
      <c r="G322" s="15" t="s">
        <v>1400</v>
      </c>
      <c r="J322" s="15"/>
    </row>
    <row r="323" spans="1:10" s="8" customFormat="1">
      <c r="A323" s="13"/>
      <c r="B323" s="8" t="s">
        <v>1877</v>
      </c>
      <c r="C323" s="289">
        <v>1367142</v>
      </c>
      <c r="D323" s="290">
        <v>0</v>
      </c>
      <c r="E323" s="284">
        <f t="shared" si="4"/>
        <v>29270405</v>
      </c>
      <c r="F323" s="15" t="s">
        <v>1643</v>
      </c>
      <c r="G323" s="15" t="s">
        <v>5</v>
      </c>
      <c r="H323" s="8" t="s">
        <v>1631</v>
      </c>
      <c r="J323" s="15"/>
    </row>
    <row r="324" spans="1:10" s="8" customFormat="1">
      <c r="A324" s="13"/>
      <c r="B324" s="8" t="s">
        <v>1878</v>
      </c>
      <c r="C324" s="289">
        <v>1628000</v>
      </c>
      <c r="D324" s="290">
        <v>0</v>
      </c>
      <c r="E324" s="284">
        <f t="shared" si="4"/>
        <v>27642405</v>
      </c>
      <c r="F324" s="15" t="s">
        <v>1643</v>
      </c>
      <c r="G324" s="15" t="s">
        <v>5</v>
      </c>
      <c r="H324" s="8" t="s">
        <v>1631</v>
      </c>
      <c r="J324" s="15"/>
    </row>
    <row r="325" spans="1:10" s="8" customFormat="1">
      <c r="A325" s="13"/>
      <c r="B325" s="8" t="s">
        <v>1731</v>
      </c>
      <c r="C325" s="287">
        <v>10000</v>
      </c>
      <c r="D325" s="284">
        <v>0</v>
      </c>
      <c r="E325" s="284">
        <f t="shared" si="4"/>
        <v>27632405</v>
      </c>
      <c r="F325" s="15" t="s">
        <v>19</v>
      </c>
      <c r="G325" s="15" t="s">
        <v>189</v>
      </c>
      <c r="J325" s="15"/>
    </row>
    <row r="326" spans="1:10" s="8" customFormat="1">
      <c r="A326" s="13">
        <v>45792</v>
      </c>
      <c r="B326" s="8" t="s">
        <v>1337</v>
      </c>
      <c r="C326" s="287">
        <v>0</v>
      </c>
      <c r="D326" s="287">
        <v>39902976</v>
      </c>
      <c r="E326" s="284">
        <f t="shared" ref="E326:E389" si="5">E325-C326+D326</f>
        <v>67535381</v>
      </c>
      <c r="F326" s="15" t="s">
        <v>920</v>
      </c>
      <c r="G326" s="80" t="s">
        <v>352</v>
      </c>
      <c r="H326" s="8" t="s">
        <v>6471</v>
      </c>
      <c r="J326" s="15"/>
    </row>
    <row r="327" spans="1:10" s="8" customFormat="1">
      <c r="A327" s="13"/>
      <c r="B327" s="8" t="s">
        <v>3025</v>
      </c>
      <c r="C327" s="287">
        <v>555000</v>
      </c>
      <c r="D327" s="287">
        <v>0</v>
      </c>
      <c r="E327" s="284">
        <f t="shared" si="5"/>
        <v>66980381</v>
      </c>
      <c r="F327" s="15" t="s">
        <v>21</v>
      </c>
      <c r="G327" s="15" t="s">
        <v>187</v>
      </c>
      <c r="J327" s="15"/>
    </row>
    <row r="328" spans="1:10" s="8" customFormat="1">
      <c r="A328" s="13"/>
      <c r="B328" s="8" t="s">
        <v>3026</v>
      </c>
      <c r="C328" s="287">
        <v>393700</v>
      </c>
      <c r="D328" s="287">
        <v>0</v>
      </c>
      <c r="E328" s="284">
        <f t="shared" si="5"/>
        <v>66586681</v>
      </c>
      <c r="F328" s="15" t="s">
        <v>8</v>
      </c>
      <c r="G328" s="15" t="s">
        <v>14</v>
      </c>
      <c r="H328" s="8" t="s">
        <v>370</v>
      </c>
      <c r="J328" s="15"/>
    </row>
    <row r="329" spans="1:10" s="8" customFormat="1">
      <c r="A329" s="13"/>
      <c r="B329" s="8" t="s">
        <v>3027</v>
      </c>
      <c r="C329" s="287">
        <v>243520</v>
      </c>
      <c r="D329" s="287">
        <v>0</v>
      </c>
      <c r="E329" s="284">
        <f t="shared" si="5"/>
        <v>66343161</v>
      </c>
      <c r="F329" s="15" t="s">
        <v>8</v>
      </c>
      <c r="G329" s="15" t="s">
        <v>14</v>
      </c>
      <c r="H329" s="8" t="s">
        <v>370</v>
      </c>
      <c r="J329" s="15"/>
    </row>
    <row r="330" spans="1:10" s="8" customFormat="1">
      <c r="A330" s="13"/>
      <c r="B330" s="8" t="s">
        <v>1694</v>
      </c>
      <c r="C330" s="287">
        <v>341300</v>
      </c>
      <c r="D330" s="287">
        <v>0</v>
      </c>
      <c r="E330" s="284">
        <f t="shared" si="5"/>
        <v>66001861</v>
      </c>
      <c r="F330" s="15" t="s">
        <v>8</v>
      </c>
      <c r="G330" s="15" t="s">
        <v>14</v>
      </c>
      <c r="H330" s="8" t="s">
        <v>314</v>
      </c>
      <c r="J330" s="15"/>
    </row>
    <row r="331" spans="1:10" s="8" customFormat="1">
      <c r="A331" s="13"/>
      <c r="B331" s="8" t="s">
        <v>3028</v>
      </c>
      <c r="C331" s="287">
        <v>141000</v>
      </c>
      <c r="D331" s="287">
        <v>0</v>
      </c>
      <c r="E331" s="284">
        <f t="shared" si="5"/>
        <v>65860861</v>
      </c>
      <c r="F331" t="s">
        <v>62</v>
      </c>
      <c r="G331" s="15" t="s">
        <v>63</v>
      </c>
      <c r="H331" s="8" t="s">
        <v>1436</v>
      </c>
      <c r="J331" s="15"/>
    </row>
    <row r="332" spans="1:10" s="8" customFormat="1">
      <c r="A332" s="13"/>
      <c r="B332" s="8" t="s">
        <v>3029</v>
      </c>
      <c r="C332" s="287">
        <v>304600</v>
      </c>
      <c r="D332" s="287">
        <v>0</v>
      </c>
      <c r="E332" s="284">
        <f t="shared" si="5"/>
        <v>65556261</v>
      </c>
      <c r="F332" s="15" t="s">
        <v>8</v>
      </c>
      <c r="G332" s="15" t="s">
        <v>180</v>
      </c>
      <c r="H332" s="8" t="s">
        <v>56</v>
      </c>
      <c r="J332" s="15"/>
    </row>
    <row r="333" spans="1:10" s="8" customFormat="1">
      <c r="A333" s="13"/>
      <c r="B333" s="8" t="s">
        <v>3030</v>
      </c>
      <c r="C333" s="287">
        <v>297400</v>
      </c>
      <c r="D333" s="287">
        <v>0</v>
      </c>
      <c r="E333" s="284">
        <f t="shared" si="5"/>
        <v>65258861</v>
      </c>
      <c r="F333" s="15" t="s">
        <v>8</v>
      </c>
      <c r="G333" s="15" t="s">
        <v>180</v>
      </c>
      <c r="J333" s="15"/>
    </row>
    <row r="334" spans="1:10" s="8" customFormat="1">
      <c r="A334" s="13"/>
      <c r="B334" s="8" t="s">
        <v>3031</v>
      </c>
      <c r="C334" s="287">
        <v>174200</v>
      </c>
      <c r="D334" s="287">
        <v>0</v>
      </c>
      <c r="E334" s="284">
        <f t="shared" si="5"/>
        <v>65084661</v>
      </c>
      <c r="F334" t="s">
        <v>62</v>
      </c>
      <c r="G334" s="15" t="s">
        <v>63</v>
      </c>
      <c r="H334" s="8" t="s">
        <v>1436</v>
      </c>
      <c r="J334" s="15"/>
    </row>
    <row r="335" spans="1:10" s="8" customFormat="1">
      <c r="A335" s="13"/>
      <c r="B335" s="8" t="s">
        <v>3032</v>
      </c>
      <c r="C335" s="287">
        <v>468500</v>
      </c>
      <c r="D335" s="287">
        <v>0</v>
      </c>
      <c r="E335" s="284">
        <f t="shared" si="5"/>
        <v>64616161</v>
      </c>
      <c r="F335" s="15" t="s">
        <v>1643</v>
      </c>
      <c r="G335" s="15" t="s">
        <v>5</v>
      </c>
      <c r="H335" s="40" t="s">
        <v>1599</v>
      </c>
      <c r="J335" s="15"/>
    </row>
    <row r="336" spans="1:10" s="8" customFormat="1">
      <c r="A336" s="13"/>
      <c r="B336" s="8" t="s">
        <v>3033</v>
      </c>
      <c r="C336" s="287">
        <v>386080</v>
      </c>
      <c r="D336" s="287">
        <v>0</v>
      </c>
      <c r="E336" s="284">
        <f t="shared" si="5"/>
        <v>64230081</v>
      </c>
      <c r="F336" s="15" t="s">
        <v>8</v>
      </c>
      <c r="G336" s="15" t="s">
        <v>14</v>
      </c>
      <c r="H336" s="8" t="s">
        <v>370</v>
      </c>
      <c r="J336" s="15"/>
    </row>
    <row r="337" spans="1:10" s="8" customFormat="1">
      <c r="A337" s="13"/>
      <c r="B337" s="8" t="s">
        <v>3034</v>
      </c>
      <c r="C337" s="287">
        <v>153000</v>
      </c>
      <c r="D337" s="287">
        <v>0</v>
      </c>
      <c r="E337" s="284">
        <f t="shared" si="5"/>
        <v>64077081</v>
      </c>
      <c r="F337" s="15" t="s">
        <v>1643</v>
      </c>
      <c r="G337" s="15" t="s">
        <v>5</v>
      </c>
      <c r="H337" s="40" t="s">
        <v>7814</v>
      </c>
      <c r="I337" s="8" t="s">
        <v>26</v>
      </c>
      <c r="J337" s="15"/>
    </row>
    <row r="338" spans="1:10" s="8" customFormat="1">
      <c r="A338" s="13"/>
      <c r="B338" s="8" t="s">
        <v>3035</v>
      </c>
      <c r="C338" s="287">
        <v>221000</v>
      </c>
      <c r="D338" s="287">
        <v>0</v>
      </c>
      <c r="E338" s="284">
        <f t="shared" si="5"/>
        <v>63856081</v>
      </c>
      <c r="F338" s="15" t="s">
        <v>1643</v>
      </c>
      <c r="G338" s="15" t="s">
        <v>5</v>
      </c>
      <c r="H338" s="40" t="s">
        <v>7814</v>
      </c>
      <c r="I338" s="8" t="s">
        <v>26</v>
      </c>
      <c r="J338" s="15"/>
    </row>
    <row r="339" spans="1:10" s="8" customFormat="1">
      <c r="A339" s="13"/>
      <c r="B339" s="8" t="s">
        <v>1693</v>
      </c>
      <c r="C339" s="287">
        <v>1148315</v>
      </c>
      <c r="D339" s="287">
        <v>0</v>
      </c>
      <c r="E339" s="284">
        <f t="shared" si="5"/>
        <v>62707766</v>
      </c>
      <c r="F339" s="15" t="s">
        <v>21</v>
      </c>
      <c r="G339" s="15" t="s">
        <v>187</v>
      </c>
      <c r="J339" s="15"/>
    </row>
    <row r="340" spans="1:10" s="8" customFormat="1">
      <c r="A340" s="13"/>
      <c r="B340" s="8" t="s">
        <v>3036</v>
      </c>
      <c r="C340" s="287">
        <v>301270</v>
      </c>
      <c r="D340" s="287">
        <v>0</v>
      </c>
      <c r="E340" s="284">
        <f t="shared" si="5"/>
        <v>62406496</v>
      </c>
      <c r="F340" s="15" t="s">
        <v>8</v>
      </c>
      <c r="G340" s="15" t="s">
        <v>14</v>
      </c>
      <c r="H340" s="8" t="s">
        <v>370</v>
      </c>
      <c r="J340" s="15"/>
    </row>
    <row r="341" spans="1:10" s="8" customFormat="1">
      <c r="A341" s="13"/>
      <c r="B341" s="8" t="s">
        <v>3037</v>
      </c>
      <c r="C341" s="287">
        <v>540672</v>
      </c>
      <c r="D341" s="287">
        <v>0</v>
      </c>
      <c r="E341" s="284">
        <f t="shared" si="5"/>
        <v>61865824</v>
      </c>
      <c r="F341" t="s">
        <v>62</v>
      </c>
      <c r="G341" s="15" t="s">
        <v>63</v>
      </c>
      <c r="H341" s="8" t="s">
        <v>1436</v>
      </c>
      <c r="J341" s="15"/>
    </row>
    <row r="342" spans="1:10" s="8" customFormat="1">
      <c r="A342" s="13"/>
      <c r="B342" s="8" t="s">
        <v>3038</v>
      </c>
      <c r="C342" s="287">
        <v>111000</v>
      </c>
      <c r="D342" s="287">
        <v>0</v>
      </c>
      <c r="E342" s="284">
        <f t="shared" si="5"/>
        <v>61754824</v>
      </c>
      <c r="F342" s="15" t="s">
        <v>1643</v>
      </c>
      <c r="G342" s="15" t="s">
        <v>5</v>
      </c>
      <c r="H342" s="8" t="s">
        <v>1609</v>
      </c>
      <c r="J342" s="15"/>
    </row>
    <row r="343" spans="1:10" s="8" customFormat="1">
      <c r="A343" s="13"/>
      <c r="B343" s="8" t="s">
        <v>3039</v>
      </c>
      <c r="C343" s="287">
        <v>294500</v>
      </c>
      <c r="D343" s="287">
        <v>0</v>
      </c>
      <c r="E343" s="284">
        <f t="shared" si="5"/>
        <v>61460324</v>
      </c>
      <c r="F343" s="15" t="s">
        <v>8</v>
      </c>
      <c r="G343" s="15" t="s">
        <v>14</v>
      </c>
      <c r="H343" s="8" t="s">
        <v>314</v>
      </c>
      <c r="J343" s="15"/>
    </row>
    <row r="344" spans="1:10" s="8" customFormat="1">
      <c r="A344" s="13"/>
      <c r="B344" s="8" t="s">
        <v>3040</v>
      </c>
      <c r="C344" s="287">
        <v>311051</v>
      </c>
      <c r="D344" s="287">
        <v>0</v>
      </c>
      <c r="E344" s="284">
        <f t="shared" si="5"/>
        <v>61149273</v>
      </c>
      <c r="F344" s="15" t="s">
        <v>8</v>
      </c>
      <c r="G344" s="15" t="s">
        <v>32</v>
      </c>
      <c r="J344" s="15"/>
    </row>
    <row r="345" spans="1:10" s="8" customFormat="1">
      <c r="A345" s="13"/>
      <c r="B345" s="8" t="s">
        <v>3041</v>
      </c>
      <c r="C345" s="287">
        <v>46400</v>
      </c>
      <c r="D345" s="287">
        <v>0</v>
      </c>
      <c r="E345" s="284">
        <f t="shared" si="5"/>
        <v>61102873</v>
      </c>
      <c r="F345" s="15" t="s">
        <v>1643</v>
      </c>
      <c r="G345" s="15" t="s">
        <v>5</v>
      </c>
      <c r="H345" s="8" t="s">
        <v>1609</v>
      </c>
      <c r="J345" s="15"/>
    </row>
    <row r="346" spans="1:10" s="8" customFormat="1">
      <c r="A346" s="13"/>
      <c r="B346" s="8" t="s">
        <v>3042</v>
      </c>
      <c r="C346" s="287">
        <v>166500</v>
      </c>
      <c r="D346" s="287">
        <v>0</v>
      </c>
      <c r="E346" s="284">
        <f t="shared" si="5"/>
        <v>60936373</v>
      </c>
      <c r="F346" s="15" t="s">
        <v>1643</v>
      </c>
      <c r="G346" s="15" t="s">
        <v>5</v>
      </c>
      <c r="H346" s="8" t="s">
        <v>1609</v>
      </c>
      <c r="J346" s="15"/>
    </row>
    <row r="347" spans="1:10" s="8" customFormat="1">
      <c r="A347" s="13"/>
      <c r="B347" s="8" t="s">
        <v>3043</v>
      </c>
      <c r="C347" s="287">
        <v>597000</v>
      </c>
      <c r="D347" s="287">
        <v>0</v>
      </c>
      <c r="E347" s="284">
        <f t="shared" si="5"/>
        <v>60339373</v>
      </c>
      <c r="F347" s="15" t="s">
        <v>1643</v>
      </c>
      <c r="G347" s="15" t="s">
        <v>5</v>
      </c>
      <c r="H347" s="8" t="s">
        <v>1609</v>
      </c>
      <c r="J347" s="15"/>
    </row>
    <row r="348" spans="1:10" s="8" customFormat="1">
      <c r="A348" s="13"/>
      <c r="B348" s="8" t="s">
        <v>3044</v>
      </c>
      <c r="C348" s="287">
        <v>854007</v>
      </c>
      <c r="D348" s="287">
        <v>0</v>
      </c>
      <c r="E348" s="284">
        <f t="shared" si="5"/>
        <v>59485366</v>
      </c>
      <c r="F348" s="15" t="s">
        <v>1643</v>
      </c>
      <c r="G348" s="15" t="s">
        <v>5</v>
      </c>
      <c r="H348" s="8" t="s">
        <v>1609</v>
      </c>
      <c r="J348" s="15"/>
    </row>
    <row r="349" spans="1:10" s="8" customFormat="1">
      <c r="A349" s="13"/>
      <c r="B349" s="8" t="s">
        <v>3045</v>
      </c>
      <c r="C349" s="287">
        <v>4261142</v>
      </c>
      <c r="D349" s="287">
        <v>0</v>
      </c>
      <c r="E349" s="284">
        <f t="shared" si="5"/>
        <v>55224224</v>
      </c>
      <c r="F349" s="15" t="s">
        <v>1643</v>
      </c>
      <c r="G349" s="15" t="s">
        <v>5</v>
      </c>
      <c r="H349" s="8" t="s">
        <v>1376</v>
      </c>
      <c r="J349" s="15"/>
    </row>
    <row r="350" spans="1:10" s="8" customFormat="1">
      <c r="A350" s="13"/>
      <c r="B350" s="8" t="s">
        <v>3046</v>
      </c>
      <c r="C350" s="287">
        <v>404520</v>
      </c>
      <c r="D350" s="287">
        <v>0</v>
      </c>
      <c r="E350" s="284">
        <f t="shared" si="5"/>
        <v>54819704</v>
      </c>
      <c r="F350" s="15" t="s">
        <v>8</v>
      </c>
      <c r="G350" s="15" t="s">
        <v>14</v>
      </c>
      <c r="H350" s="8" t="s">
        <v>370</v>
      </c>
      <c r="J350" s="15"/>
    </row>
    <row r="351" spans="1:10" s="8" customFormat="1">
      <c r="A351" s="13"/>
      <c r="B351" s="8" t="s">
        <v>3047</v>
      </c>
      <c r="C351" s="287">
        <v>268320</v>
      </c>
      <c r="D351" s="287">
        <v>0</v>
      </c>
      <c r="E351" s="284">
        <f t="shared" si="5"/>
        <v>54551384</v>
      </c>
      <c r="F351" s="15" t="s">
        <v>8</v>
      </c>
      <c r="G351" s="15" t="s">
        <v>14</v>
      </c>
      <c r="H351" s="8" t="s">
        <v>314</v>
      </c>
      <c r="J351" s="15"/>
    </row>
    <row r="352" spans="1:10" s="8" customFormat="1">
      <c r="A352" s="13"/>
      <c r="B352" s="8" t="s">
        <v>3048</v>
      </c>
      <c r="C352" s="287">
        <v>290660</v>
      </c>
      <c r="D352" s="287">
        <v>0</v>
      </c>
      <c r="E352" s="284">
        <f t="shared" si="5"/>
        <v>54260724</v>
      </c>
      <c r="F352" s="15" t="s">
        <v>8</v>
      </c>
      <c r="G352" s="15" t="s">
        <v>14</v>
      </c>
      <c r="H352" s="8" t="s">
        <v>370</v>
      </c>
      <c r="J352" s="15"/>
    </row>
    <row r="353" spans="1:10" s="8" customFormat="1">
      <c r="A353" s="13"/>
      <c r="B353" s="8" t="s">
        <v>1650</v>
      </c>
      <c r="C353" s="287">
        <v>10000</v>
      </c>
      <c r="D353" s="287">
        <v>0</v>
      </c>
      <c r="E353" s="284">
        <f t="shared" si="5"/>
        <v>54250724</v>
      </c>
      <c r="F353" s="15" t="s">
        <v>19</v>
      </c>
      <c r="G353" s="15" t="s">
        <v>189</v>
      </c>
      <c r="J353" s="15"/>
    </row>
    <row r="354" spans="1:10" s="8" customFormat="1">
      <c r="A354" s="13"/>
      <c r="B354" s="8" t="s">
        <v>1836</v>
      </c>
      <c r="C354" s="287">
        <v>783250</v>
      </c>
      <c r="D354" s="287">
        <v>0</v>
      </c>
      <c r="E354" s="284">
        <f t="shared" si="5"/>
        <v>53467474</v>
      </c>
      <c r="F354" s="15" t="s">
        <v>8</v>
      </c>
      <c r="G354" s="15" t="s">
        <v>14</v>
      </c>
      <c r="H354" s="8" t="s">
        <v>291</v>
      </c>
      <c r="J354" s="15"/>
    </row>
    <row r="355" spans="1:10" s="8" customFormat="1">
      <c r="A355" s="13"/>
      <c r="B355" s="8" t="s">
        <v>3049</v>
      </c>
      <c r="C355" s="287">
        <v>720200</v>
      </c>
      <c r="D355" s="287">
        <v>0</v>
      </c>
      <c r="E355" s="284">
        <f t="shared" si="5"/>
        <v>52747274</v>
      </c>
      <c r="F355" s="15" t="s">
        <v>62</v>
      </c>
      <c r="G355" s="15" t="s">
        <v>70</v>
      </c>
      <c r="H355" s="8" t="s">
        <v>308</v>
      </c>
      <c r="J355" s="15"/>
    </row>
    <row r="356" spans="1:10" s="8" customFormat="1">
      <c r="A356" s="13"/>
      <c r="B356" s="8" t="s">
        <v>6135</v>
      </c>
      <c r="C356" s="284">
        <v>4346500</v>
      </c>
      <c r="D356" s="284">
        <v>0</v>
      </c>
      <c r="E356" s="284">
        <f t="shared" si="5"/>
        <v>48400774</v>
      </c>
      <c r="F356" s="8" t="s">
        <v>10</v>
      </c>
      <c r="G356" s="8" t="s">
        <v>76</v>
      </c>
      <c r="H356" s="8" t="s">
        <v>45</v>
      </c>
    </row>
    <row r="357" spans="1:10" s="8" customFormat="1">
      <c r="A357" s="13"/>
      <c r="B357" s="8" t="s">
        <v>3050</v>
      </c>
      <c r="C357" s="287">
        <v>727130</v>
      </c>
      <c r="D357" s="287">
        <v>0</v>
      </c>
      <c r="E357" s="284">
        <f t="shared" si="5"/>
        <v>47673644</v>
      </c>
      <c r="F357" s="15" t="s">
        <v>8</v>
      </c>
      <c r="G357" s="15" t="s">
        <v>14</v>
      </c>
      <c r="H357" s="8" t="s">
        <v>291</v>
      </c>
      <c r="J357" s="15"/>
    </row>
    <row r="358" spans="1:10" s="8" customFormat="1">
      <c r="A358" s="13"/>
      <c r="B358" s="8" t="s">
        <v>3050</v>
      </c>
      <c r="C358" s="287">
        <v>683380</v>
      </c>
      <c r="D358" s="287">
        <v>0</v>
      </c>
      <c r="E358" s="284">
        <f t="shared" si="5"/>
        <v>46990264</v>
      </c>
      <c r="F358" s="15" t="s">
        <v>8</v>
      </c>
      <c r="G358" s="15" t="s">
        <v>14</v>
      </c>
      <c r="H358" s="8" t="s">
        <v>291</v>
      </c>
      <c r="J358" s="15"/>
    </row>
    <row r="359" spans="1:10" s="8" customFormat="1">
      <c r="A359" s="13"/>
      <c r="B359" s="8" t="s">
        <v>3050</v>
      </c>
      <c r="C359" s="287">
        <v>572250</v>
      </c>
      <c r="D359" s="287">
        <v>0</v>
      </c>
      <c r="E359" s="284">
        <f t="shared" si="5"/>
        <v>46418014</v>
      </c>
      <c r="F359" s="15" t="s">
        <v>8</v>
      </c>
      <c r="G359" s="15" t="s">
        <v>14</v>
      </c>
      <c r="H359" s="8" t="s">
        <v>291</v>
      </c>
      <c r="J359" s="15"/>
    </row>
    <row r="360" spans="1:10" s="8" customFormat="1">
      <c r="A360" s="13"/>
      <c r="B360" s="8" t="s">
        <v>3051</v>
      </c>
      <c r="C360" s="287">
        <v>7776100</v>
      </c>
      <c r="D360" s="287">
        <v>0</v>
      </c>
      <c r="E360" s="284">
        <f t="shared" si="5"/>
        <v>38641914</v>
      </c>
      <c r="F360" s="15" t="s">
        <v>1643</v>
      </c>
      <c r="G360" s="15" t="s">
        <v>5</v>
      </c>
      <c r="H360" s="8" t="s">
        <v>1452</v>
      </c>
      <c r="J360" s="15"/>
    </row>
    <row r="361" spans="1:10" s="8" customFormat="1">
      <c r="A361" s="13"/>
      <c r="B361" s="8" t="s">
        <v>3052</v>
      </c>
      <c r="C361" s="287">
        <v>13252003</v>
      </c>
      <c r="D361" s="287">
        <v>0</v>
      </c>
      <c r="E361" s="284">
        <f t="shared" si="5"/>
        <v>25389911</v>
      </c>
      <c r="F361" s="15" t="s">
        <v>1643</v>
      </c>
      <c r="G361" s="15" t="s">
        <v>5</v>
      </c>
      <c r="H361" s="8" t="s">
        <v>1452</v>
      </c>
      <c r="J361" s="15"/>
    </row>
    <row r="362" spans="1:10" s="8" customFormat="1">
      <c r="A362" s="13"/>
      <c r="B362" s="8" t="s">
        <v>3053</v>
      </c>
      <c r="C362" s="287">
        <v>102300</v>
      </c>
      <c r="D362" s="287">
        <v>0</v>
      </c>
      <c r="E362" s="284">
        <f t="shared" si="5"/>
        <v>25287611</v>
      </c>
      <c r="F362" s="15" t="s">
        <v>1643</v>
      </c>
      <c r="G362" s="15" t="s">
        <v>5</v>
      </c>
      <c r="H362" s="8" t="s">
        <v>1609</v>
      </c>
      <c r="J362" s="15"/>
    </row>
    <row r="363" spans="1:10" s="8" customFormat="1">
      <c r="A363" s="13"/>
      <c r="B363" s="8" t="s">
        <v>3054</v>
      </c>
      <c r="C363" s="287">
        <v>266460</v>
      </c>
      <c r="D363" s="287">
        <v>0</v>
      </c>
      <c r="E363" s="284">
        <f t="shared" si="5"/>
        <v>25021151</v>
      </c>
      <c r="F363" s="15" t="s">
        <v>8</v>
      </c>
      <c r="G363" s="15" t="s">
        <v>14</v>
      </c>
      <c r="H363" s="8" t="s">
        <v>370</v>
      </c>
      <c r="J363" s="15"/>
    </row>
    <row r="364" spans="1:10" s="8" customFormat="1">
      <c r="A364" s="13"/>
      <c r="B364" s="8" t="s">
        <v>3055</v>
      </c>
      <c r="C364" s="287">
        <v>1488000</v>
      </c>
      <c r="D364" s="287">
        <v>0</v>
      </c>
      <c r="E364" s="284">
        <f t="shared" si="5"/>
        <v>23533151</v>
      </c>
      <c r="F364" s="15" t="s">
        <v>10</v>
      </c>
      <c r="G364" s="15" t="s">
        <v>446</v>
      </c>
      <c r="H364" s="8" t="s">
        <v>1639</v>
      </c>
      <c r="I364" s="8" t="s">
        <v>26</v>
      </c>
      <c r="J364" s="15"/>
    </row>
    <row r="365" spans="1:10" s="8" customFormat="1">
      <c r="A365" s="13"/>
      <c r="B365" s="8" t="s">
        <v>3056</v>
      </c>
      <c r="C365" s="287">
        <v>1694026</v>
      </c>
      <c r="D365" s="287">
        <v>0</v>
      </c>
      <c r="E365" s="284">
        <f t="shared" si="5"/>
        <v>21839125</v>
      </c>
      <c r="F365" s="15" t="s">
        <v>10</v>
      </c>
      <c r="G365" s="15" t="s">
        <v>446</v>
      </c>
      <c r="H365" s="8" t="s">
        <v>1639</v>
      </c>
      <c r="I365" s="8" t="s">
        <v>26</v>
      </c>
      <c r="J365" s="15"/>
    </row>
    <row r="366" spans="1:10" s="8" customFormat="1">
      <c r="A366" s="13"/>
      <c r="B366" s="8" t="s">
        <v>3057</v>
      </c>
      <c r="C366" s="287">
        <v>3156000</v>
      </c>
      <c r="D366" s="287">
        <v>0</v>
      </c>
      <c r="E366" s="284">
        <f t="shared" si="5"/>
        <v>18683125</v>
      </c>
      <c r="F366" s="15" t="s">
        <v>10</v>
      </c>
      <c r="G366" s="15" t="s">
        <v>446</v>
      </c>
      <c r="H366" s="8" t="s">
        <v>1639</v>
      </c>
      <c r="I366" s="8" t="s">
        <v>26</v>
      </c>
      <c r="J366" s="15"/>
    </row>
    <row r="367" spans="1:10" s="8" customFormat="1">
      <c r="A367" s="13"/>
      <c r="B367" s="8" t="s">
        <v>3058</v>
      </c>
      <c r="C367" s="287">
        <v>2360900</v>
      </c>
      <c r="D367" s="287">
        <v>0</v>
      </c>
      <c r="E367" s="284">
        <f t="shared" si="5"/>
        <v>16322225</v>
      </c>
      <c r="F367" s="15" t="s">
        <v>10</v>
      </c>
      <c r="G367" s="15" t="s">
        <v>446</v>
      </c>
      <c r="H367" s="8" t="s">
        <v>1461</v>
      </c>
      <c r="I367" s="8" t="s">
        <v>26</v>
      </c>
      <c r="J367" s="15"/>
    </row>
    <row r="368" spans="1:10" s="8" customFormat="1">
      <c r="A368" s="13"/>
      <c r="B368" s="8" t="s">
        <v>3059</v>
      </c>
      <c r="C368" s="287">
        <v>163152</v>
      </c>
      <c r="D368" s="287">
        <v>0</v>
      </c>
      <c r="E368" s="284">
        <f t="shared" si="5"/>
        <v>16159073</v>
      </c>
      <c r="F368" s="15" t="s">
        <v>10</v>
      </c>
      <c r="G368" s="15" t="s">
        <v>446</v>
      </c>
      <c r="H368" s="8" t="s">
        <v>1461</v>
      </c>
      <c r="I368" s="8" t="s">
        <v>26</v>
      </c>
      <c r="J368" s="15"/>
    </row>
    <row r="369" spans="1:10" s="8" customFormat="1">
      <c r="A369" s="13"/>
      <c r="B369" s="8" t="s">
        <v>3060</v>
      </c>
      <c r="C369" s="287">
        <v>169950</v>
      </c>
      <c r="D369" s="287">
        <v>0</v>
      </c>
      <c r="E369" s="284">
        <f t="shared" si="5"/>
        <v>15989123</v>
      </c>
      <c r="F369" s="15" t="s">
        <v>10</v>
      </c>
      <c r="G369" s="15" t="s">
        <v>446</v>
      </c>
      <c r="H369" s="8" t="s">
        <v>1461</v>
      </c>
      <c r="I369" s="8" t="s">
        <v>26</v>
      </c>
      <c r="J369" s="15"/>
    </row>
    <row r="370" spans="1:10" s="8" customFormat="1">
      <c r="A370" s="13"/>
      <c r="B370" s="8" t="s">
        <v>3061</v>
      </c>
      <c r="C370" s="287">
        <v>330270</v>
      </c>
      <c r="D370" s="287">
        <v>0</v>
      </c>
      <c r="E370" s="284">
        <f t="shared" si="5"/>
        <v>15658853</v>
      </c>
      <c r="F370" s="15" t="s">
        <v>10</v>
      </c>
      <c r="G370" s="15" t="s">
        <v>446</v>
      </c>
      <c r="H370" s="8" t="s">
        <v>1461</v>
      </c>
      <c r="I370" s="8" t="s">
        <v>26</v>
      </c>
      <c r="J370" s="15"/>
    </row>
    <row r="371" spans="1:10" s="8" customFormat="1">
      <c r="A371" s="13"/>
      <c r="B371" s="8" t="s">
        <v>3062</v>
      </c>
      <c r="C371" s="287">
        <v>339900</v>
      </c>
      <c r="D371" s="287">
        <v>0</v>
      </c>
      <c r="E371" s="284">
        <f t="shared" si="5"/>
        <v>15318953</v>
      </c>
      <c r="F371" s="15" t="s">
        <v>10</v>
      </c>
      <c r="G371" s="15" t="s">
        <v>446</v>
      </c>
      <c r="H371" s="8" t="s">
        <v>1461</v>
      </c>
      <c r="I371" s="8" t="s">
        <v>26</v>
      </c>
      <c r="J371" s="15"/>
    </row>
    <row r="372" spans="1:10" s="8" customFormat="1">
      <c r="A372" s="5">
        <v>45827</v>
      </c>
      <c r="B372" s="8" t="s">
        <v>2329</v>
      </c>
      <c r="C372" s="284">
        <v>0</v>
      </c>
      <c r="D372" s="284">
        <v>93742913</v>
      </c>
      <c r="E372" s="284">
        <f t="shared" si="5"/>
        <v>109061866</v>
      </c>
      <c r="F372" s="8" t="s">
        <v>920</v>
      </c>
      <c r="G372" s="80" t="s">
        <v>352</v>
      </c>
      <c r="H372" s="8" t="s">
        <v>6471</v>
      </c>
    </row>
    <row r="373" spans="1:10" s="8" customFormat="1">
      <c r="A373" s="13"/>
      <c r="B373" s="8" t="s">
        <v>3063</v>
      </c>
      <c r="C373" s="287">
        <v>991000</v>
      </c>
      <c r="D373" s="287">
        <v>0</v>
      </c>
      <c r="E373" s="284">
        <f t="shared" si="5"/>
        <v>108070866</v>
      </c>
      <c r="F373" s="15" t="s">
        <v>62</v>
      </c>
      <c r="G373" s="15" t="s">
        <v>70</v>
      </c>
      <c r="H373" s="8" t="s">
        <v>2447</v>
      </c>
      <c r="J373" s="15"/>
    </row>
    <row r="374" spans="1:10" s="8" customFormat="1">
      <c r="A374" s="13"/>
      <c r="B374" s="8" t="s">
        <v>3064</v>
      </c>
      <c r="C374" s="287">
        <v>378250</v>
      </c>
      <c r="D374" s="287">
        <v>0</v>
      </c>
      <c r="E374" s="284">
        <f t="shared" si="5"/>
        <v>107692616</v>
      </c>
      <c r="F374" s="15" t="s">
        <v>8</v>
      </c>
      <c r="G374" s="15" t="s">
        <v>14</v>
      </c>
      <c r="H374" s="8" t="s">
        <v>291</v>
      </c>
      <c r="J374" s="15"/>
    </row>
    <row r="375" spans="1:10" s="8" customFormat="1">
      <c r="A375" s="13"/>
      <c r="B375" s="8" t="s">
        <v>3047</v>
      </c>
      <c r="C375" s="287">
        <v>329720</v>
      </c>
      <c r="D375" s="287">
        <v>0</v>
      </c>
      <c r="E375" s="284">
        <f t="shared" si="5"/>
        <v>107362896</v>
      </c>
      <c r="F375" s="15" t="s">
        <v>8</v>
      </c>
      <c r="G375" s="15" t="s">
        <v>14</v>
      </c>
      <c r="H375" s="8" t="s">
        <v>314</v>
      </c>
      <c r="J375" s="15"/>
    </row>
    <row r="376" spans="1:10" s="8" customFormat="1">
      <c r="A376" s="13"/>
      <c r="B376" s="8" t="s">
        <v>3065</v>
      </c>
      <c r="C376" s="287">
        <v>338920</v>
      </c>
      <c r="D376" s="287">
        <v>0</v>
      </c>
      <c r="E376" s="284">
        <f t="shared" si="5"/>
        <v>107023976</v>
      </c>
      <c r="F376" s="15" t="s">
        <v>8</v>
      </c>
      <c r="G376" s="15" t="s">
        <v>14</v>
      </c>
      <c r="H376" s="8" t="s">
        <v>370</v>
      </c>
      <c r="J376" s="15"/>
    </row>
    <row r="377" spans="1:10" s="8" customFormat="1">
      <c r="A377" s="13"/>
      <c r="B377" s="8" t="s">
        <v>3066</v>
      </c>
      <c r="C377" s="287">
        <v>411300</v>
      </c>
      <c r="D377" s="287">
        <v>0</v>
      </c>
      <c r="E377" s="284">
        <f t="shared" si="5"/>
        <v>106612676</v>
      </c>
      <c r="F377" s="15" t="s">
        <v>8</v>
      </c>
      <c r="G377" s="15" t="s">
        <v>14</v>
      </c>
      <c r="H377" s="8" t="s">
        <v>370</v>
      </c>
      <c r="J377" s="15"/>
    </row>
    <row r="378" spans="1:10" s="8" customFormat="1">
      <c r="A378" s="13"/>
      <c r="B378" s="8" t="s">
        <v>3067</v>
      </c>
      <c r="C378" s="287">
        <v>1035840</v>
      </c>
      <c r="D378" s="287">
        <v>0</v>
      </c>
      <c r="E378" s="284">
        <f t="shared" si="5"/>
        <v>105576836</v>
      </c>
      <c r="F378" s="15" t="s">
        <v>8</v>
      </c>
      <c r="G378" s="15" t="s">
        <v>32</v>
      </c>
      <c r="J378" s="15"/>
    </row>
    <row r="379" spans="1:10" s="8" customFormat="1">
      <c r="A379" s="13"/>
      <c r="B379" s="8" t="s">
        <v>3047</v>
      </c>
      <c r="C379" s="287">
        <v>315450</v>
      </c>
      <c r="D379" s="287">
        <v>0</v>
      </c>
      <c r="E379" s="284">
        <f t="shared" si="5"/>
        <v>105261386</v>
      </c>
      <c r="F379" s="15" t="s">
        <v>8</v>
      </c>
      <c r="G379" s="15" t="s">
        <v>14</v>
      </c>
      <c r="H379" s="8" t="s">
        <v>314</v>
      </c>
      <c r="J379" s="15"/>
    </row>
    <row r="380" spans="1:10" s="8" customFormat="1">
      <c r="A380" s="13"/>
      <c r="B380" s="8" t="s">
        <v>3068</v>
      </c>
      <c r="C380" s="287">
        <v>67900</v>
      </c>
      <c r="D380" s="287">
        <v>0</v>
      </c>
      <c r="E380" s="284">
        <f t="shared" si="5"/>
        <v>105193486</v>
      </c>
      <c r="F380" s="15" t="s">
        <v>8</v>
      </c>
      <c r="G380" s="15" t="s">
        <v>78</v>
      </c>
      <c r="H380" s="8" t="s">
        <v>370</v>
      </c>
      <c r="J380" s="15"/>
    </row>
    <row r="381" spans="1:10" s="8" customFormat="1">
      <c r="A381" s="13"/>
      <c r="B381" s="8" t="s">
        <v>3069</v>
      </c>
      <c r="C381" s="287">
        <v>178047</v>
      </c>
      <c r="D381" s="287">
        <v>0</v>
      </c>
      <c r="E381" s="284">
        <f t="shared" si="5"/>
        <v>105015439</v>
      </c>
      <c r="F381" t="s">
        <v>62</v>
      </c>
      <c r="G381" s="15" t="s">
        <v>63</v>
      </c>
      <c r="H381" s="8" t="s">
        <v>1436</v>
      </c>
      <c r="J381" s="15"/>
    </row>
    <row r="382" spans="1:10" s="8" customFormat="1">
      <c r="A382" s="13"/>
      <c r="B382" s="8" t="s">
        <v>3070</v>
      </c>
      <c r="C382" s="287">
        <v>214800</v>
      </c>
      <c r="D382" s="287">
        <v>0</v>
      </c>
      <c r="E382" s="284">
        <f t="shared" si="5"/>
        <v>104800639</v>
      </c>
      <c r="F382" s="15" t="s">
        <v>8</v>
      </c>
      <c r="G382" s="15" t="s">
        <v>14</v>
      </c>
      <c r="H382" s="8" t="s">
        <v>370</v>
      </c>
      <c r="J382" s="15"/>
    </row>
    <row r="383" spans="1:10" s="8" customFormat="1">
      <c r="A383" s="13"/>
      <c r="B383" s="8" t="s">
        <v>3071</v>
      </c>
      <c r="C383" s="287">
        <v>344100</v>
      </c>
      <c r="D383" s="287">
        <v>0</v>
      </c>
      <c r="E383" s="284">
        <f t="shared" si="5"/>
        <v>104456539</v>
      </c>
      <c r="F383" s="15" t="s">
        <v>8</v>
      </c>
      <c r="G383" s="15" t="s">
        <v>14</v>
      </c>
      <c r="H383" s="8" t="s">
        <v>370</v>
      </c>
      <c r="J383" s="15"/>
    </row>
    <row r="384" spans="1:10" s="8" customFormat="1">
      <c r="A384" s="13"/>
      <c r="B384" s="8" t="s">
        <v>3072</v>
      </c>
      <c r="C384" s="287">
        <v>331000</v>
      </c>
      <c r="D384" s="287">
        <v>0</v>
      </c>
      <c r="E384" s="284">
        <f t="shared" si="5"/>
        <v>104125539</v>
      </c>
      <c r="F384" s="15" t="s">
        <v>1643</v>
      </c>
      <c r="G384" s="15" t="s">
        <v>5</v>
      </c>
      <c r="H384" s="40" t="s">
        <v>7814</v>
      </c>
      <c r="I384" s="8" t="s">
        <v>26</v>
      </c>
      <c r="J384" s="15"/>
    </row>
    <row r="385" spans="1:10" s="8" customFormat="1">
      <c r="A385" s="13"/>
      <c r="B385" s="8" t="s">
        <v>3073</v>
      </c>
      <c r="C385" s="287">
        <v>639122</v>
      </c>
      <c r="D385" s="287">
        <v>0</v>
      </c>
      <c r="E385" s="284">
        <f t="shared" si="5"/>
        <v>103486417</v>
      </c>
      <c r="F385" s="15" t="s">
        <v>1643</v>
      </c>
      <c r="G385" s="15" t="s">
        <v>5</v>
      </c>
      <c r="H385" s="8" t="s">
        <v>1376</v>
      </c>
      <c r="J385" s="15"/>
    </row>
    <row r="386" spans="1:10" s="8" customFormat="1">
      <c r="A386" s="13"/>
      <c r="B386" s="8" t="s">
        <v>3074</v>
      </c>
      <c r="C386" s="287">
        <v>726932</v>
      </c>
      <c r="D386" s="287">
        <v>0</v>
      </c>
      <c r="E386" s="284">
        <f t="shared" si="5"/>
        <v>102759485</v>
      </c>
      <c r="F386" s="15" t="s">
        <v>1643</v>
      </c>
      <c r="G386" s="15" t="s">
        <v>5</v>
      </c>
      <c r="H386" s="8" t="s">
        <v>1376</v>
      </c>
      <c r="J386" s="15"/>
    </row>
    <row r="387" spans="1:10" s="8" customFormat="1">
      <c r="A387" s="13"/>
      <c r="B387" s="8" t="s">
        <v>3075</v>
      </c>
      <c r="C387" s="287">
        <v>51000</v>
      </c>
      <c r="D387" s="287">
        <v>0</v>
      </c>
      <c r="E387" s="284">
        <f t="shared" si="5"/>
        <v>102708485</v>
      </c>
      <c r="F387" s="15" t="s">
        <v>1643</v>
      </c>
      <c r="G387" s="15" t="s">
        <v>5</v>
      </c>
      <c r="H387" s="40" t="s">
        <v>7814</v>
      </c>
      <c r="I387" s="8" t="s">
        <v>26</v>
      </c>
      <c r="J387" s="15"/>
    </row>
    <row r="388" spans="1:10" s="8" customFormat="1">
      <c r="A388" s="13"/>
      <c r="B388" s="8" t="s">
        <v>3076</v>
      </c>
      <c r="C388" s="287">
        <v>65000</v>
      </c>
      <c r="D388" s="287">
        <v>0</v>
      </c>
      <c r="E388" s="284">
        <f t="shared" si="5"/>
        <v>102643485</v>
      </c>
      <c r="F388" s="15" t="s">
        <v>1643</v>
      </c>
      <c r="G388" s="15" t="s">
        <v>5</v>
      </c>
      <c r="H388" s="40" t="s">
        <v>7814</v>
      </c>
      <c r="I388" s="8" t="s">
        <v>26</v>
      </c>
      <c r="J388" s="15"/>
    </row>
    <row r="389" spans="1:10" s="8" customFormat="1">
      <c r="A389" s="13"/>
      <c r="B389" s="8" t="s">
        <v>3077</v>
      </c>
      <c r="C389" s="287">
        <v>2023120</v>
      </c>
      <c r="D389" s="287">
        <v>0</v>
      </c>
      <c r="E389" s="284">
        <f t="shared" si="5"/>
        <v>100620365</v>
      </c>
      <c r="F389" s="15" t="s">
        <v>1643</v>
      </c>
      <c r="G389" s="15" t="s">
        <v>5</v>
      </c>
      <c r="H389" s="8" t="s">
        <v>2326</v>
      </c>
      <c r="J389" s="15"/>
    </row>
    <row r="390" spans="1:10" s="8" customFormat="1">
      <c r="A390" s="13"/>
      <c r="B390" s="8" t="s">
        <v>3078</v>
      </c>
      <c r="C390" s="287">
        <v>303297</v>
      </c>
      <c r="D390" s="287">
        <v>0</v>
      </c>
      <c r="E390" s="284">
        <f t="shared" ref="E390:E453" si="6">E389-C390+D390</f>
        <v>100317068</v>
      </c>
      <c r="F390" s="15" t="s">
        <v>8</v>
      </c>
      <c r="G390" s="15" t="s">
        <v>32</v>
      </c>
      <c r="J390" s="15"/>
    </row>
    <row r="391" spans="1:10" s="8" customFormat="1">
      <c r="A391" s="13"/>
      <c r="B391" s="8" t="s">
        <v>3079</v>
      </c>
      <c r="C391" s="287">
        <v>280490</v>
      </c>
      <c r="D391" s="287">
        <v>0</v>
      </c>
      <c r="E391" s="284">
        <f t="shared" si="6"/>
        <v>100036578</v>
      </c>
      <c r="F391" s="15" t="s">
        <v>8</v>
      </c>
      <c r="G391" s="15" t="s">
        <v>14</v>
      </c>
      <c r="H391" s="8" t="s">
        <v>370</v>
      </c>
      <c r="J391" s="15"/>
    </row>
    <row r="392" spans="1:10" s="8" customFormat="1">
      <c r="A392" s="13"/>
      <c r="B392" s="8" t="s">
        <v>3080</v>
      </c>
      <c r="C392" s="287">
        <v>54000</v>
      </c>
      <c r="D392" s="287">
        <v>0</v>
      </c>
      <c r="E392" s="284">
        <f t="shared" si="6"/>
        <v>99982578</v>
      </c>
      <c r="F392" s="15" t="s">
        <v>1643</v>
      </c>
      <c r="G392" s="15" t="s">
        <v>5</v>
      </c>
      <c r="H392" s="40" t="s">
        <v>7814</v>
      </c>
      <c r="I392" s="8" t="s">
        <v>26</v>
      </c>
      <c r="J392" s="15"/>
    </row>
    <row r="393" spans="1:10" s="8" customFormat="1">
      <c r="A393" s="13"/>
      <c r="B393" s="8" t="s">
        <v>3081</v>
      </c>
      <c r="C393" s="287">
        <v>55000</v>
      </c>
      <c r="D393" s="287">
        <v>0</v>
      </c>
      <c r="E393" s="284">
        <f t="shared" si="6"/>
        <v>99927578</v>
      </c>
      <c r="F393" s="15" t="s">
        <v>1643</v>
      </c>
      <c r="G393" s="15" t="s">
        <v>5</v>
      </c>
      <c r="H393" s="40" t="s">
        <v>7814</v>
      </c>
      <c r="I393" s="8" t="s">
        <v>26</v>
      </c>
      <c r="J393" s="15"/>
    </row>
    <row r="394" spans="1:10" s="8" customFormat="1">
      <c r="A394" s="13"/>
      <c r="B394" s="8" t="s">
        <v>3082</v>
      </c>
      <c r="C394" s="287">
        <v>3010535</v>
      </c>
      <c r="D394" s="287">
        <v>0</v>
      </c>
      <c r="E394" s="284">
        <f t="shared" si="6"/>
        <v>96917043</v>
      </c>
      <c r="F394" s="15" t="s">
        <v>1643</v>
      </c>
      <c r="G394" s="15" t="s">
        <v>5</v>
      </c>
      <c r="H394" s="8" t="s">
        <v>2326</v>
      </c>
      <c r="J394" s="15"/>
    </row>
    <row r="395" spans="1:10" s="8" customFormat="1">
      <c r="A395" s="13"/>
      <c r="B395" s="8" t="s">
        <v>3083</v>
      </c>
      <c r="C395" s="287">
        <v>267800</v>
      </c>
      <c r="D395" s="287">
        <v>0</v>
      </c>
      <c r="E395" s="284">
        <f t="shared" si="6"/>
        <v>96649243</v>
      </c>
      <c r="F395" s="15" t="s">
        <v>8</v>
      </c>
      <c r="G395" s="15" t="s">
        <v>180</v>
      </c>
      <c r="H395" s="8" t="s">
        <v>2447</v>
      </c>
      <c r="J395" s="15"/>
    </row>
    <row r="396" spans="1:10" s="8" customFormat="1">
      <c r="A396" s="13"/>
      <c r="B396" s="8" t="s">
        <v>3084</v>
      </c>
      <c r="C396" s="287">
        <v>763000</v>
      </c>
      <c r="D396" s="287">
        <v>0</v>
      </c>
      <c r="E396" s="284">
        <f t="shared" si="6"/>
        <v>95886243</v>
      </c>
      <c r="F396" s="15" t="s">
        <v>1643</v>
      </c>
      <c r="G396" s="15" t="s">
        <v>5</v>
      </c>
      <c r="H396" s="8" t="s">
        <v>2326</v>
      </c>
      <c r="J396" s="15"/>
    </row>
    <row r="397" spans="1:10" s="8" customFormat="1">
      <c r="A397" s="13"/>
      <c r="B397" s="8" t="s">
        <v>3085</v>
      </c>
      <c r="C397" s="287">
        <v>396180</v>
      </c>
      <c r="D397" s="287">
        <v>0</v>
      </c>
      <c r="E397" s="284">
        <f t="shared" si="6"/>
        <v>95490063</v>
      </c>
      <c r="F397" s="15" t="s">
        <v>8</v>
      </c>
      <c r="G397" s="15" t="s">
        <v>14</v>
      </c>
      <c r="H397" s="8" t="s">
        <v>370</v>
      </c>
      <c r="J397" s="15"/>
    </row>
    <row r="398" spans="1:10" s="8" customFormat="1">
      <c r="A398" s="13"/>
      <c r="B398" s="8" t="s">
        <v>3086</v>
      </c>
      <c r="C398" s="287">
        <v>4370598</v>
      </c>
      <c r="D398" s="287">
        <v>0</v>
      </c>
      <c r="E398" s="284">
        <f t="shared" si="6"/>
        <v>91119465</v>
      </c>
      <c r="F398" s="15" t="s">
        <v>1643</v>
      </c>
      <c r="G398" s="15" t="s">
        <v>5</v>
      </c>
      <c r="H398" s="8" t="s">
        <v>2326</v>
      </c>
      <c r="J398" s="15"/>
    </row>
    <row r="399" spans="1:10" s="8" customFormat="1">
      <c r="A399" s="13"/>
      <c r="B399" s="8" t="s">
        <v>3087</v>
      </c>
      <c r="C399" s="287">
        <v>223201</v>
      </c>
      <c r="D399" s="287">
        <v>0</v>
      </c>
      <c r="E399" s="284">
        <f t="shared" si="6"/>
        <v>90896264</v>
      </c>
      <c r="F399" s="15" t="s">
        <v>1643</v>
      </c>
      <c r="G399" s="15" t="s">
        <v>5</v>
      </c>
      <c r="H399" s="8" t="s">
        <v>2326</v>
      </c>
      <c r="J399" s="15"/>
    </row>
    <row r="400" spans="1:10" s="8" customFormat="1">
      <c r="A400" s="13"/>
      <c r="B400" s="8" t="s">
        <v>3088</v>
      </c>
      <c r="C400" s="287">
        <v>2872540</v>
      </c>
      <c r="D400" s="287">
        <v>0</v>
      </c>
      <c r="E400" s="284">
        <f t="shared" si="6"/>
        <v>88023724</v>
      </c>
      <c r="F400" s="15" t="s">
        <v>1643</v>
      </c>
      <c r="G400" s="15" t="s">
        <v>5</v>
      </c>
      <c r="H400" s="8" t="s">
        <v>2326</v>
      </c>
      <c r="J400" s="15"/>
    </row>
    <row r="401" spans="1:10" s="8" customFormat="1">
      <c r="A401" s="13"/>
      <c r="B401" s="8" t="s">
        <v>1650</v>
      </c>
      <c r="C401" s="287">
        <v>10000</v>
      </c>
      <c r="D401" s="287">
        <v>0</v>
      </c>
      <c r="E401" s="284">
        <f t="shared" si="6"/>
        <v>88013724</v>
      </c>
      <c r="F401" s="15" t="s">
        <v>19</v>
      </c>
      <c r="G401" s="15" t="s">
        <v>189</v>
      </c>
      <c r="J401" s="15"/>
    </row>
    <row r="402" spans="1:10" s="8" customFormat="1">
      <c r="A402" s="13"/>
      <c r="B402" s="8" t="s">
        <v>1733</v>
      </c>
      <c r="C402" s="287">
        <v>698760</v>
      </c>
      <c r="D402" s="287">
        <v>0</v>
      </c>
      <c r="E402" s="284">
        <f t="shared" si="6"/>
        <v>87314964</v>
      </c>
      <c r="F402" s="15" t="s">
        <v>8</v>
      </c>
      <c r="G402" s="15" t="s">
        <v>14</v>
      </c>
      <c r="H402" s="8" t="s">
        <v>291</v>
      </c>
      <c r="J402" s="15"/>
    </row>
    <row r="403" spans="1:10" s="8" customFormat="1">
      <c r="A403" s="13"/>
      <c r="B403" s="8" t="s">
        <v>3089</v>
      </c>
      <c r="C403" s="287">
        <v>244326</v>
      </c>
      <c r="D403" s="287">
        <v>0</v>
      </c>
      <c r="E403" s="284">
        <f t="shared" si="6"/>
        <v>87070638</v>
      </c>
      <c r="F403" s="15" t="s">
        <v>62</v>
      </c>
      <c r="G403" s="15" t="s">
        <v>70</v>
      </c>
      <c r="H403" s="8" t="s">
        <v>308</v>
      </c>
      <c r="J403" s="15"/>
    </row>
    <row r="404" spans="1:10" s="8" customFormat="1">
      <c r="A404" s="13"/>
      <c r="B404" s="8" t="s">
        <v>1733</v>
      </c>
      <c r="C404" s="287">
        <v>619890</v>
      </c>
      <c r="D404" s="287">
        <v>0</v>
      </c>
      <c r="E404" s="284">
        <f t="shared" si="6"/>
        <v>86450748</v>
      </c>
      <c r="F404" s="15" t="s">
        <v>8</v>
      </c>
      <c r="G404" s="15" t="s">
        <v>14</v>
      </c>
      <c r="H404" s="8" t="s">
        <v>291</v>
      </c>
      <c r="J404" s="15"/>
    </row>
    <row r="405" spans="1:10" s="8" customFormat="1">
      <c r="A405" s="13"/>
      <c r="B405" s="8" t="s">
        <v>1733</v>
      </c>
      <c r="C405" s="287">
        <v>670110</v>
      </c>
      <c r="D405" s="287">
        <v>0</v>
      </c>
      <c r="E405" s="284">
        <f t="shared" si="6"/>
        <v>85780638</v>
      </c>
      <c r="F405" s="15" t="s">
        <v>8</v>
      </c>
      <c r="G405" s="15" t="s">
        <v>14</v>
      </c>
      <c r="H405" s="8" t="s">
        <v>291</v>
      </c>
      <c r="J405" s="15"/>
    </row>
    <row r="406" spans="1:10" s="8" customFormat="1">
      <c r="A406" s="13"/>
      <c r="B406" s="8" t="s">
        <v>3090</v>
      </c>
      <c r="C406" s="289">
        <v>0</v>
      </c>
      <c r="D406" s="289">
        <v>298000</v>
      </c>
      <c r="E406" s="284">
        <f t="shared" si="6"/>
        <v>86078638</v>
      </c>
      <c r="F406" s="291" t="s">
        <v>10</v>
      </c>
      <c r="G406" s="291" t="s">
        <v>446</v>
      </c>
      <c r="H406" s="8" t="s">
        <v>1812</v>
      </c>
      <c r="I406" s="8" t="s">
        <v>26</v>
      </c>
      <c r="J406" s="15"/>
    </row>
    <row r="407" spans="1:10" s="8" customFormat="1">
      <c r="A407" s="13"/>
      <c r="B407" s="8" t="s">
        <v>3091</v>
      </c>
      <c r="C407" s="287">
        <v>1078600</v>
      </c>
      <c r="D407" s="287">
        <v>0</v>
      </c>
      <c r="E407" s="284">
        <f t="shared" si="6"/>
        <v>85000038</v>
      </c>
      <c r="F407" s="15" t="s">
        <v>1643</v>
      </c>
      <c r="G407" s="15" t="s">
        <v>5</v>
      </c>
      <c r="H407" s="8" t="s">
        <v>3092</v>
      </c>
      <c r="J407" s="15"/>
    </row>
    <row r="408" spans="1:10" s="8" customFormat="1">
      <c r="A408" s="13"/>
      <c r="B408" s="8" t="s">
        <v>3093</v>
      </c>
      <c r="C408" s="287">
        <v>411543</v>
      </c>
      <c r="D408" s="287">
        <v>0</v>
      </c>
      <c r="E408" s="284">
        <f t="shared" si="6"/>
        <v>84588495</v>
      </c>
      <c r="F408" s="15" t="s">
        <v>10</v>
      </c>
      <c r="G408" s="15" t="s">
        <v>446</v>
      </c>
      <c r="H408" s="40" t="s">
        <v>6539</v>
      </c>
      <c r="I408" s="8" t="s">
        <v>26</v>
      </c>
      <c r="J408" s="15"/>
    </row>
    <row r="409" spans="1:10" s="8" customFormat="1">
      <c r="A409" s="13"/>
      <c r="B409" s="8" t="s">
        <v>3093</v>
      </c>
      <c r="C409" s="287">
        <v>411543</v>
      </c>
      <c r="D409" s="287">
        <v>0</v>
      </c>
      <c r="E409" s="284">
        <f t="shared" si="6"/>
        <v>84176952</v>
      </c>
      <c r="F409" s="15" t="s">
        <v>10</v>
      </c>
      <c r="G409" s="15" t="s">
        <v>446</v>
      </c>
      <c r="H409" s="40" t="s">
        <v>6539</v>
      </c>
      <c r="I409" s="8" t="s">
        <v>26</v>
      </c>
      <c r="J409" s="15"/>
    </row>
    <row r="410" spans="1:10" s="8" customFormat="1">
      <c r="A410" s="13"/>
      <c r="B410" s="8" t="s">
        <v>3094</v>
      </c>
      <c r="C410" s="287">
        <v>718651</v>
      </c>
      <c r="D410" s="287">
        <v>0</v>
      </c>
      <c r="E410" s="284">
        <f t="shared" si="6"/>
        <v>83458301</v>
      </c>
      <c r="F410" s="15" t="s">
        <v>10</v>
      </c>
      <c r="G410" s="15" t="s">
        <v>446</v>
      </c>
      <c r="H410" s="40" t="s">
        <v>6539</v>
      </c>
      <c r="I410" s="8" t="s">
        <v>26</v>
      </c>
      <c r="J410" s="15"/>
    </row>
    <row r="411" spans="1:10" s="8" customFormat="1">
      <c r="A411" s="13"/>
      <c r="B411" s="8" t="s">
        <v>3095</v>
      </c>
      <c r="C411" s="287">
        <v>718651</v>
      </c>
      <c r="D411" s="287">
        <v>0</v>
      </c>
      <c r="E411" s="284">
        <f t="shared" si="6"/>
        <v>82739650</v>
      </c>
      <c r="F411" s="15" t="s">
        <v>10</v>
      </c>
      <c r="G411" s="15" t="s">
        <v>446</v>
      </c>
      <c r="H411" s="40" t="s">
        <v>6539</v>
      </c>
      <c r="I411" s="8" t="s">
        <v>26</v>
      </c>
      <c r="J411" s="15"/>
    </row>
    <row r="412" spans="1:10" s="8" customFormat="1">
      <c r="A412" s="13"/>
      <c r="B412" s="8" t="s">
        <v>3096</v>
      </c>
      <c r="C412" s="287">
        <v>403014</v>
      </c>
      <c r="D412" s="287">
        <v>0</v>
      </c>
      <c r="E412" s="284">
        <f t="shared" si="6"/>
        <v>82336636</v>
      </c>
      <c r="F412" s="15" t="s">
        <v>10</v>
      </c>
      <c r="G412" s="15" t="s">
        <v>446</v>
      </c>
      <c r="H412" s="40" t="s">
        <v>6539</v>
      </c>
      <c r="I412" s="8" t="s">
        <v>26</v>
      </c>
      <c r="J412" s="15"/>
    </row>
    <row r="413" spans="1:10" s="8" customFormat="1">
      <c r="A413" s="13"/>
      <c r="B413" s="8" t="s">
        <v>3097</v>
      </c>
      <c r="C413" s="287">
        <v>790516</v>
      </c>
      <c r="D413" s="287">
        <v>0</v>
      </c>
      <c r="E413" s="284">
        <f t="shared" si="6"/>
        <v>81546120</v>
      </c>
      <c r="F413" s="15" t="s">
        <v>10</v>
      </c>
      <c r="G413" s="15" t="s">
        <v>446</v>
      </c>
      <c r="H413" s="40" t="s">
        <v>6539</v>
      </c>
      <c r="I413" s="8" t="s">
        <v>26</v>
      </c>
      <c r="J413" s="15"/>
    </row>
    <row r="414" spans="1:10" s="8" customFormat="1">
      <c r="A414" s="13"/>
      <c r="B414" s="8" t="s">
        <v>3098</v>
      </c>
      <c r="C414" s="287">
        <v>3147800</v>
      </c>
      <c r="D414" s="287">
        <v>0</v>
      </c>
      <c r="E414" s="284">
        <f t="shared" si="6"/>
        <v>78398320</v>
      </c>
      <c r="F414" s="15" t="s">
        <v>10</v>
      </c>
      <c r="G414" s="15" t="s">
        <v>446</v>
      </c>
      <c r="H414" s="8" t="s">
        <v>1461</v>
      </c>
      <c r="I414" s="8" t="s">
        <v>26</v>
      </c>
      <c r="J414" s="15"/>
    </row>
    <row r="415" spans="1:10" s="8" customFormat="1">
      <c r="A415" s="13"/>
      <c r="B415" s="8" t="s">
        <v>3099</v>
      </c>
      <c r="C415" s="287">
        <v>1856000</v>
      </c>
      <c r="D415" s="287">
        <v>0</v>
      </c>
      <c r="E415" s="284">
        <f t="shared" si="6"/>
        <v>76542320</v>
      </c>
      <c r="F415" s="15" t="s">
        <v>1643</v>
      </c>
      <c r="G415" s="15" t="s">
        <v>5</v>
      </c>
      <c r="H415" s="8" t="s">
        <v>3092</v>
      </c>
      <c r="J415" s="15"/>
    </row>
    <row r="416" spans="1:10" s="8" customFormat="1">
      <c r="A416" s="13"/>
      <c r="B416" s="8" t="s">
        <v>3100</v>
      </c>
      <c r="C416" s="287">
        <v>1649998</v>
      </c>
      <c r="D416" s="287">
        <v>0</v>
      </c>
      <c r="E416" s="284">
        <f t="shared" si="6"/>
        <v>74892322</v>
      </c>
      <c r="F416" s="15" t="s">
        <v>6</v>
      </c>
      <c r="G416" s="15" t="s">
        <v>7</v>
      </c>
      <c r="H416" s="8" t="s">
        <v>3101</v>
      </c>
      <c r="I416" s="8" t="s">
        <v>34</v>
      </c>
      <c r="J416" s="15"/>
    </row>
    <row r="417" spans="1:10" s="8" customFormat="1">
      <c r="A417" s="13"/>
      <c r="B417" s="8" t="s">
        <v>3102</v>
      </c>
      <c r="C417" s="287">
        <v>4569819</v>
      </c>
      <c r="D417" s="287">
        <v>0</v>
      </c>
      <c r="E417" s="284">
        <f t="shared" si="6"/>
        <v>70322503</v>
      </c>
      <c r="F417" s="15" t="s">
        <v>10</v>
      </c>
      <c r="G417" s="15" t="s">
        <v>446</v>
      </c>
      <c r="H417" s="8" t="s">
        <v>1461</v>
      </c>
      <c r="I417" s="8" t="s">
        <v>26</v>
      </c>
      <c r="J417" s="15"/>
    </row>
    <row r="418" spans="1:10" s="8" customFormat="1">
      <c r="A418" s="13"/>
      <c r="B418" s="8" t="s">
        <v>3103</v>
      </c>
      <c r="C418" s="287">
        <v>59400</v>
      </c>
      <c r="D418" s="287">
        <v>0</v>
      </c>
      <c r="E418" s="284">
        <f t="shared" si="6"/>
        <v>70263103</v>
      </c>
      <c r="F418" s="15" t="s">
        <v>1643</v>
      </c>
      <c r="G418" s="15" t="s">
        <v>5</v>
      </c>
      <c r="H418" s="40" t="s">
        <v>7814</v>
      </c>
      <c r="I418" s="8" t="s">
        <v>26</v>
      </c>
      <c r="J418" s="15"/>
    </row>
    <row r="419" spans="1:10" s="8" customFormat="1">
      <c r="A419" s="13"/>
      <c r="B419" s="8" t="s">
        <v>1797</v>
      </c>
      <c r="C419" s="287">
        <v>61000</v>
      </c>
      <c r="D419" s="287">
        <v>0</v>
      </c>
      <c r="E419" s="284">
        <f t="shared" si="6"/>
        <v>70202103</v>
      </c>
      <c r="F419" s="15" t="s">
        <v>1400</v>
      </c>
      <c r="G419" s="15" t="s">
        <v>1400</v>
      </c>
      <c r="J419" s="15"/>
    </row>
    <row r="420" spans="1:10" s="8" customFormat="1">
      <c r="A420" s="13"/>
      <c r="B420" s="8" t="s">
        <v>3104</v>
      </c>
      <c r="C420" s="287">
        <v>77000</v>
      </c>
      <c r="D420" s="287">
        <v>0</v>
      </c>
      <c r="E420" s="284">
        <f t="shared" si="6"/>
        <v>70125103</v>
      </c>
      <c r="F420" s="15" t="s">
        <v>1643</v>
      </c>
      <c r="G420" s="15" t="s">
        <v>5</v>
      </c>
      <c r="H420" s="40" t="s">
        <v>7814</v>
      </c>
      <c r="I420" s="8" t="s">
        <v>26</v>
      </c>
      <c r="J420" s="15"/>
    </row>
    <row r="421" spans="1:10" s="8" customFormat="1">
      <c r="A421" s="13"/>
      <c r="B421" s="8" t="s">
        <v>3105</v>
      </c>
      <c r="C421" s="287">
        <v>77500</v>
      </c>
      <c r="D421" s="287">
        <v>0</v>
      </c>
      <c r="E421" s="284">
        <f t="shared" si="6"/>
        <v>70047603</v>
      </c>
      <c r="F421" s="15" t="s">
        <v>1400</v>
      </c>
      <c r="G421" s="15" t="s">
        <v>1400</v>
      </c>
      <c r="J421" s="15"/>
    </row>
    <row r="422" spans="1:10" s="8" customFormat="1">
      <c r="A422" s="13"/>
      <c r="B422" s="8" t="s">
        <v>3106</v>
      </c>
      <c r="C422" s="287">
        <v>78900</v>
      </c>
      <c r="D422" s="287">
        <v>0</v>
      </c>
      <c r="E422" s="284">
        <f t="shared" si="6"/>
        <v>69968703</v>
      </c>
      <c r="F422" s="15" t="s">
        <v>1643</v>
      </c>
      <c r="G422" s="15" t="s">
        <v>5</v>
      </c>
      <c r="H422" s="40" t="s">
        <v>7814</v>
      </c>
      <c r="I422" s="8" t="s">
        <v>26</v>
      </c>
      <c r="J422" s="15"/>
    </row>
    <row r="423" spans="1:10" s="8" customFormat="1">
      <c r="A423" s="13"/>
      <c r="B423" s="8" t="s">
        <v>3107</v>
      </c>
      <c r="C423" s="287">
        <v>96000</v>
      </c>
      <c r="D423" s="287">
        <v>0</v>
      </c>
      <c r="E423" s="284">
        <f t="shared" si="6"/>
        <v>69872703</v>
      </c>
      <c r="F423" s="15" t="s">
        <v>1643</v>
      </c>
      <c r="G423" s="15" t="s">
        <v>5</v>
      </c>
      <c r="H423" s="40" t="s">
        <v>7814</v>
      </c>
      <c r="I423" s="8" t="s">
        <v>26</v>
      </c>
      <c r="J423" s="15"/>
    </row>
    <row r="424" spans="1:10" s="8" customFormat="1">
      <c r="A424" s="13"/>
      <c r="B424" s="8" t="s">
        <v>3108</v>
      </c>
      <c r="C424" s="287">
        <v>178500</v>
      </c>
      <c r="D424" s="287">
        <v>0</v>
      </c>
      <c r="E424" s="284">
        <f t="shared" si="6"/>
        <v>69694203</v>
      </c>
      <c r="F424" s="15" t="s">
        <v>1643</v>
      </c>
      <c r="G424" s="15" t="s">
        <v>5</v>
      </c>
      <c r="H424" s="40" t="s">
        <v>7814</v>
      </c>
      <c r="I424" s="8" t="s">
        <v>26</v>
      </c>
      <c r="J424" s="15"/>
    </row>
    <row r="425" spans="1:10" s="8" customFormat="1">
      <c r="A425" s="13"/>
      <c r="B425" s="8" t="s">
        <v>1708</v>
      </c>
      <c r="C425" s="287">
        <v>0</v>
      </c>
      <c r="D425" s="287">
        <v>61000</v>
      </c>
      <c r="E425" s="284">
        <f t="shared" si="6"/>
        <v>69755203</v>
      </c>
      <c r="F425" s="15" t="s">
        <v>1400</v>
      </c>
      <c r="G425" s="15" t="s">
        <v>1400</v>
      </c>
      <c r="J425" s="15"/>
    </row>
    <row r="426" spans="1:10" s="8" customFormat="1">
      <c r="A426" s="13"/>
      <c r="B426" s="8" t="s">
        <v>1708</v>
      </c>
      <c r="C426" s="287">
        <v>0</v>
      </c>
      <c r="D426" s="287">
        <v>77500</v>
      </c>
      <c r="E426" s="284">
        <f t="shared" si="6"/>
        <v>69832703</v>
      </c>
      <c r="F426" s="15" t="s">
        <v>1400</v>
      </c>
      <c r="G426" s="15" t="s">
        <v>1400</v>
      </c>
      <c r="J426" s="15"/>
    </row>
    <row r="427" spans="1:10" s="8" customFormat="1">
      <c r="A427" s="13"/>
      <c r="B427" s="8" t="s">
        <v>1708</v>
      </c>
      <c r="C427" s="287">
        <v>0</v>
      </c>
      <c r="D427" s="287">
        <v>94700</v>
      </c>
      <c r="E427" s="284">
        <f t="shared" si="6"/>
        <v>69927403</v>
      </c>
      <c r="F427" s="15" t="s">
        <v>1400</v>
      </c>
      <c r="G427" s="15" t="s">
        <v>1400</v>
      </c>
      <c r="J427" s="15"/>
    </row>
    <row r="428" spans="1:10" s="8" customFormat="1">
      <c r="A428" s="13"/>
      <c r="B428" s="8" t="s">
        <v>1708</v>
      </c>
      <c r="C428" s="287">
        <v>94700</v>
      </c>
      <c r="D428" s="287">
        <v>0</v>
      </c>
      <c r="E428" s="284">
        <f t="shared" si="6"/>
        <v>69832703</v>
      </c>
      <c r="F428" s="15" t="s">
        <v>1400</v>
      </c>
      <c r="G428" s="15" t="s">
        <v>1400</v>
      </c>
      <c r="J428" s="15"/>
    </row>
    <row r="429" spans="1:10" s="8" customFormat="1">
      <c r="A429" s="13"/>
      <c r="B429" s="8" t="s">
        <v>3109</v>
      </c>
      <c r="C429" s="289">
        <v>1209000</v>
      </c>
      <c r="D429" s="289">
        <v>0</v>
      </c>
      <c r="E429" s="284">
        <f t="shared" si="6"/>
        <v>68623703</v>
      </c>
      <c r="F429" s="15" t="s">
        <v>10</v>
      </c>
      <c r="G429" s="15" t="s">
        <v>446</v>
      </c>
      <c r="H429" s="8" t="s">
        <v>2324</v>
      </c>
      <c r="I429" s="8" t="s">
        <v>26</v>
      </c>
      <c r="J429" s="15"/>
    </row>
    <row r="430" spans="1:10" s="8" customFormat="1">
      <c r="A430" s="13"/>
      <c r="B430" s="8" t="s">
        <v>1708</v>
      </c>
      <c r="C430" s="287">
        <v>0</v>
      </c>
      <c r="D430" s="287">
        <v>65900</v>
      </c>
      <c r="E430" s="284">
        <f t="shared" si="6"/>
        <v>68689603</v>
      </c>
      <c r="F430" s="15" t="s">
        <v>1400</v>
      </c>
      <c r="G430" s="15" t="s">
        <v>1400</v>
      </c>
      <c r="J430" s="15"/>
    </row>
    <row r="431" spans="1:10" s="8" customFormat="1">
      <c r="A431" s="13"/>
      <c r="B431" s="8" t="s">
        <v>1708</v>
      </c>
      <c r="C431" s="287">
        <v>65900</v>
      </c>
      <c r="D431" s="287">
        <v>0</v>
      </c>
      <c r="E431" s="284">
        <f t="shared" si="6"/>
        <v>68623703</v>
      </c>
      <c r="F431" s="15" t="s">
        <v>1400</v>
      </c>
      <c r="G431" s="15" t="s">
        <v>1400</v>
      </c>
      <c r="J431" s="15"/>
    </row>
    <row r="432" spans="1:10" s="8" customFormat="1">
      <c r="A432" s="13"/>
      <c r="B432" s="8" t="s">
        <v>3110</v>
      </c>
      <c r="C432" s="287">
        <v>71000</v>
      </c>
      <c r="D432" s="287">
        <v>0</v>
      </c>
      <c r="E432" s="284">
        <f t="shared" si="6"/>
        <v>68552703</v>
      </c>
      <c r="F432" s="15" t="s">
        <v>1643</v>
      </c>
      <c r="G432" s="15" t="s">
        <v>5</v>
      </c>
      <c r="H432" s="40" t="s">
        <v>7814</v>
      </c>
      <c r="I432" s="8" t="s">
        <v>26</v>
      </c>
      <c r="J432" s="15"/>
    </row>
    <row r="433" spans="1:10" s="8" customFormat="1">
      <c r="A433" s="13"/>
      <c r="B433" s="8" t="s">
        <v>3111</v>
      </c>
      <c r="C433" s="287">
        <v>89000</v>
      </c>
      <c r="D433" s="287">
        <v>0</v>
      </c>
      <c r="E433" s="284">
        <f t="shared" si="6"/>
        <v>68463703</v>
      </c>
      <c r="F433" s="15" t="s">
        <v>1643</v>
      </c>
      <c r="G433" s="15" t="s">
        <v>5</v>
      </c>
      <c r="H433" s="40" t="s">
        <v>7814</v>
      </c>
      <c r="I433" s="8" t="s">
        <v>26</v>
      </c>
      <c r="J433" s="15"/>
    </row>
    <row r="434" spans="1:10" s="8" customFormat="1">
      <c r="A434" s="13"/>
      <c r="B434" s="8" t="s">
        <v>3112</v>
      </c>
      <c r="C434" s="287">
        <v>138300</v>
      </c>
      <c r="D434" s="287">
        <v>0</v>
      </c>
      <c r="E434" s="284">
        <f t="shared" si="6"/>
        <v>68325403</v>
      </c>
      <c r="F434" s="15" t="s">
        <v>1643</v>
      </c>
      <c r="G434" s="15" t="s">
        <v>5</v>
      </c>
      <c r="H434" s="40" t="s">
        <v>7814</v>
      </c>
      <c r="I434" s="8" t="s">
        <v>26</v>
      </c>
      <c r="J434" s="15"/>
    </row>
    <row r="435" spans="1:10" s="8" customFormat="1">
      <c r="A435" s="13"/>
      <c r="B435" s="8" t="s">
        <v>3113</v>
      </c>
      <c r="C435" s="287">
        <v>307900</v>
      </c>
      <c r="D435" s="287">
        <v>0</v>
      </c>
      <c r="E435" s="284">
        <f t="shared" si="6"/>
        <v>68017503</v>
      </c>
      <c r="F435" s="15" t="s">
        <v>1643</v>
      </c>
      <c r="G435" s="15" t="s">
        <v>5</v>
      </c>
      <c r="H435" s="40" t="s">
        <v>7814</v>
      </c>
      <c r="I435" s="8" t="s">
        <v>26</v>
      </c>
      <c r="J435" s="15"/>
    </row>
    <row r="436" spans="1:10" s="8" customFormat="1">
      <c r="A436" s="13"/>
      <c r="B436" s="8" t="s">
        <v>3114</v>
      </c>
      <c r="C436" s="289">
        <v>825344</v>
      </c>
      <c r="D436" s="289">
        <v>0</v>
      </c>
      <c r="E436" s="284">
        <f t="shared" si="6"/>
        <v>67192159</v>
      </c>
      <c r="F436" s="15" t="s">
        <v>10</v>
      </c>
      <c r="G436" s="15" t="s">
        <v>446</v>
      </c>
      <c r="H436" s="8" t="s">
        <v>2324</v>
      </c>
      <c r="I436" s="8" t="s">
        <v>26</v>
      </c>
      <c r="J436" s="15"/>
    </row>
    <row r="437" spans="1:10" s="8" customFormat="1">
      <c r="A437" s="13"/>
      <c r="B437" s="8" t="s">
        <v>1708</v>
      </c>
      <c r="C437" s="287">
        <v>203160</v>
      </c>
      <c r="D437" s="287">
        <v>0</v>
      </c>
      <c r="E437" s="284">
        <f t="shared" si="6"/>
        <v>66988999</v>
      </c>
      <c r="F437" s="15" t="s">
        <v>1400</v>
      </c>
      <c r="G437" s="15" t="s">
        <v>1400</v>
      </c>
      <c r="J437" s="15"/>
    </row>
    <row r="438" spans="1:10" s="8" customFormat="1">
      <c r="A438" s="13"/>
      <c r="B438" s="8" t="s">
        <v>1708</v>
      </c>
      <c r="C438" s="287">
        <v>79000</v>
      </c>
      <c r="D438" s="287">
        <v>0</v>
      </c>
      <c r="E438" s="284">
        <f t="shared" si="6"/>
        <v>66909999</v>
      </c>
      <c r="F438" s="15" t="s">
        <v>1400</v>
      </c>
      <c r="G438" s="15" t="s">
        <v>1400</v>
      </c>
      <c r="J438" s="15"/>
    </row>
    <row r="439" spans="1:10" s="8" customFormat="1">
      <c r="A439" s="13"/>
      <c r="B439" s="8" t="s">
        <v>3115</v>
      </c>
      <c r="C439" s="289">
        <v>26400000</v>
      </c>
      <c r="D439" s="289">
        <v>0</v>
      </c>
      <c r="E439" s="284">
        <f t="shared" si="6"/>
        <v>40509999</v>
      </c>
      <c r="F439" s="15" t="s">
        <v>10</v>
      </c>
      <c r="G439" s="15" t="s">
        <v>446</v>
      </c>
      <c r="H439" s="8" t="s">
        <v>2324</v>
      </c>
      <c r="I439" s="8" t="s">
        <v>26</v>
      </c>
      <c r="J439" s="15"/>
    </row>
    <row r="440" spans="1:10" s="8" customFormat="1">
      <c r="A440" s="13"/>
      <c r="B440" s="8" t="s">
        <v>3116</v>
      </c>
      <c r="C440" s="289">
        <v>56300</v>
      </c>
      <c r="D440" s="289">
        <v>0</v>
      </c>
      <c r="E440" s="284">
        <f t="shared" si="6"/>
        <v>40453699</v>
      </c>
      <c r="F440" s="15" t="s">
        <v>10</v>
      </c>
      <c r="G440" s="15" t="s">
        <v>446</v>
      </c>
      <c r="H440" s="8" t="s">
        <v>2324</v>
      </c>
      <c r="I440" s="8" t="s">
        <v>26</v>
      </c>
      <c r="J440" s="15"/>
    </row>
    <row r="441" spans="1:10" s="8" customFormat="1">
      <c r="A441" s="13"/>
      <c r="B441" s="8" t="s">
        <v>3117</v>
      </c>
      <c r="C441" s="287">
        <v>1528000</v>
      </c>
      <c r="D441" s="287">
        <v>0</v>
      </c>
      <c r="E441" s="284">
        <f t="shared" si="6"/>
        <v>38925699</v>
      </c>
      <c r="F441" s="15" t="s">
        <v>10</v>
      </c>
      <c r="G441" s="15" t="s">
        <v>446</v>
      </c>
      <c r="H441" s="8" t="s">
        <v>1461</v>
      </c>
      <c r="I441" s="8" t="s">
        <v>26</v>
      </c>
      <c r="J441" s="15"/>
    </row>
    <row r="442" spans="1:10" s="8" customFormat="1">
      <c r="A442" s="13"/>
      <c r="B442" s="8" t="s">
        <v>3118</v>
      </c>
      <c r="C442" s="289">
        <v>1658000</v>
      </c>
      <c r="D442" s="289">
        <v>0</v>
      </c>
      <c r="E442" s="284">
        <f t="shared" si="6"/>
        <v>37267699</v>
      </c>
      <c r="F442" s="15" t="s">
        <v>10</v>
      </c>
      <c r="G442" s="15" t="s">
        <v>446</v>
      </c>
      <c r="H442" s="8" t="s">
        <v>2324</v>
      </c>
      <c r="I442" s="8" t="s">
        <v>26</v>
      </c>
      <c r="J442" s="15"/>
    </row>
    <row r="443" spans="1:10" s="8" customFormat="1">
      <c r="A443" s="13"/>
      <c r="B443" s="8" t="s">
        <v>3119</v>
      </c>
      <c r="C443" s="287">
        <v>1658000</v>
      </c>
      <c r="D443" s="287">
        <v>0</v>
      </c>
      <c r="E443" s="284">
        <f t="shared" si="6"/>
        <v>35609699</v>
      </c>
      <c r="F443" s="15" t="s">
        <v>10</v>
      </c>
      <c r="G443" s="15" t="s">
        <v>446</v>
      </c>
      <c r="H443" s="8" t="s">
        <v>1461</v>
      </c>
      <c r="I443" s="8" t="s">
        <v>26</v>
      </c>
      <c r="J443" s="15"/>
    </row>
    <row r="444" spans="1:10" s="8" customFormat="1">
      <c r="A444" s="13"/>
      <c r="B444" s="8" t="s">
        <v>3120</v>
      </c>
      <c r="C444" s="287">
        <v>3056000</v>
      </c>
      <c r="D444" s="287">
        <v>0</v>
      </c>
      <c r="E444" s="284">
        <f t="shared" si="6"/>
        <v>32553699</v>
      </c>
      <c r="F444" s="15" t="s">
        <v>10</v>
      </c>
      <c r="G444" s="15" t="s">
        <v>446</v>
      </c>
      <c r="H444" s="8" t="s">
        <v>1461</v>
      </c>
      <c r="I444" s="8" t="s">
        <v>26</v>
      </c>
      <c r="J444" s="15"/>
    </row>
    <row r="445" spans="1:10" s="8" customFormat="1">
      <c r="A445" s="13"/>
      <c r="B445" s="8" t="s">
        <v>3121</v>
      </c>
      <c r="C445" s="287">
        <v>7490000</v>
      </c>
      <c r="D445" s="287">
        <v>0</v>
      </c>
      <c r="E445" s="284">
        <f t="shared" si="6"/>
        <v>25063699</v>
      </c>
      <c r="F445" s="15" t="s">
        <v>10</v>
      </c>
      <c r="G445" s="15" t="s">
        <v>446</v>
      </c>
      <c r="H445" s="8" t="s">
        <v>1461</v>
      </c>
      <c r="I445" s="8" t="s">
        <v>26</v>
      </c>
      <c r="J445" s="15"/>
    </row>
    <row r="446" spans="1:10" s="8" customFormat="1">
      <c r="A446" s="13"/>
      <c r="B446" s="8" t="s">
        <v>3122</v>
      </c>
      <c r="C446" s="289">
        <v>1257733</v>
      </c>
      <c r="D446" s="289">
        <v>0</v>
      </c>
      <c r="E446" s="284">
        <f t="shared" si="6"/>
        <v>23805966</v>
      </c>
      <c r="F446" s="15" t="s">
        <v>10</v>
      </c>
      <c r="G446" s="15" t="s">
        <v>446</v>
      </c>
      <c r="H446" s="8" t="s">
        <v>2325</v>
      </c>
      <c r="I446" s="8" t="s">
        <v>26</v>
      </c>
      <c r="J446" s="15"/>
    </row>
    <row r="447" spans="1:10" s="8" customFormat="1">
      <c r="A447" s="13"/>
      <c r="B447" s="8" t="s">
        <v>3123</v>
      </c>
      <c r="C447" s="289">
        <v>59500</v>
      </c>
      <c r="D447" s="289">
        <v>0</v>
      </c>
      <c r="E447" s="284">
        <f t="shared" si="6"/>
        <v>23746466</v>
      </c>
      <c r="F447" s="15" t="s">
        <v>10</v>
      </c>
      <c r="G447" s="15" t="s">
        <v>446</v>
      </c>
      <c r="H447" s="8" t="s">
        <v>2324</v>
      </c>
      <c r="I447" s="8" t="s">
        <v>26</v>
      </c>
      <c r="J447" s="15"/>
    </row>
    <row r="448" spans="1:10" s="8" customFormat="1">
      <c r="A448" s="13"/>
      <c r="B448" s="8" t="s">
        <v>1708</v>
      </c>
      <c r="C448" s="287">
        <v>0</v>
      </c>
      <c r="D448" s="287">
        <v>79000</v>
      </c>
      <c r="E448" s="284">
        <f t="shared" si="6"/>
        <v>23825466</v>
      </c>
      <c r="F448" s="15" t="s">
        <v>1400</v>
      </c>
      <c r="G448" s="15" t="s">
        <v>1400</v>
      </c>
      <c r="J448" s="15"/>
    </row>
    <row r="449" spans="1:10" s="8" customFormat="1">
      <c r="A449" s="13"/>
      <c r="B449" s="8" t="s">
        <v>1708</v>
      </c>
      <c r="C449" s="287">
        <v>0</v>
      </c>
      <c r="D449" s="287">
        <v>203160</v>
      </c>
      <c r="E449" s="284">
        <f t="shared" si="6"/>
        <v>24028626</v>
      </c>
      <c r="F449" s="15" t="s">
        <v>1400</v>
      </c>
      <c r="G449" s="15" t="s">
        <v>1400</v>
      </c>
      <c r="J449" s="15"/>
    </row>
    <row r="450" spans="1:10" s="8" customFormat="1">
      <c r="A450" s="13"/>
      <c r="B450" s="8" t="s">
        <v>3124</v>
      </c>
      <c r="C450" s="289">
        <v>161700</v>
      </c>
      <c r="D450" s="289">
        <v>0</v>
      </c>
      <c r="E450" s="284">
        <f t="shared" si="6"/>
        <v>23866926</v>
      </c>
      <c r="F450" s="15" t="s">
        <v>10</v>
      </c>
      <c r="G450" s="15" t="s">
        <v>446</v>
      </c>
      <c r="H450" s="8" t="s">
        <v>2324</v>
      </c>
      <c r="I450" s="8" t="s">
        <v>26</v>
      </c>
      <c r="J450" s="15"/>
    </row>
    <row r="451" spans="1:10" s="8" customFormat="1">
      <c r="A451" s="13"/>
      <c r="B451" s="8" t="s">
        <v>3125</v>
      </c>
      <c r="C451" s="289">
        <v>48000</v>
      </c>
      <c r="D451" s="289">
        <v>0</v>
      </c>
      <c r="E451" s="284">
        <f t="shared" si="6"/>
        <v>23818926</v>
      </c>
      <c r="F451" s="291" t="s">
        <v>10</v>
      </c>
      <c r="G451" s="291" t="s">
        <v>446</v>
      </c>
      <c r="H451" s="8" t="s">
        <v>2324</v>
      </c>
      <c r="I451" s="8" t="s">
        <v>26</v>
      </c>
      <c r="J451" s="15"/>
    </row>
    <row r="452" spans="1:10" s="8" customFormat="1">
      <c r="A452" s="13"/>
      <c r="B452" s="8" t="s">
        <v>3126</v>
      </c>
      <c r="C452" s="289">
        <v>1086706</v>
      </c>
      <c r="D452" s="289">
        <v>0</v>
      </c>
      <c r="E452" s="284">
        <f t="shared" si="6"/>
        <v>22732220</v>
      </c>
      <c r="F452" s="15" t="s">
        <v>10</v>
      </c>
      <c r="G452" s="15" t="s">
        <v>446</v>
      </c>
      <c r="H452" s="8" t="s">
        <v>2325</v>
      </c>
      <c r="I452" s="8" t="s">
        <v>26</v>
      </c>
      <c r="J452" s="15"/>
    </row>
    <row r="453" spans="1:10" s="8" customFormat="1">
      <c r="A453" s="13"/>
      <c r="B453" s="8" t="s">
        <v>3127</v>
      </c>
      <c r="C453" s="289">
        <v>1086706</v>
      </c>
      <c r="D453" s="289">
        <v>0</v>
      </c>
      <c r="E453" s="284">
        <f t="shared" si="6"/>
        <v>21645514</v>
      </c>
      <c r="F453" s="15" t="s">
        <v>10</v>
      </c>
      <c r="G453" s="15" t="s">
        <v>446</v>
      </c>
      <c r="H453" s="8" t="s">
        <v>2325</v>
      </c>
      <c r="I453" s="8" t="s">
        <v>26</v>
      </c>
      <c r="J453" s="15"/>
    </row>
    <row r="454" spans="1:10" s="8" customFormat="1">
      <c r="A454" s="13"/>
      <c r="B454" s="8" t="s">
        <v>3128</v>
      </c>
      <c r="C454" s="289">
        <v>1086706</v>
      </c>
      <c r="D454" s="289">
        <v>0</v>
      </c>
      <c r="E454" s="284">
        <f t="shared" ref="E454:E517" si="7">E453-C454+D454</f>
        <v>20558808</v>
      </c>
      <c r="F454" s="15" t="s">
        <v>10</v>
      </c>
      <c r="G454" s="15" t="s">
        <v>446</v>
      </c>
      <c r="H454" s="8" t="s">
        <v>2325</v>
      </c>
      <c r="I454" s="8" t="s">
        <v>26</v>
      </c>
      <c r="J454" s="15"/>
    </row>
    <row r="455" spans="1:10" s="8" customFormat="1">
      <c r="A455" s="13"/>
      <c r="B455" s="8" t="s">
        <v>3129</v>
      </c>
      <c r="C455" s="289">
        <v>1328000</v>
      </c>
      <c r="D455" s="289">
        <v>0</v>
      </c>
      <c r="E455" s="284">
        <f t="shared" si="7"/>
        <v>19230808</v>
      </c>
      <c r="F455" s="15" t="s">
        <v>10</v>
      </c>
      <c r="G455" s="15" t="s">
        <v>446</v>
      </c>
      <c r="H455" s="8" t="s">
        <v>2325</v>
      </c>
      <c r="I455" s="8" t="s">
        <v>26</v>
      </c>
      <c r="J455" s="15"/>
    </row>
    <row r="456" spans="1:10" s="8" customFormat="1">
      <c r="A456" s="13"/>
      <c r="B456" s="8" t="s">
        <v>3130</v>
      </c>
      <c r="C456" s="289">
        <v>2626000</v>
      </c>
      <c r="D456" s="289">
        <v>0</v>
      </c>
      <c r="E456" s="284">
        <f t="shared" si="7"/>
        <v>16604808</v>
      </c>
      <c r="F456" s="15" t="s">
        <v>10</v>
      </c>
      <c r="G456" s="15" t="s">
        <v>446</v>
      </c>
      <c r="H456" s="8" t="s">
        <v>2325</v>
      </c>
      <c r="I456" s="8" t="s">
        <v>26</v>
      </c>
      <c r="J456" s="15"/>
    </row>
    <row r="457" spans="1:10" s="8" customFormat="1">
      <c r="A457" s="13"/>
      <c r="B457" s="8" t="s">
        <v>3131</v>
      </c>
      <c r="C457" s="289">
        <v>1116987</v>
      </c>
      <c r="D457" s="289">
        <v>0</v>
      </c>
      <c r="E457" s="284">
        <f t="shared" si="7"/>
        <v>15487821</v>
      </c>
      <c r="F457" s="291" t="s">
        <v>10</v>
      </c>
      <c r="G457" s="291" t="s">
        <v>446</v>
      </c>
      <c r="H457" s="8" t="s">
        <v>2325</v>
      </c>
      <c r="I457" s="8" t="s">
        <v>26</v>
      </c>
      <c r="J457" s="15"/>
    </row>
    <row r="458" spans="1:10" s="8" customFormat="1">
      <c r="A458" s="13"/>
      <c r="B458" s="8" t="s">
        <v>3132</v>
      </c>
      <c r="C458" s="287">
        <v>70749</v>
      </c>
      <c r="D458" s="287">
        <v>0</v>
      </c>
      <c r="E458" s="284">
        <f t="shared" si="7"/>
        <v>15417072</v>
      </c>
      <c r="F458" s="15" t="s">
        <v>1643</v>
      </c>
      <c r="G458" s="15" t="s">
        <v>5</v>
      </c>
      <c r="H458" s="40" t="s">
        <v>7814</v>
      </c>
      <c r="I458" s="8" t="s">
        <v>26</v>
      </c>
      <c r="J458" s="15"/>
    </row>
    <row r="459" spans="1:10" s="8" customFormat="1">
      <c r="A459" s="13"/>
      <c r="B459" s="8" t="s">
        <v>3133</v>
      </c>
      <c r="C459" s="289">
        <v>1177733</v>
      </c>
      <c r="D459" s="289">
        <v>0</v>
      </c>
      <c r="E459" s="284">
        <f t="shared" si="7"/>
        <v>14239339</v>
      </c>
      <c r="F459" s="291" t="s">
        <v>10</v>
      </c>
      <c r="G459" s="291" t="s">
        <v>446</v>
      </c>
      <c r="H459" s="8" t="s">
        <v>2325</v>
      </c>
      <c r="I459" s="8" t="s">
        <v>26</v>
      </c>
      <c r="J459" s="15"/>
    </row>
    <row r="460" spans="1:10" s="8" customFormat="1">
      <c r="A460" s="13"/>
      <c r="B460" s="8" t="s">
        <v>3134</v>
      </c>
      <c r="C460" s="287">
        <v>1153472</v>
      </c>
      <c r="D460" s="287">
        <v>0</v>
      </c>
      <c r="E460" s="284">
        <f t="shared" si="7"/>
        <v>13085867</v>
      </c>
      <c r="F460" s="15" t="s">
        <v>1643</v>
      </c>
      <c r="G460" s="15" t="s">
        <v>5</v>
      </c>
      <c r="H460" s="8" t="s">
        <v>3135</v>
      </c>
      <c r="J460" s="15"/>
    </row>
    <row r="461" spans="1:10" s="8" customFormat="1">
      <c r="A461" s="13"/>
      <c r="B461" s="8" t="s">
        <v>1845</v>
      </c>
      <c r="C461" s="287">
        <v>551736</v>
      </c>
      <c r="D461" s="287">
        <v>0</v>
      </c>
      <c r="E461" s="284">
        <f t="shared" si="7"/>
        <v>12534131</v>
      </c>
      <c r="F461" s="15" t="s">
        <v>1400</v>
      </c>
      <c r="G461" s="15" t="s">
        <v>1400</v>
      </c>
      <c r="J461" s="15"/>
    </row>
    <row r="462" spans="1:10" s="8" customFormat="1">
      <c r="A462" s="13"/>
      <c r="B462" s="8" t="s">
        <v>1845</v>
      </c>
      <c r="C462" s="287">
        <v>0</v>
      </c>
      <c r="D462" s="287">
        <v>551736</v>
      </c>
      <c r="E462" s="284">
        <f t="shared" si="7"/>
        <v>13085867</v>
      </c>
      <c r="F462" s="15" t="s">
        <v>1400</v>
      </c>
      <c r="G462" s="15" t="s">
        <v>1400</v>
      </c>
      <c r="J462" s="15"/>
    </row>
    <row r="463" spans="1:10" s="8" customFormat="1">
      <c r="A463" s="13">
        <v>45866</v>
      </c>
      <c r="B463" s="8" t="s">
        <v>2962</v>
      </c>
      <c r="C463" s="284">
        <v>0</v>
      </c>
      <c r="D463" s="284">
        <v>31720415</v>
      </c>
      <c r="E463" s="284">
        <f t="shared" si="7"/>
        <v>44806282</v>
      </c>
      <c r="F463" s="8" t="s">
        <v>920</v>
      </c>
      <c r="G463" s="80" t="s">
        <v>352</v>
      </c>
      <c r="H463" s="8" t="s">
        <v>6471</v>
      </c>
    </row>
    <row r="464" spans="1:10" s="8" customFormat="1">
      <c r="A464" s="13">
        <v>45866</v>
      </c>
      <c r="B464" s="8" t="s">
        <v>2964</v>
      </c>
      <c r="C464" s="284">
        <v>0</v>
      </c>
      <c r="D464" s="284">
        <v>102374938</v>
      </c>
      <c r="E464" s="284">
        <f t="shared" si="7"/>
        <v>147181220</v>
      </c>
      <c r="F464" s="8" t="s">
        <v>920</v>
      </c>
      <c r="G464" s="80" t="s">
        <v>352</v>
      </c>
      <c r="H464" s="8" t="s">
        <v>6471</v>
      </c>
    </row>
    <row r="465" spans="1:10" s="8" customFormat="1">
      <c r="A465" s="13"/>
      <c r="B465" s="8" t="s">
        <v>3136</v>
      </c>
      <c r="C465" s="287">
        <v>380300</v>
      </c>
      <c r="D465" s="287">
        <v>0</v>
      </c>
      <c r="E465" s="284">
        <f t="shared" si="7"/>
        <v>146800920</v>
      </c>
      <c r="F465" s="15" t="s">
        <v>8</v>
      </c>
      <c r="G465" s="15" t="s">
        <v>14</v>
      </c>
      <c r="H465" s="8" t="s">
        <v>3137</v>
      </c>
      <c r="J465" s="15"/>
    </row>
    <row r="466" spans="1:10" s="8" customFormat="1">
      <c r="A466" s="13"/>
      <c r="B466" s="8" t="s">
        <v>3138</v>
      </c>
      <c r="C466" s="287">
        <v>125000</v>
      </c>
      <c r="D466" s="287">
        <v>0</v>
      </c>
      <c r="E466" s="284">
        <f t="shared" si="7"/>
        <v>146675920</v>
      </c>
      <c r="F466" s="15" t="s">
        <v>21</v>
      </c>
      <c r="G466" s="15" t="s">
        <v>187</v>
      </c>
      <c r="J466" s="15"/>
    </row>
    <row r="467" spans="1:10" s="8" customFormat="1">
      <c r="A467" s="13"/>
      <c r="B467" s="8" t="s">
        <v>3139</v>
      </c>
      <c r="C467" s="287">
        <v>377300</v>
      </c>
      <c r="D467" s="287">
        <v>0</v>
      </c>
      <c r="E467" s="284">
        <f t="shared" si="7"/>
        <v>146298620</v>
      </c>
      <c r="F467" s="15" t="s">
        <v>21</v>
      </c>
      <c r="G467" s="15" t="s">
        <v>187</v>
      </c>
      <c r="J467" s="15"/>
    </row>
    <row r="468" spans="1:10" s="8" customFormat="1">
      <c r="A468" s="13"/>
      <c r="B468" s="8" t="s">
        <v>3140</v>
      </c>
      <c r="C468" s="287">
        <v>254590</v>
      </c>
      <c r="D468" s="287">
        <v>0</v>
      </c>
      <c r="E468" s="284">
        <f t="shared" si="7"/>
        <v>146044030</v>
      </c>
      <c r="F468" s="15" t="s">
        <v>8</v>
      </c>
      <c r="G468" s="15" t="s">
        <v>14</v>
      </c>
      <c r="H468" s="8" t="s">
        <v>3137</v>
      </c>
      <c r="J468" s="15"/>
    </row>
    <row r="469" spans="1:10" s="8" customFormat="1">
      <c r="A469" s="13"/>
      <c r="B469" s="8" t="s">
        <v>3141</v>
      </c>
      <c r="C469" s="287">
        <v>140200</v>
      </c>
      <c r="D469" s="287">
        <v>0</v>
      </c>
      <c r="E469" s="284">
        <f t="shared" si="7"/>
        <v>145903830</v>
      </c>
      <c r="F469" s="15" t="s">
        <v>1643</v>
      </c>
      <c r="G469" s="15" t="s">
        <v>5</v>
      </c>
      <c r="H469" s="8" t="s">
        <v>2235</v>
      </c>
      <c r="J469" s="15"/>
    </row>
    <row r="470" spans="1:10" s="8" customFormat="1">
      <c r="A470" s="13"/>
      <c r="B470" s="8" t="s">
        <v>3142</v>
      </c>
      <c r="C470" s="287">
        <v>260000</v>
      </c>
      <c r="D470" s="287">
        <v>0</v>
      </c>
      <c r="E470" s="284">
        <f t="shared" si="7"/>
        <v>145643830</v>
      </c>
      <c r="F470" s="15" t="s">
        <v>1643</v>
      </c>
      <c r="G470" s="15" t="s">
        <v>5</v>
      </c>
      <c r="H470" s="8" t="s">
        <v>2235</v>
      </c>
      <c r="J470" s="15"/>
    </row>
    <row r="471" spans="1:10" s="8" customFormat="1">
      <c r="A471" s="13"/>
      <c r="B471" s="8" t="s">
        <v>3143</v>
      </c>
      <c r="C471" s="287">
        <v>341500</v>
      </c>
      <c r="D471" s="287">
        <v>0</v>
      </c>
      <c r="E471" s="284">
        <f t="shared" si="7"/>
        <v>145302330</v>
      </c>
      <c r="F471" s="15" t="s">
        <v>8</v>
      </c>
      <c r="G471" s="15" t="s">
        <v>14</v>
      </c>
      <c r="H471" s="8" t="s">
        <v>3137</v>
      </c>
      <c r="J471" s="15"/>
    </row>
    <row r="472" spans="1:10" s="8" customFormat="1">
      <c r="A472" s="13"/>
      <c r="B472" s="8" t="s">
        <v>3144</v>
      </c>
      <c r="C472" s="287">
        <v>2500000</v>
      </c>
      <c r="D472" s="287">
        <v>0</v>
      </c>
      <c r="E472" s="284">
        <f t="shared" si="7"/>
        <v>142802330</v>
      </c>
      <c r="F472" s="15" t="s">
        <v>1643</v>
      </c>
      <c r="G472" s="15" t="s">
        <v>5</v>
      </c>
      <c r="H472" s="8" t="s">
        <v>2235</v>
      </c>
      <c r="J472" s="15"/>
    </row>
    <row r="473" spans="1:10" s="8" customFormat="1">
      <c r="A473" s="13"/>
      <c r="B473" s="8" t="s">
        <v>3145</v>
      </c>
      <c r="C473" s="287">
        <v>269570</v>
      </c>
      <c r="D473" s="287">
        <v>0</v>
      </c>
      <c r="E473" s="284">
        <f t="shared" si="7"/>
        <v>142532760</v>
      </c>
      <c r="F473" s="15" t="s">
        <v>8</v>
      </c>
      <c r="G473" s="15" t="s">
        <v>14</v>
      </c>
      <c r="H473" s="8" t="s">
        <v>3137</v>
      </c>
      <c r="J473" s="15"/>
    </row>
    <row r="474" spans="1:10" s="8" customFormat="1">
      <c r="A474" s="13"/>
      <c r="B474" s="8" t="s">
        <v>3146</v>
      </c>
      <c r="C474" s="287">
        <v>324201</v>
      </c>
      <c r="D474" s="287">
        <v>0</v>
      </c>
      <c r="E474" s="284">
        <f t="shared" si="7"/>
        <v>142208559</v>
      </c>
      <c r="F474" s="15" t="s">
        <v>1643</v>
      </c>
      <c r="G474" s="15" t="s">
        <v>5</v>
      </c>
      <c r="H474" s="8" t="s">
        <v>2235</v>
      </c>
      <c r="J474" s="15"/>
    </row>
    <row r="475" spans="1:10" s="8" customFormat="1">
      <c r="A475" s="13"/>
      <c r="B475" s="8" t="s">
        <v>3147</v>
      </c>
      <c r="C475" s="287">
        <v>786300</v>
      </c>
      <c r="D475" s="287">
        <v>0</v>
      </c>
      <c r="E475" s="284">
        <f t="shared" si="7"/>
        <v>141422259</v>
      </c>
      <c r="F475" s="15" t="s">
        <v>1643</v>
      </c>
      <c r="G475" s="15" t="s">
        <v>5</v>
      </c>
      <c r="H475" s="8" t="s">
        <v>2235</v>
      </c>
      <c r="J475" s="15"/>
    </row>
    <row r="476" spans="1:10" s="8" customFormat="1">
      <c r="A476" s="13"/>
      <c r="B476" s="8" t="s">
        <v>3148</v>
      </c>
      <c r="C476" s="287">
        <v>1822000</v>
      </c>
      <c r="D476" s="287">
        <v>0</v>
      </c>
      <c r="E476" s="284">
        <f t="shared" si="7"/>
        <v>139600259</v>
      </c>
      <c r="F476" s="15" t="s">
        <v>1643</v>
      </c>
      <c r="G476" s="15" t="s">
        <v>5</v>
      </c>
      <c r="H476" s="8" t="s">
        <v>2235</v>
      </c>
      <c r="J476" s="15"/>
    </row>
    <row r="477" spans="1:10" s="8" customFormat="1">
      <c r="A477" s="13"/>
      <c r="B477" s="8" t="s">
        <v>3149</v>
      </c>
      <c r="C477" s="287">
        <v>61800</v>
      </c>
      <c r="D477" s="287">
        <v>0</v>
      </c>
      <c r="E477" s="284">
        <f t="shared" si="7"/>
        <v>139538459</v>
      </c>
      <c r="F477" s="15" t="s">
        <v>1643</v>
      </c>
      <c r="G477" s="15" t="s">
        <v>5</v>
      </c>
      <c r="H477" s="8" t="s">
        <v>2235</v>
      </c>
      <c r="J477" s="15"/>
    </row>
    <row r="478" spans="1:10" s="8" customFormat="1">
      <c r="A478" s="13"/>
      <c r="B478" s="8" t="s">
        <v>3150</v>
      </c>
      <c r="C478" s="287">
        <v>222000</v>
      </c>
      <c r="D478" s="287">
        <v>0</v>
      </c>
      <c r="E478" s="284">
        <f t="shared" si="7"/>
        <v>139316459</v>
      </c>
      <c r="F478" s="15" t="s">
        <v>1643</v>
      </c>
      <c r="G478" s="15" t="s">
        <v>5</v>
      </c>
      <c r="H478" s="8" t="s">
        <v>2235</v>
      </c>
      <c r="J478" s="15"/>
    </row>
    <row r="479" spans="1:10" s="8" customFormat="1">
      <c r="A479" s="13"/>
      <c r="B479" s="8" t="s">
        <v>3151</v>
      </c>
      <c r="C479" s="287">
        <v>333000</v>
      </c>
      <c r="D479" s="287">
        <v>0</v>
      </c>
      <c r="E479" s="284">
        <f t="shared" si="7"/>
        <v>138983459</v>
      </c>
      <c r="F479" s="15" t="s">
        <v>1643</v>
      </c>
      <c r="G479" s="15" t="s">
        <v>5</v>
      </c>
      <c r="H479" s="8" t="s">
        <v>2235</v>
      </c>
      <c r="J479" s="15"/>
    </row>
    <row r="480" spans="1:10" s="8" customFormat="1">
      <c r="A480" s="13"/>
      <c r="B480" s="8" t="s">
        <v>3152</v>
      </c>
      <c r="C480" s="287">
        <v>772000</v>
      </c>
      <c r="D480" s="287">
        <v>0</v>
      </c>
      <c r="E480" s="284">
        <f t="shared" si="7"/>
        <v>138211459</v>
      </c>
      <c r="F480" s="15" t="s">
        <v>1643</v>
      </c>
      <c r="G480" s="15" t="s">
        <v>5</v>
      </c>
      <c r="H480" s="8" t="s">
        <v>2235</v>
      </c>
      <c r="J480" s="15"/>
    </row>
    <row r="481" spans="1:10" s="8" customFormat="1">
      <c r="A481" s="13"/>
      <c r="B481" s="8" t="s">
        <v>3153</v>
      </c>
      <c r="C481" s="287">
        <v>795000</v>
      </c>
      <c r="D481" s="287">
        <v>0</v>
      </c>
      <c r="E481" s="284">
        <f t="shared" si="7"/>
        <v>137416459</v>
      </c>
      <c r="F481" t="s">
        <v>62</v>
      </c>
      <c r="G481" s="15" t="s">
        <v>70</v>
      </c>
      <c r="H481" s="8" t="s">
        <v>2447</v>
      </c>
      <c r="J481" s="15"/>
    </row>
    <row r="482" spans="1:10" s="8" customFormat="1">
      <c r="A482" s="13"/>
      <c r="B482" s="8" t="s">
        <v>3154</v>
      </c>
      <c r="C482" s="287">
        <v>16429600</v>
      </c>
      <c r="D482" s="287">
        <v>0</v>
      </c>
      <c r="E482" s="284">
        <f t="shared" si="7"/>
        <v>120986859</v>
      </c>
      <c r="F482" s="15" t="s">
        <v>1643</v>
      </c>
      <c r="G482" s="15" t="s">
        <v>5</v>
      </c>
      <c r="H482" s="8" t="s">
        <v>3155</v>
      </c>
      <c r="J482" s="15"/>
    </row>
    <row r="483" spans="1:10" s="8" customFormat="1">
      <c r="A483" s="13"/>
      <c r="B483" s="8" t="s">
        <v>3156</v>
      </c>
      <c r="C483" s="287">
        <v>350700</v>
      </c>
      <c r="D483" s="287">
        <v>0</v>
      </c>
      <c r="E483" s="284">
        <f t="shared" si="7"/>
        <v>120636159</v>
      </c>
      <c r="F483" s="15" t="s">
        <v>8</v>
      </c>
      <c r="G483" s="15" t="s">
        <v>14</v>
      </c>
      <c r="H483" s="8" t="s">
        <v>3137</v>
      </c>
      <c r="J483" s="15"/>
    </row>
    <row r="484" spans="1:10" s="8" customFormat="1">
      <c r="A484" s="13"/>
      <c r="B484" s="8" t="s">
        <v>3157</v>
      </c>
      <c r="C484" s="287">
        <v>294250</v>
      </c>
      <c r="D484" s="287">
        <v>0</v>
      </c>
      <c r="E484" s="284">
        <f t="shared" si="7"/>
        <v>120341909</v>
      </c>
      <c r="F484" s="15" t="s">
        <v>8</v>
      </c>
      <c r="G484" s="15" t="s">
        <v>14</v>
      </c>
      <c r="H484" s="8" t="s">
        <v>3137</v>
      </c>
      <c r="J484" s="15"/>
    </row>
    <row r="485" spans="1:10" s="8" customFormat="1">
      <c r="A485" s="13"/>
      <c r="B485" s="8" t="s">
        <v>3158</v>
      </c>
      <c r="C485" s="287">
        <v>321970</v>
      </c>
      <c r="D485" s="287">
        <v>0</v>
      </c>
      <c r="E485" s="284">
        <f t="shared" si="7"/>
        <v>120019939</v>
      </c>
      <c r="F485" s="15" t="s">
        <v>8</v>
      </c>
      <c r="G485" s="15" t="s">
        <v>32</v>
      </c>
      <c r="J485" s="15"/>
    </row>
    <row r="486" spans="1:10" s="8" customFormat="1">
      <c r="A486" s="13"/>
      <c r="B486" s="8" t="s">
        <v>3159</v>
      </c>
      <c r="C486" s="287">
        <v>102000</v>
      </c>
      <c r="D486" s="287">
        <v>0</v>
      </c>
      <c r="E486" s="284">
        <f t="shared" si="7"/>
        <v>119917939</v>
      </c>
      <c r="F486" t="s">
        <v>62</v>
      </c>
      <c r="G486" s="15" t="s">
        <v>63</v>
      </c>
      <c r="H486" s="8" t="s">
        <v>3160</v>
      </c>
      <c r="J486" s="15"/>
    </row>
    <row r="487" spans="1:10" s="8" customFormat="1">
      <c r="A487" s="13"/>
      <c r="B487" s="8" t="s">
        <v>3161</v>
      </c>
      <c r="C487" s="287">
        <v>669500</v>
      </c>
      <c r="D487" s="287">
        <v>0</v>
      </c>
      <c r="E487" s="284">
        <f t="shared" si="7"/>
        <v>119248439</v>
      </c>
      <c r="F487" t="s">
        <v>62</v>
      </c>
      <c r="G487" s="15" t="s">
        <v>63</v>
      </c>
      <c r="H487" s="8" t="s">
        <v>3160</v>
      </c>
      <c r="J487" s="15"/>
    </row>
    <row r="488" spans="1:10" s="8" customFormat="1">
      <c r="A488" s="13"/>
      <c r="B488" s="8" t="s">
        <v>3162</v>
      </c>
      <c r="C488" s="287">
        <v>115400</v>
      </c>
      <c r="D488" s="287">
        <v>0</v>
      </c>
      <c r="E488" s="284">
        <f t="shared" si="7"/>
        <v>119133039</v>
      </c>
      <c r="F488" t="s">
        <v>62</v>
      </c>
      <c r="G488" s="15" t="s">
        <v>63</v>
      </c>
      <c r="J488" s="15"/>
    </row>
    <row r="489" spans="1:10" s="8" customFormat="1">
      <c r="A489" s="13"/>
      <c r="B489" s="8" t="s">
        <v>3047</v>
      </c>
      <c r="C489" s="287">
        <v>336000</v>
      </c>
      <c r="D489" s="287">
        <v>0</v>
      </c>
      <c r="E489" s="284">
        <f t="shared" si="7"/>
        <v>118797039</v>
      </c>
      <c r="F489" s="15" t="s">
        <v>8</v>
      </c>
      <c r="G489" s="15" t="s">
        <v>14</v>
      </c>
      <c r="H489" s="8" t="s">
        <v>314</v>
      </c>
      <c r="J489" s="15"/>
    </row>
    <row r="490" spans="1:10" s="8" customFormat="1">
      <c r="A490" s="13"/>
      <c r="B490" s="8" t="s">
        <v>3163</v>
      </c>
      <c r="C490" s="287">
        <v>367270</v>
      </c>
      <c r="D490" s="287">
        <v>0</v>
      </c>
      <c r="E490" s="284">
        <f t="shared" si="7"/>
        <v>118429769</v>
      </c>
      <c r="F490" s="15" t="s">
        <v>8</v>
      </c>
      <c r="G490" s="15" t="s">
        <v>14</v>
      </c>
      <c r="H490" s="8" t="s">
        <v>3137</v>
      </c>
      <c r="J490" s="15"/>
    </row>
    <row r="491" spans="1:10" s="8" customFormat="1">
      <c r="A491" s="13"/>
      <c r="B491" s="8" t="s">
        <v>3164</v>
      </c>
      <c r="C491" s="287">
        <v>334880</v>
      </c>
      <c r="D491" s="287">
        <v>0</v>
      </c>
      <c r="E491" s="284">
        <f t="shared" si="7"/>
        <v>118094889</v>
      </c>
      <c r="F491" s="15" t="s">
        <v>8</v>
      </c>
      <c r="G491" s="15" t="s">
        <v>14</v>
      </c>
      <c r="H491" s="8" t="s">
        <v>3137</v>
      </c>
      <c r="J491" s="15"/>
    </row>
    <row r="492" spans="1:10" s="8" customFormat="1">
      <c r="A492" s="13"/>
      <c r="B492" s="8" t="s">
        <v>3165</v>
      </c>
      <c r="C492" s="287">
        <v>337260</v>
      </c>
      <c r="D492" s="287">
        <v>0</v>
      </c>
      <c r="E492" s="284">
        <f t="shared" si="7"/>
        <v>117757629</v>
      </c>
      <c r="F492" s="15" t="s">
        <v>1643</v>
      </c>
      <c r="G492" s="15" t="s">
        <v>5</v>
      </c>
      <c r="H492" s="8" t="s">
        <v>2320</v>
      </c>
      <c r="J492" s="15"/>
    </row>
    <row r="493" spans="1:10" s="8" customFormat="1">
      <c r="A493" s="13"/>
      <c r="B493" s="8" t="s">
        <v>3166</v>
      </c>
      <c r="C493" s="287">
        <v>2286824</v>
      </c>
      <c r="D493" s="287">
        <v>0</v>
      </c>
      <c r="E493" s="284">
        <f t="shared" si="7"/>
        <v>115470805</v>
      </c>
      <c r="F493" s="15" t="s">
        <v>8</v>
      </c>
      <c r="G493" s="15" t="s">
        <v>32</v>
      </c>
      <c r="J493" s="15"/>
    </row>
    <row r="494" spans="1:10" s="8" customFormat="1">
      <c r="A494" s="13"/>
      <c r="B494" s="8" t="s">
        <v>1650</v>
      </c>
      <c r="C494" s="287">
        <v>10000</v>
      </c>
      <c r="D494" s="287">
        <v>0</v>
      </c>
      <c r="E494" s="284">
        <f t="shared" si="7"/>
        <v>115460805</v>
      </c>
      <c r="F494" s="15" t="s">
        <v>19</v>
      </c>
      <c r="G494" s="15" t="s">
        <v>189</v>
      </c>
      <c r="J494" s="15"/>
    </row>
    <row r="495" spans="1:10" s="8" customFormat="1">
      <c r="A495" s="13"/>
      <c r="B495" s="8" t="s">
        <v>1733</v>
      </c>
      <c r="C495" s="287">
        <v>540280</v>
      </c>
      <c r="D495" s="287">
        <v>0</v>
      </c>
      <c r="E495" s="284">
        <f t="shared" si="7"/>
        <v>114920525</v>
      </c>
      <c r="F495" s="15" t="s">
        <v>8</v>
      </c>
      <c r="G495" s="15" t="s">
        <v>14</v>
      </c>
      <c r="H495" s="8" t="s">
        <v>291</v>
      </c>
      <c r="J495" s="15"/>
    </row>
    <row r="496" spans="1:10" s="8" customFormat="1">
      <c r="A496" s="13"/>
      <c r="B496" s="8" t="s">
        <v>3049</v>
      </c>
      <c r="C496" s="287">
        <v>718300</v>
      </c>
      <c r="D496" s="287">
        <v>0</v>
      </c>
      <c r="E496" s="284">
        <f t="shared" si="7"/>
        <v>114202225</v>
      </c>
      <c r="F496" s="15" t="s">
        <v>62</v>
      </c>
      <c r="G496" s="15" t="s">
        <v>70</v>
      </c>
      <c r="H496" s="8" t="s">
        <v>308</v>
      </c>
      <c r="J496" s="15"/>
    </row>
    <row r="497" spans="1:10" s="8" customFormat="1">
      <c r="A497" s="13"/>
      <c r="B497" s="8" t="s">
        <v>1733</v>
      </c>
      <c r="C497" s="287">
        <v>643860</v>
      </c>
      <c r="D497" s="287">
        <v>0</v>
      </c>
      <c r="E497" s="284">
        <f t="shared" si="7"/>
        <v>113558365</v>
      </c>
      <c r="F497" s="15" t="s">
        <v>8</v>
      </c>
      <c r="G497" s="15" t="s">
        <v>14</v>
      </c>
      <c r="H497" s="8" t="s">
        <v>291</v>
      </c>
      <c r="J497" s="15"/>
    </row>
    <row r="498" spans="1:10" s="8" customFormat="1">
      <c r="A498" s="13"/>
      <c r="B498" s="8" t="s">
        <v>3167</v>
      </c>
      <c r="C498" s="287">
        <v>505000</v>
      </c>
      <c r="D498" s="287">
        <v>0</v>
      </c>
      <c r="E498" s="284">
        <f t="shared" si="7"/>
        <v>113053365</v>
      </c>
      <c r="F498" s="15" t="s">
        <v>8</v>
      </c>
      <c r="G498" s="15" t="s">
        <v>78</v>
      </c>
      <c r="H498" s="8" t="s">
        <v>291</v>
      </c>
      <c r="J498" s="15"/>
    </row>
    <row r="499" spans="1:10" s="8" customFormat="1">
      <c r="A499" s="13"/>
      <c r="B499" s="8" t="s">
        <v>1733</v>
      </c>
      <c r="C499" s="287">
        <v>634900</v>
      </c>
      <c r="D499" s="287">
        <v>0</v>
      </c>
      <c r="E499" s="284">
        <f t="shared" si="7"/>
        <v>112418465</v>
      </c>
      <c r="F499" s="15" t="s">
        <v>8</v>
      </c>
      <c r="G499" s="15" t="s">
        <v>14</v>
      </c>
      <c r="H499" s="8" t="s">
        <v>291</v>
      </c>
      <c r="J499" s="15"/>
    </row>
    <row r="500" spans="1:10" s="8" customFormat="1">
      <c r="A500" s="13"/>
      <c r="B500" s="8" t="s">
        <v>3168</v>
      </c>
      <c r="C500" s="287">
        <v>109590</v>
      </c>
      <c r="D500" s="287">
        <v>0</v>
      </c>
      <c r="E500" s="284">
        <f t="shared" si="7"/>
        <v>112308875</v>
      </c>
      <c r="F500" t="s">
        <v>62</v>
      </c>
      <c r="G500" s="15" t="s">
        <v>70</v>
      </c>
      <c r="H500" s="8" t="s">
        <v>308</v>
      </c>
      <c r="J500" s="15"/>
    </row>
    <row r="501" spans="1:10" s="8" customFormat="1">
      <c r="A501" s="13"/>
      <c r="B501" s="8" t="s">
        <v>3049</v>
      </c>
      <c r="C501" s="287">
        <v>141500</v>
      </c>
      <c r="D501" s="287">
        <v>0</v>
      </c>
      <c r="E501" s="284">
        <f t="shared" si="7"/>
        <v>112167375</v>
      </c>
      <c r="F501" s="15" t="s">
        <v>62</v>
      </c>
      <c r="G501" s="15" t="s">
        <v>70</v>
      </c>
      <c r="H501" s="8" t="s">
        <v>308</v>
      </c>
      <c r="J501" s="15"/>
    </row>
    <row r="502" spans="1:10" s="8" customFormat="1">
      <c r="A502" s="13"/>
      <c r="B502" s="8" t="s">
        <v>1733</v>
      </c>
      <c r="C502" s="287">
        <v>569350</v>
      </c>
      <c r="D502" s="287">
        <v>0</v>
      </c>
      <c r="E502" s="284">
        <f t="shared" si="7"/>
        <v>111598025</v>
      </c>
      <c r="F502" s="15" t="s">
        <v>8</v>
      </c>
      <c r="G502" s="15" t="s">
        <v>14</v>
      </c>
      <c r="H502" s="8" t="s">
        <v>291</v>
      </c>
      <c r="J502" s="15"/>
    </row>
    <row r="503" spans="1:10" s="8" customFormat="1">
      <c r="A503" s="13"/>
      <c r="B503" s="8" t="s">
        <v>1734</v>
      </c>
      <c r="C503" s="287">
        <v>602720</v>
      </c>
      <c r="D503" s="287">
        <v>0</v>
      </c>
      <c r="E503" s="284">
        <f t="shared" si="7"/>
        <v>110995305</v>
      </c>
      <c r="F503" s="15" t="s">
        <v>8</v>
      </c>
      <c r="G503" s="15" t="s">
        <v>14</v>
      </c>
      <c r="H503" s="8" t="s">
        <v>291</v>
      </c>
      <c r="J503" s="15"/>
    </row>
    <row r="504" spans="1:10" s="8" customFormat="1">
      <c r="A504" s="13"/>
      <c r="B504" s="8" t="s">
        <v>3169</v>
      </c>
      <c r="C504" s="287">
        <v>82000</v>
      </c>
      <c r="D504" s="287">
        <v>0</v>
      </c>
      <c r="E504" s="284">
        <f t="shared" si="7"/>
        <v>110913305</v>
      </c>
      <c r="F504" s="15" t="s">
        <v>8</v>
      </c>
      <c r="G504" s="15" t="s">
        <v>32</v>
      </c>
      <c r="J504" s="15"/>
    </row>
    <row r="505" spans="1:10" s="8" customFormat="1">
      <c r="A505" s="13"/>
      <c r="B505" s="8" t="s">
        <v>3170</v>
      </c>
      <c r="C505" s="287">
        <v>1599994</v>
      </c>
      <c r="D505" s="287">
        <v>0</v>
      </c>
      <c r="E505" s="284">
        <f t="shared" si="7"/>
        <v>109313311</v>
      </c>
      <c r="F505" s="15" t="s">
        <v>10</v>
      </c>
      <c r="G505" s="15" t="s">
        <v>446</v>
      </c>
      <c r="H505" s="8" t="s">
        <v>1461</v>
      </c>
      <c r="I505" s="8" t="s">
        <v>26</v>
      </c>
      <c r="J505" s="15"/>
    </row>
    <row r="506" spans="1:10" s="8" customFormat="1">
      <c r="A506" s="13"/>
      <c r="B506" s="8" t="s">
        <v>3171</v>
      </c>
      <c r="C506" s="287">
        <v>1600000</v>
      </c>
      <c r="D506" s="287">
        <v>0</v>
      </c>
      <c r="E506" s="284">
        <f t="shared" si="7"/>
        <v>107713311</v>
      </c>
      <c r="F506" s="15" t="s">
        <v>10</v>
      </c>
      <c r="G506" s="15" t="s">
        <v>446</v>
      </c>
      <c r="H506" s="8" t="s">
        <v>1461</v>
      </c>
      <c r="I506" s="8" t="s">
        <v>26</v>
      </c>
      <c r="J506" s="15"/>
    </row>
    <row r="507" spans="1:10" s="8" customFormat="1">
      <c r="A507" s="13"/>
      <c r="B507" s="8" t="s">
        <v>3172</v>
      </c>
      <c r="C507" s="287">
        <v>199737</v>
      </c>
      <c r="D507" s="287">
        <v>0</v>
      </c>
      <c r="E507" s="284">
        <f t="shared" si="7"/>
        <v>107513574</v>
      </c>
      <c r="F507" s="15" t="s">
        <v>10</v>
      </c>
      <c r="G507" s="15" t="s">
        <v>446</v>
      </c>
      <c r="H507" s="8" t="s">
        <v>2323</v>
      </c>
      <c r="I507" s="8" t="s">
        <v>26</v>
      </c>
      <c r="J507" s="15"/>
    </row>
    <row r="508" spans="1:10" s="8" customFormat="1">
      <c r="A508" s="13"/>
      <c r="B508" s="8" t="s">
        <v>3173</v>
      </c>
      <c r="C508" s="287">
        <v>1066764</v>
      </c>
      <c r="D508" s="287">
        <v>0</v>
      </c>
      <c r="E508" s="284">
        <f t="shared" si="7"/>
        <v>106446810</v>
      </c>
      <c r="F508" s="15" t="s">
        <v>10</v>
      </c>
      <c r="G508" s="15" t="s">
        <v>446</v>
      </c>
      <c r="H508" s="8" t="s">
        <v>2323</v>
      </c>
      <c r="I508" s="8" t="s">
        <v>277</v>
      </c>
      <c r="J508" s="15"/>
    </row>
    <row r="509" spans="1:10" s="8" customFormat="1">
      <c r="A509" s="13"/>
      <c r="B509" s="8" t="s">
        <v>3174</v>
      </c>
      <c r="C509" s="287">
        <v>1073566</v>
      </c>
      <c r="D509" s="287">
        <v>0</v>
      </c>
      <c r="E509" s="284">
        <f t="shared" si="7"/>
        <v>105373244</v>
      </c>
      <c r="F509" s="15" t="s">
        <v>10</v>
      </c>
      <c r="G509" s="15" t="s">
        <v>446</v>
      </c>
      <c r="H509" s="8" t="s">
        <v>2323</v>
      </c>
      <c r="I509" s="8" t="s">
        <v>26</v>
      </c>
      <c r="J509" s="15"/>
    </row>
    <row r="510" spans="1:10" s="8" customFormat="1">
      <c r="A510" s="13"/>
      <c r="B510" s="8" t="s">
        <v>3175</v>
      </c>
      <c r="C510" s="287">
        <v>1073566</v>
      </c>
      <c r="D510" s="287">
        <v>0</v>
      </c>
      <c r="E510" s="284">
        <f t="shared" si="7"/>
        <v>104299678</v>
      </c>
      <c r="F510" s="15" t="s">
        <v>10</v>
      </c>
      <c r="G510" s="15" t="s">
        <v>446</v>
      </c>
      <c r="H510" s="8" t="s">
        <v>2323</v>
      </c>
      <c r="I510" s="8" t="s">
        <v>26</v>
      </c>
      <c r="J510" s="15"/>
    </row>
    <row r="511" spans="1:10" s="8" customFormat="1">
      <c r="A511" s="13"/>
      <c r="B511" s="8" t="s">
        <v>3176</v>
      </c>
      <c r="C511" s="287">
        <v>1073566</v>
      </c>
      <c r="D511" s="287">
        <v>0</v>
      </c>
      <c r="E511" s="284">
        <f t="shared" si="7"/>
        <v>103226112</v>
      </c>
      <c r="F511" s="15" t="s">
        <v>10</v>
      </c>
      <c r="G511" s="15" t="s">
        <v>446</v>
      </c>
      <c r="H511" s="8" t="s">
        <v>2323</v>
      </c>
      <c r="I511" s="8" t="s">
        <v>26</v>
      </c>
      <c r="J511" s="15"/>
    </row>
    <row r="512" spans="1:10" s="8" customFormat="1">
      <c r="A512" s="13"/>
      <c r="B512" s="8" t="s">
        <v>3177</v>
      </c>
      <c r="C512" s="287">
        <v>1117624</v>
      </c>
      <c r="D512" s="287">
        <v>0</v>
      </c>
      <c r="E512" s="284">
        <f t="shared" si="7"/>
        <v>102108488</v>
      </c>
      <c r="F512" s="15" t="s">
        <v>10</v>
      </c>
      <c r="G512" s="15" t="s">
        <v>446</v>
      </c>
      <c r="H512" s="8" t="s">
        <v>2323</v>
      </c>
      <c r="I512" s="8" t="s">
        <v>26</v>
      </c>
      <c r="J512" s="15"/>
    </row>
    <row r="513" spans="1:10" s="8" customFormat="1">
      <c r="A513" s="13"/>
      <c r="B513" s="8" t="s">
        <v>3178</v>
      </c>
      <c r="C513" s="287">
        <v>707131</v>
      </c>
      <c r="D513" s="287">
        <v>0</v>
      </c>
      <c r="E513" s="284">
        <f t="shared" si="7"/>
        <v>101401357</v>
      </c>
      <c r="F513" s="15" t="s">
        <v>10</v>
      </c>
      <c r="G513" s="15" t="s">
        <v>446</v>
      </c>
      <c r="H513" s="8" t="s">
        <v>2323</v>
      </c>
      <c r="I513" s="8" t="s">
        <v>26</v>
      </c>
      <c r="J513" s="15"/>
    </row>
    <row r="514" spans="1:10" s="8" customFormat="1">
      <c r="A514" s="13"/>
      <c r="B514" s="8" t="s">
        <v>3179</v>
      </c>
      <c r="C514" s="287">
        <v>707131</v>
      </c>
      <c r="D514" s="287">
        <v>0</v>
      </c>
      <c r="E514" s="284">
        <f t="shared" si="7"/>
        <v>100694226</v>
      </c>
      <c r="F514" s="15" t="s">
        <v>10</v>
      </c>
      <c r="G514" s="15" t="s">
        <v>446</v>
      </c>
      <c r="H514" s="8" t="s">
        <v>2323</v>
      </c>
      <c r="I514" s="8" t="s">
        <v>26</v>
      </c>
      <c r="J514" s="15"/>
    </row>
    <row r="515" spans="1:10" s="8" customFormat="1">
      <c r="A515" s="13"/>
      <c r="B515" s="8" t="s">
        <v>3180</v>
      </c>
      <c r="C515" s="287">
        <v>707131</v>
      </c>
      <c r="D515" s="287">
        <v>0</v>
      </c>
      <c r="E515" s="284">
        <f t="shared" si="7"/>
        <v>99987095</v>
      </c>
      <c r="F515" s="15" t="s">
        <v>10</v>
      </c>
      <c r="G515" s="15" t="s">
        <v>446</v>
      </c>
      <c r="H515" s="8" t="s">
        <v>2323</v>
      </c>
      <c r="I515" s="8" t="s">
        <v>26</v>
      </c>
      <c r="J515" s="15"/>
    </row>
    <row r="516" spans="1:10" s="8" customFormat="1">
      <c r="A516" s="13"/>
      <c r="B516" s="8" t="s">
        <v>3181</v>
      </c>
      <c r="C516" s="287">
        <v>733082</v>
      </c>
      <c r="D516" s="287">
        <v>0</v>
      </c>
      <c r="E516" s="284">
        <f t="shared" si="7"/>
        <v>99254013</v>
      </c>
      <c r="F516" s="15" t="s">
        <v>10</v>
      </c>
      <c r="G516" s="15" t="s">
        <v>446</v>
      </c>
      <c r="H516" s="8" t="s">
        <v>1461</v>
      </c>
      <c r="I516" s="8" t="s">
        <v>26</v>
      </c>
      <c r="J516" s="15"/>
    </row>
    <row r="517" spans="1:10" s="8" customFormat="1">
      <c r="A517" s="13"/>
      <c r="B517" s="8" t="s">
        <v>3182</v>
      </c>
      <c r="C517" s="287">
        <v>810000</v>
      </c>
      <c r="D517" s="287">
        <v>0</v>
      </c>
      <c r="E517" s="284">
        <f t="shared" si="7"/>
        <v>98444013</v>
      </c>
      <c r="F517" s="15" t="s">
        <v>10</v>
      </c>
      <c r="G517" s="15" t="s">
        <v>446</v>
      </c>
      <c r="H517" s="8" t="s">
        <v>1461</v>
      </c>
      <c r="I517" s="8" t="s">
        <v>26</v>
      </c>
      <c r="J517" s="15"/>
    </row>
    <row r="518" spans="1:10" s="8" customFormat="1">
      <c r="A518" s="13"/>
      <c r="B518" s="8" t="s">
        <v>3183</v>
      </c>
      <c r="C518" s="287">
        <v>865251</v>
      </c>
      <c r="D518" s="287">
        <v>0</v>
      </c>
      <c r="E518" s="284">
        <f t="shared" ref="E518:E581" si="8">E517-C518+D518</f>
        <v>97578762</v>
      </c>
      <c r="F518" s="15" t="s">
        <v>10</v>
      </c>
      <c r="G518" s="15" t="s">
        <v>446</v>
      </c>
      <c r="H518" s="8" t="s">
        <v>1461</v>
      </c>
      <c r="I518" s="8" t="s">
        <v>26</v>
      </c>
      <c r="J518" s="15"/>
    </row>
    <row r="519" spans="1:10" s="8" customFormat="1">
      <c r="A519" s="13"/>
      <c r="B519" s="8" t="s">
        <v>1845</v>
      </c>
      <c r="C519" s="287">
        <v>866379</v>
      </c>
      <c r="D519" s="287">
        <v>0</v>
      </c>
      <c r="E519" s="284">
        <f t="shared" si="8"/>
        <v>96712383</v>
      </c>
      <c r="F519" s="15" t="s">
        <v>1400</v>
      </c>
      <c r="G519" s="15" t="s">
        <v>1400</v>
      </c>
      <c r="J519" s="15"/>
    </row>
    <row r="520" spans="1:10" s="8" customFormat="1">
      <c r="A520" s="13"/>
      <c r="B520" s="8" t="s">
        <v>3184</v>
      </c>
      <c r="C520" s="287">
        <v>707131</v>
      </c>
      <c r="D520" s="287">
        <v>0</v>
      </c>
      <c r="E520" s="284">
        <f t="shared" si="8"/>
        <v>96005252</v>
      </c>
      <c r="F520" s="15" t="s">
        <v>10</v>
      </c>
      <c r="G520" s="15" t="s">
        <v>446</v>
      </c>
      <c r="H520" s="8" t="s">
        <v>2323</v>
      </c>
      <c r="I520" s="8" t="s">
        <v>26</v>
      </c>
      <c r="J520" s="15"/>
    </row>
    <row r="521" spans="1:10" s="8" customFormat="1">
      <c r="A521" s="13"/>
      <c r="B521" s="8" t="s">
        <v>3185</v>
      </c>
      <c r="C521" s="287">
        <v>707131</v>
      </c>
      <c r="D521" s="287">
        <v>0</v>
      </c>
      <c r="E521" s="284">
        <f t="shared" si="8"/>
        <v>95298121</v>
      </c>
      <c r="F521" s="15" t="s">
        <v>10</v>
      </c>
      <c r="G521" s="15" t="s">
        <v>446</v>
      </c>
      <c r="H521" s="8" t="s">
        <v>2323</v>
      </c>
      <c r="I521" s="8" t="s">
        <v>26</v>
      </c>
      <c r="J521" s="15"/>
    </row>
    <row r="522" spans="1:10" s="8" customFormat="1">
      <c r="A522" s="13"/>
      <c r="B522" s="8" t="s">
        <v>3186</v>
      </c>
      <c r="C522" s="287">
        <v>707131</v>
      </c>
      <c r="D522" s="287">
        <v>0</v>
      </c>
      <c r="E522" s="284">
        <f t="shared" si="8"/>
        <v>94590990</v>
      </c>
      <c r="F522" s="15" t="s">
        <v>10</v>
      </c>
      <c r="G522" s="15" t="s">
        <v>446</v>
      </c>
      <c r="H522" s="8" t="s">
        <v>2323</v>
      </c>
      <c r="I522" s="8" t="s">
        <v>26</v>
      </c>
      <c r="J522" s="15"/>
    </row>
    <row r="523" spans="1:10" s="8" customFormat="1">
      <c r="A523" s="13"/>
      <c r="B523" s="8" t="s">
        <v>3187</v>
      </c>
      <c r="C523" s="287">
        <v>254803</v>
      </c>
      <c r="D523" s="287">
        <v>0</v>
      </c>
      <c r="E523" s="284">
        <f t="shared" si="8"/>
        <v>94336187</v>
      </c>
      <c r="F523" s="15" t="s">
        <v>1643</v>
      </c>
      <c r="G523" s="15" t="s">
        <v>5</v>
      </c>
      <c r="H523" s="8" t="s">
        <v>2235</v>
      </c>
      <c r="J523" s="15"/>
    </row>
    <row r="524" spans="1:10" s="8" customFormat="1">
      <c r="A524" s="13"/>
      <c r="B524" s="8" t="s">
        <v>3188</v>
      </c>
      <c r="C524" s="287">
        <v>407350</v>
      </c>
      <c r="D524" s="287">
        <v>0</v>
      </c>
      <c r="E524" s="284">
        <f t="shared" si="8"/>
        <v>93928837</v>
      </c>
      <c r="F524" s="15" t="s">
        <v>1643</v>
      </c>
      <c r="G524" s="15" t="s">
        <v>5</v>
      </c>
      <c r="H524" s="8" t="s">
        <v>2235</v>
      </c>
      <c r="J524" s="15"/>
    </row>
    <row r="525" spans="1:10" s="8" customFormat="1">
      <c r="A525" s="13"/>
      <c r="B525" s="8" t="s">
        <v>3189</v>
      </c>
      <c r="C525" s="287">
        <v>723571</v>
      </c>
      <c r="D525" s="287">
        <v>0</v>
      </c>
      <c r="E525" s="284">
        <f t="shared" si="8"/>
        <v>93205266</v>
      </c>
      <c r="F525" s="15" t="s">
        <v>10</v>
      </c>
      <c r="G525" s="15" t="s">
        <v>446</v>
      </c>
      <c r="H525" s="8" t="s">
        <v>2323</v>
      </c>
      <c r="I525" s="8" t="s">
        <v>26</v>
      </c>
      <c r="J525" s="15"/>
    </row>
    <row r="526" spans="1:10" s="8" customFormat="1">
      <c r="A526" s="13"/>
      <c r="B526" s="8" t="s">
        <v>3190</v>
      </c>
      <c r="C526" s="287">
        <v>743800</v>
      </c>
      <c r="D526" s="287">
        <v>0</v>
      </c>
      <c r="E526" s="284">
        <f t="shared" si="8"/>
        <v>92461466</v>
      </c>
      <c r="F526" s="15" t="s">
        <v>1643</v>
      </c>
      <c r="G526" s="15" t="s">
        <v>5</v>
      </c>
      <c r="H526" s="8" t="s">
        <v>2235</v>
      </c>
      <c r="J526" s="15"/>
    </row>
    <row r="527" spans="1:10" s="8" customFormat="1">
      <c r="A527" s="13"/>
      <c r="B527" s="8" t="s">
        <v>1708</v>
      </c>
      <c r="C527" s="287">
        <v>756300</v>
      </c>
      <c r="D527" s="287">
        <v>0</v>
      </c>
      <c r="E527" s="284">
        <f t="shared" si="8"/>
        <v>91705166</v>
      </c>
      <c r="F527" s="15" t="s">
        <v>1400</v>
      </c>
      <c r="G527" s="15" t="s">
        <v>1400</v>
      </c>
      <c r="J527" s="15"/>
    </row>
    <row r="528" spans="1:10" s="8" customFormat="1">
      <c r="A528" s="13"/>
      <c r="B528" s="8" t="s">
        <v>3191</v>
      </c>
      <c r="C528" s="287">
        <v>1230550</v>
      </c>
      <c r="D528" s="287">
        <v>0</v>
      </c>
      <c r="E528" s="284">
        <f t="shared" si="8"/>
        <v>90474616</v>
      </c>
      <c r="F528" s="15" t="s">
        <v>1643</v>
      </c>
      <c r="G528" s="15" t="s">
        <v>5</v>
      </c>
      <c r="H528" s="8" t="s">
        <v>2235</v>
      </c>
      <c r="J528" s="15"/>
    </row>
    <row r="529" spans="1:10" s="8" customFormat="1">
      <c r="A529" s="13"/>
      <c r="B529" s="8" t="s">
        <v>3192</v>
      </c>
      <c r="C529" s="287">
        <v>1682100</v>
      </c>
      <c r="D529" s="287">
        <v>0</v>
      </c>
      <c r="E529" s="284">
        <f t="shared" si="8"/>
        <v>88792516</v>
      </c>
      <c r="F529" s="15" t="s">
        <v>1643</v>
      </c>
      <c r="G529" s="15" t="s">
        <v>5</v>
      </c>
      <c r="H529" s="8" t="s">
        <v>2235</v>
      </c>
      <c r="J529" s="15"/>
    </row>
    <row r="530" spans="1:10" s="8" customFormat="1">
      <c r="A530" s="13"/>
      <c r="B530" s="8" t="s">
        <v>1708</v>
      </c>
      <c r="C530" s="287">
        <v>1800000</v>
      </c>
      <c r="D530" s="287">
        <v>0</v>
      </c>
      <c r="E530" s="284">
        <f t="shared" si="8"/>
        <v>86992516</v>
      </c>
      <c r="F530" s="15" t="s">
        <v>1400</v>
      </c>
      <c r="G530" s="15" t="s">
        <v>1400</v>
      </c>
      <c r="J530" s="15"/>
    </row>
    <row r="531" spans="1:10" s="8" customFormat="1">
      <c r="A531" s="13"/>
      <c r="B531" s="8" t="s">
        <v>1708</v>
      </c>
      <c r="C531" s="287">
        <v>2765550</v>
      </c>
      <c r="D531" s="287">
        <v>0</v>
      </c>
      <c r="E531" s="284">
        <f t="shared" si="8"/>
        <v>84226966</v>
      </c>
      <c r="F531" s="15" t="s">
        <v>1400</v>
      </c>
      <c r="G531" s="15" t="s">
        <v>1400</v>
      </c>
      <c r="J531" s="15"/>
    </row>
    <row r="532" spans="1:10" s="8" customFormat="1">
      <c r="A532" s="13"/>
      <c r="B532" s="8" t="s">
        <v>3193</v>
      </c>
      <c r="C532" s="287">
        <v>3796125</v>
      </c>
      <c r="D532" s="287">
        <v>0</v>
      </c>
      <c r="E532" s="284">
        <f t="shared" si="8"/>
        <v>80430841</v>
      </c>
      <c r="F532" s="15" t="s">
        <v>1643</v>
      </c>
      <c r="G532" s="15" t="s">
        <v>5</v>
      </c>
      <c r="H532" s="8" t="s">
        <v>2235</v>
      </c>
      <c r="J532" s="15"/>
    </row>
    <row r="533" spans="1:10" s="8" customFormat="1">
      <c r="A533" s="13"/>
      <c r="B533" s="8" t="s">
        <v>1797</v>
      </c>
      <c r="C533" s="287">
        <v>0</v>
      </c>
      <c r="D533" s="287">
        <v>756300</v>
      </c>
      <c r="E533" s="284">
        <f t="shared" si="8"/>
        <v>81187141</v>
      </c>
      <c r="F533" s="15" t="s">
        <v>1400</v>
      </c>
      <c r="G533" s="15" t="s">
        <v>1400</v>
      </c>
      <c r="J533" s="15"/>
    </row>
    <row r="534" spans="1:10" s="8" customFormat="1">
      <c r="A534" s="13"/>
      <c r="B534" s="8" t="s">
        <v>1865</v>
      </c>
      <c r="C534" s="287">
        <v>0</v>
      </c>
      <c r="D534" s="287">
        <v>866379</v>
      </c>
      <c r="E534" s="284">
        <f t="shared" si="8"/>
        <v>82053520</v>
      </c>
      <c r="F534" s="15" t="s">
        <v>1400</v>
      </c>
      <c r="G534" s="15" t="s">
        <v>1400</v>
      </c>
      <c r="J534" s="15"/>
    </row>
    <row r="535" spans="1:10" s="8" customFormat="1">
      <c r="A535" s="13"/>
      <c r="B535" s="8" t="s">
        <v>1797</v>
      </c>
      <c r="C535" s="287">
        <v>0</v>
      </c>
      <c r="D535" s="287">
        <v>2765550</v>
      </c>
      <c r="E535" s="284">
        <f t="shared" si="8"/>
        <v>84819070</v>
      </c>
      <c r="F535" s="15" t="s">
        <v>1400</v>
      </c>
      <c r="G535" s="15" t="s">
        <v>1400</v>
      </c>
      <c r="J535" s="15"/>
    </row>
    <row r="536" spans="1:10" s="8" customFormat="1">
      <c r="A536" s="13"/>
      <c r="B536" s="8" t="s">
        <v>1797</v>
      </c>
      <c r="C536" s="287">
        <v>0</v>
      </c>
      <c r="D536" s="287">
        <v>1800000</v>
      </c>
      <c r="E536" s="284">
        <f t="shared" si="8"/>
        <v>86619070</v>
      </c>
      <c r="F536" s="15" t="s">
        <v>1400</v>
      </c>
      <c r="G536" s="15" t="s">
        <v>1400</v>
      </c>
      <c r="J536" s="15"/>
    </row>
    <row r="537" spans="1:10" s="8" customFormat="1">
      <c r="A537" s="13"/>
      <c r="B537" s="8" t="s">
        <v>3194</v>
      </c>
      <c r="C537" s="287">
        <v>3483081</v>
      </c>
      <c r="D537" s="287">
        <v>0</v>
      </c>
      <c r="E537" s="284">
        <f t="shared" si="8"/>
        <v>83135989</v>
      </c>
      <c r="F537" s="15" t="s">
        <v>10</v>
      </c>
      <c r="G537" s="15" t="s">
        <v>446</v>
      </c>
      <c r="H537" s="8" t="s">
        <v>1461</v>
      </c>
      <c r="I537" s="8" t="s">
        <v>26</v>
      </c>
      <c r="J537" s="15"/>
    </row>
    <row r="538" spans="1:10" s="8" customFormat="1">
      <c r="A538" s="13"/>
      <c r="B538" s="8" t="s">
        <v>3195</v>
      </c>
      <c r="C538" s="287">
        <v>1155308</v>
      </c>
      <c r="D538" s="287">
        <v>0</v>
      </c>
      <c r="E538" s="284">
        <f t="shared" si="8"/>
        <v>81980681</v>
      </c>
      <c r="F538" s="15" t="s">
        <v>1643</v>
      </c>
      <c r="G538" s="15" t="s">
        <v>5</v>
      </c>
      <c r="H538" s="8" t="s">
        <v>3092</v>
      </c>
      <c r="J538" s="15"/>
    </row>
    <row r="539" spans="1:10" s="8" customFormat="1">
      <c r="A539" s="13"/>
      <c r="B539" s="8" t="s">
        <v>3196</v>
      </c>
      <c r="C539" s="287">
        <v>818084</v>
      </c>
      <c r="D539" s="287">
        <v>0</v>
      </c>
      <c r="E539" s="284">
        <f t="shared" si="8"/>
        <v>81162597</v>
      </c>
      <c r="F539" s="15" t="s">
        <v>10</v>
      </c>
      <c r="G539" s="15" t="s">
        <v>446</v>
      </c>
      <c r="H539" s="8" t="s">
        <v>1461</v>
      </c>
      <c r="I539" s="8" t="s">
        <v>26</v>
      </c>
      <c r="J539" s="15"/>
    </row>
    <row r="540" spans="1:10" s="8" customFormat="1">
      <c r="A540" s="13"/>
      <c r="B540" s="8" t="s">
        <v>3197</v>
      </c>
      <c r="C540" s="287">
        <v>818085</v>
      </c>
      <c r="D540" s="287">
        <v>0</v>
      </c>
      <c r="E540" s="284">
        <f t="shared" si="8"/>
        <v>80344512</v>
      </c>
      <c r="F540" s="15" t="s">
        <v>10</v>
      </c>
      <c r="G540" s="15" t="s">
        <v>446</v>
      </c>
      <c r="H540" s="8" t="s">
        <v>1461</v>
      </c>
      <c r="I540" s="8" t="s">
        <v>26</v>
      </c>
      <c r="J540" s="15"/>
    </row>
    <row r="541" spans="1:10" s="8" customFormat="1">
      <c r="A541" s="13"/>
      <c r="B541" s="8" t="s">
        <v>3198</v>
      </c>
      <c r="C541" s="287">
        <v>1020933</v>
      </c>
      <c r="D541" s="287">
        <v>0</v>
      </c>
      <c r="E541" s="284">
        <f t="shared" si="8"/>
        <v>79323579</v>
      </c>
      <c r="F541" s="15" t="s">
        <v>1643</v>
      </c>
      <c r="G541" s="15" t="s">
        <v>5</v>
      </c>
      <c r="H541" s="8" t="s">
        <v>1634</v>
      </c>
      <c r="J541" s="15"/>
    </row>
    <row r="542" spans="1:10" s="8" customFormat="1">
      <c r="A542" s="13"/>
      <c r="B542" s="8" t="s">
        <v>3199</v>
      </c>
      <c r="C542" s="287">
        <v>1142995</v>
      </c>
      <c r="D542" s="287">
        <v>0</v>
      </c>
      <c r="E542" s="284">
        <f t="shared" si="8"/>
        <v>78180584</v>
      </c>
      <c r="F542" s="15" t="s">
        <v>1643</v>
      </c>
      <c r="G542" s="15" t="s">
        <v>5</v>
      </c>
      <c r="H542" s="8" t="s">
        <v>1634</v>
      </c>
      <c r="J542" s="15"/>
    </row>
    <row r="543" spans="1:10" s="8" customFormat="1">
      <c r="A543" s="13"/>
      <c r="B543" s="8" t="s">
        <v>3200</v>
      </c>
      <c r="C543" s="284">
        <v>11873300</v>
      </c>
      <c r="D543" s="284">
        <v>0</v>
      </c>
      <c r="E543" s="284">
        <f t="shared" si="8"/>
        <v>66307284</v>
      </c>
      <c r="F543" s="8" t="s">
        <v>1212</v>
      </c>
      <c r="G543" s="8" t="s">
        <v>367</v>
      </c>
      <c r="H543" s="8" t="s">
        <v>6165</v>
      </c>
    </row>
    <row r="544" spans="1:10" s="8" customFormat="1">
      <c r="A544" s="13"/>
      <c r="B544" s="8" t="s">
        <v>3201</v>
      </c>
      <c r="C544" s="287">
        <v>1539080</v>
      </c>
      <c r="D544" s="287">
        <v>0</v>
      </c>
      <c r="E544" s="284">
        <f t="shared" si="8"/>
        <v>64768204</v>
      </c>
      <c r="F544" s="15" t="s">
        <v>10</v>
      </c>
      <c r="G544" s="15" t="s">
        <v>446</v>
      </c>
      <c r="H544" s="8" t="s">
        <v>1461</v>
      </c>
      <c r="I544" s="8" t="s">
        <v>26</v>
      </c>
      <c r="J544" s="15"/>
    </row>
    <row r="545" spans="1:10" s="8" customFormat="1">
      <c r="A545" s="13"/>
      <c r="B545" s="8" t="s">
        <v>3202</v>
      </c>
      <c r="C545" s="284">
        <v>11951200</v>
      </c>
      <c r="D545" s="284">
        <v>0</v>
      </c>
      <c r="E545" s="284">
        <f t="shared" si="8"/>
        <v>52817004</v>
      </c>
      <c r="F545" s="8" t="s">
        <v>1212</v>
      </c>
      <c r="G545" s="8" t="s">
        <v>367</v>
      </c>
      <c r="H545" s="8" t="s">
        <v>6166</v>
      </c>
    </row>
    <row r="546" spans="1:10" s="8" customFormat="1">
      <c r="A546" s="13"/>
      <c r="B546" s="8" t="s">
        <v>3203</v>
      </c>
      <c r="C546" s="287">
        <v>1660080</v>
      </c>
      <c r="D546" s="287">
        <v>0</v>
      </c>
      <c r="E546" s="284">
        <f t="shared" si="8"/>
        <v>51156924</v>
      </c>
      <c r="F546" s="15" t="s">
        <v>10</v>
      </c>
      <c r="G546" s="15" t="s">
        <v>446</v>
      </c>
      <c r="H546" s="8" t="s">
        <v>1461</v>
      </c>
      <c r="I546" s="8" t="s">
        <v>26</v>
      </c>
      <c r="J546" s="15"/>
    </row>
    <row r="547" spans="1:10" s="8" customFormat="1">
      <c r="A547" s="13"/>
      <c r="B547" s="8" t="s">
        <v>3204</v>
      </c>
      <c r="C547" s="287">
        <v>16443200</v>
      </c>
      <c r="D547" s="287">
        <v>0</v>
      </c>
      <c r="E547" s="284">
        <f t="shared" si="8"/>
        <v>34713724</v>
      </c>
      <c r="F547" s="15" t="s">
        <v>1643</v>
      </c>
      <c r="G547" s="15" t="s">
        <v>5</v>
      </c>
      <c r="H547" s="8" t="s">
        <v>3155</v>
      </c>
      <c r="J547" s="15"/>
    </row>
    <row r="548" spans="1:10" s="8" customFormat="1">
      <c r="A548" s="13"/>
      <c r="B548" s="8" t="s">
        <v>3205</v>
      </c>
      <c r="C548" s="287">
        <v>4478889</v>
      </c>
      <c r="D548" s="287">
        <v>0</v>
      </c>
      <c r="E548" s="284">
        <f t="shared" si="8"/>
        <v>30234835</v>
      </c>
      <c r="F548" s="15" t="s">
        <v>10</v>
      </c>
      <c r="G548" s="15" t="s">
        <v>446</v>
      </c>
      <c r="H548" s="8" t="s">
        <v>1461</v>
      </c>
      <c r="I548" s="8" t="s">
        <v>26</v>
      </c>
      <c r="J548" s="15"/>
    </row>
    <row r="549" spans="1:10" s="8" customFormat="1">
      <c r="A549" s="13"/>
      <c r="B549" s="8" t="s">
        <v>3206</v>
      </c>
      <c r="C549" s="287">
        <v>1350000</v>
      </c>
      <c r="D549" s="287">
        <v>0</v>
      </c>
      <c r="E549" s="284">
        <f t="shared" si="8"/>
        <v>28884835</v>
      </c>
      <c r="F549" s="15" t="s">
        <v>1643</v>
      </c>
      <c r="G549" s="15" t="s">
        <v>5</v>
      </c>
      <c r="H549" s="8" t="s">
        <v>1622</v>
      </c>
      <c r="J549" s="15"/>
    </row>
    <row r="550" spans="1:10" s="8" customFormat="1">
      <c r="A550" s="13"/>
      <c r="B550" s="8" t="s">
        <v>3207</v>
      </c>
      <c r="C550" s="287">
        <v>803876</v>
      </c>
      <c r="D550" s="287">
        <v>0</v>
      </c>
      <c r="E550" s="284">
        <f t="shared" si="8"/>
        <v>28080959</v>
      </c>
      <c r="F550" s="15" t="s">
        <v>1643</v>
      </c>
      <c r="G550" s="15" t="s">
        <v>5</v>
      </c>
      <c r="H550" s="8" t="s">
        <v>1634</v>
      </c>
      <c r="J550" s="15"/>
    </row>
    <row r="551" spans="1:10" s="8" customFormat="1">
      <c r="A551" s="13"/>
      <c r="B551" s="8" t="s">
        <v>3208</v>
      </c>
      <c r="C551" s="287">
        <v>1256700</v>
      </c>
      <c r="D551" s="287">
        <v>0</v>
      </c>
      <c r="E551" s="284">
        <f t="shared" si="8"/>
        <v>26824259</v>
      </c>
      <c r="F551" s="15" t="s">
        <v>1643</v>
      </c>
      <c r="G551" s="15" t="s">
        <v>5</v>
      </c>
      <c r="H551" s="8" t="s">
        <v>1634</v>
      </c>
      <c r="J551" s="15"/>
    </row>
    <row r="552" spans="1:10" s="8" customFormat="1">
      <c r="A552" s="13"/>
      <c r="B552" s="8" t="s">
        <v>3209</v>
      </c>
      <c r="C552" s="287">
        <v>1296600</v>
      </c>
      <c r="D552" s="287">
        <v>0</v>
      </c>
      <c r="E552" s="284">
        <f t="shared" si="8"/>
        <v>25527659</v>
      </c>
      <c r="F552" s="15" t="s">
        <v>1643</v>
      </c>
      <c r="G552" s="15" t="s">
        <v>5</v>
      </c>
      <c r="H552" s="8" t="s">
        <v>1634</v>
      </c>
      <c r="J552" s="15"/>
    </row>
    <row r="553" spans="1:10">
      <c r="B553" t="s">
        <v>3210</v>
      </c>
      <c r="C553" s="283">
        <v>1457600</v>
      </c>
      <c r="D553" s="283">
        <v>0</v>
      </c>
      <c r="E553" s="284">
        <f t="shared" si="8"/>
        <v>24070059</v>
      </c>
      <c r="F553" t="s">
        <v>1643</v>
      </c>
      <c r="G553" t="s">
        <v>5</v>
      </c>
      <c r="H553" t="s">
        <v>1634</v>
      </c>
    </row>
    <row r="554" spans="1:10">
      <c r="B554" t="s">
        <v>3211</v>
      </c>
      <c r="C554" s="283">
        <v>2715000</v>
      </c>
      <c r="D554" s="283">
        <v>0</v>
      </c>
      <c r="E554" s="284">
        <f t="shared" si="8"/>
        <v>21355059</v>
      </c>
      <c r="F554" t="s">
        <v>1643</v>
      </c>
      <c r="G554" t="s">
        <v>5</v>
      </c>
      <c r="H554" t="s">
        <v>1634</v>
      </c>
    </row>
    <row r="555" spans="1:10" s="8" customFormat="1">
      <c r="A555" s="13"/>
      <c r="B555" s="8" t="s">
        <v>3212</v>
      </c>
      <c r="C555" s="287">
        <v>2748200</v>
      </c>
      <c r="D555" s="287">
        <v>0</v>
      </c>
      <c r="E555" s="284">
        <f t="shared" si="8"/>
        <v>18606859</v>
      </c>
      <c r="F555" s="15" t="s">
        <v>1643</v>
      </c>
      <c r="G555" s="15" t="s">
        <v>5</v>
      </c>
      <c r="H555" s="8" t="s">
        <v>1634</v>
      </c>
      <c r="J555" s="15"/>
    </row>
    <row r="556" spans="1:10" s="8" customFormat="1">
      <c r="A556" s="13"/>
      <c r="B556" s="8" t="s">
        <v>3213</v>
      </c>
      <c r="C556" s="287">
        <v>706503</v>
      </c>
      <c r="D556" s="287">
        <v>0</v>
      </c>
      <c r="E556" s="284">
        <f t="shared" si="8"/>
        <v>17900356</v>
      </c>
      <c r="F556" s="15" t="s">
        <v>1643</v>
      </c>
      <c r="G556" s="15" t="s">
        <v>5</v>
      </c>
      <c r="H556" s="8" t="s">
        <v>1634</v>
      </c>
      <c r="J556" s="15"/>
    </row>
    <row r="557" spans="1:10" s="8" customFormat="1">
      <c r="A557" s="13"/>
      <c r="B557" s="8" t="s">
        <v>3214</v>
      </c>
      <c r="C557" s="287">
        <v>1079438</v>
      </c>
      <c r="D557" s="287">
        <v>0</v>
      </c>
      <c r="E557" s="284">
        <f t="shared" si="8"/>
        <v>16820918</v>
      </c>
      <c r="F557" s="15" t="s">
        <v>1643</v>
      </c>
      <c r="G557" s="15" t="s">
        <v>5</v>
      </c>
      <c r="H557" s="8" t="s">
        <v>2322</v>
      </c>
      <c r="J557" s="15"/>
    </row>
    <row r="558" spans="1:10" s="8" customFormat="1">
      <c r="A558" s="13"/>
      <c r="B558" s="8" t="s">
        <v>3215</v>
      </c>
      <c r="C558" s="287">
        <v>1144695</v>
      </c>
      <c r="D558" s="287">
        <v>0</v>
      </c>
      <c r="E558" s="284">
        <f t="shared" si="8"/>
        <v>15676223</v>
      </c>
      <c r="F558" s="15" t="s">
        <v>10</v>
      </c>
      <c r="G558" s="15" t="s">
        <v>446</v>
      </c>
      <c r="H558" s="8" t="s">
        <v>1461</v>
      </c>
      <c r="I558" s="8" t="s">
        <v>26</v>
      </c>
      <c r="J558" s="15"/>
    </row>
    <row r="559" spans="1:10" s="8" customFormat="1">
      <c r="A559" s="13"/>
      <c r="B559" s="8" t="s">
        <v>3216</v>
      </c>
      <c r="C559" s="287">
        <v>0</v>
      </c>
      <c r="D559" s="287">
        <v>554585</v>
      </c>
      <c r="E559" s="284">
        <f t="shared" si="8"/>
        <v>16230808</v>
      </c>
      <c r="F559" s="15" t="s">
        <v>1643</v>
      </c>
      <c r="G559" s="15" t="s">
        <v>5</v>
      </c>
      <c r="H559" s="8" t="s">
        <v>1634</v>
      </c>
      <c r="J559" s="15"/>
    </row>
    <row r="560" spans="1:10" s="8" customFormat="1">
      <c r="A560" s="13"/>
      <c r="B560" s="8" t="s">
        <v>3217</v>
      </c>
      <c r="C560" s="287">
        <v>1350000</v>
      </c>
      <c r="D560" s="287">
        <v>0</v>
      </c>
      <c r="E560" s="284">
        <f t="shared" si="8"/>
        <v>14880808</v>
      </c>
      <c r="F560" s="15" t="s">
        <v>1643</v>
      </c>
      <c r="G560" s="15" t="s">
        <v>5</v>
      </c>
      <c r="H560" s="8" t="s">
        <v>1622</v>
      </c>
      <c r="J560" s="15"/>
    </row>
    <row r="561" spans="1:10" s="8" customFormat="1">
      <c r="A561" s="13"/>
      <c r="B561" s="8" t="s">
        <v>3218</v>
      </c>
      <c r="C561" s="287">
        <v>1704795</v>
      </c>
      <c r="D561" s="287">
        <v>0</v>
      </c>
      <c r="E561" s="284">
        <f t="shared" si="8"/>
        <v>13176013</v>
      </c>
      <c r="F561" s="15" t="s">
        <v>10</v>
      </c>
      <c r="G561" s="15" t="s">
        <v>446</v>
      </c>
      <c r="H561" s="8" t="s">
        <v>1461</v>
      </c>
      <c r="I561" s="8" t="s">
        <v>26</v>
      </c>
      <c r="J561" s="15"/>
    </row>
    <row r="562" spans="1:10" s="8" customFormat="1">
      <c r="A562" s="13"/>
      <c r="B562" s="8" t="s">
        <v>3219</v>
      </c>
      <c r="C562" s="287">
        <v>1724725</v>
      </c>
      <c r="D562" s="287">
        <v>0</v>
      </c>
      <c r="E562" s="284">
        <f t="shared" si="8"/>
        <v>11451288</v>
      </c>
      <c r="F562" s="15" t="s">
        <v>10</v>
      </c>
      <c r="G562" s="15" t="s">
        <v>446</v>
      </c>
      <c r="H562" s="8" t="s">
        <v>1461</v>
      </c>
      <c r="I562" s="8" t="s">
        <v>26</v>
      </c>
      <c r="J562" s="15"/>
    </row>
    <row r="563" spans="1:10" s="8" customFormat="1">
      <c r="A563" s="13"/>
      <c r="B563" s="8" t="s">
        <v>3220</v>
      </c>
      <c r="C563" s="287">
        <v>1948521</v>
      </c>
      <c r="D563" s="287">
        <v>0</v>
      </c>
      <c r="E563" s="284">
        <f t="shared" si="8"/>
        <v>9502767</v>
      </c>
      <c r="F563" s="15" t="s">
        <v>10</v>
      </c>
      <c r="G563" s="15" t="s">
        <v>446</v>
      </c>
      <c r="H563" s="8" t="s">
        <v>1461</v>
      </c>
      <c r="I563" s="8" t="s">
        <v>26</v>
      </c>
      <c r="J563" s="15"/>
    </row>
    <row r="564" spans="1:10" s="8" customFormat="1">
      <c r="A564" s="13"/>
      <c r="B564" s="8" t="s">
        <v>3221</v>
      </c>
      <c r="C564" s="287">
        <v>882400</v>
      </c>
      <c r="D564" s="287">
        <v>0</v>
      </c>
      <c r="E564" s="284">
        <f t="shared" si="8"/>
        <v>8620367</v>
      </c>
      <c r="F564" s="15" t="s">
        <v>8</v>
      </c>
      <c r="G564" s="15" t="s">
        <v>180</v>
      </c>
      <c r="J564" s="15"/>
    </row>
    <row r="565" spans="1:10" s="8" customFormat="1">
      <c r="A565" s="13">
        <v>45898</v>
      </c>
      <c r="B565" s="8" t="s">
        <v>2961</v>
      </c>
      <c r="C565" s="284">
        <v>0</v>
      </c>
      <c r="D565" s="284">
        <v>98779547</v>
      </c>
      <c r="E565" s="284">
        <f t="shared" si="8"/>
        <v>107399914</v>
      </c>
      <c r="F565" s="8" t="s">
        <v>920</v>
      </c>
      <c r="G565" s="80" t="s">
        <v>352</v>
      </c>
      <c r="H565" s="8" t="s">
        <v>6471</v>
      </c>
    </row>
    <row r="566" spans="1:10" s="8" customFormat="1">
      <c r="A566" s="13"/>
      <c r="B566" s="8" t="s">
        <v>3222</v>
      </c>
      <c r="C566" s="287">
        <v>240480</v>
      </c>
      <c r="D566" s="287">
        <v>0</v>
      </c>
      <c r="E566" s="284">
        <f t="shared" si="8"/>
        <v>107159434</v>
      </c>
      <c r="F566" s="15" t="s">
        <v>8</v>
      </c>
      <c r="G566" s="15" t="s">
        <v>14</v>
      </c>
      <c r="H566" s="8" t="s">
        <v>3137</v>
      </c>
      <c r="J566" s="15"/>
    </row>
    <row r="567" spans="1:10" s="8" customFormat="1">
      <c r="A567" s="13"/>
      <c r="B567" s="8" t="s">
        <v>3223</v>
      </c>
      <c r="C567" s="287">
        <v>215770</v>
      </c>
      <c r="D567" s="287">
        <v>0</v>
      </c>
      <c r="E567" s="284">
        <f t="shared" si="8"/>
        <v>106943664</v>
      </c>
      <c r="F567" s="15" t="s">
        <v>8</v>
      </c>
      <c r="G567" s="15" t="s">
        <v>14</v>
      </c>
      <c r="H567" s="8" t="s">
        <v>3137</v>
      </c>
      <c r="J567" s="15"/>
    </row>
    <row r="568" spans="1:10" s="8" customFormat="1">
      <c r="A568" s="13"/>
      <c r="B568" s="8" t="s">
        <v>3224</v>
      </c>
      <c r="C568" s="287">
        <v>275780</v>
      </c>
      <c r="D568" s="287">
        <v>0</v>
      </c>
      <c r="E568" s="284">
        <f t="shared" si="8"/>
        <v>106667884</v>
      </c>
      <c r="F568" s="15" t="s">
        <v>1643</v>
      </c>
      <c r="G568" s="15" t="s">
        <v>5</v>
      </c>
      <c r="H568" s="8" t="s">
        <v>3155</v>
      </c>
      <c r="J568" s="15"/>
    </row>
    <row r="569" spans="1:10">
      <c r="B569" t="s">
        <v>3225</v>
      </c>
      <c r="C569" s="283">
        <v>4223700</v>
      </c>
      <c r="D569" s="283">
        <v>0</v>
      </c>
      <c r="E569" s="284">
        <f t="shared" si="8"/>
        <v>102444184</v>
      </c>
      <c r="F569" t="s">
        <v>1643</v>
      </c>
      <c r="G569" t="s">
        <v>5</v>
      </c>
      <c r="H569" t="s">
        <v>2320</v>
      </c>
    </row>
    <row r="570" spans="1:10">
      <c r="B570" t="s">
        <v>3226</v>
      </c>
      <c r="C570" s="283">
        <v>866773</v>
      </c>
      <c r="D570" s="283">
        <v>0</v>
      </c>
      <c r="E570" s="284">
        <f t="shared" si="8"/>
        <v>101577411</v>
      </c>
      <c r="F570" t="s">
        <v>1643</v>
      </c>
      <c r="G570" t="s">
        <v>5</v>
      </c>
      <c r="H570" t="s">
        <v>2320</v>
      </c>
    </row>
    <row r="571" spans="1:10">
      <c r="B571" t="s">
        <v>3227</v>
      </c>
      <c r="C571" s="283">
        <v>863400</v>
      </c>
      <c r="D571" s="283">
        <v>0</v>
      </c>
      <c r="E571" s="284">
        <f t="shared" si="8"/>
        <v>100714011</v>
      </c>
      <c r="F571" t="s">
        <v>1643</v>
      </c>
      <c r="G571" t="s">
        <v>5</v>
      </c>
      <c r="H571" t="s">
        <v>2320</v>
      </c>
    </row>
    <row r="572" spans="1:10">
      <c r="B572" t="s">
        <v>3228</v>
      </c>
      <c r="C572" s="283">
        <v>343900</v>
      </c>
      <c r="D572" s="283">
        <v>0</v>
      </c>
      <c r="E572" s="284">
        <f t="shared" si="8"/>
        <v>100370111</v>
      </c>
      <c r="F572" t="s">
        <v>8</v>
      </c>
      <c r="G572" t="s">
        <v>14</v>
      </c>
      <c r="H572" t="s">
        <v>3137</v>
      </c>
    </row>
    <row r="573" spans="1:10" s="8" customFormat="1">
      <c r="A573" s="13"/>
      <c r="B573" s="8" t="s">
        <v>6161</v>
      </c>
      <c r="C573" s="290">
        <v>75000</v>
      </c>
      <c r="D573" s="290">
        <v>0</v>
      </c>
      <c r="E573" s="284">
        <f t="shared" si="8"/>
        <v>100295111</v>
      </c>
      <c r="F573" s="8" t="s">
        <v>1643</v>
      </c>
      <c r="G573" s="8" t="s">
        <v>5</v>
      </c>
      <c r="H573" s="8" t="s">
        <v>2320</v>
      </c>
    </row>
    <row r="574" spans="1:10">
      <c r="B574" t="s">
        <v>3229</v>
      </c>
      <c r="C574" s="283">
        <v>378550</v>
      </c>
      <c r="D574" s="283">
        <v>0</v>
      </c>
      <c r="E574" s="284">
        <f t="shared" si="8"/>
        <v>99916561</v>
      </c>
      <c r="F574" t="s">
        <v>8</v>
      </c>
      <c r="G574" t="s">
        <v>14</v>
      </c>
      <c r="H574" t="s">
        <v>3137</v>
      </c>
    </row>
    <row r="575" spans="1:10">
      <c r="B575" t="s">
        <v>3230</v>
      </c>
      <c r="C575" s="283">
        <v>300300</v>
      </c>
      <c r="D575" s="283">
        <v>0</v>
      </c>
      <c r="E575" s="284">
        <f t="shared" si="8"/>
        <v>99616261</v>
      </c>
      <c r="F575" t="s">
        <v>8</v>
      </c>
      <c r="G575" t="s">
        <v>14</v>
      </c>
      <c r="H575" t="s">
        <v>3137</v>
      </c>
    </row>
    <row r="576" spans="1:10">
      <c r="B576" t="s">
        <v>3231</v>
      </c>
      <c r="C576" s="283">
        <v>1188000</v>
      </c>
      <c r="D576" s="283">
        <v>0</v>
      </c>
      <c r="E576" s="284">
        <f t="shared" si="8"/>
        <v>98428261</v>
      </c>
      <c r="F576" t="s">
        <v>1643</v>
      </c>
      <c r="G576" t="s">
        <v>5</v>
      </c>
      <c r="H576" t="s">
        <v>3232</v>
      </c>
    </row>
    <row r="577" spans="1:8">
      <c r="B577" t="s">
        <v>3233</v>
      </c>
      <c r="C577" s="283">
        <v>354950</v>
      </c>
      <c r="D577" s="283">
        <v>0</v>
      </c>
      <c r="E577" s="284">
        <f t="shared" si="8"/>
        <v>98073311</v>
      </c>
      <c r="F577" t="s">
        <v>8</v>
      </c>
      <c r="G577" t="s">
        <v>14</v>
      </c>
      <c r="H577" t="s">
        <v>3137</v>
      </c>
    </row>
    <row r="578" spans="1:8">
      <c r="B578" t="s">
        <v>3234</v>
      </c>
      <c r="C578" s="283">
        <v>1892163</v>
      </c>
      <c r="D578" s="283">
        <v>0</v>
      </c>
      <c r="E578" s="284">
        <f t="shared" si="8"/>
        <v>96181148</v>
      </c>
      <c r="F578" t="s">
        <v>21</v>
      </c>
      <c r="G578" t="s">
        <v>187</v>
      </c>
    </row>
    <row r="579" spans="1:8">
      <c r="B579" t="s">
        <v>3235</v>
      </c>
      <c r="C579" s="283">
        <v>1295926</v>
      </c>
      <c r="D579" s="283">
        <v>0</v>
      </c>
      <c r="E579" s="284">
        <f t="shared" si="8"/>
        <v>94885222</v>
      </c>
      <c r="F579" t="s">
        <v>1643</v>
      </c>
      <c r="G579" t="s">
        <v>5</v>
      </c>
      <c r="H579" t="s">
        <v>1634</v>
      </c>
    </row>
    <row r="580" spans="1:8">
      <c r="B580" t="s">
        <v>1735</v>
      </c>
      <c r="C580" s="283">
        <v>100000</v>
      </c>
      <c r="D580" s="283">
        <v>0</v>
      </c>
      <c r="E580" s="284">
        <f t="shared" si="8"/>
        <v>94785222</v>
      </c>
      <c r="F580" s="15" t="s">
        <v>19</v>
      </c>
      <c r="G580" s="15" t="s">
        <v>65</v>
      </c>
    </row>
    <row r="581" spans="1:8">
      <c r="B581" t="s">
        <v>3236</v>
      </c>
      <c r="C581" s="283">
        <v>67600</v>
      </c>
      <c r="D581" s="283">
        <v>0</v>
      </c>
      <c r="E581" s="284">
        <f t="shared" si="8"/>
        <v>94717622</v>
      </c>
      <c r="F581" t="s">
        <v>1643</v>
      </c>
      <c r="G581" t="s">
        <v>5</v>
      </c>
      <c r="H581" t="s">
        <v>2316</v>
      </c>
    </row>
    <row r="582" spans="1:8">
      <c r="B582" t="s">
        <v>3237</v>
      </c>
      <c r="C582" s="283">
        <v>360600</v>
      </c>
      <c r="D582" s="283">
        <v>0</v>
      </c>
      <c r="E582" s="284">
        <f t="shared" ref="E582:E645" si="9">E581-C582+D582</f>
        <v>94357022</v>
      </c>
      <c r="F582" t="s">
        <v>8</v>
      </c>
      <c r="G582" t="s">
        <v>14</v>
      </c>
      <c r="H582" t="s">
        <v>3137</v>
      </c>
    </row>
    <row r="583" spans="1:8">
      <c r="B583" t="s">
        <v>1725</v>
      </c>
      <c r="C583" s="283">
        <v>320499</v>
      </c>
      <c r="D583" s="283">
        <v>0</v>
      </c>
      <c r="E583" s="284">
        <f t="shared" si="9"/>
        <v>94036523</v>
      </c>
      <c r="F583" t="s">
        <v>8</v>
      </c>
      <c r="G583" s="15" t="s">
        <v>32</v>
      </c>
    </row>
    <row r="584" spans="1:8">
      <c r="B584" t="s">
        <v>3238</v>
      </c>
      <c r="C584" s="283">
        <v>304550</v>
      </c>
      <c r="D584" s="283">
        <v>0</v>
      </c>
      <c r="E584" s="284">
        <f t="shared" si="9"/>
        <v>93731973</v>
      </c>
      <c r="F584" t="s">
        <v>8</v>
      </c>
      <c r="G584" t="s">
        <v>14</v>
      </c>
      <c r="H584" t="s">
        <v>3137</v>
      </c>
    </row>
    <row r="585" spans="1:8">
      <c r="B585" t="s">
        <v>3239</v>
      </c>
      <c r="C585" s="283">
        <v>2292436</v>
      </c>
      <c r="D585" s="283">
        <v>0</v>
      </c>
      <c r="E585" s="284">
        <f t="shared" si="9"/>
        <v>91439537</v>
      </c>
      <c r="F585" t="s">
        <v>1643</v>
      </c>
      <c r="G585" t="s">
        <v>5</v>
      </c>
      <c r="H585" t="s">
        <v>2320</v>
      </c>
    </row>
    <row r="586" spans="1:8" s="8" customFormat="1">
      <c r="A586" s="13"/>
      <c r="B586" s="8" t="s">
        <v>6162</v>
      </c>
      <c r="C586" s="290">
        <v>1752690</v>
      </c>
      <c r="D586" s="290">
        <v>0</v>
      </c>
      <c r="E586" s="284">
        <f t="shared" si="9"/>
        <v>89686847</v>
      </c>
      <c r="F586" s="8" t="s">
        <v>8</v>
      </c>
      <c r="G586" s="8" t="s">
        <v>184</v>
      </c>
      <c r="H586" s="8" t="s">
        <v>26</v>
      </c>
    </row>
    <row r="587" spans="1:8">
      <c r="B587" t="s">
        <v>3241</v>
      </c>
      <c r="C587" s="283">
        <v>81200</v>
      </c>
      <c r="D587" s="283">
        <v>0</v>
      </c>
      <c r="E587" s="284">
        <f t="shared" si="9"/>
        <v>89605647</v>
      </c>
      <c r="F587" t="s">
        <v>8</v>
      </c>
      <c r="G587" t="s">
        <v>78</v>
      </c>
      <c r="H587" t="s">
        <v>3242</v>
      </c>
    </row>
    <row r="588" spans="1:8">
      <c r="B588" t="s">
        <v>3243</v>
      </c>
      <c r="C588" s="283">
        <v>1971028</v>
      </c>
      <c r="D588" s="283">
        <v>0</v>
      </c>
      <c r="E588" s="284">
        <f t="shared" si="9"/>
        <v>87634619</v>
      </c>
      <c r="F588" t="s">
        <v>1643</v>
      </c>
      <c r="G588" t="s">
        <v>5</v>
      </c>
      <c r="H588" t="s">
        <v>3232</v>
      </c>
    </row>
    <row r="589" spans="1:8">
      <c r="B589" t="s">
        <v>1694</v>
      </c>
      <c r="C589" s="283">
        <v>252600</v>
      </c>
      <c r="D589" s="283">
        <v>0</v>
      </c>
      <c r="E589" s="284">
        <f t="shared" si="9"/>
        <v>87382019</v>
      </c>
      <c r="F589" t="s">
        <v>8</v>
      </c>
      <c r="G589" t="s">
        <v>14</v>
      </c>
      <c r="H589" t="s">
        <v>314</v>
      </c>
    </row>
    <row r="590" spans="1:8">
      <c r="B590" t="s">
        <v>3244</v>
      </c>
      <c r="C590" s="283">
        <v>394000</v>
      </c>
      <c r="D590" s="283">
        <v>0</v>
      </c>
      <c r="E590" s="284">
        <f t="shared" si="9"/>
        <v>86988019</v>
      </c>
      <c r="F590" t="s">
        <v>8</v>
      </c>
      <c r="G590" t="s">
        <v>14</v>
      </c>
      <c r="H590" t="s">
        <v>3137</v>
      </c>
    </row>
    <row r="591" spans="1:8">
      <c r="B591" t="s">
        <v>3245</v>
      </c>
      <c r="C591" s="283">
        <v>336600</v>
      </c>
      <c r="D591" s="283">
        <v>0</v>
      </c>
      <c r="E591" s="284">
        <f t="shared" si="9"/>
        <v>86651419</v>
      </c>
      <c r="F591" t="s">
        <v>62</v>
      </c>
      <c r="G591" t="s">
        <v>63</v>
      </c>
      <c r="H591" t="s">
        <v>3246</v>
      </c>
    </row>
    <row r="592" spans="1:8">
      <c r="B592" t="s">
        <v>3247</v>
      </c>
      <c r="C592" s="283">
        <v>2625000</v>
      </c>
      <c r="D592" s="283">
        <v>0</v>
      </c>
      <c r="E592" s="284">
        <f t="shared" si="9"/>
        <v>84026419</v>
      </c>
      <c r="F592" t="s">
        <v>1643</v>
      </c>
      <c r="G592" t="s">
        <v>5</v>
      </c>
      <c r="H592" t="s">
        <v>3232</v>
      </c>
    </row>
    <row r="593" spans="2:9">
      <c r="B593" t="s">
        <v>3248</v>
      </c>
      <c r="C593" s="283">
        <v>378800</v>
      </c>
      <c r="D593" s="283">
        <v>0</v>
      </c>
      <c r="E593" s="284">
        <f t="shared" si="9"/>
        <v>83647619</v>
      </c>
      <c r="F593" t="s">
        <v>8</v>
      </c>
      <c r="G593" t="s">
        <v>14</v>
      </c>
      <c r="H593" t="s">
        <v>3137</v>
      </c>
    </row>
    <row r="594" spans="2:9">
      <c r="B594" t="s">
        <v>1650</v>
      </c>
      <c r="C594" s="283">
        <v>10000</v>
      </c>
      <c r="D594" s="283">
        <v>0</v>
      </c>
      <c r="E594" s="284">
        <f t="shared" si="9"/>
        <v>83637619</v>
      </c>
      <c r="F594" t="s">
        <v>19</v>
      </c>
      <c r="G594" t="s">
        <v>189</v>
      </c>
    </row>
    <row r="595" spans="2:9">
      <c r="B595" t="s">
        <v>1732</v>
      </c>
      <c r="C595" s="283">
        <v>754032</v>
      </c>
      <c r="D595" s="283">
        <v>0</v>
      </c>
      <c r="E595" s="284">
        <f t="shared" si="9"/>
        <v>82883587</v>
      </c>
      <c r="F595" s="15" t="s">
        <v>19</v>
      </c>
      <c r="G595" s="15" t="s">
        <v>65</v>
      </c>
    </row>
    <row r="596" spans="2:9">
      <c r="B596" t="s">
        <v>1733</v>
      </c>
      <c r="C596" s="283">
        <v>648880</v>
      </c>
      <c r="D596" s="283">
        <v>0</v>
      </c>
      <c r="E596" s="284">
        <f t="shared" si="9"/>
        <v>82234707</v>
      </c>
      <c r="F596" t="s">
        <v>8</v>
      </c>
      <c r="G596" t="s">
        <v>14</v>
      </c>
      <c r="H596" t="s">
        <v>291</v>
      </c>
    </row>
    <row r="597" spans="2:9">
      <c r="B597" t="s">
        <v>1833</v>
      </c>
      <c r="C597" s="283">
        <v>684375</v>
      </c>
      <c r="D597" s="283">
        <v>0</v>
      </c>
      <c r="E597" s="284">
        <f t="shared" si="9"/>
        <v>81550332</v>
      </c>
      <c r="F597" t="s">
        <v>8</v>
      </c>
      <c r="G597" t="s">
        <v>14</v>
      </c>
      <c r="H597" t="s">
        <v>291</v>
      </c>
    </row>
    <row r="598" spans="2:9">
      <c r="B598" t="s">
        <v>1733</v>
      </c>
      <c r="C598" s="283">
        <v>569380</v>
      </c>
      <c r="D598" s="283">
        <v>0</v>
      </c>
      <c r="E598" s="284">
        <f t="shared" si="9"/>
        <v>80980952</v>
      </c>
      <c r="F598" t="s">
        <v>8</v>
      </c>
      <c r="G598" t="s">
        <v>14</v>
      </c>
      <c r="H598" t="s">
        <v>291</v>
      </c>
    </row>
    <row r="599" spans="2:9">
      <c r="B599" t="s">
        <v>1733</v>
      </c>
      <c r="C599" s="283">
        <v>591380</v>
      </c>
      <c r="D599" s="283">
        <v>0</v>
      </c>
      <c r="E599" s="284">
        <f t="shared" si="9"/>
        <v>80389572</v>
      </c>
      <c r="F599" t="s">
        <v>8</v>
      </c>
      <c r="G599" t="s">
        <v>14</v>
      </c>
      <c r="H599" t="s">
        <v>291</v>
      </c>
    </row>
    <row r="600" spans="2:9">
      <c r="B600" t="s">
        <v>3249</v>
      </c>
      <c r="C600" s="283">
        <v>1829788</v>
      </c>
      <c r="D600" s="283">
        <v>0</v>
      </c>
      <c r="E600" s="284">
        <f t="shared" si="9"/>
        <v>78559784</v>
      </c>
      <c r="F600" t="s">
        <v>1643</v>
      </c>
      <c r="G600" t="s">
        <v>5</v>
      </c>
      <c r="H600" t="s">
        <v>3135</v>
      </c>
    </row>
    <row r="601" spans="2:9">
      <c r="B601" t="s">
        <v>3250</v>
      </c>
      <c r="C601" s="283">
        <v>98300</v>
      </c>
      <c r="D601" s="283">
        <v>0</v>
      </c>
      <c r="E601" s="284">
        <f t="shared" si="9"/>
        <v>78461484</v>
      </c>
      <c r="F601" t="s">
        <v>1643</v>
      </c>
      <c r="G601" t="s">
        <v>5</v>
      </c>
      <c r="H601" t="s">
        <v>2320</v>
      </c>
    </row>
    <row r="602" spans="2:9">
      <c r="B602" t="s">
        <v>3251</v>
      </c>
      <c r="C602" s="283">
        <v>744050</v>
      </c>
      <c r="D602" s="283">
        <v>0</v>
      </c>
      <c r="E602" s="284">
        <f t="shared" si="9"/>
        <v>77717434</v>
      </c>
      <c r="F602" t="s">
        <v>1643</v>
      </c>
      <c r="G602" t="s">
        <v>5</v>
      </c>
      <c r="H602" t="s">
        <v>3155</v>
      </c>
    </row>
    <row r="603" spans="2:9">
      <c r="B603" t="s">
        <v>3252</v>
      </c>
      <c r="C603" s="283">
        <v>496504</v>
      </c>
      <c r="D603" s="283">
        <v>0</v>
      </c>
      <c r="E603" s="284">
        <f t="shared" si="9"/>
        <v>77220930</v>
      </c>
      <c r="F603" t="s">
        <v>1643</v>
      </c>
      <c r="G603" t="s">
        <v>5</v>
      </c>
      <c r="H603" t="s">
        <v>3135</v>
      </c>
    </row>
    <row r="604" spans="2:9">
      <c r="B604" t="s">
        <v>1845</v>
      </c>
      <c r="C604" s="283">
        <v>1660080</v>
      </c>
      <c r="D604" s="283">
        <v>0</v>
      </c>
      <c r="E604" s="284">
        <f t="shared" si="9"/>
        <v>75560850</v>
      </c>
      <c r="F604" t="s">
        <v>1400</v>
      </c>
      <c r="G604" t="s">
        <v>1400</v>
      </c>
    </row>
    <row r="605" spans="2:9">
      <c r="B605" t="s">
        <v>3253</v>
      </c>
      <c r="C605" s="288">
        <v>1960081</v>
      </c>
      <c r="D605" s="288">
        <v>0</v>
      </c>
      <c r="E605" s="284">
        <f t="shared" si="9"/>
        <v>73600769</v>
      </c>
      <c r="F605" t="s">
        <v>10</v>
      </c>
      <c r="G605" t="s">
        <v>446</v>
      </c>
      <c r="H605" t="s">
        <v>2314</v>
      </c>
      <c r="I605" t="s">
        <v>26</v>
      </c>
    </row>
    <row r="606" spans="2:9">
      <c r="B606" t="s">
        <v>1845</v>
      </c>
      <c r="C606" s="283">
        <v>0</v>
      </c>
      <c r="D606" s="283">
        <v>1660080</v>
      </c>
      <c r="E606" s="284">
        <f t="shared" si="9"/>
        <v>75260849</v>
      </c>
      <c r="F606" t="s">
        <v>1400</v>
      </c>
      <c r="G606" t="s">
        <v>1400</v>
      </c>
    </row>
    <row r="607" spans="2:9">
      <c r="B607" t="s">
        <v>3254</v>
      </c>
      <c r="C607" s="283">
        <v>3497000</v>
      </c>
      <c r="D607" s="283">
        <v>0</v>
      </c>
      <c r="E607" s="284">
        <f t="shared" si="9"/>
        <v>71763849</v>
      </c>
      <c r="F607" t="s">
        <v>1643</v>
      </c>
      <c r="G607" t="s">
        <v>5</v>
      </c>
      <c r="H607" t="s">
        <v>1634</v>
      </c>
    </row>
    <row r="608" spans="2:9">
      <c r="B608" t="s">
        <v>3255</v>
      </c>
      <c r="C608" s="283">
        <v>1350926</v>
      </c>
      <c r="D608" s="283">
        <v>0</v>
      </c>
      <c r="E608" s="284">
        <f t="shared" si="9"/>
        <v>70412923</v>
      </c>
      <c r="F608" t="s">
        <v>1643</v>
      </c>
      <c r="G608" t="s">
        <v>5</v>
      </c>
      <c r="H608" t="s">
        <v>1634</v>
      </c>
    </row>
    <row r="609" spans="1:10">
      <c r="B609" t="s">
        <v>3256</v>
      </c>
      <c r="C609" s="283">
        <v>2503144</v>
      </c>
      <c r="D609" s="283">
        <v>0</v>
      </c>
      <c r="E609" s="284">
        <f t="shared" si="9"/>
        <v>67909779</v>
      </c>
      <c r="F609" t="s">
        <v>1643</v>
      </c>
      <c r="G609" t="s">
        <v>5</v>
      </c>
      <c r="H609" t="s">
        <v>1634</v>
      </c>
    </row>
    <row r="610" spans="1:10">
      <c r="B610" t="s">
        <v>3257</v>
      </c>
      <c r="C610" s="283">
        <v>3283326</v>
      </c>
      <c r="D610" s="283">
        <v>0</v>
      </c>
      <c r="E610" s="284">
        <f t="shared" si="9"/>
        <v>64626453</v>
      </c>
      <c r="F610" t="s">
        <v>1643</v>
      </c>
      <c r="G610" t="s">
        <v>5</v>
      </c>
      <c r="H610" t="s">
        <v>1634</v>
      </c>
    </row>
    <row r="611" spans="1:10">
      <c r="B611" t="s">
        <v>3258</v>
      </c>
      <c r="C611" s="283">
        <v>3461400</v>
      </c>
      <c r="D611" s="283">
        <v>0</v>
      </c>
      <c r="E611" s="284">
        <f t="shared" si="9"/>
        <v>61165053</v>
      </c>
      <c r="F611" t="s">
        <v>1643</v>
      </c>
      <c r="G611" t="s">
        <v>5</v>
      </c>
      <c r="H611" t="s">
        <v>1634</v>
      </c>
    </row>
    <row r="612" spans="1:10">
      <c r="B612" t="s">
        <v>3259</v>
      </c>
      <c r="C612" s="283">
        <v>4119305</v>
      </c>
      <c r="D612" s="283">
        <v>0</v>
      </c>
      <c r="E612" s="284">
        <f t="shared" si="9"/>
        <v>57045748</v>
      </c>
      <c r="F612" t="s">
        <v>1643</v>
      </c>
      <c r="G612" t="s">
        <v>5</v>
      </c>
      <c r="H612" t="s">
        <v>1634</v>
      </c>
    </row>
    <row r="613" spans="1:10">
      <c r="B613" t="s">
        <v>1735</v>
      </c>
      <c r="C613" s="283">
        <v>100000</v>
      </c>
      <c r="D613" s="283">
        <v>0</v>
      </c>
      <c r="E613" s="284">
        <f t="shared" si="9"/>
        <v>56945748</v>
      </c>
      <c r="F613" t="s">
        <v>19</v>
      </c>
      <c r="G613" t="s">
        <v>65</v>
      </c>
    </row>
    <row r="614" spans="1:10">
      <c r="B614" t="s">
        <v>3260</v>
      </c>
      <c r="C614" s="288">
        <v>1526256</v>
      </c>
      <c r="D614" s="288">
        <v>0</v>
      </c>
      <c r="E614" s="284">
        <f t="shared" si="9"/>
        <v>55419492</v>
      </c>
      <c r="F614" t="s">
        <v>10</v>
      </c>
      <c r="G614" t="s">
        <v>446</v>
      </c>
      <c r="H614" t="s">
        <v>2314</v>
      </c>
      <c r="I614" t="s">
        <v>26</v>
      </c>
    </row>
    <row r="615" spans="1:10" s="8" customFormat="1">
      <c r="A615" s="13"/>
      <c r="B615" s="8" t="s">
        <v>3261</v>
      </c>
      <c r="C615" s="289">
        <v>1696258</v>
      </c>
      <c r="D615" s="289">
        <v>0</v>
      </c>
      <c r="E615" s="284">
        <f t="shared" si="9"/>
        <v>53723234</v>
      </c>
      <c r="F615" t="s">
        <v>10</v>
      </c>
      <c r="G615" t="s">
        <v>446</v>
      </c>
      <c r="H615" s="8" t="s">
        <v>2314</v>
      </c>
      <c r="I615" s="8" t="s">
        <v>26</v>
      </c>
      <c r="J615" s="15"/>
    </row>
    <row r="616" spans="1:10" s="8" customFormat="1">
      <c r="A616" s="13"/>
      <c r="B616" s="8" t="s">
        <v>3262</v>
      </c>
      <c r="C616" s="287">
        <v>11900000</v>
      </c>
      <c r="D616" s="287">
        <v>0</v>
      </c>
      <c r="E616" s="284">
        <f t="shared" si="9"/>
        <v>41823234</v>
      </c>
      <c r="F616" s="15" t="s">
        <v>1643</v>
      </c>
      <c r="G616" s="15" t="s">
        <v>5</v>
      </c>
      <c r="H616" s="8" t="s">
        <v>3263</v>
      </c>
      <c r="J616" s="15"/>
    </row>
    <row r="617" spans="1:10" s="8" customFormat="1">
      <c r="A617" s="13"/>
      <c r="B617" s="8" t="s">
        <v>3264</v>
      </c>
      <c r="C617" s="287">
        <v>1285000</v>
      </c>
      <c r="D617" s="287">
        <v>0</v>
      </c>
      <c r="E617" s="284">
        <f t="shared" si="9"/>
        <v>40538234</v>
      </c>
      <c r="F617" s="15" t="s">
        <v>1643</v>
      </c>
      <c r="G617" s="15" t="s">
        <v>5</v>
      </c>
      <c r="H617" s="8" t="s">
        <v>3232</v>
      </c>
      <c r="J617" s="15"/>
    </row>
    <row r="618" spans="1:10" s="8" customFormat="1">
      <c r="A618" s="13"/>
      <c r="B618" s="8" t="s">
        <v>3265</v>
      </c>
      <c r="C618" s="287">
        <v>8675000</v>
      </c>
      <c r="D618" s="287">
        <v>0</v>
      </c>
      <c r="E618" s="284">
        <f t="shared" si="9"/>
        <v>31863234</v>
      </c>
      <c r="F618" s="15" t="s">
        <v>1643</v>
      </c>
      <c r="G618" s="15" t="s">
        <v>5</v>
      </c>
      <c r="H618" s="8" t="s">
        <v>1634</v>
      </c>
      <c r="J618" s="15"/>
    </row>
    <row r="619" spans="1:10" s="8" customFormat="1">
      <c r="A619" s="13"/>
      <c r="B619" s="8" t="s">
        <v>3266</v>
      </c>
      <c r="C619" s="287">
        <v>491620</v>
      </c>
      <c r="D619" s="287">
        <v>0</v>
      </c>
      <c r="E619" s="284">
        <f t="shared" si="9"/>
        <v>31371614</v>
      </c>
      <c r="F619" s="15" t="s">
        <v>1643</v>
      </c>
      <c r="G619" s="15" t="s">
        <v>5</v>
      </c>
      <c r="H619" s="8" t="s">
        <v>3232</v>
      </c>
      <c r="J619" s="15"/>
    </row>
    <row r="620" spans="1:10" s="8" customFormat="1">
      <c r="A620" s="13"/>
      <c r="B620" s="8" t="s">
        <v>1845</v>
      </c>
      <c r="C620" s="287">
        <v>0</v>
      </c>
      <c r="D620" s="287">
        <v>752005</v>
      </c>
      <c r="E620" s="284">
        <f t="shared" si="9"/>
        <v>32123619</v>
      </c>
      <c r="F620" s="15" t="s">
        <v>1643</v>
      </c>
      <c r="G620" s="15" t="s">
        <v>5</v>
      </c>
      <c r="H620" s="8" t="s">
        <v>1634</v>
      </c>
      <c r="J620" s="15"/>
    </row>
    <row r="621" spans="1:10" s="8" customFormat="1">
      <c r="A621" s="13"/>
      <c r="B621" s="8" t="s">
        <v>3267</v>
      </c>
      <c r="C621" s="287">
        <v>3584700</v>
      </c>
      <c r="D621" s="287">
        <v>0</v>
      </c>
      <c r="E621" s="284">
        <f t="shared" si="9"/>
        <v>28538919</v>
      </c>
      <c r="F621" t="s">
        <v>1212</v>
      </c>
      <c r="G621" t="s">
        <v>367</v>
      </c>
      <c r="H621" t="s">
        <v>3020</v>
      </c>
      <c r="J621" s="15"/>
    </row>
    <row r="622" spans="1:10" s="8" customFormat="1">
      <c r="A622" s="13"/>
      <c r="B622" s="8" t="s">
        <v>3268</v>
      </c>
      <c r="C622" s="287">
        <v>1234444</v>
      </c>
      <c r="D622" s="287">
        <v>0</v>
      </c>
      <c r="E622" s="284">
        <f t="shared" si="9"/>
        <v>27304475</v>
      </c>
      <c r="F622" s="15" t="s">
        <v>1643</v>
      </c>
      <c r="G622" s="15" t="s">
        <v>5</v>
      </c>
      <c r="H622" s="8" t="s">
        <v>1634</v>
      </c>
      <c r="J622" s="15"/>
    </row>
    <row r="623" spans="1:10">
      <c r="B623" t="s">
        <v>3269</v>
      </c>
      <c r="C623" s="283">
        <v>1648200</v>
      </c>
      <c r="D623" s="283">
        <v>0</v>
      </c>
      <c r="E623" s="284">
        <f t="shared" si="9"/>
        <v>25656275</v>
      </c>
      <c r="F623" t="s">
        <v>10</v>
      </c>
      <c r="G623" t="s">
        <v>446</v>
      </c>
      <c r="H623" t="s">
        <v>3270</v>
      </c>
      <c r="I623" t="s">
        <v>26</v>
      </c>
    </row>
    <row r="624" spans="1:10" s="8" customFormat="1">
      <c r="A624" s="13"/>
      <c r="B624" s="8" t="s">
        <v>3271</v>
      </c>
      <c r="C624" s="287">
        <v>977300</v>
      </c>
      <c r="D624" s="287">
        <v>0</v>
      </c>
      <c r="E624" s="284">
        <f t="shared" si="9"/>
        <v>24678975</v>
      </c>
      <c r="F624" t="s">
        <v>10</v>
      </c>
      <c r="G624" t="s">
        <v>446</v>
      </c>
      <c r="H624" s="8" t="s">
        <v>3270</v>
      </c>
      <c r="I624" t="s">
        <v>26</v>
      </c>
      <c r="J624" s="15"/>
    </row>
    <row r="625" spans="1:10" s="8" customFormat="1">
      <c r="A625" s="13"/>
      <c r="B625" s="8" t="s">
        <v>3272</v>
      </c>
      <c r="C625" s="287">
        <v>1441700</v>
      </c>
      <c r="D625" s="287">
        <v>0</v>
      </c>
      <c r="E625" s="284">
        <f t="shared" si="9"/>
        <v>23237275</v>
      </c>
      <c r="F625" t="s">
        <v>10</v>
      </c>
      <c r="G625" t="s">
        <v>446</v>
      </c>
      <c r="H625" s="8" t="s">
        <v>3270</v>
      </c>
      <c r="I625" t="s">
        <v>277</v>
      </c>
      <c r="J625" s="15"/>
    </row>
    <row r="626" spans="1:10" s="8" customFormat="1">
      <c r="A626" s="13"/>
      <c r="B626" s="8" t="s">
        <v>3273</v>
      </c>
      <c r="C626" s="287">
        <v>1441700</v>
      </c>
      <c r="D626" s="287">
        <v>0</v>
      </c>
      <c r="E626" s="284">
        <f t="shared" si="9"/>
        <v>21795575</v>
      </c>
      <c r="F626" t="s">
        <v>10</v>
      </c>
      <c r="G626" t="s">
        <v>446</v>
      </c>
      <c r="H626" s="8" t="s">
        <v>3270</v>
      </c>
      <c r="I626" t="s">
        <v>26</v>
      </c>
      <c r="J626" s="15"/>
    </row>
    <row r="627" spans="1:10" s="8" customFormat="1">
      <c r="A627" s="13"/>
      <c r="B627" s="8" t="s">
        <v>3274</v>
      </c>
      <c r="C627" s="287">
        <v>1175200</v>
      </c>
      <c r="D627" s="287">
        <v>0</v>
      </c>
      <c r="E627" s="284">
        <f t="shared" si="9"/>
        <v>20620375</v>
      </c>
      <c r="F627" t="s">
        <v>10</v>
      </c>
      <c r="G627" t="s">
        <v>446</v>
      </c>
      <c r="H627" s="8" t="s">
        <v>3270</v>
      </c>
      <c r="I627" t="s">
        <v>26</v>
      </c>
      <c r="J627" s="15"/>
    </row>
    <row r="628" spans="1:10" s="8" customFormat="1">
      <c r="A628" s="13"/>
      <c r="B628" s="8" t="s">
        <v>3275</v>
      </c>
      <c r="C628" s="287">
        <v>995150</v>
      </c>
      <c r="D628" s="287">
        <v>0</v>
      </c>
      <c r="E628" s="284">
        <f t="shared" si="9"/>
        <v>19625225</v>
      </c>
      <c r="F628" t="s">
        <v>10</v>
      </c>
      <c r="G628" t="s">
        <v>446</v>
      </c>
      <c r="H628" s="8" t="s">
        <v>3270</v>
      </c>
      <c r="I628" t="s">
        <v>26</v>
      </c>
      <c r="J628" s="15"/>
    </row>
    <row r="629" spans="1:10">
      <c r="B629" t="s">
        <v>3276</v>
      </c>
      <c r="C629" s="283">
        <v>295000</v>
      </c>
      <c r="D629" s="283">
        <v>0</v>
      </c>
      <c r="E629" s="284">
        <f t="shared" si="9"/>
        <v>19330225</v>
      </c>
      <c r="F629" t="s">
        <v>1643</v>
      </c>
      <c r="G629" t="s">
        <v>5</v>
      </c>
      <c r="H629" t="s">
        <v>1634</v>
      </c>
    </row>
    <row r="630" spans="1:10">
      <c r="B630" t="s">
        <v>3277</v>
      </c>
      <c r="C630" s="283">
        <v>295000</v>
      </c>
      <c r="D630" s="283">
        <v>0</v>
      </c>
      <c r="E630" s="284">
        <f t="shared" si="9"/>
        <v>19035225</v>
      </c>
      <c r="F630" t="s">
        <v>1643</v>
      </c>
      <c r="G630" t="s">
        <v>5</v>
      </c>
      <c r="H630" t="s">
        <v>1634</v>
      </c>
    </row>
    <row r="631" spans="1:10" s="8" customFormat="1">
      <c r="A631" s="13"/>
      <c r="B631" s="8" t="s">
        <v>3278</v>
      </c>
      <c r="C631" s="287">
        <v>416000</v>
      </c>
      <c r="D631" s="287">
        <v>0</v>
      </c>
      <c r="E631" s="284">
        <f t="shared" si="9"/>
        <v>18619225</v>
      </c>
      <c r="F631" s="15" t="s">
        <v>1643</v>
      </c>
      <c r="G631" s="15" t="s">
        <v>5</v>
      </c>
      <c r="H631" s="8" t="s">
        <v>3232</v>
      </c>
      <c r="J631" s="15"/>
    </row>
    <row r="632" spans="1:10">
      <c r="B632" t="s">
        <v>3279</v>
      </c>
      <c r="C632" s="283">
        <v>792883</v>
      </c>
      <c r="D632" s="283">
        <v>0</v>
      </c>
      <c r="E632" s="284">
        <f t="shared" si="9"/>
        <v>17826342</v>
      </c>
      <c r="F632" t="s">
        <v>1643</v>
      </c>
      <c r="G632" t="s">
        <v>5</v>
      </c>
      <c r="H632" t="s">
        <v>3280</v>
      </c>
    </row>
    <row r="633" spans="1:10" s="8" customFormat="1">
      <c r="A633" s="13"/>
      <c r="B633" s="8" t="s">
        <v>3281</v>
      </c>
      <c r="C633" s="287">
        <v>2968000</v>
      </c>
      <c r="D633" s="287">
        <v>0</v>
      </c>
      <c r="E633" s="284">
        <f t="shared" si="9"/>
        <v>14858342</v>
      </c>
      <c r="F633" s="15" t="s">
        <v>1643</v>
      </c>
      <c r="G633" s="15" t="s">
        <v>5</v>
      </c>
      <c r="H633" s="8" t="s">
        <v>3280</v>
      </c>
      <c r="J633" s="15"/>
    </row>
    <row r="634" spans="1:10" s="8" customFormat="1">
      <c r="A634" s="13"/>
      <c r="B634" s="8" t="s">
        <v>3282</v>
      </c>
      <c r="C634" s="287">
        <v>3056400</v>
      </c>
      <c r="D634" s="287">
        <v>0</v>
      </c>
      <c r="E634" s="284">
        <f t="shared" si="9"/>
        <v>11801942</v>
      </c>
      <c r="F634" s="15" t="s">
        <v>10</v>
      </c>
      <c r="G634" s="15" t="s">
        <v>446</v>
      </c>
      <c r="H634" s="8" t="s">
        <v>3283</v>
      </c>
      <c r="I634" s="8" t="s">
        <v>26</v>
      </c>
      <c r="J634" s="15"/>
    </row>
    <row r="635" spans="1:10" s="8" customFormat="1">
      <c r="A635" s="13"/>
      <c r="B635" s="8" t="s">
        <v>3284</v>
      </c>
      <c r="C635" s="287">
        <v>3287982</v>
      </c>
      <c r="D635" s="287">
        <v>0</v>
      </c>
      <c r="E635" s="284">
        <f t="shared" si="9"/>
        <v>8513960</v>
      </c>
      <c r="F635" s="15" t="s">
        <v>1643</v>
      </c>
      <c r="G635" s="15" t="s">
        <v>5</v>
      </c>
      <c r="H635" s="8" t="s">
        <v>3280</v>
      </c>
      <c r="J635" s="15"/>
    </row>
    <row r="636" spans="1:10" s="8" customFormat="1">
      <c r="A636" s="13"/>
      <c r="B636" s="8" t="s">
        <v>3285</v>
      </c>
      <c r="C636" s="287">
        <v>2387608</v>
      </c>
      <c r="D636" s="287">
        <v>0</v>
      </c>
      <c r="E636" s="284">
        <f t="shared" si="9"/>
        <v>6126352</v>
      </c>
      <c r="F636" s="15" t="s">
        <v>19</v>
      </c>
      <c r="G636" s="15" t="s">
        <v>65</v>
      </c>
      <c r="J636" s="15"/>
    </row>
    <row r="637" spans="1:10" s="8" customFormat="1">
      <c r="A637" s="13">
        <v>45926</v>
      </c>
      <c r="B637" s="8" t="s">
        <v>3286</v>
      </c>
      <c r="C637" s="284">
        <v>0</v>
      </c>
      <c r="D637" s="284">
        <v>46883109</v>
      </c>
      <c r="E637" s="284">
        <f t="shared" si="9"/>
        <v>53009461</v>
      </c>
      <c r="F637" s="8" t="s">
        <v>920</v>
      </c>
      <c r="G637" s="8" t="s">
        <v>352</v>
      </c>
      <c r="H637" s="8" t="s">
        <v>6471</v>
      </c>
    </row>
    <row r="638" spans="1:10" s="8" customFormat="1">
      <c r="A638" s="13"/>
      <c r="B638" s="8" t="s">
        <v>4704</v>
      </c>
      <c r="C638" s="284">
        <v>174828</v>
      </c>
      <c r="D638" s="284">
        <v>0</v>
      </c>
      <c r="E638" s="284">
        <f t="shared" si="9"/>
        <v>52834633</v>
      </c>
      <c r="F638" s="8" t="s">
        <v>1643</v>
      </c>
      <c r="G638" s="8" t="s">
        <v>5</v>
      </c>
      <c r="H638" s="8" t="s">
        <v>3232</v>
      </c>
    </row>
    <row r="639" spans="1:10" s="8" customFormat="1">
      <c r="A639" s="13"/>
      <c r="B639" s="8" t="s">
        <v>4705</v>
      </c>
      <c r="C639" s="284">
        <v>271101</v>
      </c>
      <c r="D639" s="284">
        <v>0</v>
      </c>
      <c r="E639" s="284">
        <f t="shared" si="9"/>
        <v>52563532</v>
      </c>
      <c r="F639" s="8" t="s">
        <v>1643</v>
      </c>
      <c r="G639" s="8" t="s">
        <v>5</v>
      </c>
      <c r="H639" s="8" t="s">
        <v>3232</v>
      </c>
    </row>
    <row r="640" spans="1:10" s="8" customFormat="1">
      <c r="A640" s="13"/>
      <c r="B640" s="8" t="s">
        <v>4706</v>
      </c>
      <c r="C640" s="284">
        <v>585000</v>
      </c>
      <c r="D640" s="284">
        <v>0</v>
      </c>
      <c r="E640" s="284">
        <f t="shared" si="9"/>
        <v>51978532</v>
      </c>
      <c r="F640" s="8" t="s">
        <v>1643</v>
      </c>
      <c r="G640" s="8" t="s">
        <v>5</v>
      </c>
      <c r="H640" s="8" t="s">
        <v>3334</v>
      </c>
    </row>
    <row r="641" spans="1:8" s="8" customFormat="1">
      <c r="A641" s="13"/>
      <c r="B641" s="8" t="s">
        <v>4707</v>
      </c>
      <c r="C641" s="284">
        <v>181000</v>
      </c>
      <c r="D641" s="284">
        <v>0</v>
      </c>
      <c r="E641" s="284">
        <f t="shared" si="9"/>
        <v>51797532</v>
      </c>
      <c r="F641" t="s">
        <v>62</v>
      </c>
      <c r="G641" s="8" t="s">
        <v>63</v>
      </c>
      <c r="H641" s="8" t="s">
        <v>1436</v>
      </c>
    </row>
    <row r="642" spans="1:8" s="8" customFormat="1">
      <c r="A642" s="13"/>
      <c r="B642" s="8" t="s">
        <v>4708</v>
      </c>
      <c r="C642" s="284">
        <v>342220</v>
      </c>
      <c r="D642" s="284">
        <v>0</v>
      </c>
      <c r="E642" s="284">
        <f t="shared" si="9"/>
        <v>51455312</v>
      </c>
      <c r="F642" s="8" t="s">
        <v>8</v>
      </c>
      <c r="G642" s="8" t="s">
        <v>14</v>
      </c>
      <c r="H642" s="8" t="s">
        <v>3137</v>
      </c>
    </row>
    <row r="643" spans="1:8" s="8" customFormat="1">
      <c r="A643" s="13"/>
      <c r="B643" s="8" t="s">
        <v>4709</v>
      </c>
      <c r="C643" s="284">
        <v>995500</v>
      </c>
      <c r="D643" s="284">
        <v>0</v>
      </c>
      <c r="E643" s="284">
        <f t="shared" si="9"/>
        <v>50459812</v>
      </c>
      <c r="F643" s="8" t="s">
        <v>62</v>
      </c>
      <c r="G643" s="8" t="s">
        <v>70</v>
      </c>
      <c r="H643" s="8" t="s">
        <v>2447</v>
      </c>
    </row>
    <row r="644" spans="1:8" s="8" customFormat="1">
      <c r="A644" s="13"/>
      <c r="B644" s="8" t="s">
        <v>4710</v>
      </c>
      <c r="C644" s="284">
        <v>231000</v>
      </c>
      <c r="D644" s="284">
        <v>0</v>
      </c>
      <c r="E644" s="284">
        <f t="shared" si="9"/>
        <v>50228812</v>
      </c>
      <c r="F644" t="s">
        <v>62</v>
      </c>
      <c r="G644" s="8" t="s">
        <v>63</v>
      </c>
      <c r="H644" s="8" t="s">
        <v>1436</v>
      </c>
    </row>
    <row r="645" spans="1:8" s="8" customFormat="1">
      <c r="A645" s="13"/>
      <c r="B645" s="8" t="s">
        <v>4711</v>
      </c>
      <c r="C645" s="284">
        <v>270880</v>
      </c>
      <c r="D645" s="284">
        <v>0</v>
      </c>
      <c r="E645" s="284">
        <f t="shared" si="9"/>
        <v>49957932</v>
      </c>
      <c r="F645" s="8" t="s">
        <v>8</v>
      </c>
      <c r="G645" s="8" t="s">
        <v>14</v>
      </c>
      <c r="H645" s="8" t="s">
        <v>3137</v>
      </c>
    </row>
    <row r="646" spans="1:8" s="8" customFormat="1">
      <c r="A646" s="13"/>
      <c r="B646" s="8" t="s">
        <v>4712</v>
      </c>
      <c r="C646" s="284">
        <v>335500</v>
      </c>
      <c r="D646" s="284">
        <v>0</v>
      </c>
      <c r="E646" s="284">
        <f t="shared" ref="E646:E709" si="10">E645-C646+D646</f>
        <v>49622432</v>
      </c>
      <c r="F646" s="8" t="s">
        <v>8</v>
      </c>
      <c r="G646" s="8" t="s">
        <v>14</v>
      </c>
      <c r="H646" s="8" t="s">
        <v>314</v>
      </c>
    </row>
    <row r="647" spans="1:8" s="8" customFormat="1">
      <c r="A647" s="13"/>
      <c r="B647" s="8" t="s">
        <v>4713</v>
      </c>
      <c r="C647" s="284">
        <v>2950000</v>
      </c>
      <c r="D647" s="284">
        <v>0</v>
      </c>
      <c r="E647" s="284">
        <f t="shared" si="10"/>
        <v>46672432</v>
      </c>
      <c r="F647" s="8" t="s">
        <v>1643</v>
      </c>
      <c r="G647" s="8" t="s">
        <v>5</v>
      </c>
      <c r="H647" s="8" t="s">
        <v>3232</v>
      </c>
    </row>
    <row r="648" spans="1:8" s="8" customFormat="1">
      <c r="A648" s="13"/>
      <c r="B648" s="8" t="s">
        <v>4714</v>
      </c>
      <c r="C648" s="284">
        <v>366600</v>
      </c>
      <c r="D648" s="284">
        <v>0</v>
      </c>
      <c r="E648" s="284">
        <f t="shared" si="10"/>
        <v>46305832</v>
      </c>
      <c r="F648" s="8" t="s">
        <v>8</v>
      </c>
      <c r="G648" s="8" t="s">
        <v>14</v>
      </c>
      <c r="H648" s="8" t="s">
        <v>3137</v>
      </c>
    </row>
    <row r="649" spans="1:8" s="8" customFormat="1">
      <c r="A649" s="13"/>
      <c r="B649" s="8" t="s">
        <v>4715</v>
      </c>
      <c r="C649" s="284">
        <v>75000</v>
      </c>
      <c r="D649" s="284">
        <v>0</v>
      </c>
      <c r="E649" s="284">
        <f t="shared" si="10"/>
        <v>46230832</v>
      </c>
      <c r="F649" s="8" t="s">
        <v>1643</v>
      </c>
      <c r="G649" s="8" t="s">
        <v>5</v>
      </c>
      <c r="H649" s="8" t="s">
        <v>2320</v>
      </c>
    </row>
    <row r="650" spans="1:8" s="8" customFormat="1">
      <c r="A650" s="13"/>
      <c r="B650" s="8" t="s">
        <v>4716</v>
      </c>
      <c r="C650" s="284">
        <v>349800</v>
      </c>
      <c r="D650" s="284">
        <v>0</v>
      </c>
      <c r="E650" s="284">
        <f t="shared" si="10"/>
        <v>45881032</v>
      </c>
      <c r="F650" s="8" t="s">
        <v>8</v>
      </c>
      <c r="G650" s="8" t="s">
        <v>14</v>
      </c>
      <c r="H650" s="8" t="s">
        <v>3137</v>
      </c>
    </row>
    <row r="651" spans="1:8" s="8" customFormat="1">
      <c r="A651" s="13"/>
      <c r="B651" s="8" t="s">
        <v>4717</v>
      </c>
      <c r="C651" s="284">
        <v>217001</v>
      </c>
      <c r="D651" s="284">
        <v>0</v>
      </c>
      <c r="E651" s="284">
        <f t="shared" si="10"/>
        <v>45664031</v>
      </c>
      <c r="F651" s="8" t="s">
        <v>1643</v>
      </c>
      <c r="G651" s="8" t="s">
        <v>5</v>
      </c>
      <c r="H651" s="8" t="s">
        <v>3232</v>
      </c>
    </row>
    <row r="652" spans="1:8" s="8" customFormat="1">
      <c r="A652" s="13"/>
      <c r="B652" s="8" t="s">
        <v>4718</v>
      </c>
      <c r="C652" s="284">
        <v>242600</v>
      </c>
      <c r="D652" s="284">
        <v>0</v>
      </c>
      <c r="E652" s="284">
        <f t="shared" si="10"/>
        <v>45421431</v>
      </c>
      <c r="F652" s="8" t="s">
        <v>8</v>
      </c>
      <c r="G652" s="8" t="s">
        <v>14</v>
      </c>
      <c r="H652" s="8" t="s">
        <v>3137</v>
      </c>
    </row>
    <row r="653" spans="1:8" s="8" customFormat="1">
      <c r="A653" s="13"/>
      <c r="B653" s="8" t="s">
        <v>4719</v>
      </c>
      <c r="C653" s="284">
        <v>377400</v>
      </c>
      <c r="D653" s="284">
        <v>0</v>
      </c>
      <c r="E653" s="284">
        <f t="shared" si="10"/>
        <v>45044031</v>
      </c>
      <c r="F653" s="8" t="s">
        <v>8</v>
      </c>
      <c r="G653" s="8" t="s">
        <v>14</v>
      </c>
      <c r="H653" s="8" t="s">
        <v>3137</v>
      </c>
    </row>
    <row r="654" spans="1:8" s="8" customFormat="1">
      <c r="A654" s="13"/>
      <c r="B654" s="8" t="s">
        <v>4720</v>
      </c>
      <c r="C654" s="284">
        <v>390579</v>
      </c>
      <c r="D654" s="284">
        <v>0</v>
      </c>
      <c r="E654" s="284">
        <f t="shared" si="10"/>
        <v>44653452</v>
      </c>
      <c r="F654" s="8" t="s">
        <v>21</v>
      </c>
      <c r="G654" s="8" t="s">
        <v>187</v>
      </c>
    </row>
    <row r="655" spans="1:8" s="8" customFormat="1">
      <c r="A655" s="13"/>
      <c r="B655" s="8" t="s">
        <v>1735</v>
      </c>
      <c r="C655" s="284">
        <v>100000</v>
      </c>
      <c r="D655" s="284">
        <v>0</v>
      </c>
      <c r="E655" s="284">
        <f t="shared" si="10"/>
        <v>44553452</v>
      </c>
      <c r="F655" s="15" t="s">
        <v>19</v>
      </c>
      <c r="G655" s="15" t="s">
        <v>65</v>
      </c>
    </row>
    <row r="656" spans="1:8" s="8" customFormat="1">
      <c r="A656" s="13"/>
      <c r="B656" s="8" t="s">
        <v>4721</v>
      </c>
      <c r="C656" s="284">
        <v>1010350</v>
      </c>
      <c r="D656" s="284">
        <v>0</v>
      </c>
      <c r="E656" s="284">
        <f t="shared" si="10"/>
        <v>43543102</v>
      </c>
      <c r="F656" s="8" t="s">
        <v>1643</v>
      </c>
      <c r="G656" s="8" t="s">
        <v>5</v>
      </c>
      <c r="H656" s="8" t="s">
        <v>3440</v>
      </c>
    </row>
    <row r="657" spans="1:9" s="8" customFormat="1">
      <c r="A657" s="13"/>
      <c r="B657" s="8" t="s">
        <v>1725</v>
      </c>
      <c r="C657" s="284">
        <v>319714</v>
      </c>
      <c r="D657" s="284">
        <v>0</v>
      </c>
      <c r="E657" s="284">
        <f t="shared" si="10"/>
        <v>43223388</v>
      </c>
      <c r="F657" s="8" t="s">
        <v>8</v>
      </c>
      <c r="G657" s="15" t="s">
        <v>32</v>
      </c>
    </row>
    <row r="658" spans="1:9" s="8" customFormat="1">
      <c r="A658" s="13"/>
      <c r="B658" s="8" t="s">
        <v>4722</v>
      </c>
      <c r="C658" s="284">
        <v>369200</v>
      </c>
      <c r="D658" s="284">
        <v>0</v>
      </c>
      <c r="E658" s="284">
        <f t="shared" si="10"/>
        <v>42854188</v>
      </c>
      <c r="F658" s="8" t="s">
        <v>8</v>
      </c>
      <c r="G658" s="8" t="s">
        <v>14</v>
      </c>
      <c r="H658" s="8" t="s">
        <v>3137</v>
      </c>
    </row>
    <row r="659" spans="1:9" s="8" customFormat="1">
      <c r="A659" s="13"/>
      <c r="B659" s="8" t="s">
        <v>4723</v>
      </c>
      <c r="C659" s="284">
        <v>389030</v>
      </c>
      <c r="D659" s="284">
        <v>0</v>
      </c>
      <c r="E659" s="284">
        <f t="shared" si="10"/>
        <v>42465158</v>
      </c>
      <c r="F659" s="8" t="s">
        <v>8</v>
      </c>
      <c r="G659" s="8" t="s">
        <v>14</v>
      </c>
      <c r="H659" s="8" t="s">
        <v>3137</v>
      </c>
    </row>
    <row r="660" spans="1:9" s="8" customFormat="1">
      <c r="A660" s="13"/>
      <c r="B660" s="8" t="s">
        <v>4724</v>
      </c>
      <c r="C660" s="284">
        <v>2297347</v>
      </c>
      <c r="D660" s="284">
        <v>0</v>
      </c>
      <c r="E660" s="284">
        <f t="shared" si="10"/>
        <v>40167811</v>
      </c>
      <c r="F660" s="8" t="s">
        <v>1643</v>
      </c>
      <c r="G660" s="8" t="s">
        <v>5</v>
      </c>
      <c r="H660" s="8" t="s">
        <v>3440</v>
      </c>
    </row>
    <row r="661" spans="1:9" s="8" customFormat="1">
      <c r="A661" s="13"/>
      <c r="B661" s="8" t="s">
        <v>1650</v>
      </c>
      <c r="C661" s="284">
        <v>10000</v>
      </c>
      <c r="D661" s="284">
        <v>0</v>
      </c>
      <c r="E661" s="284">
        <f t="shared" si="10"/>
        <v>40157811</v>
      </c>
      <c r="F661" s="8" t="s">
        <v>19</v>
      </c>
      <c r="G661" s="8" t="s">
        <v>189</v>
      </c>
    </row>
    <row r="662" spans="1:9" s="8" customFormat="1">
      <c r="A662" s="13"/>
      <c r="B662" s="8" t="s">
        <v>1732</v>
      </c>
      <c r="C662" s="284">
        <v>535930</v>
      </c>
      <c r="D662" s="284">
        <v>0</v>
      </c>
      <c r="E662" s="284">
        <f t="shared" si="10"/>
        <v>39621881</v>
      </c>
      <c r="F662" s="15" t="s">
        <v>19</v>
      </c>
      <c r="G662" s="15" t="s">
        <v>65</v>
      </c>
    </row>
    <row r="663" spans="1:9" s="8" customFormat="1">
      <c r="A663" s="13"/>
      <c r="B663" s="8" t="s">
        <v>4725</v>
      </c>
      <c r="C663" s="284">
        <v>705800</v>
      </c>
      <c r="D663" s="284">
        <v>0</v>
      </c>
      <c r="E663" s="284">
        <f t="shared" si="10"/>
        <v>38916081</v>
      </c>
      <c r="F663" s="8" t="s">
        <v>62</v>
      </c>
      <c r="G663" s="8" t="s">
        <v>70</v>
      </c>
      <c r="H663" s="8" t="s">
        <v>308</v>
      </c>
    </row>
    <row r="664" spans="1:9" s="8" customFormat="1">
      <c r="A664" s="13"/>
      <c r="B664" s="8" t="s">
        <v>4726</v>
      </c>
      <c r="C664" s="284">
        <v>1629000</v>
      </c>
      <c r="D664" s="284">
        <v>0</v>
      </c>
      <c r="E664" s="284">
        <f t="shared" si="10"/>
        <v>37287081</v>
      </c>
      <c r="F664" t="s">
        <v>1212</v>
      </c>
      <c r="G664" t="s">
        <v>367</v>
      </c>
      <c r="H664" t="s">
        <v>3020</v>
      </c>
    </row>
    <row r="665" spans="1:9" s="8" customFormat="1">
      <c r="A665" s="13"/>
      <c r="B665" s="8" t="s">
        <v>4727</v>
      </c>
      <c r="C665" s="284">
        <v>3849000</v>
      </c>
      <c r="D665" s="284">
        <v>0</v>
      </c>
      <c r="E665" s="284">
        <f t="shared" si="10"/>
        <v>33438081</v>
      </c>
      <c r="F665" t="s">
        <v>1212</v>
      </c>
      <c r="G665" t="s">
        <v>367</v>
      </c>
      <c r="H665" t="s">
        <v>3020</v>
      </c>
    </row>
    <row r="666" spans="1:9" s="8" customFormat="1">
      <c r="A666" s="13"/>
      <c r="B666" s="8" t="s">
        <v>4728</v>
      </c>
      <c r="C666" s="284">
        <v>408133</v>
      </c>
      <c r="D666" s="284">
        <v>0</v>
      </c>
      <c r="E666" s="284">
        <f t="shared" si="10"/>
        <v>33029948</v>
      </c>
      <c r="F666" s="8" t="s">
        <v>1643</v>
      </c>
      <c r="G666" s="8" t="s">
        <v>5</v>
      </c>
      <c r="H666" s="8" t="s">
        <v>3280</v>
      </c>
    </row>
    <row r="667" spans="1:9" s="8" customFormat="1">
      <c r="A667" s="13"/>
      <c r="B667" s="8" t="s">
        <v>4729</v>
      </c>
      <c r="C667" s="284">
        <v>2133141</v>
      </c>
      <c r="D667" s="284">
        <v>0</v>
      </c>
      <c r="E667" s="284">
        <f t="shared" si="10"/>
        <v>30896807</v>
      </c>
      <c r="F667" s="8" t="s">
        <v>1643</v>
      </c>
      <c r="G667" s="8" t="s">
        <v>5</v>
      </c>
      <c r="H667" s="8" t="s">
        <v>3280</v>
      </c>
    </row>
    <row r="668" spans="1:9" s="8" customFormat="1">
      <c r="A668" s="13"/>
      <c r="B668" s="8" t="s">
        <v>4730</v>
      </c>
      <c r="C668" s="284">
        <v>3189109</v>
      </c>
      <c r="D668" s="284">
        <v>0</v>
      </c>
      <c r="E668" s="284">
        <f t="shared" si="10"/>
        <v>27707698</v>
      </c>
      <c r="F668" s="8" t="s">
        <v>1643</v>
      </c>
      <c r="G668" s="8" t="s">
        <v>5</v>
      </c>
      <c r="H668" s="8" t="s">
        <v>3280</v>
      </c>
    </row>
    <row r="669" spans="1:9" s="8" customFormat="1">
      <c r="A669" s="13"/>
      <c r="B669" s="8" t="s">
        <v>4731</v>
      </c>
      <c r="C669" s="284">
        <v>1308000</v>
      </c>
      <c r="D669" s="284">
        <v>0</v>
      </c>
      <c r="E669" s="284">
        <f t="shared" si="10"/>
        <v>26399698</v>
      </c>
      <c r="F669" s="8" t="s">
        <v>10</v>
      </c>
      <c r="G669" s="8" t="s">
        <v>446</v>
      </c>
      <c r="H669" s="8" t="s">
        <v>3475</v>
      </c>
      <c r="I669" s="8" t="s">
        <v>26</v>
      </c>
    </row>
    <row r="670" spans="1:9" s="8" customFormat="1">
      <c r="A670" s="13"/>
      <c r="B670" s="8" t="s">
        <v>4732</v>
      </c>
      <c r="C670" s="284">
        <v>368679</v>
      </c>
      <c r="D670" s="284">
        <v>0</v>
      </c>
      <c r="E670" s="284">
        <f t="shared" si="10"/>
        <v>26031019</v>
      </c>
      <c r="F670" s="8" t="s">
        <v>1643</v>
      </c>
      <c r="G670" s="8" t="s">
        <v>5</v>
      </c>
      <c r="H670" s="8" t="s">
        <v>3232</v>
      </c>
    </row>
    <row r="671" spans="1:9" s="8" customFormat="1">
      <c r="A671" s="13"/>
      <c r="B671" s="8" t="s">
        <v>4733</v>
      </c>
      <c r="C671" s="284">
        <v>368679</v>
      </c>
      <c r="D671" s="284">
        <v>0</v>
      </c>
      <c r="E671" s="284">
        <f t="shared" si="10"/>
        <v>25662340</v>
      </c>
      <c r="F671" s="8" t="s">
        <v>1643</v>
      </c>
      <c r="G671" s="8" t="s">
        <v>5</v>
      </c>
      <c r="H671" s="8" t="s">
        <v>3232</v>
      </c>
    </row>
    <row r="672" spans="1:9" s="8" customFormat="1">
      <c r="A672" s="13"/>
      <c r="B672" s="8" t="s">
        <v>4734</v>
      </c>
      <c r="C672" s="284">
        <v>1615000</v>
      </c>
      <c r="D672" s="284">
        <v>0</v>
      </c>
      <c r="E672" s="284">
        <f t="shared" si="10"/>
        <v>24047340</v>
      </c>
      <c r="F672" s="8" t="s">
        <v>1643</v>
      </c>
      <c r="G672" s="8" t="s">
        <v>5</v>
      </c>
      <c r="H672" s="8" t="s">
        <v>3232</v>
      </c>
    </row>
    <row r="673" spans="1:9" s="8" customFormat="1">
      <c r="A673" s="13"/>
      <c r="B673" s="8" t="s">
        <v>4735</v>
      </c>
      <c r="C673" s="284">
        <v>100000</v>
      </c>
      <c r="D673" s="284">
        <v>0</v>
      </c>
      <c r="E673" s="284">
        <f t="shared" si="10"/>
        <v>23947340</v>
      </c>
      <c r="F673" s="8" t="s">
        <v>8</v>
      </c>
      <c r="G673" s="8" t="s">
        <v>32</v>
      </c>
      <c r="H673" s="8" t="s">
        <v>308</v>
      </c>
    </row>
    <row r="674" spans="1:9" s="8" customFormat="1">
      <c r="A674" s="13"/>
      <c r="B674" s="8" t="s">
        <v>4736</v>
      </c>
      <c r="C674" s="284">
        <v>1567500</v>
      </c>
      <c r="D674" s="284">
        <v>0</v>
      </c>
      <c r="E674" s="284">
        <f t="shared" si="10"/>
        <v>22379840</v>
      </c>
      <c r="F674" s="8" t="s">
        <v>10</v>
      </c>
      <c r="G674" s="8" t="s">
        <v>446</v>
      </c>
      <c r="H674" s="8" t="s">
        <v>3474</v>
      </c>
      <c r="I674" s="8" t="s">
        <v>26</v>
      </c>
    </row>
    <row r="675" spans="1:9" s="8" customFormat="1">
      <c r="A675" s="13"/>
      <c r="B675" s="8" t="s">
        <v>4737</v>
      </c>
      <c r="C675" s="284">
        <v>1567500</v>
      </c>
      <c r="D675" s="284">
        <v>0</v>
      </c>
      <c r="E675" s="284">
        <f t="shared" si="10"/>
        <v>20812340</v>
      </c>
      <c r="F675" s="15" t="s">
        <v>10</v>
      </c>
      <c r="G675" s="15" t="s">
        <v>446</v>
      </c>
      <c r="H675" s="8" t="s">
        <v>3283</v>
      </c>
      <c r="I675" s="8" t="s">
        <v>26</v>
      </c>
    </row>
    <row r="676" spans="1:9" s="8" customFormat="1">
      <c r="A676" s="13"/>
      <c r="B676" s="8" t="s">
        <v>4738</v>
      </c>
      <c r="C676" s="284">
        <v>1478080</v>
      </c>
      <c r="D676" s="284">
        <v>0</v>
      </c>
      <c r="E676" s="284">
        <f t="shared" si="10"/>
        <v>19334260</v>
      </c>
      <c r="F676" s="15" t="s">
        <v>10</v>
      </c>
      <c r="G676" s="15" t="s">
        <v>446</v>
      </c>
      <c r="H676" s="8" t="s">
        <v>3283</v>
      </c>
      <c r="I676" s="8" t="s">
        <v>26</v>
      </c>
    </row>
    <row r="677" spans="1:9" s="8" customFormat="1">
      <c r="A677" s="13"/>
      <c r="B677" s="8" t="s">
        <v>4739</v>
      </c>
      <c r="C677" s="284">
        <v>1310203</v>
      </c>
      <c r="D677" s="284">
        <v>0</v>
      </c>
      <c r="E677" s="284">
        <f t="shared" si="10"/>
        <v>18024057</v>
      </c>
      <c r="F677" s="8" t="s">
        <v>10</v>
      </c>
      <c r="G677" s="8" t="s">
        <v>446</v>
      </c>
      <c r="H677" s="8" t="s">
        <v>3474</v>
      </c>
      <c r="I677" s="8" t="s">
        <v>26</v>
      </c>
    </row>
    <row r="678" spans="1:9" s="8" customFormat="1">
      <c r="A678" s="13"/>
      <c r="B678" s="8" t="s">
        <v>4739</v>
      </c>
      <c r="C678" s="284">
        <v>2607260</v>
      </c>
      <c r="D678" s="284">
        <v>0</v>
      </c>
      <c r="E678" s="284">
        <f t="shared" si="10"/>
        <v>15416797</v>
      </c>
      <c r="F678" s="8" t="s">
        <v>10</v>
      </c>
      <c r="G678" s="8" t="s">
        <v>446</v>
      </c>
      <c r="H678" s="8" t="s">
        <v>3474</v>
      </c>
      <c r="I678" s="8" t="s">
        <v>26</v>
      </c>
    </row>
    <row r="679" spans="1:9" s="8" customFormat="1">
      <c r="A679" s="13"/>
      <c r="B679" s="8" t="s">
        <v>4739</v>
      </c>
      <c r="C679" s="284">
        <v>2800654</v>
      </c>
      <c r="D679" s="284">
        <v>0</v>
      </c>
      <c r="E679" s="284">
        <f t="shared" si="10"/>
        <v>12616143</v>
      </c>
      <c r="F679" s="8" t="s">
        <v>10</v>
      </c>
      <c r="G679" s="8" t="s">
        <v>446</v>
      </c>
      <c r="H679" s="8" t="s">
        <v>3474</v>
      </c>
      <c r="I679" s="8" t="s">
        <v>26</v>
      </c>
    </row>
    <row r="680" spans="1:9" s="8" customFormat="1">
      <c r="A680" s="13"/>
      <c r="B680" s="8" t="s">
        <v>4740</v>
      </c>
      <c r="C680" s="284">
        <v>2007350</v>
      </c>
      <c r="D680" s="284">
        <v>0</v>
      </c>
      <c r="E680" s="284">
        <f t="shared" si="10"/>
        <v>10608793</v>
      </c>
      <c r="F680" t="s">
        <v>1212</v>
      </c>
      <c r="G680" t="s">
        <v>367</v>
      </c>
      <c r="H680" t="s">
        <v>3020</v>
      </c>
    </row>
    <row r="681" spans="1:9" s="8" customFormat="1">
      <c r="A681" s="13"/>
      <c r="B681" s="8" t="s">
        <v>4740</v>
      </c>
      <c r="C681" s="284">
        <v>742815</v>
      </c>
      <c r="D681" s="284">
        <v>0</v>
      </c>
      <c r="E681" s="284">
        <f t="shared" si="10"/>
        <v>9865978</v>
      </c>
      <c r="F681" t="s">
        <v>1212</v>
      </c>
      <c r="G681" t="s">
        <v>367</v>
      </c>
      <c r="H681" t="s">
        <v>3020</v>
      </c>
    </row>
    <row r="682" spans="1:9" s="8" customFormat="1">
      <c r="A682" s="13"/>
      <c r="B682" s="8" t="s">
        <v>1735</v>
      </c>
      <c r="C682" s="284">
        <v>100000</v>
      </c>
      <c r="D682" s="284">
        <v>0</v>
      </c>
      <c r="E682" s="284">
        <f t="shared" si="10"/>
        <v>9765978</v>
      </c>
      <c r="F682" s="15" t="s">
        <v>19</v>
      </c>
      <c r="G682" s="15" t="s">
        <v>65</v>
      </c>
    </row>
    <row r="683" spans="1:9" s="8" customFormat="1">
      <c r="A683" s="13"/>
      <c r="B683" s="8" t="s">
        <v>4741</v>
      </c>
      <c r="C683" s="284">
        <v>699500</v>
      </c>
      <c r="D683" s="284">
        <v>0</v>
      </c>
      <c r="E683" s="284">
        <f t="shared" si="10"/>
        <v>9066478</v>
      </c>
      <c r="F683" s="8" t="s">
        <v>1643</v>
      </c>
      <c r="G683" s="8" t="s">
        <v>5</v>
      </c>
      <c r="H683" s="8" t="s">
        <v>3440</v>
      </c>
    </row>
    <row r="684" spans="1:9" s="8" customFormat="1">
      <c r="A684" s="13">
        <v>45960</v>
      </c>
      <c r="B684" s="8" t="s">
        <v>4742</v>
      </c>
      <c r="C684" s="284">
        <v>325690</v>
      </c>
      <c r="D684" s="284">
        <v>0</v>
      </c>
      <c r="E684" s="284">
        <f t="shared" si="10"/>
        <v>8740788</v>
      </c>
      <c r="F684" s="8" t="s">
        <v>8</v>
      </c>
      <c r="G684" s="8" t="s">
        <v>14</v>
      </c>
      <c r="H684" s="8" t="s">
        <v>314</v>
      </c>
    </row>
    <row r="685" spans="1:9" s="8" customFormat="1">
      <c r="A685" s="13">
        <v>45960</v>
      </c>
      <c r="B685" s="8" t="s">
        <v>4743</v>
      </c>
      <c r="C685" s="284">
        <v>1356600</v>
      </c>
      <c r="D685" s="284">
        <v>0</v>
      </c>
      <c r="E685" s="284">
        <f t="shared" si="10"/>
        <v>7384188</v>
      </c>
      <c r="F685" s="8" t="s">
        <v>10</v>
      </c>
      <c r="G685" s="8" t="s">
        <v>446</v>
      </c>
      <c r="H685" s="8" t="s">
        <v>2318</v>
      </c>
      <c r="I685" s="8" t="s">
        <v>26</v>
      </c>
    </row>
    <row r="686" spans="1:9" s="8" customFormat="1">
      <c r="A686" s="13">
        <v>45960</v>
      </c>
      <c r="B686" s="8" t="s">
        <v>4744</v>
      </c>
      <c r="C686" s="284">
        <v>1719998</v>
      </c>
      <c r="D686" s="284">
        <v>0</v>
      </c>
      <c r="E686" s="284">
        <f t="shared" si="10"/>
        <v>5664190</v>
      </c>
      <c r="F686" s="15" t="s">
        <v>10</v>
      </c>
      <c r="G686" s="15" t="s">
        <v>446</v>
      </c>
      <c r="H686" s="8" t="s">
        <v>3283</v>
      </c>
      <c r="I686" s="8" t="s">
        <v>26</v>
      </c>
    </row>
    <row r="687" spans="1:9" s="8" customFormat="1">
      <c r="A687" s="13">
        <v>45982</v>
      </c>
      <c r="B687" s="8" t="s">
        <v>4745</v>
      </c>
      <c r="C687" s="284">
        <v>1488000</v>
      </c>
      <c r="D687" s="284">
        <v>0</v>
      </c>
      <c r="E687" s="284">
        <f t="shared" si="10"/>
        <v>4176190</v>
      </c>
      <c r="F687" s="15" t="s">
        <v>10</v>
      </c>
      <c r="G687" s="15" t="s">
        <v>446</v>
      </c>
      <c r="H687" s="8" t="s">
        <v>3283</v>
      </c>
      <c r="I687" s="8" t="s">
        <v>26</v>
      </c>
    </row>
    <row r="688" spans="1:9" s="8" customFormat="1">
      <c r="A688" s="13">
        <v>45982</v>
      </c>
      <c r="B688" s="8" t="s">
        <v>4746</v>
      </c>
      <c r="C688" s="284">
        <v>770400</v>
      </c>
      <c r="D688" s="284">
        <v>0</v>
      </c>
      <c r="E688" s="284">
        <f t="shared" si="10"/>
        <v>3405790</v>
      </c>
      <c r="F688" s="15" t="s">
        <v>10</v>
      </c>
      <c r="G688" s="15" t="s">
        <v>446</v>
      </c>
      <c r="H688" s="8" t="s">
        <v>3283</v>
      </c>
      <c r="I688" s="8" t="s">
        <v>26</v>
      </c>
    </row>
    <row r="689" spans="1:9" s="8" customFormat="1">
      <c r="A689" s="13"/>
      <c r="B689" s="8" t="s">
        <v>4747</v>
      </c>
      <c r="C689" s="284">
        <v>911842</v>
      </c>
      <c r="D689" s="284">
        <v>0</v>
      </c>
      <c r="E689" s="284">
        <f t="shared" si="10"/>
        <v>2493948</v>
      </c>
      <c r="F689" s="15" t="s">
        <v>10</v>
      </c>
      <c r="G689" s="15" t="s">
        <v>446</v>
      </c>
      <c r="H689" s="8" t="s">
        <v>3283</v>
      </c>
      <c r="I689" s="8" t="s">
        <v>26</v>
      </c>
    </row>
    <row r="690" spans="1:9" s="8" customFormat="1">
      <c r="A690" s="13"/>
      <c r="B690" s="8" t="s">
        <v>4748</v>
      </c>
      <c r="C690" s="284">
        <v>295000</v>
      </c>
      <c r="D690" s="284">
        <v>0</v>
      </c>
      <c r="E690" s="284">
        <f t="shared" si="10"/>
        <v>2198948</v>
      </c>
      <c r="F690" s="8" t="s">
        <v>1643</v>
      </c>
      <c r="G690" s="8" t="s">
        <v>5</v>
      </c>
      <c r="H690" s="8" t="s">
        <v>1634</v>
      </c>
    </row>
    <row r="691" spans="1:9" s="8" customFormat="1">
      <c r="A691" s="13"/>
      <c r="B691" s="8" t="s">
        <v>4748</v>
      </c>
      <c r="C691" s="284">
        <v>700000</v>
      </c>
      <c r="D691" s="284">
        <v>0</v>
      </c>
      <c r="E691" s="284">
        <f t="shared" si="10"/>
        <v>1498948</v>
      </c>
      <c r="F691" s="8" t="s">
        <v>1643</v>
      </c>
      <c r="G691" s="8" t="s">
        <v>5</v>
      </c>
      <c r="H691" s="8" t="s">
        <v>1634</v>
      </c>
    </row>
    <row r="692" spans="1:9" s="8" customFormat="1">
      <c r="A692" s="13"/>
      <c r="B692" s="8" t="s">
        <v>3285</v>
      </c>
      <c r="C692" s="284">
        <v>1498948</v>
      </c>
      <c r="D692" s="284">
        <v>0</v>
      </c>
      <c r="E692" s="284">
        <f t="shared" si="10"/>
        <v>0</v>
      </c>
      <c r="F692" s="15" t="s">
        <v>19</v>
      </c>
      <c r="G692" s="15" t="s">
        <v>65</v>
      </c>
    </row>
    <row r="693" spans="1:9" s="8" customFormat="1">
      <c r="A693" s="13">
        <v>45960</v>
      </c>
      <c r="B693" s="8" t="s">
        <v>4019</v>
      </c>
      <c r="C693" s="284">
        <v>0</v>
      </c>
      <c r="D693" s="284">
        <v>87280902</v>
      </c>
      <c r="E693" s="284">
        <f t="shared" si="10"/>
        <v>87280902</v>
      </c>
      <c r="F693" s="8" t="s">
        <v>920</v>
      </c>
      <c r="G693" s="8" t="s">
        <v>352</v>
      </c>
      <c r="H693" s="8" t="s">
        <v>6471</v>
      </c>
    </row>
    <row r="694" spans="1:9" s="8" customFormat="1">
      <c r="A694" s="13">
        <v>45960</v>
      </c>
      <c r="B694" s="8" t="s">
        <v>4020</v>
      </c>
      <c r="C694" s="284">
        <v>0</v>
      </c>
      <c r="D694" s="284">
        <v>15827603</v>
      </c>
      <c r="E694" s="284">
        <f t="shared" si="10"/>
        <v>103108505</v>
      </c>
      <c r="F694" s="8" t="s">
        <v>920</v>
      </c>
      <c r="G694" s="8" t="s">
        <v>352</v>
      </c>
      <c r="H694" s="8" t="s">
        <v>6471</v>
      </c>
    </row>
    <row r="695" spans="1:9" s="8" customFormat="1">
      <c r="A695" s="13">
        <v>45960</v>
      </c>
      <c r="B695" s="8" t="s">
        <v>4021</v>
      </c>
      <c r="C695" s="284">
        <v>0</v>
      </c>
      <c r="D695" s="284">
        <v>289330</v>
      </c>
      <c r="E695" s="284">
        <f t="shared" si="10"/>
        <v>103397835</v>
      </c>
      <c r="F695" s="8" t="s">
        <v>920</v>
      </c>
      <c r="G695" s="8" t="s">
        <v>352</v>
      </c>
      <c r="H695" s="8" t="s">
        <v>6471</v>
      </c>
    </row>
    <row r="696" spans="1:9" s="8" customFormat="1">
      <c r="A696" s="13"/>
      <c r="B696" s="8" t="s">
        <v>4749</v>
      </c>
      <c r="C696" s="284">
        <v>362000</v>
      </c>
      <c r="D696" s="284">
        <v>0</v>
      </c>
      <c r="E696" s="284">
        <f t="shared" si="10"/>
        <v>103035835</v>
      </c>
      <c r="F696" s="8" t="s">
        <v>8</v>
      </c>
      <c r="G696" s="8" t="s">
        <v>14</v>
      </c>
      <c r="H696" s="8" t="s">
        <v>3137</v>
      </c>
    </row>
    <row r="697" spans="1:9" s="8" customFormat="1">
      <c r="A697" s="13"/>
      <c r="B697" s="8" t="s">
        <v>4750</v>
      </c>
      <c r="C697" s="284">
        <v>100000</v>
      </c>
      <c r="D697" s="284">
        <v>0</v>
      </c>
      <c r="E697" s="284">
        <f t="shared" si="10"/>
        <v>102935835</v>
      </c>
      <c r="F697" s="8" t="s">
        <v>8</v>
      </c>
      <c r="G697" s="8" t="s">
        <v>78</v>
      </c>
      <c r="H697" s="8" t="s">
        <v>3137</v>
      </c>
    </row>
    <row r="698" spans="1:9" s="8" customFormat="1">
      <c r="A698" s="13"/>
      <c r="B698" s="8" t="s">
        <v>4751</v>
      </c>
      <c r="C698" s="284">
        <v>387920</v>
      </c>
      <c r="D698" s="284">
        <v>0</v>
      </c>
      <c r="E698" s="284">
        <f t="shared" si="10"/>
        <v>102547915</v>
      </c>
      <c r="F698" s="8" t="s">
        <v>8</v>
      </c>
      <c r="G698" s="8" t="s">
        <v>14</v>
      </c>
      <c r="H698" s="8" t="s">
        <v>3137</v>
      </c>
    </row>
    <row r="699" spans="1:9" s="8" customFormat="1">
      <c r="A699" s="13"/>
      <c r="B699" s="8" t="s">
        <v>4752</v>
      </c>
      <c r="C699" s="284">
        <v>1699320</v>
      </c>
      <c r="D699" s="284">
        <v>0</v>
      </c>
      <c r="E699" s="284">
        <f t="shared" si="10"/>
        <v>100848595</v>
      </c>
      <c r="F699" t="s">
        <v>1212</v>
      </c>
      <c r="G699" t="s">
        <v>367</v>
      </c>
      <c r="H699" t="s">
        <v>3020</v>
      </c>
    </row>
    <row r="700" spans="1:9" s="8" customFormat="1">
      <c r="A700" s="13"/>
      <c r="B700" s="8" t="s">
        <v>4753</v>
      </c>
      <c r="C700" s="284">
        <v>261920</v>
      </c>
      <c r="D700" s="284">
        <v>0</v>
      </c>
      <c r="E700" s="284">
        <f t="shared" si="10"/>
        <v>100586675</v>
      </c>
      <c r="F700" s="8" t="s">
        <v>8</v>
      </c>
      <c r="G700" s="8" t="s">
        <v>14</v>
      </c>
      <c r="H700" s="8" t="s">
        <v>3137</v>
      </c>
    </row>
    <row r="701" spans="1:9" s="8" customFormat="1">
      <c r="A701" s="13"/>
      <c r="B701" s="8" t="s">
        <v>4754</v>
      </c>
      <c r="C701" s="284">
        <v>75000</v>
      </c>
      <c r="D701" s="284">
        <v>0</v>
      </c>
      <c r="E701" s="284">
        <f t="shared" si="10"/>
        <v>100511675</v>
      </c>
      <c r="F701" s="8" t="s">
        <v>1643</v>
      </c>
      <c r="G701" s="8" t="s">
        <v>5</v>
      </c>
      <c r="H701" s="8" t="s">
        <v>2320</v>
      </c>
    </row>
    <row r="702" spans="1:9" s="8" customFormat="1">
      <c r="A702" s="13"/>
      <c r="B702" s="8" t="s">
        <v>4755</v>
      </c>
      <c r="C702" s="284">
        <v>405800</v>
      </c>
      <c r="D702" s="284">
        <v>0</v>
      </c>
      <c r="E702" s="284">
        <f t="shared" si="10"/>
        <v>100105875</v>
      </c>
      <c r="F702" s="8" t="s">
        <v>8</v>
      </c>
      <c r="G702" s="8" t="s">
        <v>14</v>
      </c>
      <c r="H702" s="8" t="s">
        <v>3137</v>
      </c>
    </row>
    <row r="703" spans="1:9" s="8" customFormat="1">
      <c r="A703" s="13"/>
      <c r="B703" s="8" t="s">
        <v>4756</v>
      </c>
      <c r="C703" s="284">
        <v>467700</v>
      </c>
      <c r="D703" s="284">
        <v>0</v>
      </c>
      <c r="E703" s="284">
        <f t="shared" si="10"/>
        <v>99638175</v>
      </c>
      <c r="F703" s="8" t="s">
        <v>8</v>
      </c>
      <c r="G703" s="8" t="s">
        <v>181</v>
      </c>
    </row>
    <row r="704" spans="1:9" s="8" customFormat="1">
      <c r="A704" s="13"/>
      <c r="B704" s="8" t="s">
        <v>4757</v>
      </c>
      <c r="C704" s="284">
        <v>828600</v>
      </c>
      <c r="D704" s="284">
        <v>0</v>
      </c>
      <c r="E704" s="284">
        <f t="shared" si="10"/>
        <v>98809575</v>
      </c>
      <c r="F704" s="8" t="s">
        <v>62</v>
      </c>
      <c r="G704" s="8" t="s">
        <v>70</v>
      </c>
      <c r="H704" s="8" t="s">
        <v>2447</v>
      </c>
    </row>
    <row r="705" spans="1:8" s="8" customFormat="1">
      <c r="A705" s="13"/>
      <c r="B705" s="8" t="s">
        <v>4758</v>
      </c>
      <c r="C705" s="284">
        <v>1220600</v>
      </c>
      <c r="D705" s="284">
        <v>0</v>
      </c>
      <c r="E705" s="284">
        <f t="shared" si="10"/>
        <v>97588975</v>
      </c>
      <c r="F705" s="8" t="s">
        <v>62</v>
      </c>
      <c r="G705" s="8" t="s">
        <v>70</v>
      </c>
      <c r="H705" s="8" t="s">
        <v>2447</v>
      </c>
    </row>
    <row r="706" spans="1:8" s="8" customFormat="1">
      <c r="A706" s="13"/>
      <c r="B706" s="8" t="s">
        <v>4759</v>
      </c>
      <c r="C706" s="284">
        <v>407500</v>
      </c>
      <c r="D706" s="284">
        <v>0</v>
      </c>
      <c r="E706" s="284">
        <f t="shared" si="10"/>
        <v>97181475</v>
      </c>
      <c r="F706" s="8" t="s">
        <v>8</v>
      </c>
      <c r="G706" s="8" t="s">
        <v>14</v>
      </c>
      <c r="H706" s="8" t="s">
        <v>3137</v>
      </c>
    </row>
    <row r="707" spans="1:8" s="8" customFormat="1">
      <c r="A707" s="13"/>
      <c r="B707" s="8" t="s">
        <v>1724</v>
      </c>
      <c r="C707" s="284">
        <v>100000</v>
      </c>
      <c r="D707" s="284">
        <v>0</v>
      </c>
      <c r="E707" s="284">
        <f t="shared" si="10"/>
        <v>97081475</v>
      </c>
      <c r="F707" s="15" t="s">
        <v>19</v>
      </c>
      <c r="G707" s="15" t="s">
        <v>65</v>
      </c>
    </row>
    <row r="708" spans="1:8" s="8" customFormat="1">
      <c r="A708" s="13"/>
      <c r="B708" s="8" t="s">
        <v>4760</v>
      </c>
      <c r="C708" s="284">
        <v>325500</v>
      </c>
      <c r="D708" s="284">
        <v>0</v>
      </c>
      <c r="E708" s="284">
        <f t="shared" si="10"/>
        <v>96755975</v>
      </c>
      <c r="F708" s="8" t="s">
        <v>8</v>
      </c>
      <c r="G708" s="15" t="s">
        <v>32</v>
      </c>
    </row>
    <row r="709" spans="1:8" s="8" customFormat="1">
      <c r="A709" s="13"/>
      <c r="B709" s="8" t="s">
        <v>4761</v>
      </c>
      <c r="C709" s="284">
        <v>262110</v>
      </c>
      <c r="D709" s="284">
        <v>0</v>
      </c>
      <c r="E709" s="284">
        <f t="shared" si="10"/>
        <v>96493865</v>
      </c>
      <c r="F709" s="8" t="s">
        <v>8</v>
      </c>
      <c r="G709" s="8" t="s">
        <v>14</v>
      </c>
      <c r="H709" s="8" t="s">
        <v>3137</v>
      </c>
    </row>
    <row r="710" spans="1:8" s="8" customFormat="1">
      <c r="A710" s="13"/>
      <c r="B710" s="8" t="s">
        <v>4762</v>
      </c>
      <c r="C710" s="284">
        <v>179540</v>
      </c>
      <c r="D710" s="284">
        <v>0</v>
      </c>
      <c r="E710" s="284">
        <f t="shared" ref="E710:E773" si="11">E709-C710+D710</f>
        <v>96314325</v>
      </c>
      <c r="F710" s="8" t="s">
        <v>8</v>
      </c>
      <c r="G710" s="8" t="s">
        <v>14</v>
      </c>
      <c r="H710" s="8" t="s">
        <v>3137</v>
      </c>
    </row>
    <row r="711" spans="1:8" s="8" customFormat="1">
      <c r="A711" s="13"/>
      <c r="B711" s="8" t="s">
        <v>4763</v>
      </c>
      <c r="C711" s="284">
        <v>2490000</v>
      </c>
      <c r="D711" s="284">
        <v>0</v>
      </c>
      <c r="E711" s="284">
        <f t="shared" si="11"/>
        <v>93824325</v>
      </c>
      <c r="F711" s="8" t="s">
        <v>1643</v>
      </c>
      <c r="G711" s="8" t="s">
        <v>5</v>
      </c>
      <c r="H711" s="8" t="s">
        <v>4080</v>
      </c>
    </row>
    <row r="712" spans="1:8" s="8" customFormat="1">
      <c r="A712" s="13"/>
      <c r="B712" s="8" t="s">
        <v>4764</v>
      </c>
      <c r="C712" s="284">
        <v>372150</v>
      </c>
      <c r="D712" s="284">
        <v>0</v>
      </c>
      <c r="E712" s="284">
        <f t="shared" si="11"/>
        <v>93452175</v>
      </c>
      <c r="F712" s="8" t="s">
        <v>8</v>
      </c>
      <c r="G712" s="8" t="s">
        <v>14</v>
      </c>
      <c r="H712" s="8" t="s">
        <v>3137</v>
      </c>
    </row>
    <row r="713" spans="1:8" s="8" customFormat="1">
      <c r="A713" s="13"/>
      <c r="B713" s="8" t="s">
        <v>4765</v>
      </c>
      <c r="C713" s="284">
        <v>160000</v>
      </c>
      <c r="D713" s="284">
        <v>0</v>
      </c>
      <c r="E713" s="284">
        <f t="shared" si="11"/>
        <v>93292175</v>
      </c>
      <c r="F713" s="8" t="s">
        <v>1643</v>
      </c>
      <c r="G713" s="8" t="s">
        <v>5</v>
      </c>
      <c r="H713" s="8" t="s">
        <v>4080</v>
      </c>
    </row>
    <row r="714" spans="1:8" s="8" customFormat="1">
      <c r="A714" s="13"/>
      <c r="B714" s="8" t="s">
        <v>4766</v>
      </c>
      <c r="C714" s="284">
        <v>358200</v>
      </c>
      <c r="D714" s="284">
        <v>0</v>
      </c>
      <c r="E714" s="284">
        <f t="shared" si="11"/>
        <v>92933975</v>
      </c>
      <c r="F714" s="8" t="s">
        <v>1643</v>
      </c>
      <c r="G714" s="8" t="s">
        <v>5</v>
      </c>
      <c r="H714" s="8" t="s">
        <v>6576</v>
      </c>
    </row>
    <row r="715" spans="1:8" s="8" customFormat="1">
      <c r="A715" s="13"/>
      <c r="B715" s="8" t="s">
        <v>4767</v>
      </c>
      <c r="C715" s="284">
        <v>2319900</v>
      </c>
      <c r="D715" s="284">
        <v>0</v>
      </c>
      <c r="E715" s="284">
        <f t="shared" si="11"/>
        <v>90614075</v>
      </c>
      <c r="F715" s="8" t="s">
        <v>1643</v>
      </c>
      <c r="G715" s="8" t="s">
        <v>5</v>
      </c>
      <c r="H715" s="8" t="s">
        <v>6576</v>
      </c>
    </row>
    <row r="716" spans="1:8" s="8" customFormat="1">
      <c r="A716" s="13"/>
      <c r="B716" s="8" t="s">
        <v>4768</v>
      </c>
      <c r="C716" s="284">
        <v>2742000</v>
      </c>
      <c r="D716" s="284">
        <v>0</v>
      </c>
      <c r="E716" s="284">
        <f t="shared" si="11"/>
        <v>87872075</v>
      </c>
      <c r="F716" s="8" t="s">
        <v>1643</v>
      </c>
      <c r="G716" s="8" t="s">
        <v>5</v>
      </c>
      <c r="H716" s="8" t="s">
        <v>6576</v>
      </c>
    </row>
    <row r="717" spans="1:8" s="8" customFormat="1">
      <c r="A717" s="13"/>
      <c r="B717" s="8" t="s">
        <v>1731</v>
      </c>
      <c r="C717" s="284">
        <v>10000</v>
      </c>
      <c r="D717" s="284">
        <v>0</v>
      </c>
      <c r="E717" s="284">
        <f t="shared" si="11"/>
        <v>87862075</v>
      </c>
      <c r="F717" s="8" t="s">
        <v>19</v>
      </c>
      <c r="G717" s="8" t="s">
        <v>189</v>
      </c>
    </row>
    <row r="718" spans="1:8" s="8" customFormat="1">
      <c r="A718" s="13"/>
      <c r="B718" s="8" t="s">
        <v>1732</v>
      </c>
      <c r="C718" s="284">
        <v>291843</v>
      </c>
      <c r="D718" s="284">
        <v>0</v>
      </c>
      <c r="E718" s="284">
        <f t="shared" si="11"/>
        <v>87570232</v>
      </c>
      <c r="F718" s="15" t="s">
        <v>19</v>
      </c>
      <c r="G718" s="15" t="s">
        <v>65</v>
      </c>
    </row>
    <row r="719" spans="1:8" s="8" customFormat="1">
      <c r="A719" s="13"/>
      <c r="B719" s="8" t="s">
        <v>1724</v>
      </c>
      <c r="C719" s="284">
        <v>574</v>
      </c>
      <c r="D719" s="284">
        <v>0</v>
      </c>
      <c r="E719" s="284">
        <f t="shared" si="11"/>
        <v>87569658</v>
      </c>
      <c r="F719" s="15" t="s">
        <v>19</v>
      </c>
      <c r="G719" s="15" t="s">
        <v>65</v>
      </c>
    </row>
    <row r="720" spans="1:8" s="8" customFormat="1">
      <c r="A720" s="13"/>
      <c r="B720" s="8" t="s">
        <v>4769</v>
      </c>
      <c r="C720" s="284">
        <v>287500</v>
      </c>
      <c r="D720" s="284">
        <v>0</v>
      </c>
      <c r="E720" s="284">
        <f t="shared" si="11"/>
        <v>87282158</v>
      </c>
      <c r="F720" s="8" t="s">
        <v>62</v>
      </c>
      <c r="G720" s="8" t="s">
        <v>70</v>
      </c>
      <c r="H720" s="8" t="s">
        <v>308</v>
      </c>
    </row>
    <row r="721" spans="1:9" s="8" customFormat="1">
      <c r="A721" s="13"/>
      <c r="B721" s="8" t="s">
        <v>6360</v>
      </c>
      <c r="C721" s="284">
        <v>0</v>
      </c>
      <c r="D721" s="284">
        <v>1105829</v>
      </c>
      <c r="E721" s="284">
        <f t="shared" si="11"/>
        <v>88387987</v>
      </c>
      <c r="F721" s="8" t="s">
        <v>10</v>
      </c>
      <c r="G721" s="8" t="s">
        <v>446</v>
      </c>
      <c r="H721" s="8" t="s">
        <v>4093</v>
      </c>
    </row>
    <row r="722" spans="1:9" s="8" customFormat="1">
      <c r="A722" s="13"/>
      <c r="B722" s="8" t="s">
        <v>4770</v>
      </c>
      <c r="C722" s="284">
        <v>1256</v>
      </c>
      <c r="D722" s="284">
        <v>0</v>
      </c>
      <c r="E722" s="284">
        <f t="shared" si="11"/>
        <v>88386731</v>
      </c>
      <c r="F722" s="15" t="s">
        <v>19</v>
      </c>
      <c r="G722" s="15" t="s">
        <v>65</v>
      </c>
    </row>
    <row r="723" spans="1:9" s="8" customFormat="1">
      <c r="A723" s="13"/>
      <c r="B723" s="8" t="s">
        <v>4771</v>
      </c>
      <c r="C723" s="284">
        <v>1472434</v>
      </c>
      <c r="D723" s="284">
        <v>0</v>
      </c>
      <c r="E723" s="284">
        <f t="shared" si="11"/>
        <v>86914297</v>
      </c>
      <c r="F723" s="15" t="s">
        <v>10</v>
      </c>
      <c r="G723" s="15" t="s">
        <v>446</v>
      </c>
      <c r="H723" s="8" t="s">
        <v>3283</v>
      </c>
      <c r="I723" s="8" t="s">
        <v>26</v>
      </c>
    </row>
    <row r="724" spans="1:9" s="8" customFormat="1">
      <c r="A724" s="13"/>
      <c r="B724" s="8" t="s">
        <v>4772</v>
      </c>
      <c r="C724" s="284">
        <v>155150</v>
      </c>
      <c r="D724" s="284">
        <v>0</v>
      </c>
      <c r="E724" s="284">
        <f t="shared" si="11"/>
        <v>86759147</v>
      </c>
      <c r="F724" t="s">
        <v>1212</v>
      </c>
      <c r="G724" t="s">
        <v>367</v>
      </c>
      <c r="H724" t="s">
        <v>3020</v>
      </c>
    </row>
    <row r="725" spans="1:9" s="8" customFormat="1">
      <c r="A725" s="13"/>
      <c r="B725" s="8" t="s">
        <v>4773</v>
      </c>
      <c r="C725" s="284">
        <v>908800</v>
      </c>
      <c r="D725" s="284">
        <v>0</v>
      </c>
      <c r="E725" s="284">
        <f t="shared" si="11"/>
        <v>85850347</v>
      </c>
      <c r="F725" s="8" t="s">
        <v>10</v>
      </c>
      <c r="G725" s="8" t="s">
        <v>446</v>
      </c>
      <c r="H725" s="8" t="s">
        <v>3470</v>
      </c>
      <c r="I725" s="8" t="s">
        <v>26</v>
      </c>
    </row>
    <row r="726" spans="1:9" s="8" customFormat="1">
      <c r="A726" s="13"/>
      <c r="B726" s="8" t="s">
        <v>4774</v>
      </c>
      <c r="C726" s="284">
        <v>2429000</v>
      </c>
      <c r="D726" s="284">
        <v>0</v>
      </c>
      <c r="E726" s="284">
        <f t="shared" si="11"/>
        <v>83421347</v>
      </c>
      <c r="F726" t="s">
        <v>1212</v>
      </c>
      <c r="G726" t="s">
        <v>367</v>
      </c>
      <c r="H726" t="s">
        <v>3020</v>
      </c>
    </row>
    <row r="727" spans="1:9" s="8" customFormat="1">
      <c r="A727" s="13"/>
      <c r="B727" s="8" t="s">
        <v>4775</v>
      </c>
      <c r="C727" s="284">
        <v>95000</v>
      </c>
      <c r="D727" s="284">
        <v>0</v>
      </c>
      <c r="E727" s="284">
        <f t="shared" si="11"/>
        <v>83326347</v>
      </c>
      <c r="F727" s="8" t="s">
        <v>8</v>
      </c>
      <c r="G727" s="8" t="s">
        <v>32</v>
      </c>
      <c r="H727" s="8" t="s">
        <v>308</v>
      </c>
    </row>
    <row r="728" spans="1:9" s="8" customFormat="1">
      <c r="A728" s="13"/>
      <c r="B728" s="8" t="s">
        <v>4776</v>
      </c>
      <c r="C728" s="284">
        <v>22102000</v>
      </c>
      <c r="D728" s="284">
        <v>0</v>
      </c>
      <c r="E728" s="284">
        <f t="shared" si="11"/>
        <v>61224347</v>
      </c>
      <c r="F728" s="8" t="s">
        <v>10</v>
      </c>
      <c r="G728" s="8" t="s">
        <v>446</v>
      </c>
      <c r="H728" s="8" t="s">
        <v>3470</v>
      </c>
      <c r="I728" s="8" t="s">
        <v>26</v>
      </c>
    </row>
    <row r="729" spans="1:9" s="8" customFormat="1">
      <c r="A729" s="13"/>
      <c r="B729" s="8" t="s">
        <v>4777</v>
      </c>
      <c r="C729" s="284">
        <v>65500</v>
      </c>
      <c r="D729" s="284">
        <v>0</v>
      </c>
      <c r="E729" s="284">
        <f t="shared" si="11"/>
        <v>61158847</v>
      </c>
      <c r="F729" s="8" t="s">
        <v>10</v>
      </c>
      <c r="G729" s="8" t="s">
        <v>446</v>
      </c>
      <c r="H729" s="8" t="s">
        <v>3470</v>
      </c>
      <c r="I729" s="8" t="s">
        <v>26</v>
      </c>
    </row>
    <row r="730" spans="1:9" s="8" customFormat="1">
      <c r="A730" s="13"/>
      <c r="B730" s="8" t="s">
        <v>4778</v>
      </c>
      <c r="C730" s="284">
        <v>484014</v>
      </c>
      <c r="D730" s="284">
        <v>0</v>
      </c>
      <c r="E730" s="284">
        <f t="shared" si="11"/>
        <v>60674833</v>
      </c>
      <c r="F730" s="8" t="s">
        <v>10</v>
      </c>
      <c r="G730" s="8" t="s">
        <v>446</v>
      </c>
      <c r="H730" s="8" t="s">
        <v>3470</v>
      </c>
      <c r="I730" s="8" t="s">
        <v>26</v>
      </c>
    </row>
    <row r="731" spans="1:9" s="8" customFormat="1">
      <c r="A731" s="13"/>
      <c r="B731" s="8" t="s">
        <v>4779</v>
      </c>
      <c r="C731" s="284">
        <v>3127288</v>
      </c>
      <c r="D731" s="284">
        <v>0</v>
      </c>
      <c r="E731" s="284">
        <f t="shared" si="11"/>
        <v>57547545</v>
      </c>
      <c r="F731" s="15" t="s">
        <v>10</v>
      </c>
      <c r="G731" s="15" t="s">
        <v>446</v>
      </c>
      <c r="H731" s="8" t="s">
        <v>3283</v>
      </c>
      <c r="I731" s="8" t="s">
        <v>26</v>
      </c>
    </row>
    <row r="732" spans="1:9" s="8" customFormat="1">
      <c r="A732" s="13"/>
      <c r="B732" s="8" t="s">
        <v>4780</v>
      </c>
      <c r="C732" s="290">
        <v>1738000</v>
      </c>
      <c r="D732" s="290">
        <v>0</v>
      </c>
      <c r="E732" s="284">
        <f t="shared" si="11"/>
        <v>55809545</v>
      </c>
      <c r="F732" s="8" t="s">
        <v>1643</v>
      </c>
      <c r="G732" s="8" t="s">
        <v>5</v>
      </c>
      <c r="H732" s="8" t="s">
        <v>4696</v>
      </c>
      <c r="I732" s="8" t="s">
        <v>26</v>
      </c>
    </row>
    <row r="733" spans="1:9" s="8" customFormat="1">
      <c r="A733" s="13"/>
      <c r="B733" s="8" t="s">
        <v>4781</v>
      </c>
      <c r="C733" s="284">
        <v>241700</v>
      </c>
      <c r="D733" s="284">
        <v>0</v>
      </c>
      <c r="E733" s="284">
        <f t="shared" si="11"/>
        <v>55567845</v>
      </c>
      <c r="F733" s="8" t="s">
        <v>10</v>
      </c>
      <c r="G733" s="8" t="s">
        <v>446</v>
      </c>
      <c r="H733" s="8" t="s">
        <v>3470</v>
      </c>
      <c r="I733" s="8" t="s">
        <v>26</v>
      </c>
    </row>
    <row r="734" spans="1:9" s="8" customFormat="1">
      <c r="A734" s="13"/>
      <c r="B734" s="8" t="s">
        <v>4782</v>
      </c>
      <c r="C734" s="284">
        <v>489000</v>
      </c>
      <c r="D734" s="284">
        <v>0</v>
      </c>
      <c r="E734" s="284">
        <f t="shared" si="11"/>
        <v>55078845</v>
      </c>
      <c r="F734" s="8" t="s">
        <v>10</v>
      </c>
      <c r="G734" s="8" t="s">
        <v>446</v>
      </c>
      <c r="H734" s="8" t="s">
        <v>3470</v>
      </c>
      <c r="I734" s="8" t="s">
        <v>26</v>
      </c>
    </row>
    <row r="735" spans="1:9" s="8" customFormat="1">
      <c r="A735" s="13"/>
      <c r="B735" s="8" t="s">
        <v>4783</v>
      </c>
      <c r="C735" s="290">
        <v>1116577</v>
      </c>
      <c r="D735" s="290">
        <v>0</v>
      </c>
      <c r="E735" s="284">
        <f t="shared" si="11"/>
        <v>53962268</v>
      </c>
      <c r="F735" s="8" t="s">
        <v>1643</v>
      </c>
      <c r="G735" s="8" t="s">
        <v>5</v>
      </c>
      <c r="H735" s="8" t="s">
        <v>4696</v>
      </c>
      <c r="I735" s="8" t="s">
        <v>26</v>
      </c>
    </row>
    <row r="736" spans="1:9" s="8" customFormat="1">
      <c r="A736" s="13"/>
      <c r="B736" s="8" t="s">
        <v>4784</v>
      </c>
      <c r="C736" s="284">
        <v>35000</v>
      </c>
      <c r="D736" s="284">
        <v>0</v>
      </c>
      <c r="E736" s="284">
        <f t="shared" si="11"/>
        <v>53927268</v>
      </c>
      <c r="F736" s="8" t="s">
        <v>10</v>
      </c>
      <c r="G736" s="8" t="s">
        <v>446</v>
      </c>
      <c r="H736" s="8" t="s">
        <v>3470</v>
      </c>
      <c r="I736" s="8" t="s">
        <v>26</v>
      </c>
    </row>
    <row r="737" spans="1:9" s="8" customFormat="1">
      <c r="A737" s="13"/>
      <c r="B737" s="8" t="s">
        <v>4785</v>
      </c>
      <c r="C737" s="290">
        <v>607133</v>
      </c>
      <c r="D737" s="290">
        <v>0</v>
      </c>
      <c r="E737" s="284">
        <f t="shared" si="11"/>
        <v>53320135</v>
      </c>
      <c r="F737" s="8" t="s">
        <v>10</v>
      </c>
      <c r="G737" s="8" t="s">
        <v>446</v>
      </c>
      <c r="H737" s="8" t="s">
        <v>4087</v>
      </c>
      <c r="I737" s="8" t="s">
        <v>26</v>
      </c>
    </row>
    <row r="738" spans="1:9" s="8" customFormat="1">
      <c r="A738" s="13"/>
      <c r="B738" s="8" t="s">
        <v>4786</v>
      </c>
      <c r="C738" s="284">
        <v>1449964</v>
      </c>
      <c r="D738" s="284">
        <v>0</v>
      </c>
      <c r="E738" s="284">
        <f t="shared" si="11"/>
        <v>51870171</v>
      </c>
      <c r="F738" s="15" t="s">
        <v>10</v>
      </c>
      <c r="G738" s="15" t="s">
        <v>446</v>
      </c>
      <c r="H738" s="8" t="s">
        <v>3283</v>
      </c>
      <c r="I738" s="8" t="s">
        <v>26</v>
      </c>
    </row>
    <row r="739" spans="1:9" s="8" customFormat="1">
      <c r="A739" s="13"/>
      <c r="B739" s="8" t="s">
        <v>4787</v>
      </c>
      <c r="C739" s="284">
        <v>504960</v>
      </c>
      <c r="D739" s="284">
        <v>0</v>
      </c>
      <c r="E739" s="284">
        <f t="shared" si="11"/>
        <v>51365211</v>
      </c>
      <c r="F739" s="8" t="s">
        <v>10</v>
      </c>
      <c r="G739" s="8" t="s">
        <v>446</v>
      </c>
      <c r="H739" s="8" t="s">
        <v>4086</v>
      </c>
      <c r="I739" s="8" t="s">
        <v>26</v>
      </c>
    </row>
    <row r="740" spans="1:9" s="8" customFormat="1">
      <c r="A740" s="13"/>
      <c r="B740" s="8" t="s">
        <v>4788</v>
      </c>
      <c r="C740" s="290">
        <v>828830</v>
      </c>
      <c r="D740" s="290">
        <v>0</v>
      </c>
      <c r="E740" s="284">
        <f t="shared" si="11"/>
        <v>50536381</v>
      </c>
      <c r="F740" s="8" t="s">
        <v>10</v>
      </c>
      <c r="G740" s="8" t="s">
        <v>446</v>
      </c>
      <c r="H740" s="8" t="s">
        <v>4087</v>
      </c>
      <c r="I740" s="8" t="s">
        <v>26</v>
      </c>
    </row>
    <row r="741" spans="1:9" s="8" customFormat="1">
      <c r="A741" s="13"/>
      <c r="B741" s="8" t="s">
        <v>4789</v>
      </c>
      <c r="C741" s="290">
        <v>828830</v>
      </c>
      <c r="D741" s="290">
        <v>0</v>
      </c>
      <c r="E741" s="284">
        <f t="shared" si="11"/>
        <v>49707551</v>
      </c>
      <c r="F741" s="8" t="s">
        <v>10</v>
      </c>
      <c r="G741" s="8" t="s">
        <v>446</v>
      </c>
      <c r="H741" s="8" t="s">
        <v>4087</v>
      </c>
      <c r="I741" s="8" t="s">
        <v>26</v>
      </c>
    </row>
    <row r="742" spans="1:9" s="8" customFormat="1">
      <c r="A742" s="13"/>
      <c r="B742" s="8" t="s">
        <v>4790</v>
      </c>
      <c r="C742" s="290">
        <v>922432</v>
      </c>
      <c r="D742" s="290">
        <v>0</v>
      </c>
      <c r="E742" s="284">
        <f t="shared" si="11"/>
        <v>48785119</v>
      </c>
      <c r="F742" s="8" t="s">
        <v>10</v>
      </c>
      <c r="G742" s="8" t="s">
        <v>446</v>
      </c>
      <c r="H742" s="8" t="s">
        <v>4087</v>
      </c>
      <c r="I742" s="8" t="s">
        <v>26</v>
      </c>
    </row>
    <row r="743" spans="1:9" s="8" customFormat="1">
      <c r="A743" s="13"/>
      <c r="B743" s="8" t="s">
        <v>4791</v>
      </c>
      <c r="C743" s="284">
        <v>1980000</v>
      </c>
      <c r="D743" s="284">
        <v>0</v>
      </c>
      <c r="E743" s="284">
        <f t="shared" si="11"/>
        <v>46805119</v>
      </c>
      <c r="F743" s="8" t="s">
        <v>10</v>
      </c>
      <c r="G743" s="8" t="s">
        <v>446</v>
      </c>
      <c r="H743" s="8" t="s">
        <v>4085</v>
      </c>
      <c r="I743" s="8" t="s">
        <v>26</v>
      </c>
    </row>
    <row r="744" spans="1:9" s="8" customFormat="1">
      <c r="A744" s="13"/>
      <c r="B744" s="8" t="s">
        <v>4792</v>
      </c>
      <c r="C744" s="284">
        <v>1919000</v>
      </c>
      <c r="D744" s="284">
        <v>0</v>
      </c>
      <c r="E744" s="284">
        <f t="shared" si="11"/>
        <v>44886119</v>
      </c>
      <c r="F744" s="8" t="s">
        <v>10</v>
      </c>
      <c r="G744" s="8" t="s">
        <v>446</v>
      </c>
      <c r="H744" s="8" t="s">
        <v>4085</v>
      </c>
      <c r="I744" s="8" t="s">
        <v>26</v>
      </c>
    </row>
    <row r="745" spans="1:9" s="8" customFormat="1">
      <c r="A745" s="13"/>
      <c r="B745" s="8" t="s">
        <v>4793</v>
      </c>
      <c r="C745" s="284">
        <v>1919000</v>
      </c>
      <c r="D745" s="284">
        <v>0</v>
      </c>
      <c r="E745" s="284">
        <f t="shared" si="11"/>
        <v>42967119</v>
      </c>
      <c r="F745" s="8" t="s">
        <v>10</v>
      </c>
      <c r="G745" s="8" t="s">
        <v>446</v>
      </c>
      <c r="H745" s="8" t="s">
        <v>4085</v>
      </c>
      <c r="I745" s="8" t="s">
        <v>26</v>
      </c>
    </row>
    <row r="746" spans="1:9" s="8" customFormat="1">
      <c r="A746" s="13"/>
      <c r="B746" s="8" t="s">
        <v>4794</v>
      </c>
      <c r="C746" s="284">
        <v>3199160</v>
      </c>
      <c r="D746" s="284">
        <v>0</v>
      </c>
      <c r="E746" s="284">
        <f t="shared" si="11"/>
        <v>39767959</v>
      </c>
      <c r="F746" s="8" t="s">
        <v>1643</v>
      </c>
      <c r="G746" s="8" t="s">
        <v>5</v>
      </c>
      <c r="H746" s="8" t="s">
        <v>1634</v>
      </c>
    </row>
    <row r="747" spans="1:9" s="8" customFormat="1">
      <c r="A747" s="13"/>
      <c r="B747" s="8" t="s">
        <v>4795</v>
      </c>
      <c r="C747" s="290">
        <v>0</v>
      </c>
      <c r="D747" s="290">
        <v>215397</v>
      </c>
      <c r="E747" s="284">
        <f t="shared" si="11"/>
        <v>39983356</v>
      </c>
      <c r="F747" s="8" t="s">
        <v>10</v>
      </c>
      <c r="G747" s="8" t="s">
        <v>446</v>
      </c>
      <c r="H747" s="8" t="s">
        <v>4087</v>
      </c>
      <c r="I747" s="8" t="s">
        <v>26</v>
      </c>
    </row>
    <row r="748" spans="1:9" s="8" customFormat="1">
      <c r="A748" s="13"/>
      <c r="B748" s="8" t="s">
        <v>1735</v>
      </c>
      <c r="C748" s="284">
        <v>100000</v>
      </c>
      <c r="D748" s="284">
        <v>0</v>
      </c>
      <c r="E748" s="284">
        <f t="shared" si="11"/>
        <v>39883356</v>
      </c>
      <c r="F748" s="15" t="s">
        <v>19</v>
      </c>
      <c r="G748" s="15" t="s">
        <v>65</v>
      </c>
    </row>
    <row r="749" spans="1:9" s="8" customFormat="1">
      <c r="A749" s="13"/>
      <c r="B749" s="8" t="s">
        <v>4796</v>
      </c>
      <c r="C749" s="284">
        <v>632538</v>
      </c>
      <c r="D749" s="284">
        <v>0</v>
      </c>
      <c r="E749" s="284">
        <f t="shared" si="11"/>
        <v>39250818</v>
      </c>
      <c r="F749" s="8" t="s">
        <v>10</v>
      </c>
      <c r="G749" s="8" t="s">
        <v>446</v>
      </c>
      <c r="H749" s="8" t="s">
        <v>4085</v>
      </c>
      <c r="I749" s="8" t="s">
        <v>26</v>
      </c>
    </row>
    <row r="750" spans="1:9" s="8" customFormat="1">
      <c r="A750" s="13"/>
      <c r="B750" s="8" t="s">
        <v>4797</v>
      </c>
      <c r="C750" s="284">
        <v>859008</v>
      </c>
      <c r="D750" s="284">
        <v>0</v>
      </c>
      <c r="E750" s="284">
        <f t="shared" si="11"/>
        <v>38391810</v>
      </c>
      <c r="F750" s="8" t="s">
        <v>10</v>
      </c>
      <c r="G750" s="8" t="s">
        <v>446</v>
      </c>
      <c r="H750" s="8" t="s">
        <v>4085</v>
      </c>
      <c r="I750" s="8" t="s">
        <v>26</v>
      </c>
    </row>
    <row r="751" spans="1:9" s="8" customFormat="1">
      <c r="A751" s="13"/>
      <c r="B751" s="8" t="s">
        <v>4798</v>
      </c>
      <c r="C751" s="290">
        <v>1966931</v>
      </c>
      <c r="D751" s="290">
        <v>0</v>
      </c>
      <c r="E751" s="284">
        <f t="shared" si="11"/>
        <v>36424879</v>
      </c>
      <c r="F751" s="8" t="s">
        <v>10</v>
      </c>
      <c r="G751" s="8" t="s">
        <v>446</v>
      </c>
      <c r="H751" s="8" t="s">
        <v>4090</v>
      </c>
      <c r="I751" s="8" t="s">
        <v>26</v>
      </c>
    </row>
    <row r="752" spans="1:9" s="8" customFormat="1">
      <c r="A752" s="13"/>
      <c r="B752" s="8" t="s">
        <v>4799</v>
      </c>
      <c r="C752" s="284">
        <v>408325</v>
      </c>
      <c r="D752" s="284">
        <v>0</v>
      </c>
      <c r="E752" s="284">
        <f t="shared" si="11"/>
        <v>36016554</v>
      </c>
      <c r="F752" s="8" t="s">
        <v>21</v>
      </c>
      <c r="G752" s="8" t="s">
        <v>22</v>
      </c>
    </row>
    <row r="753" spans="1:9" s="8" customFormat="1">
      <c r="A753" s="13"/>
      <c r="B753" s="8" t="s">
        <v>4800</v>
      </c>
      <c r="C753" s="284">
        <v>419300</v>
      </c>
      <c r="D753" s="284">
        <v>0</v>
      </c>
      <c r="E753" s="284">
        <f t="shared" si="11"/>
        <v>35597254</v>
      </c>
      <c r="F753" s="8" t="s">
        <v>21</v>
      </c>
      <c r="G753" s="8" t="s">
        <v>22</v>
      </c>
    </row>
    <row r="754" spans="1:9" s="8" customFormat="1">
      <c r="A754" s="13"/>
      <c r="B754" s="8" t="s">
        <v>4801</v>
      </c>
      <c r="C754" s="290">
        <v>2174850</v>
      </c>
      <c r="D754" s="290">
        <v>0</v>
      </c>
      <c r="E754" s="284">
        <f t="shared" si="11"/>
        <v>33422404</v>
      </c>
      <c r="F754" s="8" t="s">
        <v>10</v>
      </c>
      <c r="G754" s="8" t="s">
        <v>446</v>
      </c>
      <c r="H754" s="8" t="s">
        <v>4090</v>
      </c>
      <c r="I754" s="8" t="s">
        <v>26</v>
      </c>
    </row>
    <row r="755" spans="1:9" s="8" customFormat="1">
      <c r="A755" s="13"/>
      <c r="B755" s="8" t="s">
        <v>4802</v>
      </c>
      <c r="C755" s="284">
        <v>2108000</v>
      </c>
      <c r="D755" s="284">
        <v>0</v>
      </c>
      <c r="E755" s="284">
        <f t="shared" si="11"/>
        <v>31314404</v>
      </c>
      <c r="F755" s="8" t="s">
        <v>10</v>
      </c>
      <c r="G755" s="8" t="s">
        <v>446</v>
      </c>
      <c r="H755" s="8" t="s">
        <v>4093</v>
      </c>
      <c r="I755" s="8" t="s">
        <v>26</v>
      </c>
    </row>
    <row r="756" spans="1:9" s="8" customFormat="1">
      <c r="A756" s="13"/>
      <c r="B756" s="8" t="s">
        <v>6359</v>
      </c>
      <c r="C756" s="290">
        <v>2128000</v>
      </c>
      <c r="D756" s="290">
        <v>0</v>
      </c>
      <c r="E756" s="284">
        <f t="shared" si="11"/>
        <v>29186404</v>
      </c>
      <c r="F756" s="8" t="s">
        <v>10</v>
      </c>
      <c r="G756" s="8" t="s">
        <v>446</v>
      </c>
      <c r="H756" s="8" t="s">
        <v>4093</v>
      </c>
    </row>
    <row r="757" spans="1:9" s="8" customFormat="1">
      <c r="A757" s="13"/>
      <c r="B757" s="8" t="s">
        <v>4803</v>
      </c>
      <c r="C757" s="284">
        <v>620078</v>
      </c>
      <c r="D757" s="284">
        <v>0</v>
      </c>
      <c r="E757" s="284">
        <f t="shared" si="11"/>
        <v>28566326</v>
      </c>
      <c r="F757" s="8" t="s">
        <v>10</v>
      </c>
      <c r="G757" s="8" t="s">
        <v>446</v>
      </c>
      <c r="H757" s="8" t="s">
        <v>4093</v>
      </c>
      <c r="I757" s="8" t="s">
        <v>26</v>
      </c>
    </row>
    <row r="758" spans="1:9" s="8" customFormat="1">
      <c r="A758" s="13"/>
      <c r="B758" s="8" t="s">
        <v>4804</v>
      </c>
      <c r="C758" s="284">
        <v>1489000</v>
      </c>
      <c r="D758" s="284">
        <v>0</v>
      </c>
      <c r="E758" s="284">
        <f t="shared" si="11"/>
        <v>27077326</v>
      </c>
      <c r="F758" s="8" t="s">
        <v>10</v>
      </c>
      <c r="G758" s="8" t="s">
        <v>446</v>
      </c>
      <c r="H758" s="8" t="s">
        <v>4093</v>
      </c>
      <c r="I758" s="8" t="s">
        <v>26</v>
      </c>
    </row>
    <row r="759" spans="1:9" s="8" customFormat="1">
      <c r="A759" s="13"/>
      <c r="B759" s="8" t="s">
        <v>4805</v>
      </c>
      <c r="C759" s="284">
        <v>1559000</v>
      </c>
      <c r="D759" s="284">
        <v>0</v>
      </c>
      <c r="E759" s="284">
        <f t="shared" si="11"/>
        <v>25518326</v>
      </c>
      <c r="F759" s="8" t="s">
        <v>10</v>
      </c>
      <c r="G759" s="8" t="s">
        <v>446</v>
      </c>
      <c r="H759" s="8" t="s">
        <v>4093</v>
      </c>
      <c r="I759" s="8" t="s">
        <v>26</v>
      </c>
    </row>
    <row r="760" spans="1:9" s="8" customFormat="1">
      <c r="A760" s="13"/>
      <c r="B760" s="8" t="s">
        <v>4806</v>
      </c>
      <c r="C760" s="284">
        <v>1306289</v>
      </c>
      <c r="D760" s="284">
        <v>0</v>
      </c>
      <c r="E760" s="284">
        <f t="shared" si="11"/>
        <v>24212037</v>
      </c>
      <c r="F760" s="15" t="s">
        <v>10</v>
      </c>
      <c r="G760" s="15" t="s">
        <v>446</v>
      </c>
      <c r="H760" s="8" t="s">
        <v>3283</v>
      </c>
      <c r="I760" s="8" t="s">
        <v>277</v>
      </c>
    </row>
    <row r="761" spans="1:9" s="8" customFormat="1">
      <c r="A761" s="13"/>
      <c r="B761" s="8" t="s">
        <v>4807</v>
      </c>
      <c r="C761" s="284">
        <v>1479000</v>
      </c>
      <c r="D761" s="284">
        <v>0</v>
      </c>
      <c r="E761" s="284">
        <f t="shared" si="11"/>
        <v>22733037</v>
      </c>
      <c r="F761" s="8" t="s">
        <v>21</v>
      </c>
      <c r="G761" s="8" t="s">
        <v>187</v>
      </c>
    </row>
    <row r="762" spans="1:9" s="8" customFormat="1">
      <c r="A762" s="13"/>
      <c r="B762" s="8" t="s">
        <v>4808</v>
      </c>
      <c r="C762" s="284">
        <v>1253256</v>
      </c>
      <c r="D762" s="284">
        <v>0</v>
      </c>
      <c r="E762" s="284">
        <f t="shared" si="11"/>
        <v>21479781</v>
      </c>
      <c r="F762" s="8" t="s">
        <v>1643</v>
      </c>
      <c r="G762" s="8" t="s">
        <v>5</v>
      </c>
      <c r="H762" s="8" t="s">
        <v>6576</v>
      </c>
    </row>
    <row r="763" spans="1:9" s="8" customFormat="1">
      <c r="A763" s="13"/>
      <c r="B763" s="8" t="s">
        <v>4809</v>
      </c>
      <c r="C763" s="284">
        <v>1715940</v>
      </c>
      <c r="D763" s="284">
        <v>0</v>
      </c>
      <c r="E763" s="284">
        <f t="shared" si="11"/>
        <v>19763841</v>
      </c>
      <c r="F763" s="8" t="s">
        <v>1643</v>
      </c>
      <c r="G763" s="8" t="s">
        <v>5</v>
      </c>
      <c r="H763" s="8" t="s">
        <v>6576</v>
      </c>
    </row>
    <row r="764" spans="1:9" s="8" customFormat="1">
      <c r="A764" s="13"/>
      <c r="B764" s="8" t="s">
        <v>4810</v>
      </c>
      <c r="C764" s="284">
        <v>2644432</v>
      </c>
      <c r="D764" s="284">
        <v>0</v>
      </c>
      <c r="E764" s="284">
        <f t="shared" si="11"/>
        <v>17119409</v>
      </c>
      <c r="F764" s="8" t="s">
        <v>1643</v>
      </c>
      <c r="G764" s="8" t="s">
        <v>5</v>
      </c>
      <c r="H764" s="8" t="s">
        <v>6576</v>
      </c>
    </row>
    <row r="765" spans="1:9" s="8" customFormat="1">
      <c r="A765" s="13"/>
      <c r="B765" s="8" t="s">
        <v>4811</v>
      </c>
      <c r="C765" s="284">
        <v>501900</v>
      </c>
      <c r="D765" s="284">
        <v>0</v>
      </c>
      <c r="E765" s="284">
        <f t="shared" si="11"/>
        <v>16617509</v>
      </c>
      <c r="F765" s="8" t="s">
        <v>1643</v>
      </c>
      <c r="G765" s="8" t="s">
        <v>5</v>
      </c>
      <c r="H765" s="8" t="s">
        <v>4097</v>
      </c>
    </row>
    <row r="766" spans="1:9" s="8" customFormat="1">
      <c r="A766" s="13"/>
      <c r="B766" s="8" t="s">
        <v>4812</v>
      </c>
      <c r="C766" s="284">
        <v>1501700</v>
      </c>
      <c r="D766" s="284">
        <v>0</v>
      </c>
      <c r="E766" s="284">
        <f t="shared" si="11"/>
        <v>15115809</v>
      </c>
      <c r="F766" s="8" t="s">
        <v>1643</v>
      </c>
      <c r="G766" s="8" t="s">
        <v>5</v>
      </c>
      <c r="H766" s="8" t="s">
        <v>4097</v>
      </c>
    </row>
    <row r="767" spans="1:9" s="8" customFormat="1">
      <c r="A767" s="13"/>
      <c r="B767" s="8" t="s">
        <v>4813</v>
      </c>
      <c r="C767" s="284">
        <v>6006800</v>
      </c>
      <c r="D767" s="284">
        <v>0</v>
      </c>
      <c r="E767" s="284">
        <f t="shared" si="11"/>
        <v>9109009</v>
      </c>
      <c r="F767" s="8" t="s">
        <v>1643</v>
      </c>
      <c r="G767" s="8" t="s">
        <v>5</v>
      </c>
      <c r="H767" s="8" t="s">
        <v>4097</v>
      </c>
    </row>
    <row r="768" spans="1:9" s="8" customFormat="1">
      <c r="A768" s="13"/>
      <c r="B768" s="8" t="s">
        <v>4814</v>
      </c>
      <c r="C768" s="284">
        <v>1001800</v>
      </c>
      <c r="D768" s="284">
        <v>0</v>
      </c>
      <c r="E768" s="284">
        <f t="shared" si="11"/>
        <v>8107209</v>
      </c>
      <c r="F768" s="8" t="s">
        <v>1643</v>
      </c>
      <c r="G768" s="8" t="s">
        <v>5</v>
      </c>
      <c r="H768" s="8" t="s">
        <v>4097</v>
      </c>
    </row>
    <row r="769" spans="1:8" s="8" customFormat="1">
      <c r="A769" s="13"/>
      <c r="B769" s="8" t="s">
        <v>4815</v>
      </c>
      <c r="C769" s="284">
        <v>3609200</v>
      </c>
      <c r="D769" s="284">
        <v>0</v>
      </c>
      <c r="E769" s="284">
        <f t="shared" si="11"/>
        <v>4498009</v>
      </c>
      <c r="F769" s="8" t="s">
        <v>1643</v>
      </c>
      <c r="G769" s="8" t="s">
        <v>5</v>
      </c>
      <c r="H769" s="8" t="s">
        <v>4097</v>
      </c>
    </row>
    <row r="770" spans="1:8" s="8" customFormat="1">
      <c r="A770" s="13"/>
      <c r="B770" s="8" t="s">
        <v>4816</v>
      </c>
      <c r="C770" s="284">
        <v>3770340</v>
      </c>
      <c r="D770" s="284">
        <v>0</v>
      </c>
      <c r="E770" s="284">
        <f t="shared" si="11"/>
        <v>727669</v>
      </c>
      <c r="F770" s="8" t="s">
        <v>1643</v>
      </c>
      <c r="G770" s="8" t="s">
        <v>5</v>
      </c>
      <c r="H770" s="8" t="s">
        <v>4097</v>
      </c>
    </row>
    <row r="771" spans="1:8" s="8" customFormat="1">
      <c r="A771" s="13"/>
      <c r="B771" s="8" t="s">
        <v>3285</v>
      </c>
      <c r="C771" s="284">
        <v>727669</v>
      </c>
      <c r="D771" s="284">
        <v>0</v>
      </c>
      <c r="E771" s="284">
        <f t="shared" si="11"/>
        <v>0</v>
      </c>
      <c r="F771" s="15" t="s">
        <v>19</v>
      </c>
      <c r="G771" s="15" t="s">
        <v>65</v>
      </c>
    </row>
    <row r="772" spans="1:8" s="8" customFormat="1">
      <c r="A772" s="13">
        <v>45982</v>
      </c>
      <c r="B772" s="8" t="s">
        <v>4228</v>
      </c>
      <c r="C772" s="284">
        <v>0</v>
      </c>
      <c r="D772" s="284">
        <v>10871644</v>
      </c>
      <c r="E772" s="284">
        <f t="shared" si="11"/>
        <v>10871644</v>
      </c>
      <c r="F772" s="8" t="s">
        <v>920</v>
      </c>
      <c r="G772" s="8" t="s">
        <v>352</v>
      </c>
      <c r="H772" s="8" t="s">
        <v>6471</v>
      </c>
    </row>
    <row r="773" spans="1:8" s="8" customFormat="1">
      <c r="A773" s="13">
        <v>45982</v>
      </c>
      <c r="B773" s="8" t="s">
        <v>4229</v>
      </c>
      <c r="C773" s="284">
        <v>0</v>
      </c>
      <c r="D773" s="284">
        <v>94115034</v>
      </c>
      <c r="E773" s="284">
        <f t="shared" si="11"/>
        <v>104986678</v>
      </c>
      <c r="F773" s="8" t="s">
        <v>920</v>
      </c>
      <c r="G773" s="8" t="s">
        <v>352</v>
      </c>
      <c r="H773" s="8" t="s">
        <v>6471</v>
      </c>
    </row>
    <row r="774" spans="1:8" s="8" customFormat="1">
      <c r="A774" s="13"/>
      <c r="B774" s="8" t="s">
        <v>6619</v>
      </c>
      <c r="C774" s="284">
        <v>8562020</v>
      </c>
      <c r="D774" s="284">
        <v>0</v>
      </c>
      <c r="E774" s="284">
        <f t="shared" ref="E774:E837" si="12">E773-C774+D774</f>
        <v>96424658</v>
      </c>
      <c r="F774" s="8" t="s">
        <v>1643</v>
      </c>
      <c r="G774" s="8" t="s">
        <v>5</v>
      </c>
      <c r="H774" s="8" t="s">
        <v>4097</v>
      </c>
    </row>
    <row r="775" spans="1:8" s="8" customFormat="1">
      <c r="A775" s="13"/>
      <c r="B775" s="8" t="s">
        <v>6620</v>
      </c>
      <c r="C775" s="284">
        <v>8673100</v>
      </c>
      <c r="D775" s="284">
        <v>0</v>
      </c>
      <c r="E775" s="284">
        <f t="shared" si="12"/>
        <v>87751558</v>
      </c>
      <c r="F775" s="8" t="s">
        <v>1643</v>
      </c>
      <c r="G775" s="8" t="s">
        <v>5</v>
      </c>
      <c r="H775" s="8" t="s">
        <v>4097</v>
      </c>
    </row>
    <row r="776" spans="1:8" s="8" customFormat="1">
      <c r="A776" s="13"/>
      <c r="B776" s="8" t="s">
        <v>6785</v>
      </c>
      <c r="C776" s="284">
        <v>43000</v>
      </c>
      <c r="D776" s="284">
        <v>0</v>
      </c>
      <c r="E776" s="284">
        <f t="shared" si="12"/>
        <v>87708558</v>
      </c>
      <c r="F776" s="8" t="s">
        <v>1643</v>
      </c>
      <c r="G776" s="8" t="s">
        <v>5</v>
      </c>
      <c r="H776" s="8" t="s">
        <v>6576</v>
      </c>
    </row>
    <row r="777" spans="1:8" s="8" customFormat="1">
      <c r="A777" s="13"/>
      <c r="B777" s="8" t="s">
        <v>6621</v>
      </c>
      <c r="C777" s="284">
        <v>823042</v>
      </c>
      <c r="D777" s="284">
        <v>0</v>
      </c>
      <c r="E777" s="284">
        <f t="shared" si="12"/>
        <v>86885516</v>
      </c>
      <c r="F777" s="8" t="s">
        <v>1643</v>
      </c>
      <c r="G777" s="8" t="s">
        <v>5</v>
      </c>
      <c r="H777" s="8" t="s">
        <v>4080</v>
      </c>
    </row>
    <row r="778" spans="1:8" s="8" customFormat="1">
      <c r="A778" s="13"/>
      <c r="B778" s="8" t="s">
        <v>6622</v>
      </c>
      <c r="C778" s="284">
        <v>5187578</v>
      </c>
      <c r="D778" s="284">
        <v>0</v>
      </c>
      <c r="E778" s="284">
        <f t="shared" si="12"/>
        <v>81697938</v>
      </c>
      <c r="F778" s="8" t="s">
        <v>1643</v>
      </c>
      <c r="G778" s="8" t="s">
        <v>5</v>
      </c>
      <c r="H778" s="8" t="s">
        <v>4097</v>
      </c>
    </row>
    <row r="779" spans="1:8" s="8" customFormat="1">
      <c r="A779" s="13"/>
      <c r="B779" s="8" t="s">
        <v>6623</v>
      </c>
      <c r="C779" s="284">
        <v>6628350</v>
      </c>
      <c r="D779" s="284">
        <v>0</v>
      </c>
      <c r="E779" s="284">
        <f t="shared" si="12"/>
        <v>75069588</v>
      </c>
      <c r="F779" s="8" t="s">
        <v>1643</v>
      </c>
      <c r="G779" s="8" t="s">
        <v>5</v>
      </c>
      <c r="H779" s="8" t="s">
        <v>4097</v>
      </c>
    </row>
    <row r="780" spans="1:8" s="8" customFormat="1">
      <c r="A780" s="13"/>
      <c r="B780" s="8" t="s">
        <v>6624</v>
      </c>
      <c r="C780" s="284">
        <v>8753990</v>
      </c>
      <c r="D780" s="284">
        <v>0</v>
      </c>
      <c r="E780" s="284">
        <f t="shared" si="12"/>
        <v>66315598</v>
      </c>
      <c r="F780" s="8" t="s">
        <v>1643</v>
      </c>
      <c r="G780" s="8" t="s">
        <v>5</v>
      </c>
      <c r="H780" s="8" t="s">
        <v>4097</v>
      </c>
    </row>
    <row r="781" spans="1:8" s="8" customFormat="1">
      <c r="A781" s="13"/>
      <c r="B781" s="8" t="s">
        <v>6625</v>
      </c>
      <c r="C781" s="284">
        <v>1546002</v>
      </c>
      <c r="D781" s="284">
        <v>0</v>
      </c>
      <c r="E781" s="284">
        <f t="shared" si="12"/>
        <v>64769596</v>
      </c>
      <c r="F781" s="8" t="s">
        <v>1643</v>
      </c>
      <c r="G781" s="8" t="s">
        <v>5</v>
      </c>
      <c r="H781" s="8" t="s">
        <v>6576</v>
      </c>
    </row>
    <row r="782" spans="1:8" s="8" customFormat="1">
      <c r="A782" s="13"/>
      <c r="B782" s="8" t="s">
        <v>6626</v>
      </c>
      <c r="C782" s="290">
        <v>1100000</v>
      </c>
      <c r="D782" s="290">
        <v>0</v>
      </c>
      <c r="E782" s="284">
        <f t="shared" si="12"/>
        <v>63669596</v>
      </c>
      <c r="F782" s="8" t="s">
        <v>10</v>
      </c>
      <c r="G782" s="8" t="s">
        <v>446</v>
      </c>
      <c r="H782" s="8" t="s">
        <v>4093</v>
      </c>
    </row>
    <row r="783" spans="1:8" s="8" customFormat="1">
      <c r="A783" s="13"/>
      <c r="B783" s="8" t="s">
        <v>6627</v>
      </c>
      <c r="C783" s="284">
        <v>3483108</v>
      </c>
      <c r="D783" s="284">
        <v>0</v>
      </c>
      <c r="E783" s="284">
        <f t="shared" si="12"/>
        <v>60186488</v>
      </c>
      <c r="F783" s="8" t="s">
        <v>1643</v>
      </c>
      <c r="G783" s="8" t="s">
        <v>5</v>
      </c>
      <c r="H783" s="8" t="s">
        <v>6576</v>
      </c>
    </row>
    <row r="784" spans="1:8" s="8" customFormat="1">
      <c r="A784" s="13"/>
      <c r="B784" s="8" t="s">
        <v>6628</v>
      </c>
      <c r="C784" s="284">
        <v>1611670</v>
      </c>
      <c r="D784" s="284">
        <v>0</v>
      </c>
      <c r="E784" s="284">
        <f t="shared" si="12"/>
        <v>58574818</v>
      </c>
      <c r="F784" s="8" t="s">
        <v>1643</v>
      </c>
      <c r="G784" s="8" t="s">
        <v>5</v>
      </c>
      <c r="H784" s="8" t="s">
        <v>6576</v>
      </c>
    </row>
    <row r="785" spans="1:8" s="8" customFormat="1">
      <c r="A785" s="13"/>
      <c r="B785" s="8" t="s">
        <v>6629</v>
      </c>
      <c r="C785" s="284">
        <v>1935032</v>
      </c>
      <c r="D785" s="284">
        <v>0</v>
      </c>
      <c r="E785" s="284">
        <f t="shared" si="12"/>
        <v>56639786</v>
      </c>
      <c r="F785" s="8" t="s">
        <v>1643</v>
      </c>
      <c r="G785" s="8" t="s">
        <v>5</v>
      </c>
      <c r="H785" s="8" t="s">
        <v>6576</v>
      </c>
    </row>
    <row r="786" spans="1:8" s="8" customFormat="1">
      <c r="A786" s="13"/>
      <c r="B786" s="8" t="s">
        <v>7030</v>
      </c>
      <c r="C786" s="290">
        <v>-1205869</v>
      </c>
      <c r="D786" s="290">
        <v>0</v>
      </c>
      <c r="E786" s="284">
        <f t="shared" si="12"/>
        <v>57845655</v>
      </c>
      <c r="F786" s="8" t="s">
        <v>10</v>
      </c>
      <c r="G786" s="8" t="s">
        <v>446</v>
      </c>
      <c r="H786" s="8" t="s">
        <v>4093</v>
      </c>
    </row>
    <row r="787" spans="1:8" s="8" customFormat="1">
      <c r="A787" s="13"/>
      <c r="B787" s="8" t="s">
        <v>6630</v>
      </c>
      <c r="C787" s="284">
        <v>1805575</v>
      </c>
      <c r="D787" s="284">
        <v>0</v>
      </c>
      <c r="E787" s="284">
        <f t="shared" si="12"/>
        <v>56040080</v>
      </c>
      <c r="F787" s="8" t="s">
        <v>1643</v>
      </c>
      <c r="G787" s="8" t="s">
        <v>5</v>
      </c>
      <c r="H787" s="8" t="s">
        <v>6576</v>
      </c>
    </row>
    <row r="788" spans="1:8" s="8" customFormat="1">
      <c r="A788" s="13"/>
      <c r="B788" s="8" t="s">
        <v>6631</v>
      </c>
      <c r="C788" s="284">
        <v>6889872</v>
      </c>
      <c r="D788" s="284">
        <v>0</v>
      </c>
      <c r="E788" s="284">
        <f t="shared" si="12"/>
        <v>49150208</v>
      </c>
      <c r="F788" s="8" t="s">
        <v>1643</v>
      </c>
      <c r="G788" s="8" t="s">
        <v>5</v>
      </c>
      <c r="H788" s="8" t="s">
        <v>6576</v>
      </c>
    </row>
    <row r="789" spans="1:8" s="8" customFormat="1">
      <c r="A789" s="13"/>
      <c r="B789" s="8" t="s">
        <v>6631</v>
      </c>
      <c r="C789" s="284">
        <v>6958960</v>
      </c>
      <c r="D789" s="284">
        <v>0</v>
      </c>
      <c r="E789" s="284">
        <f t="shared" si="12"/>
        <v>42191248</v>
      </c>
      <c r="F789" s="8" t="s">
        <v>1643</v>
      </c>
      <c r="G789" s="8" t="s">
        <v>5</v>
      </c>
      <c r="H789" s="8" t="s">
        <v>6576</v>
      </c>
    </row>
    <row r="790" spans="1:8" s="8" customFormat="1">
      <c r="A790" s="13"/>
      <c r="B790" s="8" t="s">
        <v>6632</v>
      </c>
      <c r="C790" s="290">
        <v>2577280</v>
      </c>
      <c r="D790" s="290">
        <v>0</v>
      </c>
      <c r="E790" s="284">
        <f t="shared" si="12"/>
        <v>39613968</v>
      </c>
      <c r="F790" s="8" t="s">
        <v>10</v>
      </c>
      <c r="G790" s="8" t="s">
        <v>446</v>
      </c>
      <c r="H790" s="8" t="s">
        <v>4093</v>
      </c>
    </row>
    <row r="791" spans="1:8" s="8" customFormat="1">
      <c r="A791" s="13"/>
      <c r="B791" s="8" t="s">
        <v>6632</v>
      </c>
      <c r="C791" s="290">
        <v>1932000</v>
      </c>
      <c r="D791" s="290">
        <v>0</v>
      </c>
      <c r="E791" s="284">
        <f t="shared" si="12"/>
        <v>37681968</v>
      </c>
      <c r="F791" s="8" t="s">
        <v>10</v>
      </c>
      <c r="G791" s="8" t="s">
        <v>446</v>
      </c>
      <c r="H791" s="8" t="s">
        <v>4093</v>
      </c>
    </row>
    <row r="792" spans="1:8" s="8" customFormat="1">
      <c r="A792" s="13"/>
      <c r="B792" s="8" t="s">
        <v>6632</v>
      </c>
      <c r="C792" s="290">
        <v>1479000</v>
      </c>
      <c r="D792" s="290">
        <v>0</v>
      </c>
      <c r="E792" s="284">
        <f t="shared" si="12"/>
        <v>36202968</v>
      </c>
      <c r="F792" s="8" t="s">
        <v>10</v>
      </c>
      <c r="G792" s="8" t="s">
        <v>446</v>
      </c>
      <c r="H792" s="8" t="s">
        <v>4093</v>
      </c>
    </row>
    <row r="793" spans="1:8" s="8" customFormat="1">
      <c r="A793" s="13"/>
      <c r="B793" s="8" t="s">
        <v>6632</v>
      </c>
      <c r="C793" s="290">
        <v>2168000</v>
      </c>
      <c r="D793" s="290">
        <v>0</v>
      </c>
      <c r="E793" s="284">
        <f t="shared" si="12"/>
        <v>34034968</v>
      </c>
      <c r="F793" s="8" t="s">
        <v>10</v>
      </c>
      <c r="G793" s="8" t="s">
        <v>446</v>
      </c>
      <c r="H793" s="8" t="s">
        <v>4093</v>
      </c>
    </row>
    <row r="794" spans="1:8" s="8" customFormat="1">
      <c r="A794" s="13"/>
      <c r="B794" s="8" t="s">
        <v>6632</v>
      </c>
      <c r="C794" s="290">
        <v>1408000</v>
      </c>
      <c r="D794" s="290">
        <v>0</v>
      </c>
      <c r="E794" s="284">
        <f t="shared" si="12"/>
        <v>32626968</v>
      </c>
      <c r="F794" s="8" t="s">
        <v>10</v>
      </c>
      <c r="G794" s="8" t="s">
        <v>446</v>
      </c>
      <c r="H794" s="8" t="s">
        <v>4093</v>
      </c>
    </row>
    <row r="795" spans="1:8" s="8" customFormat="1">
      <c r="A795" s="13"/>
      <c r="B795" s="8" t="s">
        <v>6633</v>
      </c>
      <c r="C795" s="284">
        <v>3678050</v>
      </c>
      <c r="D795" s="284">
        <v>0</v>
      </c>
      <c r="E795" s="284">
        <f t="shared" si="12"/>
        <v>28948918</v>
      </c>
      <c r="F795" s="8" t="s">
        <v>1643</v>
      </c>
      <c r="G795" s="8" t="s">
        <v>5</v>
      </c>
      <c r="H795" s="8" t="s">
        <v>4097</v>
      </c>
    </row>
    <row r="796" spans="1:8" s="8" customFormat="1">
      <c r="A796" s="13"/>
      <c r="B796" s="8" t="s">
        <v>6634</v>
      </c>
      <c r="C796" s="284">
        <v>283050</v>
      </c>
      <c r="D796" s="284">
        <v>0</v>
      </c>
      <c r="E796" s="284">
        <f t="shared" si="12"/>
        <v>28665868</v>
      </c>
      <c r="F796" s="8" t="s">
        <v>1643</v>
      </c>
      <c r="G796" s="8" t="s">
        <v>5</v>
      </c>
      <c r="H796" s="8" t="s">
        <v>6576</v>
      </c>
    </row>
    <row r="797" spans="1:8" s="8" customFormat="1">
      <c r="A797" s="13"/>
      <c r="B797" s="8" t="s">
        <v>6635</v>
      </c>
      <c r="C797" s="284">
        <v>262650</v>
      </c>
      <c r="D797" s="284">
        <v>0</v>
      </c>
      <c r="E797" s="284">
        <f t="shared" si="12"/>
        <v>28403218</v>
      </c>
      <c r="F797" s="8" t="s">
        <v>1643</v>
      </c>
      <c r="G797" s="8" t="s">
        <v>5</v>
      </c>
      <c r="H797" s="8" t="s">
        <v>6576</v>
      </c>
    </row>
    <row r="798" spans="1:8" s="8" customFormat="1">
      <c r="A798" s="13"/>
      <c r="B798" s="8" t="s">
        <v>6636</v>
      </c>
      <c r="C798" s="284">
        <v>1731376</v>
      </c>
      <c r="D798" s="284">
        <v>0</v>
      </c>
      <c r="E798" s="284">
        <f t="shared" si="12"/>
        <v>26671842</v>
      </c>
      <c r="F798" s="8" t="s">
        <v>1643</v>
      </c>
      <c r="G798" s="8" t="s">
        <v>5</v>
      </c>
      <c r="H798" s="8" t="s">
        <v>6576</v>
      </c>
    </row>
    <row r="799" spans="1:8" s="8" customFormat="1">
      <c r="A799" s="13"/>
      <c r="B799" s="8" t="s">
        <v>6632</v>
      </c>
      <c r="C799" s="290">
        <v>1209000</v>
      </c>
      <c r="D799" s="290">
        <v>0</v>
      </c>
      <c r="E799" s="284">
        <f t="shared" si="12"/>
        <v>25462842</v>
      </c>
      <c r="F799" s="8" t="s">
        <v>10</v>
      </c>
      <c r="G799" s="8" t="s">
        <v>446</v>
      </c>
      <c r="H799" s="8" t="s">
        <v>4093</v>
      </c>
    </row>
    <row r="800" spans="1:8" s="8" customFormat="1">
      <c r="A800" s="13"/>
      <c r="B800" s="8" t="s">
        <v>6637</v>
      </c>
      <c r="C800" s="284">
        <v>3539581</v>
      </c>
      <c r="D800" s="284">
        <v>0</v>
      </c>
      <c r="E800" s="284">
        <f t="shared" si="12"/>
        <v>21923261</v>
      </c>
      <c r="F800" s="8" t="s">
        <v>1643</v>
      </c>
      <c r="G800" s="8" t="s">
        <v>5</v>
      </c>
      <c r="H800" s="8" t="s">
        <v>6576</v>
      </c>
    </row>
    <row r="801" spans="1:8" s="8" customFormat="1">
      <c r="A801" s="13"/>
      <c r="B801" s="8" t="s">
        <v>6638</v>
      </c>
      <c r="C801" s="284">
        <v>4492946</v>
      </c>
      <c r="D801" s="284">
        <v>0</v>
      </c>
      <c r="E801" s="284">
        <f t="shared" si="12"/>
        <v>17430315</v>
      </c>
      <c r="F801" s="8" t="s">
        <v>1400</v>
      </c>
      <c r="G801" s="8" t="s">
        <v>1400</v>
      </c>
    </row>
    <row r="802" spans="1:8" s="8" customFormat="1">
      <c r="A802" s="13"/>
      <c r="B802" s="8" t="s">
        <v>6786</v>
      </c>
      <c r="C802" s="284">
        <v>3650000</v>
      </c>
      <c r="D802" s="284">
        <v>0</v>
      </c>
      <c r="E802" s="284">
        <f t="shared" si="12"/>
        <v>13780315</v>
      </c>
      <c r="F802" s="8" t="s">
        <v>8</v>
      </c>
      <c r="G802" s="8" t="s">
        <v>184</v>
      </c>
    </row>
    <row r="803" spans="1:8" s="8" customFormat="1">
      <c r="A803" s="13"/>
      <c r="B803" s="8" t="s">
        <v>6787</v>
      </c>
      <c r="C803" s="290">
        <v>1189000</v>
      </c>
      <c r="D803" s="290">
        <v>0</v>
      </c>
      <c r="E803" s="284">
        <f t="shared" si="12"/>
        <v>12591315</v>
      </c>
      <c r="F803" s="8" t="s">
        <v>10</v>
      </c>
      <c r="G803" s="8" t="s">
        <v>446</v>
      </c>
      <c r="H803" s="8" t="s">
        <v>4085</v>
      </c>
    </row>
    <row r="804" spans="1:8" s="8" customFormat="1">
      <c r="A804" s="13"/>
      <c r="B804" s="8" t="s">
        <v>6787</v>
      </c>
      <c r="C804" s="290">
        <v>1040000</v>
      </c>
      <c r="D804" s="290">
        <v>0</v>
      </c>
      <c r="E804" s="284">
        <f t="shared" si="12"/>
        <v>11551315</v>
      </c>
      <c r="F804" s="8" t="s">
        <v>10</v>
      </c>
      <c r="G804" s="8" t="s">
        <v>446</v>
      </c>
      <c r="H804" s="8" t="s">
        <v>4085</v>
      </c>
    </row>
    <row r="805" spans="1:8" s="8" customFormat="1">
      <c r="A805" s="13"/>
      <c r="B805" s="8" t="s">
        <v>6639</v>
      </c>
      <c r="C805" s="284">
        <v>-4492946</v>
      </c>
      <c r="D805" s="284">
        <v>0</v>
      </c>
      <c r="E805" s="284">
        <f t="shared" si="12"/>
        <v>16044261</v>
      </c>
      <c r="F805" s="8" t="s">
        <v>1400</v>
      </c>
      <c r="G805" s="8" t="s">
        <v>1400</v>
      </c>
    </row>
    <row r="806" spans="1:8" s="8" customFormat="1">
      <c r="A806" s="13"/>
      <c r="B806" s="8" t="s">
        <v>6788</v>
      </c>
      <c r="C806" s="290">
        <v>653999</v>
      </c>
      <c r="D806" s="290">
        <v>0</v>
      </c>
      <c r="E806" s="284">
        <f t="shared" si="12"/>
        <v>15390262</v>
      </c>
      <c r="F806" s="8" t="s">
        <v>10</v>
      </c>
      <c r="G806" s="8" t="s">
        <v>446</v>
      </c>
      <c r="H806" s="8" t="s">
        <v>3283</v>
      </c>
    </row>
    <row r="807" spans="1:8" s="8" customFormat="1">
      <c r="A807" s="13"/>
      <c r="B807" s="8" t="s">
        <v>6640</v>
      </c>
      <c r="C807" s="284">
        <v>250000</v>
      </c>
      <c r="D807" s="284">
        <v>0</v>
      </c>
      <c r="E807" s="284">
        <f t="shared" si="12"/>
        <v>15140262</v>
      </c>
      <c r="F807" s="8" t="s">
        <v>1400</v>
      </c>
      <c r="G807" s="8" t="s">
        <v>1400</v>
      </c>
    </row>
    <row r="808" spans="1:8" s="8" customFormat="1">
      <c r="A808" s="13"/>
      <c r="B808" s="8" t="s">
        <v>6601</v>
      </c>
      <c r="C808" s="290">
        <v>3749718</v>
      </c>
      <c r="D808" s="290">
        <v>0</v>
      </c>
      <c r="E808" s="284">
        <f t="shared" si="12"/>
        <v>11390544</v>
      </c>
      <c r="F808" s="8" t="s">
        <v>10</v>
      </c>
      <c r="G808" s="8" t="s">
        <v>446</v>
      </c>
      <c r="H808" s="8" t="s">
        <v>4096</v>
      </c>
    </row>
    <row r="809" spans="1:8" s="8" customFormat="1">
      <c r="A809" s="13"/>
      <c r="B809" s="8" t="s">
        <v>6789</v>
      </c>
      <c r="C809" s="284">
        <v>398700</v>
      </c>
      <c r="D809" s="284">
        <v>0</v>
      </c>
      <c r="E809" s="284">
        <f t="shared" si="12"/>
        <v>10991844</v>
      </c>
      <c r="F809" s="8" t="s">
        <v>62</v>
      </c>
      <c r="G809" s="8" t="s">
        <v>63</v>
      </c>
    </row>
    <row r="810" spans="1:8" s="8" customFormat="1">
      <c r="A810" s="13"/>
      <c r="B810" s="8" t="s">
        <v>6641</v>
      </c>
      <c r="C810" s="284">
        <v>-250000</v>
      </c>
      <c r="D810" s="284">
        <v>0</v>
      </c>
      <c r="E810" s="284">
        <f t="shared" si="12"/>
        <v>11241844</v>
      </c>
      <c r="F810" s="8" t="s">
        <v>1400</v>
      </c>
      <c r="G810" s="8" t="s">
        <v>1400</v>
      </c>
    </row>
    <row r="811" spans="1:8" s="8" customFormat="1">
      <c r="A811" s="13"/>
      <c r="B811" s="8" t="s">
        <v>6790</v>
      </c>
      <c r="C811" s="284">
        <v>10000</v>
      </c>
      <c r="D811" s="284">
        <v>0</v>
      </c>
      <c r="E811" s="284">
        <f t="shared" si="12"/>
        <v>11231844</v>
      </c>
      <c r="F811" s="8" t="s">
        <v>62</v>
      </c>
      <c r="G811" s="8" t="s">
        <v>63</v>
      </c>
    </row>
    <row r="812" spans="1:8" s="8" customFormat="1">
      <c r="A812" s="13"/>
      <c r="B812" s="8" t="s">
        <v>6791</v>
      </c>
      <c r="C812" s="290">
        <v>175100</v>
      </c>
      <c r="D812" s="290">
        <v>0</v>
      </c>
      <c r="E812" s="284">
        <f t="shared" si="12"/>
        <v>11056744</v>
      </c>
      <c r="F812" s="8" t="s">
        <v>10</v>
      </c>
      <c r="G812" s="8" t="s">
        <v>446</v>
      </c>
      <c r="H812" s="8" t="s">
        <v>4092</v>
      </c>
    </row>
    <row r="813" spans="1:8" s="8" customFormat="1">
      <c r="A813" s="13"/>
      <c r="B813" s="8" t="s">
        <v>6791</v>
      </c>
      <c r="C813" s="290">
        <v>175100</v>
      </c>
      <c r="D813" s="290">
        <v>0</v>
      </c>
      <c r="E813" s="284">
        <f t="shared" si="12"/>
        <v>10881644</v>
      </c>
      <c r="F813" s="8" t="s">
        <v>10</v>
      </c>
      <c r="G813" s="8" t="s">
        <v>446</v>
      </c>
      <c r="H813" s="8" t="s">
        <v>4092</v>
      </c>
    </row>
    <row r="814" spans="1:8" s="8" customFormat="1">
      <c r="A814" s="13"/>
      <c r="B814" s="8" t="s">
        <v>6602</v>
      </c>
      <c r="C814" s="284">
        <v>10000</v>
      </c>
      <c r="D814" s="284">
        <v>0</v>
      </c>
      <c r="E814" s="284">
        <f t="shared" si="12"/>
        <v>10871644</v>
      </c>
      <c r="F814" s="8" t="s">
        <v>19</v>
      </c>
      <c r="G814" s="8" t="s">
        <v>189</v>
      </c>
    </row>
    <row r="815" spans="1:8" s="8" customFormat="1">
      <c r="A815" s="13"/>
      <c r="B815" s="8" t="s">
        <v>6642</v>
      </c>
      <c r="C815" s="284">
        <v>223100</v>
      </c>
      <c r="D815" s="284">
        <v>0</v>
      </c>
      <c r="E815" s="284">
        <f t="shared" si="12"/>
        <v>10648544</v>
      </c>
      <c r="F815" s="8" t="s">
        <v>1643</v>
      </c>
      <c r="G815" s="8" t="s">
        <v>5</v>
      </c>
      <c r="H815" s="8" t="s">
        <v>6576</v>
      </c>
    </row>
    <row r="816" spans="1:8" s="8" customFormat="1">
      <c r="A816" s="13"/>
      <c r="B816" s="8" t="s">
        <v>6643</v>
      </c>
      <c r="C816" s="284">
        <v>2943000</v>
      </c>
      <c r="D816" s="284">
        <v>0</v>
      </c>
      <c r="E816" s="284">
        <f t="shared" si="12"/>
        <v>7705544</v>
      </c>
      <c r="F816" s="8" t="s">
        <v>1643</v>
      </c>
      <c r="G816" s="8" t="s">
        <v>5</v>
      </c>
      <c r="H816" s="8" t="s">
        <v>6576</v>
      </c>
    </row>
    <row r="817" spans="1:8" s="8" customFormat="1">
      <c r="A817" s="13"/>
      <c r="B817" s="8" t="s">
        <v>6644</v>
      </c>
      <c r="C817" s="284">
        <v>342600</v>
      </c>
      <c r="D817" s="284">
        <v>0</v>
      </c>
      <c r="E817" s="284">
        <f t="shared" si="12"/>
        <v>7362944</v>
      </c>
      <c r="F817" s="8" t="s">
        <v>8</v>
      </c>
      <c r="G817" s="8" t="s">
        <v>14</v>
      </c>
      <c r="H817" s="8" t="s">
        <v>3137</v>
      </c>
    </row>
    <row r="818" spans="1:8" s="8" customFormat="1">
      <c r="A818" s="13"/>
      <c r="B818" s="8" t="s">
        <v>6645</v>
      </c>
      <c r="C818" s="284">
        <v>700000</v>
      </c>
      <c r="D818" s="284">
        <v>0</v>
      </c>
      <c r="E818" s="284">
        <f t="shared" si="12"/>
        <v>6662944</v>
      </c>
      <c r="F818" s="8" t="s">
        <v>1643</v>
      </c>
      <c r="G818" s="8" t="s">
        <v>5</v>
      </c>
      <c r="H818" s="8" t="s">
        <v>4097</v>
      </c>
    </row>
    <row r="819" spans="1:8" s="8" customFormat="1">
      <c r="A819" s="13"/>
      <c r="B819" s="8" t="s">
        <v>6646</v>
      </c>
      <c r="C819" s="284">
        <v>376100</v>
      </c>
      <c r="D819" s="284">
        <v>0</v>
      </c>
      <c r="E819" s="284">
        <f t="shared" si="12"/>
        <v>6286844</v>
      </c>
      <c r="F819" s="8" t="s">
        <v>8</v>
      </c>
      <c r="G819" s="8" t="s">
        <v>14</v>
      </c>
      <c r="H819" s="8" t="s">
        <v>3137</v>
      </c>
    </row>
    <row r="820" spans="1:8" s="8" customFormat="1">
      <c r="A820" s="13"/>
      <c r="B820" s="8" t="s">
        <v>6647</v>
      </c>
      <c r="C820" s="284">
        <v>328100</v>
      </c>
      <c r="D820" s="284">
        <v>0</v>
      </c>
      <c r="E820" s="284">
        <f t="shared" si="12"/>
        <v>5958744</v>
      </c>
      <c r="F820" s="8" t="s">
        <v>8</v>
      </c>
      <c r="G820" s="8" t="s">
        <v>14</v>
      </c>
      <c r="H820" s="8" t="s">
        <v>3137</v>
      </c>
    </row>
    <row r="821" spans="1:8" s="8" customFormat="1">
      <c r="A821" s="13"/>
      <c r="B821" s="8" t="s">
        <v>6648</v>
      </c>
      <c r="C821" s="284">
        <v>729500</v>
      </c>
      <c r="D821" s="284">
        <v>0</v>
      </c>
      <c r="E821" s="284">
        <f t="shared" si="12"/>
        <v>5229244</v>
      </c>
      <c r="F821" s="8" t="s">
        <v>62</v>
      </c>
      <c r="G821" s="8" t="s">
        <v>70</v>
      </c>
      <c r="H821" s="8" t="s">
        <v>2447</v>
      </c>
    </row>
    <row r="822" spans="1:8" s="8" customFormat="1">
      <c r="A822" s="13"/>
      <c r="B822" s="8" t="s">
        <v>6649</v>
      </c>
      <c r="C822" s="284">
        <v>99000</v>
      </c>
      <c r="D822" s="284">
        <v>0</v>
      </c>
      <c r="E822" s="284">
        <f t="shared" si="12"/>
        <v>5130244</v>
      </c>
      <c r="F822" s="8" t="s">
        <v>62</v>
      </c>
      <c r="G822" s="8" t="s">
        <v>63</v>
      </c>
      <c r="H822" s="8" t="s">
        <v>1456</v>
      </c>
    </row>
    <row r="823" spans="1:8" s="8" customFormat="1">
      <c r="A823" s="13"/>
      <c r="B823" s="8" t="s">
        <v>6650</v>
      </c>
      <c r="C823" s="284">
        <v>394100</v>
      </c>
      <c r="D823" s="284">
        <v>0</v>
      </c>
      <c r="E823" s="284">
        <f t="shared" si="12"/>
        <v>4736144</v>
      </c>
      <c r="F823" s="8" t="s">
        <v>8</v>
      </c>
      <c r="G823" s="8" t="s">
        <v>14</v>
      </c>
      <c r="H823" s="8" t="s">
        <v>3137</v>
      </c>
    </row>
    <row r="824" spans="1:8" s="8" customFormat="1">
      <c r="A824" s="13"/>
      <c r="B824" s="8" t="s">
        <v>6651</v>
      </c>
      <c r="C824" s="284">
        <v>260832</v>
      </c>
      <c r="D824" s="284">
        <v>0</v>
      </c>
      <c r="E824" s="284">
        <f t="shared" si="12"/>
        <v>4475312</v>
      </c>
      <c r="F824" s="8" t="s">
        <v>21</v>
      </c>
      <c r="G824" s="8" t="s">
        <v>22</v>
      </c>
      <c r="H824" s="8" t="s">
        <v>26</v>
      </c>
    </row>
    <row r="825" spans="1:8" s="8" customFormat="1">
      <c r="A825" s="13"/>
      <c r="B825" s="8" t="s">
        <v>6652</v>
      </c>
      <c r="C825" s="284">
        <v>322540</v>
      </c>
      <c r="D825" s="284">
        <v>0</v>
      </c>
      <c r="E825" s="284">
        <f t="shared" si="12"/>
        <v>4152772</v>
      </c>
      <c r="F825" s="8" t="s">
        <v>8</v>
      </c>
      <c r="G825" s="8" t="s">
        <v>14</v>
      </c>
      <c r="H825" s="8" t="s">
        <v>314</v>
      </c>
    </row>
    <row r="826" spans="1:8" s="8" customFormat="1">
      <c r="A826" s="13"/>
      <c r="B826" s="8" t="s">
        <v>6653</v>
      </c>
      <c r="C826" s="284">
        <v>244680</v>
      </c>
      <c r="D826" s="284">
        <v>0</v>
      </c>
      <c r="E826" s="284">
        <f t="shared" si="12"/>
        <v>3908092</v>
      </c>
      <c r="F826" s="8" t="s">
        <v>8</v>
      </c>
      <c r="G826" s="8" t="s">
        <v>14</v>
      </c>
      <c r="H826" s="8" t="s">
        <v>3137</v>
      </c>
    </row>
    <row r="827" spans="1:8" s="8" customFormat="1">
      <c r="A827" s="13"/>
      <c r="B827" s="8" t="s">
        <v>6654</v>
      </c>
      <c r="C827" s="284">
        <v>610170</v>
      </c>
      <c r="D827" s="284">
        <v>0</v>
      </c>
      <c r="E827" s="284">
        <f t="shared" si="12"/>
        <v>3297922</v>
      </c>
      <c r="F827" s="8" t="s">
        <v>62</v>
      </c>
      <c r="G827" s="8" t="s">
        <v>63</v>
      </c>
      <c r="H827" s="8" t="s">
        <v>1436</v>
      </c>
    </row>
    <row r="828" spans="1:8" s="8" customFormat="1">
      <c r="A828" s="13"/>
      <c r="B828" s="8" t="s">
        <v>6655</v>
      </c>
      <c r="C828" s="284">
        <v>305745</v>
      </c>
      <c r="D828" s="284">
        <v>0</v>
      </c>
      <c r="E828" s="284">
        <f t="shared" si="12"/>
        <v>2992177</v>
      </c>
      <c r="F828" s="8" t="s">
        <v>21</v>
      </c>
      <c r="G828" s="8" t="s">
        <v>22</v>
      </c>
      <c r="H828" s="8" t="s">
        <v>26</v>
      </c>
    </row>
    <row r="829" spans="1:8" s="8" customFormat="1">
      <c r="A829" s="13"/>
      <c r="B829" s="8" t="s">
        <v>6656</v>
      </c>
      <c r="C829" s="284">
        <v>250000</v>
      </c>
      <c r="D829" s="284">
        <v>0</v>
      </c>
      <c r="E829" s="284">
        <f t="shared" si="12"/>
        <v>2742177</v>
      </c>
      <c r="F829" s="8" t="s">
        <v>1400</v>
      </c>
      <c r="G829" s="8" t="s">
        <v>1400</v>
      </c>
    </row>
    <row r="830" spans="1:8" s="8" customFormat="1">
      <c r="A830" s="13"/>
      <c r="B830" s="8" t="s">
        <v>6657</v>
      </c>
      <c r="C830" s="284">
        <v>65700</v>
      </c>
      <c r="D830" s="284">
        <v>0</v>
      </c>
      <c r="E830" s="284">
        <f t="shared" si="12"/>
        <v>2676477</v>
      </c>
      <c r="F830" s="8" t="s">
        <v>8</v>
      </c>
      <c r="G830" s="8" t="s">
        <v>78</v>
      </c>
      <c r="H830" s="8" t="s">
        <v>26</v>
      </c>
    </row>
    <row r="831" spans="1:8" s="8" customFormat="1">
      <c r="A831" s="13"/>
      <c r="B831" s="8" t="s">
        <v>6792</v>
      </c>
      <c r="C831" s="284">
        <v>321839</v>
      </c>
      <c r="D831" s="284">
        <v>0</v>
      </c>
      <c r="E831" s="284">
        <f t="shared" si="12"/>
        <v>2354638</v>
      </c>
      <c r="F831" s="8" t="s">
        <v>8</v>
      </c>
      <c r="G831" s="8" t="s">
        <v>32</v>
      </c>
    </row>
    <row r="832" spans="1:8" s="8" customFormat="1">
      <c r="A832" s="13"/>
      <c r="B832" s="8" t="s">
        <v>6658</v>
      </c>
      <c r="C832" s="284">
        <v>299200</v>
      </c>
      <c r="D832" s="284">
        <v>0</v>
      </c>
      <c r="E832" s="284">
        <f t="shared" si="12"/>
        <v>2055438</v>
      </c>
      <c r="F832" s="8" t="s">
        <v>21</v>
      </c>
      <c r="G832" s="8" t="s">
        <v>187</v>
      </c>
      <c r="H832" s="8" t="s">
        <v>26</v>
      </c>
    </row>
    <row r="833" spans="1:8" s="8" customFormat="1">
      <c r="A833" s="13"/>
      <c r="B833" s="8" t="s">
        <v>6659</v>
      </c>
      <c r="C833" s="284">
        <v>267900</v>
      </c>
      <c r="D833" s="284">
        <v>0</v>
      </c>
      <c r="E833" s="284">
        <f t="shared" si="12"/>
        <v>1787538</v>
      </c>
      <c r="F833" s="8" t="s">
        <v>8</v>
      </c>
      <c r="G833" s="8" t="s">
        <v>14</v>
      </c>
      <c r="H833" s="8" t="s">
        <v>3137</v>
      </c>
    </row>
    <row r="834" spans="1:8" s="8" customFormat="1">
      <c r="A834" s="13"/>
      <c r="B834" s="8" t="s">
        <v>6660</v>
      </c>
      <c r="C834" s="284">
        <v>-250000</v>
      </c>
      <c r="D834" s="284">
        <v>0</v>
      </c>
      <c r="E834" s="284">
        <f t="shared" si="12"/>
        <v>2037538</v>
      </c>
      <c r="F834" s="8" t="s">
        <v>1400</v>
      </c>
      <c r="G834" s="8" t="s">
        <v>1400</v>
      </c>
    </row>
    <row r="835" spans="1:8" s="8" customFormat="1">
      <c r="A835" s="13"/>
      <c r="B835" s="8" t="s">
        <v>6661</v>
      </c>
      <c r="C835" s="284">
        <v>1163090</v>
      </c>
      <c r="D835" s="284">
        <v>0</v>
      </c>
      <c r="E835" s="284">
        <f t="shared" si="12"/>
        <v>874448</v>
      </c>
      <c r="F835" s="8" t="s">
        <v>62</v>
      </c>
      <c r="G835" s="8" t="s">
        <v>177</v>
      </c>
      <c r="H835" s="8" t="s">
        <v>26</v>
      </c>
    </row>
    <row r="836" spans="1:8" s="8" customFormat="1">
      <c r="A836" s="13"/>
      <c r="B836" s="8" t="s">
        <v>6662</v>
      </c>
      <c r="C836" s="284">
        <v>180948</v>
      </c>
      <c r="D836" s="284">
        <v>0</v>
      </c>
      <c r="E836" s="284">
        <f t="shared" si="12"/>
        <v>693500</v>
      </c>
      <c r="F836" s="8" t="s">
        <v>8</v>
      </c>
      <c r="G836" s="8" t="s">
        <v>78</v>
      </c>
      <c r="H836" s="8" t="s">
        <v>26</v>
      </c>
    </row>
    <row r="837" spans="1:8" s="8" customFormat="1">
      <c r="A837" s="13"/>
      <c r="B837" s="8" t="s">
        <v>6663</v>
      </c>
      <c r="C837" s="284">
        <v>373700</v>
      </c>
      <c r="D837" s="284">
        <v>0</v>
      </c>
      <c r="E837" s="284">
        <f t="shared" si="12"/>
        <v>319800</v>
      </c>
      <c r="F837" s="8" t="s">
        <v>8</v>
      </c>
      <c r="G837" s="8" t="s">
        <v>14</v>
      </c>
      <c r="H837" s="8" t="s">
        <v>3137</v>
      </c>
    </row>
    <row r="838" spans="1:8" s="8" customFormat="1">
      <c r="A838" s="13"/>
      <c r="B838" s="8" t="s">
        <v>6664</v>
      </c>
      <c r="C838" s="284">
        <v>319800</v>
      </c>
      <c r="D838" s="284">
        <v>0</v>
      </c>
      <c r="E838" s="284">
        <f t="shared" ref="E838:E901" si="13">E837-C838+D838</f>
        <v>0</v>
      </c>
      <c r="F838" s="8" t="s">
        <v>8</v>
      </c>
      <c r="G838" s="8" t="s">
        <v>14</v>
      </c>
      <c r="H838" s="8" t="s">
        <v>3137</v>
      </c>
    </row>
    <row r="839" spans="1:8" s="8" customFormat="1">
      <c r="A839" s="13">
        <v>46021</v>
      </c>
      <c r="B839" s="8" t="s">
        <v>4020</v>
      </c>
      <c r="C839" s="284">
        <v>0</v>
      </c>
      <c r="D839" s="284">
        <v>9695599</v>
      </c>
      <c r="E839" s="284">
        <f t="shared" si="13"/>
        <v>9695599</v>
      </c>
      <c r="F839" s="8" t="s">
        <v>920</v>
      </c>
      <c r="G839" s="8" t="s">
        <v>352</v>
      </c>
      <c r="H839" s="8" t="s">
        <v>6471</v>
      </c>
    </row>
    <row r="840" spans="1:8" s="8" customFormat="1">
      <c r="A840" s="13">
        <v>46021</v>
      </c>
      <c r="B840" s="8" t="s">
        <v>4019</v>
      </c>
      <c r="C840" s="284">
        <v>0</v>
      </c>
      <c r="D840" s="284">
        <v>48529416</v>
      </c>
      <c r="E840" s="284">
        <f t="shared" si="13"/>
        <v>58225015</v>
      </c>
      <c r="F840" s="8" t="s">
        <v>920</v>
      </c>
      <c r="G840" s="8" t="s">
        <v>352</v>
      </c>
      <c r="H840" s="8" t="s">
        <v>6471</v>
      </c>
    </row>
    <row r="841" spans="1:8" s="8" customFormat="1">
      <c r="A841" s="13"/>
      <c r="B841" s="8" t="s">
        <v>6667</v>
      </c>
      <c r="C841" s="290">
        <v>4865400</v>
      </c>
      <c r="D841" s="290">
        <v>0</v>
      </c>
      <c r="E841" s="284">
        <f t="shared" si="13"/>
        <v>53359615</v>
      </c>
      <c r="F841" s="8" t="s">
        <v>10</v>
      </c>
      <c r="G841" s="8" t="s">
        <v>446</v>
      </c>
      <c r="H841" s="8" t="s">
        <v>6540</v>
      </c>
    </row>
    <row r="842" spans="1:8" s="8" customFormat="1">
      <c r="A842" s="13"/>
      <c r="B842" s="8" t="s">
        <v>6668</v>
      </c>
      <c r="C842" s="290">
        <v>3481349</v>
      </c>
      <c r="D842" s="290">
        <v>0</v>
      </c>
      <c r="E842" s="284">
        <f t="shared" si="13"/>
        <v>49878266</v>
      </c>
      <c r="F842" s="8" t="s">
        <v>10</v>
      </c>
      <c r="G842" s="8" t="s">
        <v>446</v>
      </c>
      <c r="H842" s="8" t="s">
        <v>6540</v>
      </c>
    </row>
    <row r="843" spans="1:8" s="8" customFormat="1">
      <c r="A843" s="13"/>
      <c r="B843" s="8" t="s">
        <v>6669</v>
      </c>
      <c r="C843" s="290">
        <v>2362007</v>
      </c>
      <c r="D843" s="290">
        <v>0</v>
      </c>
      <c r="E843" s="284">
        <f t="shared" si="13"/>
        <v>47516259</v>
      </c>
      <c r="F843" s="8" t="s">
        <v>10</v>
      </c>
      <c r="G843" s="8" t="s">
        <v>446</v>
      </c>
      <c r="H843" s="8" t="s">
        <v>6540</v>
      </c>
    </row>
    <row r="844" spans="1:8" s="8" customFormat="1">
      <c r="A844" s="13"/>
      <c r="B844" s="8" t="s">
        <v>6670</v>
      </c>
      <c r="C844" s="284">
        <v>2152000</v>
      </c>
      <c r="D844" s="290">
        <v>0</v>
      </c>
      <c r="E844" s="284">
        <f t="shared" si="13"/>
        <v>45364259</v>
      </c>
      <c r="F844" s="8" t="s">
        <v>1400</v>
      </c>
      <c r="G844" s="8" t="s">
        <v>1400</v>
      </c>
    </row>
    <row r="845" spans="1:8" s="8" customFormat="1">
      <c r="A845" s="13"/>
      <c r="B845" s="8" t="s">
        <v>6671</v>
      </c>
      <c r="C845" s="290">
        <v>647660</v>
      </c>
      <c r="D845" s="290">
        <v>0</v>
      </c>
      <c r="E845" s="284">
        <f t="shared" si="13"/>
        <v>44716599</v>
      </c>
      <c r="F845" s="8" t="s">
        <v>10</v>
      </c>
      <c r="G845" s="8" t="s">
        <v>446</v>
      </c>
      <c r="H845" s="8" t="s">
        <v>4096</v>
      </c>
    </row>
    <row r="846" spans="1:8" s="8" customFormat="1">
      <c r="A846" s="13"/>
      <c r="B846" s="8" t="s">
        <v>6670</v>
      </c>
      <c r="C846" s="284">
        <v>2791100</v>
      </c>
      <c r="D846" s="290">
        <v>0</v>
      </c>
      <c r="E846" s="284">
        <f t="shared" si="13"/>
        <v>41925499</v>
      </c>
      <c r="F846" s="8" t="s">
        <v>1400</v>
      </c>
      <c r="G846" s="8" t="s">
        <v>1400</v>
      </c>
    </row>
    <row r="847" spans="1:8" s="8" customFormat="1">
      <c r="A847" s="13"/>
      <c r="B847" s="8" t="s">
        <v>6672</v>
      </c>
      <c r="C847" s="284">
        <v>-2152000</v>
      </c>
      <c r="D847" s="290">
        <v>0</v>
      </c>
      <c r="E847" s="284">
        <f t="shared" si="13"/>
        <v>44077499</v>
      </c>
      <c r="F847" s="8" t="s">
        <v>1400</v>
      </c>
      <c r="G847" s="8" t="s">
        <v>1400</v>
      </c>
    </row>
    <row r="848" spans="1:8" s="8" customFormat="1">
      <c r="A848" s="13"/>
      <c r="B848" s="8" t="s">
        <v>6673</v>
      </c>
      <c r="C848" s="290">
        <v>1882060</v>
      </c>
      <c r="D848" s="290">
        <v>0</v>
      </c>
      <c r="E848" s="284">
        <f t="shared" si="13"/>
        <v>42195439</v>
      </c>
      <c r="F848" s="8" t="s">
        <v>10</v>
      </c>
      <c r="G848" s="8" t="s">
        <v>446</v>
      </c>
      <c r="H848" s="8" t="s">
        <v>4631</v>
      </c>
    </row>
    <row r="849" spans="1:8" s="8" customFormat="1">
      <c r="A849" s="13"/>
      <c r="B849" s="8" t="s">
        <v>6674</v>
      </c>
      <c r="C849" s="290">
        <v>502800</v>
      </c>
      <c r="D849" s="290">
        <v>0</v>
      </c>
      <c r="E849" s="284">
        <f t="shared" si="13"/>
        <v>41692639</v>
      </c>
      <c r="F849" s="8" t="s">
        <v>10</v>
      </c>
      <c r="G849" s="8" t="s">
        <v>446</v>
      </c>
      <c r="H849" s="8" t="s">
        <v>4631</v>
      </c>
    </row>
    <row r="850" spans="1:8" s="8" customFormat="1">
      <c r="A850" s="13"/>
      <c r="B850" s="8" t="s">
        <v>6672</v>
      </c>
      <c r="C850" s="284">
        <v>-2791100</v>
      </c>
      <c r="D850" s="290">
        <v>0</v>
      </c>
      <c r="E850" s="284">
        <f t="shared" si="13"/>
        <v>44483739</v>
      </c>
      <c r="F850" s="8" t="s">
        <v>1400</v>
      </c>
      <c r="G850" s="8" t="s">
        <v>1400</v>
      </c>
    </row>
    <row r="851" spans="1:8" s="8" customFormat="1">
      <c r="A851" s="13"/>
      <c r="B851" s="8" t="s">
        <v>6675</v>
      </c>
      <c r="C851" s="290">
        <v>1072188</v>
      </c>
      <c r="D851" s="290">
        <v>0</v>
      </c>
      <c r="E851" s="284">
        <f t="shared" si="13"/>
        <v>43411551</v>
      </c>
      <c r="F851" s="8" t="s">
        <v>10</v>
      </c>
      <c r="G851" s="8" t="s">
        <v>446</v>
      </c>
      <c r="H851" s="8" t="s">
        <v>4631</v>
      </c>
    </row>
    <row r="852" spans="1:8" s="8" customFormat="1">
      <c r="A852" s="13"/>
      <c r="B852" s="8" t="s">
        <v>6676</v>
      </c>
      <c r="C852" s="284">
        <v>22500000</v>
      </c>
      <c r="D852" s="290">
        <v>0</v>
      </c>
      <c r="E852" s="284">
        <f t="shared" si="13"/>
        <v>20911551</v>
      </c>
      <c r="F852" s="8" t="s">
        <v>1643</v>
      </c>
      <c r="G852" s="8" t="s">
        <v>5</v>
      </c>
      <c r="H852" s="8" t="s">
        <v>5956</v>
      </c>
    </row>
    <row r="853" spans="1:8" s="8" customFormat="1">
      <c r="A853" s="13"/>
      <c r="B853" s="8" t="s">
        <v>6677</v>
      </c>
      <c r="C853" s="290">
        <v>417000</v>
      </c>
      <c r="D853" s="290">
        <v>0</v>
      </c>
      <c r="E853" s="284">
        <f t="shared" si="13"/>
        <v>20494551</v>
      </c>
      <c r="F853" s="8" t="s">
        <v>10</v>
      </c>
      <c r="G853" s="8" t="s">
        <v>446</v>
      </c>
      <c r="H853" s="8" t="s">
        <v>4096</v>
      </c>
    </row>
    <row r="854" spans="1:8" s="8" customFormat="1">
      <c r="A854" s="13"/>
      <c r="B854" s="8" t="s">
        <v>6678</v>
      </c>
      <c r="C854" s="290">
        <v>297000</v>
      </c>
      <c r="D854" s="290">
        <v>0</v>
      </c>
      <c r="E854" s="284">
        <f t="shared" si="13"/>
        <v>20197551</v>
      </c>
      <c r="F854" s="8" t="s">
        <v>10</v>
      </c>
      <c r="G854" s="8" t="s">
        <v>446</v>
      </c>
      <c r="H854" s="8" t="s">
        <v>4096</v>
      </c>
    </row>
    <row r="855" spans="1:8" s="8" customFormat="1">
      <c r="A855" s="13"/>
      <c r="B855" s="8" t="s">
        <v>6679</v>
      </c>
      <c r="C855" s="284">
        <v>750000</v>
      </c>
      <c r="D855" s="290">
        <v>0</v>
      </c>
      <c r="E855" s="284">
        <f t="shared" si="13"/>
        <v>19447551</v>
      </c>
      <c r="F855" s="8" t="s">
        <v>1643</v>
      </c>
      <c r="G855" s="8" t="s">
        <v>5</v>
      </c>
      <c r="H855" s="8" t="s">
        <v>1634</v>
      </c>
    </row>
    <row r="856" spans="1:8" s="8" customFormat="1">
      <c r="A856" s="13"/>
      <c r="B856" s="8" t="s">
        <v>6680</v>
      </c>
      <c r="C856" s="284">
        <v>327200</v>
      </c>
      <c r="D856" s="290">
        <v>0</v>
      </c>
      <c r="E856" s="284">
        <f t="shared" si="13"/>
        <v>19120351</v>
      </c>
      <c r="F856" s="8" t="s">
        <v>8</v>
      </c>
      <c r="G856" s="8" t="s">
        <v>14</v>
      </c>
      <c r="H856" s="8" t="s">
        <v>314</v>
      </c>
    </row>
    <row r="857" spans="1:8" s="8" customFormat="1">
      <c r="A857" s="13"/>
      <c r="B857" s="8" t="s">
        <v>6681</v>
      </c>
      <c r="C857" s="284">
        <v>1156706</v>
      </c>
      <c r="D857" s="290">
        <v>0</v>
      </c>
      <c r="E857" s="284">
        <f t="shared" si="13"/>
        <v>17963645</v>
      </c>
      <c r="F857" s="8" t="s">
        <v>1643</v>
      </c>
      <c r="G857" s="8" t="s">
        <v>5</v>
      </c>
      <c r="H857" s="8" t="s">
        <v>5985</v>
      </c>
    </row>
    <row r="858" spans="1:8" s="8" customFormat="1">
      <c r="A858" s="13"/>
      <c r="B858" s="8" t="s">
        <v>6682</v>
      </c>
      <c r="C858" s="290">
        <v>4514000</v>
      </c>
      <c r="D858" s="290">
        <v>0</v>
      </c>
      <c r="E858" s="284">
        <f t="shared" si="13"/>
        <v>13449645</v>
      </c>
      <c r="F858" s="8" t="s">
        <v>10</v>
      </c>
      <c r="G858" s="8" t="s">
        <v>446</v>
      </c>
      <c r="H858" s="8" t="s">
        <v>4096</v>
      </c>
    </row>
    <row r="859" spans="1:8" s="8" customFormat="1">
      <c r="A859" s="13"/>
      <c r="B859" s="8" t="s">
        <v>6603</v>
      </c>
      <c r="C859" s="284">
        <v>10000</v>
      </c>
      <c r="D859" s="290">
        <v>0</v>
      </c>
      <c r="E859" s="284">
        <f t="shared" si="13"/>
        <v>13439645</v>
      </c>
      <c r="F859" s="8" t="s">
        <v>19</v>
      </c>
      <c r="G859" s="8" t="s">
        <v>189</v>
      </c>
    </row>
    <row r="860" spans="1:8" s="8" customFormat="1">
      <c r="A860" s="13"/>
      <c r="B860" s="8" t="s">
        <v>6683</v>
      </c>
      <c r="C860" s="284">
        <v>366160</v>
      </c>
      <c r="D860" s="290">
        <v>0</v>
      </c>
      <c r="E860" s="284">
        <f t="shared" si="13"/>
        <v>13073485</v>
      </c>
      <c r="F860" s="8" t="s">
        <v>8</v>
      </c>
      <c r="G860" s="8" t="s">
        <v>14</v>
      </c>
      <c r="H860" s="8" t="s">
        <v>3137</v>
      </c>
    </row>
    <row r="861" spans="1:8" s="8" customFormat="1">
      <c r="A861" s="13"/>
      <c r="B861" s="8" t="s">
        <v>6684</v>
      </c>
      <c r="C861" s="284">
        <v>320000</v>
      </c>
      <c r="D861" s="290">
        <v>0</v>
      </c>
      <c r="E861" s="284">
        <f t="shared" si="13"/>
        <v>12753485</v>
      </c>
      <c r="F861" s="8" t="s">
        <v>8</v>
      </c>
      <c r="G861" s="8" t="s">
        <v>14</v>
      </c>
      <c r="H861" s="8" t="s">
        <v>3137</v>
      </c>
    </row>
    <row r="862" spans="1:8" s="8" customFormat="1">
      <c r="A862" s="13"/>
      <c r="B862" s="8" t="s">
        <v>6685</v>
      </c>
      <c r="C862" s="284">
        <v>612700</v>
      </c>
      <c r="D862" s="290">
        <v>0</v>
      </c>
      <c r="E862" s="284">
        <f t="shared" si="13"/>
        <v>12140785</v>
      </c>
      <c r="F862" s="8" t="s">
        <v>62</v>
      </c>
      <c r="G862" s="8" t="s">
        <v>70</v>
      </c>
      <c r="H862" s="8" t="s">
        <v>2447</v>
      </c>
    </row>
    <row r="863" spans="1:8" s="8" customFormat="1">
      <c r="A863" s="13"/>
      <c r="B863" s="8" t="s">
        <v>6686</v>
      </c>
      <c r="C863" s="284">
        <v>358000</v>
      </c>
      <c r="D863" s="290">
        <v>0</v>
      </c>
      <c r="E863" s="284">
        <f t="shared" si="13"/>
        <v>11782785</v>
      </c>
      <c r="F863" s="8" t="s">
        <v>1209</v>
      </c>
      <c r="G863" s="8" t="s">
        <v>69</v>
      </c>
      <c r="H863" s="8" t="s">
        <v>6546</v>
      </c>
    </row>
    <row r="864" spans="1:8" s="8" customFormat="1">
      <c r="A864" s="13"/>
      <c r="B864" s="8" t="s">
        <v>6687</v>
      </c>
      <c r="C864" s="284">
        <v>437000</v>
      </c>
      <c r="D864" s="290">
        <v>0</v>
      </c>
      <c r="E864" s="284">
        <f t="shared" si="13"/>
        <v>11345785</v>
      </c>
      <c r="F864" s="8" t="s">
        <v>1209</v>
      </c>
      <c r="G864" s="8" t="s">
        <v>69</v>
      </c>
      <c r="H864" s="8" t="s">
        <v>6546</v>
      </c>
    </row>
    <row r="865" spans="1:8" s="8" customFormat="1">
      <c r="A865" s="13"/>
      <c r="B865" s="8" t="s">
        <v>6688</v>
      </c>
      <c r="C865" s="284">
        <v>90200</v>
      </c>
      <c r="D865" s="290">
        <v>0</v>
      </c>
      <c r="E865" s="284">
        <f t="shared" si="13"/>
        <v>11255585</v>
      </c>
      <c r="F865" s="8" t="s">
        <v>1209</v>
      </c>
      <c r="G865" s="8" t="s">
        <v>69</v>
      </c>
      <c r="H865" s="8" t="s">
        <v>6546</v>
      </c>
    </row>
    <row r="866" spans="1:8" s="8" customFormat="1">
      <c r="A866" s="13"/>
      <c r="B866" s="8" t="s">
        <v>6689</v>
      </c>
      <c r="C866" s="284">
        <v>451000</v>
      </c>
      <c r="D866" s="290">
        <v>0</v>
      </c>
      <c r="E866" s="284">
        <f t="shared" si="13"/>
        <v>10804585</v>
      </c>
      <c r="F866" s="8" t="s">
        <v>1209</v>
      </c>
      <c r="G866" s="8" t="s">
        <v>69</v>
      </c>
      <c r="H866" s="8" t="s">
        <v>6546</v>
      </c>
    </row>
    <row r="867" spans="1:8" s="8" customFormat="1">
      <c r="A867" s="13"/>
      <c r="B867" s="8" t="s">
        <v>6690</v>
      </c>
      <c r="C867" s="284">
        <v>55500</v>
      </c>
      <c r="D867" s="290">
        <v>0</v>
      </c>
      <c r="E867" s="284">
        <f t="shared" si="13"/>
        <v>10749085</v>
      </c>
      <c r="F867" s="8" t="s">
        <v>1209</v>
      </c>
      <c r="G867" s="8" t="s">
        <v>69</v>
      </c>
      <c r="H867" s="8" t="s">
        <v>6546</v>
      </c>
    </row>
    <row r="868" spans="1:8" s="8" customFormat="1">
      <c r="A868" s="13"/>
      <c r="B868" s="8" t="s">
        <v>6691</v>
      </c>
      <c r="C868" s="284">
        <v>370450</v>
      </c>
      <c r="D868" s="290">
        <v>0</v>
      </c>
      <c r="E868" s="284">
        <f t="shared" si="13"/>
        <v>10378635</v>
      </c>
      <c r="F868" s="8" t="s">
        <v>1209</v>
      </c>
      <c r="G868" s="8" t="s">
        <v>69</v>
      </c>
      <c r="H868" s="8" t="s">
        <v>6665</v>
      </c>
    </row>
    <row r="869" spans="1:8" s="8" customFormat="1">
      <c r="A869" s="13"/>
      <c r="B869" s="8" t="s">
        <v>6692</v>
      </c>
      <c r="C869" s="284">
        <v>309000</v>
      </c>
      <c r="D869" s="290">
        <v>0</v>
      </c>
      <c r="E869" s="284">
        <f t="shared" si="13"/>
        <v>10069635</v>
      </c>
      <c r="F869" s="8" t="s">
        <v>1209</v>
      </c>
      <c r="G869" s="8" t="s">
        <v>69</v>
      </c>
      <c r="H869" s="8" t="s">
        <v>6546</v>
      </c>
    </row>
    <row r="870" spans="1:8" s="8" customFormat="1">
      <c r="A870" s="13"/>
      <c r="B870" s="8" t="s">
        <v>6693</v>
      </c>
      <c r="C870" s="284">
        <v>935000</v>
      </c>
      <c r="D870" s="290">
        <v>0</v>
      </c>
      <c r="E870" s="284">
        <f t="shared" si="13"/>
        <v>9134635</v>
      </c>
      <c r="F870" s="8" t="s">
        <v>1209</v>
      </c>
      <c r="G870" s="8" t="s">
        <v>69</v>
      </c>
      <c r="H870" s="8" t="s">
        <v>6546</v>
      </c>
    </row>
    <row r="871" spans="1:8" s="8" customFormat="1">
      <c r="A871" s="13"/>
      <c r="B871" s="8" t="s">
        <v>6694</v>
      </c>
      <c r="C871" s="284">
        <v>311135</v>
      </c>
      <c r="D871" s="290">
        <v>0</v>
      </c>
      <c r="E871" s="284">
        <f t="shared" si="13"/>
        <v>8823500</v>
      </c>
      <c r="F871" s="8" t="s">
        <v>1209</v>
      </c>
      <c r="G871" s="8" t="s">
        <v>69</v>
      </c>
      <c r="H871" s="8" t="s">
        <v>6546</v>
      </c>
    </row>
    <row r="872" spans="1:8" s="8" customFormat="1">
      <c r="A872" s="13"/>
      <c r="B872" s="8" t="s">
        <v>6695</v>
      </c>
      <c r="C872" s="284">
        <v>385900</v>
      </c>
      <c r="D872" s="290">
        <v>0</v>
      </c>
      <c r="E872" s="284">
        <f t="shared" si="13"/>
        <v>8437600</v>
      </c>
      <c r="F872" s="8" t="s">
        <v>8</v>
      </c>
      <c r="G872" s="8" t="s">
        <v>14</v>
      </c>
      <c r="H872" s="8" t="s">
        <v>3137</v>
      </c>
    </row>
    <row r="873" spans="1:8" s="8" customFormat="1">
      <c r="A873" s="13"/>
      <c r="B873" s="8" t="s">
        <v>6696</v>
      </c>
      <c r="C873" s="284">
        <v>271000</v>
      </c>
      <c r="D873" s="290">
        <v>0</v>
      </c>
      <c r="E873" s="284">
        <f t="shared" si="13"/>
        <v>8166600</v>
      </c>
      <c r="F873" s="8" t="s">
        <v>21</v>
      </c>
      <c r="G873" s="8" t="s">
        <v>22</v>
      </c>
      <c r="H873" s="8" t="s">
        <v>26</v>
      </c>
    </row>
    <row r="874" spans="1:8" s="8" customFormat="1">
      <c r="A874" s="13"/>
      <c r="B874" s="8" t="s">
        <v>6697</v>
      </c>
      <c r="C874" s="284">
        <v>202250</v>
      </c>
      <c r="D874" s="290">
        <v>0</v>
      </c>
      <c r="E874" s="284">
        <f t="shared" si="13"/>
        <v>7964350</v>
      </c>
      <c r="F874" s="8" t="s">
        <v>1209</v>
      </c>
      <c r="G874" s="8" t="s">
        <v>69</v>
      </c>
      <c r="H874" s="8" t="s">
        <v>6546</v>
      </c>
    </row>
    <row r="875" spans="1:8" s="8" customFormat="1">
      <c r="A875" s="13"/>
      <c r="B875" s="8" t="s">
        <v>6698</v>
      </c>
      <c r="C875" s="284">
        <v>515000</v>
      </c>
      <c r="D875" s="290">
        <v>0</v>
      </c>
      <c r="E875" s="284">
        <f t="shared" si="13"/>
        <v>7449350</v>
      </c>
      <c r="F875" s="8" t="s">
        <v>62</v>
      </c>
      <c r="G875" s="8" t="s">
        <v>70</v>
      </c>
      <c r="H875" s="8" t="s">
        <v>2447</v>
      </c>
    </row>
    <row r="876" spans="1:8" s="8" customFormat="1">
      <c r="A876" s="13"/>
      <c r="B876" s="8" t="s">
        <v>6699</v>
      </c>
      <c r="C876" s="284">
        <v>384440</v>
      </c>
      <c r="D876" s="290">
        <v>0</v>
      </c>
      <c r="E876" s="284">
        <f t="shared" si="13"/>
        <v>7064910</v>
      </c>
      <c r="F876" s="8" t="s">
        <v>8</v>
      </c>
      <c r="G876" s="8" t="s">
        <v>14</v>
      </c>
      <c r="H876" s="8" t="s">
        <v>3137</v>
      </c>
    </row>
    <row r="877" spans="1:8" s="8" customFormat="1">
      <c r="A877" s="13"/>
      <c r="B877" s="8" t="s">
        <v>6700</v>
      </c>
      <c r="C877" s="284">
        <v>366000</v>
      </c>
      <c r="D877" s="290">
        <v>0</v>
      </c>
      <c r="E877" s="284">
        <f t="shared" si="13"/>
        <v>6698910</v>
      </c>
      <c r="F877" s="8" t="s">
        <v>8</v>
      </c>
      <c r="G877" s="8" t="s">
        <v>14</v>
      </c>
      <c r="H877" s="8" t="s">
        <v>3137</v>
      </c>
    </row>
    <row r="878" spans="1:8" s="8" customFormat="1">
      <c r="A878" s="13"/>
      <c r="B878" s="8" t="s">
        <v>6701</v>
      </c>
      <c r="C878" s="284">
        <v>547501</v>
      </c>
      <c r="D878" s="290">
        <v>0</v>
      </c>
      <c r="E878" s="284">
        <f t="shared" si="13"/>
        <v>6151409</v>
      </c>
      <c r="F878" s="8" t="s">
        <v>21</v>
      </c>
      <c r="G878" s="8" t="s">
        <v>22</v>
      </c>
      <c r="H878" s="8" t="s">
        <v>26</v>
      </c>
    </row>
    <row r="879" spans="1:8" s="8" customFormat="1">
      <c r="A879" s="13"/>
      <c r="B879" s="8" t="s">
        <v>6702</v>
      </c>
      <c r="C879" s="284">
        <v>323474</v>
      </c>
      <c r="D879" s="290">
        <v>0</v>
      </c>
      <c r="E879" s="284">
        <f t="shared" si="13"/>
        <v>5827935</v>
      </c>
      <c r="F879" s="8" t="s">
        <v>8</v>
      </c>
      <c r="G879" s="8" t="s">
        <v>32</v>
      </c>
      <c r="H879" s="8" t="s">
        <v>26</v>
      </c>
    </row>
    <row r="880" spans="1:8" s="8" customFormat="1">
      <c r="A880" s="13"/>
      <c r="B880" s="8" t="s">
        <v>6703</v>
      </c>
      <c r="C880" s="284">
        <v>338320</v>
      </c>
      <c r="D880" s="290">
        <v>0</v>
      </c>
      <c r="E880" s="284">
        <f t="shared" si="13"/>
        <v>5489615</v>
      </c>
      <c r="F880" s="8" t="s">
        <v>8</v>
      </c>
      <c r="G880" s="8" t="s">
        <v>14</v>
      </c>
      <c r="H880" s="8" t="s">
        <v>3137</v>
      </c>
    </row>
    <row r="881" spans="1:10" s="8" customFormat="1">
      <c r="A881" s="13"/>
      <c r="B881" s="8" t="s">
        <v>6704</v>
      </c>
      <c r="C881" s="284">
        <v>429500</v>
      </c>
      <c r="D881" s="290">
        <v>0</v>
      </c>
      <c r="E881" s="284">
        <f t="shared" si="13"/>
        <v>5060115</v>
      </c>
      <c r="F881" s="8" t="s">
        <v>1209</v>
      </c>
      <c r="G881" s="8" t="s">
        <v>69</v>
      </c>
      <c r="H881" s="8" t="s">
        <v>6546</v>
      </c>
    </row>
    <row r="882" spans="1:10" s="8" customFormat="1">
      <c r="A882" s="13"/>
      <c r="B882" s="8" t="s">
        <v>6705</v>
      </c>
      <c r="C882" s="284">
        <v>339500</v>
      </c>
      <c r="D882" s="290">
        <v>0</v>
      </c>
      <c r="E882" s="284">
        <f t="shared" si="13"/>
        <v>4720615</v>
      </c>
      <c r="F882" s="8" t="s">
        <v>8</v>
      </c>
      <c r="G882" s="8" t="s">
        <v>14</v>
      </c>
      <c r="H882" s="8" t="s">
        <v>3137</v>
      </c>
    </row>
    <row r="883" spans="1:10" s="8" customFormat="1">
      <c r="A883" s="13"/>
      <c r="B883" s="8" t="s">
        <v>6706</v>
      </c>
      <c r="C883" s="284">
        <v>439604</v>
      </c>
      <c r="D883" s="290">
        <v>0</v>
      </c>
      <c r="E883" s="284">
        <f t="shared" si="13"/>
        <v>4281011</v>
      </c>
      <c r="F883" s="8" t="s">
        <v>1643</v>
      </c>
      <c r="G883" s="8" t="s">
        <v>5</v>
      </c>
      <c r="H883" s="8" t="s">
        <v>6541</v>
      </c>
    </row>
    <row r="884" spans="1:10" s="8" customFormat="1">
      <c r="A884" s="13"/>
      <c r="B884" s="8" t="s">
        <v>6604</v>
      </c>
      <c r="C884" s="284">
        <v>3744046</v>
      </c>
      <c r="D884" s="290">
        <v>0</v>
      </c>
      <c r="E884" s="284">
        <f t="shared" si="13"/>
        <v>536965</v>
      </c>
      <c r="F884" s="8" t="s">
        <v>19</v>
      </c>
      <c r="G884" s="8" t="s">
        <v>65</v>
      </c>
    </row>
    <row r="885" spans="1:10" s="8" customFormat="1">
      <c r="A885" s="13"/>
      <c r="B885" s="8" t="s">
        <v>6604</v>
      </c>
      <c r="C885" s="284">
        <v>536965</v>
      </c>
      <c r="D885" s="290">
        <v>0</v>
      </c>
      <c r="E885" s="284">
        <f t="shared" si="13"/>
        <v>0</v>
      </c>
      <c r="F885" s="8" t="s">
        <v>19</v>
      </c>
      <c r="G885" s="8" t="s">
        <v>65</v>
      </c>
    </row>
    <row r="886" spans="1:10" s="204" customFormat="1">
      <c r="A886" s="13">
        <v>45791</v>
      </c>
      <c r="B886" s="8" t="s">
        <v>2013</v>
      </c>
      <c r="C886" s="284">
        <v>0</v>
      </c>
      <c r="D886" s="284">
        <v>17500</v>
      </c>
      <c r="E886" s="284">
        <f t="shared" si="13"/>
        <v>17500</v>
      </c>
      <c r="F886" s="8" t="s">
        <v>920</v>
      </c>
      <c r="G886" t="s">
        <v>4250</v>
      </c>
      <c r="H886" t="s">
        <v>100</v>
      </c>
    </row>
    <row r="887" spans="1:10" s="8" customFormat="1">
      <c r="A887" s="13"/>
      <c r="B887" s="8" t="s">
        <v>3024</v>
      </c>
      <c r="C887" s="287">
        <v>7500</v>
      </c>
      <c r="D887" s="284">
        <v>0</v>
      </c>
      <c r="E887" s="284">
        <f t="shared" si="13"/>
        <v>10000</v>
      </c>
      <c r="F887" s="15" t="s">
        <v>19</v>
      </c>
      <c r="G887" s="15" t="s">
        <v>189</v>
      </c>
      <c r="J887" s="15"/>
    </row>
    <row r="888" spans="1:10" s="8" customFormat="1">
      <c r="A888" s="13"/>
      <c r="B888" s="8" t="s">
        <v>1731</v>
      </c>
      <c r="C888" s="287">
        <v>10000</v>
      </c>
      <c r="D888" s="284">
        <v>0</v>
      </c>
      <c r="E888" s="284">
        <f t="shared" si="13"/>
        <v>0</v>
      </c>
      <c r="F888" s="15" t="s">
        <v>19</v>
      </c>
      <c r="G888" s="15" t="s">
        <v>189</v>
      </c>
      <c r="J888" s="15"/>
    </row>
    <row r="889" spans="1:10" s="204" customFormat="1">
      <c r="A889" s="13">
        <v>45822</v>
      </c>
      <c r="B889" s="8" t="s">
        <v>2095</v>
      </c>
      <c r="C889" s="284">
        <v>0</v>
      </c>
      <c r="D889" s="284">
        <v>21354260</v>
      </c>
      <c r="E889" s="284">
        <f t="shared" si="13"/>
        <v>21354260</v>
      </c>
      <c r="F889" s="8" t="s">
        <v>920</v>
      </c>
      <c r="G889" t="s">
        <v>4250</v>
      </c>
      <c r="H889" t="s">
        <v>368</v>
      </c>
    </row>
    <row r="890" spans="1:10" s="8" customFormat="1">
      <c r="A890" s="13"/>
      <c r="B890" s="8" t="s">
        <v>3287</v>
      </c>
      <c r="C890" s="287">
        <v>3555300</v>
      </c>
      <c r="D890" s="284">
        <v>0</v>
      </c>
      <c r="E890" s="284">
        <f t="shared" si="13"/>
        <v>17798960</v>
      </c>
      <c r="F890" t="s">
        <v>62</v>
      </c>
      <c r="G890" s="15" t="s">
        <v>177</v>
      </c>
      <c r="J890" s="15"/>
    </row>
    <row r="891" spans="1:10" s="8" customFormat="1">
      <c r="A891" s="13"/>
      <c r="B891" s="8" t="s">
        <v>3288</v>
      </c>
      <c r="C891" s="287">
        <v>122000</v>
      </c>
      <c r="D891" s="284">
        <v>0</v>
      </c>
      <c r="E891" s="284">
        <f t="shared" si="13"/>
        <v>17676960</v>
      </c>
      <c r="F891" s="15" t="s">
        <v>1643</v>
      </c>
      <c r="G891" s="15" t="s">
        <v>5</v>
      </c>
      <c r="H891" s="8" t="s">
        <v>1376</v>
      </c>
      <c r="J891" s="15"/>
    </row>
    <row r="892" spans="1:10">
      <c r="B892" t="s">
        <v>3289</v>
      </c>
      <c r="C892" s="283">
        <v>12388000</v>
      </c>
      <c r="D892" s="283">
        <v>0</v>
      </c>
      <c r="E892" s="284">
        <f t="shared" si="13"/>
        <v>5288960</v>
      </c>
      <c r="F892" t="s">
        <v>1643</v>
      </c>
      <c r="G892" t="s">
        <v>5</v>
      </c>
      <c r="H892" t="s">
        <v>1376</v>
      </c>
    </row>
    <row r="893" spans="1:10" s="8" customFormat="1">
      <c r="A893" s="13"/>
      <c r="B893" s="8" t="s">
        <v>3290</v>
      </c>
      <c r="C893" s="287">
        <v>1300000</v>
      </c>
      <c r="D893" s="284">
        <v>0</v>
      </c>
      <c r="E893" s="284">
        <f t="shared" si="13"/>
        <v>3988960</v>
      </c>
      <c r="F893" s="15" t="s">
        <v>1643</v>
      </c>
      <c r="G893" s="15" t="s">
        <v>5</v>
      </c>
      <c r="H893" s="8" t="s">
        <v>1376</v>
      </c>
      <c r="J893" s="15"/>
    </row>
    <row r="894" spans="1:10" s="8" customFormat="1">
      <c r="A894" s="13"/>
      <c r="B894" s="8" t="s">
        <v>3291</v>
      </c>
      <c r="C894" s="287">
        <v>1355200</v>
      </c>
      <c r="D894" s="284">
        <v>0</v>
      </c>
      <c r="E894" s="284">
        <f t="shared" si="13"/>
        <v>2633760</v>
      </c>
      <c r="F894" s="15" t="s">
        <v>1643</v>
      </c>
      <c r="G894" s="15" t="s">
        <v>5</v>
      </c>
      <c r="H894" s="8" t="s">
        <v>1376</v>
      </c>
      <c r="J894" s="15"/>
    </row>
    <row r="895" spans="1:10" s="8" customFormat="1">
      <c r="A895" s="13"/>
      <c r="B895" s="8" t="s">
        <v>3292</v>
      </c>
      <c r="C895" s="287">
        <v>119000</v>
      </c>
      <c r="D895" s="284">
        <v>0</v>
      </c>
      <c r="E895" s="284">
        <f t="shared" si="13"/>
        <v>2514760</v>
      </c>
      <c r="F895" s="15" t="s">
        <v>1643</v>
      </c>
      <c r="G895" s="15" t="s">
        <v>5</v>
      </c>
      <c r="H895" s="8" t="s">
        <v>1376</v>
      </c>
      <c r="J895" s="15"/>
    </row>
    <row r="896" spans="1:10" s="8" customFormat="1">
      <c r="A896" s="13"/>
      <c r="B896" s="8" t="s">
        <v>3293</v>
      </c>
      <c r="C896" s="287">
        <v>2497260</v>
      </c>
      <c r="D896" s="284">
        <v>0</v>
      </c>
      <c r="E896" s="284">
        <f t="shared" si="13"/>
        <v>17500</v>
      </c>
      <c r="F896" s="15" t="s">
        <v>1643</v>
      </c>
      <c r="G896" s="15" t="s">
        <v>5</v>
      </c>
      <c r="H896" s="8" t="s">
        <v>1376</v>
      </c>
      <c r="J896" s="15"/>
    </row>
    <row r="897" spans="1:10" s="8" customFormat="1">
      <c r="A897" s="13"/>
      <c r="B897" s="8" t="s">
        <v>1641</v>
      </c>
      <c r="C897" s="287">
        <v>7500</v>
      </c>
      <c r="D897" s="284">
        <v>0</v>
      </c>
      <c r="E897" s="284">
        <f t="shared" si="13"/>
        <v>10000</v>
      </c>
      <c r="F897" s="15" t="s">
        <v>19</v>
      </c>
      <c r="G897" s="15" t="s">
        <v>189</v>
      </c>
      <c r="J897" s="15"/>
    </row>
    <row r="898" spans="1:10" s="8" customFormat="1">
      <c r="A898" s="13"/>
      <c r="B898" s="8" t="s">
        <v>1650</v>
      </c>
      <c r="C898" s="287">
        <v>10000</v>
      </c>
      <c r="D898" s="284">
        <v>0</v>
      </c>
      <c r="E898" s="284">
        <f t="shared" si="13"/>
        <v>0</v>
      </c>
      <c r="F898" s="15" t="s">
        <v>19</v>
      </c>
      <c r="G898" s="15" t="s">
        <v>189</v>
      </c>
      <c r="J898" s="15"/>
    </row>
    <row r="899" spans="1:10" s="204" customFormat="1">
      <c r="A899" s="13">
        <v>45811</v>
      </c>
      <c r="B899" s="8" t="s">
        <v>2045</v>
      </c>
      <c r="C899" s="284">
        <v>0</v>
      </c>
      <c r="D899" s="284">
        <v>156000</v>
      </c>
      <c r="E899" s="284">
        <f t="shared" si="13"/>
        <v>156000</v>
      </c>
      <c r="F899" s="8" t="s">
        <v>920</v>
      </c>
      <c r="G899" t="s">
        <v>4250</v>
      </c>
      <c r="H899" t="s">
        <v>368</v>
      </c>
    </row>
    <row r="900" spans="1:10" s="8" customFormat="1">
      <c r="A900" s="13"/>
      <c r="B900" s="8" t="s">
        <v>3294</v>
      </c>
      <c r="C900" s="284">
        <v>146000</v>
      </c>
      <c r="D900" s="284">
        <v>0</v>
      </c>
      <c r="E900" s="284">
        <f t="shared" si="13"/>
        <v>10000</v>
      </c>
      <c r="F900" s="15" t="s">
        <v>1643</v>
      </c>
      <c r="G900" s="15" t="s">
        <v>5</v>
      </c>
      <c r="H900" s="40" t="s">
        <v>7814</v>
      </c>
      <c r="I900" s="8" t="s">
        <v>26</v>
      </c>
    </row>
    <row r="901" spans="1:10" s="8" customFormat="1">
      <c r="A901" s="13"/>
      <c r="B901" s="8" t="s">
        <v>1650</v>
      </c>
      <c r="C901" s="287">
        <v>10000</v>
      </c>
      <c r="D901" s="284">
        <v>0</v>
      </c>
      <c r="E901" s="284">
        <f t="shared" si="13"/>
        <v>0</v>
      </c>
      <c r="F901" s="15" t="s">
        <v>19</v>
      </c>
      <c r="G901" s="15" t="s">
        <v>189</v>
      </c>
      <c r="J901" s="15"/>
    </row>
    <row r="902" spans="1:10" s="204" customFormat="1">
      <c r="A902" s="13">
        <v>45811</v>
      </c>
      <c r="B902" s="8" t="s">
        <v>2043</v>
      </c>
      <c r="C902" s="284">
        <v>0</v>
      </c>
      <c r="D902" s="284">
        <v>900500</v>
      </c>
      <c r="E902" s="284">
        <f t="shared" ref="E902:E965" si="14">E901-C902+D902</f>
        <v>900500</v>
      </c>
      <c r="F902" s="8" t="s">
        <v>920</v>
      </c>
      <c r="G902" t="s">
        <v>4250</v>
      </c>
      <c r="H902" t="s">
        <v>100</v>
      </c>
    </row>
    <row r="903" spans="1:10" s="8" customFormat="1">
      <c r="A903" s="13"/>
      <c r="B903" s="8" t="s">
        <v>3295</v>
      </c>
      <c r="C903" s="287">
        <v>320500</v>
      </c>
      <c r="D903" s="284">
        <v>0</v>
      </c>
      <c r="E903" s="284">
        <f t="shared" si="14"/>
        <v>580000</v>
      </c>
      <c r="F903" s="15" t="s">
        <v>1643</v>
      </c>
      <c r="G903" s="15" t="s">
        <v>5</v>
      </c>
      <c r="H903" s="8" t="s">
        <v>1452</v>
      </c>
      <c r="J903" s="15"/>
    </row>
    <row r="904" spans="1:10" s="8" customFormat="1">
      <c r="A904" s="13"/>
      <c r="B904" s="8" t="s">
        <v>3296</v>
      </c>
      <c r="C904" s="287">
        <v>200000</v>
      </c>
      <c r="D904" s="284">
        <v>0</v>
      </c>
      <c r="E904" s="284">
        <f t="shared" si="14"/>
        <v>380000</v>
      </c>
      <c r="F904" s="15" t="s">
        <v>1643</v>
      </c>
      <c r="G904" s="15" t="s">
        <v>5</v>
      </c>
      <c r="H904" s="8" t="s">
        <v>1452</v>
      </c>
      <c r="J904" s="15"/>
    </row>
    <row r="905" spans="1:10" s="8" customFormat="1">
      <c r="A905" s="13"/>
      <c r="B905" s="8" t="s">
        <v>3297</v>
      </c>
      <c r="C905" s="287">
        <v>380000</v>
      </c>
      <c r="D905" s="284">
        <v>0</v>
      </c>
      <c r="E905" s="284">
        <f t="shared" si="14"/>
        <v>0</v>
      </c>
      <c r="F905" s="15" t="s">
        <v>1643</v>
      </c>
      <c r="G905" s="15" t="s">
        <v>5</v>
      </c>
      <c r="H905" s="8" t="s">
        <v>1452</v>
      </c>
      <c r="J905" s="15"/>
    </row>
    <row r="906" spans="1:10" s="204" customFormat="1">
      <c r="A906" s="13">
        <v>45822</v>
      </c>
      <c r="B906" s="8" t="s">
        <v>2098</v>
      </c>
      <c r="C906" s="284">
        <v>0</v>
      </c>
      <c r="D906" s="284">
        <v>5378285</v>
      </c>
      <c r="E906" s="284">
        <f t="shared" si="14"/>
        <v>5378285</v>
      </c>
      <c r="F906" s="8" t="s">
        <v>920</v>
      </c>
      <c r="G906" t="s">
        <v>4250</v>
      </c>
      <c r="H906" t="s">
        <v>51</v>
      </c>
    </row>
    <row r="907" spans="1:10" s="8" customFormat="1">
      <c r="A907" s="13"/>
      <c r="B907" s="8" t="s">
        <v>1661</v>
      </c>
      <c r="C907" s="287">
        <v>10000</v>
      </c>
      <c r="D907" s="284">
        <v>0</v>
      </c>
      <c r="E907" s="284">
        <f t="shared" si="14"/>
        <v>5368285</v>
      </c>
      <c r="F907" s="15" t="s">
        <v>19</v>
      </c>
      <c r="G907" s="15" t="s">
        <v>189</v>
      </c>
      <c r="J907" s="15"/>
    </row>
    <row r="908" spans="1:10" s="8" customFormat="1">
      <c r="A908" s="13"/>
      <c r="B908" s="8" t="s">
        <v>6136</v>
      </c>
      <c r="C908" s="284">
        <v>174326</v>
      </c>
      <c r="D908" s="284">
        <v>0</v>
      </c>
      <c r="E908" s="284">
        <f t="shared" si="14"/>
        <v>5193959</v>
      </c>
      <c r="F908" s="8" t="s">
        <v>1209</v>
      </c>
      <c r="G908" s="8" t="s">
        <v>69</v>
      </c>
      <c r="H908" s="8" t="s">
        <v>26</v>
      </c>
    </row>
    <row r="909" spans="1:10" s="8" customFormat="1">
      <c r="A909" s="13"/>
      <c r="B909" s="8" t="s">
        <v>3298</v>
      </c>
      <c r="C909" s="287">
        <v>2986200</v>
      </c>
      <c r="D909" s="284">
        <v>0</v>
      </c>
      <c r="E909" s="284">
        <f t="shared" si="14"/>
        <v>2207759</v>
      </c>
      <c r="F909" s="15" t="s">
        <v>62</v>
      </c>
      <c r="G909" s="15" t="s">
        <v>70</v>
      </c>
      <c r="H909" s="8" t="s">
        <v>308</v>
      </c>
      <c r="J909" s="15"/>
    </row>
    <row r="910" spans="1:10" s="8" customFormat="1">
      <c r="A910" s="13"/>
      <c r="B910" s="8" t="s">
        <v>3299</v>
      </c>
      <c r="C910" s="287">
        <v>659591</v>
      </c>
      <c r="D910" s="284">
        <v>0</v>
      </c>
      <c r="E910" s="284">
        <f t="shared" si="14"/>
        <v>1548168</v>
      </c>
      <c r="F910" s="15" t="s">
        <v>62</v>
      </c>
      <c r="G910" s="15" t="s">
        <v>70</v>
      </c>
      <c r="H910" s="8" t="s">
        <v>308</v>
      </c>
      <c r="J910" s="15"/>
    </row>
    <row r="911" spans="1:10" s="8" customFormat="1">
      <c r="A911" s="13"/>
      <c r="B911" s="8" t="s">
        <v>3301</v>
      </c>
      <c r="C911" s="287">
        <v>649870</v>
      </c>
      <c r="D911" s="284">
        <v>0</v>
      </c>
      <c r="E911" s="284">
        <f t="shared" si="14"/>
        <v>898298</v>
      </c>
      <c r="F911" s="15" t="s">
        <v>1643</v>
      </c>
      <c r="G911" s="15" t="s">
        <v>5</v>
      </c>
      <c r="H911" s="8" t="s">
        <v>1609</v>
      </c>
      <c r="J911" s="15"/>
    </row>
    <row r="912" spans="1:10" s="8" customFormat="1">
      <c r="A912" s="13"/>
      <c r="B912" s="8" t="s">
        <v>3302</v>
      </c>
      <c r="C912" s="284">
        <v>80000</v>
      </c>
      <c r="D912" s="284">
        <v>0</v>
      </c>
      <c r="E912" s="284">
        <f t="shared" si="14"/>
        <v>818298</v>
      </c>
      <c r="F912" s="8" t="s">
        <v>62</v>
      </c>
      <c r="G912" s="8" t="s">
        <v>63</v>
      </c>
      <c r="H912" s="8" t="s">
        <v>308</v>
      </c>
    </row>
    <row r="913" spans="1:10" s="8" customFormat="1">
      <c r="A913" s="13"/>
      <c r="B913" s="8" t="s">
        <v>3303</v>
      </c>
      <c r="C913" s="284">
        <v>247000</v>
      </c>
      <c r="D913" s="284">
        <v>0</v>
      </c>
      <c r="E913" s="284">
        <f t="shared" si="14"/>
        <v>571298</v>
      </c>
      <c r="F913" s="8" t="s">
        <v>62</v>
      </c>
      <c r="G913" s="8" t="s">
        <v>63</v>
      </c>
      <c r="H913" s="8" t="s">
        <v>308</v>
      </c>
    </row>
    <row r="914" spans="1:10" s="8" customFormat="1">
      <c r="A914" s="13"/>
      <c r="B914" s="8" t="s">
        <v>3304</v>
      </c>
      <c r="C914" s="287">
        <v>462300</v>
      </c>
      <c r="D914" s="284">
        <v>0</v>
      </c>
      <c r="E914" s="284">
        <f t="shared" si="14"/>
        <v>108998</v>
      </c>
      <c r="F914" s="15" t="s">
        <v>21</v>
      </c>
      <c r="G914" s="15" t="s">
        <v>187</v>
      </c>
      <c r="J914" s="15"/>
    </row>
    <row r="915" spans="1:10" s="8" customFormat="1">
      <c r="A915" s="13"/>
      <c r="B915" s="8" t="s">
        <v>3305</v>
      </c>
      <c r="C915" s="287">
        <v>108998</v>
      </c>
      <c r="D915" s="284">
        <v>0</v>
      </c>
      <c r="E915" s="284">
        <f t="shared" si="14"/>
        <v>0</v>
      </c>
      <c r="F915" s="15" t="s">
        <v>19</v>
      </c>
      <c r="G915" s="15" t="s">
        <v>65</v>
      </c>
      <c r="J915" s="15"/>
    </row>
    <row r="916" spans="1:10" s="204" customFormat="1">
      <c r="A916" s="13">
        <v>45822</v>
      </c>
      <c r="B916" s="8" t="s">
        <v>2097</v>
      </c>
      <c r="C916" s="284">
        <v>0</v>
      </c>
      <c r="D916" s="284">
        <v>30382770</v>
      </c>
      <c r="E916" s="284">
        <f t="shared" si="14"/>
        <v>30382770</v>
      </c>
      <c r="F916" s="8" t="s">
        <v>920</v>
      </c>
      <c r="G916" t="s">
        <v>4250</v>
      </c>
      <c r="H916" t="s">
        <v>51</v>
      </c>
    </row>
    <row r="917" spans="1:10" s="8" customFormat="1">
      <c r="A917" s="13"/>
      <c r="B917" s="8" t="s">
        <v>3306</v>
      </c>
      <c r="C917" s="284">
        <v>431000</v>
      </c>
      <c r="D917" s="284">
        <v>0</v>
      </c>
      <c r="E917" s="284">
        <f t="shared" si="14"/>
        <v>29951770</v>
      </c>
      <c r="F917" s="15" t="s">
        <v>1643</v>
      </c>
      <c r="G917" s="15" t="s">
        <v>5</v>
      </c>
      <c r="H917" s="40" t="s">
        <v>7814</v>
      </c>
      <c r="I917" s="8" t="s">
        <v>26</v>
      </c>
    </row>
    <row r="918" spans="1:10" s="8" customFormat="1">
      <c r="A918" s="13"/>
      <c r="B918" s="8" t="s">
        <v>1661</v>
      </c>
      <c r="C918" s="287">
        <v>10000</v>
      </c>
      <c r="D918" s="284">
        <v>0</v>
      </c>
      <c r="E918" s="284">
        <f t="shared" si="14"/>
        <v>29941770</v>
      </c>
      <c r="F918" s="15" t="s">
        <v>19</v>
      </c>
      <c r="G918" s="15" t="s">
        <v>189</v>
      </c>
      <c r="J918" s="15"/>
    </row>
    <row r="919" spans="1:10" s="8" customFormat="1">
      <c r="A919" s="13"/>
      <c r="B919" s="8" t="s">
        <v>3307</v>
      </c>
      <c r="C919" s="287">
        <v>15159870</v>
      </c>
      <c r="D919" s="284">
        <v>0</v>
      </c>
      <c r="E919" s="284">
        <f t="shared" si="14"/>
        <v>14781900</v>
      </c>
      <c r="F919" s="15" t="s">
        <v>62</v>
      </c>
      <c r="G919" s="15" t="s">
        <v>70</v>
      </c>
      <c r="H919" s="8" t="s">
        <v>308</v>
      </c>
      <c r="J919" s="15"/>
    </row>
    <row r="920" spans="1:10" s="8" customFormat="1">
      <c r="A920" s="13"/>
      <c r="B920" s="8" t="s">
        <v>3308</v>
      </c>
      <c r="C920" s="287">
        <v>10411075</v>
      </c>
      <c r="D920" s="284">
        <v>0</v>
      </c>
      <c r="E920" s="284">
        <f t="shared" si="14"/>
        <v>4370825</v>
      </c>
      <c r="F920" s="15" t="s">
        <v>62</v>
      </c>
      <c r="G920" s="15" t="s">
        <v>70</v>
      </c>
      <c r="H920" s="8" t="s">
        <v>308</v>
      </c>
      <c r="J920" s="15"/>
    </row>
    <row r="921" spans="1:10" s="8" customFormat="1">
      <c r="A921" s="13"/>
      <c r="B921" s="8" t="s">
        <v>3309</v>
      </c>
      <c r="C921" s="287">
        <v>4370826</v>
      </c>
      <c r="D921" s="284">
        <v>0</v>
      </c>
      <c r="E921" s="284">
        <f t="shared" si="14"/>
        <v>-1</v>
      </c>
      <c r="F921" s="15" t="s">
        <v>62</v>
      </c>
      <c r="G921" s="15" t="s">
        <v>70</v>
      </c>
      <c r="H921" s="8" t="s">
        <v>308</v>
      </c>
      <c r="J921" s="15"/>
    </row>
    <row r="922" spans="1:10" s="8" customFormat="1">
      <c r="A922" s="13"/>
      <c r="B922" s="8" t="s">
        <v>3300</v>
      </c>
      <c r="C922" s="284">
        <v>0</v>
      </c>
      <c r="D922" s="284">
        <v>1</v>
      </c>
      <c r="E922" s="284">
        <f t="shared" si="14"/>
        <v>0</v>
      </c>
      <c r="F922" s="8" t="s">
        <v>1209</v>
      </c>
      <c r="G922" s="8" t="s">
        <v>69</v>
      </c>
    </row>
    <row r="923" spans="1:10" s="204" customFormat="1">
      <c r="A923" s="13">
        <v>45840</v>
      </c>
      <c r="B923" s="8" t="s">
        <v>2350</v>
      </c>
      <c r="C923" s="284">
        <v>0</v>
      </c>
      <c r="D923" s="284">
        <v>15074170</v>
      </c>
      <c r="E923" s="284">
        <f t="shared" si="14"/>
        <v>15074170</v>
      </c>
      <c r="F923" s="8" t="s">
        <v>920</v>
      </c>
      <c r="G923" t="s">
        <v>4250</v>
      </c>
      <c r="H923" s="80" t="s">
        <v>368</v>
      </c>
    </row>
    <row r="924" spans="1:10" s="8" customFormat="1">
      <c r="A924" s="13"/>
      <c r="B924" s="8" t="s">
        <v>6099</v>
      </c>
      <c r="C924" s="289">
        <v>0</v>
      </c>
      <c r="D924" s="290">
        <v>156000</v>
      </c>
      <c r="E924" s="284">
        <f t="shared" si="14"/>
        <v>15230170</v>
      </c>
      <c r="F924" s="15" t="s">
        <v>6</v>
      </c>
      <c r="G924" s="15" t="s">
        <v>24</v>
      </c>
      <c r="H924" s="8" t="s">
        <v>25</v>
      </c>
      <c r="J924" s="15"/>
    </row>
    <row r="925" spans="1:10" s="204" customFormat="1">
      <c r="A925" s="13">
        <v>45804</v>
      </c>
      <c r="B925" s="8" t="s">
        <v>2022</v>
      </c>
      <c r="C925" s="284">
        <v>0</v>
      </c>
      <c r="D925" s="284">
        <v>250000000</v>
      </c>
      <c r="E925" s="284">
        <f t="shared" si="14"/>
        <v>265230170</v>
      </c>
      <c r="F925" s="8" t="s">
        <v>920</v>
      </c>
      <c r="G925" t="s">
        <v>4250</v>
      </c>
      <c r="H925" s="80" t="s">
        <v>368</v>
      </c>
    </row>
    <row r="926" spans="1:10" s="8" customFormat="1">
      <c r="A926" s="13"/>
      <c r="B926" s="8" t="s">
        <v>3310</v>
      </c>
      <c r="C926" s="287">
        <v>435600</v>
      </c>
      <c r="D926" s="284">
        <v>0</v>
      </c>
      <c r="E926" s="284">
        <f t="shared" si="14"/>
        <v>264794570</v>
      </c>
      <c r="F926" s="15" t="s">
        <v>1643</v>
      </c>
      <c r="G926" s="15" t="s">
        <v>5</v>
      </c>
      <c r="H926" s="8" t="s">
        <v>1376</v>
      </c>
      <c r="J926" s="15"/>
    </row>
    <row r="927" spans="1:10" s="8" customFormat="1">
      <c r="A927" s="13"/>
      <c r="B927" s="8" t="s">
        <v>3311</v>
      </c>
      <c r="C927" s="287">
        <v>173250</v>
      </c>
      <c r="D927" s="284">
        <v>0</v>
      </c>
      <c r="E927" s="284">
        <f t="shared" si="14"/>
        <v>264621320</v>
      </c>
      <c r="F927" s="15" t="s">
        <v>1643</v>
      </c>
      <c r="G927" s="15" t="s">
        <v>5</v>
      </c>
      <c r="H927" s="8" t="s">
        <v>1376</v>
      </c>
      <c r="J927" s="15"/>
    </row>
    <row r="928" spans="1:10" s="8" customFormat="1">
      <c r="A928" s="13"/>
      <c r="B928" s="8" t="s">
        <v>3312</v>
      </c>
      <c r="C928" s="287">
        <v>2000000</v>
      </c>
      <c r="D928" s="284">
        <v>0</v>
      </c>
      <c r="E928" s="284">
        <f t="shared" si="14"/>
        <v>262621320</v>
      </c>
      <c r="F928" s="15" t="s">
        <v>1643</v>
      </c>
      <c r="G928" s="15" t="s">
        <v>5</v>
      </c>
      <c r="H928" s="8" t="s">
        <v>1376</v>
      </c>
      <c r="J928" s="15"/>
    </row>
    <row r="929" spans="1:10" s="8" customFormat="1">
      <c r="A929" s="13"/>
      <c r="B929" s="8" t="s">
        <v>3313</v>
      </c>
      <c r="C929" s="287">
        <v>2600000</v>
      </c>
      <c r="D929" s="284">
        <v>0</v>
      </c>
      <c r="E929" s="284">
        <f t="shared" si="14"/>
        <v>260021320</v>
      </c>
      <c r="F929" s="15" t="s">
        <v>1643</v>
      </c>
      <c r="G929" s="15" t="s">
        <v>5</v>
      </c>
      <c r="H929" s="8" t="s">
        <v>1376</v>
      </c>
      <c r="J929" s="15"/>
    </row>
    <row r="930" spans="1:10" s="8" customFormat="1">
      <c r="A930" s="13"/>
      <c r="B930" s="8" t="s">
        <v>3314</v>
      </c>
      <c r="C930" s="287">
        <v>1000000</v>
      </c>
      <c r="D930" s="284">
        <v>0</v>
      </c>
      <c r="E930" s="284">
        <f t="shared" si="14"/>
        <v>259021320</v>
      </c>
      <c r="F930" s="15" t="s">
        <v>1643</v>
      </c>
      <c r="G930" s="15" t="s">
        <v>5</v>
      </c>
      <c r="H930" s="8" t="s">
        <v>1376</v>
      </c>
      <c r="J930" s="15"/>
    </row>
    <row r="931" spans="1:10" s="8" customFormat="1">
      <c r="A931" s="13"/>
      <c r="B931" s="8" t="s">
        <v>3315</v>
      </c>
      <c r="C931" s="287">
        <v>47115100</v>
      </c>
      <c r="D931" s="284">
        <v>0</v>
      </c>
      <c r="E931" s="284">
        <f t="shared" si="14"/>
        <v>211906220</v>
      </c>
      <c r="F931" s="15" t="s">
        <v>1643</v>
      </c>
      <c r="G931" s="15" t="s">
        <v>5</v>
      </c>
      <c r="H931" s="8" t="s">
        <v>1376</v>
      </c>
      <c r="J931" s="15"/>
    </row>
    <row r="932" spans="1:10" s="8" customFormat="1">
      <c r="A932" s="13"/>
      <c r="B932" s="8" t="s">
        <v>3312</v>
      </c>
      <c r="C932" s="287">
        <v>18303800</v>
      </c>
      <c r="D932" s="284">
        <v>0</v>
      </c>
      <c r="E932" s="284">
        <f t="shared" si="14"/>
        <v>193602420</v>
      </c>
      <c r="F932" s="15" t="s">
        <v>1643</v>
      </c>
      <c r="G932" s="15" t="s">
        <v>5</v>
      </c>
      <c r="H932" s="8" t="s">
        <v>1376</v>
      </c>
      <c r="J932" s="15"/>
    </row>
    <row r="933" spans="1:10" s="8" customFormat="1">
      <c r="A933" s="13"/>
      <c r="B933" s="8" t="s">
        <v>3316</v>
      </c>
      <c r="C933" s="287">
        <v>33404170</v>
      </c>
      <c r="D933" s="284">
        <v>0</v>
      </c>
      <c r="E933" s="284">
        <f t="shared" si="14"/>
        <v>160198250</v>
      </c>
      <c r="F933" s="15" t="s">
        <v>1643</v>
      </c>
      <c r="G933" s="15" t="s">
        <v>5</v>
      </c>
      <c r="H933" s="8" t="s">
        <v>1376</v>
      </c>
      <c r="J933" s="15"/>
    </row>
    <row r="934" spans="1:10" s="8" customFormat="1">
      <c r="A934" s="13"/>
      <c r="B934" s="8" t="s">
        <v>3317</v>
      </c>
      <c r="C934" s="287">
        <v>149900000</v>
      </c>
      <c r="D934" s="284">
        <v>0</v>
      </c>
      <c r="E934" s="284">
        <f t="shared" si="14"/>
        <v>10298250</v>
      </c>
      <c r="F934" s="15" t="s">
        <v>1643</v>
      </c>
      <c r="G934" s="15" t="s">
        <v>5</v>
      </c>
      <c r="H934" s="8" t="s">
        <v>2326</v>
      </c>
      <c r="J934" s="15"/>
    </row>
    <row r="935" spans="1:10" s="8" customFormat="1">
      <c r="A935" s="13"/>
      <c r="B935" s="8" t="s">
        <v>3318</v>
      </c>
      <c r="C935" s="287">
        <v>265600</v>
      </c>
      <c r="D935" s="284">
        <v>0</v>
      </c>
      <c r="E935" s="284">
        <f t="shared" si="14"/>
        <v>10032650</v>
      </c>
      <c r="F935" s="15" t="s">
        <v>1643</v>
      </c>
      <c r="G935" s="15" t="s">
        <v>5</v>
      </c>
      <c r="H935" s="8" t="s">
        <v>2326</v>
      </c>
      <c r="J935" s="15"/>
    </row>
    <row r="936" spans="1:10" s="8" customFormat="1">
      <c r="A936" s="13"/>
      <c r="B936" s="8" t="s">
        <v>3319</v>
      </c>
      <c r="C936" s="287">
        <v>229500</v>
      </c>
      <c r="D936" s="284">
        <v>0</v>
      </c>
      <c r="E936" s="284">
        <f t="shared" si="14"/>
        <v>9803150</v>
      </c>
      <c r="F936" s="15" t="s">
        <v>1643</v>
      </c>
      <c r="G936" s="15" t="s">
        <v>5</v>
      </c>
      <c r="H936" s="8" t="s">
        <v>2326</v>
      </c>
      <c r="J936" s="15"/>
    </row>
    <row r="937" spans="1:10" s="8" customFormat="1">
      <c r="A937" s="13"/>
      <c r="B937" s="8" t="s">
        <v>3320</v>
      </c>
      <c r="C937" s="287">
        <v>459000</v>
      </c>
      <c r="D937" s="284">
        <v>0</v>
      </c>
      <c r="E937" s="284">
        <f t="shared" si="14"/>
        <v>9344150</v>
      </c>
      <c r="F937" s="15" t="s">
        <v>1643</v>
      </c>
      <c r="G937" s="15" t="s">
        <v>5</v>
      </c>
      <c r="H937" s="8" t="s">
        <v>2326</v>
      </c>
      <c r="J937" s="15"/>
    </row>
    <row r="938" spans="1:10" s="8" customFormat="1">
      <c r="A938" s="13"/>
      <c r="B938" s="8" t="s">
        <v>3321</v>
      </c>
      <c r="C938" s="287">
        <v>391600</v>
      </c>
      <c r="D938" s="284">
        <v>0</v>
      </c>
      <c r="E938" s="284">
        <f t="shared" si="14"/>
        <v>8952550</v>
      </c>
      <c r="F938" s="15" t="s">
        <v>1643</v>
      </c>
      <c r="G938" s="15" t="s">
        <v>5</v>
      </c>
      <c r="H938" s="8" t="s">
        <v>2326</v>
      </c>
      <c r="J938" s="15"/>
    </row>
    <row r="939" spans="1:10" s="8" customFormat="1">
      <c r="A939" s="13"/>
      <c r="B939" s="8" t="s">
        <v>3322</v>
      </c>
      <c r="C939" s="287">
        <v>4000000</v>
      </c>
      <c r="D939" s="284">
        <v>0</v>
      </c>
      <c r="E939" s="284">
        <f t="shared" si="14"/>
        <v>4952550</v>
      </c>
      <c r="F939" s="15" t="s">
        <v>1643</v>
      </c>
      <c r="G939" s="15" t="s">
        <v>5</v>
      </c>
      <c r="H939" s="8" t="s">
        <v>2326</v>
      </c>
      <c r="J939" s="15"/>
    </row>
    <row r="940" spans="1:10" s="8" customFormat="1">
      <c r="A940" s="13"/>
      <c r="B940" s="8" t="s">
        <v>3323</v>
      </c>
      <c r="C940" s="284">
        <v>702650</v>
      </c>
      <c r="D940" s="284">
        <v>0</v>
      </c>
      <c r="E940" s="284">
        <f t="shared" si="14"/>
        <v>4249900</v>
      </c>
      <c r="F940" s="8" t="s">
        <v>21</v>
      </c>
      <c r="G940" s="8" t="s">
        <v>22</v>
      </c>
    </row>
    <row r="941" spans="1:10" s="8" customFormat="1">
      <c r="A941" s="13"/>
      <c r="B941" s="8" t="s">
        <v>1641</v>
      </c>
      <c r="C941" s="287">
        <v>7500</v>
      </c>
      <c r="D941" s="284">
        <v>0</v>
      </c>
      <c r="E941" s="284">
        <f t="shared" si="14"/>
        <v>4242400</v>
      </c>
      <c r="F941" s="15" t="s">
        <v>19</v>
      </c>
      <c r="G941" s="15" t="s">
        <v>189</v>
      </c>
      <c r="J941" s="15"/>
    </row>
    <row r="942" spans="1:10" s="8" customFormat="1">
      <c r="A942" s="13"/>
      <c r="B942" s="8" t="s">
        <v>3324</v>
      </c>
      <c r="C942" s="287">
        <v>750000</v>
      </c>
      <c r="D942" s="284">
        <v>0</v>
      </c>
      <c r="E942" s="284">
        <f t="shared" si="14"/>
        <v>3492400</v>
      </c>
      <c r="F942" s="15" t="s">
        <v>1643</v>
      </c>
      <c r="G942" s="15" t="s">
        <v>5</v>
      </c>
      <c r="H942" s="8" t="s">
        <v>1622</v>
      </c>
      <c r="J942" s="15"/>
    </row>
    <row r="943" spans="1:10" s="8" customFormat="1">
      <c r="A943" s="13"/>
      <c r="B943" s="8" t="s">
        <v>3324</v>
      </c>
      <c r="C943" s="287">
        <v>750000</v>
      </c>
      <c r="D943" s="284">
        <v>0</v>
      </c>
      <c r="E943" s="284">
        <f t="shared" si="14"/>
        <v>2742400</v>
      </c>
      <c r="F943" s="15" t="s">
        <v>1643</v>
      </c>
      <c r="G943" s="15" t="s">
        <v>5</v>
      </c>
      <c r="H943" s="8" t="s">
        <v>1622</v>
      </c>
      <c r="J943" s="15"/>
    </row>
    <row r="944" spans="1:10" s="8" customFormat="1">
      <c r="A944" s="13"/>
      <c r="B944" s="8" t="s">
        <v>3325</v>
      </c>
      <c r="C944" s="287">
        <v>166320</v>
      </c>
      <c r="D944" s="284">
        <v>0</v>
      </c>
      <c r="E944" s="284">
        <f t="shared" si="14"/>
        <v>2576080</v>
      </c>
      <c r="F944" s="15" t="s">
        <v>1643</v>
      </c>
      <c r="G944" s="15" t="s">
        <v>5</v>
      </c>
      <c r="H944" s="8" t="s">
        <v>1622</v>
      </c>
      <c r="J944" s="15"/>
    </row>
    <row r="945" spans="1:10" s="8" customFormat="1">
      <c r="A945" s="13"/>
      <c r="B945" s="8" t="s">
        <v>3326</v>
      </c>
      <c r="C945" s="287">
        <v>2566080</v>
      </c>
      <c r="D945" s="284">
        <v>0</v>
      </c>
      <c r="E945" s="284">
        <f t="shared" si="14"/>
        <v>10000</v>
      </c>
      <c r="F945" s="15" t="s">
        <v>1643</v>
      </c>
      <c r="G945" s="15" t="s">
        <v>5</v>
      </c>
      <c r="H945" s="8" t="s">
        <v>1622</v>
      </c>
      <c r="J945" s="15"/>
    </row>
    <row r="946" spans="1:10" s="8" customFormat="1">
      <c r="A946" s="13"/>
      <c r="B946" s="8" t="s">
        <v>1650</v>
      </c>
      <c r="C946" s="287">
        <v>10000</v>
      </c>
      <c r="D946" s="284">
        <v>0</v>
      </c>
      <c r="E946" s="284">
        <f t="shared" si="14"/>
        <v>0</v>
      </c>
      <c r="F946" s="15" t="s">
        <v>19</v>
      </c>
      <c r="G946" s="15" t="s">
        <v>189</v>
      </c>
      <c r="J946" s="15"/>
    </row>
    <row r="947" spans="1:10" s="8" customFormat="1">
      <c r="A947" s="13">
        <v>45855</v>
      </c>
      <c r="B947" s="8" t="s">
        <v>2973</v>
      </c>
      <c r="C947" s="284">
        <v>0</v>
      </c>
      <c r="D947" s="284">
        <v>17990922</v>
      </c>
      <c r="E947" s="284">
        <f t="shared" si="14"/>
        <v>17990922</v>
      </c>
      <c r="F947" s="8" t="s">
        <v>920</v>
      </c>
      <c r="G947" t="s">
        <v>4254</v>
      </c>
    </row>
    <row r="948" spans="1:10" s="8" customFormat="1">
      <c r="A948" s="13"/>
      <c r="B948" s="8" t="s">
        <v>1694</v>
      </c>
      <c r="C948" s="284">
        <v>337100</v>
      </c>
      <c r="D948" s="284">
        <v>0</v>
      </c>
      <c r="E948" s="284">
        <f t="shared" si="14"/>
        <v>17653822</v>
      </c>
      <c r="F948" s="8" t="s">
        <v>8</v>
      </c>
      <c r="G948" s="8" t="s">
        <v>14</v>
      </c>
      <c r="H948" s="8" t="s">
        <v>314</v>
      </c>
    </row>
    <row r="949" spans="1:10" s="8" customFormat="1">
      <c r="A949" s="13"/>
      <c r="B949" s="8" t="s">
        <v>3327</v>
      </c>
      <c r="C949" s="284">
        <v>1573907</v>
      </c>
      <c r="D949" s="284">
        <v>0</v>
      </c>
      <c r="E949" s="284">
        <f t="shared" si="14"/>
        <v>16079915</v>
      </c>
      <c r="F949" s="8" t="s">
        <v>1643</v>
      </c>
      <c r="G949" s="8" t="s">
        <v>5</v>
      </c>
      <c r="H949" s="8" t="s">
        <v>2326</v>
      </c>
    </row>
    <row r="950" spans="1:10" s="8" customFormat="1">
      <c r="A950" s="13"/>
      <c r="B950" s="8" t="s">
        <v>1661</v>
      </c>
      <c r="C950" s="284">
        <v>10000</v>
      </c>
      <c r="D950" s="284">
        <v>0</v>
      </c>
      <c r="E950" s="284">
        <f t="shared" si="14"/>
        <v>16069915</v>
      </c>
      <c r="F950" s="8" t="s">
        <v>19</v>
      </c>
      <c r="G950" s="8" t="s">
        <v>189</v>
      </c>
    </row>
    <row r="951" spans="1:10" s="8" customFormat="1">
      <c r="A951" s="13"/>
      <c r="B951" s="8" t="s">
        <v>3328</v>
      </c>
      <c r="C951" s="284">
        <v>450000</v>
      </c>
      <c r="D951" s="284">
        <v>0</v>
      </c>
      <c r="E951" s="284">
        <f t="shared" si="14"/>
        <v>15619915</v>
      </c>
      <c r="F951" s="8" t="s">
        <v>8</v>
      </c>
      <c r="G951" s="8" t="s">
        <v>184</v>
      </c>
    </row>
    <row r="952" spans="1:10" s="8" customFormat="1">
      <c r="A952" s="13"/>
      <c r="B952" s="8" t="s">
        <v>3329</v>
      </c>
      <c r="C952" s="284">
        <v>629000</v>
      </c>
      <c r="D952" s="284">
        <v>0</v>
      </c>
      <c r="E952" s="284">
        <f t="shared" si="14"/>
        <v>14990915</v>
      </c>
      <c r="F952" t="s">
        <v>62</v>
      </c>
      <c r="G952" s="8" t="s">
        <v>70</v>
      </c>
      <c r="H952" s="8" t="s">
        <v>2447</v>
      </c>
    </row>
    <row r="953" spans="1:10" s="8" customFormat="1">
      <c r="A953" s="13"/>
      <c r="B953" s="8" t="s">
        <v>3330</v>
      </c>
      <c r="C953" s="284">
        <v>97899</v>
      </c>
      <c r="D953" s="284">
        <v>0</v>
      </c>
      <c r="E953" s="284">
        <f t="shared" si="14"/>
        <v>14893016</v>
      </c>
      <c r="F953" s="8" t="s">
        <v>62</v>
      </c>
      <c r="G953" s="8" t="s">
        <v>63</v>
      </c>
      <c r="H953" s="8" t="s">
        <v>308</v>
      </c>
    </row>
    <row r="954" spans="1:10" s="8" customFormat="1">
      <c r="A954" s="13"/>
      <c r="B954" s="8" t="s">
        <v>3331</v>
      </c>
      <c r="C954" s="284">
        <v>1545699</v>
      </c>
      <c r="D954" s="284">
        <v>0</v>
      </c>
      <c r="E954" s="284">
        <f t="shared" si="14"/>
        <v>13347317</v>
      </c>
      <c r="F954" s="8" t="s">
        <v>62</v>
      </c>
      <c r="G954" s="8" t="s">
        <v>63</v>
      </c>
      <c r="H954" s="8" t="s">
        <v>308</v>
      </c>
    </row>
    <row r="955" spans="1:10" s="8" customFormat="1">
      <c r="A955" s="13"/>
      <c r="B955" s="8" t="s">
        <v>3331</v>
      </c>
      <c r="C955" s="284">
        <v>1647000</v>
      </c>
      <c r="D955" s="284">
        <v>0</v>
      </c>
      <c r="E955" s="284">
        <f t="shared" si="14"/>
        <v>11700317</v>
      </c>
      <c r="F955" s="8" t="s">
        <v>62</v>
      </c>
      <c r="G955" s="8" t="s">
        <v>70</v>
      </c>
      <c r="H955" s="8" t="s">
        <v>308</v>
      </c>
    </row>
    <row r="956" spans="1:10" s="8" customFormat="1">
      <c r="A956" s="13"/>
      <c r="B956" s="8" t="s">
        <v>6137</v>
      </c>
      <c r="C956" s="284">
        <v>521318</v>
      </c>
      <c r="D956" s="284">
        <v>0</v>
      </c>
      <c r="E956" s="284">
        <f t="shared" si="14"/>
        <v>11178999</v>
      </c>
      <c r="F956" s="8" t="s">
        <v>10</v>
      </c>
      <c r="G956" s="8" t="s">
        <v>76</v>
      </c>
      <c r="H956" s="8" t="s">
        <v>45</v>
      </c>
    </row>
    <row r="957" spans="1:10" s="8" customFormat="1">
      <c r="A957" s="13"/>
      <c r="B957" s="8" t="s">
        <v>7080</v>
      </c>
      <c r="C957" s="290">
        <v>10071171</v>
      </c>
      <c r="D957" s="290">
        <v>0</v>
      </c>
      <c r="E957" s="290">
        <f t="shared" si="14"/>
        <v>1107828</v>
      </c>
      <c r="F957" t="s">
        <v>1212</v>
      </c>
      <c r="G957" t="s">
        <v>367</v>
      </c>
      <c r="H957" s="8" t="s">
        <v>6146</v>
      </c>
    </row>
    <row r="958" spans="1:10" s="8" customFormat="1">
      <c r="A958" s="13"/>
      <c r="B958" s="8" t="s">
        <v>7080</v>
      </c>
      <c r="C958" s="290">
        <f>11179000-C957</f>
        <v>1107829</v>
      </c>
      <c r="D958" s="290">
        <v>0</v>
      </c>
      <c r="E958" s="284">
        <f t="shared" si="14"/>
        <v>-1</v>
      </c>
      <c r="F958" t="s">
        <v>920</v>
      </c>
      <c r="G958" t="s">
        <v>7858</v>
      </c>
      <c r="H958" s="8" t="s">
        <v>7032</v>
      </c>
      <c r="I958" s="8" t="s">
        <v>4560</v>
      </c>
    </row>
    <row r="959" spans="1:10" s="8" customFormat="1">
      <c r="A959" s="13"/>
      <c r="B959" s="8" t="s">
        <v>3300</v>
      </c>
      <c r="C959" s="290">
        <v>0</v>
      </c>
      <c r="D959" s="290">
        <v>1</v>
      </c>
      <c r="E959" s="290">
        <f t="shared" si="14"/>
        <v>0</v>
      </c>
      <c r="F959" s="15" t="s">
        <v>1209</v>
      </c>
      <c r="G959" t="s">
        <v>192</v>
      </c>
    </row>
    <row r="960" spans="1:10" s="204" customFormat="1">
      <c r="A960" s="13">
        <v>45888</v>
      </c>
      <c r="B960" s="8" t="s">
        <v>2893</v>
      </c>
      <c r="C960" s="284">
        <v>0</v>
      </c>
      <c r="D960" s="284">
        <v>62927883</v>
      </c>
      <c r="E960" s="284">
        <f t="shared" si="14"/>
        <v>62927883</v>
      </c>
      <c r="F960" s="8" t="s">
        <v>920</v>
      </c>
      <c r="G960" t="s">
        <v>4250</v>
      </c>
      <c r="H960" t="s">
        <v>51</v>
      </c>
    </row>
    <row r="961" spans="1:10" s="8" customFormat="1">
      <c r="A961" s="13"/>
      <c r="B961" s="8" t="s">
        <v>3332</v>
      </c>
      <c r="C961" s="284">
        <v>347998</v>
      </c>
      <c r="D961" s="284">
        <v>0</v>
      </c>
      <c r="E961" s="284">
        <f t="shared" si="14"/>
        <v>62579885</v>
      </c>
      <c r="F961" s="8" t="s">
        <v>21</v>
      </c>
      <c r="G961" s="8" t="s">
        <v>187</v>
      </c>
    </row>
    <row r="962" spans="1:10" s="8" customFormat="1">
      <c r="A962" s="13"/>
      <c r="B962" s="8" t="s">
        <v>3333</v>
      </c>
      <c r="C962" s="284">
        <v>35000000</v>
      </c>
      <c r="D962" s="284">
        <v>0</v>
      </c>
      <c r="E962" s="284">
        <f t="shared" si="14"/>
        <v>27579885</v>
      </c>
      <c r="F962" s="8" t="s">
        <v>1643</v>
      </c>
      <c r="G962" s="8" t="s">
        <v>5</v>
      </c>
      <c r="H962" s="8" t="s">
        <v>3334</v>
      </c>
    </row>
    <row r="963" spans="1:10" s="8" customFormat="1">
      <c r="A963" s="13"/>
      <c r="B963" s="8" t="s">
        <v>3335</v>
      </c>
      <c r="C963" s="284">
        <v>282000</v>
      </c>
      <c r="D963" s="284">
        <v>0</v>
      </c>
      <c r="E963" s="284">
        <f t="shared" si="14"/>
        <v>27297885</v>
      </c>
      <c r="F963" s="8" t="s">
        <v>21</v>
      </c>
      <c r="G963" s="8" t="s">
        <v>22</v>
      </c>
    </row>
    <row r="964" spans="1:10" s="8" customFormat="1">
      <c r="A964" s="13"/>
      <c r="B964" s="8" t="s">
        <v>1661</v>
      </c>
      <c r="C964" s="284">
        <v>10000</v>
      </c>
      <c r="D964" s="284">
        <v>0</v>
      </c>
      <c r="E964" s="284">
        <f t="shared" si="14"/>
        <v>27287885</v>
      </c>
      <c r="F964" s="8" t="s">
        <v>19</v>
      </c>
      <c r="G964" s="8" t="s">
        <v>189</v>
      </c>
    </row>
    <row r="965" spans="1:10" s="8" customFormat="1">
      <c r="A965" s="13"/>
      <c r="B965" s="8" t="s">
        <v>3336</v>
      </c>
      <c r="C965" s="284">
        <v>1753356</v>
      </c>
      <c r="D965" s="284">
        <v>0</v>
      </c>
      <c r="E965" s="284">
        <f t="shared" si="14"/>
        <v>25534529</v>
      </c>
      <c r="F965" s="8" t="s">
        <v>1643</v>
      </c>
      <c r="G965" s="8" t="s">
        <v>5</v>
      </c>
      <c r="H965" s="8" t="s">
        <v>2320</v>
      </c>
    </row>
    <row r="966" spans="1:10" s="8" customFormat="1">
      <c r="A966" s="13"/>
      <c r="B966" s="8" t="s">
        <v>3337</v>
      </c>
      <c r="C966" s="284">
        <v>1632025</v>
      </c>
      <c r="D966" s="284">
        <v>0</v>
      </c>
      <c r="E966" s="284">
        <f t="shared" ref="E966:E1029" si="15">E965-C966+D966</f>
        <v>23902504</v>
      </c>
      <c r="F966" s="8" t="s">
        <v>1643</v>
      </c>
      <c r="G966" s="8" t="s">
        <v>5</v>
      </c>
      <c r="H966" s="8" t="s">
        <v>2320</v>
      </c>
    </row>
    <row r="967" spans="1:10" s="8" customFormat="1">
      <c r="A967" s="13"/>
      <c r="B967" s="8" t="s">
        <v>3336</v>
      </c>
      <c r="C967" s="284">
        <v>1035443</v>
      </c>
      <c r="D967" s="284">
        <v>0</v>
      </c>
      <c r="E967" s="284">
        <f t="shared" si="15"/>
        <v>22867061</v>
      </c>
      <c r="F967" s="8" t="s">
        <v>1643</v>
      </c>
      <c r="G967" s="8" t="s">
        <v>5</v>
      </c>
      <c r="H967" s="8" t="s">
        <v>2320</v>
      </c>
    </row>
    <row r="968" spans="1:10" s="8" customFormat="1">
      <c r="A968" s="13"/>
      <c r="B968" s="8" t="s">
        <v>7088</v>
      </c>
      <c r="C968" s="290">
        <f>10279000-C969</f>
        <v>9260360</v>
      </c>
      <c r="D968" s="290">
        <v>0</v>
      </c>
      <c r="E968" s="290">
        <f t="shared" si="15"/>
        <v>13606701</v>
      </c>
      <c r="F968" t="s">
        <v>1212</v>
      </c>
      <c r="G968" t="s">
        <v>367</v>
      </c>
      <c r="H968" s="8" t="s">
        <v>6147</v>
      </c>
    </row>
    <row r="969" spans="1:10" s="8" customFormat="1">
      <c r="A969" s="13"/>
      <c r="B969" s="8" t="s">
        <v>7088</v>
      </c>
      <c r="C969" s="290">
        <v>1018640</v>
      </c>
      <c r="D969" s="290">
        <v>0</v>
      </c>
      <c r="E969" s="284">
        <f t="shared" si="15"/>
        <v>12588061</v>
      </c>
      <c r="F969" t="s">
        <v>920</v>
      </c>
      <c r="G969" t="s">
        <v>7858</v>
      </c>
      <c r="H969" s="8" t="s">
        <v>7032</v>
      </c>
      <c r="I969" s="8" t="s">
        <v>4560</v>
      </c>
    </row>
    <row r="970" spans="1:10" s="8" customFormat="1">
      <c r="A970" s="13"/>
      <c r="B970" s="8" t="s">
        <v>3338</v>
      </c>
      <c r="C970" s="284">
        <v>89400</v>
      </c>
      <c r="D970" s="284">
        <v>0</v>
      </c>
      <c r="E970" s="284">
        <f t="shared" si="15"/>
        <v>12498661</v>
      </c>
      <c r="F970" s="8" t="s">
        <v>1643</v>
      </c>
      <c r="G970" s="8" t="s">
        <v>5</v>
      </c>
      <c r="H970" s="8" t="s">
        <v>2320</v>
      </c>
    </row>
    <row r="971" spans="1:10" s="8" customFormat="1">
      <c r="A971" s="13"/>
      <c r="B971" s="8" t="s">
        <v>3339</v>
      </c>
      <c r="C971" s="284">
        <v>1002843</v>
      </c>
      <c r="D971" s="284">
        <v>0</v>
      </c>
      <c r="E971" s="284">
        <f t="shared" si="15"/>
        <v>11495818</v>
      </c>
      <c r="F971" s="8" t="s">
        <v>62</v>
      </c>
      <c r="G971" s="8" t="s">
        <v>70</v>
      </c>
      <c r="H971" s="8" t="s">
        <v>308</v>
      </c>
    </row>
    <row r="972" spans="1:10" s="8" customFormat="1">
      <c r="A972" s="13"/>
      <c r="B972" s="8" t="s">
        <v>3340</v>
      </c>
      <c r="C972" s="284">
        <v>703588</v>
      </c>
      <c r="D972" s="284">
        <v>0</v>
      </c>
      <c r="E972" s="284">
        <f t="shared" si="15"/>
        <v>10792230</v>
      </c>
      <c r="F972" s="8" t="s">
        <v>1643</v>
      </c>
      <c r="G972" s="8" t="s">
        <v>5</v>
      </c>
      <c r="H972" s="8" t="s">
        <v>2320</v>
      </c>
    </row>
    <row r="973" spans="1:10" s="8" customFormat="1">
      <c r="A973" s="13"/>
      <c r="B973" s="8" t="s">
        <v>3341</v>
      </c>
      <c r="C973" s="284">
        <v>87000</v>
      </c>
      <c r="D973" s="284">
        <v>0</v>
      </c>
      <c r="E973" s="284">
        <f t="shared" si="15"/>
        <v>10705230</v>
      </c>
      <c r="F973" s="8" t="s">
        <v>62</v>
      </c>
      <c r="G973" s="8" t="s">
        <v>63</v>
      </c>
      <c r="H973" s="8" t="s">
        <v>308</v>
      </c>
    </row>
    <row r="974" spans="1:10" s="8" customFormat="1">
      <c r="A974" s="13"/>
      <c r="B974" s="8" t="s">
        <v>3342</v>
      </c>
      <c r="C974" s="287">
        <v>8050000</v>
      </c>
      <c r="D974" s="284">
        <v>0</v>
      </c>
      <c r="E974" s="284">
        <f t="shared" si="15"/>
        <v>2655230</v>
      </c>
      <c r="F974" s="15" t="s">
        <v>62</v>
      </c>
      <c r="G974" s="15" t="s">
        <v>70</v>
      </c>
      <c r="H974" s="8" t="s">
        <v>308</v>
      </c>
      <c r="J974" s="15"/>
    </row>
    <row r="975" spans="1:10" s="8" customFormat="1">
      <c r="A975" s="13"/>
      <c r="B975" s="8" t="s">
        <v>3343</v>
      </c>
      <c r="C975" s="287">
        <v>2228407</v>
      </c>
      <c r="D975" s="284">
        <v>0</v>
      </c>
      <c r="E975" s="284">
        <f t="shared" si="15"/>
        <v>426823</v>
      </c>
      <c r="F975" t="s">
        <v>62</v>
      </c>
      <c r="G975" s="15" t="s">
        <v>70</v>
      </c>
      <c r="H975" s="8" t="s">
        <v>308</v>
      </c>
      <c r="J975" s="15"/>
    </row>
    <row r="976" spans="1:10" s="8" customFormat="1">
      <c r="A976" s="13"/>
      <c r="B976" s="8" t="s">
        <v>3344</v>
      </c>
      <c r="C976" s="284">
        <v>279724</v>
      </c>
      <c r="D976" s="284">
        <v>0</v>
      </c>
      <c r="E976" s="284">
        <f t="shared" si="15"/>
        <v>147099</v>
      </c>
      <c r="F976" s="8" t="s">
        <v>62</v>
      </c>
      <c r="G976" s="8" t="s">
        <v>63</v>
      </c>
      <c r="H976" s="8" t="s">
        <v>308</v>
      </c>
    </row>
    <row r="977" spans="1:10" s="8" customFormat="1">
      <c r="A977" s="13"/>
      <c r="B977" s="8" t="s">
        <v>3345</v>
      </c>
      <c r="C977" s="284">
        <v>147100</v>
      </c>
      <c r="D977" s="284">
        <v>0</v>
      </c>
      <c r="E977" s="284">
        <f t="shared" si="15"/>
        <v>-1</v>
      </c>
      <c r="F977" s="8" t="s">
        <v>62</v>
      </c>
      <c r="G977" s="8" t="s">
        <v>63</v>
      </c>
      <c r="H977" s="8" t="s">
        <v>308</v>
      </c>
    </row>
    <row r="978" spans="1:10" s="8" customFormat="1">
      <c r="A978" s="13"/>
      <c r="B978" s="8" t="s">
        <v>3300</v>
      </c>
      <c r="C978" s="287">
        <v>0</v>
      </c>
      <c r="D978" s="284">
        <v>1</v>
      </c>
      <c r="E978" s="284">
        <f t="shared" si="15"/>
        <v>0</v>
      </c>
      <c r="F978" s="15" t="s">
        <v>1209</v>
      </c>
      <c r="G978" t="s">
        <v>192</v>
      </c>
      <c r="J978" s="15"/>
    </row>
    <row r="979" spans="1:10" s="8" customFormat="1">
      <c r="A979" s="13">
        <v>45918</v>
      </c>
      <c r="B979" s="8" t="s">
        <v>3561</v>
      </c>
      <c r="C979" s="287">
        <v>0</v>
      </c>
      <c r="D979" s="287">
        <v>30016306</v>
      </c>
      <c r="E979" s="284">
        <f t="shared" si="15"/>
        <v>30016306</v>
      </c>
      <c r="F979" s="15" t="s">
        <v>920</v>
      </c>
      <c r="G979" s="15" t="s">
        <v>4250</v>
      </c>
      <c r="H979" s="8" t="s">
        <v>51</v>
      </c>
      <c r="J979" s="15"/>
    </row>
    <row r="980" spans="1:10" s="8" customFormat="1">
      <c r="A980" s="13"/>
      <c r="B980" s="8" t="s">
        <v>4818</v>
      </c>
      <c r="C980" s="287">
        <v>5000</v>
      </c>
      <c r="D980" s="284">
        <v>0</v>
      </c>
      <c r="E980" s="284">
        <f t="shared" si="15"/>
        <v>30011306</v>
      </c>
      <c r="F980" s="15" t="s">
        <v>19</v>
      </c>
      <c r="G980" s="15" t="s">
        <v>189</v>
      </c>
      <c r="J980" s="15"/>
    </row>
    <row r="981" spans="1:10" s="8" customFormat="1">
      <c r="A981" s="13"/>
      <c r="B981" s="8" t="s">
        <v>4819</v>
      </c>
      <c r="C981" s="287">
        <v>13980000</v>
      </c>
      <c r="D981" s="284">
        <v>0</v>
      </c>
      <c r="E981" s="284">
        <f t="shared" si="15"/>
        <v>16031306</v>
      </c>
      <c r="F981" s="8" t="s">
        <v>10</v>
      </c>
      <c r="G981" s="8" t="s">
        <v>446</v>
      </c>
      <c r="H981" s="8" t="s">
        <v>3475</v>
      </c>
      <c r="I981" s="8" t="s">
        <v>26</v>
      </c>
      <c r="J981" s="15"/>
    </row>
    <row r="982" spans="1:10" s="8" customFormat="1">
      <c r="A982" s="13"/>
      <c r="B982" s="8" t="s">
        <v>4820</v>
      </c>
      <c r="C982" s="287">
        <v>1050000</v>
      </c>
      <c r="D982" s="284">
        <v>0</v>
      </c>
      <c r="E982" s="284">
        <f t="shared" si="15"/>
        <v>14981306</v>
      </c>
      <c r="F982" s="15" t="s">
        <v>10</v>
      </c>
      <c r="G982" s="15" t="s">
        <v>446</v>
      </c>
      <c r="H982" s="8" t="s">
        <v>3283</v>
      </c>
      <c r="I982" s="8" t="s">
        <v>26</v>
      </c>
      <c r="J982" s="15"/>
    </row>
    <row r="983" spans="1:10" s="8" customFormat="1">
      <c r="A983" s="13"/>
      <c r="B983" s="8" t="s">
        <v>4821</v>
      </c>
      <c r="C983" s="287">
        <v>815000</v>
      </c>
      <c r="D983" s="284">
        <v>0</v>
      </c>
      <c r="E983" s="284">
        <f t="shared" si="15"/>
        <v>14166306</v>
      </c>
      <c r="F983" s="15" t="s">
        <v>1643</v>
      </c>
      <c r="G983" s="15" t="s">
        <v>5</v>
      </c>
      <c r="H983" s="8" t="s">
        <v>3280</v>
      </c>
      <c r="J983" s="15"/>
    </row>
    <row r="984" spans="1:10" s="8" customFormat="1">
      <c r="A984" s="13"/>
      <c r="B984" s="8" t="s">
        <v>4822</v>
      </c>
      <c r="C984" s="287">
        <v>203500</v>
      </c>
      <c r="D984" s="284">
        <v>0</v>
      </c>
      <c r="E984" s="284">
        <f t="shared" si="15"/>
        <v>13962806</v>
      </c>
      <c r="F984" s="15" t="s">
        <v>21</v>
      </c>
      <c r="G984" s="15" t="s">
        <v>187</v>
      </c>
      <c r="J984" s="15"/>
    </row>
    <row r="985" spans="1:10" s="8" customFormat="1">
      <c r="A985" s="13"/>
      <c r="B985" s="8" t="s">
        <v>4823</v>
      </c>
      <c r="C985" s="284">
        <v>284880</v>
      </c>
      <c r="D985" s="284">
        <v>0</v>
      </c>
      <c r="E985" s="284">
        <f t="shared" si="15"/>
        <v>13677926</v>
      </c>
      <c r="F985" s="8" t="s">
        <v>8</v>
      </c>
      <c r="G985" s="8" t="s">
        <v>14</v>
      </c>
      <c r="H985" s="8" t="s">
        <v>314</v>
      </c>
    </row>
    <row r="986" spans="1:10" s="8" customFormat="1">
      <c r="A986" s="13"/>
      <c r="B986" s="8" t="s">
        <v>1694</v>
      </c>
      <c r="C986" s="284">
        <v>305600</v>
      </c>
      <c r="D986" s="284">
        <v>0</v>
      </c>
      <c r="E986" s="284">
        <f t="shared" si="15"/>
        <v>13372326</v>
      </c>
      <c r="F986" s="8" t="s">
        <v>8</v>
      </c>
      <c r="G986" s="8" t="s">
        <v>14</v>
      </c>
      <c r="H986" s="8" t="s">
        <v>314</v>
      </c>
    </row>
    <row r="987" spans="1:10" s="8" customFormat="1">
      <c r="A987" s="13"/>
      <c r="B987" s="8" t="s">
        <v>1661</v>
      </c>
      <c r="C987" s="287">
        <v>10000</v>
      </c>
      <c r="D987" s="284">
        <v>0</v>
      </c>
      <c r="E987" s="284">
        <f t="shared" si="15"/>
        <v>13362326</v>
      </c>
      <c r="F987" s="15" t="s">
        <v>19</v>
      </c>
      <c r="G987" s="15" t="s">
        <v>189</v>
      </c>
      <c r="J987" s="15"/>
    </row>
    <row r="988" spans="1:10" s="8" customFormat="1">
      <c r="A988" s="13"/>
      <c r="B988" s="8" t="s">
        <v>4824</v>
      </c>
      <c r="C988" s="284">
        <v>187470</v>
      </c>
      <c r="D988" s="284">
        <v>0</v>
      </c>
      <c r="E988" s="284">
        <f t="shared" si="15"/>
        <v>13174856</v>
      </c>
      <c r="F988" s="8" t="s">
        <v>62</v>
      </c>
      <c r="G988" s="8" t="s">
        <v>63</v>
      </c>
      <c r="H988" s="8" t="s">
        <v>308</v>
      </c>
    </row>
    <row r="989" spans="1:10" s="8" customFormat="1">
      <c r="A989" s="13"/>
      <c r="B989" s="8" t="s">
        <v>4824</v>
      </c>
      <c r="C989" s="284">
        <v>276705</v>
      </c>
      <c r="D989" s="284">
        <v>0</v>
      </c>
      <c r="E989" s="284">
        <f t="shared" si="15"/>
        <v>12898151</v>
      </c>
      <c r="F989" s="8" t="s">
        <v>62</v>
      </c>
      <c r="G989" s="8" t="s">
        <v>63</v>
      </c>
      <c r="H989" s="8" t="s">
        <v>308</v>
      </c>
    </row>
    <row r="990" spans="1:10" s="8" customFormat="1">
      <c r="A990" s="13"/>
      <c r="B990" s="8" t="s">
        <v>4825</v>
      </c>
      <c r="C990" s="287">
        <v>1426000</v>
      </c>
      <c r="D990" s="284">
        <v>0</v>
      </c>
      <c r="E990" s="284">
        <f t="shared" si="15"/>
        <v>11472151</v>
      </c>
      <c r="F990" s="15" t="s">
        <v>62</v>
      </c>
      <c r="G990" s="15" t="s">
        <v>70</v>
      </c>
      <c r="H990" s="8" t="s">
        <v>308</v>
      </c>
      <c r="J990" s="15"/>
    </row>
    <row r="991" spans="1:10" s="8" customFormat="1">
      <c r="A991" s="13"/>
      <c r="B991" s="8" t="s">
        <v>4826</v>
      </c>
      <c r="C991" s="284">
        <v>209297</v>
      </c>
      <c r="D991" s="284">
        <v>0</v>
      </c>
      <c r="E991" s="284">
        <f t="shared" si="15"/>
        <v>11262854</v>
      </c>
      <c r="F991" s="8" t="s">
        <v>62</v>
      </c>
      <c r="G991" s="8" t="s">
        <v>63</v>
      </c>
      <c r="H991" s="8" t="s">
        <v>308</v>
      </c>
    </row>
    <row r="992" spans="1:10" s="8" customFormat="1">
      <c r="A992" s="13"/>
      <c r="B992" s="8" t="s">
        <v>6138</v>
      </c>
      <c r="C992" s="284">
        <v>3661337</v>
      </c>
      <c r="D992" s="284">
        <v>0</v>
      </c>
      <c r="E992" s="284">
        <f t="shared" si="15"/>
        <v>7601517</v>
      </c>
      <c r="F992" s="8" t="s">
        <v>1643</v>
      </c>
      <c r="G992" s="8" t="s">
        <v>5</v>
      </c>
      <c r="H992" s="8" t="s">
        <v>3440</v>
      </c>
    </row>
    <row r="993" spans="1:10" s="8" customFormat="1">
      <c r="A993" s="13"/>
      <c r="B993" s="8" t="s">
        <v>4827</v>
      </c>
      <c r="C993" s="287">
        <v>3661337</v>
      </c>
      <c r="D993" s="284">
        <v>0</v>
      </c>
      <c r="E993" s="284">
        <f t="shared" si="15"/>
        <v>3940180</v>
      </c>
      <c r="F993" s="15" t="s">
        <v>1643</v>
      </c>
      <c r="G993" s="15" t="s">
        <v>5</v>
      </c>
      <c r="H993" s="8" t="s">
        <v>3440</v>
      </c>
      <c r="J993" s="15"/>
    </row>
    <row r="994" spans="1:10" s="8" customFormat="1">
      <c r="A994" s="13"/>
      <c r="B994" s="8" t="s">
        <v>4828</v>
      </c>
      <c r="C994" s="287">
        <v>865550</v>
      </c>
      <c r="D994" s="284">
        <v>0</v>
      </c>
      <c r="E994" s="284">
        <f t="shared" si="15"/>
        <v>3074630</v>
      </c>
      <c r="F994" s="15" t="s">
        <v>1643</v>
      </c>
      <c r="G994" s="15" t="s">
        <v>5</v>
      </c>
      <c r="H994" s="8" t="s">
        <v>3440</v>
      </c>
      <c r="J994" s="15"/>
    </row>
    <row r="995" spans="1:10" s="8" customFormat="1">
      <c r="A995" s="13"/>
      <c r="B995" s="8" t="s">
        <v>4828</v>
      </c>
      <c r="C995" s="287">
        <v>2453630</v>
      </c>
      <c r="D995" s="284">
        <v>0</v>
      </c>
      <c r="E995" s="284">
        <f t="shared" si="15"/>
        <v>621000</v>
      </c>
      <c r="F995" s="15" t="s">
        <v>1643</v>
      </c>
      <c r="G995" s="15" t="s">
        <v>5</v>
      </c>
      <c r="H995" s="8" t="s">
        <v>3440</v>
      </c>
      <c r="J995" s="15"/>
    </row>
    <row r="996" spans="1:10" s="8" customFormat="1">
      <c r="A996" s="13"/>
      <c r="B996" s="8" t="s">
        <v>4829</v>
      </c>
      <c r="C996" s="284">
        <v>621000</v>
      </c>
      <c r="D996" s="284">
        <v>0</v>
      </c>
      <c r="E996" s="284">
        <f t="shared" si="15"/>
        <v>0</v>
      </c>
      <c r="F996" s="8" t="s">
        <v>21</v>
      </c>
      <c r="G996" s="8" t="s">
        <v>22</v>
      </c>
    </row>
    <row r="997" spans="1:10" s="8" customFormat="1">
      <c r="A997" s="13">
        <v>45947</v>
      </c>
      <c r="B997" s="8" t="s">
        <v>3686</v>
      </c>
      <c r="C997" s="287">
        <v>0</v>
      </c>
      <c r="D997" s="287">
        <v>20103787</v>
      </c>
      <c r="E997" s="284">
        <f t="shared" si="15"/>
        <v>20103787</v>
      </c>
      <c r="F997" s="15" t="s">
        <v>920</v>
      </c>
      <c r="G997" s="15" t="s">
        <v>4250</v>
      </c>
      <c r="H997" s="8" t="s">
        <v>51</v>
      </c>
      <c r="J997" s="15"/>
    </row>
    <row r="998" spans="1:10" s="8" customFormat="1">
      <c r="A998" s="13"/>
      <c r="B998" s="8" t="s">
        <v>4818</v>
      </c>
      <c r="C998" s="287">
        <v>5000</v>
      </c>
      <c r="D998" s="284">
        <v>0</v>
      </c>
      <c r="E998" s="284">
        <f t="shared" si="15"/>
        <v>20098787</v>
      </c>
      <c r="F998" s="15" t="s">
        <v>19</v>
      </c>
      <c r="G998" s="15" t="s">
        <v>189</v>
      </c>
      <c r="J998" s="15"/>
    </row>
    <row r="999" spans="1:10" s="8" customFormat="1">
      <c r="A999" s="13"/>
      <c r="B999" s="8" t="s">
        <v>4830</v>
      </c>
      <c r="C999" s="287">
        <v>2961100</v>
      </c>
      <c r="D999" s="284">
        <v>0</v>
      </c>
      <c r="E999" s="284">
        <f t="shared" si="15"/>
        <v>17137687</v>
      </c>
      <c r="F999" s="15" t="s">
        <v>8</v>
      </c>
      <c r="G999" s="15" t="s">
        <v>180</v>
      </c>
      <c r="H999" s="8" t="s">
        <v>4831</v>
      </c>
      <c r="J999" s="15"/>
    </row>
    <row r="1000" spans="1:10" s="8" customFormat="1">
      <c r="A1000" s="13"/>
      <c r="B1000" s="8" t="s">
        <v>1694</v>
      </c>
      <c r="C1000" s="284">
        <v>372400</v>
      </c>
      <c r="D1000" s="284">
        <v>0</v>
      </c>
      <c r="E1000" s="284">
        <f t="shared" si="15"/>
        <v>16765287</v>
      </c>
      <c r="F1000" s="8" t="s">
        <v>8</v>
      </c>
      <c r="G1000" s="8" t="s">
        <v>14</v>
      </c>
      <c r="H1000" s="8" t="s">
        <v>314</v>
      </c>
    </row>
    <row r="1001" spans="1:10" s="8" customFormat="1">
      <c r="A1001" s="13"/>
      <c r="B1001" s="8" t="s">
        <v>1661</v>
      </c>
      <c r="C1001" s="287">
        <v>10000</v>
      </c>
      <c r="D1001" s="284">
        <v>0</v>
      </c>
      <c r="E1001" s="284">
        <f t="shared" si="15"/>
        <v>16755287</v>
      </c>
      <c r="F1001" s="15" t="s">
        <v>19</v>
      </c>
      <c r="G1001" s="15" t="s">
        <v>189</v>
      </c>
      <c r="J1001" s="15"/>
    </row>
    <row r="1002" spans="1:10" s="8" customFormat="1">
      <c r="A1002" s="13"/>
      <c r="B1002" s="8" t="s">
        <v>4832</v>
      </c>
      <c r="C1002" s="284">
        <v>65000</v>
      </c>
      <c r="D1002" s="284">
        <v>0</v>
      </c>
      <c r="E1002" s="284">
        <f t="shared" si="15"/>
        <v>16690287</v>
      </c>
      <c r="F1002" s="8" t="s">
        <v>62</v>
      </c>
      <c r="G1002" s="8" t="s">
        <v>63</v>
      </c>
      <c r="H1002" s="8" t="s">
        <v>308</v>
      </c>
    </row>
    <row r="1003" spans="1:10" s="8" customFormat="1">
      <c r="A1003" s="13"/>
      <c r="B1003" s="8" t="s">
        <v>4833</v>
      </c>
      <c r="C1003" s="284">
        <v>351970</v>
      </c>
      <c r="D1003" s="284">
        <v>0</v>
      </c>
      <c r="E1003" s="284">
        <f t="shared" si="15"/>
        <v>16338317</v>
      </c>
      <c r="F1003" s="8" t="s">
        <v>10</v>
      </c>
      <c r="G1003" s="8" t="s">
        <v>76</v>
      </c>
      <c r="H1003" s="8" t="s">
        <v>45</v>
      </c>
    </row>
    <row r="1004" spans="1:10" s="8" customFormat="1">
      <c r="A1004" s="13"/>
      <c r="B1004" s="8" t="s">
        <v>4834</v>
      </c>
      <c r="C1004" s="287">
        <v>11224843</v>
      </c>
      <c r="D1004" s="284">
        <v>0</v>
      </c>
      <c r="E1004" s="284">
        <f t="shared" si="15"/>
        <v>5113474</v>
      </c>
      <c r="F1004" s="15" t="s">
        <v>62</v>
      </c>
      <c r="G1004" s="15" t="s">
        <v>70</v>
      </c>
      <c r="H1004" s="8" t="s">
        <v>308</v>
      </c>
      <c r="J1004" s="15"/>
    </row>
    <row r="1005" spans="1:10" s="8" customFormat="1">
      <c r="A1005" s="13"/>
      <c r="B1005" s="8" t="s">
        <v>4835</v>
      </c>
      <c r="C1005" s="287">
        <v>586600</v>
      </c>
      <c r="D1005" s="284">
        <v>0</v>
      </c>
      <c r="E1005" s="284">
        <f t="shared" si="15"/>
        <v>4526874</v>
      </c>
      <c r="F1005" s="15" t="s">
        <v>8</v>
      </c>
      <c r="G1005" s="15" t="s">
        <v>181</v>
      </c>
      <c r="J1005" s="15"/>
    </row>
    <row r="1006" spans="1:10" s="8" customFormat="1">
      <c r="A1006" s="13"/>
      <c r="B1006" s="8" t="s">
        <v>4836</v>
      </c>
      <c r="C1006" s="287">
        <v>1277500</v>
      </c>
      <c r="D1006" s="284">
        <v>0</v>
      </c>
      <c r="E1006" s="284">
        <f t="shared" si="15"/>
        <v>3249374</v>
      </c>
      <c r="F1006" s="15" t="s">
        <v>62</v>
      </c>
      <c r="G1006" s="15" t="s">
        <v>70</v>
      </c>
      <c r="H1006" s="8" t="s">
        <v>308</v>
      </c>
      <c r="J1006" s="15"/>
    </row>
    <row r="1007" spans="1:10" s="8" customFormat="1">
      <c r="A1007" s="13"/>
      <c r="B1007" s="8" t="s">
        <v>4837</v>
      </c>
      <c r="C1007" s="287">
        <v>2850000</v>
      </c>
      <c r="D1007" s="284">
        <v>0</v>
      </c>
      <c r="E1007" s="284">
        <f t="shared" si="15"/>
        <v>399374</v>
      </c>
      <c r="F1007" s="15" t="s">
        <v>62</v>
      </c>
      <c r="G1007" s="15" t="s">
        <v>177</v>
      </c>
      <c r="J1007" s="15"/>
    </row>
    <row r="1008" spans="1:10" s="8" customFormat="1">
      <c r="A1008" s="13"/>
      <c r="B1008" s="8" t="s">
        <v>4838</v>
      </c>
      <c r="C1008" s="284">
        <v>399375</v>
      </c>
      <c r="D1008" s="284">
        <v>0</v>
      </c>
      <c r="E1008" s="284">
        <f t="shared" si="15"/>
        <v>-1</v>
      </c>
      <c r="F1008" s="8" t="s">
        <v>62</v>
      </c>
      <c r="G1008" s="8" t="s">
        <v>63</v>
      </c>
      <c r="H1008" s="8" t="s">
        <v>308</v>
      </c>
    </row>
    <row r="1009" spans="1:10" s="8" customFormat="1">
      <c r="A1009" s="13"/>
      <c r="B1009" s="8" t="s">
        <v>3300</v>
      </c>
      <c r="C1009" s="287">
        <v>0</v>
      </c>
      <c r="D1009" s="284">
        <v>1</v>
      </c>
      <c r="E1009" s="284">
        <f t="shared" si="15"/>
        <v>0</v>
      </c>
      <c r="F1009" s="15" t="s">
        <v>1209</v>
      </c>
      <c r="G1009" s="15" t="s">
        <v>192</v>
      </c>
      <c r="J1009" s="15"/>
    </row>
    <row r="1010" spans="1:10" s="204" customFormat="1">
      <c r="A1010" s="13">
        <v>45860</v>
      </c>
      <c r="B1010" s="8" t="s">
        <v>2540</v>
      </c>
      <c r="C1010" s="284">
        <v>0</v>
      </c>
      <c r="D1010" s="284">
        <v>167560379</v>
      </c>
      <c r="E1010" s="284">
        <f t="shared" si="15"/>
        <v>167560379</v>
      </c>
      <c r="F1010" s="8" t="s">
        <v>920</v>
      </c>
      <c r="G1010" t="s">
        <v>4250</v>
      </c>
      <c r="H1010" t="s">
        <v>100</v>
      </c>
    </row>
    <row r="1011" spans="1:10" s="204" customFormat="1">
      <c r="A1011" s="13">
        <v>45805</v>
      </c>
      <c r="B1011" s="8" t="s">
        <v>2041</v>
      </c>
      <c r="C1011" s="284">
        <v>0</v>
      </c>
      <c r="D1011" s="284">
        <v>150000000</v>
      </c>
      <c r="E1011" s="284">
        <f t="shared" si="15"/>
        <v>317560379</v>
      </c>
      <c r="F1011" s="8" t="s">
        <v>920</v>
      </c>
      <c r="G1011" t="s">
        <v>4250</v>
      </c>
      <c r="H1011" t="s">
        <v>100</v>
      </c>
    </row>
    <row r="1012" spans="1:10">
      <c r="B1012" t="s">
        <v>3346</v>
      </c>
      <c r="C1012" s="283">
        <v>8892300</v>
      </c>
      <c r="D1012" s="283">
        <v>0</v>
      </c>
      <c r="E1012" s="284">
        <f t="shared" si="15"/>
        <v>308668079</v>
      </c>
      <c r="F1012" t="s">
        <v>1643</v>
      </c>
      <c r="G1012" t="s">
        <v>5</v>
      </c>
      <c r="H1012" t="s">
        <v>1376</v>
      </c>
    </row>
    <row r="1013" spans="1:10" s="8" customFormat="1">
      <c r="A1013" s="13"/>
      <c r="B1013" s="8" t="s">
        <v>3047</v>
      </c>
      <c r="C1013" s="284">
        <v>310950</v>
      </c>
      <c r="D1013" s="284">
        <v>0</v>
      </c>
      <c r="E1013" s="284">
        <f t="shared" si="15"/>
        <v>308357129</v>
      </c>
      <c r="F1013" s="8" t="s">
        <v>8</v>
      </c>
      <c r="G1013" s="8" t="s">
        <v>14</v>
      </c>
      <c r="H1013" s="8" t="s">
        <v>314</v>
      </c>
    </row>
    <row r="1014" spans="1:10">
      <c r="B1014" t="s">
        <v>6098</v>
      </c>
      <c r="C1014" s="288">
        <v>0</v>
      </c>
      <c r="D1014" s="288">
        <v>900500</v>
      </c>
      <c r="E1014" s="284">
        <f t="shared" si="15"/>
        <v>309257629</v>
      </c>
      <c r="F1014" t="s">
        <v>6</v>
      </c>
      <c r="G1014" t="s">
        <v>24</v>
      </c>
      <c r="H1014" t="s">
        <v>25</v>
      </c>
    </row>
    <row r="1015" spans="1:10" s="8" customFormat="1">
      <c r="A1015" s="13"/>
      <c r="B1015" s="8" t="s">
        <v>3347</v>
      </c>
      <c r="C1015" s="284">
        <v>320000</v>
      </c>
      <c r="D1015" s="284">
        <v>0</v>
      </c>
      <c r="E1015" s="284">
        <f t="shared" si="15"/>
        <v>308937629</v>
      </c>
      <c r="F1015" s="8" t="s">
        <v>8</v>
      </c>
      <c r="G1015" s="8" t="s">
        <v>14</v>
      </c>
      <c r="H1015" s="8" t="s">
        <v>314</v>
      </c>
    </row>
    <row r="1016" spans="1:10">
      <c r="B1016" t="s">
        <v>3348</v>
      </c>
      <c r="C1016" s="283">
        <v>2665000</v>
      </c>
      <c r="D1016" s="283">
        <v>0</v>
      </c>
      <c r="E1016" s="284">
        <f t="shared" si="15"/>
        <v>306272629</v>
      </c>
      <c r="F1016" t="s">
        <v>1643</v>
      </c>
      <c r="G1016" t="s">
        <v>5</v>
      </c>
      <c r="H1016" t="s">
        <v>2235</v>
      </c>
    </row>
    <row r="1017" spans="1:10" s="8" customFormat="1">
      <c r="A1017" s="13"/>
      <c r="B1017" s="8" t="s">
        <v>3349</v>
      </c>
      <c r="C1017" s="287">
        <v>1492000</v>
      </c>
      <c r="D1017" s="284">
        <v>0</v>
      </c>
      <c r="E1017" s="284">
        <f t="shared" si="15"/>
        <v>304780629</v>
      </c>
      <c r="F1017" s="15" t="s">
        <v>1643</v>
      </c>
      <c r="G1017" s="15" t="s">
        <v>5</v>
      </c>
      <c r="H1017" s="8" t="s">
        <v>2235</v>
      </c>
      <c r="J1017" s="15"/>
    </row>
    <row r="1018" spans="1:10" s="8" customFormat="1">
      <c r="A1018" s="13"/>
      <c r="B1018" s="8" t="s">
        <v>3350</v>
      </c>
      <c r="C1018" s="284">
        <v>362900</v>
      </c>
      <c r="D1018" s="284">
        <v>0</v>
      </c>
      <c r="E1018" s="284">
        <f t="shared" si="15"/>
        <v>304417729</v>
      </c>
      <c r="F1018" s="8" t="s">
        <v>8</v>
      </c>
      <c r="G1018" s="8" t="s">
        <v>14</v>
      </c>
      <c r="H1018" s="8" t="s">
        <v>314</v>
      </c>
    </row>
    <row r="1019" spans="1:10">
      <c r="B1019" t="s">
        <v>1650</v>
      </c>
      <c r="C1019" s="283">
        <v>10000</v>
      </c>
      <c r="D1019" s="283">
        <v>0</v>
      </c>
      <c r="E1019" s="284">
        <f t="shared" si="15"/>
        <v>304407729</v>
      </c>
      <c r="F1019" t="s">
        <v>19</v>
      </c>
      <c r="G1019" t="s">
        <v>189</v>
      </c>
    </row>
    <row r="1020" spans="1:10">
      <c r="B1020" t="s">
        <v>3351</v>
      </c>
      <c r="C1020" s="283">
        <v>21000000</v>
      </c>
      <c r="D1020" s="283">
        <v>0</v>
      </c>
      <c r="E1020" s="284">
        <f t="shared" si="15"/>
        <v>283407729</v>
      </c>
      <c r="F1020" t="s">
        <v>6</v>
      </c>
      <c r="G1020" t="s">
        <v>7</v>
      </c>
      <c r="H1020" t="s">
        <v>3101</v>
      </c>
      <c r="I1020" s="8" t="s">
        <v>34</v>
      </c>
    </row>
    <row r="1021" spans="1:10" s="8" customFormat="1">
      <c r="A1021" s="13"/>
      <c r="B1021" s="8" t="s">
        <v>3352</v>
      </c>
      <c r="C1021" s="287">
        <v>30000000</v>
      </c>
      <c r="D1021" s="284">
        <v>0</v>
      </c>
      <c r="E1021" s="284">
        <f t="shared" si="15"/>
        <v>253407729</v>
      </c>
      <c r="F1021" s="15" t="s">
        <v>6</v>
      </c>
      <c r="G1021" s="15" t="s">
        <v>7</v>
      </c>
      <c r="H1021" s="8" t="s">
        <v>3101</v>
      </c>
      <c r="I1021" s="8" t="s">
        <v>34</v>
      </c>
      <c r="J1021" s="15"/>
    </row>
    <row r="1022" spans="1:10" s="8" customFormat="1">
      <c r="A1022" s="13"/>
      <c r="B1022" s="8" t="s">
        <v>3353</v>
      </c>
      <c r="C1022" s="289">
        <v>34500000</v>
      </c>
      <c r="D1022" s="290">
        <v>0</v>
      </c>
      <c r="E1022" s="284">
        <f t="shared" si="15"/>
        <v>218907729</v>
      </c>
      <c r="F1022" t="s">
        <v>920</v>
      </c>
      <c r="G1022" s="8" t="s">
        <v>498</v>
      </c>
      <c r="H1022" s="8" t="s">
        <v>3354</v>
      </c>
      <c r="J1022" s="15"/>
    </row>
    <row r="1023" spans="1:10">
      <c r="B1023" t="s">
        <v>3355</v>
      </c>
      <c r="C1023" s="288">
        <v>17000000</v>
      </c>
      <c r="D1023" s="288">
        <v>0</v>
      </c>
      <c r="E1023" s="284">
        <f t="shared" si="15"/>
        <v>201907729</v>
      </c>
      <c r="F1023" t="s">
        <v>920</v>
      </c>
      <c r="G1023" s="8" t="s">
        <v>498</v>
      </c>
      <c r="H1023" t="s">
        <v>3354</v>
      </c>
    </row>
    <row r="1024" spans="1:10">
      <c r="B1024" t="s">
        <v>3356</v>
      </c>
      <c r="C1024" s="288">
        <v>7500</v>
      </c>
      <c r="D1024" s="288">
        <v>0</v>
      </c>
      <c r="E1024" s="284">
        <f t="shared" si="15"/>
        <v>201900229</v>
      </c>
      <c r="F1024" t="s">
        <v>19</v>
      </c>
      <c r="G1024" t="s">
        <v>189</v>
      </c>
    </row>
    <row r="1025" spans="1:10" s="8" customFormat="1">
      <c r="A1025" s="13"/>
      <c r="B1025" s="8" t="s">
        <v>3357</v>
      </c>
      <c r="C1025" s="289">
        <v>13548001</v>
      </c>
      <c r="D1025" s="290">
        <v>0</v>
      </c>
      <c r="E1025" s="284">
        <f t="shared" si="15"/>
        <v>188352228</v>
      </c>
      <c r="F1025" t="s">
        <v>920</v>
      </c>
      <c r="G1025" s="8" t="s">
        <v>498</v>
      </c>
      <c r="H1025" s="8" t="s">
        <v>3354</v>
      </c>
      <c r="J1025" s="15"/>
    </row>
    <row r="1026" spans="1:10">
      <c r="B1026" t="s">
        <v>3358</v>
      </c>
      <c r="C1026" s="288">
        <v>61250000</v>
      </c>
      <c r="D1026" s="288">
        <v>0</v>
      </c>
      <c r="E1026" s="284">
        <f t="shared" si="15"/>
        <v>127102228</v>
      </c>
      <c r="F1026" t="s">
        <v>920</v>
      </c>
      <c r="G1026" s="8" t="s">
        <v>498</v>
      </c>
      <c r="H1026" t="s">
        <v>3354</v>
      </c>
    </row>
    <row r="1027" spans="1:10">
      <c r="B1027" t="s">
        <v>3359</v>
      </c>
      <c r="C1027" s="288">
        <v>1600750</v>
      </c>
      <c r="D1027" s="288">
        <v>0</v>
      </c>
      <c r="E1027" s="284">
        <f t="shared" si="15"/>
        <v>125501478</v>
      </c>
      <c r="F1027" s="80" t="s">
        <v>920</v>
      </c>
      <c r="G1027" s="8" t="s">
        <v>498</v>
      </c>
      <c r="H1027" s="8" t="s">
        <v>3354</v>
      </c>
    </row>
    <row r="1028" spans="1:10">
      <c r="B1028" t="s">
        <v>3359</v>
      </c>
      <c r="C1028" s="288">
        <v>7797250</v>
      </c>
      <c r="D1028" s="288">
        <v>0</v>
      </c>
      <c r="E1028" s="284">
        <f t="shared" si="15"/>
        <v>117704228</v>
      </c>
      <c r="F1028" s="80" t="s">
        <v>920</v>
      </c>
      <c r="G1028" s="8" t="s">
        <v>498</v>
      </c>
      <c r="H1028" s="8" t="s">
        <v>3354</v>
      </c>
    </row>
    <row r="1029" spans="1:10" s="8" customFormat="1">
      <c r="A1029" s="13"/>
      <c r="B1029" s="8" t="s">
        <v>3359</v>
      </c>
      <c r="C1029" s="290">
        <v>1600750</v>
      </c>
      <c r="D1029" s="290">
        <v>0</v>
      </c>
      <c r="E1029" s="284">
        <f t="shared" si="15"/>
        <v>116103478</v>
      </c>
      <c r="F1029" s="80" t="s">
        <v>920</v>
      </c>
      <c r="G1029" s="8" t="s">
        <v>498</v>
      </c>
      <c r="H1029" s="8" t="s">
        <v>3354</v>
      </c>
    </row>
    <row r="1030" spans="1:10" s="8" customFormat="1">
      <c r="A1030" s="13"/>
      <c r="B1030" s="8" t="s">
        <v>3360</v>
      </c>
      <c r="C1030" s="290">
        <v>17000000</v>
      </c>
      <c r="D1030" s="290">
        <v>0</v>
      </c>
      <c r="E1030" s="284">
        <f t="shared" ref="E1030:E1093" si="16">E1029-C1030+D1030</f>
        <v>99103478</v>
      </c>
      <c r="F1030" s="80" t="s">
        <v>920</v>
      </c>
      <c r="G1030" s="8" t="s">
        <v>498</v>
      </c>
      <c r="H1030" s="8" t="s">
        <v>3354</v>
      </c>
    </row>
    <row r="1031" spans="1:10" s="8" customFormat="1">
      <c r="A1031" s="13"/>
      <c r="B1031" s="8" t="s">
        <v>3361</v>
      </c>
      <c r="C1031" s="290">
        <v>8327785</v>
      </c>
      <c r="D1031" s="290">
        <v>0</v>
      </c>
      <c r="E1031" s="284">
        <f t="shared" si="16"/>
        <v>90775693</v>
      </c>
      <c r="F1031" s="80" t="s">
        <v>920</v>
      </c>
      <c r="G1031" s="8" t="s">
        <v>498</v>
      </c>
      <c r="H1031" s="8" t="s">
        <v>3354</v>
      </c>
    </row>
    <row r="1032" spans="1:10" s="8" customFormat="1">
      <c r="A1032" s="13"/>
      <c r="B1032" s="8" t="s">
        <v>3362</v>
      </c>
      <c r="C1032" s="290">
        <v>6117508</v>
      </c>
      <c r="D1032" s="290">
        <v>0</v>
      </c>
      <c r="E1032" s="284">
        <f t="shared" si="16"/>
        <v>84658185</v>
      </c>
      <c r="F1032" s="80" t="s">
        <v>920</v>
      </c>
      <c r="G1032" s="8" t="s">
        <v>498</v>
      </c>
      <c r="H1032" s="8" t="s">
        <v>3354</v>
      </c>
    </row>
    <row r="1033" spans="1:10" s="8" customFormat="1">
      <c r="A1033" s="13"/>
      <c r="B1033" s="8" t="s">
        <v>3363</v>
      </c>
      <c r="C1033" s="290">
        <v>3094723</v>
      </c>
      <c r="D1033" s="290">
        <v>0</v>
      </c>
      <c r="E1033" s="284">
        <f t="shared" si="16"/>
        <v>81563462</v>
      </c>
      <c r="F1033" s="80" t="s">
        <v>920</v>
      </c>
      <c r="G1033" s="8" t="s">
        <v>498</v>
      </c>
      <c r="H1033" s="8" t="s">
        <v>3354</v>
      </c>
    </row>
    <row r="1034" spans="1:10" s="8" customFormat="1">
      <c r="A1034" s="13"/>
      <c r="B1034" s="8" t="s">
        <v>3364</v>
      </c>
      <c r="C1034" s="290">
        <v>6063342</v>
      </c>
      <c r="D1034" s="290">
        <v>0</v>
      </c>
      <c r="E1034" s="284">
        <f t="shared" si="16"/>
        <v>75500120</v>
      </c>
      <c r="F1034" s="80" t="s">
        <v>920</v>
      </c>
      <c r="G1034" s="8" t="s">
        <v>498</v>
      </c>
      <c r="H1034" s="8" t="s">
        <v>3354</v>
      </c>
    </row>
    <row r="1035" spans="1:10" s="8" customFormat="1">
      <c r="A1035" s="13"/>
      <c r="B1035" s="8" t="s">
        <v>3365</v>
      </c>
      <c r="C1035" s="290">
        <v>2000000</v>
      </c>
      <c r="D1035" s="290">
        <v>0</v>
      </c>
      <c r="E1035" s="284">
        <f t="shared" si="16"/>
        <v>73500120</v>
      </c>
      <c r="F1035" s="80" t="s">
        <v>920</v>
      </c>
      <c r="G1035" s="8" t="s">
        <v>498</v>
      </c>
      <c r="H1035" s="8" t="s">
        <v>3354</v>
      </c>
    </row>
    <row r="1036" spans="1:10">
      <c r="B1036" t="s">
        <v>3366</v>
      </c>
      <c r="C1036" s="288">
        <v>2080000</v>
      </c>
      <c r="D1036" s="288">
        <v>0</v>
      </c>
      <c r="E1036" s="284">
        <f t="shared" si="16"/>
        <v>71420120</v>
      </c>
      <c r="F1036" s="80" t="s">
        <v>920</v>
      </c>
      <c r="G1036" s="8" t="s">
        <v>498</v>
      </c>
      <c r="H1036" s="8" t="s">
        <v>3354</v>
      </c>
    </row>
    <row r="1037" spans="1:10">
      <c r="B1037" t="s">
        <v>3367</v>
      </c>
      <c r="C1037" s="288">
        <v>311400</v>
      </c>
      <c r="D1037" s="288">
        <v>0</v>
      </c>
      <c r="E1037" s="284">
        <f t="shared" si="16"/>
        <v>71108720</v>
      </c>
      <c r="F1037" t="s">
        <v>1643</v>
      </c>
      <c r="G1037" t="s">
        <v>5</v>
      </c>
      <c r="H1037" t="s">
        <v>1622</v>
      </c>
    </row>
    <row r="1038" spans="1:10">
      <c r="B1038" t="s">
        <v>3367</v>
      </c>
      <c r="C1038" s="288">
        <v>311400</v>
      </c>
      <c r="D1038" s="288">
        <v>0</v>
      </c>
      <c r="E1038" s="284">
        <f t="shared" si="16"/>
        <v>70797320</v>
      </c>
      <c r="F1038" t="s">
        <v>1643</v>
      </c>
      <c r="G1038" t="s">
        <v>5</v>
      </c>
      <c r="H1038" t="s">
        <v>1622</v>
      </c>
    </row>
    <row r="1039" spans="1:10">
      <c r="B1039" t="s">
        <v>3368</v>
      </c>
      <c r="C1039" s="288">
        <v>3012750</v>
      </c>
      <c r="D1039" s="288">
        <v>0</v>
      </c>
      <c r="E1039" s="284">
        <f t="shared" si="16"/>
        <v>67784570</v>
      </c>
      <c r="F1039" t="s">
        <v>8</v>
      </c>
      <c r="G1039" s="15" t="s">
        <v>180</v>
      </c>
    </row>
    <row r="1040" spans="1:10">
      <c r="B1040" t="s">
        <v>3369</v>
      </c>
      <c r="C1040" s="288">
        <v>34500000</v>
      </c>
      <c r="D1040" s="288">
        <v>0</v>
      </c>
      <c r="E1040" s="284">
        <f t="shared" si="16"/>
        <v>33284570</v>
      </c>
      <c r="F1040" s="80" t="s">
        <v>920</v>
      </c>
      <c r="G1040" s="8" t="s">
        <v>498</v>
      </c>
      <c r="H1040" s="8" t="s">
        <v>3354</v>
      </c>
    </row>
    <row r="1041" spans="1:8">
      <c r="B1041" t="s">
        <v>3370</v>
      </c>
      <c r="C1041" s="288">
        <v>33000000</v>
      </c>
      <c r="D1041" s="288">
        <v>0</v>
      </c>
      <c r="E1041" s="284">
        <f t="shared" si="16"/>
        <v>284570</v>
      </c>
      <c r="F1041" s="80" t="s">
        <v>920</v>
      </c>
      <c r="G1041" s="8" t="s">
        <v>498</v>
      </c>
      <c r="H1041" s="8" t="s">
        <v>3354</v>
      </c>
    </row>
    <row r="1042" spans="1:8" s="8" customFormat="1">
      <c r="A1042" s="13"/>
      <c r="B1042" s="8" t="s">
        <v>3371</v>
      </c>
      <c r="C1042" s="284">
        <v>284570</v>
      </c>
      <c r="D1042" s="284">
        <v>0</v>
      </c>
      <c r="E1042" s="284">
        <f t="shared" si="16"/>
        <v>0</v>
      </c>
      <c r="F1042" s="8" t="s">
        <v>8</v>
      </c>
      <c r="G1042" s="8" t="s">
        <v>14</v>
      </c>
      <c r="H1042" s="8" t="s">
        <v>314</v>
      </c>
    </row>
    <row r="1043" spans="1:8" s="204" customFormat="1">
      <c r="A1043" s="13">
        <v>45868</v>
      </c>
      <c r="B1043" s="8" t="s">
        <v>2569</v>
      </c>
      <c r="C1043" s="284">
        <v>0</v>
      </c>
      <c r="D1043" s="284">
        <v>149650548</v>
      </c>
      <c r="E1043" s="284">
        <f t="shared" si="16"/>
        <v>149650548</v>
      </c>
      <c r="F1043" s="8" t="s">
        <v>920</v>
      </c>
      <c r="G1043" t="s">
        <v>4250</v>
      </c>
      <c r="H1043" s="80" t="s">
        <v>368</v>
      </c>
    </row>
    <row r="1044" spans="1:8" s="8" customFormat="1">
      <c r="A1044" s="13"/>
      <c r="B1044" s="8" t="s">
        <v>3373</v>
      </c>
      <c r="C1044" s="284">
        <v>54000</v>
      </c>
      <c r="D1044" s="284">
        <v>0</v>
      </c>
      <c r="E1044" s="284">
        <f t="shared" si="16"/>
        <v>149596548</v>
      </c>
      <c r="F1044" s="8" t="s">
        <v>1643</v>
      </c>
      <c r="G1044" s="8" t="s">
        <v>5</v>
      </c>
      <c r="H1044" s="8" t="s">
        <v>2320</v>
      </c>
    </row>
    <row r="1045" spans="1:8" s="8" customFormat="1">
      <c r="A1045" s="13"/>
      <c r="B1045" s="8" t="s">
        <v>3374</v>
      </c>
      <c r="C1045" s="284">
        <v>40000</v>
      </c>
      <c r="D1045" s="284">
        <v>0</v>
      </c>
      <c r="E1045" s="284">
        <f t="shared" si="16"/>
        <v>149556548</v>
      </c>
      <c r="F1045" s="8" t="s">
        <v>1643</v>
      </c>
      <c r="G1045" s="8" t="s">
        <v>5</v>
      </c>
      <c r="H1045" s="8" t="s">
        <v>2320</v>
      </c>
    </row>
    <row r="1046" spans="1:8" s="8" customFormat="1">
      <c r="A1046" s="13"/>
      <c r="B1046" s="8" t="s">
        <v>3374</v>
      </c>
      <c r="C1046" s="284">
        <v>250000</v>
      </c>
      <c r="D1046" s="284">
        <v>0</v>
      </c>
      <c r="E1046" s="284">
        <f t="shared" si="16"/>
        <v>149306548</v>
      </c>
      <c r="F1046" s="8" t="s">
        <v>1643</v>
      </c>
      <c r="G1046" s="8" t="s">
        <v>5</v>
      </c>
      <c r="H1046" s="8" t="s">
        <v>2320</v>
      </c>
    </row>
    <row r="1047" spans="1:8" s="8" customFormat="1">
      <c r="A1047" s="13"/>
      <c r="B1047" s="8" t="s">
        <v>3375</v>
      </c>
      <c r="C1047" s="284">
        <v>8125150</v>
      </c>
      <c r="D1047" s="284">
        <v>0</v>
      </c>
      <c r="E1047" s="284">
        <f t="shared" si="16"/>
        <v>141181398</v>
      </c>
      <c r="F1047" s="8" t="s">
        <v>1643</v>
      </c>
      <c r="G1047" s="8" t="s">
        <v>5</v>
      </c>
      <c r="H1047" s="8" t="s">
        <v>2320</v>
      </c>
    </row>
    <row r="1048" spans="1:8" s="8" customFormat="1">
      <c r="A1048" s="13"/>
      <c r="B1048" s="8" t="s">
        <v>3376</v>
      </c>
      <c r="C1048" s="284">
        <v>102000</v>
      </c>
      <c r="D1048" s="284">
        <v>0</v>
      </c>
      <c r="E1048" s="284">
        <f t="shared" si="16"/>
        <v>141079398</v>
      </c>
      <c r="F1048" s="8" t="s">
        <v>1643</v>
      </c>
      <c r="G1048" s="8" t="s">
        <v>5</v>
      </c>
      <c r="H1048" s="8" t="s">
        <v>2320</v>
      </c>
    </row>
    <row r="1049" spans="1:8" s="8" customFormat="1">
      <c r="A1049" s="13"/>
      <c r="B1049" s="8" t="s">
        <v>3377</v>
      </c>
      <c r="C1049" s="284">
        <v>59000</v>
      </c>
      <c r="D1049" s="284">
        <v>0</v>
      </c>
      <c r="E1049" s="284">
        <f t="shared" si="16"/>
        <v>141020398</v>
      </c>
      <c r="F1049" s="8" t="s">
        <v>1643</v>
      </c>
      <c r="G1049" s="8" t="s">
        <v>5</v>
      </c>
      <c r="H1049" s="8" t="s">
        <v>2320</v>
      </c>
    </row>
    <row r="1050" spans="1:8" s="8" customFormat="1">
      <c r="A1050" s="13"/>
      <c r="B1050" s="8" t="s">
        <v>3378</v>
      </c>
      <c r="C1050" s="284">
        <v>90948</v>
      </c>
      <c r="D1050" s="284">
        <v>0</v>
      </c>
      <c r="E1050" s="284">
        <f t="shared" si="16"/>
        <v>140929450</v>
      </c>
      <c r="F1050" s="8" t="s">
        <v>1643</v>
      </c>
      <c r="G1050" s="8" t="s">
        <v>5</v>
      </c>
      <c r="H1050" s="8" t="s">
        <v>2320</v>
      </c>
    </row>
    <row r="1051" spans="1:8" s="8" customFormat="1">
      <c r="A1051" s="13"/>
      <c r="B1051" s="8" t="s">
        <v>3379</v>
      </c>
      <c r="C1051" s="284">
        <v>339450</v>
      </c>
      <c r="D1051" s="284">
        <v>0</v>
      </c>
      <c r="E1051" s="284">
        <f t="shared" si="16"/>
        <v>140590000</v>
      </c>
      <c r="F1051" s="8" t="s">
        <v>8</v>
      </c>
      <c r="G1051" s="8" t="s">
        <v>14</v>
      </c>
      <c r="H1051" s="8" t="s">
        <v>314</v>
      </c>
    </row>
    <row r="1052" spans="1:8" s="8" customFormat="1">
      <c r="A1052" s="13"/>
      <c r="B1052" s="8" t="s">
        <v>3380</v>
      </c>
      <c r="C1052" s="284">
        <v>139880000</v>
      </c>
      <c r="D1052" s="284">
        <v>0</v>
      </c>
      <c r="E1052" s="284">
        <f t="shared" si="16"/>
        <v>710000</v>
      </c>
      <c r="F1052" s="8" t="s">
        <v>1643</v>
      </c>
      <c r="G1052" s="8" t="s">
        <v>5</v>
      </c>
      <c r="H1052" s="8" t="s">
        <v>3334</v>
      </c>
    </row>
    <row r="1053" spans="1:8" s="8" customFormat="1">
      <c r="A1053" s="13"/>
      <c r="B1053" s="8" t="s">
        <v>3381</v>
      </c>
      <c r="C1053" s="284">
        <v>700000</v>
      </c>
      <c r="D1053" s="284">
        <v>0</v>
      </c>
      <c r="E1053" s="284">
        <f t="shared" si="16"/>
        <v>10000</v>
      </c>
      <c r="F1053" s="8" t="s">
        <v>1643</v>
      </c>
      <c r="G1053" s="8" t="s">
        <v>5</v>
      </c>
      <c r="H1053" s="8" t="s">
        <v>1622</v>
      </c>
    </row>
    <row r="1054" spans="1:8" s="8" customFormat="1">
      <c r="A1054" s="13"/>
      <c r="B1054" s="8" t="s">
        <v>1650</v>
      </c>
      <c r="C1054" s="284">
        <v>10000</v>
      </c>
      <c r="D1054" s="284">
        <v>0</v>
      </c>
      <c r="E1054" s="284">
        <f t="shared" si="16"/>
        <v>0</v>
      </c>
      <c r="F1054" s="8" t="s">
        <v>19</v>
      </c>
      <c r="G1054" s="8" t="s">
        <v>189</v>
      </c>
    </row>
    <row r="1055" spans="1:8" s="8" customFormat="1">
      <c r="A1055" s="13">
        <v>45900</v>
      </c>
      <c r="B1055" s="8" t="s">
        <v>2945</v>
      </c>
      <c r="C1055" s="284">
        <v>0</v>
      </c>
      <c r="D1055" s="284">
        <v>250000000</v>
      </c>
      <c r="E1055" s="284">
        <f t="shared" si="16"/>
        <v>250000000</v>
      </c>
      <c r="F1055" s="8" t="s">
        <v>920</v>
      </c>
      <c r="G1055" s="8" t="s">
        <v>4250</v>
      </c>
      <c r="H1055" s="80" t="s">
        <v>368</v>
      </c>
    </row>
    <row r="1056" spans="1:8" s="8" customFormat="1">
      <c r="A1056" s="13">
        <v>45900</v>
      </c>
      <c r="B1056" s="8" t="s">
        <v>2945</v>
      </c>
      <c r="C1056" s="284">
        <v>0</v>
      </c>
      <c r="D1056" s="284">
        <v>42882186</v>
      </c>
      <c r="E1056" s="284">
        <f t="shared" si="16"/>
        <v>292882186</v>
      </c>
      <c r="F1056" s="8" t="s">
        <v>920</v>
      </c>
      <c r="G1056" s="8" t="s">
        <v>4250</v>
      </c>
      <c r="H1056" s="80" t="s">
        <v>368</v>
      </c>
    </row>
    <row r="1057" spans="1:8" s="8" customFormat="1">
      <c r="A1057" s="13"/>
      <c r="B1057" s="8" t="s">
        <v>4839</v>
      </c>
      <c r="C1057" s="284">
        <v>38889180</v>
      </c>
      <c r="D1057" s="284">
        <v>0</v>
      </c>
      <c r="E1057" s="284">
        <f t="shared" si="16"/>
        <v>253993006</v>
      </c>
      <c r="F1057" s="8" t="s">
        <v>1643</v>
      </c>
      <c r="G1057" s="8" t="s">
        <v>5</v>
      </c>
      <c r="H1057" s="8" t="s">
        <v>1622</v>
      </c>
    </row>
    <row r="1058" spans="1:8" s="8" customFormat="1">
      <c r="A1058" s="13"/>
      <c r="B1058" s="8" t="s">
        <v>4840</v>
      </c>
      <c r="C1058" s="284">
        <v>190001</v>
      </c>
      <c r="D1058" s="284">
        <v>0</v>
      </c>
      <c r="E1058" s="284">
        <f t="shared" si="16"/>
        <v>253803005</v>
      </c>
      <c r="F1058" s="8" t="s">
        <v>1643</v>
      </c>
      <c r="G1058" s="8" t="s">
        <v>5</v>
      </c>
      <c r="H1058" s="8" t="s">
        <v>2316</v>
      </c>
    </row>
    <row r="1059" spans="1:8" s="8" customFormat="1">
      <c r="A1059" s="13"/>
      <c r="B1059" s="8" t="s">
        <v>4841</v>
      </c>
      <c r="C1059" s="290">
        <v>114000</v>
      </c>
      <c r="D1059" s="290">
        <v>0</v>
      </c>
      <c r="E1059" s="284">
        <f t="shared" si="16"/>
        <v>253689005</v>
      </c>
      <c r="F1059" s="8" t="s">
        <v>920</v>
      </c>
      <c r="G1059" s="8" t="s">
        <v>464</v>
      </c>
      <c r="H1059" s="8" t="s">
        <v>26</v>
      </c>
    </row>
    <row r="1060" spans="1:8" s="8" customFormat="1">
      <c r="A1060" s="13"/>
      <c r="B1060" s="8" t="s">
        <v>4842</v>
      </c>
      <c r="C1060" s="284">
        <v>49024</v>
      </c>
      <c r="D1060" s="284">
        <v>0</v>
      </c>
      <c r="E1060" s="284">
        <f t="shared" si="16"/>
        <v>253639981</v>
      </c>
      <c r="F1060" s="8" t="s">
        <v>1643</v>
      </c>
      <c r="G1060" s="8" t="s">
        <v>5</v>
      </c>
      <c r="H1060" s="8" t="s">
        <v>2316</v>
      </c>
    </row>
    <row r="1061" spans="1:8" s="8" customFormat="1">
      <c r="A1061" s="13"/>
      <c r="B1061" s="8" t="s">
        <v>4843</v>
      </c>
      <c r="C1061" s="284">
        <v>444258</v>
      </c>
      <c r="D1061" s="284">
        <v>0</v>
      </c>
      <c r="E1061" s="284">
        <f t="shared" si="16"/>
        <v>253195723</v>
      </c>
      <c r="F1061" s="8" t="s">
        <v>1643</v>
      </c>
      <c r="G1061" s="8" t="s">
        <v>5</v>
      </c>
      <c r="H1061" s="8" t="s">
        <v>2316</v>
      </c>
    </row>
    <row r="1062" spans="1:8" s="8" customFormat="1">
      <c r="A1062" s="13"/>
      <c r="B1062" s="8" t="s">
        <v>4844</v>
      </c>
      <c r="C1062" s="284">
        <v>340164</v>
      </c>
      <c r="D1062" s="284">
        <v>0</v>
      </c>
      <c r="E1062" s="284">
        <f t="shared" si="16"/>
        <v>252855559</v>
      </c>
      <c r="F1062" s="8" t="s">
        <v>1643</v>
      </c>
      <c r="G1062" s="8" t="s">
        <v>5</v>
      </c>
      <c r="H1062" s="8" t="s">
        <v>2316</v>
      </c>
    </row>
    <row r="1063" spans="1:8" s="8" customFormat="1">
      <c r="A1063" s="13"/>
      <c r="B1063" s="8" t="s">
        <v>4845</v>
      </c>
      <c r="C1063" s="284">
        <v>691768</v>
      </c>
      <c r="D1063" s="284">
        <v>0</v>
      </c>
      <c r="E1063" s="284">
        <f t="shared" si="16"/>
        <v>252163791</v>
      </c>
      <c r="F1063" s="8" t="s">
        <v>1643</v>
      </c>
      <c r="G1063" s="8" t="s">
        <v>5</v>
      </c>
      <c r="H1063" s="8" t="s">
        <v>2316</v>
      </c>
    </row>
    <row r="1064" spans="1:8" s="8" customFormat="1">
      <c r="A1064" s="13"/>
      <c r="B1064" s="8" t="s">
        <v>4846</v>
      </c>
      <c r="C1064" s="284">
        <v>9555</v>
      </c>
      <c r="D1064" s="284">
        <v>0</v>
      </c>
      <c r="E1064" s="284">
        <f t="shared" si="16"/>
        <v>252154236</v>
      </c>
      <c r="F1064" s="8" t="s">
        <v>1643</v>
      </c>
      <c r="G1064" s="8" t="s">
        <v>5</v>
      </c>
      <c r="H1064" s="8" t="s">
        <v>2316</v>
      </c>
    </row>
    <row r="1065" spans="1:8" s="8" customFormat="1">
      <c r="A1065" s="13"/>
      <c r="B1065" s="8" t="s">
        <v>4847</v>
      </c>
      <c r="C1065" s="284">
        <v>111665</v>
      </c>
      <c r="D1065" s="284">
        <v>0</v>
      </c>
      <c r="E1065" s="284">
        <f t="shared" si="16"/>
        <v>252042571</v>
      </c>
      <c r="F1065" s="8" t="s">
        <v>1643</v>
      </c>
      <c r="G1065" s="8" t="s">
        <v>5</v>
      </c>
      <c r="H1065" s="8" t="s">
        <v>2316</v>
      </c>
    </row>
    <row r="1066" spans="1:8" s="8" customFormat="1">
      <c r="A1066" s="13"/>
      <c r="B1066" s="8" t="s">
        <v>4848</v>
      </c>
      <c r="C1066" s="284">
        <v>159521</v>
      </c>
      <c r="D1066" s="284">
        <v>0</v>
      </c>
      <c r="E1066" s="284">
        <f t="shared" si="16"/>
        <v>251883050</v>
      </c>
      <c r="F1066" s="8" t="s">
        <v>1643</v>
      </c>
      <c r="G1066" s="8" t="s">
        <v>5</v>
      </c>
      <c r="H1066" s="8" t="s">
        <v>2316</v>
      </c>
    </row>
    <row r="1067" spans="1:8" s="8" customFormat="1">
      <c r="A1067" s="13"/>
      <c r="B1067" s="8" t="s">
        <v>4849</v>
      </c>
      <c r="C1067" s="284">
        <v>31904</v>
      </c>
      <c r="D1067" s="284">
        <v>0</v>
      </c>
      <c r="E1067" s="284">
        <f t="shared" si="16"/>
        <v>251851146</v>
      </c>
      <c r="F1067" s="8" t="s">
        <v>1643</v>
      </c>
      <c r="G1067" s="8" t="s">
        <v>5</v>
      </c>
      <c r="H1067" s="8" t="s">
        <v>2316</v>
      </c>
    </row>
    <row r="1068" spans="1:8" s="8" customFormat="1">
      <c r="A1068" s="13"/>
      <c r="B1068" s="8" t="s">
        <v>4850</v>
      </c>
      <c r="C1068" s="284">
        <v>127617</v>
      </c>
      <c r="D1068" s="284">
        <v>0</v>
      </c>
      <c r="E1068" s="284">
        <f t="shared" si="16"/>
        <v>251723529</v>
      </c>
      <c r="F1068" s="8" t="s">
        <v>1643</v>
      </c>
      <c r="G1068" s="8" t="s">
        <v>5</v>
      </c>
      <c r="H1068" s="8" t="s">
        <v>2316</v>
      </c>
    </row>
    <row r="1069" spans="1:8" s="8" customFormat="1">
      <c r="A1069" s="13"/>
      <c r="B1069" s="8" t="s">
        <v>4851</v>
      </c>
      <c r="C1069" s="284">
        <v>5410329</v>
      </c>
      <c r="D1069" s="284">
        <v>0</v>
      </c>
      <c r="E1069" s="284">
        <f t="shared" si="16"/>
        <v>246313200</v>
      </c>
      <c r="F1069" s="8" t="s">
        <v>1643</v>
      </c>
      <c r="G1069" s="8" t="s">
        <v>5</v>
      </c>
      <c r="H1069" s="8" t="s">
        <v>2316</v>
      </c>
    </row>
    <row r="1070" spans="1:8" s="8" customFormat="1">
      <c r="A1070" s="13"/>
      <c r="B1070" s="8" t="s">
        <v>4852</v>
      </c>
      <c r="C1070" s="284">
        <v>245920000</v>
      </c>
      <c r="D1070" s="284">
        <v>0</v>
      </c>
      <c r="E1070" s="284">
        <f t="shared" si="16"/>
        <v>393200</v>
      </c>
      <c r="F1070" s="8" t="s">
        <v>1643</v>
      </c>
      <c r="G1070" s="8" t="s">
        <v>5</v>
      </c>
      <c r="H1070" s="8" t="s">
        <v>3334</v>
      </c>
    </row>
    <row r="1071" spans="1:8" s="8" customFormat="1">
      <c r="A1071" s="13"/>
      <c r="B1071" s="8" t="s">
        <v>1641</v>
      </c>
      <c r="C1071" s="284">
        <v>7500</v>
      </c>
      <c r="D1071" s="284">
        <v>0</v>
      </c>
      <c r="E1071" s="284">
        <f t="shared" si="16"/>
        <v>385700</v>
      </c>
      <c r="F1071" s="8" t="s">
        <v>19</v>
      </c>
      <c r="G1071" s="8" t="s">
        <v>189</v>
      </c>
    </row>
    <row r="1072" spans="1:8" s="8" customFormat="1">
      <c r="A1072" s="13"/>
      <c r="B1072" s="8" t="s">
        <v>1694</v>
      </c>
      <c r="C1072" s="284">
        <v>375700</v>
      </c>
      <c r="D1072" s="284">
        <v>0</v>
      </c>
      <c r="E1072" s="284">
        <f t="shared" si="16"/>
        <v>10000</v>
      </c>
      <c r="F1072" s="8" t="s">
        <v>8</v>
      </c>
      <c r="G1072" s="8" t="s">
        <v>14</v>
      </c>
      <c r="H1072" s="8" t="s">
        <v>314</v>
      </c>
    </row>
    <row r="1073" spans="1:9" s="8" customFormat="1">
      <c r="A1073" s="13"/>
      <c r="B1073" s="8" t="s">
        <v>1650</v>
      </c>
      <c r="C1073" s="284">
        <v>10000</v>
      </c>
      <c r="D1073" s="284">
        <v>0</v>
      </c>
      <c r="E1073" s="284">
        <f t="shared" si="16"/>
        <v>0</v>
      </c>
      <c r="F1073" s="8" t="s">
        <v>19</v>
      </c>
      <c r="G1073" s="8" t="s">
        <v>189</v>
      </c>
    </row>
    <row r="1074" spans="1:9" s="8" customFormat="1">
      <c r="A1074" s="13">
        <v>45933</v>
      </c>
      <c r="B1074" s="8" t="s">
        <v>4030</v>
      </c>
      <c r="C1074" s="284">
        <v>0</v>
      </c>
      <c r="D1074" s="284">
        <v>88005200</v>
      </c>
      <c r="E1074" s="284">
        <f t="shared" si="16"/>
        <v>88005200</v>
      </c>
      <c r="F1074" s="8" t="s">
        <v>920</v>
      </c>
      <c r="G1074" s="8" t="s">
        <v>4250</v>
      </c>
      <c r="H1074" s="8" t="s">
        <v>368</v>
      </c>
    </row>
    <row r="1075" spans="1:9" s="8" customFormat="1">
      <c r="A1075" s="13"/>
      <c r="B1075" s="8" t="s">
        <v>4853</v>
      </c>
      <c r="C1075" s="284">
        <v>397000</v>
      </c>
      <c r="D1075" s="284">
        <v>0</v>
      </c>
      <c r="E1075" s="284">
        <f t="shared" si="16"/>
        <v>87608200</v>
      </c>
      <c r="F1075" s="8" t="s">
        <v>1643</v>
      </c>
      <c r="G1075" s="8" t="s">
        <v>5</v>
      </c>
      <c r="H1075" s="8" t="s">
        <v>3440</v>
      </c>
    </row>
    <row r="1076" spans="1:9" s="8" customFormat="1">
      <c r="A1076" s="13"/>
      <c r="B1076" s="8" t="s">
        <v>4854</v>
      </c>
      <c r="C1076" s="284">
        <v>257191</v>
      </c>
      <c r="D1076" s="284">
        <v>0</v>
      </c>
      <c r="E1076" s="284">
        <f t="shared" si="16"/>
        <v>87351009</v>
      </c>
      <c r="F1076" s="8" t="s">
        <v>21</v>
      </c>
      <c r="G1076" s="8" t="s">
        <v>187</v>
      </c>
    </row>
    <row r="1077" spans="1:9" s="8" customFormat="1">
      <c r="A1077" s="13"/>
      <c r="B1077" s="8" t="s">
        <v>1641</v>
      </c>
      <c r="C1077" s="284">
        <v>7500</v>
      </c>
      <c r="D1077" s="284">
        <v>0</v>
      </c>
      <c r="E1077" s="284">
        <f t="shared" si="16"/>
        <v>87343509</v>
      </c>
      <c r="F1077" s="8" t="s">
        <v>19</v>
      </c>
      <c r="G1077" s="8" t="s">
        <v>189</v>
      </c>
    </row>
    <row r="1078" spans="1:9" s="8" customFormat="1">
      <c r="A1078" s="13"/>
      <c r="B1078" s="8" t="s">
        <v>4855</v>
      </c>
      <c r="C1078" s="284">
        <v>76162000</v>
      </c>
      <c r="D1078" s="284">
        <v>0</v>
      </c>
      <c r="E1078" s="284">
        <f t="shared" si="16"/>
        <v>11181509</v>
      </c>
      <c r="F1078" s="8" t="s">
        <v>10</v>
      </c>
      <c r="G1078" s="8" t="s">
        <v>446</v>
      </c>
      <c r="H1078" s="8" t="s">
        <v>3470</v>
      </c>
      <c r="I1078" s="8" t="s">
        <v>26</v>
      </c>
    </row>
    <row r="1079" spans="1:9" s="8" customFormat="1">
      <c r="A1079" s="13"/>
      <c r="B1079" s="8" t="s">
        <v>4856</v>
      </c>
      <c r="C1079" s="284">
        <v>2219140</v>
      </c>
      <c r="D1079" s="284">
        <v>0</v>
      </c>
      <c r="E1079" s="284">
        <f t="shared" si="16"/>
        <v>8962369</v>
      </c>
      <c r="F1079" s="8" t="s">
        <v>10</v>
      </c>
      <c r="G1079" s="8" t="s">
        <v>446</v>
      </c>
      <c r="H1079" s="8" t="s">
        <v>3470</v>
      </c>
      <c r="I1079" s="8" t="s">
        <v>26</v>
      </c>
    </row>
    <row r="1080" spans="1:9" s="8" customFormat="1">
      <c r="A1080" s="13"/>
      <c r="B1080" s="8" t="s">
        <v>4857</v>
      </c>
      <c r="C1080" s="284">
        <v>8296800</v>
      </c>
      <c r="D1080" s="284">
        <v>0</v>
      </c>
      <c r="E1080" s="284">
        <f t="shared" si="16"/>
        <v>665569</v>
      </c>
      <c r="F1080" s="8" t="s">
        <v>10</v>
      </c>
      <c r="G1080" s="8" t="s">
        <v>446</v>
      </c>
      <c r="H1080" s="8" t="s">
        <v>3470</v>
      </c>
      <c r="I1080" s="8" t="s">
        <v>26</v>
      </c>
    </row>
    <row r="1081" spans="1:9" s="8" customFormat="1">
      <c r="A1081" s="13"/>
      <c r="B1081" s="8" t="s">
        <v>4858</v>
      </c>
      <c r="C1081" s="284">
        <v>655589</v>
      </c>
      <c r="D1081" s="284">
        <v>0</v>
      </c>
      <c r="E1081" s="284">
        <f t="shared" si="16"/>
        <v>9980</v>
      </c>
      <c r="F1081" s="8" t="s">
        <v>21</v>
      </c>
      <c r="G1081" s="8" t="s">
        <v>22</v>
      </c>
    </row>
    <row r="1082" spans="1:9" s="8" customFormat="1">
      <c r="A1082" s="13"/>
      <c r="B1082" s="8" t="s">
        <v>1650</v>
      </c>
      <c r="C1082" s="284">
        <v>10000</v>
      </c>
      <c r="D1082" s="284">
        <v>0</v>
      </c>
      <c r="E1082" s="284">
        <f t="shared" si="16"/>
        <v>-20</v>
      </c>
      <c r="F1082" s="8" t="s">
        <v>19</v>
      </c>
      <c r="G1082" s="8" t="s">
        <v>189</v>
      </c>
    </row>
    <row r="1083" spans="1:9" s="8" customFormat="1">
      <c r="A1083" s="13"/>
      <c r="B1083" s="8" t="s">
        <v>3300</v>
      </c>
      <c r="C1083" s="284">
        <v>0</v>
      </c>
      <c r="D1083" s="284">
        <v>20</v>
      </c>
      <c r="E1083" s="284">
        <f t="shared" si="16"/>
        <v>0</v>
      </c>
      <c r="F1083" s="15" t="s">
        <v>1209</v>
      </c>
      <c r="G1083" s="15" t="s">
        <v>192</v>
      </c>
    </row>
    <row r="1084" spans="1:9" s="8" customFormat="1">
      <c r="A1084" s="13">
        <v>45960</v>
      </c>
      <c r="B1084" s="8" t="s">
        <v>3705</v>
      </c>
      <c r="C1084" s="284">
        <v>0</v>
      </c>
      <c r="D1084" s="284">
        <v>142192510</v>
      </c>
      <c r="E1084" s="284">
        <f t="shared" si="16"/>
        <v>142192510</v>
      </c>
      <c r="F1084" s="8" t="s">
        <v>920</v>
      </c>
      <c r="G1084" s="8" t="s">
        <v>4250</v>
      </c>
      <c r="H1084" s="8" t="s">
        <v>368</v>
      </c>
    </row>
    <row r="1085" spans="1:9" s="8" customFormat="1">
      <c r="A1085" s="13"/>
      <c r="B1085" s="8" t="s">
        <v>6793</v>
      </c>
      <c r="C1085" s="284">
        <v>818290</v>
      </c>
      <c r="D1085" s="284">
        <v>0</v>
      </c>
      <c r="E1085" s="284">
        <f t="shared" si="16"/>
        <v>141374220</v>
      </c>
      <c r="F1085" s="8" t="s">
        <v>21</v>
      </c>
      <c r="G1085" s="8" t="s">
        <v>22</v>
      </c>
    </row>
    <row r="1086" spans="1:9" s="8" customFormat="1">
      <c r="A1086" s="13"/>
      <c r="B1086" s="8" t="s">
        <v>6794</v>
      </c>
      <c r="C1086" s="284">
        <v>863940</v>
      </c>
      <c r="D1086" s="284">
        <v>0</v>
      </c>
      <c r="E1086" s="284">
        <f t="shared" si="16"/>
        <v>140510280</v>
      </c>
      <c r="F1086" s="8" t="s">
        <v>21</v>
      </c>
      <c r="G1086" s="8" t="s">
        <v>22</v>
      </c>
    </row>
    <row r="1087" spans="1:9" s="8" customFormat="1">
      <c r="A1087" s="13"/>
      <c r="B1087" s="8" t="s">
        <v>6795</v>
      </c>
      <c r="C1087" s="284">
        <v>314940</v>
      </c>
      <c r="D1087" s="284">
        <v>0</v>
      </c>
      <c r="E1087" s="284">
        <f t="shared" si="16"/>
        <v>140195340</v>
      </c>
      <c r="F1087" s="8" t="s">
        <v>8</v>
      </c>
      <c r="G1087" s="8" t="s">
        <v>14</v>
      </c>
      <c r="H1087" s="8" t="s">
        <v>314</v>
      </c>
    </row>
    <row r="1088" spans="1:9" s="8" customFormat="1">
      <c r="A1088" s="13"/>
      <c r="B1088" s="8" t="s">
        <v>6810</v>
      </c>
      <c r="C1088" s="284">
        <v>11100000</v>
      </c>
      <c r="D1088" s="284">
        <v>0</v>
      </c>
      <c r="E1088" s="284">
        <f t="shared" si="16"/>
        <v>129095340</v>
      </c>
      <c r="F1088" s="8" t="s">
        <v>1643</v>
      </c>
      <c r="G1088" s="8" t="s">
        <v>5</v>
      </c>
      <c r="H1088" s="8" t="s">
        <v>3457</v>
      </c>
    </row>
    <row r="1089" spans="1:8" s="8" customFormat="1">
      <c r="A1089" s="13"/>
      <c r="B1089" s="8" t="s">
        <v>6796</v>
      </c>
      <c r="C1089" s="284">
        <v>42500000</v>
      </c>
      <c r="D1089" s="284">
        <v>0</v>
      </c>
      <c r="E1089" s="284">
        <f t="shared" si="16"/>
        <v>86595340</v>
      </c>
      <c r="F1089" s="8" t="s">
        <v>1643</v>
      </c>
      <c r="G1089" s="8" t="s">
        <v>5</v>
      </c>
      <c r="H1089" s="8" t="s">
        <v>4080</v>
      </c>
    </row>
    <row r="1090" spans="1:8" s="8" customFormat="1">
      <c r="A1090" s="13"/>
      <c r="B1090" s="8" t="s">
        <v>6797</v>
      </c>
      <c r="C1090" s="284">
        <v>310340</v>
      </c>
      <c r="D1090" s="284">
        <v>0</v>
      </c>
      <c r="E1090" s="284">
        <f t="shared" si="16"/>
        <v>86285000</v>
      </c>
      <c r="F1090" s="8" t="s">
        <v>8</v>
      </c>
      <c r="G1090" s="8" t="s">
        <v>14</v>
      </c>
      <c r="H1090" s="8" t="s">
        <v>314</v>
      </c>
    </row>
    <row r="1091" spans="1:8" s="8" customFormat="1">
      <c r="A1091" s="13"/>
      <c r="B1091" s="8" t="s">
        <v>6798</v>
      </c>
      <c r="C1091" s="290">
        <v>70190000</v>
      </c>
      <c r="D1091" s="290">
        <v>0</v>
      </c>
      <c r="E1091" s="284">
        <f t="shared" si="16"/>
        <v>16095000</v>
      </c>
      <c r="F1091" s="8" t="s">
        <v>10</v>
      </c>
      <c r="G1091" s="8" t="s">
        <v>446</v>
      </c>
      <c r="H1091" s="8" t="s">
        <v>4095</v>
      </c>
    </row>
    <row r="1092" spans="1:8" s="8" customFormat="1">
      <c r="A1092" s="13"/>
      <c r="B1092" s="8" t="s">
        <v>6799</v>
      </c>
      <c r="C1092" s="290">
        <v>10630400</v>
      </c>
      <c r="D1092" s="290">
        <v>0</v>
      </c>
      <c r="E1092" s="284">
        <f t="shared" si="16"/>
        <v>5464600</v>
      </c>
      <c r="F1092" s="8" t="s">
        <v>10</v>
      </c>
      <c r="G1092" s="8" t="s">
        <v>446</v>
      </c>
      <c r="H1092" s="8" t="s">
        <v>4095</v>
      </c>
    </row>
    <row r="1093" spans="1:8" s="8" customFormat="1">
      <c r="A1093" s="13"/>
      <c r="B1093" s="8" t="s">
        <v>6800</v>
      </c>
      <c r="C1093" s="290">
        <v>3185600</v>
      </c>
      <c r="D1093" s="290">
        <v>0</v>
      </c>
      <c r="E1093" s="284">
        <f t="shared" si="16"/>
        <v>2279000</v>
      </c>
      <c r="F1093" s="8" t="s">
        <v>10</v>
      </c>
      <c r="G1093" s="8" t="s">
        <v>446</v>
      </c>
      <c r="H1093" s="8" t="s">
        <v>4095</v>
      </c>
    </row>
    <row r="1094" spans="1:8" s="8" customFormat="1">
      <c r="A1094" s="13"/>
      <c r="B1094" s="8" t="s">
        <v>6801</v>
      </c>
      <c r="C1094" s="290">
        <v>1730000</v>
      </c>
      <c r="D1094" s="290">
        <v>0</v>
      </c>
      <c r="E1094" s="284">
        <f t="shared" ref="E1094:E1157" si="17">E1093-C1094+D1094</f>
        <v>549000</v>
      </c>
      <c r="F1094" s="8" t="s">
        <v>10</v>
      </c>
      <c r="G1094" s="8" t="s">
        <v>446</v>
      </c>
      <c r="H1094" s="8" t="s">
        <v>4095</v>
      </c>
    </row>
    <row r="1095" spans="1:8" s="8" customFormat="1">
      <c r="A1095" s="13"/>
      <c r="B1095" s="8" t="s">
        <v>6802</v>
      </c>
      <c r="C1095" s="284">
        <v>539000</v>
      </c>
      <c r="D1095" s="284">
        <v>0</v>
      </c>
      <c r="E1095" s="284">
        <f t="shared" si="17"/>
        <v>10000</v>
      </c>
      <c r="F1095" s="8" t="s">
        <v>21</v>
      </c>
      <c r="G1095" s="8" t="s">
        <v>22</v>
      </c>
    </row>
    <row r="1096" spans="1:8" s="8" customFormat="1">
      <c r="A1096" s="13"/>
      <c r="B1096" s="8" t="s">
        <v>6602</v>
      </c>
      <c r="C1096" s="284">
        <v>10000</v>
      </c>
      <c r="D1096" s="284">
        <v>0</v>
      </c>
      <c r="E1096" s="284">
        <f t="shared" si="17"/>
        <v>0</v>
      </c>
      <c r="F1096" s="8" t="s">
        <v>19</v>
      </c>
      <c r="G1096" s="8" t="s">
        <v>189</v>
      </c>
    </row>
    <row r="1097" spans="1:8" s="8" customFormat="1">
      <c r="A1097" s="13">
        <v>45900</v>
      </c>
      <c r="B1097" s="8" t="s">
        <v>2948</v>
      </c>
      <c r="C1097" s="284">
        <v>0</v>
      </c>
      <c r="D1097" s="284">
        <v>168181637</v>
      </c>
      <c r="E1097" s="284">
        <f t="shared" si="17"/>
        <v>168181637</v>
      </c>
      <c r="F1097" s="8" t="s">
        <v>920</v>
      </c>
      <c r="G1097" s="8" t="s">
        <v>4250</v>
      </c>
      <c r="H1097" t="s">
        <v>100</v>
      </c>
    </row>
    <row r="1098" spans="1:8" s="8" customFormat="1">
      <c r="A1098" s="13"/>
      <c r="B1098" s="8" t="s">
        <v>4859</v>
      </c>
      <c r="C1098" s="284">
        <v>1815486</v>
      </c>
      <c r="D1098" s="284">
        <v>0</v>
      </c>
      <c r="E1098" s="284">
        <f t="shared" si="17"/>
        <v>166366151</v>
      </c>
      <c r="F1098" s="8" t="s">
        <v>920</v>
      </c>
      <c r="G1098" s="8" t="s">
        <v>498</v>
      </c>
      <c r="H1098" s="8" t="s">
        <v>3354</v>
      </c>
    </row>
    <row r="1099" spans="1:8" s="8" customFormat="1">
      <c r="A1099" s="13"/>
      <c r="B1099" s="8" t="s">
        <v>4860</v>
      </c>
      <c r="C1099" s="284">
        <v>5213631</v>
      </c>
      <c r="D1099" s="284">
        <v>0</v>
      </c>
      <c r="E1099" s="284">
        <f t="shared" si="17"/>
        <v>161152520</v>
      </c>
      <c r="F1099" s="8" t="s">
        <v>1643</v>
      </c>
      <c r="G1099" s="8" t="s">
        <v>5</v>
      </c>
      <c r="H1099" s="8" t="s">
        <v>1622</v>
      </c>
    </row>
    <row r="1100" spans="1:8" s="8" customFormat="1">
      <c r="A1100" s="13"/>
      <c r="B1100" s="8" t="s">
        <v>4861</v>
      </c>
      <c r="C1100" s="284">
        <v>236918</v>
      </c>
      <c r="D1100" s="284">
        <v>0</v>
      </c>
      <c r="E1100" s="284">
        <f t="shared" si="17"/>
        <v>160915602</v>
      </c>
      <c r="F1100" s="15" t="s">
        <v>19</v>
      </c>
      <c r="G1100" s="15" t="s">
        <v>65</v>
      </c>
    </row>
    <row r="1101" spans="1:8" s="8" customFormat="1">
      <c r="A1101" s="13"/>
      <c r="B1101" s="8" t="s">
        <v>4862</v>
      </c>
      <c r="C1101" s="284">
        <v>91735000</v>
      </c>
      <c r="D1101" s="284">
        <v>0</v>
      </c>
      <c r="E1101" s="284">
        <f t="shared" si="17"/>
        <v>69180602</v>
      </c>
      <c r="F1101" s="8" t="s">
        <v>920</v>
      </c>
      <c r="G1101" s="8" t="s">
        <v>498</v>
      </c>
      <c r="H1101" s="8" t="s">
        <v>3354</v>
      </c>
    </row>
    <row r="1102" spans="1:8" s="8" customFormat="1">
      <c r="A1102" s="13"/>
      <c r="B1102" s="8" t="s">
        <v>4863</v>
      </c>
      <c r="C1102" s="284">
        <v>323200</v>
      </c>
      <c r="D1102" s="284">
        <v>0</v>
      </c>
      <c r="E1102" s="284">
        <f t="shared" si="17"/>
        <v>68857402</v>
      </c>
      <c r="F1102" s="8" t="s">
        <v>8</v>
      </c>
      <c r="G1102" s="8" t="s">
        <v>14</v>
      </c>
      <c r="H1102" s="8" t="s">
        <v>314</v>
      </c>
    </row>
    <row r="1103" spans="1:8" s="8" customFormat="1">
      <c r="A1103" s="13"/>
      <c r="B1103" s="8" t="s">
        <v>4864</v>
      </c>
      <c r="C1103" s="284">
        <v>7500</v>
      </c>
      <c r="D1103" s="284">
        <v>0</v>
      </c>
      <c r="E1103" s="284">
        <f t="shared" si="17"/>
        <v>68849902</v>
      </c>
      <c r="F1103" s="8" t="s">
        <v>19</v>
      </c>
      <c r="G1103" s="8" t="s">
        <v>189</v>
      </c>
    </row>
    <row r="1104" spans="1:8" s="8" customFormat="1">
      <c r="A1104" s="13">
        <v>45867</v>
      </c>
      <c r="B1104" s="8" t="s">
        <v>2555</v>
      </c>
      <c r="C1104" s="284">
        <v>0</v>
      </c>
      <c r="D1104" s="284">
        <v>100000000</v>
      </c>
      <c r="E1104" s="284">
        <f t="shared" si="17"/>
        <v>168849902</v>
      </c>
      <c r="F1104" s="8" t="s">
        <v>920</v>
      </c>
      <c r="G1104" s="8" t="s">
        <v>4250</v>
      </c>
      <c r="H1104" t="s">
        <v>100</v>
      </c>
    </row>
    <row r="1105" spans="1:8" s="8" customFormat="1">
      <c r="A1105" s="13"/>
      <c r="B1105" s="8" t="s">
        <v>4865</v>
      </c>
      <c r="C1105" s="284">
        <v>717063</v>
      </c>
      <c r="D1105" s="284">
        <v>0</v>
      </c>
      <c r="E1105" s="284">
        <f t="shared" si="17"/>
        <v>168132839</v>
      </c>
      <c r="F1105" s="8" t="s">
        <v>1643</v>
      </c>
      <c r="G1105" s="8" t="s">
        <v>5</v>
      </c>
      <c r="H1105" s="8" t="s">
        <v>3232</v>
      </c>
    </row>
    <row r="1106" spans="1:8" s="8" customFormat="1">
      <c r="A1106" s="13"/>
      <c r="B1106" s="8" t="s">
        <v>4866</v>
      </c>
      <c r="C1106" s="284">
        <v>77000000</v>
      </c>
      <c r="D1106" s="284">
        <v>0</v>
      </c>
      <c r="E1106" s="284">
        <f t="shared" si="17"/>
        <v>91132839</v>
      </c>
      <c r="F1106" s="8" t="s">
        <v>1643</v>
      </c>
      <c r="G1106" s="8" t="s">
        <v>5</v>
      </c>
      <c r="H1106" s="8" t="s">
        <v>3232</v>
      </c>
    </row>
    <row r="1107" spans="1:8" s="8" customFormat="1">
      <c r="A1107" s="13"/>
      <c r="B1107" s="8" t="s">
        <v>4863</v>
      </c>
      <c r="C1107" s="284">
        <v>344900</v>
      </c>
      <c r="D1107" s="284">
        <v>0</v>
      </c>
      <c r="E1107" s="284">
        <f t="shared" si="17"/>
        <v>90787939</v>
      </c>
      <c r="F1107" s="8" t="s">
        <v>8</v>
      </c>
      <c r="G1107" s="8" t="s">
        <v>14</v>
      </c>
      <c r="H1107" s="8" t="s">
        <v>314</v>
      </c>
    </row>
    <row r="1108" spans="1:8" s="8" customFormat="1">
      <c r="A1108" s="13"/>
      <c r="B1108" s="8" t="s">
        <v>4867</v>
      </c>
      <c r="C1108" s="284">
        <v>1752939</v>
      </c>
      <c r="D1108" s="284">
        <v>0</v>
      </c>
      <c r="E1108" s="284">
        <f t="shared" si="17"/>
        <v>89035000</v>
      </c>
      <c r="F1108" s="8" t="s">
        <v>21</v>
      </c>
      <c r="G1108" s="8" t="s">
        <v>187</v>
      </c>
    </row>
    <row r="1109" spans="1:8" s="8" customFormat="1">
      <c r="A1109" s="13"/>
      <c r="B1109" s="8" t="s">
        <v>4868</v>
      </c>
      <c r="C1109" s="284">
        <v>56825000</v>
      </c>
      <c r="D1109" s="284">
        <v>0</v>
      </c>
      <c r="E1109" s="284">
        <f t="shared" si="17"/>
        <v>32210000</v>
      </c>
      <c r="F1109" s="8" t="s">
        <v>1643</v>
      </c>
      <c r="G1109" s="8" t="s">
        <v>5</v>
      </c>
      <c r="H1109" s="8" t="s">
        <v>3457</v>
      </c>
    </row>
    <row r="1110" spans="1:8" s="8" customFormat="1">
      <c r="A1110" s="13"/>
      <c r="B1110" s="8" t="s">
        <v>4869</v>
      </c>
      <c r="C1110" s="284">
        <v>4000000</v>
      </c>
      <c r="D1110" s="284">
        <v>0</v>
      </c>
      <c r="E1110" s="284">
        <f t="shared" si="17"/>
        <v>28210000</v>
      </c>
      <c r="F1110" s="8" t="s">
        <v>1643</v>
      </c>
      <c r="G1110" s="8" t="s">
        <v>5</v>
      </c>
      <c r="H1110" s="8" t="s">
        <v>3457</v>
      </c>
    </row>
    <row r="1111" spans="1:8" s="8" customFormat="1">
      <c r="A1111" s="13">
        <v>45882</v>
      </c>
      <c r="B1111" s="8" t="s">
        <v>2882</v>
      </c>
      <c r="C1111" s="284">
        <v>0</v>
      </c>
      <c r="D1111" s="284">
        <v>40000000</v>
      </c>
      <c r="E1111" s="284">
        <f t="shared" si="17"/>
        <v>68210000</v>
      </c>
      <c r="F1111" s="8" t="s">
        <v>920</v>
      </c>
      <c r="G1111" s="8" t="s">
        <v>4250</v>
      </c>
      <c r="H1111" t="s">
        <v>100</v>
      </c>
    </row>
    <row r="1112" spans="1:8">
      <c r="B1112" t="s">
        <v>1650</v>
      </c>
      <c r="C1112" s="283">
        <v>10000</v>
      </c>
      <c r="D1112" s="283">
        <v>0</v>
      </c>
      <c r="E1112" s="284">
        <f t="shared" si="17"/>
        <v>68200000</v>
      </c>
      <c r="F1112" t="s">
        <v>19</v>
      </c>
      <c r="G1112" t="s">
        <v>189</v>
      </c>
    </row>
    <row r="1113" spans="1:8" s="8" customFormat="1">
      <c r="A1113" s="13"/>
      <c r="B1113" s="8" t="s">
        <v>4870</v>
      </c>
      <c r="C1113" s="284">
        <v>68200000</v>
      </c>
      <c r="D1113" s="284">
        <v>0</v>
      </c>
      <c r="E1113" s="284">
        <f t="shared" si="17"/>
        <v>0</v>
      </c>
      <c r="F1113" s="8" t="s">
        <v>1643</v>
      </c>
      <c r="G1113" s="8" t="s">
        <v>5</v>
      </c>
      <c r="H1113" s="8" t="s">
        <v>3232</v>
      </c>
    </row>
    <row r="1114" spans="1:8" s="8" customFormat="1">
      <c r="A1114" s="5">
        <v>45933</v>
      </c>
      <c r="B1114" t="s">
        <v>3900</v>
      </c>
      <c r="C1114" s="288">
        <v>0</v>
      </c>
      <c r="D1114" s="288">
        <v>533170</v>
      </c>
      <c r="E1114" s="284">
        <f t="shared" si="17"/>
        <v>533170</v>
      </c>
      <c r="F1114" s="80" t="s">
        <v>920</v>
      </c>
      <c r="G1114" t="s">
        <v>4250</v>
      </c>
      <c r="H1114" t="s">
        <v>100</v>
      </c>
    </row>
    <row r="1115" spans="1:8" s="8" customFormat="1">
      <c r="A1115" s="5"/>
      <c r="B1115" t="s">
        <v>4871</v>
      </c>
      <c r="C1115" s="288">
        <v>7500</v>
      </c>
      <c r="D1115" s="288">
        <v>0</v>
      </c>
      <c r="E1115" s="284">
        <f t="shared" si="17"/>
        <v>525670</v>
      </c>
      <c r="F1115" s="80" t="s">
        <v>19</v>
      </c>
      <c r="G1115" t="s">
        <v>189</v>
      </c>
      <c r="H1115"/>
    </row>
    <row r="1116" spans="1:8" s="8" customFormat="1">
      <c r="A1116" s="13"/>
      <c r="B1116" s="8" t="s">
        <v>1694</v>
      </c>
      <c r="C1116" s="290">
        <v>335000</v>
      </c>
      <c r="D1116" s="290">
        <v>0</v>
      </c>
      <c r="E1116" s="284">
        <f t="shared" si="17"/>
        <v>190670</v>
      </c>
      <c r="F1116" s="8" t="s">
        <v>8</v>
      </c>
      <c r="G1116" s="8" t="s">
        <v>14</v>
      </c>
      <c r="H1116" s="8" t="s">
        <v>314</v>
      </c>
    </row>
    <row r="1117" spans="1:8" s="8" customFormat="1">
      <c r="A1117" s="5"/>
      <c r="B1117" t="s">
        <v>4872</v>
      </c>
      <c r="C1117" s="288">
        <v>180670</v>
      </c>
      <c r="D1117" s="288">
        <v>0</v>
      </c>
      <c r="E1117" s="284">
        <f t="shared" si="17"/>
        <v>10000</v>
      </c>
      <c r="F1117" s="80" t="s">
        <v>21</v>
      </c>
      <c r="G1117" t="s">
        <v>187</v>
      </c>
      <c r="H1117"/>
    </row>
    <row r="1118" spans="1:8" s="8" customFormat="1">
      <c r="A1118" s="13"/>
      <c r="B1118" s="8" t="s">
        <v>1650</v>
      </c>
      <c r="C1118" s="284">
        <v>10000</v>
      </c>
      <c r="D1118" s="284">
        <v>0</v>
      </c>
      <c r="E1118" s="284">
        <f t="shared" si="17"/>
        <v>0</v>
      </c>
      <c r="F1118" s="8" t="s">
        <v>19</v>
      </c>
      <c r="G1118" s="8" t="s">
        <v>189</v>
      </c>
    </row>
    <row r="1119" spans="1:8" s="8" customFormat="1">
      <c r="A1119" s="5">
        <v>45963</v>
      </c>
      <c r="B1119" t="s">
        <v>4108</v>
      </c>
      <c r="C1119" s="288">
        <v>0</v>
      </c>
      <c r="D1119" s="288">
        <v>50929767</v>
      </c>
      <c r="E1119" s="284">
        <f t="shared" si="17"/>
        <v>50929767</v>
      </c>
      <c r="F1119" s="80" t="s">
        <v>920</v>
      </c>
      <c r="G1119" t="s">
        <v>4250</v>
      </c>
      <c r="H1119" t="s">
        <v>4817</v>
      </c>
    </row>
    <row r="1120" spans="1:8" s="8" customFormat="1">
      <c r="A1120" s="13"/>
      <c r="B1120" s="8" t="s">
        <v>6803</v>
      </c>
      <c r="C1120" s="290">
        <v>1003800</v>
      </c>
      <c r="D1120" s="290">
        <v>0</v>
      </c>
      <c r="E1120" s="284">
        <f t="shared" si="17"/>
        <v>49925967</v>
      </c>
      <c r="F1120" s="8" t="s">
        <v>1643</v>
      </c>
      <c r="G1120" s="8" t="s">
        <v>5</v>
      </c>
      <c r="H1120" s="8" t="s">
        <v>4097</v>
      </c>
    </row>
    <row r="1121" spans="1:8" s="8" customFormat="1">
      <c r="A1121" s="13"/>
      <c r="B1121" s="8" t="s">
        <v>6708</v>
      </c>
      <c r="C1121" s="290">
        <v>1353005</v>
      </c>
      <c r="D1121" s="290">
        <v>0</v>
      </c>
      <c r="E1121" s="284">
        <f t="shared" si="17"/>
        <v>48572962</v>
      </c>
      <c r="F1121" s="8" t="s">
        <v>1643</v>
      </c>
      <c r="G1121" s="8" t="s">
        <v>5</v>
      </c>
      <c r="H1121" s="8" t="s">
        <v>6576</v>
      </c>
    </row>
    <row r="1122" spans="1:8" s="8" customFormat="1">
      <c r="A1122" s="13"/>
      <c r="B1122" s="8" t="s">
        <v>6804</v>
      </c>
      <c r="C1122" s="290">
        <v>3733858</v>
      </c>
      <c r="D1122" s="290">
        <v>0</v>
      </c>
      <c r="E1122" s="284">
        <f t="shared" si="17"/>
        <v>44839104</v>
      </c>
      <c r="F1122" s="8" t="s">
        <v>1643</v>
      </c>
      <c r="G1122" s="8" t="s">
        <v>5</v>
      </c>
      <c r="H1122" s="8" t="s">
        <v>6576</v>
      </c>
    </row>
    <row r="1123" spans="1:8" s="8" customFormat="1">
      <c r="A1123" s="13"/>
      <c r="B1123" s="8" t="s">
        <v>6805</v>
      </c>
      <c r="C1123" s="290">
        <v>3475770</v>
      </c>
      <c r="D1123" s="290">
        <v>0</v>
      </c>
      <c r="E1123" s="284">
        <f t="shared" si="17"/>
        <v>41363334</v>
      </c>
      <c r="F1123" s="8" t="s">
        <v>1643</v>
      </c>
      <c r="G1123" s="8" t="s">
        <v>5</v>
      </c>
      <c r="H1123" s="8" t="s">
        <v>6576</v>
      </c>
    </row>
    <row r="1124" spans="1:8" s="8" customFormat="1">
      <c r="A1124" s="13"/>
      <c r="B1124" s="8" t="s">
        <v>6707</v>
      </c>
      <c r="C1124" s="290">
        <v>2142791</v>
      </c>
      <c r="D1124" s="290">
        <v>0</v>
      </c>
      <c r="E1124" s="284">
        <f t="shared" si="17"/>
        <v>39220543</v>
      </c>
      <c r="F1124" s="8" t="s">
        <v>1643</v>
      </c>
      <c r="G1124" s="8" t="s">
        <v>5</v>
      </c>
      <c r="H1124" s="8" t="s">
        <v>6576</v>
      </c>
    </row>
    <row r="1125" spans="1:8" s="8" customFormat="1">
      <c r="A1125" s="13"/>
      <c r="B1125" s="8" t="s">
        <v>6806</v>
      </c>
      <c r="C1125" s="290">
        <v>1957083</v>
      </c>
      <c r="D1125" s="290">
        <v>0</v>
      </c>
      <c r="E1125" s="284">
        <f t="shared" si="17"/>
        <v>37263460</v>
      </c>
      <c r="F1125" s="8" t="s">
        <v>1643</v>
      </c>
      <c r="G1125" s="8" t="s">
        <v>5</v>
      </c>
      <c r="H1125" s="8" t="s">
        <v>6576</v>
      </c>
    </row>
    <row r="1126" spans="1:8" s="8" customFormat="1">
      <c r="A1126" s="13"/>
      <c r="B1126" s="8" t="s">
        <v>6709</v>
      </c>
      <c r="C1126" s="290">
        <v>1052770</v>
      </c>
      <c r="D1126" s="290">
        <v>0</v>
      </c>
      <c r="E1126" s="284">
        <f t="shared" si="17"/>
        <v>36210690</v>
      </c>
      <c r="F1126" s="8" t="s">
        <v>1643</v>
      </c>
      <c r="G1126" s="8" t="s">
        <v>5</v>
      </c>
      <c r="H1126" s="8" t="s">
        <v>6576</v>
      </c>
    </row>
    <row r="1127" spans="1:8" s="8" customFormat="1">
      <c r="A1127" s="13"/>
      <c r="B1127" s="8" t="s">
        <v>6710</v>
      </c>
      <c r="C1127" s="290">
        <v>1082404</v>
      </c>
      <c r="D1127" s="290">
        <v>0</v>
      </c>
      <c r="E1127" s="284">
        <f t="shared" si="17"/>
        <v>35128286</v>
      </c>
      <c r="F1127" s="8" t="s">
        <v>1643</v>
      </c>
      <c r="G1127" s="8" t="s">
        <v>5</v>
      </c>
      <c r="H1127" s="8" t="s">
        <v>6576</v>
      </c>
    </row>
    <row r="1128" spans="1:8" s="8" customFormat="1">
      <c r="A1128" s="13"/>
      <c r="B1128" s="8" t="s">
        <v>6711</v>
      </c>
      <c r="C1128" s="290">
        <v>1279601</v>
      </c>
      <c r="D1128" s="290">
        <v>0</v>
      </c>
      <c r="E1128" s="284">
        <f t="shared" si="17"/>
        <v>33848685</v>
      </c>
      <c r="F1128" s="8" t="s">
        <v>1643</v>
      </c>
      <c r="G1128" s="8" t="s">
        <v>5</v>
      </c>
      <c r="H1128" s="8" t="s">
        <v>6576</v>
      </c>
    </row>
    <row r="1129" spans="1:8" s="8" customFormat="1">
      <c r="A1129" s="13"/>
      <c r="B1129" s="8" t="s">
        <v>6807</v>
      </c>
      <c r="C1129" s="290">
        <v>1814755</v>
      </c>
      <c r="D1129" s="290">
        <v>0</v>
      </c>
      <c r="E1129" s="284">
        <f t="shared" si="17"/>
        <v>32033930</v>
      </c>
      <c r="F1129" s="8" t="s">
        <v>1643</v>
      </c>
      <c r="G1129" s="8" t="s">
        <v>5</v>
      </c>
      <c r="H1129" s="8" t="s">
        <v>6576</v>
      </c>
    </row>
    <row r="1130" spans="1:8" s="8" customFormat="1">
      <c r="A1130" s="13"/>
      <c r="B1130" s="8" t="s">
        <v>6712</v>
      </c>
      <c r="C1130" s="290">
        <v>1322931</v>
      </c>
      <c r="D1130" s="290">
        <v>0</v>
      </c>
      <c r="E1130" s="284">
        <f t="shared" si="17"/>
        <v>30710999</v>
      </c>
      <c r="F1130" s="8" t="s">
        <v>1643</v>
      </c>
      <c r="G1130" s="8" t="s">
        <v>5</v>
      </c>
      <c r="H1130" s="8" t="s">
        <v>6576</v>
      </c>
    </row>
    <row r="1131" spans="1:8" s="8" customFormat="1">
      <c r="A1131" s="13"/>
      <c r="B1131" s="8" t="s">
        <v>6713</v>
      </c>
      <c r="C1131" s="290">
        <v>1569818</v>
      </c>
      <c r="D1131" s="290">
        <v>0</v>
      </c>
      <c r="E1131" s="284">
        <f t="shared" si="17"/>
        <v>29141181</v>
      </c>
      <c r="F1131" s="8" t="s">
        <v>1643</v>
      </c>
      <c r="G1131" s="8" t="s">
        <v>5</v>
      </c>
      <c r="H1131" s="8" t="s">
        <v>6576</v>
      </c>
    </row>
    <row r="1132" spans="1:8" s="8" customFormat="1">
      <c r="A1132" s="13"/>
      <c r="B1132" s="8" t="s">
        <v>6714</v>
      </c>
      <c r="C1132" s="290">
        <v>2030429</v>
      </c>
      <c r="D1132" s="290">
        <v>0</v>
      </c>
      <c r="E1132" s="284">
        <f t="shared" si="17"/>
        <v>27110752</v>
      </c>
      <c r="F1132" s="8" t="s">
        <v>1643</v>
      </c>
      <c r="G1132" s="8" t="s">
        <v>5</v>
      </c>
      <c r="H1132" s="8" t="s">
        <v>6576</v>
      </c>
    </row>
    <row r="1133" spans="1:8" s="8" customFormat="1">
      <c r="A1133" s="13"/>
      <c r="B1133" s="8" t="s">
        <v>6715</v>
      </c>
      <c r="C1133" s="290">
        <v>843490</v>
      </c>
      <c r="D1133" s="290">
        <v>0</v>
      </c>
      <c r="E1133" s="284">
        <f t="shared" si="17"/>
        <v>26267262</v>
      </c>
      <c r="F1133" s="8" t="s">
        <v>1643</v>
      </c>
      <c r="G1133" s="8" t="s">
        <v>5</v>
      </c>
      <c r="H1133" s="8" t="s">
        <v>6576</v>
      </c>
    </row>
    <row r="1134" spans="1:8" s="8" customFormat="1">
      <c r="A1134" s="13"/>
      <c r="B1134" s="8" t="s">
        <v>6715</v>
      </c>
      <c r="C1134" s="290">
        <v>970456</v>
      </c>
      <c r="D1134" s="290">
        <v>0</v>
      </c>
      <c r="E1134" s="284">
        <f t="shared" si="17"/>
        <v>25296806</v>
      </c>
      <c r="F1134" s="8" t="s">
        <v>1643</v>
      </c>
      <c r="G1134" s="8" t="s">
        <v>5</v>
      </c>
      <c r="H1134" s="8" t="s">
        <v>6576</v>
      </c>
    </row>
    <row r="1135" spans="1:8" s="8" customFormat="1">
      <c r="A1135" s="13"/>
      <c r="B1135" s="8" t="s">
        <v>6716</v>
      </c>
      <c r="C1135" s="290">
        <v>2537999</v>
      </c>
      <c r="D1135" s="290">
        <v>0</v>
      </c>
      <c r="E1135" s="284">
        <f t="shared" si="17"/>
        <v>22758807</v>
      </c>
      <c r="F1135" s="8" t="s">
        <v>1643</v>
      </c>
      <c r="G1135" s="8" t="s">
        <v>5</v>
      </c>
      <c r="H1135" s="8" t="s">
        <v>6576</v>
      </c>
    </row>
    <row r="1136" spans="1:8" s="8" customFormat="1">
      <c r="A1136" s="13"/>
      <c r="B1136" s="8" t="s">
        <v>6717</v>
      </c>
      <c r="C1136" s="290">
        <v>2959840</v>
      </c>
      <c r="D1136" s="290">
        <v>0</v>
      </c>
      <c r="E1136" s="284">
        <f t="shared" si="17"/>
        <v>19798967</v>
      </c>
      <c r="F1136" s="8" t="s">
        <v>1643</v>
      </c>
      <c r="G1136" s="8" t="s">
        <v>5</v>
      </c>
      <c r="H1136" s="8" t="s">
        <v>6576</v>
      </c>
    </row>
    <row r="1137" spans="1:8" s="8" customFormat="1">
      <c r="A1137" s="13"/>
      <c r="B1137" s="8" t="s">
        <v>6718</v>
      </c>
      <c r="C1137" s="290">
        <v>4516142</v>
      </c>
      <c r="D1137" s="290">
        <v>0</v>
      </c>
      <c r="E1137" s="284">
        <f t="shared" si="17"/>
        <v>15282825</v>
      </c>
      <c r="F1137" s="8" t="s">
        <v>10</v>
      </c>
      <c r="G1137" s="8" t="s">
        <v>446</v>
      </c>
      <c r="H1137" s="8" t="s">
        <v>4089</v>
      </c>
    </row>
    <row r="1138" spans="1:8" s="8" customFormat="1">
      <c r="A1138" s="13"/>
      <c r="B1138" s="8" t="s">
        <v>6720</v>
      </c>
      <c r="C1138" s="290">
        <v>3749366</v>
      </c>
      <c r="D1138" s="290">
        <v>0</v>
      </c>
      <c r="E1138" s="284">
        <f t="shared" si="17"/>
        <v>11533459</v>
      </c>
      <c r="F1138" s="8" t="s">
        <v>1643</v>
      </c>
      <c r="G1138" s="8" t="s">
        <v>5</v>
      </c>
      <c r="H1138" s="8" t="s">
        <v>6576</v>
      </c>
    </row>
    <row r="1139" spans="1:8" s="8" customFormat="1">
      <c r="A1139" s="13"/>
      <c r="B1139" s="8" t="s">
        <v>6719</v>
      </c>
      <c r="C1139" s="290">
        <v>657679</v>
      </c>
      <c r="D1139" s="290">
        <v>0</v>
      </c>
      <c r="E1139" s="284">
        <f t="shared" si="17"/>
        <v>10875780</v>
      </c>
      <c r="F1139" s="8" t="s">
        <v>10</v>
      </c>
      <c r="G1139" s="8" t="s">
        <v>446</v>
      </c>
      <c r="H1139" s="8" t="s">
        <v>4095</v>
      </c>
    </row>
    <row r="1140" spans="1:8" s="8" customFormat="1">
      <c r="A1140" s="13"/>
      <c r="B1140" s="8" t="s">
        <v>6721</v>
      </c>
      <c r="C1140" s="290">
        <v>430864</v>
      </c>
      <c r="D1140" s="290">
        <v>0</v>
      </c>
      <c r="E1140" s="284">
        <f t="shared" si="17"/>
        <v>10444916</v>
      </c>
      <c r="F1140" s="8" t="s">
        <v>1643</v>
      </c>
      <c r="G1140" s="8" t="s">
        <v>5</v>
      </c>
      <c r="H1140" s="8" t="s">
        <v>6576</v>
      </c>
    </row>
    <row r="1141" spans="1:8" s="8" customFormat="1">
      <c r="A1141" s="13"/>
      <c r="B1141" s="8" t="s">
        <v>6722</v>
      </c>
      <c r="C1141" s="290">
        <v>416123</v>
      </c>
      <c r="D1141" s="290">
        <v>0</v>
      </c>
      <c r="E1141" s="284">
        <f t="shared" si="17"/>
        <v>10028793</v>
      </c>
      <c r="F1141" s="8" t="s">
        <v>10</v>
      </c>
      <c r="G1141" s="8" t="s">
        <v>446</v>
      </c>
      <c r="H1141" s="8" t="s">
        <v>4095</v>
      </c>
    </row>
    <row r="1142" spans="1:8" s="8" customFormat="1">
      <c r="A1142" s="13"/>
      <c r="B1142" s="8" t="s">
        <v>6723</v>
      </c>
      <c r="C1142" s="290">
        <v>2520000</v>
      </c>
      <c r="D1142" s="290">
        <v>0</v>
      </c>
      <c r="E1142" s="284">
        <f t="shared" si="17"/>
        <v>7508793</v>
      </c>
      <c r="F1142" s="8" t="s">
        <v>10</v>
      </c>
      <c r="G1142" s="8" t="s">
        <v>446</v>
      </c>
      <c r="H1142" s="8" t="s">
        <v>3473</v>
      </c>
    </row>
    <row r="1143" spans="1:8" s="8" customFormat="1">
      <c r="A1143" s="13"/>
      <c r="B1143" s="8" t="s">
        <v>6808</v>
      </c>
      <c r="C1143" s="290">
        <v>4668000</v>
      </c>
      <c r="D1143" s="290">
        <v>0</v>
      </c>
      <c r="E1143" s="284">
        <f t="shared" si="17"/>
        <v>2840793</v>
      </c>
      <c r="F1143" s="8" t="s">
        <v>10</v>
      </c>
      <c r="G1143" s="8" t="s">
        <v>446</v>
      </c>
      <c r="H1143" s="8" t="s">
        <v>4095</v>
      </c>
    </row>
    <row r="1144" spans="1:8" s="8" customFormat="1">
      <c r="A1144" s="13"/>
      <c r="B1144" s="8" t="s">
        <v>6724</v>
      </c>
      <c r="C1144" s="290">
        <v>432793</v>
      </c>
      <c r="D1144" s="290">
        <v>0</v>
      </c>
      <c r="E1144" s="284">
        <f t="shared" si="17"/>
        <v>2408000</v>
      </c>
      <c r="F1144" s="8" t="s">
        <v>10</v>
      </c>
      <c r="G1144" s="8" t="s">
        <v>446</v>
      </c>
      <c r="H1144" s="8" t="s">
        <v>4095</v>
      </c>
    </row>
    <row r="1145" spans="1:8" s="8" customFormat="1">
      <c r="A1145" s="13"/>
      <c r="B1145" s="8" t="s">
        <v>6725</v>
      </c>
      <c r="C1145" s="290">
        <v>778000</v>
      </c>
      <c r="D1145" s="290">
        <v>0</v>
      </c>
      <c r="E1145" s="284">
        <f t="shared" si="17"/>
        <v>1630000</v>
      </c>
      <c r="F1145" s="8" t="s">
        <v>1643</v>
      </c>
      <c r="G1145" s="8" t="s">
        <v>5</v>
      </c>
      <c r="H1145" s="8" t="s">
        <v>1634</v>
      </c>
    </row>
    <row r="1146" spans="1:8" s="8" customFormat="1">
      <c r="A1146" s="13"/>
      <c r="B1146" s="8" t="s">
        <v>6728</v>
      </c>
      <c r="C1146" s="290">
        <v>800000</v>
      </c>
      <c r="D1146" s="290">
        <v>0</v>
      </c>
      <c r="E1146" s="284">
        <f t="shared" si="17"/>
        <v>830000</v>
      </c>
      <c r="F1146" s="8" t="s">
        <v>10</v>
      </c>
      <c r="G1146" s="8" t="s">
        <v>446</v>
      </c>
      <c r="H1146" s="8" t="s">
        <v>4095</v>
      </c>
    </row>
    <row r="1147" spans="1:8" s="8" customFormat="1">
      <c r="A1147" s="13"/>
      <c r="B1147" s="8" t="s">
        <v>6726</v>
      </c>
      <c r="C1147" s="290">
        <v>210000</v>
      </c>
      <c r="D1147" s="290">
        <v>0</v>
      </c>
      <c r="E1147" s="284">
        <f t="shared" si="17"/>
        <v>620000</v>
      </c>
      <c r="F1147" s="8" t="s">
        <v>10</v>
      </c>
      <c r="G1147" s="8" t="s">
        <v>446</v>
      </c>
      <c r="H1147" s="8" t="s">
        <v>4095</v>
      </c>
    </row>
    <row r="1148" spans="1:8" s="8" customFormat="1">
      <c r="A1148" s="13"/>
      <c r="B1148" s="8" t="s">
        <v>6727</v>
      </c>
      <c r="C1148" s="290">
        <v>460000</v>
      </c>
      <c r="D1148" s="290">
        <v>0</v>
      </c>
      <c r="E1148" s="284">
        <f t="shared" si="17"/>
        <v>160000</v>
      </c>
      <c r="F1148" s="8" t="s">
        <v>10</v>
      </c>
      <c r="G1148" s="8" t="s">
        <v>446</v>
      </c>
      <c r="H1148" s="8" t="s">
        <v>4095</v>
      </c>
    </row>
    <row r="1149" spans="1:8" s="8" customFormat="1">
      <c r="A1149" s="13"/>
      <c r="B1149" s="8" t="s">
        <v>6727</v>
      </c>
      <c r="C1149" s="290">
        <v>160000</v>
      </c>
      <c r="D1149" s="290">
        <v>0</v>
      </c>
      <c r="E1149" s="284">
        <f t="shared" si="17"/>
        <v>0</v>
      </c>
      <c r="F1149" s="8" t="s">
        <v>10</v>
      </c>
      <c r="G1149" s="8" t="s">
        <v>446</v>
      </c>
      <c r="H1149" s="8" t="s">
        <v>4095</v>
      </c>
    </row>
    <row r="1150" spans="1:8" s="8" customFormat="1">
      <c r="A1150" s="13">
        <v>45993</v>
      </c>
      <c r="B1150" s="8" t="s">
        <v>5879</v>
      </c>
      <c r="C1150" s="290">
        <v>0</v>
      </c>
      <c r="D1150" s="290">
        <v>98055385</v>
      </c>
      <c r="E1150" s="284">
        <f t="shared" si="17"/>
        <v>98055385</v>
      </c>
      <c r="F1150" s="8" t="s">
        <v>920</v>
      </c>
      <c r="G1150" s="8" t="s">
        <v>4250</v>
      </c>
      <c r="H1150" s="8" t="s">
        <v>4817</v>
      </c>
    </row>
    <row r="1151" spans="1:8" s="8" customFormat="1">
      <c r="A1151" s="13"/>
      <c r="B1151" s="8" t="s">
        <v>6729</v>
      </c>
      <c r="C1151" s="290">
        <v>3990400</v>
      </c>
      <c r="D1151" s="290">
        <v>0</v>
      </c>
      <c r="E1151" s="284">
        <f t="shared" si="17"/>
        <v>94064985</v>
      </c>
      <c r="F1151" s="8" t="s">
        <v>10</v>
      </c>
      <c r="G1151" s="8" t="s">
        <v>446</v>
      </c>
      <c r="H1151" s="8" t="s">
        <v>4096</v>
      </c>
    </row>
    <row r="1152" spans="1:8" s="8" customFormat="1">
      <c r="A1152" s="13"/>
      <c r="B1152" s="8" t="s">
        <v>6730</v>
      </c>
      <c r="C1152" s="290">
        <v>5000000</v>
      </c>
      <c r="D1152" s="290">
        <v>0</v>
      </c>
      <c r="E1152" s="284">
        <f t="shared" si="17"/>
        <v>89064985</v>
      </c>
      <c r="F1152" s="8" t="s">
        <v>6</v>
      </c>
      <c r="G1152" s="8" t="s">
        <v>7</v>
      </c>
      <c r="H1152" s="8" t="s">
        <v>6751</v>
      </c>
    </row>
    <row r="1153" spans="1:8" s="8" customFormat="1">
      <c r="A1153" s="13"/>
      <c r="B1153" s="8" t="s">
        <v>6730</v>
      </c>
      <c r="C1153" s="290">
        <v>5000000</v>
      </c>
      <c r="D1153" s="290">
        <v>0</v>
      </c>
      <c r="E1153" s="284">
        <f t="shared" si="17"/>
        <v>84064985</v>
      </c>
      <c r="F1153" s="8" t="s">
        <v>6</v>
      </c>
      <c r="G1153" s="8" t="s">
        <v>7</v>
      </c>
      <c r="H1153" s="8" t="s">
        <v>6751</v>
      </c>
    </row>
    <row r="1154" spans="1:8" s="8" customFormat="1">
      <c r="A1154" s="13"/>
      <c r="B1154" s="8" t="s">
        <v>6730</v>
      </c>
      <c r="C1154" s="290">
        <v>5000000</v>
      </c>
      <c r="D1154" s="290">
        <v>0</v>
      </c>
      <c r="E1154" s="284">
        <f t="shared" si="17"/>
        <v>79064985</v>
      </c>
      <c r="F1154" s="8" t="s">
        <v>6</v>
      </c>
      <c r="G1154" s="8" t="s">
        <v>7</v>
      </c>
      <c r="H1154" s="8" t="s">
        <v>6751</v>
      </c>
    </row>
    <row r="1155" spans="1:8" s="8" customFormat="1">
      <c r="A1155" s="13"/>
      <c r="B1155" s="8" t="s">
        <v>6730</v>
      </c>
      <c r="C1155" s="290">
        <v>5000000</v>
      </c>
      <c r="D1155" s="290">
        <v>0</v>
      </c>
      <c r="E1155" s="284">
        <f t="shared" si="17"/>
        <v>74064985</v>
      </c>
      <c r="F1155" s="8" t="s">
        <v>6</v>
      </c>
      <c r="G1155" s="8" t="s">
        <v>7</v>
      </c>
      <c r="H1155" s="8" t="s">
        <v>6751</v>
      </c>
    </row>
    <row r="1156" spans="1:8" s="8" customFormat="1">
      <c r="A1156" s="13"/>
      <c r="B1156" s="8" t="s">
        <v>6730</v>
      </c>
      <c r="C1156" s="290">
        <v>5000000</v>
      </c>
      <c r="D1156" s="290">
        <v>0</v>
      </c>
      <c r="E1156" s="284">
        <f t="shared" si="17"/>
        <v>69064985</v>
      </c>
      <c r="F1156" s="8" t="s">
        <v>6</v>
      </c>
      <c r="G1156" s="8" t="s">
        <v>7</v>
      </c>
      <c r="H1156" s="8" t="s">
        <v>6751</v>
      </c>
    </row>
    <row r="1157" spans="1:8" s="8" customFormat="1">
      <c r="A1157" s="13"/>
      <c r="B1157" s="8" t="s">
        <v>6731</v>
      </c>
      <c r="C1157" s="290">
        <v>3910720</v>
      </c>
      <c r="D1157" s="290">
        <v>0</v>
      </c>
      <c r="E1157" s="284">
        <f t="shared" si="17"/>
        <v>65154265</v>
      </c>
      <c r="F1157" s="8" t="s">
        <v>1643</v>
      </c>
      <c r="G1157" s="8" t="s">
        <v>5</v>
      </c>
      <c r="H1157" s="8" t="s">
        <v>1634</v>
      </c>
    </row>
    <row r="1158" spans="1:8" s="8" customFormat="1">
      <c r="A1158" s="13"/>
      <c r="B1158" s="8" t="s">
        <v>6732</v>
      </c>
      <c r="C1158" s="290">
        <v>5000000</v>
      </c>
      <c r="D1158" s="290">
        <v>0</v>
      </c>
      <c r="E1158" s="284">
        <f t="shared" ref="E1158:E1221" si="18">E1157-C1158+D1158</f>
        <v>60154265</v>
      </c>
      <c r="F1158" s="8" t="s">
        <v>6</v>
      </c>
      <c r="G1158" s="8" t="s">
        <v>7</v>
      </c>
      <c r="H1158" s="8" t="s">
        <v>6751</v>
      </c>
    </row>
    <row r="1159" spans="1:8" s="8" customFormat="1">
      <c r="A1159" s="13"/>
      <c r="B1159" s="8" t="s">
        <v>6733</v>
      </c>
      <c r="C1159" s="290">
        <v>11452000</v>
      </c>
      <c r="D1159" s="290">
        <v>0</v>
      </c>
      <c r="E1159" s="284">
        <f t="shared" si="18"/>
        <v>48702265</v>
      </c>
      <c r="F1159" s="8" t="s">
        <v>10</v>
      </c>
      <c r="G1159" s="8" t="s">
        <v>446</v>
      </c>
      <c r="H1159" s="8" t="s">
        <v>4092</v>
      </c>
    </row>
    <row r="1160" spans="1:8" s="8" customFormat="1">
      <c r="A1160" s="13"/>
      <c r="B1160" s="8" t="s">
        <v>6734</v>
      </c>
      <c r="C1160" s="290">
        <v>3272000</v>
      </c>
      <c r="D1160" s="290">
        <v>0</v>
      </c>
      <c r="E1160" s="284">
        <f t="shared" si="18"/>
        <v>45430265</v>
      </c>
      <c r="F1160" s="8" t="s">
        <v>1643</v>
      </c>
      <c r="G1160" s="8" t="s">
        <v>5</v>
      </c>
      <c r="H1160" s="8" t="s">
        <v>1634</v>
      </c>
    </row>
    <row r="1161" spans="1:8" s="8" customFormat="1">
      <c r="A1161" s="13"/>
      <c r="B1161" s="8" t="s">
        <v>6809</v>
      </c>
      <c r="C1161" s="290">
        <v>6000000</v>
      </c>
      <c r="D1161" s="290">
        <v>0</v>
      </c>
      <c r="E1161" s="284">
        <f t="shared" si="18"/>
        <v>39430265</v>
      </c>
      <c r="F1161" s="8" t="s">
        <v>10</v>
      </c>
      <c r="G1161" s="8" t="s">
        <v>446</v>
      </c>
      <c r="H1161" s="8" t="s">
        <v>4092</v>
      </c>
    </row>
    <row r="1162" spans="1:8" s="8" customFormat="1">
      <c r="A1162" s="13"/>
      <c r="B1162" s="8" t="s">
        <v>6735</v>
      </c>
      <c r="C1162" s="290">
        <v>3400000</v>
      </c>
      <c r="D1162" s="290">
        <v>0</v>
      </c>
      <c r="E1162" s="284">
        <f t="shared" si="18"/>
        <v>36030265</v>
      </c>
      <c r="F1162" s="8" t="s">
        <v>10</v>
      </c>
      <c r="G1162" s="8" t="s">
        <v>446</v>
      </c>
      <c r="H1162" s="8" t="s">
        <v>4096</v>
      </c>
    </row>
    <row r="1163" spans="1:8" s="8" customFormat="1">
      <c r="A1163" s="13"/>
      <c r="B1163" s="8" t="s">
        <v>6736</v>
      </c>
      <c r="C1163" s="290">
        <v>850000</v>
      </c>
      <c r="D1163" s="290">
        <v>0</v>
      </c>
      <c r="E1163" s="284">
        <f t="shared" si="18"/>
        <v>35180265</v>
      </c>
      <c r="F1163" s="8" t="s">
        <v>10</v>
      </c>
      <c r="G1163" s="8" t="s">
        <v>446</v>
      </c>
      <c r="H1163" s="8" t="s">
        <v>4096</v>
      </c>
    </row>
    <row r="1164" spans="1:8" s="8" customFormat="1">
      <c r="A1164" s="13"/>
      <c r="B1164" s="8" t="s">
        <v>6737</v>
      </c>
      <c r="C1164" s="290">
        <v>780613</v>
      </c>
      <c r="D1164" s="290">
        <v>0</v>
      </c>
      <c r="E1164" s="284">
        <f t="shared" si="18"/>
        <v>34399652</v>
      </c>
      <c r="F1164" s="8" t="s">
        <v>1643</v>
      </c>
      <c r="G1164" s="8" t="s">
        <v>5</v>
      </c>
      <c r="H1164" s="8" t="s">
        <v>1634</v>
      </c>
    </row>
    <row r="1165" spans="1:8" s="8" customFormat="1">
      <c r="A1165" s="13"/>
      <c r="B1165" s="8" t="s">
        <v>6738</v>
      </c>
      <c r="C1165" s="290">
        <v>3110450</v>
      </c>
      <c r="D1165" s="290">
        <v>0</v>
      </c>
      <c r="E1165" s="284">
        <f t="shared" si="18"/>
        <v>31289202</v>
      </c>
      <c r="F1165" s="8" t="s">
        <v>1643</v>
      </c>
      <c r="G1165" s="8" t="s">
        <v>5</v>
      </c>
      <c r="H1165" s="8" t="s">
        <v>1634</v>
      </c>
    </row>
    <row r="1166" spans="1:8" s="8" customFormat="1">
      <c r="A1166" s="13"/>
      <c r="B1166" s="8" t="s">
        <v>6739</v>
      </c>
      <c r="C1166" s="290">
        <v>1556947</v>
      </c>
      <c r="D1166" s="290">
        <v>0</v>
      </c>
      <c r="E1166" s="284">
        <f t="shared" si="18"/>
        <v>29732255</v>
      </c>
      <c r="F1166" s="8" t="s">
        <v>10</v>
      </c>
      <c r="G1166" s="8" t="s">
        <v>446</v>
      </c>
      <c r="H1166" s="8" t="s">
        <v>4096</v>
      </c>
    </row>
    <row r="1167" spans="1:8" s="8" customFormat="1">
      <c r="A1167" s="13"/>
      <c r="B1167" s="8" t="s">
        <v>6740</v>
      </c>
      <c r="C1167" s="290">
        <v>1635849</v>
      </c>
      <c r="D1167" s="290">
        <v>0</v>
      </c>
      <c r="E1167" s="284">
        <f t="shared" si="18"/>
        <v>28096406</v>
      </c>
      <c r="F1167" s="8" t="s">
        <v>10</v>
      </c>
      <c r="G1167" s="8" t="s">
        <v>446</v>
      </c>
      <c r="H1167" s="8" t="s">
        <v>2318</v>
      </c>
    </row>
    <row r="1168" spans="1:8" s="8" customFormat="1">
      <c r="A1168" s="13"/>
      <c r="B1168" s="8" t="s">
        <v>6741</v>
      </c>
      <c r="C1168" s="290">
        <v>5478720</v>
      </c>
      <c r="D1168" s="290">
        <v>0</v>
      </c>
      <c r="E1168" s="284">
        <f t="shared" si="18"/>
        <v>22617686</v>
      </c>
      <c r="F1168" s="8" t="s">
        <v>10</v>
      </c>
      <c r="G1168" s="8" t="s">
        <v>446</v>
      </c>
      <c r="H1168" s="8" t="s">
        <v>4096</v>
      </c>
    </row>
    <row r="1169" spans="1:8" s="8" customFormat="1">
      <c r="A1169" s="13"/>
      <c r="B1169" s="8" t="s">
        <v>6742</v>
      </c>
      <c r="C1169" s="290">
        <v>2836160</v>
      </c>
      <c r="D1169" s="290">
        <v>0</v>
      </c>
      <c r="E1169" s="284">
        <f t="shared" si="18"/>
        <v>19781526</v>
      </c>
      <c r="F1169" s="8" t="s">
        <v>10</v>
      </c>
      <c r="G1169" s="8" t="s">
        <v>446</v>
      </c>
      <c r="H1169" s="8" t="s">
        <v>4096</v>
      </c>
    </row>
    <row r="1170" spans="1:8" s="8" customFormat="1">
      <c r="A1170" s="13"/>
      <c r="B1170" s="8" t="s">
        <v>6743</v>
      </c>
      <c r="C1170" s="290">
        <v>1952446</v>
      </c>
      <c r="D1170" s="290">
        <v>0</v>
      </c>
      <c r="E1170" s="284">
        <f t="shared" si="18"/>
        <v>17829080</v>
      </c>
      <c r="F1170" s="8" t="s">
        <v>1643</v>
      </c>
      <c r="G1170" s="8" t="s">
        <v>5</v>
      </c>
      <c r="H1170" s="8" t="s">
        <v>1634</v>
      </c>
    </row>
    <row r="1171" spans="1:8" s="8" customFormat="1">
      <c r="A1171" s="13"/>
      <c r="B1171" s="8" t="s">
        <v>6744</v>
      </c>
      <c r="C1171" s="290">
        <v>3649418</v>
      </c>
      <c r="D1171" s="290">
        <v>0</v>
      </c>
      <c r="E1171" s="284">
        <f t="shared" si="18"/>
        <v>14179662</v>
      </c>
      <c r="F1171" s="8" t="s">
        <v>1643</v>
      </c>
      <c r="G1171" s="8" t="s">
        <v>5</v>
      </c>
      <c r="H1171" s="8" t="s">
        <v>1634</v>
      </c>
    </row>
    <row r="1172" spans="1:8" s="8" customFormat="1">
      <c r="A1172" s="13"/>
      <c r="B1172" s="8" t="s">
        <v>6745</v>
      </c>
      <c r="C1172" s="290">
        <v>1687559</v>
      </c>
      <c r="D1172" s="290">
        <v>0</v>
      </c>
      <c r="E1172" s="284">
        <f t="shared" si="18"/>
        <v>12492103</v>
      </c>
      <c r="F1172" s="8" t="s">
        <v>1643</v>
      </c>
      <c r="G1172" s="8" t="s">
        <v>5</v>
      </c>
      <c r="H1172" s="8" t="s">
        <v>4077</v>
      </c>
    </row>
    <row r="1173" spans="1:8" s="8" customFormat="1">
      <c r="A1173" s="13"/>
      <c r="B1173" s="8" t="s">
        <v>6745</v>
      </c>
      <c r="C1173" s="290">
        <v>1687559</v>
      </c>
      <c r="D1173" s="290">
        <v>0</v>
      </c>
      <c r="E1173" s="284">
        <f t="shared" si="18"/>
        <v>10804544</v>
      </c>
      <c r="F1173" s="8" t="s">
        <v>1643</v>
      </c>
      <c r="G1173" s="8" t="s">
        <v>5</v>
      </c>
      <c r="H1173" s="8" t="s">
        <v>4077</v>
      </c>
    </row>
    <row r="1174" spans="1:8" s="8" customFormat="1">
      <c r="A1174" s="13"/>
      <c r="B1174" s="8" t="s">
        <v>6745</v>
      </c>
      <c r="C1174" s="290">
        <v>2927862</v>
      </c>
      <c r="D1174" s="290">
        <v>0</v>
      </c>
      <c r="E1174" s="284">
        <f t="shared" si="18"/>
        <v>7876682</v>
      </c>
      <c r="F1174" s="8" t="s">
        <v>1643</v>
      </c>
      <c r="G1174" s="8" t="s">
        <v>5</v>
      </c>
      <c r="H1174" s="8" t="s">
        <v>4077</v>
      </c>
    </row>
    <row r="1175" spans="1:8" s="8" customFormat="1">
      <c r="A1175" s="13"/>
      <c r="B1175" s="8" t="s">
        <v>6745</v>
      </c>
      <c r="C1175" s="290">
        <v>2927862</v>
      </c>
      <c r="D1175" s="290">
        <v>0</v>
      </c>
      <c r="E1175" s="284">
        <f t="shared" si="18"/>
        <v>4948820</v>
      </c>
      <c r="F1175" s="8" t="s">
        <v>1643</v>
      </c>
      <c r="G1175" s="8" t="s">
        <v>5</v>
      </c>
      <c r="H1175" s="8" t="s">
        <v>4077</v>
      </c>
    </row>
    <row r="1176" spans="1:8" s="8" customFormat="1">
      <c r="A1176" s="13"/>
      <c r="B1176" s="8" t="s">
        <v>6746</v>
      </c>
      <c r="C1176" s="290">
        <v>2600000</v>
      </c>
      <c r="D1176" s="290">
        <v>0</v>
      </c>
      <c r="E1176" s="284">
        <f t="shared" si="18"/>
        <v>2348820</v>
      </c>
      <c r="F1176" s="8" t="s">
        <v>10</v>
      </c>
      <c r="G1176" s="8" t="s">
        <v>446</v>
      </c>
      <c r="H1176" s="8" t="s">
        <v>4096</v>
      </c>
    </row>
    <row r="1177" spans="1:8" s="8" customFormat="1">
      <c r="A1177" s="13"/>
      <c r="B1177" s="8" t="s">
        <v>6747</v>
      </c>
      <c r="C1177" s="290">
        <v>108000</v>
      </c>
      <c r="D1177" s="290">
        <v>0</v>
      </c>
      <c r="E1177" s="284">
        <f t="shared" si="18"/>
        <v>2240820</v>
      </c>
      <c r="F1177" s="8" t="s">
        <v>62</v>
      </c>
      <c r="G1177" s="8" t="s">
        <v>63</v>
      </c>
      <c r="H1177" s="8" t="s">
        <v>308</v>
      </c>
    </row>
    <row r="1178" spans="1:8" s="8" customFormat="1">
      <c r="A1178" s="13"/>
      <c r="B1178" s="8" t="s">
        <v>6748</v>
      </c>
      <c r="C1178" s="290">
        <v>681120</v>
      </c>
      <c r="D1178" s="290">
        <v>0</v>
      </c>
      <c r="E1178" s="284">
        <f t="shared" si="18"/>
        <v>1559700</v>
      </c>
      <c r="F1178" s="8" t="s">
        <v>1209</v>
      </c>
      <c r="G1178" s="8" t="s">
        <v>69</v>
      </c>
      <c r="H1178" s="8" t="s">
        <v>6546</v>
      </c>
    </row>
    <row r="1179" spans="1:8" s="8" customFormat="1">
      <c r="A1179" s="13"/>
      <c r="B1179" s="8" t="s">
        <v>6749</v>
      </c>
      <c r="C1179" s="290">
        <v>1230000</v>
      </c>
      <c r="D1179" s="290">
        <v>0</v>
      </c>
      <c r="E1179" s="284">
        <f t="shared" si="18"/>
        <v>329700</v>
      </c>
      <c r="F1179" s="8" t="s">
        <v>8</v>
      </c>
      <c r="G1179" s="8" t="s">
        <v>31</v>
      </c>
      <c r="H1179" s="8" t="s">
        <v>26</v>
      </c>
    </row>
    <row r="1180" spans="1:8" s="8" customFormat="1">
      <c r="A1180" s="13"/>
      <c r="B1180" s="8" t="s">
        <v>6750</v>
      </c>
      <c r="C1180" s="290">
        <v>329700</v>
      </c>
      <c r="D1180" s="290">
        <v>0</v>
      </c>
      <c r="E1180" s="284">
        <f t="shared" si="18"/>
        <v>0</v>
      </c>
      <c r="F1180" s="8" t="s">
        <v>1209</v>
      </c>
      <c r="G1180" s="8" t="s">
        <v>69</v>
      </c>
      <c r="H1180" s="8" t="s">
        <v>6546</v>
      </c>
    </row>
    <row r="1181" spans="1:8" s="8" customFormat="1">
      <c r="A1181" s="13">
        <v>45993</v>
      </c>
      <c r="B1181" s="8" t="s">
        <v>5882</v>
      </c>
      <c r="C1181" s="290">
        <v>0</v>
      </c>
      <c r="D1181" s="290">
        <v>88658524</v>
      </c>
      <c r="E1181" s="284">
        <f t="shared" si="18"/>
        <v>88658524</v>
      </c>
      <c r="F1181" s="8" t="s">
        <v>920</v>
      </c>
      <c r="G1181" s="8" t="s">
        <v>4250</v>
      </c>
      <c r="H1181" s="8" t="s">
        <v>368</v>
      </c>
    </row>
    <row r="1182" spans="1:8" s="8" customFormat="1">
      <c r="A1182" s="13"/>
      <c r="B1182" s="8" t="s">
        <v>6752</v>
      </c>
      <c r="C1182" s="290">
        <v>351000</v>
      </c>
      <c r="D1182" s="290">
        <v>0</v>
      </c>
      <c r="E1182" s="284">
        <f t="shared" si="18"/>
        <v>88307524</v>
      </c>
      <c r="F1182" s="8" t="s">
        <v>62</v>
      </c>
      <c r="G1182" s="8" t="s">
        <v>63</v>
      </c>
      <c r="H1182" s="8" t="s">
        <v>26</v>
      </c>
    </row>
    <row r="1183" spans="1:8" s="8" customFormat="1">
      <c r="A1183" s="13"/>
      <c r="B1183" s="8" t="s">
        <v>6753</v>
      </c>
      <c r="C1183" s="290">
        <v>573577</v>
      </c>
      <c r="D1183" s="290">
        <v>0</v>
      </c>
      <c r="E1183" s="284">
        <f t="shared" si="18"/>
        <v>87733947</v>
      </c>
      <c r="F1183" s="8" t="s">
        <v>21</v>
      </c>
      <c r="G1183" s="8" t="s">
        <v>187</v>
      </c>
      <c r="H1183" s="8" t="s">
        <v>26</v>
      </c>
    </row>
    <row r="1184" spans="1:8" s="8" customFormat="1">
      <c r="A1184" s="13"/>
      <c r="B1184" s="8" t="s">
        <v>6754</v>
      </c>
      <c r="C1184" s="290">
        <v>3246450</v>
      </c>
      <c r="D1184" s="290">
        <v>0</v>
      </c>
      <c r="E1184" s="284">
        <f t="shared" si="18"/>
        <v>84487497</v>
      </c>
      <c r="F1184" s="8" t="s">
        <v>8</v>
      </c>
      <c r="G1184" s="8" t="s">
        <v>180</v>
      </c>
      <c r="H1184" s="8" t="s">
        <v>26</v>
      </c>
    </row>
    <row r="1185" spans="1:8" s="8" customFormat="1">
      <c r="A1185" s="13"/>
      <c r="B1185" s="8" t="s">
        <v>6755</v>
      </c>
      <c r="C1185" s="290">
        <v>472000</v>
      </c>
      <c r="D1185" s="290">
        <v>0</v>
      </c>
      <c r="E1185" s="284">
        <f t="shared" si="18"/>
        <v>84015497</v>
      </c>
      <c r="F1185" s="8" t="s">
        <v>21</v>
      </c>
      <c r="G1185" s="8" t="s">
        <v>22</v>
      </c>
      <c r="H1185" s="8" t="s">
        <v>26</v>
      </c>
    </row>
    <row r="1186" spans="1:8" s="8" customFormat="1">
      <c r="A1186" s="13"/>
      <c r="B1186" s="8" t="s">
        <v>6756</v>
      </c>
      <c r="C1186" s="290">
        <v>322100</v>
      </c>
      <c r="D1186" s="290">
        <v>0</v>
      </c>
      <c r="E1186" s="284">
        <f t="shared" si="18"/>
        <v>83693397</v>
      </c>
      <c r="F1186" s="8" t="s">
        <v>8</v>
      </c>
      <c r="G1186" s="8" t="s">
        <v>14</v>
      </c>
      <c r="H1186" s="8" t="s">
        <v>314</v>
      </c>
    </row>
    <row r="1187" spans="1:8" s="8" customFormat="1">
      <c r="A1187" s="13"/>
      <c r="B1187" s="8" t="s">
        <v>6757</v>
      </c>
      <c r="C1187" s="290">
        <v>344200</v>
      </c>
      <c r="D1187" s="290">
        <v>0</v>
      </c>
      <c r="E1187" s="284">
        <f t="shared" si="18"/>
        <v>83349197</v>
      </c>
      <c r="F1187" s="8" t="s">
        <v>8</v>
      </c>
      <c r="G1187" s="8" t="s">
        <v>14</v>
      </c>
      <c r="H1187" s="8" t="s">
        <v>314</v>
      </c>
    </row>
    <row r="1188" spans="1:8" s="8" customFormat="1">
      <c r="A1188" s="13"/>
      <c r="B1188" s="8" t="s">
        <v>6758</v>
      </c>
      <c r="C1188" s="290">
        <v>696000</v>
      </c>
      <c r="D1188" s="290">
        <v>0</v>
      </c>
      <c r="E1188" s="284">
        <f t="shared" si="18"/>
        <v>82653197</v>
      </c>
      <c r="F1188" s="8" t="s">
        <v>1643</v>
      </c>
      <c r="G1188" s="8" t="s">
        <v>5</v>
      </c>
      <c r="H1188" s="8" t="s">
        <v>5748</v>
      </c>
    </row>
    <row r="1189" spans="1:8" s="8" customFormat="1">
      <c r="A1189" s="13"/>
      <c r="B1189" s="8" t="s">
        <v>6759</v>
      </c>
      <c r="C1189" s="290">
        <v>36662500</v>
      </c>
      <c r="D1189" s="290">
        <v>0</v>
      </c>
      <c r="E1189" s="284">
        <f t="shared" si="18"/>
        <v>45990697</v>
      </c>
      <c r="F1189" s="8" t="s">
        <v>10</v>
      </c>
      <c r="G1189" s="8" t="s">
        <v>446</v>
      </c>
      <c r="H1189" s="8" t="s">
        <v>4631</v>
      </c>
    </row>
    <row r="1190" spans="1:8" s="8" customFormat="1">
      <c r="A1190" s="13"/>
      <c r="B1190" s="8" t="s">
        <v>6760</v>
      </c>
      <c r="C1190" s="290">
        <v>284700</v>
      </c>
      <c r="D1190" s="290">
        <v>0</v>
      </c>
      <c r="E1190" s="284">
        <f t="shared" si="18"/>
        <v>45705997</v>
      </c>
      <c r="F1190" s="8" t="s">
        <v>10</v>
      </c>
      <c r="G1190" s="8" t="s">
        <v>446</v>
      </c>
      <c r="H1190" s="8" t="s">
        <v>4631</v>
      </c>
    </row>
    <row r="1191" spans="1:8" s="8" customFormat="1">
      <c r="A1191" s="13"/>
      <c r="B1191" s="8" t="s">
        <v>6761</v>
      </c>
      <c r="C1191" s="290">
        <v>238600</v>
      </c>
      <c r="D1191" s="290">
        <v>0</v>
      </c>
      <c r="E1191" s="284">
        <f t="shared" si="18"/>
        <v>45467397</v>
      </c>
      <c r="F1191" s="8" t="s">
        <v>10</v>
      </c>
      <c r="G1191" s="8" t="s">
        <v>446</v>
      </c>
      <c r="H1191" s="8" t="s">
        <v>4631</v>
      </c>
    </row>
    <row r="1192" spans="1:8" s="8" customFormat="1">
      <c r="A1192" s="13"/>
      <c r="B1192" s="8" t="s">
        <v>6762</v>
      </c>
      <c r="C1192" s="290">
        <v>184500</v>
      </c>
      <c r="D1192" s="290">
        <v>0</v>
      </c>
      <c r="E1192" s="284">
        <f t="shared" si="18"/>
        <v>45282897</v>
      </c>
      <c r="F1192" s="8" t="s">
        <v>10</v>
      </c>
      <c r="G1192" s="8" t="s">
        <v>446</v>
      </c>
      <c r="H1192" s="8" t="s">
        <v>4631</v>
      </c>
    </row>
    <row r="1193" spans="1:8" s="8" customFormat="1">
      <c r="A1193" s="13"/>
      <c r="B1193" s="8" t="s">
        <v>6763</v>
      </c>
      <c r="C1193" s="290">
        <v>1674000</v>
      </c>
      <c r="D1193" s="290">
        <v>0</v>
      </c>
      <c r="E1193" s="284">
        <f t="shared" si="18"/>
        <v>43608897</v>
      </c>
      <c r="F1193" s="8" t="s">
        <v>10</v>
      </c>
      <c r="G1193" s="8" t="s">
        <v>446</v>
      </c>
      <c r="H1193" s="8" t="s">
        <v>4631</v>
      </c>
    </row>
    <row r="1194" spans="1:8" s="8" customFormat="1">
      <c r="A1194" s="13"/>
      <c r="B1194" s="8" t="s">
        <v>6764</v>
      </c>
      <c r="C1194" s="290">
        <v>15400</v>
      </c>
      <c r="D1194" s="290">
        <v>0</v>
      </c>
      <c r="E1194" s="284">
        <f t="shared" si="18"/>
        <v>43593497</v>
      </c>
      <c r="F1194" s="8" t="s">
        <v>10</v>
      </c>
      <c r="G1194" s="8" t="s">
        <v>446</v>
      </c>
      <c r="H1194" s="8" t="s">
        <v>4631</v>
      </c>
    </row>
    <row r="1195" spans="1:8" s="8" customFormat="1">
      <c r="A1195" s="13"/>
      <c r="B1195" s="8" t="s">
        <v>6764</v>
      </c>
      <c r="C1195" s="290">
        <v>838200</v>
      </c>
      <c r="D1195" s="290">
        <v>0</v>
      </c>
      <c r="E1195" s="284">
        <f t="shared" si="18"/>
        <v>42755297</v>
      </c>
      <c r="F1195" s="8" t="s">
        <v>10</v>
      </c>
      <c r="G1195" s="8" t="s">
        <v>446</v>
      </c>
      <c r="H1195" s="8" t="s">
        <v>4631</v>
      </c>
    </row>
    <row r="1196" spans="1:8" s="8" customFormat="1">
      <c r="A1196" s="13"/>
      <c r="B1196" s="8" t="s">
        <v>6607</v>
      </c>
      <c r="C1196" s="290">
        <v>19937010</v>
      </c>
      <c r="D1196" s="290">
        <v>0</v>
      </c>
      <c r="E1196" s="284">
        <f t="shared" si="18"/>
        <v>22818287</v>
      </c>
      <c r="F1196" s="8" t="s">
        <v>10</v>
      </c>
      <c r="G1196" s="8" t="s">
        <v>446</v>
      </c>
      <c r="H1196" s="8" t="s">
        <v>4631</v>
      </c>
    </row>
    <row r="1197" spans="1:8" s="8" customFormat="1">
      <c r="A1197" s="13"/>
      <c r="B1197" s="8" t="s">
        <v>6765</v>
      </c>
      <c r="C1197" s="290">
        <v>318300</v>
      </c>
      <c r="D1197" s="290">
        <v>0</v>
      </c>
      <c r="E1197" s="284">
        <f t="shared" si="18"/>
        <v>22499987</v>
      </c>
      <c r="F1197" s="8" t="s">
        <v>8</v>
      </c>
      <c r="G1197" s="8" t="s">
        <v>14</v>
      </c>
      <c r="H1197" s="8" t="s">
        <v>314</v>
      </c>
    </row>
    <row r="1198" spans="1:8" s="8" customFormat="1">
      <c r="A1198" s="13"/>
      <c r="B1198" s="8" t="s">
        <v>6766</v>
      </c>
      <c r="C1198" s="290">
        <v>3700000</v>
      </c>
      <c r="D1198" s="290">
        <v>0</v>
      </c>
      <c r="E1198" s="284">
        <f t="shared" si="18"/>
        <v>18799987</v>
      </c>
      <c r="F1198" s="8" t="s">
        <v>1643</v>
      </c>
      <c r="G1198" s="8" t="s">
        <v>5</v>
      </c>
      <c r="H1198" s="8" t="s">
        <v>5956</v>
      </c>
    </row>
    <row r="1199" spans="1:8" s="8" customFormat="1">
      <c r="A1199" s="13"/>
      <c r="B1199" s="8" t="s">
        <v>6608</v>
      </c>
      <c r="C1199" s="290">
        <v>8000000</v>
      </c>
      <c r="D1199" s="290">
        <v>0</v>
      </c>
      <c r="E1199" s="284">
        <f t="shared" si="18"/>
        <v>10799987</v>
      </c>
      <c r="F1199" s="8" t="s">
        <v>1643</v>
      </c>
      <c r="G1199" s="8" t="s">
        <v>5</v>
      </c>
      <c r="H1199" s="8" t="s">
        <v>5956</v>
      </c>
    </row>
    <row r="1200" spans="1:8" s="8" customFormat="1">
      <c r="A1200" s="13"/>
      <c r="B1200" s="8" t="s">
        <v>6767</v>
      </c>
      <c r="C1200" s="290">
        <v>1500000</v>
      </c>
      <c r="D1200" s="290">
        <v>0</v>
      </c>
      <c r="E1200" s="284">
        <f t="shared" si="18"/>
        <v>9299987</v>
      </c>
      <c r="F1200" s="8" t="s">
        <v>1643</v>
      </c>
      <c r="G1200" s="8" t="s">
        <v>5</v>
      </c>
      <c r="H1200" s="8" t="s">
        <v>5956</v>
      </c>
    </row>
    <row r="1201" spans="1:8" s="8" customFormat="1">
      <c r="A1201" s="13"/>
      <c r="B1201" s="8" t="s">
        <v>6768</v>
      </c>
      <c r="C1201" s="290">
        <v>372999</v>
      </c>
      <c r="D1201" s="290">
        <v>0</v>
      </c>
      <c r="E1201" s="284">
        <f t="shared" si="18"/>
        <v>8926988</v>
      </c>
      <c r="F1201" s="8" t="s">
        <v>1643</v>
      </c>
      <c r="G1201" s="8" t="s">
        <v>5</v>
      </c>
      <c r="H1201" s="8" t="s">
        <v>4077</v>
      </c>
    </row>
    <row r="1202" spans="1:8" s="8" customFormat="1">
      <c r="A1202" s="13"/>
      <c r="B1202" s="8" t="s">
        <v>6769</v>
      </c>
      <c r="C1202" s="290">
        <v>940088</v>
      </c>
      <c r="D1202" s="290">
        <v>0</v>
      </c>
      <c r="E1202" s="284">
        <f t="shared" si="18"/>
        <v>7986900</v>
      </c>
      <c r="F1202" s="8" t="s">
        <v>1643</v>
      </c>
      <c r="G1202" s="8" t="s">
        <v>5</v>
      </c>
      <c r="H1202" s="8" t="s">
        <v>4077</v>
      </c>
    </row>
    <row r="1203" spans="1:8" s="8" customFormat="1">
      <c r="A1203" s="13"/>
      <c r="B1203" s="8" t="s">
        <v>6770</v>
      </c>
      <c r="C1203" s="290">
        <v>177000</v>
      </c>
      <c r="D1203" s="290">
        <v>0</v>
      </c>
      <c r="E1203" s="284">
        <f t="shared" si="18"/>
        <v>7809900</v>
      </c>
      <c r="F1203" s="8" t="s">
        <v>1643</v>
      </c>
      <c r="G1203" s="8" t="s">
        <v>5</v>
      </c>
      <c r="H1203" s="8" t="s">
        <v>4077</v>
      </c>
    </row>
    <row r="1204" spans="1:8" s="8" customFormat="1">
      <c r="A1204" s="13"/>
      <c r="B1204" s="8" t="s">
        <v>6771</v>
      </c>
      <c r="C1204" s="290">
        <v>7792400</v>
      </c>
      <c r="D1204" s="290">
        <v>0</v>
      </c>
      <c r="E1204" s="284">
        <f t="shared" si="18"/>
        <v>17500</v>
      </c>
      <c r="F1204" s="8" t="s">
        <v>1643</v>
      </c>
      <c r="G1204" s="8" t="s">
        <v>5</v>
      </c>
      <c r="H1204" s="8" t="s">
        <v>4077</v>
      </c>
    </row>
    <row r="1205" spans="1:8" s="8" customFormat="1">
      <c r="A1205" s="13"/>
      <c r="B1205" s="8" t="s">
        <v>6609</v>
      </c>
      <c r="C1205" s="290">
        <v>7500</v>
      </c>
      <c r="D1205" s="290">
        <v>0</v>
      </c>
      <c r="E1205" s="284">
        <f t="shared" si="18"/>
        <v>10000</v>
      </c>
      <c r="F1205" s="8" t="s">
        <v>19</v>
      </c>
      <c r="G1205" s="8" t="s">
        <v>189</v>
      </c>
    </row>
    <row r="1206" spans="1:8" s="8" customFormat="1">
      <c r="A1206" s="13"/>
      <c r="B1206" s="8" t="s">
        <v>6610</v>
      </c>
      <c r="C1206" s="290">
        <v>10000</v>
      </c>
      <c r="D1206" s="290">
        <v>0</v>
      </c>
      <c r="E1206" s="284">
        <f t="shared" si="18"/>
        <v>0</v>
      </c>
      <c r="F1206" s="8" t="s">
        <v>19</v>
      </c>
      <c r="G1206" s="8" t="s">
        <v>189</v>
      </c>
    </row>
    <row r="1207" spans="1:8" s="8" customFormat="1">
      <c r="A1207" s="13">
        <v>45993</v>
      </c>
      <c r="B1207" s="8" t="s">
        <v>5884</v>
      </c>
      <c r="C1207" s="290">
        <v>0</v>
      </c>
      <c r="D1207" s="290">
        <v>39129669</v>
      </c>
      <c r="E1207" s="284">
        <f t="shared" si="18"/>
        <v>39129669</v>
      </c>
      <c r="F1207" s="8" t="s">
        <v>920</v>
      </c>
      <c r="G1207" s="8" t="s">
        <v>4250</v>
      </c>
      <c r="H1207" s="8" t="s">
        <v>5899</v>
      </c>
    </row>
    <row r="1208" spans="1:8" s="8" customFormat="1">
      <c r="A1208" s="13"/>
      <c r="B1208" s="8" t="s">
        <v>6772</v>
      </c>
      <c r="C1208" s="290">
        <v>1442924</v>
      </c>
      <c r="D1208" s="290">
        <v>0</v>
      </c>
      <c r="E1208" s="284">
        <f t="shared" si="18"/>
        <v>37686745</v>
      </c>
      <c r="F1208" s="8" t="s">
        <v>21</v>
      </c>
      <c r="G1208" s="8" t="s">
        <v>187</v>
      </c>
      <c r="H1208" s="8" t="s">
        <v>26</v>
      </c>
    </row>
    <row r="1209" spans="1:8" s="8" customFormat="1">
      <c r="A1209" s="13"/>
      <c r="B1209" s="8" t="s">
        <v>6773</v>
      </c>
      <c r="C1209" s="290">
        <v>306020</v>
      </c>
      <c r="D1209" s="290">
        <v>0</v>
      </c>
      <c r="E1209" s="284">
        <f t="shared" si="18"/>
        <v>37380725</v>
      </c>
      <c r="F1209" s="8" t="s">
        <v>62</v>
      </c>
      <c r="G1209" s="8" t="s">
        <v>63</v>
      </c>
      <c r="H1209" s="8" t="s">
        <v>1436</v>
      </c>
    </row>
    <row r="1210" spans="1:8" s="8" customFormat="1">
      <c r="A1210" s="13"/>
      <c r="B1210" s="8" t="s">
        <v>6611</v>
      </c>
      <c r="C1210" s="290">
        <v>620000</v>
      </c>
      <c r="D1210" s="290">
        <v>0</v>
      </c>
      <c r="E1210" s="284">
        <f t="shared" si="18"/>
        <v>36760725</v>
      </c>
      <c r="F1210" s="8" t="s">
        <v>10</v>
      </c>
      <c r="G1210" s="8" t="s">
        <v>98</v>
      </c>
      <c r="H1210" s="8" t="s">
        <v>4101</v>
      </c>
    </row>
    <row r="1211" spans="1:8" s="8" customFormat="1">
      <c r="A1211" s="13"/>
      <c r="B1211" s="8" t="s">
        <v>6774</v>
      </c>
      <c r="C1211" s="290">
        <v>31614000</v>
      </c>
      <c r="D1211" s="290">
        <v>0</v>
      </c>
      <c r="E1211" s="284">
        <f t="shared" si="18"/>
        <v>5146725</v>
      </c>
      <c r="F1211" s="8" t="s">
        <v>10</v>
      </c>
      <c r="G1211" s="8" t="s">
        <v>98</v>
      </c>
      <c r="H1211" s="8" t="s">
        <v>4101</v>
      </c>
    </row>
    <row r="1212" spans="1:8" s="8" customFormat="1">
      <c r="A1212" s="13"/>
      <c r="B1212" s="8" t="s">
        <v>6611</v>
      </c>
      <c r="C1212" s="290">
        <v>620000</v>
      </c>
      <c r="D1212" s="290">
        <v>0</v>
      </c>
      <c r="E1212" s="284">
        <f t="shared" si="18"/>
        <v>4526725</v>
      </c>
      <c r="F1212" s="8" t="s">
        <v>10</v>
      </c>
      <c r="G1212" s="8" t="s">
        <v>98</v>
      </c>
      <c r="H1212" s="8" t="s">
        <v>4101</v>
      </c>
    </row>
    <row r="1213" spans="1:8" s="8" customFormat="1">
      <c r="A1213" s="13"/>
      <c r="B1213" s="8" t="s">
        <v>6775</v>
      </c>
      <c r="C1213" s="290">
        <v>702725</v>
      </c>
      <c r="D1213" s="290">
        <v>0</v>
      </c>
      <c r="E1213" s="284">
        <f t="shared" si="18"/>
        <v>3824000</v>
      </c>
      <c r="F1213" s="8" t="s">
        <v>21</v>
      </c>
      <c r="G1213" s="8" t="s">
        <v>22</v>
      </c>
      <c r="H1213" s="8" t="s">
        <v>26</v>
      </c>
    </row>
    <row r="1214" spans="1:8" s="8" customFormat="1">
      <c r="A1214" s="13"/>
      <c r="B1214" s="8" t="s">
        <v>6776</v>
      </c>
      <c r="C1214" s="290">
        <v>3824000</v>
      </c>
      <c r="D1214" s="290">
        <v>0</v>
      </c>
      <c r="E1214" s="284">
        <f t="shared" si="18"/>
        <v>0</v>
      </c>
      <c r="F1214" s="8" t="s">
        <v>1643</v>
      </c>
      <c r="G1214" s="8" t="s">
        <v>5</v>
      </c>
      <c r="H1214" s="8" t="s">
        <v>5985</v>
      </c>
    </row>
    <row r="1215" spans="1:8" s="8" customFormat="1">
      <c r="A1215" s="13">
        <v>45993</v>
      </c>
      <c r="B1215" s="8" t="s">
        <v>5887</v>
      </c>
      <c r="C1215" s="290">
        <v>0</v>
      </c>
      <c r="D1215" s="290">
        <v>68101633</v>
      </c>
      <c r="E1215" s="284">
        <f t="shared" si="18"/>
        <v>68101633</v>
      </c>
      <c r="F1215" s="8" t="s">
        <v>920</v>
      </c>
      <c r="G1215" s="8" t="s">
        <v>4250</v>
      </c>
      <c r="H1215" s="8" t="s">
        <v>51</v>
      </c>
    </row>
    <row r="1216" spans="1:8" s="8" customFormat="1">
      <c r="A1216" s="13"/>
      <c r="B1216" s="8" t="s">
        <v>6777</v>
      </c>
      <c r="C1216" s="290">
        <v>876233</v>
      </c>
      <c r="D1216" s="290">
        <v>0</v>
      </c>
      <c r="E1216" s="284">
        <f t="shared" si="18"/>
        <v>67225400</v>
      </c>
      <c r="F1216" s="8" t="s">
        <v>1643</v>
      </c>
      <c r="G1216" s="8" t="s">
        <v>5</v>
      </c>
      <c r="H1216" s="8" t="s">
        <v>4077</v>
      </c>
    </row>
    <row r="1217" spans="1:8" s="8" customFormat="1">
      <c r="A1217" s="13"/>
      <c r="B1217" s="8" t="s">
        <v>6778</v>
      </c>
      <c r="C1217" s="290">
        <v>78000</v>
      </c>
      <c r="D1217" s="290">
        <v>0</v>
      </c>
      <c r="E1217" s="284">
        <f t="shared" si="18"/>
        <v>67147400</v>
      </c>
      <c r="F1217" s="8" t="s">
        <v>1643</v>
      </c>
      <c r="G1217" s="8" t="s">
        <v>5</v>
      </c>
      <c r="H1217" s="8" t="s">
        <v>5985</v>
      </c>
    </row>
    <row r="1218" spans="1:8" s="8" customFormat="1">
      <c r="A1218" s="13"/>
      <c r="B1218" s="8" t="s">
        <v>6779</v>
      </c>
      <c r="C1218" s="290">
        <v>66500000</v>
      </c>
      <c r="D1218" s="290">
        <v>0</v>
      </c>
      <c r="E1218" s="284">
        <f t="shared" si="18"/>
        <v>647400</v>
      </c>
      <c r="F1218" s="8" t="s">
        <v>1643</v>
      </c>
      <c r="G1218" s="8" t="s">
        <v>5</v>
      </c>
      <c r="H1218" s="8" t="s">
        <v>5985</v>
      </c>
    </row>
    <row r="1219" spans="1:8" s="8" customFormat="1">
      <c r="A1219" s="13"/>
      <c r="B1219" s="8" t="s">
        <v>6780</v>
      </c>
      <c r="C1219" s="290">
        <v>282000</v>
      </c>
      <c r="D1219" s="290">
        <v>0</v>
      </c>
      <c r="E1219" s="284">
        <f t="shared" si="18"/>
        <v>365400</v>
      </c>
      <c r="F1219" s="8" t="s">
        <v>1209</v>
      </c>
      <c r="G1219" s="8" t="s">
        <v>69</v>
      </c>
      <c r="H1219" s="8" t="s">
        <v>6546</v>
      </c>
    </row>
    <row r="1220" spans="1:8" s="8" customFormat="1">
      <c r="A1220" s="13"/>
      <c r="B1220" s="8" t="s">
        <v>6781</v>
      </c>
      <c r="C1220" s="290">
        <v>350400</v>
      </c>
      <c r="D1220" s="290">
        <v>0</v>
      </c>
      <c r="E1220" s="284">
        <f t="shared" si="18"/>
        <v>15000</v>
      </c>
      <c r="F1220" s="8" t="s">
        <v>8</v>
      </c>
      <c r="G1220" s="8" t="s">
        <v>14</v>
      </c>
      <c r="H1220" s="8" t="s">
        <v>314</v>
      </c>
    </row>
    <row r="1221" spans="1:8" s="8" customFormat="1">
      <c r="A1221" s="13"/>
      <c r="B1221" s="8" t="s">
        <v>6612</v>
      </c>
      <c r="C1221" s="290">
        <v>5000</v>
      </c>
      <c r="D1221" s="290">
        <v>0</v>
      </c>
      <c r="E1221" s="284">
        <f t="shared" si="18"/>
        <v>10000</v>
      </c>
      <c r="F1221" s="8" t="s">
        <v>19</v>
      </c>
      <c r="G1221" s="8" t="s">
        <v>189</v>
      </c>
    </row>
    <row r="1222" spans="1:8" s="8" customFormat="1">
      <c r="A1222" s="13"/>
      <c r="B1222" s="8" t="s">
        <v>6613</v>
      </c>
      <c r="C1222" s="290">
        <v>10000</v>
      </c>
      <c r="D1222" s="290">
        <v>0</v>
      </c>
      <c r="E1222" s="284">
        <f t="shared" ref="E1222:E1285" si="19">E1221-C1222+D1222</f>
        <v>0</v>
      </c>
      <c r="F1222" s="8" t="s">
        <v>19</v>
      </c>
      <c r="G1222" s="8" t="s">
        <v>189</v>
      </c>
    </row>
    <row r="1223" spans="1:8" s="204" customFormat="1">
      <c r="A1223" s="13">
        <v>45673</v>
      </c>
      <c r="B1223" s="8" t="s">
        <v>589</v>
      </c>
      <c r="C1223" s="284">
        <v>0</v>
      </c>
      <c r="D1223" s="284">
        <v>50000000</v>
      </c>
      <c r="E1223" s="284">
        <f t="shared" si="19"/>
        <v>50000000</v>
      </c>
      <c r="F1223" s="8" t="s">
        <v>920</v>
      </c>
      <c r="G1223" s="8" t="s">
        <v>400</v>
      </c>
      <c r="H1223" s="40" t="s">
        <v>4873</v>
      </c>
    </row>
    <row r="1224" spans="1:8" s="204" customFormat="1">
      <c r="A1224" s="203"/>
      <c r="B1224" s="8" t="s">
        <v>4874</v>
      </c>
      <c r="C1224" s="290">
        <v>111000</v>
      </c>
      <c r="D1224" s="290">
        <v>0</v>
      </c>
      <c r="E1224" s="284">
        <f t="shared" si="19"/>
        <v>49889000</v>
      </c>
      <c r="F1224" s="8" t="s">
        <v>1643</v>
      </c>
      <c r="G1224" s="8" t="s">
        <v>5</v>
      </c>
      <c r="H1224" s="8" t="s">
        <v>1352</v>
      </c>
    </row>
    <row r="1225" spans="1:8" s="204" customFormat="1">
      <c r="A1225" s="203"/>
      <c r="B1225" s="8" t="s">
        <v>4875</v>
      </c>
      <c r="C1225" s="290">
        <v>90262</v>
      </c>
      <c r="D1225" s="290">
        <v>0</v>
      </c>
      <c r="E1225" s="284">
        <f t="shared" si="19"/>
        <v>49798738</v>
      </c>
      <c r="F1225" s="8" t="s">
        <v>1643</v>
      </c>
      <c r="G1225" s="8" t="s">
        <v>5</v>
      </c>
      <c r="H1225" s="8" t="s">
        <v>1352</v>
      </c>
    </row>
    <row r="1226" spans="1:8" s="204" customFormat="1">
      <c r="A1226" s="203"/>
      <c r="B1226" s="8" t="s">
        <v>4876</v>
      </c>
      <c r="C1226" s="290">
        <v>162600</v>
      </c>
      <c r="D1226" s="290">
        <v>0</v>
      </c>
      <c r="E1226" s="284">
        <f t="shared" si="19"/>
        <v>49636138</v>
      </c>
      <c r="F1226" s="8" t="s">
        <v>1643</v>
      </c>
      <c r="G1226" s="8" t="s">
        <v>5</v>
      </c>
      <c r="H1226" s="8" t="s">
        <v>1352</v>
      </c>
    </row>
    <row r="1227" spans="1:8" s="204" customFormat="1">
      <c r="A1227" s="203"/>
      <c r="B1227" s="8" t="s">
        <v>4877</v>
      </c>
      <c r="C1227" s="290">
        <v>650000</v>
      </c>
      <c r="D1227" s="290">
        <v>0</v>
      </c>
      <c r="E1227" s="284">
        <f t="shared" si="19"/>
        <v>48986138</v>
      </c>
      <c r="F1227" s="8" t="s">
        <v>1643</v>
      </c>
      <c r="G1227" s="8" t="s">
        <v>5</v>
      </c>
      <c r="H1227" s="8" t="s">
        <v>1352</v>
      </c>
    </row>
    <row r="1228" spans="1:8" s="204" customFormat="1">
      <c r="A1228" s="203"/>
      <c r="B1228" s="8" t="s">
        <v>4878</v>
      </c>
      <c r="C1228" s="290">
        <v>136636</v>
      </c>
      <c r="D1228" s="290">
        <v>0</v>
      </c>
      <c r="E1228" s="284">
        <f t="shared" si="19"/>
        <v>48849502</v>
      </c>
      <c r="F1228" s="8" t="s">
        <v>1643</v>
      </c>
      <c r="G1228" s="8" t="s">
        <v>5</v>
      </c>
      <c r="H1228" s="8" t="s">
        <v>1352</v>
      </c>
    </row>
    <row r="1229" spans="1:8" s="204" customFormat="1">
      <c r="A1229" s="203"/>
      <c r="B1229" s="8" t="s">
        <v>4879</v>
      </c>
      <c r="C1229" s="290">
        <v>148700</v>
      </c>
      <c r="D1229" s="290">
        <v>0</v>
      </c>
      <c r="E1229" s="284">
        <f t="shared" si="19"/>
        <v>48700802</v>
      </c>
      <c r="F1229" s="8" t="s">
        <v>1643</v>
      </c>
      <c r="G1229" s="8" t="s">
        <v>5</v>
      </c>
      <c r="H1229" s="8" t="s">
        <v>1352</v>
      </c>
    </row>
    <row r="1230" spans="1:8" s="204" customFormat="1">
      <c r="A1230" s="203"/>
      <c r="B1230" s="8" t="s">
        <v>4880</v>
      </c>
      <c r="C1230" s="290">
        <v>59200</v>
      </c>
      <c r="D1230" s="290">
        <v>0</v>
      </c>
      <c r="E1230" s="284">
        <f t="shared" si="19"/>
        <v>48641602</v>
      </c>
      <c r="F1230" s="8" t="s">
        <v>1643</v>
      </c>
      <c r="G1230" s="8" t="s">
        <v>5</v>
      </c>
      <c r="H1230" s="8" t="s">
        <v>1352</v>
      </c>
    </row>
    <row r="1231" spans="1:8" s="204" customFormat="1">
      <c r="A1231" s="203"/>
      <c r="B1231" s="8" t="s">
        <v>4881</v>
      </c>
      <c r="C1231" s="290">
        <v>8000</v>
      </c>
      <c r="D1231" s="290">
        <v>0</v>
      </c>
      <c r="E1231" s="284">
        <f t="shared" si="19"/>
        <v>48633602</v>
      </c>
      <c r="F1231" s="8" t="s">
        <v>1643</v>
      </c>
      <c r="G1231" s="8" t="s">
        <v>5</v>
      </c>
      <c r="H1231" s="8" t="s">
        <v>1352</v>
      </c>
    </row>
    <row r="1232" spans="1:8" s="204" customFormat="1">
      <c r="A1232" s="203"/>
      <c r="B1232" s="8" t="s">
        <v>4882</v>
      </c>
      <c r="C1232" s="290">
        <v>22000</v>
      </c>
      <c r="D1232" s="290">
        <v>0</v>
      </c>
      <c r="E1232" s="284">
        <f t="shared" si="19"/>
        <v>48611602</v>
      </c>
      <c r="F1232" s="8" t="s">
        <v>1643</v>
      </c>
      <c r="G1232" s="8" t="s">
        <v>5</v>
      </c>
      <c r="H1232" s="8" t="s">
        <v>1352</v>
      </c>
    </row>
    <row r="1233" spans="1:8" s="204" customFormat="1">
      <c r="A1233" s="203"/>
      <c r="B1233" s="8" t="s">
        <v>4883</v>
      </c>
      <c r="C1233" s="290">
        <v>40000</v>
      </c>
      <c r="D1233" s="290">
        <v>0</v>
      </c>
      <c r="E1233" s="284">
        <f t="shared" si="19"/>
        <v>48571602</v>
      </c>
      <c r="F1233" s="8" t="s">
        <v>1643</v>
      </c>
      <c r="G1233" s="8" t="s">
        <v>5</v>
      </c>
      <c r="H1233" s="8" t="s">
        <v>1352</v>
      </c>
    </row>
    <row r="1234" spans="1:8" s="204" customFormat="1">
      <c r="A1234" s="203"/>
      <c r="B1234" s="8" t="s">
        <v>4884</v>
      </c>
      <c r="C1234" s="290">
        <v>255000</v>
      </c>
      <c r="D1234" s="290">
        <v>0</v>
      </c>
      <c r="E1234" s="284">
        <f t="shared" si="19"/>
        <v>48316602</v>
      </c>
      <c r="F1234" s="8" t="s">
        <v>1643</v>
      </c>
      <c r="G1234" s="8" t="s">
        <v>5</v>
      </c>
      <c r="H1234" s="8" t="s">
        <v>1352</v>
      </c>
    </row>
    <row r="1235" spans="1:8" s="204" customFormat="1">
      <c r="A1235" s="203"/>
      <c r="B1235" s="8" t="s">
        <v>4885</v>
      </c>
      <c r="C1235" s="290">
        <v>10000</v>
      </c>
      <c r="D1235" s="290">
        <v>0</v>
      </c>
      <c r="E1235" s="284">
        <f t="shared" si="19"/>
        <v>48306602</v>
      </c>
      <c r="F1235" s="8" t="s">
        <v>1643</v>
      </c>
      <c r="G1235" s="8" t="s">
        <v>5</v>
      </c>
      <c r="H1235" s="8" t="s">
        <v>1352</v>
      </c>
    </row>
    <row r="1236" spans="1:8" s="204" customFormat="1">
      <c r="A1236" s="203"/>
      <c r="B1236" s="8" t="s">
        <v>4886</v>
      </c>
      <c r="C1236" s="290">
        <v>101392</v>
      </c>
      <c r="D1236" s="290">
        <v>0</v>
      </c>
      <c r="E1236" s="284">
        <f t="shared" si="19"/>
        <v>48205210</v>
      </c>
      <c r="F1236" s="8" t="s">
        <v>1643</v>
      </c>
      <c r="G1236" s="8" t="s">
        <v>5</v>
      </c>
      <c r="H1236" s="8" t="s">
        <v>1352</v>
      </c>
    </row>
    <row r="1237" spans="1:8" s="204" customFormat="1">
      <c r="A1237" s="203"/>
      <c r="B1237" s="8" t="s">
        <v>4887</v>
      </c>
      <c r="C1237" s="290">
        <v>339000</v>
      </c>
      <c r="D1237" s="290">
        <v>0</v>
      </c>
      <c r="E1237" s="284">
        <f t="shared" si="19"/>
        <v>47866210</v>
      </c>
      <c r="F1237" s="8" t="s">
        <v>1643</v>
      </c>
      <c r="G1237" s="8" t="s">
        <v>5</v>
      </c>
      <c r="H1237" s="8" t="s">
        <v>1352</v>
      </c>
    </row>
    <row r="1238" spans="1:8" s="204" customFormat="1">
      <c r="A1238" s="203"/>
      <c r="B1238" s="8" t="s">
        <v>4888</v>
      </c>
      <c r="C1238" s="290">
        <v>5000</v>
      </c>
      <c r="D1238" s="290">
        <v>0</v>
      </c>
      <c r="E1238" s="284">
        <f t="shared" si="19"/>
        <v>47861210</v>
      </c>
      <c r="F1238" s="8" t="s">
        <v>1643</v>
      </c>
      <c r="G1238" s="8" t="s">
        <v>5</v>
      </c>
      <c r="H1238" s="8" t="s">
        <v>1352</v>
      </c>
    </row>
    <row r="1239" spans="1:8" s="204" customFormat="1">
      <c r="A1239" s="203"/>
      <c r="B1239" s="8" t="s">
        <v>4889</v>
      </c>
      <c r="C1239" s="290">
        <v>1922400</v>
      </c>
      <c r="D1239" s="290">
        <v>0</v>
      </c>
      <c r="E1239" s="284">
        <f t="shared" si="19"/>
        <v>45938810</v>
      </c>
      <c r="F1239" s="8" t="s">
        <v>1643</v>
      </c>
      <c r="G1239" s="8" t="s">
        <v>5</v>
      </c>
      <c r="H1239" s="8" t="s">
        <v>1352</v>
      </c>
    </row>
    <row r="1240" spans="1:8" s="204" customFormat="1">
      <c r="A1240" s="203"/>
      <c r="B1240" s="8" t="s">
        <v>4890</v>
      </c>
      <c r="C1240" s="290">
        <v>381240</v>
      </c>
      <c r="D1240" s="290">
        <v>0</v>
      </c>
      <c r="E1240" s="284">
        <f t="shared" si="19"/>
        <v>45557570</v>
      </c>
      <c r="F1240" s="8" t="s">
        <v>1643</v>
      </c>
      <c r="G1240" s="8" t="s">
        <v>5</v>
      </c>
      <c r="H1240" s="8" t="s">
        <v>1352</v>
      </c>
    </row>
    <row r="1241" spans="1:8" s="204" customFormat="1">
      <c r="A1241" s="203"/>
      <c r="B1241" s="8" t="s">
        <v>4891</v>
      </c>
      <c r="C1241" s="290">
        <v>456200</v>
      </c>
      <c r="D1241" s="290">
        <v>0</v>
      </c>
      <c r="E1241" s="284">
        <f t="shared" si="19"/>
        <v>45101370</v>
      </c>
      <c r="F1241" s="8" t="s">
        <v>1643</v>
      </c>
      <c r="G1241" s="8" t="s">
        <v>5</v>
      </c>
      <c r="H1241" s="8" t="s">
        <v>1352</v>
      </c>
    </row>
    <row r="1242" spans="1:8" s="204" customFormat="1">
      <c r="A1242" s="203"/>
      <c r="B1242" s="8" t="s">
        <v>4892</v>
      </c>
      <c r="C1242" s="290">
        <v>193600</v>
      </c>
      <c r="D1242" s="290">
        <v>0</v>
      </c>
      <c r="E1242" s="284">
        <f t="shared" si="19"/>
        <v>44907770</v>
      </c>
      <c r="F1242" s="8" t="s">
        <v>1643</v>
      </c>
      <c r="G1242" s="8" t="s">
        <v>5</v>
      </c>
      <c r="H1242" s="8" t="s">
        <v>1352</v>
      </c>
    </row>
    <row r="1243" spans="1:8" s="204" customFormat="1">
      <c r="A1243" s="203"/>
      <c r="B1243" s="8" t="s">
        <v>4893</v>
      </c>
      <c r="C1243" s="290">
        <v>96000</v>
      </c>
      <c r="D1243" s="290">
        <v>0</v>
      </c>
      <c r="E1243" s="284">
        <f t="shared" si="19"/>
        <v>44811770</v>
      </c>
      <c r="F1243" s="8" t="s">
        <v>1643</v>
      </c>
      <c r="G1243" s="8" t="s">
        <v>5</v>
      </c>
      <c r="H1243" s="8" t="s">
        <v>1352</v>
      </c>
    </row>
    <row r="1244" spans="1:8" s="204" customFormat="1">
      <c r="A1244" s="203"/>
      <c r="B1244" s="8" t="s">
        <v>4894</v>
      </c>
      <c r="C1244" s="290">
        <v>243700</v>
      </c>
      <c r="D1244" s="290">
        <v>0</v>
      </c>
      <c r="E1244" s="284">
        <f t="shared" si="19"/>
        <v>44568070</v>
      </c>
      <c r="F1244" s="8" t="s">
        <v>1643</v>
      </c>
      <c r="G1244" s="8" t="s">
        <v>5</v>
      </c>
      <c r="H1244" s="8" t="s">
        <v>1352</v>
      </c>
    </row>
    <row r="1245" spans="1:8" s="204" customFormat="1">
      <c r="A1245" s="203"/>
      <c r="B1245" s="8" t="s">
        <v>4895</v>
      </c>
      <c r="C1245" s="290">
        <v>10000</v>
      </c>
      <c r="D1245" s="290">
        <v>0</v>
      </c>
      <c r="E1245" s="284">
        <f t="shared" si="19"/>
        <v>44558070</v>
      </c>
      <c r="F1245" s="8" t="s">
        <v>1643</v>
      </c>
      <c r="G1245" s="8" t="s">
        <v>5</v>
      </c>
      <c r="H1245" s="8" t="s">
        <v>1352</v>
      </c>
    </row>
    <row r="1246" spans="1:8" s="204" customFormat="1">
      <c r="A1246" s="203"/>
      <c r="B1246" s="8" t="s">
        <v>4896</v>
      </c>
      <c r="C1246" s="290">
        <v>3541000</v>
      </c>
      <c r="D1246" s="290">
        <v>0</v>
      </c>
      <c r="E1246" s="284">
        <f t="shared" si="19"/>
        <v>41017070</v>
      </c>
      <c r="F1246" s="8" t="s">
        <v>1643</v>
      </c>
      <c r="G1246" s="8" t="s">
        <v>5</v>
      </c>
      <c r="H1246" s="8" t="s">
        <v>1352</v>
      </c>
    </row>
    <row r="1247" spans="1:8" s="204" customFormat="1">
      <c r="A1247" s="203"/>
      <c r="B1247" s="8" t="s">
        <v>4897</v>
      </c>
      <c r="C1247" s="290">
        <v>2500</v>
      </c>
      <c r="D1247" s="290">
        <v>0</v>
      </c>
      <c r="E1247" s="284">
        <f t="shared" si="19"/>
        <v>41014570</v>
      </c>
      <c r="F1247" s="8" t="s">
        <v>1643</v>
      </c>
      <c r="G1247" s="8" t="s">
        <v>5</v>
      </c>
      <c r="H1247" s="8" t="s">
        <v>1352</v>
      </c>
    </row>
    <row r="1248" spans="1:8" s="204" customFormat="1">
      <c r="A1248" s="203"/>
      <c r="B1248" s="8" t="s">
        <v>4898</v>
      </c>
      <c r="C1248" s="290">
        <v>7650000</v>
      </c>
      <c r="D1248" s="290">
        <v>0</v>
      </c>
      <c r="E1248" s="284">
        <f t="shared" si="19"/>
        <v>33364570</v>
      </c>
      <c r="F1248" s="8" t="s">
        <v>1643</v>
      </c>
      <c r="G1248" s="8" t="s">
        <v>5</v>
      </c>
      <c r="H1248" s="8" t="s">
        <v>1352</v>
      </c>
    </row>
    <row r="1249" spans="1:8" s="204" customFormat="1">
      <c r="A1249" s="203"/>
      <c r="B1249" s="8" t="s">
        <v>4899</v>
      </c>
      <c r="C1249" s="290">
        <v>1133720</v>
      </c>
      <c r="D1249" s="290">
        <v>0</v>
      </c>
      <c r="E1249" s="284">
        <f t="shared" si="19"/>
        <v>32230850</v>
      </c>
      <c r="F1249" s="8" t="s">
        <v>1643</v>
      </c>
      <c r="G1249" s="8" t="s">
        <v>5</v>
      </c>
      <c r="H1249" s="8" t="s">
        <v>1352</v>
      </c>
    </row>
    <row r="1250" spans="1:8" s="204" customFormat="1">
      <c r="A1250" s="203"/>
      <c r="B1250" s="8" t="s">
        <v>4900</v>
      </c>
      <c r="C1250" s="290">
        <v>862555</v>
      </c>
      <c r="D1250" s="290">
        <v>0</v>
      </c>
      <c r="E1250" s="284">
        <f t="shared" si="19"/>
        <v>31368295</v>
      </c>
      <c r="F1250" s="8" t="s">
        <v>1643</v>
      </c>
      <c r="G1250" s="8" t="s">
        <v>5</v>
      </c>
      <c r="H1250" s="8" t="s">
        <v>1352</v>
      </c>
    </row>
    <row r="1251" spans="1:8" s="204" customFormat="1">
      <c r="A1251" s="203"/>
      <c r="B1251" s="8" t="s">
        <v>4901</v>
      </c>
      <c r="C1251" s="290">
        <v>336490</v>
      </c>
      <c r="D1251" s="290">
        <v>0</v>
      </c>
      <c r="E1251" s="284">
        <f t="shared" si="19"/>
        <v>31031805</v>
      </c>
      <c r="F1251" s="8" t="s">
        <v>1643</v>
      </c>
      <c r="G1251" s="8" t="s">
        <v>5</v>
      </c>
      <c r="H1251" s="8" t="s">
        <v>1352</v>
      </c>
    </row>
    <row r="1252" spans="1:8" s="204" customFormat="1">
      <c r="A1252" s="203"/>
      <c r="B1252" s="8" t="s">
        <v>4902</v>
      </c>
      <c r="C1252" s="290">
        <v>69000</v>
      </c>
      <c r="D1252" s="290">
        <v>0</v>
      </c>
      <c r="E1252" s="284">
        <f t="shared" si="19"/>
        <v>30962805</v>
      </c>
      <c r="F1252" s="8" t="s">
        <v>1643</v>
      </c>
      <c r="G1252" s="8" t="s">
        <v>5</v>
      </c>
      <c r="H1252" s="8" t="s">
        <v>1352</v>
      </c>
    </row>
    <row r="1253" spans="1:8" s="204" customFormat="1">
      <c r="A1253" s="203"/>
      <c r="B1253" s="8" t="s">
        <v>4903</v>
      </c>
      <c r="C1253" s="290">
        <v>1251000</v>
      </c>
      <c r="D1253" s="290">
        <v>0</v>
      </c>
      <c r="E1253" s="284">
        <f t="shared" si="19"/>
        <v>29711805</v>
      </c>
      <c r="F1253" s="8" t="s">
        <v>1643</v>
      </c>
      <c r="G1253" s="8" t="s">
        <v>5</v>
      </c>
      <c r="H1253" s="8" t="s">
        <v>1352</v>
      </c>
    </row>
    <row r="1254" spans="1:8" s="204" customFormat="1">
      <c r="A1254" s="203"/>
      <c r="B1254" s="8" t="s">
        <v>4904</v>
      </c>
      <c r="C1254" s="290">
        <v>500000</v>
      </c>
      <c r="D1254" s="290">
        <v>0</v>
      </c>
      <c r="E1254" s="284">
        <f t="shared" si="19"/>
        <v>29211805</v>
      </c>
      <c r="F1254" s="8" t="s">
        <v>1643</v>
      </c>
      <c r="G1254" s="8" t="s">
        <v>5</v>
      </c>
      <c r="H1254" s="8" t="s">
        <v>1352</v>
      </c>
    </row>
    <row r="1255" spans="1:8" s="204" customFormat="1">
      <c r="A1255" s="203"/>
      <c r="B1255" s="8" t="s">
        <v>4905</v>
      </c>
      <c r="C1255" s="290">
        <v>358999</v>
      </c>
      <c r="D1255" s="290">
        <v>0</v>
      </c>
      <c r="E1255" s="284">
        <f t="shared" si="19"/>
        <v>28852806</v>
      </c>
      <c r="F1255" s="8" t="s">
        <v>1643</v>
      </c>
      <c r="G1255" s="8" t="s">
        <v>5</v>
      </c>
      <c r="H1255" s="8" t="s">
        <v>1352</v>
      </c>
    </row>
    <row r="1256" spans="1:8" s="204" customFormat="1">
      <c r="A1256" s="203"/>
      <c r="B1256" s="8" t="s">
        <v>4906</v>
      </c>
      <c r="C1256" s="290">
        <v>54000</v>
      </c>
      <c r="D1256" s="290">
        <v>0</v>
      </c>
      <c r="E1256" s="284">
        <f t="shared" si="19"/>
        <v>28798806</v>
      </c>
      <c r="F1256" s="8" t="s">
        <v>1643</v>
      </c>
      <c r="G1256" s="8" t="s">
        <v>5</v>
      </c>
      <c r="H1256" s="8" t="s">
        <v>1352</v>
      </c>
    </row>
    <row r="1257" spans="1:8" s="204" customFormat="1">
      <c r="A1257" s="203"/>
      <c r="B1257" s="8" t="s">
        <v>4907</v>
      </c>
      <c r="C1257" s="290">
        <v>2844000</v>
      </c>
      <c r="D1257" s="290">
        <v>0</v>
      </c>
      <c r="E1257" s="284">
        <f t="shared" si="19"/>
        <v>25954806</v>
      </c>
      <c r="F1257" s="8" t="s">
        <v>1643</v>
      </c>
      <c r="G1257" s="8" t="s">
        <v>5</v>
      </c>
      <c r="H1257" s="8" t="s">
        <v>1352</v>
      </c>
    </row>
    <row r="1258" spans="1:8" s="204" customFormat="1">
      <c r="A1258" s="203"/>
      <c r="B1258" s="8" t="s">
        <v>4908</v>
      </c>
      <c r="C1258" s="290">
        <v>213000</v>
      </c>
      <c r="D1258" s="290">
        <v>0</v>
      </c>
      <c r="E1258" s="284">
        <f t="shared" si="19"/>
        <v>25741806</v>
      </c>
      <c r="F1258" s="8" t="s">
        <v>1643</v>
      </c>
      <c r="G1258" s="8" t="s">
        <v>5</v>
      </c>
      <c r="H1258" s="8" t="s">
        <v>1352</v>
      </c>
    </row>
    <row r="1259" spans="1:8" s="204" customFormat="1">
      <c r="A1259" s="203"/>
      <c r="B1259" s="8" t="s">
        <v>4909</v>
      </c>
      <c r="C1259" s="290">
        <v>5479000</v>
      </c>
      <c r="D1259" s="290">
        <v>0</v>
      </c>
      <c r="E1259" s="284">
        <f t="shared" si="19"/>
        <v>20262806</v>
      </c>
      <c r="F1259" s="8" t="s">
        <v>1643</v>
      </c>
      <c r="G1259" s="8" t="s">
        <v>5</v>
      </c>
      <c r="H1259" s="8" t="s">
        <v>1352</v>
      </c>
    </row>
    <row r="1260" spans="1:8" s="204" customFormat="1">
      <c r="A1260" s="203"/>
      <c r="B1260" s="8" t="s">
        <v>4910</v>
      </c>
      <c r="C1260" s="290">
        <v>21000</v>
      </c>
      <c r="D1260" s="290">
        <v>0</v>
      </c>
      <c r="E1260" s="284">
        <f t="shared" si="19"/>
        <v>20241806</v>
      </c>
      <c r="F1260" s="8" t="s">
        <v>1643</v>
      </c>
      <c r="G1260" s="8" t="s">
        <v>5</v>
      </c>
      <c r="H1260" s="8" t="s">
        <v>1352</v>
      </c>
    </row>
    <row r="1261" spans="1:8" s="204" customFormat="1">
      <c r="A1261" s="203"/>
      <c r="B1261" s="8" t="s">
        <v>4911</v>
      </c>
      <c r="C1261" s="290">
        <v>336000</v>
      </c>
      <c r="D1261" s="290">
        <v>0</v>
      </c>
      <c r="E1261" s="284">
        <f t="shared" si="19"/>
        <v>19905806</v>
      </c>
      <c r="F1261" s="8" t="s">
        <v>1643</v>
      </c>
      <c r="G1261" s="8" t="s">
        <v>5</v>
      </c>
      <c r="H1261" s="8" t="s">
        <v>1352</v>
      </c>
    </row>
    <row r="1262" spans="1:8" s="204" customFormat="1">
      <c r="A1262" s="203"/>
      <c r="B1262" s="8" t="s">
        <v>4912</v>
      </c>
      <c r="C1262" s="290">
        <v>45000</v>
      </c>
      <c r="D1262" s="290">
        <v>0</v>
      </c>
      <c r="E1262" s="284">
        <f t="shared" si="19"/>
        <v>19860806</v>
      </c>
      <c r="F1262" s="8" t="s">
        <v>1643</v>
      </c>
      <c r="G1262" s="8" t="s">
        <v>5</v>
      </c>
      <c r="H1262" s="8" t="s">
        <v>1352</v>
      </c>
    </row>
    <row r="1263" spans="1:8" s="204" customFormat="1">
      <c r="A1263" s="203"/>
      <c r="B1263" s="8" t="s">
        <v>4913</v>
      </c>
      <c r="C1263" s="290">
        <v>160000</v>
      </c>
      <c r="D1263" s="290">
        <v>0</v>
      </c>
      <c r="E1263" s="284">
        <f t="shared" si="19"/>
        <v>19700806</v>
      </c>
      <c r="F1263" s="8" t="s">
        <v>1643</v>
      </c>
      <c r="G1263" s="8" t="s">
        <v>5</v>
      </c>
      <c r="H1263" s="8" t="s">
        <v>1352</v>
      </c>
    </row>
    <row r="1264" spans="1:8" s="204" customFormat="1">
      <c r="A1264" s="203"/>
      <c r="B1264" s="8" t="s">
        <v>4914</v>
      </c>
      <c r="C1264" s="290">
        <v>420000</v>
      </c>
      <c r="D1264" s="290">
        <v>0</v>
      </c>
      <c r="E1264" s="284">
        <f t="shared" si="19"/>
        <v>19280806</v>
      </c>
      <c r="F1264" s="8" t="s">
        <v>1643</v>
      </c>
      <c r="G1264" s="8" t="s">
        <v>5</v>
      </c>
      <c r="H1264" s="8" t="s">
        <v>1352</v>
      </c>
    </row>
    <row r="1265" spans="1:8" s="204" customFormat="1">
      <c r="A1265" s="203"/>
      <c r="B1265" s="8" t="s">
        <v>4915</v>
      </c>
      <c r="C1265" s="290">
        <v>57500</v>
      </c>
      <c r="D1265" s="290">
        <v>0</v>
      </c>
      <c r="E1265" s="284">
        <f t="shared" si="19"/>
        <v>19223306</v>
      </c>
      <c r="F1265" s="8" t="s">
        <v>1643</v>
      </c>
      <c r="G1265" s="8" t="s">
        <v>5</v>
      </c>
      <c r="H1265" s="8" t="s">
        <v>1352</v>
      </c>
    </row>
    <row r="1266" spans="1:8" s="204" customFormat="1">
      <c r="A1266" s="203"/>
      <c r="B1266" s="8" t="s">
        <v>4916</v>
      </c>
      <c r="C1266" s="290">
        <v>855000</v>
      </c>
      <c r="D1266" s="290">
        <v>0</v>
      </c>
      <c r="E1266" s="284">
        <f t="shared" si="19"/>
        <v>18368306</v>
      </c>
      <c r="F1266" s="8" t="s">
        <v>1643</v>
      </c>
      <c r="G1266" s="8" t="s">
        <v>5</v>
      </c>
      <c r="H1266" s="8" t="s">
        <v>1352</v>
      </c>
    </row>
    <row r="1267" spans="1:8" s="204" customFormat="1">
      <c r="A1267" s="203"/>
      <c r="B1267" s="8" t="s">
        <v>4917</v>
      </c>
      <c r="C1267" s="290">
        <v>1750000</v>
      </c>
      <c r="D1267" s="290">
        <v>0</v>
      </c>
      <c r="E1267" s="284">
        <f t="shared" si="19"/>
        <v>16618306</v>
      </c>
      <c r="F1267" s="8" t="s">
        <v>1643</v>
      </c>
      <c r="G1267" s="8" t="s">
        <v>5</v>
      </c>
      <c r="H1267" s="8" t="s">
        <v>1352</v>
      </c>
    </row>
    <row r="1268" spans="1:8" s="204" customFormat="1">
      <c r="A1268" s="203"/>
      <c r="B1268" s="8" t="s">
        <v>4918</v>
      </c>
      <c r="C1268" s="290">
        <v>569000</v>
      </c>
      <c r="D1268" s="290">
        <v>0</v>
      </c>
      <c r="E1268" s="284">
        <f t="shared" si="19"/>
        <v>16049306</v>
      </c>
      <c r="F1268" s="8" t="s">
        <v>1643</v>
      </c>
      <c r="G1268" s="8" t="s">
        <v>5</v>
      </c>
      <c r="H1268" s="8" t="s">
        <v>1352</v>
      </c>
    </row>
    <row r="1269" spans="1:8" s="204" customFormat="1">
      <c r="A1269" s="203"/>
      <c r="B1269" s="8" t="s">
        <v>4919</v>
      </c>
      <c r="C1269" s="290">
        <v>1500000</v>
      </c>
      <c r="D1269" s="290">
        <v>0</v>
      </c>
      <c r="E1269" s="284">
        <f t="shared" si="19"/>
        <v>14549306</v>
      </c>
      <c r="F1269" s="8" t="s">
        <v>1643</v>
      </c>
      <c r="G1269" s="8" t="s">
        <v>5</v>
      </c>
      <c r="H1269" s="8" t="s">
        <v>1352</v>
      </c>
    </row>
    <row r="1270" spans="1:8" s="204" customFormat="1">
      <c r="A1270" s="203"/>
      <c r="B1270" s="8" t="s">
        <v>4920</v>
      </c>
      <c r="C1270" s="290">
        <v>3600000</v>
      </c>
      <c r="D1270" s="290">
        <v>0</v>
      </c>
      <c r="E1270" s="284">
        <f t="shared" si="19"/>
        <v>10949306</v>
      </c>
      <c r="F1270" s="8" t="s">
        <v>1643</v>
      </c>
      <c r="G1270" s="8" t="s">
        <v>5</v>
      </c>
      <c r="H1270" s="8" t="s">
        <v>1352</v>
      </c>
    </row>
    <row r="1271" spans="1:8" s="204" customFormat="1">
      <c r="A1271" s="203"/>
      <c r="B1271" s="8" t="s">
        <v>4921</v>
      </c>
      <c r="C1271" s="290">
        <v>165000</v>
      </c>
      <c r="D1271" s="290">
        <v>0</v>
      </c>
      <c r="E1271" s="284">
        <f t="shared" si="19"/>
        <v>10784306</v>
      </c>
      <c r="F1271" s="8" t="s">
        <v>1643</v>
      </c>
      <c r="G1271" s="8" t="s">
        <v>5</v>
      </c>
      <c r="H1271" s="8" t="s">
        <v>1352</v>
      </c>
    </row>
    <row r="1272" spans="1:8" s="204" customFormat="1">
      <c r="A1272" s="203"/>
      <c r="B1272" s="8" t="s">
        <v>4922</v>
      </c>
      <c r="C1272" s="290">
        <v>117000</v>
      </c>
      <c r="D1272" s="290">
        <v>0</v>
      </c>
      <c r="E1272" s="284">
        <f t="shared" si="19"/>
        <v>10667306</v>
      </c>
      <c r="F1272" s="8" t="s">
        <v>1643</v>
      </c>
      <c r="G1272" s="8" t="s">
        <v>5</v>
      </c>
      <c r="H1272" s="8" t="s">
        <v>1352</v>
      </c>
    </row>
    <row r="1273" spans="1:8" s="204" customFormat="1">
      <c r="A1273" s="203"/>
      <c r="B1273" s="8" t="s">
        <v>4923</v>
      </c>
      <c r="C1273" s="290">
        <v>747500</v>
      </c>
      <c r="D1273" s="290">
        <v>0</v>
      </c>
      <c r="E1273" s="284">
        <f t="shared" si="19"/>
        <v>9919806</v>
      </c>
      <c r="F1273" s="8" t="s">
        <v>1643</v>
      </c>
      <c r="G1273" s="8" t="s">
        <v>5</v>
      </c>
      <c r="H1273" s="8" t="s">
        <v>1352</v>
      </c>
    </row>
    <row r="1274" spans="1:8" s="204" customFormat="1">
      <c r="A1274" s="203"/>
      <c r="B1274" s="8" t="s">
        <v>4924</v>
      </c>
      <c r="C1274" s="290">
        <v>6616000</v>
      </c>
      <c r="D1274" s="290">
        <v>0</v>
      </c>
      <c r="E1274" s="284">
        <f t="shared" si="19"/>
        <v>3303806</v>
      </c>
      <c r="F1274" s="8" t="s">
        <v>1643</v>
      </c>
      <c r="G1274" s="8" t="s">
        <v>5</v>
      </c>
      <c r="H1274" s="8" t="s">
        <v>1352</v>
      </c>
    </row>
    <row r="1275" spans="1:8" s="204" customFormat="1">
      <c r="A1275" s="203"/>
      <c r="B1275" s="8" t="s">
        <v>4925</v>
      </c>
      <c r="C1275" s="290">
        <v>700000</v>
      </c>
      <c r="D1275" s="290">
        <v>0</v>
      </c>
      <c r="E1275" s="284">
        <f t="shared" si="19"/>
        <v>2603806</v>
      </c>
      <c r="F1275" s="8" t="s">
        <v>1643</v>
      </c>
      <c r="G1275" s="8" t="s">
        <v>5</v>
      </c>
      <c r="H1275" s="8" t="s">
        <v>1352</v>
      </c>
    </row>
    <row r="1276" spans="1:8" s="204" customFormat="1">
      <c r="A1276" s="203"/>
      <c r="B1276" s="8" t="s">
        <v>4926</v>
      </c>
      <c r="C1276" s="290">
        <v>1800000</v>
      </c>
      <c r="D1276" s="290">
        <v>0</v>
      </c>
      <c r="E1276" s="284">
        <f t="shared" si="19"/>
        <v>803806</v>
      </c>
      <c r="F1276" s="8" t="s">
        <v>1643</v>
      </c>
      <c r="G1276" s="8" t="s">
        <v>5</v>
      </c>
      <c r="H1276" s="8" t="s">
        <v>1352</v>
      </c>
    </row>
    <row r="1277" spans="1:8" s="204" customFormat="1">
      <c r="A1277" s="203"/>
      <c r="B1277" s="8" t="s">
        <v>4927</v>
      </c>
      <c r="C1277" s="290">
        <v>600000</v>
      </c>
      <c r="D1277" s="290">
        <v>0</v>
      </c>
      <c r="E1277" s="284">
        <f t="shared" si="19"/>
        <v>203806</v>
      </c>
      <c r="F1277" s="8" t="s">
        <v>1643</v>
      </c>
      <c r="G1277" s="8" t="s">
        <v>5</v>
      </c>
      <c r="H1277" s="8" t="s">
        <v>1352</v>
      </c>
    </row>
    <row r="1278" spans="1:8" s="204" customFormat="1">
      <c r="A1278" s="203"/>
      <c r="B1278" s="8" t="s">
        <v>4928</v>
      </c>
      <c r="C1278" s="290">
        <v>66500</v>
      </c>
      <c r="D1278" s="290">
        <v>0</v>
      </c>
      <c r="E1278" s="284">
        <f t="shared" si="19"/>
        <v>137306</v>
      </c>
      <c r="F1278" s="8" t="s">
        <v>1643</v>
      </c>
      <c r="G1278" s="8" t="s">
        <v>5</v>
      </c>
      <c r="H1278" s="8" t="s">
        <v>1352</v>
      </c>
    </row>
    <row r="1279" spans="1:8" s="204" customFormat="1">
      <c r="A1279" s="203"/>
      <c r="B1279" s="8" t="s">
        <v>4929</v>
      </c>
      <c r="C1279" s="290">
        <v>200000</v>
      </c>
      <c r="D1279" s="290">
        <v>0</v>
      </c>
      <c r="E1279" s="284">
        <f t="shared" si="19"/>
        <v>-62694</v>
      </c>
      <c r="F1279" s="8" t="s">
        <v>1643</v>
      </c>
      <c r="G1279" s="8" t="s">
        <v>5</v>
      </c>
      <c r="H1279" s="8" t="s">
        <v>1352</v>
      </c>
    </row>
    <row r="1280" spans="1:8" s="204" customFormat="1">
      <c r="A1280" s="203"/>
      <c r="B1280" s="8" t="s">
        <v>4930</v>
      </c>
      <c r="C1280" s="290">
        <v>372000</v>
      </c>
      <c r="D1280" s="290">
        <v>0</v>
      </c>
      <c r="E1280" s="284">
        <f t="shared" si="19"/>
        <v>-434694</v>
      </c>
      <c r="F1280" s="8" t="s">
        <v>1643</v>
      </c>
      <c r="G1280" s="8" t="s">
        <v>5</v>
      </c>
      <c r="H1280" s="8" t="s">
        <v>1352</v>
      </c>
    </row>
    <row r="1281" spans="1:8" s="204" customFormat="1">
      <c r="A1281" s="203"/>
      <c r="B1281" s="8" t="s">
        <v>4931</v>
      </c>
      <c r="C1281" s="290">
        <v>20000</v>
      </c>
      <c r="D1281" s="290">
        <v>0</v>
      </c>
      <c r="E1281" s="284">
        <f t="shared" si="19"/>
        <v>-454694</v>
      </c>
      <c r="F1281" s="8" t="s">
        <v>1643</v>
      </c>
      <c r="G1281" s="8" t="s">
        <v>5</v>
      </c>
      <c r="H1281" s="8" t="s">
        <v>1352</v>
      </c>
    </row>
    <row r="1282" spans="1:8" s="204" customFormat="1">
      <c r="A1282" s="203"/>
      <c r="B1282" s="8" t="s">
        <v>4932</v>
      </c>
      <c r="C1282" s="290">
        <v>302500</v>
      </c>
      <c r="D1282" s="290">
        <v>0</v>
      </c>
      <c r="E1282" s="284">
        <f t="shared" si="19"/>
        <v>-757194</v>
      </c>
      <c r="F1282" s="8" t="s">
        <v>1643</v>
      </c>
      <c r="G1282" s="8" t="s">
        <v>5</v>
      </c>
      <c r="H1282" s="8" t="s">
        <v>1352</v>
      </c>
    </row>
    <row r="1283" spans="1:8" s="204" customFormat="1">
      <c r="A1283" s="203"/>
      <c r="B1283" s="8" t="s">
        <v>4933</v>
      </c>
      <c r="C1283" s="290">
        <v>8000</v>
      </c>
      <c r="D1283" s="290">
        <v>0</v>
      </c>
      <c r="E1283" s="284">
        <f t="shared" si="19"/>
        <v>-765194</v>
      </c>
      <c r="F1283" s="8" t="s">
        <v>1643</v>
      </c>
      <c r="G1283" s="8" t="s">
        <v>5</v>
      </c>
      <c r="H1283" s="8" t="s">
        <v>1352</v>
      </c>
    </row>
    <row r="1284" spans="1:8" s="204" customFormat="1">
      <c r="A1284" s="203"/>
      <c r="B1284" s="8" t="s">
        <v>4934</v>
      </c>
      <c r="C1284" s="290">
        <v>26000</v>
      </c>
      <c r="D1284" s="290">
        <v>0</v>
      </c>
      <c r="E1284" s="284">
        <f t="shared" si="19"/>
        <v>-791194</v>
      </c>
      <c r="F1284" s="8" t="s">
        <v>1643</v>
      </c>
      <c r="G1284" s="8" t="s">
        <v>5</v>
      </c>
      <c r="H1284" s="8" t="s">
        <v>1352</v>
      </c>
    </row>
    <row r="1285" spans="1:8" s="204" customFormat="1">
      <c r="A1285" s="203"/>
      <c r="B1285" s="8" t="s">
        <v>4935</v>
      </c>
      <c r="C1285" s="290">
        <v>20000</v>
      </c>
      <c r="D1285" s="290">
        <v>0</v>
      </c>
      <c r="E1285" s="284">
        <f t="shared" si="19"/>
        <v>-811194</v>
      </c>
      <c r="F1285" s="8" t="s">
        <v>1643</v>
      </c>
      <c r="G1285" s="8" t="s">
        <v>5</v>
      </c>
      <c r="H1285" s="8" t="s">
        <v>1352</v>
      </c>
    </row>
    <row r="1286" spans="1:8" s="204" customFormat="1">
      <c r="A1286" s="203"/>
      <c r="B1286" s="8" t="s">
        <v>4936</v>
      </c>
      <c r="C1286" s="290">
        <v>100000</v>
      </c>
      <c r="D1286" s="290">
        <v>0</v>
      </c>
      <c r="E1286" s="284">
        <f t="shared" ref="E1286:E1349" si="20">E1285-C1286+D1286</f>
        <v>-911194</v>
      </c>
      <c r="F1286" s="8" t="s">
        <v>1643</v>
      </c>
      <c r="G1286" s="8" t="s">
        <v>5</v>
      </c>
      <c r="H1286" s="8" t="s">
        <v>1352</v>
      </c>
    </row>
    <row r="1287" spans="1:8" s="204" customFormat="1">
      <c r="A1287" s="203"/>
      <c r="B1287" s="8" t="s">
        <v>4937</v>
      </c>
      <c r="C1287" s="290">
        <v>30000</v>
      </c>
      <c r="D1287" s="290">
        <v>0</v>
      </c>
      <c r="E1287" s="284">
        <f t="shared" si="20"/>
        <v>-941194</v>
      </c>
      <c r="F1287" s="8" t="s">
        <v>1643</v>
      </c>
      <c r="G1287" s="8" t="s">
        <v>5</v>
      </c>
      <c r="H1287" s="8" t="s">
        <v>1352</v>
      </c>
    </row>
    <row r="1288" spans="1:8" s="204" customFormat="1">
      <c r="A1288" s="203"/>
      <c r="B1288" s="8" t="s">
        <v>4938</v>
      </c>
      <c r="C1288" s="290">
        <v>157000</v>
      </c>
      <c r="D1288" s="290">
        <v>0</v>
      </c>
      <c r="E1288" s="284">
        <f t="shared" si="20"/>
        <v>-1098194</v>
      </c>
      <c r="F1288" s="8" t="s">
        <v>1643</v>
      </c>
      <c r="G1288" s="8" t="s">
        <v>5</v>
      </c>
      <c r="H1288" s="8" t="s">
        <v>1352</v>
      </c>
    </row>
    <row r="1289" spans="1:8" s="204" customFormat="1">
      <c r="A1289" s="203"/>
      <c r="B1289" s="8" t="s">
        <v>4939</v>
      </c>
      <c r="C1289" s="290">
        <v>600000</v>
      </c>
      <c r="D1289" s="290">
        <v>0</v>
      </c>
      <c r="E1289" s="284">
        <f t="shared" si="20"/>
        <v>-1698194</v>
      </c>
      <c r="F1289" s="8" t="s">
        <v>1643</v>
      </c>
      <c r="G1289" s="8" t="s">
        <v>5</v>
      </c>
      <c r="H1289" s="8" t="s">
        <v>1352</v>
      </c>
    </row>
    <row r="1290" spans="1:8" s="204" customFormat="1">
      <c r="A1290" s="203"/>
      <c r="B1290" s="8" t="s">
        <v>4940</v>
      </c>
      <c r="C1290" s="290">
        <v>108000</v>
      </c>
      <c r="D1290" s="290">
        <v>0</v>
      </c>
      <c r="E1290" s="284">
        <f t="shared" si="20"/>
        <v>-1806194</v>
      </c>
      <c r="F1290" s="8" t="s">
        <v>1643</v>
      </c>
      <c r="G1290" s="8" t="s">
        <v>5</v>
      </c>
      <c r="H1290" s="8" t="s">
        <v>1352</v>
      </c>
    </row>
    <row r="1291" spans="1:8" s="204" customFormat="1">
      <c r="A1291" s="203"/>
      <c r="B1291" s="8" t="s">
        <v>4941</v>
      </c>
      <c r="C1291" s="290">
        <v>1030000</v>
      </c>
      <c r="D1291" s="290">
        <v>0</v>
      </c>
      <c r="E1291" s="284">
        <f t="shared" si="20"/>
        <v>-2836194</v>
      </c>
      <c r="F1291" s="8" t="s">
        <v>1643</v>
      </c>
      <c r="G1291" s="8" t="s">
        <v>5</v>
      </c>
      <c r="H1291" s="8" t="s">
        <v>1352</v>
      </c>
    </row>
    <row r="1292" spans="1:8" s="204" customFormat="1">
      <c r="A1292" s="203"/>
      <c r="B1292" s="8" t="s">
        <v>4942</v>
      </c>
      <c r="C1292" s="290">
        <v>70000</v>
      </c>
      <c r="D1292" s="290">
        <v>0</v>
      </c>
      <c r="E1292" s="284">
        <f t="shared" si="20"/>
        <v>-2906194</v>
      </c>
      <c r="F1292" s="8" t="s">
        <v>1643</v>
      </c>
      <c r="G1292" s="8" t="s">
        <v>5</v>
      </c>
      <c r="H1292" s="8" t="s">
        <v>1352</v>
      </c>
    </row>
    <row r="1293" spans="1:8" s="204" customFormat="1">
      <c r="A1293" s="203"/>
      <c r="B1293" s="8" t="s">
        <v>4943</v>
      </c>
      <c r="C1293" s="290">
        <v>726000</v>
      </c>
      <c r="D1293" s="290">
        <v>0</v>
      </c>
      <c r="E1293" s="284">
        <f t="shared" si="20"/>
        <v>-3632194</v>
      </c>
      <c r="F1293" s="8" t="s">
        <v>1643</v>
      </c>
      <c r="G1293" s="8" t="s">
        <v>5</v>
      </c>
      <c r="H1293" s="8" t="s">
        <v>1352</v>
      </c>
    </row>
    <row r="1294" spans="1:8" s="204" customFormat="1">
      <c r="A1294" s="203"/>
      <c r="B1294" s="8" t="s">
        <v>4944</v>
      </c>
      <c r="C1294" s="290">
        <v>600000</v>
      </c>
      <c r="D1294" s="290">
        <v>0</v>
      </c>
      <c r="E1294" s="284">
        <f t="shared" si="20"/>
        <v>-4232194</v>
      </c>
      <c r="F1294" s="8" t="s">
        <v>1643</v>
      </c>
      <c r="G1294" s="8" t="s">
        <v>5</v>
      </c>
      <c r="H1294" s="8" t="s">
        <v>1352</v>
      </c>
    </row>
    <row r="1295" spans="1:8" s="204" customFormat="1">
      <c r="A1295" s="203"/>
      <c r="B1295" s="8" t="s">
        <v>4945</v>
      </c>
      <c r="C1295" s="290">
        <v>600000</v>
      </c>
      <c r="D1295" s="290">
        <v>0</v>
      </c>
      <c r="E1295" s="284">
        <f t="shared" si="20"/>
        <v>-4832194</v>
      </c>
      <c r="F1295" s="8" t="s">
        <v>1643</v>
      </c>
      <c r="G1295" s="8" t="s">
        <v>5</v>
      </c>
      <c r="H1295" s="8" t="s">
        <v>1352</v>
      </c>
    </row>
    <row r="1296" spans="1:8" s="204" customFormat="1">
      <c r="A1296" s="203"/>
      <c r="B1296" s="8" t="s">
        <v>4946</v>
      </c>
      <c r="C1296" s="290">
        <v>300000</v>
      </c>
      <c r="D1296" s="290">
        <v>0</v>
      </c>
      <c r="E1296" s="284">
        <f t="shared" si="20"/>
        <v>-5132194</v>
      </c>
      <c r="F1296" s="8" t="s">
        <v>1643</v>
      </c>
      <c r="G1296" s="8" t="s">
        <v>5</v>
      </c>
      <c r="H1296" s="8" t="s">
        <v>1352</v>
      </c>
    </row>
    <row r="1297" spans="1:8" s="204" customFormat="1">
      <c r="A1297" s="203"/>
      <c r="B1297" s="8" t="s">
        <v>4947</v>
      </c>
      <c r="C1297" s="290">
        <v>300000</v>
      </c>
      <c r="D1297" s="290">
        <v>0</v>
      </c>
      <c r="E1297" s="284">
        <f t="shared" si="20"/>
        <v>-5432194</v>
      </c>
      <c r="F1297" s="8" t="s">
        <v>1643</v>
      </c>
      <c r="G1297" s="8" t="s">
        <v>5</v>
      </c>
      <c r="H1297" s="8" t="s">
        <v>1352</v>
      </c>
    </row>
    <row r="1298" spans="1:8" s="204" customFormat="1">
      <c r="A1298" s="203"/>
      <c r="B1298" s="8" t="s">
        <v>4948</v>
      </c>
      <c r="C1298" s="290">
        <v>100000</v>
      </c>
      <c r="D1298" s="290">
        <v>0</v>
      </c>
      <c r="E1298" s="284">
        <f t="shared" si="20"/>
        <v>-5532194</v>
      </c>
      <c r="F1298" s="8" t="s">
        <v>1643</v>
      </c>
      <c r="G1298" s="8" t="s">
        <v>5</v>
      </c>
      <c r="H1298" s="8" t="s">
        <v>1352</v>
      </c>
    </row>
    <row r="1299" spans="1:8" s="204" customFormat="1">
      <c r="A1299" s="203"/>
      <c r="B1299" s="8" t="s">
        <v>4949</v>
      </c>
      <c r="C1299" s="290">
        <v>150000</v>
      </c>
      <c r="D1299" s="290">
        <v>0</v>
      </c>
      <c r="E1299" s="284">
        <f t="shared" si="20"/>
        <v>-5682194</v>
      </c>
      <c r="F1299" s="8" t="s">
        <v>1643</v>
      </c>
      <c r="G1299" s="8" t="s">
        <v>5</v>
      </c>
      <c r="H1299" s="8" t="s">
        <v>1352</v>
      </c>
    </row>
    <row r="1300" spans="1:8" s="204" customFormat="1">
      <c r="A1300" s="203"/>
      <c r="B1300" s="8" t="s">
        <v>4950</v>
      </c>
      <c r="C1300" s="290">
        <v>300000</v>
      </c>
      <c r="D1300" s="290">
        <v>0</v>
      </c>
      <c r="E1300" s="284">
        <f t="shared" si="20"/>
        <v>-5982194</v>
      </c>
      <c r="F1300" s="8" t="s">
        <v>1643</v>
      </c>
      <c r="G1300" s="8" t="s">
        <v>5</v>
      </c>
      <c r="H1300" s="8" t="s">
        <v>1352</v>
      </c>
    </row>
    <row r="1301" spans="1:8" s="204" customFormat="1">
      <c r="A1301" s="203"/>
      <c r="B1301" s="8" t="s">
        <v>4948</v>
      </c>
      <c r="C1301" s="290">
        <v>100000</v>
      </c>
      <c r="D1301" s="290">
        <v>0</v>
      </c>
      <c r="E1301" s="284">
        <f t="shared" si="20"/>
        <v>-6082194</v>
      </c>
      <c r="F1301" s="8" t="s">
        <v>1643</v>
      </c>
      <c r="G1301" s="8" t="s">
        <v>5</v>
      </c>
      <c r="H1301" s="8" t="s">
        <v>1352</v>
      </c>
    </row>
    <row r="1302" spans="1:8" s="204" customFormat="1">
      <c r="A1302" s="203"/>
      <c r="B1302" s="8" t="s">
        <v>4951</v>
      </c>
      <c r="C1302" s="290">
        <v>300000</v>
      </c>
      <c r="D1302" s="290">
        <v>0</v>
      </c>
      <c r="E1302" s="284">
        <f t="shared" si="20"/>
        <v>-6382194</v>
      </c>
      <c r="F1302" s="8" t="s">
        <v>1643</v>
      </c>
      <c r="G1302" s="8" t="s">
        <v>5</v>
      </c>
      <c r="H1302" s="8" t="s">
        <v>1352</v>
      </c>
    </row>
    <row r="1303" spans="1:8" s="204" customFormat="1">
      <c r="A1303" s="203"/>
      <c r="B1303" s="8" t="s">
        <v>4948</v>
      </c>
      <c r="C1303" s="290">
        <v>100000</v>
      </c>
      <c r="D1303" s="290">
        <v>0</v>
      </c>
      <c r="E1303" s="284">
        <f t="shared" si="20"/>
        <v>-6482194</v>
      </c>
      <c r="F1303" s="8" t="s">
        <v>1643</v>
      </c>
      <c r="G1303" s="8" t="s">
        <v>5</v>
      </c>
      <c r="H1303" s="8" t="s">
        <v>1352</v>
      </c>
    </row>
    <row r="1304" spans="1:8" s="204" customFormat="1">
      <c r="A1304" s="203"/>
      <c r="B1304" s="8" t="s">
        <v>4952</v>
      </c>
      <c r="C1304" s="290">
        <v>150000</v>
      </c>
      <c r="D1304" s="290">
        <v>0</v>
      </c>
      <c r="E1304" s="284">
        <f t="shared" si="20"/>
        <v>-6632194</v>
      </c>
      <c r="F1304" s="8" t="s">
        <v>1643</v>
      </c>
      <c r="G1304" s="8" t="s">
        <v>5</v>
      </c>
      <c r="H1304" s="8" t="s">
        <v>1352</v>
      </c>
    </row>
    <row r="1305" spans="1:8" s="204" customFormat="1">
      <c r="A1305" s="203"/>
      <c r="B1305" s="8" t="s">
        <v>4953</v>
      </c>
      <c r="C1305" s="290">
        <v>50000</v>
      </c>
      <c r="D1305" s="290">
        <v>0</v>
      </c>
      <c r="E1305" s="284">
        <f t="shared" si="20"/>
        <v>-6682194</v>
      </c>
      <c r="F1305" s="8" t="s">
        <v>1643</v>
      </c>
      <c r="G1305" s="8" t="s">
        <v>5</v>
      </c>
      <c r="H1305" s="8" t="s">
        <v>1352</v>
      </c>
    </row>
    <row r="1306" spans="1:8" s="204" customFormat="1">
      <c r="A1306" s="203"/>
      <c r="B1306" s="8" t="s">
        <v>4954</v>
      </c>
      <c r="C1306" s="290">
        <v>150000</v>
      </c>
      <c r="D1306" s="290">
        <v>0</v>
      </c>
      <c r="E1306" s="284">
        <f t="shared" si="20"/>
        <v>-6832194</v>
      </c>
      <c r="F1306" s="8" t="s">
        <v>1643</v>
      </c>
      <c r="G1306" s="8" t="s">
        <v>5</v>
      </c>
      <c r="H1306" s="8" t="s">
        <v>1352</v>
      </c>
    </row>
    <row r="1307" spans="1:8" s="204" customFormat="1">
      <c r="A1307" s="203"/>
      <c r="B1307" s="8" t="s">
        <v>4955</v>
      </c>
      <c r="C1307" s="290">
        <v>280000</v>
      </c>
      <c r="D1307" s="290">
        <v>0</v>
      </c>
      <c r="E1307" s="284">
        <f t="shared" si="20"/>
        <v>-7112194</v>
      </c>
      <c r="F1307" s="8" t="s">
        <v>1643</v>
      </c>
      <c r="G1307" s="8" t="s">
        <v>5</v>
      </c>
      <c r="H1307" s="8" t="s">
        <v>1352</v>
      </c>
    </row>
    <row r="1308" spans="1:8" s="204" customFormat="1">
      <c r="A1308" s="203"/>
      <c r="B1308" s="8" t="s">
        <v>4956</v>
      </c>
      <c r="C1308" s="290">
        <v>100000</v>
      </c>
      <c r="D1308" s="290">
        <v>0</v>
      </c>
      <c r="E1308" s="284">
        <f t="shared" si="20"/>
        <v>-7212194</v>
      </c>
      <c r="F1308" s="8" t="s">
        <v>1643</v>
      </c>
      <c r="G1308" s="8" t="s">
        <v>5</v>
      </c>
      <c r="H1308" s="8" t="s">
        <v>1352</v>
      </c>
    </row>
    <row r="1309" spans="1:8" s="204" customFormat="1">
      <c r="A1309" s="203"/>
      <c r="B1309" s="8" t="s">
        <v>4957</v>
      </c>
      <c r="C1309" s="290">
        <v>150000</v>
      </c>
      <c r="D1309" s="290">
        <v>0</v>
      </c>
      <c r="E1309" s="284">
        <f t="shared" si="20"/>
        <v>-7362194</v>
      </c>
      <c r="F1309" s="8" t="s">
        <v>1643</v>
      </c>
      <c r="G1309" s="8" t="s">
        <v>5</v>
      </c>
      <c r="H1309" s="8" t="s">
        <v>1352</v>
      </c>
    </row>
    <row r="1310" spans="1:8" s="204" customFormat="1">
      <c r="A1310" s="203"/>
      <c r="B1310" s="8" t="s">
        <v>4958</v>
      </c>
      <c r="C1310" s="290">
        <v>75000</v>
      </c>
      <c r="D1310" s="290">
        <v>0</v>
      </c>
      <c r="E1310" s="284">
        <f t="shared" si="20"/>
        <v>-7437194</v>
      </c>
      <c r="F1310" s="8" t="s">
        <v>1643</v>
      </c>
      <c r="G1310" s="8" t="s">
        <v>5</v>
      </c>
      <c r="H1310" s="8" t="s">
        <v>1352</v>
      </c>
    </row>
    <row r="1311" spans="1:8" s="204" customFormat="1">
      <c r="A1311" s="203"/>
      <c r="B1311" s="8" t="s">
        <v>4959</v>
      </c>
      <c r="C1311" s="290">
        <v>740000</v>
      </c>
      <c r="D1311" s="290">
        <v>0</v>
      </c>
      <c r="E1311" s="284">
        <f t="shared" si="20"/>
        <v>-8177194</v>
      </c>
      <c r="F1311" s="8" t="s">
        <v>1643</v>
      </c>
      <c r="G1311" s="8" t="s">
        <v>5</v>
      </c>
      <c r="H1311" s="8" t="s">
        <v>1352</v>
      </c>
    </row>
    <row r="1312" spans="1:8" s="8" customFormat="1">
      <c r="A1312" s="13">
        <v>45700</v>
      </c>
      <c r="B1312" s="8" t="s">
        <v>803</v>
      </c>
      <c r="C1312" s="290">
        <v>0</v>
      </c>
      <c r="D1312" s="290">
        <v>8177194</v>
      </c>
      <c r="E1312" s="284">
        <f t="shared" si="20"/>
        <v>0</v>
      </c>
      <c r="F1312" s="8" t="s">
        <v>920</v>
      </c>
      <c r="G1312" s="8" t="s">
        <v>400</v>
      </c>
      <c r="H1312" s="8" t="s">
        <v>4873</v>
      </c>
    </row>
    <row r="1313" spans="1:8" s="8" customFormat="1">
      <c r="A1313" s="13">
        <v>45674</v>
      </c>
      <c r="B1313" s="8" t="s">
        <v>595</v>
      </c>
      <c r="C1313" s="290">
        <v>0</v>
      </c>
      <c r="D1313" s="290">
        <v>23272500</v>
      </c>
      <c r="E1313" s="284">
        <f t="shared" si="20"/>
        <v>23272500</v>
      </c>
      <c r="F1313" s="8" t="s">
        <v>920</v>
      </c>
      <c r="G1313" s="8" t="s">
        <v>400</v>
      </c>
      <c r="H1313" s="8" t="s">
        <v>4960</v>
      </c>
    </row>
    <row r="1314" spans="1:8" s="8" customFormat="1">
      <c r="A1314" s="13"/>
      <c r="B1314" s="8" t="s">
        <v>4961</v>
      </c>
      <c r="C1314" s="290">
        <v>3795000</v>
      </c>
      <c r="D1314" s="290">
        <v>0</v>
      </c>
      <c r="E1314" s="284">
        <f t="shared" si="20"/>
        <v>19477500</v>
      </c>
      <c r="F1314" s="8" t="s">
        <v>1643</v>
      </c>
      <c r="G1314" s="8" t="s">
        <v>5</v>
      </c>
      <c r="H1314" s="8" t="s">
        <v>2216</v>
      </c>
    </row>
    <row r="1315" spans="1:8" s="8" customFormat="1">
      <c r="A1315" s="13"/>
      <c r="B1315" s="8" t="s">
        <v>4962</v>
      </c>
      <c r="C1315" s="290">
        <v>6500</v>
      </c>
      <c r="D1315" s="290">
        <v>0</v>
      </c>
      <c r="E1315" s="284">
        <f t="shared" si="20"/>
        <v>19471000</v>
      </c>
      <c r="F1315" s="8" t="s">
        <v>1643</v>
      </c>
      <c r="G1315" s="8" t="s">
        <v>5</v>
      </c>
      <c r="H1315" s="8" t="s">
        <v>2216</v>
      </c>
    </row>
    <row r="1316" spans="1:8" s="8" customFormat="1">
      <c r="A1316" s="13"/>
      <c r="B1316" s="8" t="s">
        <v>4963</v>
      </c>
      <c r="C1316" s="290">
        <v>2178000</v>
      </c>
      <c r="D1316" s="290">
        <v>0</v>
      </c>
      <c r="E1316" s="284">
        <f t="shared" si="20"/>
        <v>17293000</v>
      </c>
      <c r="F1316" s="8" t="s">
        <v>1643</v>
      </c>
      <c r="G1316" s="8" t="s">
        <v>5</v>
      </c>
      <c r="H1316" s="8" t="s">
        <v>2216</v>
      </c>
    </row>
    <row r="1317" spans="1:8" s="8" customFormat="1">
      <c r="A1317" s="13"/>
      <c r="B1317" s="8" t="s">
        <v>4964</v>
      </c>
      <c r="C1317" s="290">
        <v>5835000</v>
      </c>
      <c r="D1317" s="290">
        <v>0</v>
      </c>
      <c r="E1317" s="284">
        <f t="shared" si="20"/>
        <v>11458000</v>
      </c>
      <c r="F1317" s="8" t="s">
        <v>1643</v>
      </c>
      <c r="G1317" s="8" t="s">
        <v>5</v>
      </c>
      <c r="H1317" s="8" t="s">
        <v>2216</v>
      </c>
    </row>
    <row r="1318" spans="1:8" s="8" customFormat="1">
      <c r="A1318" s="13"/>
      <c r="B1318" s="8" t="s">
        <v>4965</v>
      </c>
      <c r="C1318" s="290">
        <v>399200</v>
      </c>
      <c r="D1318" s="290">
        <v>0</v>
      </c>
      <c r="E1318" s="284">
        <f t="shared" si="20"/>
        <v>11058800</v>
      </c>
      <c r="F1318" s="8" t="s">
        <v>1643</v>
      </c>
      <c r="G1318" s="8" t="s">
        <v>5</v>
      </c>
      <c r="H1318" s="8" t="s">
        <v>2216</v>
      </c>
    </row>
    <row r="1319" spans="1:8" s="8" customFormat="1">
      <c r="A1319" s="13"/>
      <c r="B1319" s="8" t="s">
        <v>4966</v>
      </c>
      <c r="C1319" s="290">
        <v>50000</v>
      </c>
      <c r="D1319" s="290">
        <v>0</v>
      </c>
      <c r="E1319" s="284">
        <f t="shared" si="20"/>
        <v>11008800</v>
      </c>
      <c r="F1319" s="8" t="s">
        <v>1643</v>
      </c>
      <c r="G1319" s="8" t="s">
        <v>5</v>
      </c>
      <c r="H1319" s="8" t="s">
        <v>2216</v>
      </c>
    </row>
    <row r="1320" spans="1:8" s="8" customFormat="1">
      <c r="A1320" s="13"/>
      <c r="B1320" s="8" t="s">
        <v>4967</v>
      </c>
      <c r="C1320" s="290">
        <v>5000</v>
      </c>
      <c r="D1320" s="290">
        <v>0</v>
      </c>
      <c r="E1320" s="284">
        <f t="shared" si="20"/>
        <v>11003800</v>
      </c>
      <c r="F1320" s="8" t="s">
        <v>1643</v>
      </c>
      <c r="G1320" s="8" t="s">
        <v>5</v>
      </c>
      <c r="H1320" s="8" t="s">
        <v>2216</v>
      </c>
    </row>
    <row r="1321" spans="1:8" s="8" customFormat="1">
      <c r="A1321" s="13"/>
      <c r="B1321" s="8" t="s">
        <v>4968</v>
      </c>
      <c r="C1321" s="290">
        <v>20000</v>
      </c>
      <c r="D1321" s="290">
        <v>0</v>
      </c>
      <c r="E1321" s="284">
        <f t="shared" si="20"/>
        <v>10983800</v>
      </c>
      <c r="F1321" s="8" t="s">
        <v>1643</v>
      </c>
      <c r="G1321" s="8" t="s">
        <v>5</v>
      </c>
      <c r="H1321" s="8" t="s">
        <v>2216</v>
      </c>
    </row>
    <row r="1322" spans="1:8" s="8" customFormat="1">
      <c r="A1322" s="13"/>
      <c r="B1322" s="8" t="s">
        <v>4969</v>
      </c>
      <c r="C1322" s="290">
        <v>249500</v>
      </c>
      <c r="D1322" s="290">
        <v>0</v>
      </c>
      <c r="E1322" s="284">
        <f t="shared" si="20"/>
        <v>10734300</v>
      </c>
      <c r="F1322" s="8" t="s">
        <v>1643</v>
      </c>
      <c r="G1322" s="8" t="s">
        <v>5</v>
      </c>
      <c r="H1322" s="8" t="s">
        <v>2216</v>
      </c>
    </row>
    <row r="1323" spans="1:8" s="8" customFormat="1">
      <c r="A1323" s="13"/>
      <c r="B1323" s="8" t="s">
        <v>4970</v>
      </c>
      <c r="C1323" s="290">
        <v>2500</v>
      </c>
      <c r="D1323" s="290">
        <v>0</v>
      </c>
      <c r="E1323" s="284">
        <f t="shared" si="20"/>
        <v>10731800</v>
      </c>
      <c r="F1323" s="8" t="s">
        <v>1643</v>
      </c>
      <c r="G1323" s="8" t="s">
        <v>5</v>
      </c>
      <c r="H1323" s="8" t="s">
        <v>2216</v>
      </c>
    </row>
    <row r="1324" spans="1:8" s="8" customFormat="1">
      <c r="A1324" s="13"/>
      <c r="B1324" s="8" t="s">
        <v>4971</v>
      </c>
      <c r="C1324" s="290">
        <v>872000</v>
      </c>
      <c r="D1324" s="290">
        <v>0</v>
      </c>
      <c r="E1324" s="284">
        <f t="shared" si="20"/>
        <v>9859800</v>
      </c>
      <c r="F1324" s="8" t="s">
        <v>1643</v>
      </c>
      <c r="G1324" s="8" t="s">
        <v>5</v>
      </c>
      <c r="H1324" s="8" t="s">
        <v>2216</v>
      </c>
    </row>
    <row r="1325" spans="1:8" s="8" customFormat="1">
      <c r="A1325" s="13"/>
      <c r="B1325" s="8" t="s">
        <v>4972</v>
      </c>
      <c r="C1325" s="290">
        <v>2500</v>
      </c>
      <c r="D1325" s="290">
        <v>0</v>
      </c>
      <c r="E1325" s="284">
        <f t="shared" si="20"/>
        <v>9857300</v>
      </c>
      <c r="F1325" s="8" t="s">
        <v>1643</v>
      </c>
      <c r="G1325" s="8" t="s">
        <v>5</v>
      </c>
      <c r="H1325" s="8" t="s">
        <v>2216</v>
      </c>
    </row>
    <row r="1326" spans="1:8" s="8" customFormat="1">
      <c r="A1326" s="13">
        <v>45741</v>
      </c>
      <c r="B1326" s="8" t="s">
        <v>968</v>
      </c>
      <c r="C1326" s="290">
        <v>9779000</v>
      </c>
      <c r="D1326" s="290">
        <v>0</v>
      </c>
      <c r="E1326" s="284">
        <f t="shared" si="20"/>
        <v>78300</v>
      </c>
      <c r="F1326" s="8" t="s">
        <v>920</v>
      </c>
      <c r="G1326" s="8" t="s">
        <v>464</v>
      </c>
      <c r="H1326" s="8" t="s">
        <v>4960</v>
      </c>
    </row>
    <row r="1327" spans="1:8" s="8" customFormat="1">
      <c r="A1327" s="13">
        <v>45852</v>
      </c>
      <c r="B1327" s="8" t="s">
        <v>2656</v>
      </c>
      <c r="C1327" s="290">
        <v>78300</v>
      </c>
      <c r="D1327" s="290">
        <v>0</v>
      </c>
      <c r="E1327" s="284">
        <f t="shared" si="20"/>
        <v>0</v>
      </c>
      <c r="F1327" s="8" t="s">
        <v>920</v>
      </c>
      <c r="G1327" s="8" t="s">
        <v>464</v>
      </c>
      <c r="H1327" s="8" t="s">
        <v>4960</v>
      </c>
    </row>
    <row r="1328" spans="1:8" s="8" customFormat="1">
      <c r="A1328" s="13">
        <v>45681</v>
      </c>
      <c r="B1328" s="8" t="s">
        <v>646</v>
      </c>
      <c r="C1328" s="284">
        <v>0</v>
      </c>
      <c r="D1328" s="284">
        <v>185600000</v>
      </c>
      <c r="E1328" s="284">
        <f t="shared" si="20"/>
        <v>185600000</v>
      </c>
      <c r="F1328" s="8" t="s">
        <v>920</v>
      </c>
      <c r="G1328" s="8" t="s">
        <v>400</v>
      </c>
      <c r="H1328" s="40" t="s">
        <v>4973</v>
      </c>
    </row>
    <row r="1329" spans="1:8" s="8" customFormat="1">
      <c r="A1329" s="13"/>
      <c r="B1329" s="8" t="s">
        <v>4974</v>
      </c>
      <c r="C1329" s="284">
        <v>7500000</v>
      </c>
      <c r="D1329" s="284">
        <v>0</v>
      </c>
      <c r="E1329" s="284">
        <f t="shared" si="20"/>
        <v>178100000</v>
      </c>
      <c r="F1329" s="8" t="s">
        <v>1643</v>
      </c>
      <c r="G1329" s="8" t="s">
        <v>5</v>
      </c>
      <c r="H1329" s="8" t="s">
        <v>1352</v>
      </c>
    </row>
    <row r="1330" spans="1:8" s="8" customFormat="1">
      <c r="A1330" s="13"/>
      <c r="B1330" s="8" t="s">
        <v>4975</v>
      </c>
      <c r="C1330" s="284">
        <v>2500000</v>
      </c>
      <c r="D1330" s="284">
        <v>0</v>
      </c>
      <c r="E1330" s="284">
        <f t="shared" si="20"/>
        <v>175600000</v>
      </c>
      <c r="F1330" s="8" t="s">
        <v>1643</v>
      </c>
      <c r="G1330" s="8" t="s">
        <v>5</v>
      </c>
      <c r="H1330" s="8" t="s">
        <v>1352</v>
      </c>
    </row>
    <row r="1331" spans="1:8" s="8" customFormat="1">
      <c r="A1331" s="13"/>
      <c r="B1331" s="8" t="s">
        <v>4976</v>
      </c>
      <c r="C1331" s="284">
        <v>4000000</v>
      </c>
      <c r="D1331" s="284">
        <v>0</v>
      </c>
      <c r="E1331" s="284">
        <f t="shared" si="20"/>
        <v>171600000</v>
      </c>
      <c r="F1331" s="8" t="s">
        <v>1643</v>
      </c>
      <c r="G1331" s="8" t="s">
        <v>5</v>
      </c>
      <c r="H1331" s="8" t="s">
        <v>1352</v>
      </c>
    </row>
    <row r="1332" spans="1:8" s="8" customFormat="1">
      <c r="A1332" s="13"/>
      <c r="B1332" s="8" t="s">
        <v>4977</v>
      </c>
      <c r="C1332" s="284">
        <v>500000</v>
      </c>
      <c r="D1332" s="284">
        <v>0</v>
      </c>
      <c r="E1332" s="284">
        <f t="shared" si="20"/>
        <v>171100000</v>
      </c>
      <c r="F1332" s="8" t="s">
        <v>1643</v>
      </c>
      <c r="G1332" s="8" t="s">
        <v>5</v>
      </c>
      <c r="H1332" s="8" t="s">
        <v>1352</v>
      </c>
    </row>
    <row r="1333" spans="1:8" s="8" customFormat="1">
      <c r="A1333" s="13"/>
      <c r="B1333" s="8" t="s">
        <v>4978</v>
      </c>
      <c r="C1333" s="284">
        <v>1000000</v>
      </c>
      <c r="D1333" s="284">
        <v>0</v>
      </c>
      <c r="E1333" s="284">
        <f t="shared" si="20"/>
        <v>170100000</v>
      </c>
      <c r="F1333" s="8" t="s">
        <v>1643</v>
      </c>
      <c r="G1333" s="8" t="s">
        <v>5</v>
      </c>
      <c r="H1333" s="8" t="s">
        <v>1352</v>
      </c>
    </row>
    <row r="1334" spans="1:8" s="8" customFormat="1">
      <c r="A1334" s="13"/>
      <c r="B1334" s="8" t="s">
        <v>4979</v>
      </c>
      <c r="C1334" s="284">
        <v>1000000</v>
      </c>
      <c r="D1334" s="284">
        <v>0</v>
      </c>
      <c r="E1334" s="284">
        <f t="shared" si="20"/>
        <v>169100000</v>
      </c>
      <c r="F1334" s="8" t="s">
        <v>1643</v>
      </c>
      <c r="G1334" s="8" t="s">
        <v>5</v>
      </c>
      <c r="H1334" s="8" t="s">
        <v>1352</v>
      </c>
    </row>
    <row r="1335" spans="1:8" s="8" customFormat="1">
      <c r="A1335" s="13"/>
      <c r="B1335" s="8" t="s">
        <v>4980</v>
      </c>
      <c r="C1335" s="284">
        <v>1000000</v>
      </c>
      <c r="D1335" s="284">
        <v>0</v>
      </c>
      <c r="E1335" s="284">
        <f t="shared" si="20"/>
        <v>168100000</v>
      </c>
      <c r="F1335" s="8" t="s">
        <v>1643</v>
      </c>
      <c r="G1335" s="8" t="s">
        <v>5</v>
      </c>
      <c r="H1335" s="8" t="s">
        <v>1352</v>
      </c>
    </row>
    <row r="1336" spans="1:8" s="8" customFormat="1">
      <c r="A1336" s="13"/>
      <c r="B1336" s="8" t="s">
        <v>4981</v>
      </c>
      <c r="C1336" s="284">
        <v>1000000</v>
      </c>
      <c r="D1336" s="284">
        <v>0</v>
      </c>
      <c r="E1336" s="284">
        <f t="shared" si="20"/>
        <v>167100000</v>
      </c>
      <c r="F1336" s="8" t="s">
        <v>1643</v>
      </c>
      <c r="G1336" s="8" t="s">
        <v>5</v>
      </c>
      <c r="H1336" s="8" t="s">
        <v>1352</v>
      </c>
    </row>
    <row r="1337" spans="1:8" s="8" customFormat="1">
      <c r="A1337" s="13"/>
      <c r="B1337" s="8" t="s">
        <v>4982</v>
      </c>
      <c r="C1337" s="284">
        <v>1000000</v>
      </c>
      <c r="D1337" s="284">
        <v>0</v>
      </c>
      <c r="E1337" s="284">
        <f t="shared" si="20"/>
        <v>166100000</v>
      </c>
      <c r="F1337" s="8" t="s">
        <v>1643</v>
      </c>
      <c r="G1337" s="8" t="s">
        <v>5</v>
      </c>
      <c r="H1337" s="8" t="s">
        <v>1352</v>
      </c>
    </row>
    <row r="1338" spans="1:8" s="8" customFormat="1">
      <c r="A1338" s="13"/>
      <c r="B1338" s="8" t="s">
        <v>4983</v>
      </c>
      <c r="C1338" s="284">
        <v>1000000</v>
      </c>
      <c r="D1338" s="284">
        <v>0</v>
      </c>
      <c r="E1338" s="284">
        <f t="shared" si="20"/>
        <v>165100000</v>
      </c>
      <c r="F1338" s="8" t="s">
        <v>1643</v>
      </c>
      <c r="G1338" s="8" t="s">
        <v>5</v>
      </c>
      <c r="H1338" s="8" t="s">
        <v>1352</v>
      </c>
    </row>
    <row r="1339" spans="1:8" s="8" customFormat="1">
      <c r="A1339" s="13"/>
      <c r="B1339" s="8" t="s">
        <v>4984</v>
      </c>
      <c r="C1339" s="284">
        <v>1000000</v>
      </c>
      <c r="D1339" s="284">
        <v>0</v>
      </c>
      <c r="E1339" s="284">
        <f t="shared" si="20"/>
        <v>164100000</v>
      </c>
      <c r="F1339" s="8" t="s">
        <v>1643</v>
      </c>
      <c r="G1339" s="8" t="s">
        <v>5</v>
      </c>
      <c r="H1339" s="8" t="s">
        <v>1352</v>
      </c>
    </row>
    <row r="1340" spans="1:8" s="8" customFormat="1">
      <c r="A1340" s="13"/>
      <c r="B1340" s="8" t="s">
        <v>4985</v>
      </c>
      <c r="C1340" s="284">
        <v>1000000</v>
      </c>
      <c r="D1340" s="284">
        <v>0</v>
      </c>
      <c r="E1340" s="284">
        <f t="shared" si="20"/>
        <v>163100000</v>
      </c>
      <c r="F1340" s="8" t="s">
        <v>1643</v>
      </c>
      <c r="G1340" s="8" t="s">
        <v>5</v>
      </c>
      <c r="H1340" s="8" t="s">
        <v>1352</v>
      </c>
    </row>
    <row r="1341" spans="1:8" s="8" customFormat="1">
      <c r="A1341" s="13"/>
      <c r="B1341" s="8" t="s">
        <v>4986</v>
      </c>
      <c r="C1341" s="284">
        <v>1000000</v>
      </c>
      <c r="D1341" s="284">
        <v>0</v>
      </c>
      <c r="E1341" s="284">
        <f t="shared" si="20"/>
        <v>162100000</v>
      </c>
      <c r="F1341" s="8" t="s">
        <v>1643</v>
      </c>
      <c r="G1341" s="8" t="s">
        <v>5</v>
      </c>
      <c r="H1341" s="8" t="s">
        <v>1352</v>
      </c>
    </row>
    <row r="1342" spans="1:8" s="8" customFormat="1">
      <c r="A1342" s="13"/>
      <c r="B1342" s="8" t="s">
        <v>4987</v>
      </c>
      <c r="C1342" s="284">
        <v>1000000</v>
      </c>
      <c r="D1342" s="284">
        <v>0</v>
      </c>
      <c r="E1342" s="284">
        <f t="shared" si="20"/>
        <v>161100000</v>
      </c>
      <c r="F1342" s="8" t="s">
        <v>1643</v>
      </c>
      <c r="G1342" s="8" t="s">
        <v>5</v>
      </c>
      <c r="H1342" s="8" t="s">
        <v>1352</v>
      </c>
    </row>
    <row r="1343" spans="1:8" s="8" customFormat="1">
      <c r="A1343" s="13"/>
      <c r="B1343" s="8" t="s">
        <v>4988</v>
      </c>
      <c r="C1343" s="284">
        <v>1000000</v>
      </c>
      <c r="D1343" s="284">
        <v>0</v>
      </c>
      <c r="E1343" s="284">
        <f t="shared" si="20"/>
        <v>160100000</v>
      </c>
      <c r="F1343" s="8" t="s">
        <v>1643</v>
      </c>
      <c r="G1343" s="8" t="s">
        <v>5</v>
      </c>
      <c r="H1343" s="8" t="s">
        <v>1352</v>
      </c>
    </row>
    <row r="1344" spans="1:8" s="8" customFormat="1">
      <c r="A1344" s="13"/>
      <c r="B1344" s="8" t="s">
        <v>4989</v>
      </c>
      <c r="C1344" s="284">
        <v>750000</v>
      </c>
      <c r="D1344" s="284">
        <v>0</v>
      </c>
      <c r="E1344" s="284">
        <f t="shared" si="20"/>
        <v>159350000</v>
      </c>
      <c r="F1344" s="8" t="s">
        <v>1643</v>
      </c>
      <c r="G1344" s="8" t="s">
        <v>5</v>
      </c>
      <c r="H1344" s="8" t="s">
        <v>1352</v>
      </c>
    </row>
    <row r="1345" spans="1:8" s="8" customFormat="1">
      <c r="A1345" s="13"/>
      <c r="B1345" s="8" t="s">
        <v>4990</v>
      </c>
      <c r="C1345" s="284">
        <v>750000</v>
      </c>
      <c r="D1345" s="284">
        <v>0</v>
      </c>
      <c r="E1345" s="284">
        <f t="shared" si="20"/>
        <v>158600000</v>
      </c>
      <c r="F1345" s="8" t="s">
        <v>1643</v>
      </c>
      <c r="G1345" s="8" t="s">
        <v>5</v>
      </c>
      <c r="H1345" s="8" t="s">
        <v>1352</v>
      </c>
    </row>
    <row r="1346" spans="1:8" s="8" customFormat="1">
      <c r="A1346" s="13"/>
      <c r="B1346" s="8" t="s">
        <v>4991</v>
      </c>
      <c r="C1346" s="284">
        <v>750000</v>
      </c>
      <c r="D1346" s="284">
        <v>0</v>
      </c>
      <c r="E1346" s="284">
        <f t="shared" si="20"/>
        <v>157850000</v>
      </c>
      <c r="F1346" s="8" t="s">
        <v>1643</v>
      </c>
      <c r="G1346" s="8" t="s">
        <v>5</v>
      </c>
      <c r="H1346" s="8" t="s">
        <v>1352</v>
      </c>
    </row>
    <row r="1347" spans="1:8" s="8" customFormat="1">
      <c r="A1347" s="13"/>
      <c r="B1347" s="8" t="s">
        <v>4992</v>
      </c>
      <c r="C1347" s="284">
        <v>750000</v>
      </c>
      <c r="D1347" s="284">
        <v>0</v>
      </c>
      <c r="E1347" s="284">
        <f t="shared" si="20"/>
        <v>157100000</v>
      </c>
      <c r="F1347" s="8" t="s">
        <v>1643</v>
      </c>
      <c r="G1347" s="8" t="s">
        <v>5</v>
      </c>
      <c r="H1347" s="8" t="s">
        <v>1352</v>
      </c>
    </row>
    <row r="1348" spans="1:8" s="8" customFormat="1">
      <c r="A1348" s="13"/>
      <c r="B1348" s="8" t="s">
        <v>4993</v>
      </c>
      <c r="C1348" s="284">
        <v>750000</v>
      </c>
      <c r="D1348" s="284">
        <v>0</v>
      </c>
      <c r="E1348" s="284">
        <f t="shared" si="20"/>
        <v>156350000</v>
      </c>
      <c r="F1348" s="8" t="s">
        <v>1643</v>
      </c>
      <c r="G1348" s="8" t="s">
        <v>5</v>
      </c>
      <c r="H1348" s="8" t="s">
        <v>1352</v>
      </c>
    </row>
    <row r="1349" spans="1:8" s="8" customFormat="1">
      <c r="A1349" s="13"/>
      <c r="B1349" s="8" t="s">
        <v>4994</v>
      </c>
      <c r="C1349" s="284">
        <v>750000</v>
      </c>
      <c r="D1349" s="284">
        <v>0</v>
      </c>
      <c r="E1349" s="284">
        <f t="shared" si="20"/>
        <v>155600000</v>
      </c>
      <c r="F1349" s="8" t="s">
        <v>1643</v>
      </c>
      <c r="G1349" s="8" t="s">
        <v>5</v>
      </c>
      <c r="H1349" s="8" t="s">
        <v>1352</v>
      </c>
    </row>
    <row r="1350" spans="1:8" s="8" customFormat="1">
      <c r="A1350" s="13"/>
      <c r="B1350" s="8" t="s">
        <v>4995</v>
      </c>
      <c r="C1350" s="284">
        <v>750000</v>
      </c>
      <c r="D1350" s="284">
        <v>0</v>
      </c>
      <c r="E1350" s="284">
        <f t="shared" ref="E1350:E1413" si="21">E1349-C1350+D1350</f>
        <v>154850000</v>
      </c>
      <c r="F1350" s="8" t="s">
        <v>1643</v>
      </c>
      <c r="G1350" s="8" t="s">
        <v>5</v>
      </c>
      <c r="H1350" s="8" t="s">
        <v>1352</v>
      </c>
    </row>
    <row r="1351" spans="1:8" s="8" customFormat="1">
      <c r="A1351" s="13"/>
      <c r="B1351" s="8" t="s">
        <v>4996</v>
      </c>
      <c r="C1351" s="284">
        <v>750000</v>
      </c>
      <c r="D1351" s="284">
        <v>0</v>
      </c>
      <c r="E1351" s="284">
        <f t="shared" si="21"/>
        <v>154100000</v>
      </c>
      <c r="F1351" s="8" t="s">
        <v>1643</v>
      </c>
      <c r="G1351" s="8" t="s">
        <v>5</v>
      </c>
      <c r="H1351" s="8" t="s">
        <v>1352</v>
      </c>
    </row>
    <row r="1352" spans="1:8" s="8" customFormat="1">
      <c r="A1352" s="13"/>
      <c r="B1352" s="8" t="s">
        <v>4997</v>
      </c>
      <c r="C1352" s="284">
        <v>1000000</v>
      </c>
      <c r="D1352" s="284">
        <v>0</v>
      </c>
      <c r="E1352" s="284">
        <f t="shared" si="21"/>
        <v>153100000</v>
      </c>
      <c r="F1352" s="8" t="s">
        <v>1643</v>
      </c>
      <c r="G1352" s="8" t="s">
        <v>5</v>
      </c>
      <c r="H1352" s="8" t="s">
        <v>1352</v>
      </c>
    </row>
    <row r="1353" spans="1:8" s="8" customFormat="1">
      <c r="A1353" s="13"/>
      <c r="B1353" s="8" t="s">
        <v>4998</v>
      </c>
      <c r="C1353" s="284">
        <v>1000000</v>
      </c>
      <c r="D1353" s="284">
        <v>0</v>
      </c>
      <c r="E1353" s="284">
        <f t="shared" si="21"/>
        <v>152100000</v>
      </c>
      <c r="F1353" s="8" t="s">
        <v>1643</v>
      </c>
      <c r="G1353" s="8" t="s">
        <v>5</v>
      </c>
      <c r="H1353" s="8" t="s">
        <v>1352</v>
      </c>
    </row>
    <row r="1354" spans="1:8" s="8" customFormat="1">
      <c r="A1354" s="13"/>
      <c r="B1354" s="8" t="s">
        <v>4999</v>
      </c>
      <c r="C1354" s="284">
        <v>1000000</v>
      </c>
      <c r="D1354" s="284">
        <v>0</v>
      </c>
      <c r="E1354" s="284">
        <f t="shared" si="21"/>
        <v>151100000</v>
      </c>
      <c r="F1354" s="8" t="s">
        <v>1643</v>
      </c>
      <c r="G1354" s="8" t="s">
        <v>5</v>
      </c>
      <c r="H1354" s="8" t="s">
        <v>1352</v>
      </c>
    </row>
    <row r="1355" spans="1:8" s="8" customFormat="1">
      <c r="A1355" s="13"/>
      <c r="B1355" s="8" t="s">
        <v>5000</v>
      </c>
      <c r="C1355" s="284">
        <v>1000000</v>
      </c>
      <c r="D1355" s="284">
        <v>0</v>
      </c>
      <c r="E1355" s="284">
        <f t="shared" si="21"/>
        <v>150100000</v>
      </c>
      <c r="F1355" s="8" t="s">
        <v>1643</v>
      </c>
      <c r="G1355" s="8" t="s">
        <v>5</v>
      </c>
      <c r="H1355" s="8" t="s">
        <v>1352</v>
      </c>
    </row>
    <row r="1356" spans="1:8" s="8" customFormat="1">
      <c r="A1356" s="13"/>
      <c r="B1356" s="8" t="s">
        <v>5001</v>
      </c>
      <c r="C1356" s="284">
        <v>1000000</v>
      </c>
      <c r="D1356" s="284">
        <v>0</v>
      </c>
      <c r="E1356" s="284">
        <f t="shared" si="21"/>
        <v>149100000</v>
      </c>
      <c r="F1356" s="8" t="s">
        <v>1643</v>
      </c>
      <c r="G1356" s="8" t="s">
        <v>5</v>
      </c>
      <c r="H1356" s="8" t="s">
        <v>1352</v>
      </c>
    </row>
    <row r="1357" spans="1:8" s="8" customFormat="1">
      <c r="A1357" s="13"/>
      <c r="B1357" s="8" t="s">
        <v>5002</v>
      </c>
      <c r="C1357" s="284">
        <v>1000000</v>
      </c>
      <c r="D1357" s="284">
        <v>0</v>
      </c>
      <c r="E1357" s="284">
        <f t="shared" si="21"/>
        <v>148100000</v>
      </c>
      <c r="F1357" s="8" t="s">
        <v>1643</v>
      </c>
      <c r="G1357" s="8" t="s">
        <v>5</v>
      </c>
      <c r="H1357" s="8" t="s">
        <v>1352</v>
      </c>
    </row>
    <row r="1358" spans="1:8" s="8" customFormat="1">
      <c r="A1358" s="13"/>
      <c r="B1358" s="8" t="s">
        <v>5003</v>
      </c>
      <c r="C1358" s="284">
        <v>1000000</v>
      </c>
      <c r="D1358" s="284">
        <v>0</v>
      </c>
      <c r="E1358" s="284">
        <f t="shared" si="21"/>
        <v>147100000</v>
      </c>
      <c r="F1358" s="8" t="s">
        <v>1643</v>
      </c>
      <c r="G1358" s="8" t="s">
        <v>5</v>
      </c>
      <c r="H1358" s="8" t="s">
        <v>1352</v>
      </c>
    </row>
    <row r="1359" spans="1:8" s="8" customFormat="1">
      <c r="A1359" s="13"/>
      <c r="B1359" s="8" t="s">
        <v>5004</v>
      </c>
      <c r="C1359" s="284">
        <v>1000000</v>
      </c>
      <c r="D1359" s="284">
        <v>0</v>
      </c>
      <c r="E1359" s="284">
        <f t="shared" si="21"/>
        <v>146100000</v>
      </c>
      <c r="F1359" s="8" t="s">
        <v>1643</v>
      </c>
      <c r="G1359" s="8" t="s">
        <v>5</v>
      </c>
      <c r="H1359" s="8" t="s">
        <v>1352</v>
      </c>
    </row>
    <row r="1360" spans="1:8" s="8" customFormat="1">
      <c r="A1360" s="13"/>
      <c r="B1360" s="8" t="s">
        <v>5005</v>
      </c>
      <c r="C1360" s="284">
        <v>1000000</v>
      </c>
      <c r="D1360" s="284">
        <v>0</v>
      </c>
      <c r="E1360" s="284">
        <f t="shared" si="21"/>
        <v>145100000</v>
      </c>
      <c r="F1360" s="8" t="s">
        <v>1643</v>
      </c>
      <c r="G1360" s="8" t="s">
        <v>5</v>
      </c>
      <c r="H1360" s="8" t="s">
        <v>1352</v>
      </c>
    </row>
    <row r="1361" spans="1:8" s="8" customFormat="1">
      <c r="A1361" s="13"/>
      <c r="B1361" s="8" t="s">
        <v>5006</v>
      </c>
      <c r="C1361" s="284">
        <v>1000000</v>
      </c>
      <c r="D1361" s="284">
        <v>0</v>
      </c>
      <c r="E1361" s="284">
        <f t="shared" si="21"/>
        <v>144100000</v>
      </c>
      <c r="F1361" s="8" t="s">
        <v>1643</v>
      </c>
      <c r="G1361" s="8" t="s">
        <v>5</v>
      </c>
      <c r="H1361" s="8" t="s">
        <v>1352</v>
      </c>
    </row>
    <row r="1362" spans="1:8" s="8" customFormat="1">
      <c r="A1362" s="13"/>
      <c r="B1362" s="8" t="s">
        <v>5007</v>
      </c>
      <c r="C1362" s="284">
        <v>750000</v>
      </c>
      <c r="D1362" s="284">
        <v>0</v>
      </c>
      <c r="E1362" s="284">
        <f t="shared" si="21"/>
        <v>143350000</v>
      </c>
      <c r="F1362" s="8" t="s">
        <v>1643</v>
      </c>
      <c r="G1362" s="8" t="s">
        <v>5</v>
      </c>
      <c r="H1362" s="8" t="s">
        <v>1352</v>
      </c>
    </row>
    <row r="1363" spans="1:8" s="8" customFormat="1">
      <c r="A1363" s="13"/>
      <c r="B1363" s="8" t="s">
        <v>5008</v>
      </c>
      <c r="C1363" s="284">
        <v>750000</v>
      </c>
      <c r="D1363" s="284">
        <v>0</v>
      </c>
      <c r="E1363" s="284">
        <f t="shared" si="21"/>
        <v>142600000</v>
      </c>
      <c r="F1363" s="8" t="s">
        <v>1643</v>
      </c>
      <c r="G1363" s="8" t="s">
        <v>5</v>
      </c>
      <c r="H1363" s="8" t="s">
        <v>1352</v>
      </c>
    </row>
    <row r="1364" spans="1:8" s="8" customFormat="1">
      <c r="A1364" s="13"/>
      <c r="B1364" s="8" t="s">
        <v>5009</v>
      </c>
      <c r="C1364" s="284">
        <v>750000</v>
      </c>
      <c r="D1364" s="284">
        <v>0</v>
      </c>
      <c r="E1364" s="284">
        <f t="shared" si="21"/>
        <v>141850000</v>
      </c>
      <c r="F1364" s="8" t="s">
        <v>1643</v>
      </c>
      <c r="G1364" s="8" t="s">
        <v>5</v>
      </c>
      <c r="H1364" s="8" t="s">
        <v>1352</v>
      </c>
    </row>
    <row r="1365" spans="1:8" s="8" customFormat="1">
      <c r="A1365" s="13"/>
      <c r="B1365" s="8" t="s">
        <v>5010</v>
      </c>
      <c r="C1365" s="284">
        <v>750000</v>
      </c>
      <c r="D1365" s="284">
        <v>0</v>
      </c>
      <c r="E1365" s="284">
        <f t="shared" si="21"/>
        <v>141100000</v>
      </c>
      <c r="F1365" s="8" t="s">
        <v>1643</v>
      </c>
      <c r="G1365" s="8" t="s">
        <v>5</v>
      </c>
      <c r="H1365" s="8" t="s">
        <v>1352</v>
      </c>
    </row>
    <row r="1366" spans="1:8" s="8" customFormat="1">
      <c r="A1366" s="13"/>
      <c r="B1366" s="8" t="s">
        <v>5011</v>
      </c>
      <c r="C1366" s="284">
        <v>750000</v>
      </c>
      <c r="D1366" s="284">
        <v>0</v>
      </c>
      <c r="E1366" s="284">
        <f t="shared" si="21"/>
        <v>140350000</v>
      </c>
      <c r="F1366" s="8" t="s">
        <v>1643</v>
      </c>
      <c r="G1366" s="8" t="s">
        <v>5</v>
      </c>
      <c r="H1366" s="8" t="s">
        <v>1352</v>
      </c>
    </row>
    <row r="1367" spans="1:8" s="8" customFormat="1">
      <c r="A1367" s="13"/>
      <c r="B1367" s="8" t="s">
        <v>5012</v>
      </c>
      <c r="C1367" s="284">
        <v>1000000</v>
      </c>
      <c r="D1367" s="284">
        <v>0</v>
      </c>
      <c r="E1367" s="284">
        <f t="shared" si="21"/>
        <v>139350000</v>
      </c>
      <c r="F1367" s="8" t="s">
        <v>1643</v>
      </c>
      <c r="G1367" s="8" t="s">
        <v>5</v>
      </c>
      <c r="H1367" s="8" t="s">
        <v>1352</v>
      </c>
    </row>
    <row r="1368" spans="1:8" s="8" customFormat="1">
      <c r="A1368" s="13"/>
      <c r="B1368" s="8" t="s">
        <v>5013</v>
      </c>
      <c r="C1368" s="284">
        <v>1000000</v>
      </c>
      <c r="D1368" s="284">
        <v>0</v>
      </c>
      <c r="E1368" s="284">
        <f t="shared" si="21"/>
        <v>138350000</v>
      </c>
      <c r="F1368" s="8" t="s">
        <v>1643</v>
      </c>
      <c r="G1368" s="8" t="s">
        <v>5</v>
      </c>
      <c r="H1368" s="8" t="s">
        <v>1352</v>
      </c>
    </row>
    <row r="1369" spans="1:8" s="8" customFormat="1">
      <c r="A1369" s="13"/>
      <c r="B1369" s="8" t="s">
        <v>5014</v>
      </c>
      <c r="C1369" s="284">
        <v>1000000</v>
      </c>
      <c r="D1369" s="284">
        <v>0</v>
      </c>
      <c r="E1369" s="284">
        <f t="shared" si="21"/>
        <v>137350000</v>
      </c>
      <c r="F1369" s="8" t="s">
        <v>1643</v>
      </c>
      <c r="G1369" s="8" t="s">
        <v>5</v>
      </c>
      <c r="H1369" s="8" t="s">
        <v>1352</v>
      </c>
    </row>
    <row r="1370" spans="1:8" s="8" customFormat="1">
      <c r="A1370" s="13"/>
      <c r="B1370" s="8" t="s">
        <v>5015</v>
      </c>
      <c r="C1370" s="284">
        <v>1000000</v>
      </c>
      <c r="D1370" s="284">
        <v>0</v>
      </c>
      <c r="E1370" s="284">
        <f t="shared" si="21"/>
        <v>136350000</v>
      </c>
      <c r="F1370" s="8" t="s">
        <v>1643</v>
      </c>
      <c r="G1370" s="8" t="s">
        <v>5</v>
      </c>
      <c r="H1370" s="8" t="s">
        <v>1352</v>
      </c>
    </row>
    <row r="1371" spans="1:8" s="8" customFormat="1">
      <c r="A1371" s="13"/>
      <c r="B1371" s="8" t="s">
        <v>5016</v>
      </c>
      <c r="C1371" s="284">
        <v>1000000</v>
      </c>
      <c r="D1371" s="284">
        <v>0</v>
      </c>
      <c r="E1371" s="284">
        <f t="shared" si="21"/>
        <v>135350000</v>
      </c>
      <c r="F1371" s="8" t="s">
        <v>1643</v>
      </c>
      <c r="G1371" s="8" t="s">
        <v>5</v>
      </c>
      <c r="H1371" s="8" t="s">
        <v>1352</v>
      </c>
    </row>
    <row r="1372" spans="1:8" s="8" customFormat="1">
      <c r="A1372" s="13"/>
      <c r="B1372" s="8" t="s">
        <v>5017</v>
      </c>
      <c r="C1372" s="284">
        <v>750000</v>
      </c>
      <c r="D1372" s="284">
        <v>0</v>
      </c>
      <c r="E1372" s="284">
        <f t="shared" si="21"/>
        <v>134600000</v>
      </c>
      <c r="F1372" s="8" t="s">
        <v>1643</v>
      </c>
      <c r="G1372" s="8" t="s">
        <v>5</v>
      </c>
      <c r="H1372" s="8" t="s">
        <v>1352</v>
      </c>
    </row>
    <row r="1373" spans="1:8" s="8" customFormat="1">
      <c r="A1373" s="13"/>
      <c r="B1373" s="8" t="s">
        <v>5018</v>
      </c>
      <c r="C1373" s="284">
        <v>750000</v>
      </c>
      <c r="D1373" s="284">
        <v>0</v>
      </c>
      <c r="E1373" s="284">
        <f t="shared" si="21"/>
        <v>133850000</v>
      </c>
      <c r="F1373" s="8" t="s">
        <v>1643</v>
      </c>
      <c r="G1373" s="8" t="s">
        <v>5</v>
      </c>
      <c r="H1373" s="8" t="s">
        <v>1352</v>
      </c>
    </row>
    <row r="1374" spans="1:8" s="8" customFormat="1">
      <c r="A1374" s="13"/>
      <c r="B1374" s="8" t="s">
        <v>5019</v>
      </c>
      <c r="C1374" s="284">
        <v>750000</v>
      </c>
      <c r="D1374" s="284">
        <v>0</v>
      </c>
      <c r="E1374" s="284">
        <f t="shared" si="21"/>
        <v>133100000</v>
      </c>
      <c r="F1374" s="8" t="s">
        <v>1643</v>
      </c>
      <c r="G1374" s="8" t="s">
        <v>5</v>
      </c>
      <c r="H1374" s="8" t="s">
        <v>1352</v>
      </c>
    </row>
    <row r="1375" spans="1:8" s="8" customFormat="1">
      <c r="A1375" s="13"/>
      <c r="B1375" s="8" t="s">
        <v>5020</v>
      </c>
      <c r="C1375" s="284">
        <v>750000</v>
      </c>
      <c r="D1375" s="284">
        <v>0</v>
      </c>
      <c r="E1375" s="284">
        <f t="shared" si="21"/>
        <v>132350000</v>
      </c>
      <c r="F1375" s="8" t="s">
        <v>1643</v>
      </c>
      <c r="G1375" s="8" t="s">
        <v>5</v>
      </c>
      <c r="H1375" s="8" t="s">
        <v>1352</v>
      </c>
    </row>
    <row r="1376" spans="1:8" s="8" customFormat="1">
      <c r="A1376" s="13"/>
      <c r="B1376" s="8" t="s">
        <v>5021</v>
      </c>
      <c r="C1376" s="284">
        <v>750000</v>
      </c>
      <c r="D1376" s="284">
        <v>0</v>
      </c>
      <c r="E1376" s="284">
        <f t="shared" si="21"/>
        <v>131600000</v>
      </c>
      <c r="F1376" s="8" t="s">
        <v>1643</v>
      </c>
      <c r="G1376" s="8" t="s">
        <v>5</v>
      </c>
      <c r="H1376" s="8" t="s">
        <v>1352</v>
      </c>
    </row>
    <row r="1377" spans="1:8" s="8" customFormat="1">
      <c r="A1377" s="13"/>
      <c r="B1377" s="8" t="s">
        <v>5022</v>
      </c>
      <c r="C1377" s="284">
        <v>1000000</v>
      </c>
      <c r="D1377" s="284">
        <v>0</v>
      </c>
      <c r="E1377" s="284">
        <f t="shared" si="21"/>
        <v>130600000</v>
      </c>
      <c r="F1377" s="8" t="s">
        <v>1643</v>
      </c>
      <c r="G1377" s="8" t="s">
        <v>5</v>
      </c>
      <c r="H1377" s="8" t="s">
        <v>1352</v>
      </c>
    </row>
    <row r="1378" spans="1:8" s="8" customFormat="1">
      <c r="A1378" s="13"/>
      <c r="B1378" s="8" t="s">
        <v>5023</v>
      </c>
      <c r="C1378" s="284">
        <v>1000000</v>
      </c>
      <c r="D1378" s="284">
        <v>0</v>
      </c>
      <c r="E1378" s="284">
        <f t="shared" si="21"/>
        <v>129600000</v>
      </c>
      <c r="F1378" s="8" t="s">
        <v>1643</v>
      </c>
      <c r="G1378" s="8" t="s">
        <v>5</v>
      </c>
      <c r="H1378" s="8" t="s">
        <v>1352</v>
      </c>
    </row>
    <row r="1379" spans="1:8" s="8" customFormat="1">
      <c r="A1379" s="13"/>
      <c r="B1379" s="8" t="s">
        <v>5024</v>
      </c>
      <c r="C1379" s="284">
        <v>1000000</v>
      </c>
      <c r="D1379" s="284">
        <v>0</v>
      </c>
      <c r="E1379" s="284">
        <f t="shared" si="21"/>
        <v>128600000</v>
      </c>
      <c r="F1379" s="8" t="s">
        <v>1643</v>
      </c>
      <c r="G1379" s="8" t="s">
        <v>5</v>
      </c>
      <c r="H1379" s="8" t="s">
        <v>1352</v>
      </c>
    </row>
    <row r="1380" spans="1:8" s="8" customFormat="1">
      <c r="A1380" s="13"/>
      <c r="B1380" s="8" t="s">
        <v>5025</v>
      </c>
      <c r="C1380" s="284">
        <v>1000000</v>
      </c>
      <c r="D1380" s="284">
        <v>0</v>
      </c>
      <c r="E1380" s="284">
        <f t="shared" si="21"/>
        <v>127600000</v>
      </c>
      <c r="F1380" s="8" t="s">
        <v>1643</v>
      </c>
      <c r="G1380" s="8" t="s">
        <v>5</v>
      </c>
      <c r="H1380" s="8" t="s">
        <v>1352</v>
      </c>
    </row>
    <row r="1381" spans="1:8" s="8" customFormat="1">
      <c r="A1381" s="13"/>
      <c r="B1381" s="8" t="s">
        <v>5026</v>
      </c>
      <c r="C1381" s="284">
        <v>1000000</v>
      </c>
      <c r="D1381" s="284">
        <v>0</v>
      </c>
      <c r="E1381" s="284">
        <f t="shared" si="21"/>
        <v>126600000</v>
      </c>
      <c r="F1381" s="8" t="s">
        <v>1643</v>
      </c>
      <c r="G1381" s="8" t="s">
        <v>5</v>
      </c>
      <c r="H1381" s="8" t="s">
        <v>1352</v>
      </c>
    </row>
    <row r="1382" spans="1:8" s="8" customFormat="1">
      <c r="A1382" s="13"/>
      <c r="B1382" s="8" t="s">
        <v>5027</v>
      </c>
      <c r="C1382" s="284">
        <v>1000000</v>
      </c>
      <c r="D1382" s="284">
        <v>0</v>
      </c>
      <c r="E1382" s="284">
        <f t="shared" si="21"/>
        <v>125600000</v>
      </c>
      <c r="F1382" s="8" t="s">
        <v>1643</v>
      </c>
      <c r="G1382" s="8" t="s">
        <v>5</v>
      </c>
      <c r="H1382" s="8" t="s">
        <v>1352</v>
      </c>
    </row>
    <row r="1383" spans="1:8" s="8" customFormat="1">
      <c r="A1383" s="13"/>
      <c r="B1383" s="8" t="s">
        <v>5028</v>
      </c>
      <c r="C1383" s="284">
        <v>1000000</v>
      </c>
      <c r="D1383" s="284">
        <v>0</v>
      </c>
      <c r="E1383" s="284">
        <f t="shared" si="21"/>
        <v>124600000</v>
      </c>
      <c r="F1383" s="8" t="s">
        <v>1643</v>
      </c>
      <c r="G1383" s="8" t="s">
        <v>5</v>
      </c>
      <c r="H1383" s="8" t="s">
        <v>1352</v>
      </c>
    </row>
    <row r="1384" spans="1:8" s="8" customFormat="1">
      <c r="A1384" s="13"/>
      <c r="B1384" s="8" t="s">
        <v>5029</v>
      </c>
      <c r="C1384" s="284">
        <v>1000000</v>
      </c>
      <c r="D1384" s="284">
        <v>0</v>
      </c>
      <c r="E1384" s="284">
        <f t="shared" si="21"/>
        <v>123600000</v>
      </c>
      <c r="F1384" s="8" t="s">
        <v>1643</v>
      </c>
      <c r="G1384" s="8" t="s">
        <v>5</v>
      </c>
      <c r="H1384" s="8" t="s">
        <v>1352</v>
      </c>
    </row>
    <row r="1385" spans="1:8" s="8" customFormat="1">
      <c r="A1385" s="13"/>
      <c r="B1385" s="8" t="s">
        <v>5030</v>
      </c>
      <c r="C1385" s="284">
        <v>750000</v>
      </c>
      <c r="D1385" s="284">
        <v>0</v>
      </c>
      <c r="E1385" s="284">
        <f t="shared" si="21"/>
        <v>122850000</v>
      </c>
      <c r="F1385" s="8" t="s">
        <v>1643</v>
      </c>
      <c r="G1385" s="8" t="s">
        <v>5</v>
      </c>
      <c r="H1385" s="8" t="s">
        <v>1352</v>
      </c>
    </row>
    <row r="1386" spans="1:8" s="8" customFormat="1">
      <c r="A1386" s="13"/>
      <c r="B1386" s="8" t="s">
        <v>5031</v>
      </c>
      <c r="C1386" s="284">
        <v>750000</v>
      </c>
      <c r="D1386" s="284">
        <v>0</v>
      </c>
      <c r="E1386" s="284">
        <f t="shared" si="21"/>
        <v>122100000</v>
      </c>
      <c r="F1386" s="8" t="s">
        <v>1643</v>
      </c>
      <c r="G1386" s="8" t="s">
        <v>5</v>
      </c>
      <c r="H1386" s="8" t="s">
        <v>1352</v>
      </c>
    </row>
    <row r="1387" spans="1:8" s="8" customFormat="1">
      <c r="A1387" s="13"/>
      <c r="B1387" s="8" t="s">
        <v>5032</v>
      </c>
      <c r="C1387" s="284">
        <v>750000</v>
      </c>
      <c r="D1387" s="284">
        <v>0</v>
      </c>
      <c r="E1387" s="284">
        <f t="shared" si="21"/>
        <v>121350000</v>
      </c>
      <c r="F1387" s="8" t="s">
        <v>1643</v>
      </c>
      <c r="G1387" s="8" t="s">
        <v>5</v>
      </c>
      <c r="H1387" s="8" t="s">
        <v>1352</v>
      </c>
    </row>
    <row r="1388" spans="1:8" s="8" customFormat="1">
      <c r="A1388" s="13"/>
      <c r="B1388" s="8" t="s">
        <v>5033</v>
      </c>
      <c r="C1388" s="284">
        <v>750000</v>
      </c>
      <c r="D1388" s="284">
        <v>0</v>
      </c>
      <c r="E1388" s="284">
        <f t="shared" si="21"/>
        <v>120600000</v>
      </c>
      <c r="F1388" s="8" t="s">
        <v>1643</v>
      </c>
      <c r="G1388" s="8" t="s">
        <v>5</v>
      </c>
      <c r="H1388" s="8" t="s">
        <v>1352</v>
      </c>
    </row>
    <row r="1389" spans="1:8" s="8" customFormat="1">
      <c r="A1389" s="13"/>
      <c r="B1389" s="8" t="s">
        <v>5034</v>
      </c>
      <c r="C1389" s="284">
        <v>1000000</v>
      </c>
      <c r="D1389" s="284">
        <v>0</v>
      </c>
      <c r="E1389" s="284">
        <f t="shared" si="21"/>
        <v>119600000</v>
      </c>
      <c r="F1389" s="8" t="s">
        <v>1643</v>
      </c>
      <c r="G1389" s="8" t="s">
        <v>5</v>
      </c>
      <c r="H1389" s="8" t="s">
        <v>1352</v>
      </c>
    </row>
    <row r="1390" spans="1:8" s="8" customFormat="1">
      <c r="A1390" s="13"/>
      <c r="B1390" s="8" t="s">
        <v>5035</v>
      </c>
      <c r="C1390" s="284">
        <v>1000000</v>
      </c>
      <c r="D1390" s="284">
        <v>0</v>
      </c>
      <c r="E1390" s="284">
        <f t="shared" si="21"/>
        <v>118600000</v>
      </c>
      <c r="F1390" s="8" t="s">
        <v>1643</v>
      </c>
      <c r="G1390" s="8" t="s">
        <v>5</v>
      </c>
      <c r="H1390" s="8" t="s">
        <v>1352</v>
      </c>
    </row>
    <row r="1391" spans="1:8" s="8" customFormat="1">
      <c r="A1391" s="13"/>
      <c r="B1391" s="8" t="s">
        <v>5036</v>
      </c>
      <c r="C1391" s="284">
        <v>1000000</v>
      </c>
      <c r="D1391" s="284">
        <v>0</v>
      </c>
      <c r="E1391" s="284">
        <f t="shared" si="21"/>
        <v>117600000</v>
      </c>
      <c r="F1391" s="8" t="s">
        <v>1643</v>
      </c>
      <c r="G1391" s="8" t="s">
        <v>5</v>
      </c>
      <c r="H1391" s="8" t="s">
        <v>1352</v>
      </c>
    </row>
    <row r="1392" spans="1:8" s="8" customFormat="1">
      <c r="A1392" s="13"/>
      <c r="B1392" s="8" t="s">
        <v>5037</v>
      </c>
      <c r="C1392" s="284">
        <v>1000000</v>
      </c>
      <c r="D1392" s="284">
        <v>0</v>
      </c>
      <c r="E1392" s="284">
        <f t="shared" si="21"/>
        <v>116600000</v>
      </c>
      <c r="F1392" s="8" t="s">
        <v>1643</v>
      </c>
      <c r="G1392" s="8" t="s">
        <v>5</v>
      </c>
      <c r="H1392" s="8" t="s">
        <v>1352</v>
      </c>
    </row>
    <row r="1393" spans="1:8" s="8" customFormat="1">
      <c r="A1393" s="13"/>
      <c r="B1393" s="8" t="s">
        <v>5038</v>
      </c>
      <c r="C1393" s="284">
        <v>1000000</v>
      </c>
      <c r="D1393" s="284">
        <v>0</v>
      </c>
      <c r="E1393" s="284">
        <f t="shared" si="21"/>
        <v>115600000</v>
      </c>
      <c r="F1393" s="8" t="s">
        <v>1643</v>
      </c>
      <c r="G1393" s="8" t="s">
        <v>5</v>
      </c>
      <c r="H1393" s="8" t="s">
        <v>1352</v>
      </c>
    </row>
    <row r="1394" spans="1:8" s="8" customFormat="1">
      <c r="A1394" s="13"/>
      <c r="B1394" s="8" t="s">
        <v>5039</v>
      </c>
      <c r="C1394" s="284">
        <v>1000000</v>
      </c>
      <c r="D1394" s="284">
        <v>0</v>
      </c>
      <c r="E1394" s="284">
        <f t="shared" si="21"/>
        <v>114600000</v>
      </c>
      <c r="F1394" s="8" t="s">
        <v>1643</v>
      </c>
      <c r="G1394" s="8" t="s">
        <v>5</v>
      </c>
      <c r="H1394" s="8" t="s">
        <v>1352</v>
      </c>
    </row>
    <row r="1395" spans="1:8" s="8" customFormat="1">
      <c r="A1395" s="13"/>
      <c r="B1395" s="8" t="s">
        <v>5040</v>
      </c>
      <c r="C1395" s="284">
        <v>1000000</v>
      </c>
      <c r="D1395" s="284">
        <v>0</v>
      </c>
      <c r="E1395" s="284">
        <f t="shared" si="21"/>
        <v>113600000</v>
      </c>
      <c r="F1395" s="8" t="s">
        <v>1643</v>
      </c>
      <c r="G1395" s="8" t="s">
        <v>5</v>
      </c>
      <c r="H1395" s="8" t="s">
        <v>1352</v>
      </c>
    </row>
    <row r="1396" spans="1:8" s="8" customFormat="1">
      <c r="A1396" s="13"/>
      <c r="B1396" s="8" t="s">
        <v>5041</v>
      </c>
      <c r="C1396" s="284">
        <v>1000000</v>
      </c>
      <c r="D1396" s="284">
        <v>0</v>
      </c>
      <c r="E1396" s="284">
        <f t="shared" si="21"/>
        <v>112600000</v>
      </c>
      <c r="F1396" s="8" t="s">
        <v>1643</v>
      </c>
      <c r="G1396" s="8" t="s">
        <v>5</v>
      </c>
      <c r="H1396" s="8" t="s">
        <v>1352</v>
      </c>
    </row>
    <row r="1397" spans="1:8" s="8" customFormat="1">
      <c r="A1397" s="13"/>
      <c r="B1397" s="8" t="s">
        <v>5042</v>
      </c>
      <c r="C1397" s="284">
        <v>750000</v>
      </c>
      <c r="D1397" s="284">
        <v>0</v>
      </c>
      <c r="E1397" s="284">
        <f t="shared" si="21"/>
        <v>111850000</v>
      </c>
      <c r="F1397" s="8" t="s">
        <v>1643</v>
      </c>
      <c r="G1397" s="8" t="s">
        <v>5</v>
      </c>
      <c r="H1397" s="8" t="s">
        <v>1352</v>
      </c>
    </row>
    <row r="1398" spans="1:8" s="8" customFormat="1">
      <c r="A1398" s="13"/>
      <c r="B1398" s="8" t="s">
        <v>5043</v>
      </c>
      <c r="C1398" s="284">
        <v>750000</v>
      </c>
      <c r="D1398" s="284">
        <v>0</v>
      </c>
      <c r="E1398" s="284">
        <f t="shared" si="21"/>
        <v>111100000</v>
      </c>
      <c r="F1398" s="8" t="s">
        <v>1643</v>
      </c>
      <c r="G1398" s="8" t="s">
        <v>5</v>
      </c>
      <c r="H1398" s="8" t="s">
        <v>1352</v>
      </c>
    </row>
    <row r="1399" spans="1:8" s="8" customFormat="1">
      <c r="A1399" s="13"/>
      <c r="B1399" s="8" t="s">
        <v>5044</v>
      </c>
      <c r="C1399" s="284">
        <v>750000</v>
      </c>
      <c r="D1399" s="284">
        <v>0</v>
      </c>
      <c r="E1399" s="284">
        <f t="shared" si="21"/>
        <v>110350000</v>
      </c>
      <c r="F1399" s="8" t="s">
        <v>1643</v>
      </c>
      <c r="G1399" s="8" t="s">
        <v>5</v>
      </c>
      <c r="H1399" s="8" t="s">
        <v>1352</v>
      </c>
    </row>
    <row r="1400" spans="1:8" s="8" customFormat="1">
      <c r="A1400" s="13"/>
      <c r="B1400" s="8" t="s">
        <v>5045</v>
      </c>
      <c r="C1400" s="284">
        <v>750000</v>
      </c>
      <c r="D1400" s="284">
        <v>0</v>
      </c>
      <c r="E1400" s="284">
        <f t="shared" si="21"/>
        <v>109600000</v>
      </c>
      <c r="F1400" s="8" t="s">
        <v>1643</v>
      </c>
      <c r="G1400" s="8" t="s">
        <v>5</v>
      </c>
      <c r="H1400" s="8" t="s">
        <v>1352</v>
      </c>
    </row>
    <row r="1401" spans="1:8" s="8" customFormat="1">
      <c r="A1401" s="13"/>
      <c r="B1401" s="8" t="s">
        <v>5046</v>
      </c>
      <c r="C1401" s="284">
        <v>750000</v>
      </c>
      <c r="D1401" s="284">
        <v>0</v>
      </c>
      <c r="E1401" s="284">
        <f t="shared" si="21"/>
        <v>108850000</v>
      </c>
      <c r="F1401" s="8" t="s">
        <v>1643</v>
      </c>
      <c r="G1401" s="8" t="s">
        <v>5</v>
      </c>
      <c r="H1401" s="8" t="s">
        <v>1352</v>
      </c>
    </row>
    <row r="1402" spans="1:8" s="8" customFormat="1">
      <c r="A1402" s="13"/>
      <c r="B1402" s="8" t="s">
        <v>5047</v>
      </c>
      <c r="C1402" s="284">
        <v>750000</v>
      </c>
      <c r="D1402" s="284">
        <v>0</v>
      </c>
      <c r="E1402" s="284">
        <f t="shared" si="21"/>
        <v>108100000</v>
      </c>
      <c r="F1402" s="8" t="s">
        <v>1643</v>
      </c>
      <c r="G1402" s="8" t="s">
        <v>5</v>
      </c>
      <c r="H1402" s="8" t="s">
        <v>1352</v>
      </c>
    </row>
    <row r="1403" spans="1:8" s="8" customFormat="1">
      <c r="A1403" s="13"/>
      <c r="B1403" s="8" t="s">
        <v>5048</v>
      </c>
      <c r="C1403" s="284">
        <v>1000000</v>
      </c>
      <c r="D1403" s="284">
        <v>0</v>
      </c>
      <c r="E1403" s="284">
        <f t="shared" si="21"/>
        <v>107100000</v>
      </c>
      <c r="F1403" s="8" t="s">
        <v>1643</v>
      </c>
      <c r="G1403" s="8" t="s">
        <v>5</v>
      </c>
      <c r="H1403" s="8" t="s">
        <v>1352</v>
      </c>
    </row>
    <row r="1404" spans="1:8" s="8" customFormat="1">
      <c r="A1404" s="13"/>
      <c r="B1404" s="8" t="s">
        <v>5049</v>
      </c>
      <c r="C1404" s="284">
        <v>1000000</v>
      </c>
      <c r="D1404" s="284">
        <v>0</v>
      </c>
      <c r="E1404" s="284">
        <f t="shared" si="21"/>
        <v>106100000</v>
      </c>
      <c r="F1404" s="8" t="s">
        <v>1643</v>
      </c>
      <c r="G1404" s="8" t="s">
        <v>5</v>
      </c>
      <c r="H1404" s="8" t="s">
        <v>1352</v>
      </c>
    </row>
    <row r="1405" spans="1:8" s="8" customFormat="1">
      <c r="A1405" s="13"/>
      <c r="B1405" s="8" t="s">
        <v>5050</v>
      </c>
      <c r="C1405" s="284">
        <v>1000000</v>
      </c>
      <c r="D1405" s="284">
        <v>0</v>
      </c>
      <c r="E1405" s="284">
        <f t="shared" si="21"/>
        <v>105100000</v>
      </c>
      <c r="F1405" s="8" t="s">
        <v>1643</v>
      </c>
      <c r="G1405" s="8" t="s">
        <v>5</v>
      </c>
      <c r="H1405" s="8" t="s">
        <v>1352</v>
      </c>
    </row>
    <row r="1406" spans="1:8" s="8" customFormat="1">
      <c r="A1406" s="13"/>
      <c r="B1406" s="8" t="s">
        <v>5051</v>
      </c>
      <c r="C1406" s="284">
        <v>1000000</v>
      </c>
      <c r="D1406" s="284">
        <v>0</v>
      </c>
      <c r="E1406" s="284">
        <f t="shared" si="21"/>
        <v>104100000</v>
      </c>
      <c r="F1406" s="8" t="s">
        <v>1643</v>
      </c>
      <c r="G1406" s="8" t="s">
        <v>5</v>
      </c>
      <c r="H1406" s="8" t="s">
        <v>1352</v>
      </c>
    </row>
    <row r="1407" spans="1:8" s="8" customFormat="1">
      <c r="A1407" s="13"/>
      <c r="B1407" s="8" t="s">
        <v>5052</v>
      </c>
      <c r="C1407" s="284">
        <v>1000000</v>
      </c>
      <c r="D1407" s="284">
        <v>0</v>
      </c>
      <c r="E1407" s="284">
        <f t="shared" si="21"/>
        <v>103100000</v>
      </c>
      <c r="F1407" s="8" t="s">
        <v>1643</v>
      </c>
      <c r="G1407" s="8" t="s">
        <v>5</v>
      </c>
      <c r="H1407" s="8" t="s">
        <v>1352</v>
      </c>
    </row>
    <row r="1408" spans="1:8" s="8" customFormat="1">
      <c r="A1408" s="13"/>
      <c r="B1408" s="8" t="s">
        <v>5053</v>
      </c>
      <c r="C1408" s="284">
        <v>1000000</v>
      </c>
      <c r="D1408" s="284">
        <v>0</v>
      </c>
      <c r="E1408" s="284">
        <f t="shared" si="21"/>
        <v>102100000</v>
      </c>
      <c r="F1408" s="8" t="s">
        <v>1643</v>
      </c>
      <c r="G1408" s="8" t="s">
        <v>5</v>
      </c>
      <c r="H1408" s="8" t="s">
        <v>1352</v>
      </c>
    </row>
    <row r="1409" spans="1:8" s="8" customFormat="1">
      <c r="A1409" s="13"/>
      <c r="B1409" s="8" t="s">
        <v>5054</v>
      </c>
      <c r="C1409" s="284">
        <v>1000000</v>
      </c>
      <c r="D1409" s="284">
        <v>0</v>
      </c>
      <c r="E1409" s="284">
        <f t="shared" si="21"/>
        <v>101100000</v>
      </c>
      <c r="F1409" s="8" t="s">
        <v>1643</v>
      </c>
      <c r="G1409" s="8" t="s">
        <v>5</v>
      </c>
      <c r="H1409" s="8" t="s">
        <v>1352</v>
      </c>
    </row>
    <row r="1410" spans="1:8" s="8" customFormat="1">
      <c r="A1410" s="13"/>
      <c r="B1410" s="8" t="s">
        <v>5055</v>
      </c>
      <c r="C1410" s="284">
        <v>1000000</v>
      </c>
      <c r="D1410" s="284">
        <v>0</v>
      </c>
      <c r="E1410" s="284">
        <f t="shared" si="21"/>
        <v>100100000</v>
      </c>
      <c r="F1410" s="8" t="s">
        <v>1643</v>
      </c>
      <c r="G1410" s="8" t="s">
        <v>5</v>
      </c>
      <c r="H1410" s="8" t="s">
        <v>1352</v>
      </c>
    </row>
    <row r="1411" spans="1:8" s="8" customFormat="1">
      <c r="A1411" s="13"/>
      <c r="B1411" s="8" t="s">
        <v>5056</v>
      </c>
      <c r="C1411" s="284">
        <v>1000000</v>
      </c>
      <c r="D1411" s="284">
        <v>0</v>
      </c>
      <c r="E1411" s="284">
        <f t="shared" si="21"/>
        <v>99100000</v>
      </c>
      <c r="F1411" s="8" t="s">
        <v>1643</v>
      </c>
      <c r="G1411" s="8" t="s">
        <v>5</v>
      </c>
      <c r="H1411" s="8" t="s">
        <v>1352</v>
      </c>
    </row>
    <row r="1412" spans="1:8" s="8" customFormat="1">
      <c r="A1412" s="13"/>
      <c r="B1412" s="8" t="s">
        <v>5057</v>
      </c>
      <c r="C1412" s="284">
        <v>1000000</v>
      </c>
      <c r="D1412" s="284">
        <v>0</v>
      </c>
      <c r="E1412" s="284">
        <f t="shared" si="21"/>
        <v>98100000</v>
      </c>
      <c r="F1412" s="8" t="s">
        <v>1643</v>
      </c>
      <c r="G1412" s="8" t="s">
        <v>5</v>
      </c>
      <c r="H1412" s="8" t="s">
        <v>1352</v>
      </c>
    </row>
    <row r="1413" spans="1:8" s="8" customFormat="1">
      <c r="A1413" s="13"/>
      <c r="B1413" s="8" t="s">
        <v>5058</v>
      </c>
      <c r="C1413" s="284">
        <v>1000000</v>
      </c>
      <c r="D1413" s="284">
        <v>0</v>
      </c>
      <c r="E1413" s="284">
        <f t="shared" si="21"/>
        <v>97100000</v>
      </c>
      <c r="F1413" s="8" t="s">
        <v>1643</v>
      </c>
      <c r="G1413" s="8" t="s">
        <v>5</v>
      </c>
      <c r="H1413" s="8" t="s">
        <v>1352</v>
      </c>
    </row>
    <row r="1414" spans="1:8" s="8" customFormat="1">
      <c r="A1414" s="13"/>
      <c r="B1414" s="8" t="s">
        <v>5059</v>
      </c>
      <c r="C1414" s="284">
        <v>750000</v>
      </c>
      <c r="D1414" s="284">
        <v>0</v>
      </c>
      <c r="E1414" s="284">
        <f t="shared" ref="E1414:E1477" si="22">E1413-C1414+D1414</f>
        <v>96350000</v>
      </c>
      <c r="F1414" s="8" t="s">
        <v>1643</v>
      </c>
      <c r="G1414" s="8" t="s">
        <v>5</v>
      </c>
      <c r="H1414" s="8" t="s">
        <v>1352</v>
      </c>
    </row>
    <row r="1415" spans="1:8" s="8" customFormat="1">
      <c r="A1415" s="13"/>
      <c r="B1415" s="8" t="s">
        <v>5060</v>
      </c>
      <c r="C1415" s="284">
        <v>750000</v>
      </c>
      <c r="D1415" s="284">
        <v>0</v>
      </c>
      <c r="E1415" s="284">
        <f t="shared" si="22"/>
        <v>95600000</v>
      </c>
      <c r="F1415" s="8" t="s">
        <v>1643</v>
      </c>
      <c r="G1415" s="8" t="s">
        <v>5</v>
      </c>
      <c r="H1415" s="8" t="s">
        <v>1352</v>
      </c>
    </row>
    <row r="1416" spans="1:8" s="8" customFormat="1">
      <c r="A1416" s="13"/>
      <c r="B1416" s="8" t="s">
        <v>5061</v>
      </c>
      <c r="C1416" s="284">
        <v>750000</v>
      </c>
      <c r="D1416" s="284">
        <v>0</v>
      </c>
      <c r="E1416" s="284">
        <f t="shared" si="22"/>
        <v>94850000</v>
      </c>
      <c r="F1416" s="8" t="s">
        <v>1643</v>
      </c>
      <c r="G1416" s="8" t="s">
        <v>5</v>
      </c>
      <c r="H1416" s="8" t="s">
        <v>1352</v>
      </c>
    </row>
    <row r="1417" spans="1:8" s="8" customFormat="1">
      <c r="A1417" s="13"/>
      <c r="B1417" s="8" t="s">
        <v>5062</v>
      </c>
      <c r="C1417" s="284">
        <v>750000</v>
      </c>
      <c r="D1417" s="284">
        <v>0</v>
      </c>
      <c r="E1417" s="284">
        <f t="shared" si="22"/>
        <v>94100000</v>
      </c>
      <c r="F1417" s="8" t="s">
        <v>1643</v>
      </c>
      <c r="G1417" s="8" t="s">
        <v>5</v>
      </c>
      <c r="H1417" s="8" t="s">
        <v>1352</v>
      </c>
    </row>
    <row r="1418" spans="1:8" s="8" customFormat="1">
      <c r="A1418" s="13"/>
      <c r="B1418" s="8" t="s">
        <v>5063</v>
      </c>
      <c r="C1418" s="284">
        <v>750000</v>
      </c>
      <c r="D1418" s="284">
        <v>0</v>
      </c>
      <c r="E1418" s="284">
        <f t="shared" si="22"/>
        <v>93350000</v>
      </c>
      <c r="F1418" s="8" t="s">
        <v>1643</v>
      </c>
      <c r="G1418" s="8" t="s">
        <v>5</v>
      </c>
      <c r="H1418" s="8" t="s">
        <v>1352</v>
      </c>
    </row>
    <row r="1419" spans="1:8" s="8" customFormat="1">
      <c r="A1419" s="13"/>
      <c r="B1419" s="8" t="s">
        <v>5064</v>
      </c>
      <c r="C1419" s="284">
        <v>750000</v>
      </c>
      <c r="D1419" s="284">
        <v>0</v>
      </c>
      <c r="E1419" s="284">
        <f t="shared" si="22"/>
        <v>92600000</v>
      </c>
      <c r="F1419" s="8" t="s">
        <v>1643</v>
      </c>
      <c r="G1419" s="8" t="s">
        <v>5</v>
      </c>
      <c r="H1419" s="8" t="s">
        <v>1352</v>
      </c>
    </row>
    <row r="1420" spans="1:8" s="8" customFormat="1">
      <c r="A1420" s="13"/>
      <c r="B1420" s="8" t="s">
        <v>5065</v>
      </c>
      <c r="C1420" s="284">
        <v>1000000</v>
      </c>
      <c r="D1420" s="284">
        <v>0</v>
      </c>
      <c r="E1420" s="284">
        <f t="shared" si="22"/>
        <v>91600000</v>
      </c>
      <c r="F1420" s="8" t="s">
        <v>1643</v>
      </c>
      <c r="G1420" s="8" t="s">
        <v>5</v>
      </c>
      <c r="H1420" s="8" t="s">
        <v>1352</v>
      </c>
    </row>
    <row r="1421" spans="1:8" s="8" customFormat="1">
      <c r="A1421" s="13"/>
      <c r="B1421" s="8" t="s">
        <v>5066</v>
      </c>
      <c r="C1421" s="284">
        <v>1000000</v>
      </c>
      <c r="D1421" s="284">
        <v>0</v>
      </c>
      <c r="E1421" s="284">
        <f t="shared" si="22"/>
        <v>90600000</v>
      </c>
      <c r="F1421" s="8" t="s">
        <v>1643</v>
      </c>
      <c r="G1421" s="8" t="s">
        <v>5</v>
      </c>
      <c r="H1421" s="8" t="s">
        <v>1352</v>
      </c>
    </row>
    <row r="1422" spans="1:8" s="8" customFormat="1">
      <c r="A1422" s="13"/>
      <c r="B1422" s="8" t="s">
        <v>5067</v>
      </c>
      <c r="C1422" s="284">
        <v>1000000</v>
      </c>
      <c r="D1422" s="284">
        <v>0</v>
      </c>
      <c r="E1422" s="284">
        <f t="shared" si="22"/>
        <v>89600000</v>
      </c>
      <c r="F1422" s="8" t="s">
        <v>1643</v>
      </c>
      <c r="G1422" s="8" t="s">
        <v>5</v>
      </c>
      <c r="H1422" s="8" t="s">
        <v>1352</v>
      </c>
    </row>
    <row r="1423" spans="1:8" s="8" customFormat="1">
      <c r="A1423" s="13"/>
      <c r="B1423" s="8" t="s">
        <v>5068</v>
      </c>
      <c r="C1423" s="284">
        <v>1000000</v>
      </c>
      <c r="D1423" s="284">
        <v>0</v>
      </c>
      <c r="E1423" s="284">
        <f t="shared" si="22"/>
        <v>88600000</v>
      </c>
      <c r="F1423" s="8" t="s">
        <v>1643</v>
      </c>
      <c r="G1423" s="8" t="s">
        <v>5</v>
      </c>
      <c r="H1423" s="8" t="s">
        <v>1352</v>
      </c>
    </row>
    <row r="1424" spans="1:8" s="8" customFormat="1">
      <c r="A1424" s="13"/>
      <c r="B1424" s="8" t="s">
        <v>5069</v>
      </c>
      <c r="C1424" s="284">
        <v>1000000</v>
      </c>
      <c r="D1424" s="284">
        <v>0</v>
      </c>
      <c r="E1424" s="284">
        <f t="shared" si="22"/>
        <v>87600000</v>
      </c>
      <c r="F1424" s="8" t="s">
        <v>1643</v>
      </c>
      <c r="G1424" s="8" t="s">
        <v>5</v>
      </c>
      <c r="H1424" s="8" t="s">
        <v>1352</v>
      </c>
    </row>
    <row r="1425" spans="1:8" s="8" customFormat="1">
      <c r="A1425" s="13"/>
      <c r="B1425" s="8" t="s">
        <v>5070</v>
      </c>
      <c r="C1425" s="284">
        <v>1000000</v>
      </c>
      <c r="D1425" s="284">
        <v>0</v>
      </c>
      <c r="E1425" s="284">
        <f t="shared" si="22"/>
        <v>86600000</v>
      </c>
      <c r="F1425" s="8" t="s">
        <v>1643</v>
      </c>
      <c r="G1425" s="8" t="s">
        <v>5</v>
      </c>
      <c r="H1425" s="8" t="s">
        <v>1352</v>
      </c>
    </row>
    <row r="1426" spans="1:8" s="8" customFormat="1">
      <c r="A1426" s="13"/>
      <c r="B1426" s="8" t="s">
        <v>5071</v>
      </c>
      <c r="C1426" s="284">
        <v>1000000</v>
      </c>
      <c r="D1426" s="284">
        <v>0</v>
      </c>
      <c r="E1426" s="284">
        <f t="shared" si="22"/>
        <v>85600000</v>
      </c>
      <c r="F1426" s="8" t="s">
        <v>1643</v>
      </c>
      <c r="G1426" s="8" t="s">
        <v>5</v>
      </c>
      <c r="H1426" s="8" t="s">
        <v>1352</v>
      </c>
    </row>
    <row r="1427" spans="1:8" s="8" customFormat="1">
      <c r="A1427" s="13"/>
      <c r="B1427" s="8" t="s">
        <v>5072</v>
      </c>
      <c r="C1427" s="284">
        <v>1000000</v>
      </c>
      <c r="D1427" s="284">
        <v>0</v>
      </c>
      <c r="E1427" s="284">
        <f t="shared" si="22"/>
        <v>84600000</v>
      </c>
      <c r="F1427" s="8" t="s">
        <v>1643</v>
      </c>
      <c r="G1427" s="8" t="s">
        <v>5</v>
      </c>
      <c r="H1427" s="8" t="s">
        <v>1352</v>
      </c>
    </row>
    <row r="1428" spans="1:8" s="8" customFormat="1">
      <c r="A1428" s="13"/>
      <c r="B1428" s="8" t="s">
        <v>5073</v>
      </c>
      <c r="C1428" s="284">
        <v>1000000</v>
      </c>
      <c r="D1428" s="284">
        <v>0</v>
      </c>
      <c r="E1428" s="284">
        <f t="shared" si="22"/>
        <v>83600000</v>
      </c>
      <c r="F1428" s="8" t="s">
        <v>1643</v>
      </c>
      <c r="G1428" s="8" t="s">
        <v>5</v>
      </c>
      <c r="H1428" s="8" t="s">
        <v>1352</v>
      </c>
    </row>
    <row r="1429" spans="1:8" s="8" customFormat="1">
      <c r="A1429" s="13"/>
      <c r="B1429" s="8" t="s">
        <v>5074</v>
      </c>
      <c r="C1429" s="284">
        <v>1000000</v>
      </c>
      <c r="D1429" s="284">
        <v>0</v>
      </c>
      <c r="E1429" s="284">
        <f t="shared" si="22"/>
        <v>82600000</v>
      </c>
      <c r="F1429" s="8" t="s">
        <v>1643</v>
      </c>
      <c r="G1429" s="8" t="s">
        <v>5</v>
      </c>
      <c r="H1429" s="8" t="s">
        <v>1352</v>
      </c>
    </row>
    <row r="1430" spans="1:8" s="8" customFormat="1">
      <c r="A1430" s="13"/>
      <c r="B1430" s="8" t="s">
        <v>5075</v>
      </c>
      <c r="C1430" s="284">
        <v>1000000</v>
      </c>
      <c r="D1430" s="284">
        <v>0</v>
      </c>
      <c r="E1430" s="284">
        <f t="shared" si="22"/>
        <v>81600000</v>
      </c>
      <c r="F1430" s="8" t="s">
        <v>1643</v>
      </c>
      <c r="G1430" s="8" t="s">
        <v>5</v>
      </c>
      <c r="H1430" s="8" t="s">
        <v>1352</v>
      </c>
    </row>
    <row r="1431" spans="1:8" s="8" customFormat="1">
      <c r="A1431" s="13"/>
      <c r="B1431" s="8" t="s">
        <v>5076</v>
      </c>
      <c r="C1431" s="284">
        <v>1000000</v>
      </c>
      <c r="D1431" s="284">
        <v>0</v>
      </c>
      <c r="E1431" s="284">
        <f t="shared" si="22"/>
        <v>80600000</v>
      </c>
      <c r="F1431" s="8" t="s">
        <v>1643</v>
      </c>
      <c r="G1431" s="8" t="s">
        <v>5</v>
      </c>
      <c r="H1431" s="8" t="s">
        <v>1352</v>
      </c>
    </row>
    <row r="1432" spans="1:8" s="8" customFormat="1">
      <c r="A1432" s="13"/>
      <c r="B1432" s="8" t="s">
        <v>5077</v>
      </c>
      <c r="C1432" s="284">
        <v>1000000</v>
      </c>
      <c r="D1432" s="284">
        <v>0</v>
      </c>
      <c r="E1432" s="284">
        <f t="shared" si="22"/>
        <v>79600000</v>
      </c>
      <c r="F1432" s="8" t="s">
        <v>1643</v>
      </c>
      <c r="G1432" s="8" t="s">
        <v>5</v>
      </c>
      <c r="H1432" s="8" t="s">
        <v>1352</v>
      </c>
    </row>
    <row r="1433" spans="1:8" s="8" customFormat="1">
      <c r="A1433" s="13"/>
      <c r="B1433" s="8" t="s">
        <v>5078</v>
      </c>
      <c r="C1433" s="284">
        <v>1000000</v>
      </c>
      <c r="D1433" s="284">
        <v>0</v>
      </c>
      <c r="E1433" s="284">
        <f t="shared" si="22"/>
        <v>78600000</v>
      </c>
      <c r="F1433" s="8" t="s">
        <v>1643</v>
      </c>
      <c r="G1433" s="8" t="s">
        <v>5</v>
      </c>
      <c r="H1433" s="8" t="s">
        <v>1352</v>
      </c>
    </row>
    <row r="1434" spans="1:8" s="8" customFormat="1">
      <c r="A1434" s="13"/>
      <c r="B1434" s="8" t="s">
        <v>5079</v>
      </c>
      <c r="C1434" s="284">
        <v>750000</v>
      </c>
      <c r="D1434" s="284">
        <v>0</v>
      </c>
      <c r="E1434" s="284">
        <f t="shared" si="22"/>
        <v>77850000</v>
      </c>
      <c r="F1434" s="8" t="s">
        <v>1643</v>
      </c>
      <c r="G1434" s="8" t="s">
        <v>5</v>
      </c>
      <c r="H1434" s="8" t="s">
        <v>1352</v>
      </c>
    </row>
    <row r="1435" spans="1:8" s="8" customFormat="1">
      <c r="A1435" s="13"/>
      <c r="B1435" s="8" t="s">
        <v>5080</v>
      </c>
      <c r="C1435" s="284">
        <v>750000</v>
      </c>
      <c r="D1435" s="284">
        <v>0</v>
      </c>
      <c r="E1435" s="284">
        <f t="shared" si="22"/>
        <v>77100000</v>
      </c>
      <c r="F1435" s="8" t="s">
        <v>1643</v>
      </c>
      <c r="G1435" s="8" t="s">
        <v>5</v>
      </c>
      <c r="H1435" s="8" t="s">
        <v>1352</v>
      </c>
    </row>
    <row r="1436" spans="1:8" s="8" customFormat="1">
      <c r="A1436" s="13"/>
      <c r="B1436" s="8" t="s">
        <v>5081</v>
      </c>
      <c r="C1436" s="284">
        <v>750000</v>
      </c>
      <c r="D1436" s="284">
        <v>0</v>
      </c>
      <c r="E1436" s="284">
        <f t="shared" si="22"/>
        <v>76350000</v>
      </c>
      <c r="F1436" s="8" t="s">
        <v>1643</v>
      </c>
      <c r="G1436" s="8" t="s">
        <v>5</v>
      </c>
      <c r="H1436" s="8" t="s">
        <v>1352</v>
      </c>
    </row>
    <row r="1437" spans="1:8" s="8" customFormat="1">
      <c r="A1437" s="13"/>
      <c r="B1437" s="8" t="s">
        <v>5082</v>
      </c>
      <c r="C1437" s="284">
        <v>750000</v>
      </c>
      <c r="D1437" s="284">
        <v>0</v>
      </c>
      <c r="E1437" s="284">
        <f t="shared" si="22"/>
        <v>75600000</v>
      </c>
      <c r="F1437" s="8" t="s">
        <v>1643</v>
      </c>
      <c r="G1437" s="8" t="s">
        <v>5</v>
      </c>
      <c r="H1437" s="8" t="s">
        <v>1352</v>
      </c>
    </row>
    <row r="1438" spans="1:8" s="8" customFormat="1">
      <c r="A1438" s="13"/>
      <c r="B1438" s="8" t="s">
        <v>5083</v>
      </c>
      <c r="C1438" s="284">
        <v>750000</v>
      </c>
      <c r="D1438" s="284">
        <v>0</v>
      </c>
      <c r="E1438" s="284">
        <f t="shared" si="22"/>
        <v>74850000</v>
      </c>
      <c r="F1438" s="8" t="s">
        <v>1643</v>
      </c>
      <c r="G1438" s="8" t="s">
        <v>5</v>
      </c>
      <c r="H1438" s="8" t="s">
        <v>1352</v>
      </c>
    </row>
    <row r="1439" spans="1:8" s="8" customFormat="1">
      <c r="A1439" s="13"/>
      <c r="B1439" s="8" t="s">
        <v>5084</v>
      </c>
      <c r="C1439" s="284">
        <v>750000</v>
      </c>
      <c r="D1439" s="284">
        <v>0</v>
      </c>
      <c r="E1439" s="284">
        <f t="shared" si="22"/>
        <v>74100000</v>
      </c>
      <c r="F1439" s="8" t="s">
        <v>1643</v>
      </c>
      <c r="G1439" s="8" t="s">
        <v>5</v>
      </c>
      <c r="H1439" s="8" t="s">
        <v>1352</v>
      </c>
    </row>
    <row r="1440" spans="1:8" s="8" customFormat="1">
      <c r="A1440" s="13"/>
      <c r="B1440" s="8" t="s">
        <v>5085</v>
      </c>
      <c r="C1440" s="284">
        <v>1000000</v>
      </c>
      <c r="D1440" s="284">
        <v>0</v>
      </c>
      <c r="E1440" s="284">
        <f t="shared" si="22"/>
        <v>73100000</v>
      </c>
      <c r="F1440" s="8" t="s">
        <v>1643</v>
      </c>
      <c r="G1440" s="8" t="s">
        <v>5</v>
      </c>
      <c r="H1440" s="8" t="s">
        <v>1352</v>
      </c>
    </row>
    <row r="1441" spans="1:8" s="8" customFormat="1">
      <c r="A1441" s="13"/>
      <c r="B1441" s="8" t="s">
        <v>5086</v>
      </c>
      <c r="C1441" s="284">
        <v>750000</v>
      </c>
      <c r="D1441" s="284">
        <v>0</v>
      </c>
      <c r="E1441" s="284">
        <f t="shared" si="22"/>
        <v>72350000</v>
      </c>
      <c r="F1441" s="8" t="s">
        <v>1643</v>
      </c>
      <c r="G1441" s="8" t="s">
        <v>5</v>
      </c>
      <c r="H1441" s="8" t="s">
        <v>1352</v>
      </c>
    </row>
    <row r="1442" spans="1:8" s="8" customFormat="1">
      <c r="A1442" s="13"/>
      <c r="B1442" s="8" t="s">
        <v>5087</v>
      </c>
      <c r="C1442" s="284">
        <v>750000</v>
      </c>
      <c r="D1442" s="284">
        <v>0</v>
      </c>
      <c r="E1442" s="284">
        <f t="shared" si="22"/>
        <v>71600000</v>
      </c>
      <c r="F1442" s="8" t="s">
        <v>1643</v>
      </c>
      <c r="G1442" s="8" t="s">
        <v>5</v>
      </c>
      <c r="H1442" s="8" t="s">
        <v>1352</v>
      </c>
    </row>
    <row r="1443" spans="1:8" s="8" customFormat="1">
      <c r="A1443" s="13"/>
      <c r="B1443" s="8" t="s">
        <v>5088</v>
      </c>
      <c r="C1443" s="284">
        <v>750000</v>
      </c>
      <c r="D1443" s="284">
        <v>0</v>
      </c>
      <c r="E1443" s="284">
        <f t="shared" si="22"/>
        <v>70850000</v>
      </c>
      <c r="F1443" s="8" t="s">
        <v>1643</v>
      </c>
      <c r="G1443" s="8" t="s">
        <v>5</v>
      </c>
      <c r="H1443" s="8" t="s">
        <v>1352</v>
      </c>
    </row>
    <row r="1444" spans="1:8" s="8" customFormat="1">
      <c r="A1444" s="13"/>
      <c r="B1444" s="8" t="s">
        <v>5089</v>
      </c>
      <c r="C1444" s="284">
        <v>6000000</v>
      </c>
      <c r="D1444" s="284">
        <v>0</v>
      </c>
      <c r="E1444" s="284">
        <f t="shared" si="22"/>
        <v>64850000</v>
      </c>
      <c r="F1444" s="8" t="s">
        <v>1643</v>
      </c>
      <c r="G1444" s="8" t="s">
        <v>5</v>
      </c>
      <c r="H1444" s="8" t="s">
        <v>1352</v>
      </c>
    </row>
    <row r="1445" spans="1:8" s="8" customFormat="1">
      <c r="A1445" s="13"/>
      <c r="B1445" s="8" t="s">
        <v>5090</v>
      </c>
      <c r="C1445" s="284">
        <v>6000000</v>
      </c>
      <c r="D1445" s="284">
        <v>0</v>
      </c>
      <c r="E1445" s="284">
        <f t="shared" si="22"/>
        <v>58850000</v>
      </c>
      <c r="F1445" s="8" t="s">
        <v>1643</v>
      </c>
      <c r="G1445" s="8" t="s">
        <v>5</v>
      </c>
      <c r="H1445" s="8" t="s">
        <v>1352</v>
      </c>
    </row>
    <row r="1446" spans="1:8" s="8" customFormat="1">
      <c r="A1446" s="13"/>
      <c r="B1446" s="8" t="s">
        <v>5091</v>
      </c>
      <c r="C1446" s="284">
        <v>500000</v>
      </c>
      <c r="D1446" s="284">
        <v>0</v>
      </c>
      <c r="E1446" s="284">
        <f t="shared" si="22"/>
        <v>58350000</v>
      </c>
      <c r="F1446" s="8" t="s">
        <v>1643</v>
      </c>
      <c r="G1446" s="8" t="s">
        <v>5</v>
      </c>
      <c r="H1446" s="8" t="s">
        <v>1352</v>
      </c>
    </row>
    <row r="1447" spans="1:8" s="8" customFormat="1">
      <c r="A1447" s="13"/>
      <c r="B1447" s="8" t="s">
        <v>5092</v>
      </c>
      <c r="C1447" s="284">
        <v>500000</v>
      </c>
      <c r="D1447" s="284">
        <v>0</v>
      </c>
      <c r="E1447" s="284">
        <f t="shared" si="22"/>
        <v>57850000</v>
      </c>
      <c r="F1447" s="8" t="s">
        <v>1643</v>
      </c>
      <c r="G1447" s="8" t="s">
        <v>5</v>
      </c>
      <c r="H1447" s="8" t="s">
        <v>1352</v>
      </c>
    </row>
    <row r="1448" spans="1:8" s="8" customFormat="1">
      <c r="A1448" s="13"/>
      <c r="B1448" s="8" t="s">
        <v>5093</v>
      </c>
      <c r="C1448" s="284">
        <v>1000000</v>
      </c>
      <c r="D1448" s="284">
        <v>0</v>
      </c>
      <c r="E1448" s="284">
        <f t="shared" si="22"/>
        <v>56850000</v>
      </c>
      <c r="F1448" s="8" t="s">
        <v>1643</v>
      </c>
      <c r="G1448" s="8" t="s">
        <v>5</v>
      </c>
      <c r="H1448" s="8" t="s">
        <v>1352</v>
      </c>
    </row>
    <row r="1449" spans="1:8" s="8" customFormat="1">
      <c r="A1449" s="13"/>
      <c r="B1449" s="8" t="s">
        <v>5094</v>
      </c>
      <c r="C1449" s="284">
        <v>500000</v>
      </c>
      <c r="D1449" s="284">
        <v>0</v>
      </c>
      <c r="E1449" s="284">
        <f t="shared" si="22"/>
        <v>56350000</v>
      </c>
      <c r="F1449" s="8" t="s">
        <v>1643</v>
      </c>
      <c r="G1449" s="8" t="s">
        <v>5</v>
      </c>
      <c r="H1449" s="8" t="s">
        <v>1352</v>
      </c>
    </row>
    <row r="1450" spans="1:8" s="8" customFormat="1">
      <c r="A1450" s="13"/>
      <c r="B1450" s="8" t="s">
        <v>5095</v>
      </c>
      <c r="C1450" s="284">
        <v>1000000</v>
      </c>
      <c r="D1450" s="284">
        <v>0</v>
      </c>
      <c r="E1450" s="284">
        <f t="shared" si="22"/>
        <v>55350000</v>
      </c>
      <c r="F1450" s="8" t="s">
        <v>1643</v>
      </c>
      <c r="G1450" s="8" t="s">
        <v>5</v>
      </c>
      <c r="H1450" s="8" t="s">
        <v>1352</v>
      </c>
    </row>
    <row r="1451" spans="1:8" s="8" customFormat="1">
      <c r="A1451" s="13"/>
      <c r="B1451" s="8" t="s">
        <v>5096</v>
      </c>
      <c r="C1451" s="284">
        <v>1000000</v>
      </c>
      <c r="D1451" s="284">
        <v>0</v>
      </c>
      <c r="E1451" s="284">
        <f t="shared" si="22"/>
        <v>54350000</v>
      </c>
      <c r="F1451" s="8" t="s">
        <v>1643</v>
      </c>
      <c r="G1451" s="8" t="s">
        <v>5</v>
      </c>
      <c r="H1451" s="8" t="s">
        <v>1352</v>
      </c>
    </row>
    <row r="1452" spans="1:8" s="8" customFormat="1">
      <c r="A1452" s="13"/>
      <c r="B1452" s="8" t="s">
        <v>5028</v>
      </c>
      <c r="C1452" s="284">
        <v>500000</v>
      </c>
      <c r="D1452" s="284">
        <v>0</v>
      </c>
      <c r="E1452" s="284">
        <f t="shared" si="22"/>
        <v>53850000</v>
      </c>
      <c r="F1452" s="8" t="s">
        <v>1643</v>
      </c>
      <c r="G1452" s="8" t="s">
        <v>5</v>
      </c>
      <c r="H1452" s="8" t="s">
        <v>1352</v>
      </c>
    </row>
    <row r="1453" spans="1:8" s="8" customFormat="1">
      <c r="A1453" s="13"/>
      <c r="B1453" s="8" t="s">
        <v>5030</v>
      </c>
      <c r="C1453" s="284">
        <v>500000</v>
      </c>
      <c r="D1453" s="284">
        <v>0</v>
      </c>
      <c r="E1453" s="284">
        <f t="shared" si="22"/>
        <v>53350000</v>
      </c>
      <c r="F1453" s="8" t="s">
        <v>1643</v>
      </c>
      <c r="G1453" s="8" t="s">
        <v>5</v>
      </c>
      <c r="H1453" s="8" t="s">
        <v>1352</v>
      </c>
    </row>
    <row r="1454" spans="1:8" s="8" customFormat="1">
      <c r="A1454" s="13"/>
      <c r="B1454" s="8" t="s">
        <v>5022</v>
      </c>
      <c r="C1454" s="284">
        <v>500000</v>
      </c>
      <c r="D1454" s="284">
        <v>0</v>
      </c>
      <c r="E1454" s="284">
        <f t="shared" si="22"/>
        <v>52850000</v>
      </c>
      <c r="F1454" s="8" t="s">
        <v>1643</v>
      </c>
      <c r="G1454" s="8" t="s">
        <v>5</v>
      </c>
      <c r="H1454" s="8" t="s">
        <v>1352</v>
      </c>
    </row>
    <row r="1455" spans="1:8" s="8" customFormat="1">
      <c r="A1455" s="13"/>
      <c r="B1455" s="8" t="s">
        <v>5024</v>
      </c>
      <c r="C1455" s="284">
        <v>500000</v>
      </c>
      <c r="D1455" s="284">
        <v>0</v>
      </c>
      <c r="E1455" s="284">
        <f t="shared" si="22"/>
        <v>52350000</v>
      </c>
      <c r="F1455" s="8" t="s">
        <v>1643</v>
      </c>
      <c r="G1455" s="8" t="s">
        <v>5</v>
      </c>
      <c r="H1455" s="8" t="s">
        <v>1352</v>
      </c>
    </row>
    <row r="1456" spans="1:8" s="8" customFormat="1">
      <c r="A1456" s="13"/>
      <c r="B1456" s="8" t="s">
        <v>5097</v>
      </c>
      <c r="C1456" s="284">
        <v>239700</v>
      </c>
      <c r="D1456" s="284">
        <v>0</v>
      </c>
      <c r="E1456" s="284">
        <f t="shared" si="22"/>
        <v>52110300</v>
      </c>
      <c r="F1456" s="8" t="s">
        <v>1643</v>
      </c>
      <c r="G1456" s="8" t="s">
        <v>5</v>
      </c>
      <c r="H1456" s="8" t="s">
        <v>1352</v>
      </c>
    </row>
    <row r="1457" spans="1:8" s="8" customFormat="1">
      <c r="A1457" s="13"/>
      <c r="B1457" s="8" t="s">
        <v>5098</v>
      </c>
      <c r="C1457" s="284">
        <v>4200000</v>
      </c>
      <c r="D1457" s="284">
        <v>0</v>
      </c>
      <c r="E1457" s="284">
        <f t="shared" si="22"/>
        <v>47910300</v>
      </c>
      <c r="F1457" s="8" t="s">
        <v>1643</v>
      </c>
      <c r="G1457" s="8" t="s">
        <v>5</v>
      </c>
      <c r="H1457" s="8" t="s">
        <v>1352</v>
      </c>
    </row>
    <row r="1458" spans="1:8" s="8" customFormat="1">
      <c r="A1458" s="13"/>
      <c r="B1458" s="8" t="s">
        <v>5099</v>
      </c>
      <c r="C1458" s="284">
        <v>1800000</v>
      </c>
      <c r="D1458" s="284">
        <v>0</v>
      </c>
      <c r="E1458" s="284">
        <f t="shared" si="22"/>
        <v>46110300</v>
      </c>
      <c r="F1458" s="8" t="s">
        <v>1643</v>
      </c>
      <c r="G1458" s="8" t="s">
        <v>5</v>
      </c>
      <c r="H1458" s="8" t="s">
        <v>1352</v>
      </c>
    </row>
    <row r="1459" spans="1:8" s="8" customFormat="1">
      <c r="A1459" s="13"/>
      <c r="B1459" s="8" t="s">
        <v>5100</v>
      </c>
      <c r="C1459" s="284">
        <v>700000</v>
      </c>
      <c r="D1459" s="284">
        <v>0</v>
      </c>
      <c r="E1459" s="284">
        <f t="shared" si="22"/>
        <v>45410300</v>
      </c>
      <c r="F1459" s="8" t="s">
        <v>1643</v>
      </c>
      <c r="G1459" s="8" t="s">
        <v>5</v>
      </c>
      <c r="H1459" s="8" t="s">
        <v>1352</v>
      </c>
    </row>
    <row r="1460" spans="1:8" s="8" customFormat="1">
      <c r="A1460" s="13"/>
      <c r="B1460" s="8" t="s">
        <v>5101</v>
      </c>
      <c r="C1460" s="284">
        <v>4200000</v>
      </c>
      <c r="D1460" s="284">
        <v>0</v>
      </c>
      <c r="E1460" s="284">
        <f t="shared" si="22"/>
        <v>41210300</v>
      </c>
      <c r="F1460" s="8" t="s">
        <v>1643</v>
      </c>
      <c r="G1460" s="8" t="s">
        <v>5</v>
      </c>
      <c r="H1460" s="8" t="s">
        <v>1352</v>
      </c>
    </row>
    <row r="1461" spans="1:8" s="8" customFormat="1">
      <c r="A1461" s="13"/>
      <c r="B1461" s="8" t="s">
        <v>5102</v>
      </c>
      <c r="C1461" s="284">
        <v>100000</v>
      </c>
      <c r="D1461" s="284">
        <v>0</v>
      </c>
      <c r="E1461" s="284">
        <f t="shared" si="22"/>
        <v>41110300</v>
      </c>
      <c r="F1461" s="8" t="s">
        <v>1643</v>
      </c>
      <c r="G1461" s="8" t="s">
        <v>5</v>
      </c>
      <c r="H1461" s="8" t="s">
        <v>1352</v>
      </c>
    </row>
    <row r="1462" spans="1:8" s="8" customFormat="1">
      <c r="A1462" s="13"/>
      <c r="B1462" s="8" t="s">
        <v>5100</v>
      </c>
      <c r="C1462" s="284">
        <v>700000</v>
      </c>
      <c r="D1462" s="284">
        <v>0</v>
      </c>
      <c r="E1462" s="284">
        <f t="shared" si="22"/>
        <v>40410300</v>
      </c>
      <c r="F1462" s="8" t="s">
        <v>1643</v>
      </c>
      <c r="G1462" s="8" t="s">
        <v>5</v>
      </c>
      <c r="H1462" s="8" t="s">
        <v>1352</v>
      </c>
    </row>
    <row r="1463" spans="1:8" s="8" customFormat="1">
      <c r="A1463" s="13"/>
      <c r="B1463" s="8" t="s">
        <v>5103</v>
      </c>
      <c r="C1463" s="284">
        <v>3000000</v>
      </c>
      <c r="D1463" s="284">
        <v>0</v>
      </c>
      <c r="E1463" s="284">
        <f t="shared" si="22"/>
        <v>37410300</v>
      </c>
      <c r="F1463" s="8" t="s">
        <v>1643</v>
      </c>
      <c r="G1463" s="8" t="s">
        <v>5</v>
      </c>
      <c r="H1463" s="8" t="s">
        <v>1352</v>
      </c>
    </row>
    <row r="1464" spans="1:8" s="8" customFormat="1">
      <c r="A1464" s="13"/>
      <c r="B1464" s="8" t="s">
        <v>5101</v>
      </c>
      <c r="C1464" s="284">
        <v>4200000</v>
      </c>
      <c r="D1464" s="284">
        <v>0</v>
      </c>
      <c r="E1464" s="284">
        <f t="shared" si="22"/>
        <v>33210300</v>
      </c>
      <c r="F1464" s="8" t="s">
        <v>1643</v>
      </c>
      <c r="G1464" s="8" t="s">
        <v>5</v>
      </c>
      <c r="H1464" s="8" t="s">
        <v>1352</v>
      </c>
    </row>
    <row r="1465" spans="1:8" s="8" customFormat="1">
      <c r="A1465" s="13"/>
      <c r="B1465" s="8" t="s">
        <v>5102</v>
      </c>
      <c r="C1465" s="284">
        <v>100000</v>
      </c>
      <c r="D1465" s="284">
        <v>0</v>
      </c>
      <c r="E1465" s="284">
        <f t="shared" si="22"/>
        <v>33110300</v>
      </c>
      <c r="F1465" s="8" t="s">
        <v>1643</v>
      </c>
      <c r="G1465" s="8" t="s">
        <v>5</v>
      </c>
      <c r="H1465" s="8" t="s">
        <v>1352</v>
      </c>
    </row>
    <row r="1466" spans="1:8" s="8" customFormat="1">
      <c r="A1466" s="13"/>
      <c r="B1466" s="8" t="s">
        <v>5100</v>
      </c>
      <c r="C1466" s="284">
        <v>700000</v>
      </c>
      <c r="D1466" s="284">
        <v>0</v>
      </c>
      <c r="E1466" s="284">
        <f t="shared" si="22"/>
        <v>32410300</v>
      </c>
      <c r="F1466" s="8" t="s">
        <v>1643</v>
      </c>
      <c r="G1466" s="8" t="s">
        <v>5</v>
      </c>
      <c r="H1466" s="8" t="s">
        <v>1352</v>
      </c>
    </row>
    <row r="1467" spans="1:8" s="8" customFormat="1">
      <c r="A1467" s="13"/>
      <c r="B1467" s="8" t="s">
        <v>5101</v>
      </c>
      <c r="C1467" s="284">
        <v>4200000</v>
      </c>
      <c r="D1467" s="284">
        <v>0</v>
      </c>
      <c r="E1467" s="284">
        <f t="shared" si="22"/>
        <v>28210300</v>
      </c>
      <c r="F1467" s="8" t="s">
        <v>1643</v>
      </c>
      <c r="G1467" s="8" t="s">
        <v>5</v>
      </c>
      <c r="H1467" s="8" t="s">
        <v>1352</v>
      </c>
    </row>
    <row r="1468" spans="1:8" s="8" customFormat="1">
      <c r="A1468" s="13"/>
      <c r="B1468" s="8" t="s">
        <v>5102</v>
      </c>
      <c r="C1468" s="284">
        <v>100000</v>
      </c>
      <c r="D1468" s="284">
        <v>0</v>
      </c>
      <c r="E1468" s="284">
        <f t="shared" si="22"/>
        <v>28110300</v>
      </c>
      <c r="F1468" s="8" t="s">
        <v>1643</v>
      </c>
      <c r="G1468" s="8" t="s">
        <v>5</v>
      </c>
      <c r="H1468" s="8" t="s">
        <v>1352</v>
      </c>
    </row>
    <row r="1469" spans="1:8" s="8" customFormat="1">
      <c r="A1469" s="13"/>
      <c r="B1469" s="8" t="s">
        <v>5100</v>
      </c>
      <c r="C1469" s="284">
        <v>700000</v>
      </c>
      <c r="D1469" s="284">
        <v>0</v>
      </c>
      <c r="E1469" s="284">
        <f t="shared" si="22"/>
        <v>27410300</v>
      </c>
      <c r="F1469" s="8" t="s">
        <v>1643</v>
      </c>
      <c r="G1469" s="8" t="s">
        <v>5</v>
      </c>
      <c r="H1469" s="8" t="s">
        <v>1352</v>
      </c>
    </row>
    <row r="1470" spans="1:8" s="8" customFormat="1">
      <c r="A1470" s="13"/>
      <c r="B1470" s="8" t="s">
        <v>5104</v>
      </c>
      <c r="C1470" s="284">
        <v>475000</v>
      </c>
      <c r="D1470" s="284">
        <v>0</v>
      </c>
      <c r="E1470" s="284">
        <f t="shared" si="22"/>
        <v>26935300</v>
      </c>
      <c r="F1470" s="8" t="s">
        <v>1643</v>
      </c>
      <c r="G1470" s="8" t="s">
        <v>5</v>
      </c>
      <c r="H1470" s="8" t="s">
        <v>1352</v>
      </c>
    </row>
    <row r="1471" spans="1:8" s="8" customFormat="1">
      <c r="A1471" s="13"/>
      <c r="B1471" s="8" t="s">
        <v>5105</v>
      </c>
      <c r="C1471" s="284">
        <v>100000</v>
      </c>
      <c r="D1471" s="284">
        <v>0</v>
      </c>
      <c r="E1471" s="284">
        <f t="shared" si="22"/>
        <v>26835300</v>
      </c>
      <c r="F1471" s="8" t="s">
        <v>1643</v>
      </c>
      <c r="G1471" s="8" t="s">
        <v>5</v>
      </c>
      <c r="H1471" s="8" t="s">
        <v>1352</v>
      </c>
    </row>
    <row r="1472" spans="1:8" s="8" customFormat="1">
      <c r="A1472" s="13"/>
      <c r="B1472" s="8" t="s">
        <v>5106</v>
      </c>
      <c r="C1472" s="284">
        <v>3900140</v>
      </c>
      <c r="D1472" s="284">
        <v>0</v>
      </c>
      <c r="E1472" s="284">
        <f t="shared" si="22"/>
        <v>22935160</v>
      </c>
      <c r="F1472" s="8" t="s">
        <v>1643</v>
      </c>
      <c r="G1472" s="8" t="s">
        <v>5</v>
      </c>
      <c r="H1472" s="8" t="s">
        <v>1352</v>
      </c>
    </row>
    <row r="1473" spans="1:8" s="8" customFormat="1">
      <c r="A1473" s="13"/>
      <c r="B1473" s="8" t="s">
        <v>5107</v>
      </c>
      <c r="C1473" s="284">
        <v>2000000</v>
      </c>
      <c r="D1473" s="284">
        <v>0</v>
      </c>
      <c r="E1473" s="284">
        <f t="shared" si="22"/>
        <v>20935160</v>
      </c>
      <c r="F1473" s="8" t="s">
        <v>1643</v>
      </c>
      <c r="G1473" s="8" t="s">
        <v>5</v>
      </c>
      <c r="H1473" s="8" t="s">
        <v>1352</v>
      </c>
    </row>
    <row r="1474" spans="1:8" s="8" customFormat="1">
      <c r="A1474" s="13"/>
      <c r="B1474" s="8" t="s">
        <v>5108</v>
      </c>
      <c r="C1474" s="284">
        <v>15000000</v>
      </c>
      <c r="D1474" s="284">
        <v>0</v>
      </c>
      <c r="E1474" s="284">
        <f t="shared" si="22"/>
        <v>5935160</v>
      </c>
      <c r="F1474" s="8" t="s">
        <v>1643</v>
      </c>
      <c r="G1474" s="8" t="s">
        <v>5</v>
      </c>
      <c r="H1474" s="8" t="s">
        <v>1352</v>
      </c>
    </row>
    <row r="1475" spans="1:8" s="8" customFormat="1">
      <c r="A1475" s="13"/>
      <c r="B1475" s="8" t="s">
        <v>5109</v>
      </c>
      <c r="C1475" s="284">
        <v>200000</v>
      </c>
      <c r="D1475" s="284">
        <v>0</v>
      </c>
      <c r="E1475" s="284">
        <f t="shared" si="22"/>
        <v>5735160</v>
      </c>
      <c r="F1475" s="8" t="s">
        <v>1643</v>
      </c>
      <c r="G1475" s="8" t="s">
        <v>5</v>
      </c>
      <c r="H1475" s="8" t="s">
        <v>1352</v>
      </c>
    </row>
    <row r="1476" spans="1:8" s="8" customFormat="1">
      <c r="A1476" s="13"/>
      <c r="B1476" s="8" t="s">
        <v>5110</v>
      </c>
      <c r="C1476" s="284">
        <v>168000</v>
      </c>
      <c r="D1476" s="284">
        <v>0</v>
      </c>
      <c r="E1476" s="284">
        <f t="shared" si="22"/>
        <v>5567160</v>
      </c>
      <c r="F1476" s="8" t="s">
        <v>1643</v>
      </c>
      <c r="G1476" s="8" t="s">
        <v>5</v>
      </c>
      <c r="H1476" s="8" t="s">
        <v>1352</v>
      </c>
    </row>
    <row r="1477" spans="1:8" s="8" customFormat="1">
      <c r="A1477" s="13">
        <v>45727</v>
      </c>
      <c r="B1477" s="8" t="s">
        <v>942</v>
      </c>
      <c r="C1477" s="284">
        <v>5529000</v>
      </c>
      <c r="D1477" s="284">
        <v>0</v>
      </c>
      <c r="E1477" s="284">
        <f t="shared" si="22"/>
        <v>38160</v>
      </c>
      <c r="F1477" s="8" t="s">
        <v>920</v>
      </c>
      <c r="G1477" s="8" t="s">
        <v>464</v>
      </c>
      <c r="H1477" s="8" t="s">
        <v>4973</v>
      </c>
    </row>
    <row r="1478" spans="1:8" s="8" customFormat="1">
      <c r="A1478" s="13">
        <v>45727</v>
      </c>
      <c r="B1478" s="8" t="s">
        <v>943</v>
      </c>
      <c r="C1478" s="284">
        <v>38160</v>
      </c>
      <c r="D1478" s="284">
        <v>0</v>
      </c>
      <c r="E1478" s="284">
        <f t="shared" ref="E1478:E1541" si="23">E1477-C1478+D1478</f>
        <v>0</v>
      </c>
      <c r="F1478" s="8" t="s">
        <v>920</v>
      </c>
      <c r="G1478" s="8" t="s">
        <v>464</v>
      </c>
      <c r="H1478" s="8" t="s">
        <v>4973</v>
      </c>
    </row>
    <row r="1479" spans="1:8" s="8" customFormat="1">
      <c r="A1479" s="13">
        <v>45688</v>
      </c>
      <c r="B1479" s="8" t="s">
        <v>650</v>
      </c>
      <c r="C1479" s="284">
        <v>0</v>
      </c>
      <c r="D1479" s="284">
        <v>53000000</v>
      </c>
      <c r="E1479" s="284">
        <f t="shared" si="23"/>
        <v>53000000</v>
      </c>
      <c r="F1479" s="8" t="s">
        <v>920</v>
      </c>
      <c r="G1479" s="8" t="s">
        <v>400</v>
      </c>
      <c r="H1479" s="8" t="s">
        <v>5111</v>
      </c>
    </row>
    <row r="1480" spans="1:8" s="8" customFormat="1">
      <c r="A1480" s="13"/>
      <c r="B1480" s="8" t="s">
        <v>5089</v>
      </c>
      <c r="C1480" s="284">
        <v>4000000</v>
      </c>
      <c r="D1480" s="284">
        <v>0</v>
      </c>
      <c r="E1480" s="284">
        <f t="shared" si="23"/>
        <v>49000000</v>
      </c>
      <c r="F1480" s="8" t="s">
        <v>1643</v>
      </c>
      <c r="G1480" s="8" t="s">
        <v>5</v>
      </c>
      <c r="H1480" s="8" t="s">
        <v>1352</v>
      </c>
    </row>
    <row r="1481" spans="1:8" s="8" customFormat="1">
      <c r="A1481" s="13"/>
      <c r="B1481" s="8" t="s">
        <v>5090</v>
      </c>
      <c r="C1481" s="284">
        <v>4000000</v>
      </c>
      <c r="D1481" s="284">
        <v>0</v>
      </c>
      <c r="E1481" s="284">
        <f t="shared" si="23"/>
        <v>45000000</v>
      </c>
      <c r="F1481" s="8" t="s">
        <v>1643</v>
      </c>
      <c r="G1481" s="8" t="s">
        <v>5</v>
      </c>
      <c r="H1481" s="8" t="s">
        <v>1352</v>
      </c>
    </row>
    <row r="1482" spans="1:8" s="8" customFormat="1">
      <c r="A1482" s="13"/>
      <c r="B1482" s="8" t="s">
        <v>5091</v>
      </c>
      <c r="C1482" s="284">
        <v>1000000</v>
      </c>
      <c r="D1482" s="284">
        <v>0</v>
      </c>
      <c r="E1482" s="284">
        <f t="shared" si="23"/>
        <v>44000000</v>
      </c>
      <c r="F1482" s="8" t="s">
        <v>1643</v>
      </c>
      <c r="G1482" s="8" t="s">
        <v>5</v>
      </c>
      <c r="H1482" s="8" t="s">
        <v>1352</v>
      </c>
    </row>
    <row r="1483" spans="1:8" s="8" customFormat="1">
      <c r="A1483" s="13"/>
      <c r="B1483" s="8" t="s">
        <v>5112</v>
      </c>
      <c r="C1483" s="284">
        <v>1000000</v>
      </c>
      <c r="D1483" s="284">
        <v>0</v>
      </c>
      <c r="E1483" s="284">
        <f t="shared" si="23"/>
        <v>43000000</v>
      </c>
      <c r="F1483" s="8" t="s">
        <v>1643</v>
      </c>
      <c r="G1483" s="8" t="s">
        <v>5</v>
      </c>
      <c r="H1483" s="8" t="s">
        <v>1352</v>
      </c>
    </row>
    <row r="1484" spans="1:8" s="8" customFormat="1">
      <c r="A1484" s="13"/>
      <c r="B1484" s="8" t="s">
        <v>5093</v>
      </c>
      <c r="C1484" s="284">
        <v>1000000</v>
      </c>
      <c r="D1484" s="284">
        <v>0</v>
      </c>
      <c r="E1484" s="284">
        <f t="shared" si="23"/>
        <v>42000000</v>
      </c>
      <c r="F1484" s="8" t="s">
        <v>1643</v>
      </c>
      <c r="G1484" s="8" t="s">
        <v>5</v>
      </c>
      <c r="H1484" s="8" t="s">
        <v>1352</v>
      </c>
    </row>
    <row r="1485" spans="1:8" s="8" customFormat="1">
      <c r="A1485" s="13"/>
      <c r="B1485" s="8" t="s">
        <v>5094</v>
      </c>
      <c r="C1485" s="284">
        <v>1000000</v>
      </c>
      <c r="D1485" s="284">
        <v>0</v>
      </c>
      <c r="E1485" s="284">
        <f t="shared" si="23"/>
        <v>41000000</v>
      </c>
      <c r="F1485" s="8" t="s">
        <v>1643</v>
      </c>
      <c r="G1485" s="8" t="s">
        <v>5</v>
      </c>
      <c r="H1485" s="8" t="s">
        <v>1352</v>
      </c>
    </row>
    <row r="1486" spans="1:8" s="8" customFormat="1">
      <c r="A1486" s="13"/>
      <c r="B1486" s="8" t="s">
        <v>5095</v>
      </c>
      <c r="C1486" s="284">
        <v>1000000</v>
      </c>
      <c r="D1486" s="284">
        <v>0</v>
      </c>
      <c r="E1486" s="284">
        <f t="shared" si="23"/>
        <v>40000000</v>
      </c>
      <c r="F1486" s="8" t="s">
        <v>1643</v>
      </c>
      <c r="G1486" s="8" t="s">
        <v>5</v>
      </c>
      <c r="H1486" s="8" t="s">
        <v>1352</v>
      </c>
    </row>
    <row r="1487" spans="1:8" s="8" customFormat="1">
      <c r="A1487" s="13"/>
      <c r="B1487" s="8" t="s">
        <v>5096</v>
      </c>
      <c r="C1487" s="284">
        <v>1000000</v>
      </c>
      <c r="D1487" s="284">
        <v>0</v>
      </c>
      <c r="E1487" s="284">
        <f t="shared" si="23"/>
        <v>39000000</v>
      </c>
      <c r="F1487" s="8" t="s">
        <v>1643</v>
      </c>
      <c r="G1487" s="8" t="s">
        <v>5</v>
      </c>
      <c r="H1487" s="8" t="s">
        <v>1352</v>
      </c>
    </row>
    <row r="1488" spans="1:8" s="8" customFormat="1">
      <c r="A1488" s="13"/>
      <c r="B1488" s="8" t="s">
        <v>5113</v>
      </c>
      <c r="C1488" s="284">
        <v>1000000</v>
      </c>
      <c r="D1488" s="284">
        <v>0</v>
      </c>
      <c r="E1488" s="284">
        <f t="shared" si="23"/>
        <v>38000000</v>
      </c>
      <c r="F1488" s="8" t="s">
        <v>1643</v>
      </c>
      <c r="G1488" s="8" t="s">
        <v>5</v>
      </c>
      <c r="H1488" s="8" t="s">
        <v>1352</v>
      </c>
    </row>
    <row r="1489" spans="1:8" s="8" customFormat="1">
      <c r="A1489" s="13"/>
      <c r="B1489" s="8" t="s">
        <v>5030</v>
      </c>
      <c r="C1489" s="284">
        <v>1000000</v>
      </c>
      <c r="D1489" s="284">
        <v>0</v>
      </c>
      <c r="E1489" s="284">
        <f t="shared" si="23"/>
        <v>37000000</v>
      </c>
      <c r="F1489" s="8" t="s">
        <v>1643</v>
      </c>
      <c r="G1489" s="8" t="s">
        <v>5</v>
      </c>
      <c r="H1489" s="8" t="s">
        <v>1352</v>
      </c>
    </row>
    <row r="1490" spans="1:8" s="8" customFormat="1">
      <c r="A1490" s="13"/>
      <c r="B1490" s="8" t="s">
        <v>5114</v>
      </c>
      <c r="C1490" s="284">
        <v>1000000</v>
      </c>
      <c r="D1490" s="284">
        <v>0</v>
      </c>
      <c r="E1490" s="284">
        <f t="shared" si="23"/>
        <v>36000000</v>
      </c>
      <c r="F1490" s="8" t="s">
        <v>1643</v>
      </c>
      <c r="G1490" s="8" t="s">
        <v>5</v>
      </c>
      <c r="H1490" s="8" t="s">
        <v>1352</v>
      </c>
    </row>
    <row r="1491" spans="1:8" s="8" customFormat="1">
      <c r="A1491" s="13"/>
      <c r="B1491" s="8" t="s">
        <v>5024</v>
      </c>
      <c r="C1491" s="284">
        <v>1000000</v>
      </c>
      <c r="D1491" s="284">
        <v>0</v>
      </c>
      <c r="E1491" s="284">
        <f t="shared" si="23"/>
        <v>35000000</v>
      </c>
      <c r="F1491" s="8" t="s">
        <v>1643</v>
      </c>
      <c r="G1491" s="8" t="s">
        <v>5</v>
      </c>
      <c r="H1491" s="8" t="s">
        <v>1352</v>
      </c>
    </row>
    <row r="1492" spans="1:8" s="8" customFormat="1">
      <c r="A1492" s="13"/>
      <c r="B1492" s="8" t="s">
        <v>5115</v>
      </c>
      <c r="C1492" s="284">
        <v>20000000</v>
      </c>
      <c r="D1492" s="284">
        <v>0</v>
      </c>
      <c r="E1492" s="284">
        <f t="shared" si="23"/>
        <v>15000000</v>
      </c>
      <c r="F1492" s="8" t="s">
        <v>1643</v>
      </c>
      <c r="G1492" s="8" t="s">
        <v>5</v>
      </c>
      <c r="H1492" s="8" t="s">
        <v>1352</v>
      </c>
    </row>
    <row r="1493" spans="1:8" s="8" customFormat="1">
      <c r="A1493" s="13"/>
      <c r="B1493" s="8" t="s">
        <v>5116</v>
      </c>
      <c r="C1493" s="284">
        <v>15000000</v>
      </c>
      <c r="D1493" s="284">
        <v>0</v>
      </c>
      <c r="E1493" s="284">
        <f t="shared" si="23"/>
        <v>0</v>
      </c>
      <c r="F1493" s="8" t="s">
        <v>1643</v>
      </c>
      <c r="G1493" s="8" t="s">
        <v>5</v>
      </c>
      <c r="H1493" s="8" t="s">
        <v>1352</v>
      </c>
    </row>
    <row r="1494" spans="1:8" s="8" customFormat="1">
      <c r="A1494" s="13">
        <v>45700</v>
      </c>
      <c r="B1494" s="8" t="s">
        <v>802</v>
      </c>
      <c r="C1494" s="284">
        <v>0</v>
      </c>
      <c r="D1494" s="284">
        <v>1479769</v>
      </c>
      <c r="E1494" s="284">
        <f t="shared" si="23"/>
        <v>1479769</v>
      </c>
      <c r="F1494" s="8" t="s">
        <v>920</v>
      </c>
      <c r="G1494" s="8" t="s">
        <v>400</v>
      </c>
      <c r="H1494" s="40" t="s">
        <v>5117</v>
      </c>
    </row>
    <row r="1495" spans="1:8" s="8" customFormat="1">
      <c r="A1495" s="13"/>
      <c r="B1495" s="8" t="s">
        <v>5118</v>
      </c>
      <c r="C1495" s="284">
        <v>191000</v>
      </c>
      <c r="D1495" s="284">
        <v>0</v>
      </c>
      <c r="E1495" s="284">
        <f t="shared" si="23"/>
        <v>1288769</v>
      </c>
      <c r="F1495" s="8" t="s">
        <v>1643</v>
      </c>
      <c r="G1495" s="8" t="s">
        <v>5</v>
      </c>
      <c r="H1495" s="40" t="s">
        <v>757</v>
      </c>
    </row>
    <row r="1496" spans="1:8" s="8" customFormat="1">
      <c r="A1496" s="13"/>
      <c r="B1496" s="8" t="s">
        <v>5119</v>
      </c>
      <c r="C1496" s="284">
        <v>59200</v>
      </c>
      <c r="D1496" s="284">
        <v>0</v>
      </c>
      <c r="E1496" s="284">
        <f t="shared" si="23"/>
        <v>1229569</v>
      </c>
      <c r="F1496" s="8" t="s">
        <v>1643</v>
      </c>
      <c r="G1496" s="8" t="s">
        <v>5</v>
      </c>
      <c r="H1496" s="8" t="s">
        <v>757</v>
      </c>
    </row>
    <row r="1497" spans="1:8" s="8" customFormat="1">
      <c r="A1497" s="13"/>
      <c r="B1497" s="8" t="s">
        <v>5120</v>
      </c>
      <c r="C1497" s="284">
        <v>41000</v>
      </c>
      <c r="D1497" s="284">
        <v>0</v>
      </c>
      <c r="E1497" s="284">
        <f t="shared" si="23"/>
        <v>1188569</v>
      </c>
      <c r="F1497" s="8" t="s">
        <v>1643</v>
      </c>
      <c r="G1497" s="8" t="s">
        <v>5</v>
      </c>
      <c r="H1497" s="8" t="s">
        <v>757</v>
      </c>
    </row>
    <row r="1498" spans="1:8" s="8" customFormat="1">
      <c r="A1498" s="13"/>
      <c r="B1498" s="8" t="s">
        <v>5121</v>
      </c>
      <c r="C1498" s="284">
        <v>37000</v>
      </c>
      <c r="D1498" s="284">
        <v>0</v>
      </c>
      <c r="E1498" s="284">
        <f t="shared" si="23"/>
        <v>1151569</v>
      </c>
      <c r="F1498" s="8" t="s">
        <v>1643</v>
      </c>
      <c r="G1498" s="8" t="s">
        <v>5</v>
      </c>
      <c r="H1498" s="8" t="s">
        <v>757</v>
      </c>
    </row>
    <row r="1499" spans="1:8" s="8" customFormat="1">
      <c r="A1499" s="13"/>
      <c r="B1499" s="8" t="s">
        <v>5122</v>
      </c>
      <c r="C1499" s="284">
        <v>30000</v>
      </c>
      <c r="D1499" s="284">
        <v>0</v>
      </c>
      <c r="E1499" s="284">
        <f t="shared" si="23"/>
        <v>1121569</v>
      </c>
      <c r="F1499" s="8" t="s">
        <v>1643</v>
      </c>
      <c r="G1499" s="8" t="s">
        <v>5</v>
      </c>
      <c r="H1499" s="8" t="s">
        <v>757</v>
      </c>
    </row>
    <row r="1500" spans="1:8" s="8" customFormat="1">
      <c r="A1500" s="13"/>
      <c r="B1500" s="8" t="s">
        <v>5123</v>
      </c>
      <c r="C1500" s="284">
        <v>4000</v>
      </c>
      <c r="D1500" s="284">
        <v>0</v>
      </c>
      <c r="E1500" s="284">
        <f t="shared" si="23"/>
        <v>1117569</v>
      </c>
      <c r="F1500" s="8" t="s">
        <v>1643</v>
      </c>
      <c r="G1500" s="8" t="s">
        <v>5</v>
      </c>
      <c r="H1500" s="8" t="s">
        <v>757</v>
      </c>
    </row>
    <row r="1501" spans="1:8" s="8" customFormat="1">
      <c r="A1501" s="13"/>
      <c r="B1501" s="8" t="s">
        <v>5123</v>
      </c>
      <c r="C1501" s="284">
        <v>4000</v>
      </c>
      <c r="D1501" s="284">
        <v>0</v>
      </c>
      <c r="E1501" s="284">
        <f t="shared" si="23"/>
        <v>1113569</v>
      </c>
      <c r="F1501" s="8" t="s">
        <v>1643</v>
      </c>
      <c r="G1501" s="8" t="s">
        <v>5</v>
      </c>
      <c r="H1501" s="8" t="s">
        <v>757</v>
      </c>
    </row>
    <row r="1502" spans="1:8" s="8" customFormat="1">
      <c r="A1502" s="13"/>
      <c r="B1502" s="8" t="s">
        <v>5124</v>
      </c>
      <c r="C1502" s="284">
        <v>10069</v>
      </c>
      <c r="D1502" s="284">
        <v>0</v>
      </c>
      <c r="E1502" s="284">
        <f t="shared" si="23"/>
        <v>1103500</v>
      </c>
      <c r="F1502" s="8" t="s">
        <v>1643</v>
      </c>
      <c r="G1502" s="8" t="s">
        <v>5</v>
      </c>
      <c r="H1502" s="8" t="s">
        <v>757</v>
      </c>
    </row>
    <row r="1503" spans="1:8" s="8" customFormat="1">
      <c r="A1503" s="13"/>
      <c r="B1503" s="8" t="s">
        <v>5125</v>
      </c>
      <c r="C1503" s="284">
        <v>212500</v>
      </c>
      <c r="D1503" s="284">
        <v>0</v>
      </c>
      <c r="E1503" s="284">
        <f t="shared" si="23"/>
        <v>891000</v>
      </c>
      <c r="F1503" s="8" t="s">
        <v>1643</v>
      </c>
      <c r="G1503" s="8" t="s">
        <v>5</v>
      </c>
      <c r="H1503" s="8" t="s">
        <v>757</v>
      </c>
    </row>
    <row r="1504" spans="1:8" s="8" customFormat="1">
      <c r="A1504" s="13"/>
      <c r="B1504" s="8" t="s">
        <v>5126</v>
      </c>
      <c r="C1504" s="284">
        <v>122000</v>
      </c>
      <c r="D1504" s="284">
        <v>0</v>
      </c>
      <c r="E1504" s="284">
        <f t="shared" si="23"/>
        <v>769000</v>
      </c>
      <c r="F1504" s="8" t="s">
        <v>1643</v>
      </c>
      <c r="G1504" s="8" t="s">
        <v>5</v>
      </c>
      <c r="H1504" s="8" t="s">
        <v>757</v>
      </c>
    </row>
    <row r="1505" spans="1:8" s="8" customFormat="1">
      <c r="A1505" s="13"/>
      <c r="B1505" s="8" t="s">
        <v>5127</v>
      </c>
      <c r="C1505" s="284">
        <v>510000</v>
      </c>
      <c r="D1505" s="284">
        <v>0</v>
      </c>
      <c r="E1505" s="284">
        <f t="shared" si="23"/>
        <v>259000</v>
      </c>
      <c r="F1505" s="8" t="s">
        <v>1643</v>
      </c>
      <c r="G1505" s="8" t="s">
        <v>5</v>
      </c>
      <c r="H1505" s="8" t="s">
        <v>757</v>
      </c>
    </row>
    <row r="1506" spans="1:8" s="8" customFormat="1">
      <c r="A1506" s="13"/>
      <c r="B1506" s="8" t="s">
        <v>5128</v>
      </c>
      <c r="C1506" s="284">
        <v>3000</v>
      </c>
      <c r="D1506" s="284">
        <v>0</v>
      </c>
      <c r="E1506" s="284">
        <f t="shared" si="23"/>
        <v>256000</v>
      </c>
      <c r="F1506" s="8" t="s">
        <v>1643</v>
      </c>
      <c r="G1506" s="8" t="s">
        <v>5</v>
      </c>
      <c r="H1506" s="8" t="s">
        <v>757</v>
      </c>
    </row>
    <row r="1507" spans="1:8" s="8" customFormat="1">
      <c r="A1507" s="13"/>
      <c r="B1507" s="8" t="s">
        <v>5129</v>
      </c>
      <c r="C1507" s="284">
        <v>216000</v>
      </c>
      <c r="D1507" s="284">
        <v>0</v>
      </c>
      <c r="E1507" s="284">
        <f t="shared" si="23"/>
        <v>40000</v>
      </c>
      <c r="F1507" s="8" t="s">
        <v>1643</v>
      </c>
      <c r="G1507" s="8" t="s">
        <v>5</v>
      </c>
      <c r="H1507" s="8" t="s">
        <v>757</v>
      </c>
    </row>
    <row r="1508" spans="1:8" s="8" customFormat="1">
      <c r="A1508" s="13"/>
      <c r="B1508" s="8" t="s">
        <v>5130</v>
      </c>
      <c r="C1508" s="284">
        <v>50000</v>
      </c>
      <c r="D1508" s="284">
        <v>0</v>
      </c>
      <c r="E1508" s="284">
        <f t="shared" si="23"/>
        <v>-10000</v>
      </c>
      <c r="F1508" s="8" t="s">
        <v>1643</v>
      </c>
      <c r="G1508" s="8" t="s">
        <v>5</v>
      </c>
      <c r="H1508" s="8" t="s">
        <v>757</v>
      </c>
    </row>
    <row r="1509" spans="1:8" s="8" customFormat="1">
      <c r="A1509" s="13">
        <v>45721</v>
      </c>
      <c r="B1509" s="8" t="s">
        <v>940</v>
      </c>
      <c r="C1509" s="284">
        <v>0</v>
      </c>
      <c r="D1509" s="284">
        <v>10000</v>
      </c>
      <c r="E1509" s="284">
        <f t="shared" si="23"/>
        <v>0</v>
      </c>
      <c r="F1509" s="8" t="s">
        <v>920</v>
      </c>
      <c r="G1509" s="8" t="s">
        <v>400</v>
      </c>
      <c r="H1509" s="40" t="s">
        <v>4873</v>
      </c>
    </row>
    <row r="1510" spans="1:8" s="8" customFormat="1">
      <c r="A1510" s="13">
        <v>45706</v>
      </c>
      <c r="B1510" s="8" t="s">
        <v>836</v>
      </c>
      <c r="C1510" s="284">
        <v>0</v>
      </c>
      <c r="D1510" s="284">
        <v>30000000</v>
      </c>
      <c r="E1510" s="284">
        <f t="shared" si="23"/>
        <v>30000000</v>
      </c>
      <c r="F1510" s="8" t="s">
        <v>920</v>
      </c>
      <c r="G1510" s="8" t="s">
        <v>400</v>
      </c>
      <c r="H1510" s="40" t="s">
        <v>5131</v>
      </c>
    </row>
    <row r="1511" spans="1:8" s="8" customFormat="1">
      <c r="A1511" s="13"/>
      <c r="B1511" s="8" t="s">
        <v>5132</v>
      </c>
      <c r="C1511" s="284">
        <v>30000000</v>
      </c>
      <c r="D1511" s="284">
        <v>0</v>
      </c>
      <c r="E1511" s="284">
        <f t="shared" si="23"/>
        <v>0</v>
      </c>
      <c r="F1511" s="8" t="s">
        <v>1643</v>
      </c>
      <c r="G1511" s="8" t="s">
        <v>5</v>
      </c>
      <c r="H1511" s="8" t="s">
        <v>1368</v>
      </c>
    </row>
    <row r="1512" spans="1:8" s="8" customFormat="1">
      <c r="A1512" s="13"/>
      <c r="B1512" s="8" t="s">
        <v>5133</v>
      </c>
      <c r="C1512" s="284">
        <v>900000</v>
      </c>
      <c r="D1512" s="284">
        <v>0</v>
      </c>
      <c r="E1512" s="284">
        <f t="shared" si="23"/>
        <v>-900000</v>
      </c>
      <c r="F1512" s="8" t="s">
        <v>1643</v>
      </c>
      <c r="G1512" s="8" t="s">
        <v>5</v>
      </c>
      <c r="H1512" s="8" t="s">
        <v>1368</v>
      </c>
    </row>
    <row r="1513" spans="1:8" s="8" customFormat="1">
      <c r="A1513" s="13"/>
      <c r="B1513" s="8" t="s">
        <v>5134</v>
      </c>
      <c r="C1513" s="284">
        <v>2500</v>
      </c>
      <c r="D1513" s="284">
        <v>0</v>
      </c>
      <c r="E1513" s="284">
        <f t="shared" si="23"/>
        <v>-902500</v>
      </c>
      <c r="F1513" s="8" t="s">
        <v>1643</v>
      </c>
      <c r="G1513" s="8" t="s">
        <v>5</v>
      </c>
      <c r="H1513" s="8" t="s">
        <v>1368</v>
      </c>
    </row>
    <row r="1514" spans="1:8" s="8" customFormat="1">
      <c r="A1514" s="13">
        <v>45721</v>
      </c>
      <c r="B1514" s="8" t="s">
        <v>939</v>
      </c>
      <c r="C1514" s="284">
        <v>0</v>
      </c>
      <c r="D1514" s="284">
        <v>902500</v>
      </c>
      <c r="E1514" s="284">
        <f t="shared" si="23"/>
        <v>0</v>
      </c>
      <c r="F1514" s="8" t="s">
        <v>920</v>
      </c>
      <c r="G1514" s="8" t="s">
        <v>400</v>
      </c>
      <c r="H1514" s="40" t="s">
        <v>5131</v>
      </c>
    </row>
    <row r="1515" spans="1:8" s="8" customFormat="1">
      <c r="A1515" s="13">
        <v>45706</v>
      </c>
      <c r="B1515" s="8" t="s">
        <v>835</v>
      </c>
      <c r="C1515" s="284">
        <v>0</v>
      </c>
      <c r="D1515" s="284">
        <v>25000000</v>
      </c>
      <c r="E1515" s="284">
        <f t="shared" si="23"/>
        <v>25000000</v>
      </c>
      <c r="F1515" s="8" t="s">
        <v>920</v>
      </c>
      <c r="G1515" s="8" t="s">
        <v>400</v>
      </c>
      <c r="H1515" s="40" t="s">
        <v>5135</v>
      </c>
    </row>
    <row r="1516" spans="1:8" s="8" customFormat="1">
      <c r="A1516" s="13"/>
      <c r="B1516" s="8" t="s">
        <v>5136</v>
      </c>
      <c r="C1516" s="284">
        <v>10000000</v>
      </c>
      <c r="D1516" s="284">
        <v>0</v>
      </c>
      <c r="E1516" s="284">
        <f t="shared" si="23"/>
        <v>15000000</v>
      </c>
      <c r="F1516" s="8" t="s">
        <v>1643</v>
      </c>
      <c r="G1516" s="8" t="s">
        <v>5</v>
      </c>
      <c r="H1516" s="40" t="s">
        <v>1368</v>
      </c>
    </row>
    <row r="1517" spans="1:8" s="8" customFormat="1">
      <c r="A1517" s="13"/>
      <c r="B1517" s="8" t="s">
        <v>5137</v>
      </c>
      <c r="C1517" s="284">
        <v>12000000</v>
      </c>
      <c r="D1517" s="284">
        <v>0</v>
      </c>
      <c r="E1517" s="284">
        <f t="shared" si="23"/>
        <v>3000000</v>
      </c>
      <c r="F1517" s="8" t="s">
        <v>1643</v>
      </c>
      <c r="G1517" s="8" t="s">
        <v>5</v>
      </c>
      <c r="H1517" s="40" t="s">
        <v>1368</v>
      </c>
    </row>
    <row r="1518" spans="1:8" s="8" customFormat="1">
      <c r="A1518" s="13"/>
      <c r="B1518" s="8" t="s">
        <v>5138</v>
      </c>
      <c r="C1518" s="284">
        <v>300000</v>
      </c>
      <c r="D1518" s="284">
        <v>0</v>
      </c>
      <c r="E1518" s="284">
        <f t="shared" si="23"/>
        <v>2700000</v>
      </c>
      <c r="F1518" s="8" t="s">
        <v>1643</v>
      </c>
      <c r="G1518" s="8" t="s">
        <v>5</v>
      </c>
      <c r="H1518" s="40" t="s">
        <v>1368</v>
      </c>
    </row>
    <row r="1519" spans="1:8" s="8" customFormat="1">
      <c r="A1519" s="13"/>
      <c r="B1519" s="8" t="s">
        <v>5139</v>
      </c>
      <c r="C1519" s="284">
        <v>212000</v>
      </c>
      <c r="D1519" s="284">
        <v>0</v>
      </c>
      <c r="E1519" s="284">
        <f t="shared" si="23"/>
        <v>2488000</v>
      </c>
      <c r="F1519" s="8" t="s">
        <v>1643</v>
      </c>
      <c r="G1519" s="8" t="s">
        <v>5</v>
      </c>
      <c r="H1519" s="40" t="s">
        <v>1368</v>
      </c>
    </row>
    <row r="1520" spans="1:8" s="8" customFormat="1">
      <c r="A1520" s="13"/>
      <c r="B1520" s="8" t="s">
        <v>5140</v>
      </c>
      <c r="C1520" s="284">
        <v>376000</v>
      </c>
      <c r="D1520" s="284">
        <v>0</v>
      </c>
      <c r="E1520" s="284">
        <f t="shared" si="23"/>
        <v>2112000</v>
      </c>
      <c r="F1520" s="8" t="s">
        <v>1643</v>
      </c>
      <c r="G1520" s="8" t="s">
        <v>5</v>
      </c>
      <c r="H1520" s="40" t="s">
        <v>1368</v>
      </c>
    </row>
    <row r="1521" spans="1:8" s="8" customFormat="1">
      <c r="A1521" s="13"/>
      <c r="B1521" s="8" t="s">
        <v>5141</v>
      </c>
      <c r="C1521" s="284">
        <v>298000</v>
      </c>
      <c r="D1521" s="284">
        <v>0</v>
      </c>
      <c r="E1521" s="284">
        <f t="shared" si="23"/>
        <v>1814000</v>
      </c>
      <c r="F1521" s="8" t="s">
        <v>1643</v>
      </c>
      <c r="G1521" s="8" t="s">
        <v>5</v>
      </c>
      <c r="H1521" s="40" t="s">
        <v>1368</v>
      </c>
    </row>
    <row r="1522" spans="1:8" s="8" customFormat="1">
      <c r="A1522" s="13"/>
      <c r="B1522" s="8" t="s">
        <v>5142</v>
      </c>
      <c r="C1522" s="284">
        <v>375522</v>
      </c>
      <c r="D1522" s="284">
        <v>0</v>
      </c>
      <c r="E1522" s="284">
        <f t="shared" si="23"/>
        <v>1438478</v>
      </c>
      <c r="F1522" s="8" t="s">
        <v>1643</v>
      </c>
      <c r="G1522" s="8" t="s">
        <v>5</v>
      </c>
      <c r="H1522" s="40" t="s">
        <v>1368</v>
      </c>
    </row>
    <row r="1523" spans="1:8" s="8" customFormat="1">
      <c r="A1523" s="13"/>
      <c r="B1523" s="8" t="s">
        <v>5143</v>
      </c>
      <c r="C1523" s="284">
        <v>589000</v>
      </c>
      <c r="D1523" s="284">
        <v>0</v>
      </c>
      <c r="E1523" s="284">
        <f t="shared" si="23"/>
        <v>849478</v>
      </c>
      <c r="F1523" s="8" t="s">
        <v>1643</v>
      </c>
      <c r="G1523" s="8" t="s">
        <v>5</v>
      </c>
      <c r="H1523" s="40" t="s">
        <v>1368</v>
      </c>
    </row>
    <row r="1524" spans="1:8" s="8" customFormat="1">
      <c r="A1524" s="13"/>
      <c r="B1524" s="8" t="s">
        <v>5144</v>
      </c>
      <c r="C1524" s="284">
        <v>510000</v>
      </c>
      <c r="D1524" s="284">
        <v>0</v>
      </c>
      <c r="E1524" s="284">
        <f t="shared" si="23"/>
        <v>339478</v>
      </c>
      <c r="F1524" s="8" t="s">
        <v>1643</v>
      </c>
      <c r="G1524" s="8" t="s">
        <v>5</v>
      </c>
      <c r="H1524" s="40" t="s">
        <v>1368</v>
      </c>
    </row>
    <row r="1525" spans="1:8" s="8" customFormat="1">
      <c r="A1525" s="13"/>
      <c r="B1525" s="8" t="s">
        <v>5145</v>
      </c>
      <c r="C1525" s="284">
        <v>28000</v>
      </c>
      <c r="D1525" s="284">
        <v>0</v>
      </c>
      <c r="E1525" s="284">
        <f t="shared" si="23"/>
        <v>311478</v>
      </c>
      <c r="F1525" s="8" t="s">
        <v>1643</v>
      </c>
      <c r="G1525" s="8" t="s">
        <v>5</v>
      </c>
      <c r="H1525" s="40" t="s">
        <v>1368</v>
      </c>
    </row>
    <row r="1526" spans="1:8" s="8" customFormat="1">
      <c r="A1526" s="13"/>
      <c r="B1526" s="8" t="s">
        <v>5146</v>
      </c>
      <c r="C1526" s="284">
        <v>1008000</v>
      </c>
      <c r="D1526" s="284">
        <v>0</v>
      </c>
      <c r="E1526" s="284">
        <f t="shared" si="23"/>
        <v>-696522</v>
      </c>
      <c r="F1526" s="8" t="s">
        <v>1643</v>
      </c>
      <c r="G1526" s="8" t="s">
        <v>5</v>
      </c>
      <c r="H1526" s="40" t="s">
        <v>1368</v>
      </c>
    </row>
    <row r="1527" spans="1:8" s="8" customFormat="1">
      <c r="A1527" s="13"/>
      <c r="B1527" s="8" t="s">
        <v>5147</v>
      </c>
      <c r="C1527" s="284">
        <v>209300</v>
      </c>
      <c r="D1527" s="284">
        <v>0</v>
      </c>
      <c r="E1527" s="284">
        <f t="shared" si="23"/>
        <v>-905822</v>
      </c>
      <c r="F1527" s="8" t="s">
        <v>1643</v>
      </c>
      <c r="G1527" s="8" t="s">
        <v>5</v>
      </c>
      <c r="H1527" s="40" t="s">
        <v>1368</v>
      </c>
    </row>
    <row r="1528" spans="1:8" s="8" customFormat="1">
      <c r="A1528" s="13"/>
      <c r="B1528" s="8" t="s">
        <v>5148</v>
      </c>
      <c r="C1528" s="284">
        <v>44400</v>
      </c>
      <c r="D1528" s="284">
        <v>0</v>
      </c>
      <c r="E1528" s="284">
        <f t="shared" si="23"/>
        <v>-950222</v>
      </c>
      <c r="F1528" s="8" t="s">
        <v>1643</v>
      </c>
      <c r="G1528" s="8" t="s">
        <v>5</v>
      </c>
      <c r="H1528" s="40" t="s">
        <v>1368</v>
      </c>
    </row>
    <row r="1529" spans="1:8" s="8" customFormat="1">
      <c r="A1529" s="13"/>
      <c r="B1529" s="8" t="s">
        <v>5149</v>
      </c>
      <c r="C1529" s="284">
        <v>36000</v>
      </c>
      <c r="D1529" s="284">
        <v>0</v>
      </c>
      <c r="E1529" s="284">
        <f t="shared" si="23"/>
        <v>-986222</v>
      </c>
      <c r="F1529" s="8" t="s">
        <v>1643</v>
      </c>
      <c r="G1529" s="8" t="s">
        <v>5</v>
      </c>
      <c r="H1529" s="40" t="s">
        <v>1368</v>
      </c>
    </row>
    <row r="1530" spans="1:8" s="8" customFormat="1">
      <c r="A1530" s="13"/>
      <c r="B1530" s="8" t="s">
        <v>5150</v>
      </c>
      <c r="C1530" s="284">
        <v>25000</v>
      </c>
      <c r="D1530" s="284">
        <v>0</v>
      </c>
      <c r="E1530" s="284">
        <f t="shared" si="23"/>
        <v>-1011222</v>
      </c>
      <c r="F1530" s="8" t="s">
        <v>1643</v>
      </c>
      <c r="G1530" s="8" t="s">
        <v>5</v>
      </c>
      <c r="H1530" s="40" t="s">
        <v>1368</v>
      </c>
    </row>
    <row r="1531" spans="1:8" s="8" customFormat="1">
      <c r="A1531" s="13"/>
      <c r="B1531" s="8" t="s">
        <v>5151</v>
      </c>
      <c r="C1531" s="284">
        <v>170000</v>
      </c>
      <c r="D1531" s="284">
        <v>0</v>
      </c>
      <c r="E1531" s="284">
        <f t="shared" si="23"/>
        <v>-1181222</v>
      </c>
      <c r="F1531" s="8" t="s">
        <v>1643</v>
      </c>
      <c r="G1531" s="8" t="s">
        <v>5</v>
      </c>
      <c r="H1531" s="40" t="s">
        <v>1368</v>
      </c>
    </row>
    <row r="1532" spans="1:8" s="8" customFormat="1">
      <c r="A1532" s="13"/>
      <c r="B1532" s="8" t="s">
        <v>5152</v>
      </c>
      <c r="C1532" s="284">
        <v>26000</v>
      </c>
      <c r="D1532" s="284">
        <v>0</v>
      </c>
      <c r="E1532" s="284">
        <f t="shared" si="23"/>
        <v>-1207222</v>
      </c>
      <c r="F1532" s="8" t="s">
        <v>1643</v>
      </c>
      <c r="G1532" s="8" t="s">
        <v>5</v>
      </c>
      <c r="H1532" s="40" t="s">
        <v>1368</v>
      </c>
    </row>
    <row r="1533" spans="1:8" s="8" customFormat="1">
      <c r="A1533" s="13"/>
      <c r="B1533" s="8" t="s">
        <v>5153</v>
      </c>
      <c r="C1533" s="284">
        <v>4000</v>
      </c>
      <c r="D1533" s="284">
        <v>0</v>
      </c>
      <c r="E1533" s="284">
        <f t="shared" si="23"/>
        <v>-1211222</v>
      </c>
      <c r="F1533" s="8" t="s">
        <v>1643</v>
      </c>
      <c r="G1533" s="8" t="s">
        <v>5</v>
      </c>
      <c r="H1533" s="40" t="s">
        <v>1368</v>
      </c>
    </row>
    <row r="1534" spans="1:8" s="8" customFormat="1">
      <c r="A1534" s="13"/>
      <c r="B1534" s="8" t="s">
        <v>5154</v>
      </c>
      <c r="C1534" s="284">
        <v>6000</v>
      </c>
      <c r="D1534" s="284">
        <v>0</v>
      </c>
      <c r="E1534" s="284">
        <f t="shared" si="23"/>
        <v>-1217222</v>
      </c>
      <c r="F1534" s="8" t="s">
        <v>1643</v>
      </c>
      <c r="G1534" s="8" t="s">
        <v>5</v>
      </c>
      <c r="H1534" s="40" t="s">
        <v>1368</v>
      </c>
    </row>
    <row r="1535" spans="1:8" s="8" customFormat="1">
      <c r="A1535" s="13"/>
      <c r="B1535" s="8" t="s">
        <v>5155</v>
      </c>
      <c r="C1535" s="284">
        <v>6000</v>
      </c>
      <c r="D1535" s="284">
        <v>0</v>
      </c>
      <c r="E1535" s="284">
        <f t="shared" si="23"/>
        <v>-1223222</v>
      </c>
      <c r="F1535" s="8" t="s">
        <v>1643</v>
      </c>
      <c r="G1535" s="8" t="s">
        <v>5</v>
      </c>
      <c r="H1535" s="40" t="s">
        <v>1368</v>
      </c>
    </row>
    <row r="1536" spans="1:8" s="8" customFormat="1">
      <c r="A1536" s="13"/>
      <c r="B1536" s="8" t="s">
        <v>5156</v>
      </c>
      <c r="C1536" s="284">
        <v>110000</v>
      </c>
      <c r="D1536" s="284">
        <v>0</v>
      </c>
      <c r="E1536" s="284">
        <f t="shared" si="23"/>
        <v>-1333222</v>
      </c>
      <c r="F1536" s="8" t="s">
        <v>1643</v>
      </c>
      <c r="G1536" s="8" t="s">
        <v>5</v>
      </c>
      <c r="H1536" s="40" t="s">
        <v>1368</v>
      </c>
    </row>
    <row r="1537" spans="1:8" s="8" customFormat="1">
      <c r="A1537" s="13"/>
      <c r="B1537" s="8" t="s">
        <v>5157</v>
      </c>
      <c r="C1537" s="284">
        <v>105000</v>
      </c>
      <c r="D1537" s="284">
        <v>0</v>
      </c>
      <c r="E1537" s="284">
        <f t="shared" si="23"/>
        <v>-1438222</v>
      </c>
      <c r="F1537" s="8" t="s">
        <v>1643</v>
      </c>
      <c r="G1537" s="8" t="s">
        <v>5</v>
      </c>
      <c r="H1537" s="40" t="s">
        <v>1368</v>
      </c>
    </row>
    <row r="1538" spans="1:8" s="8" customFormat="1">
      <c r="A1538" s="13"/>
      <c r="B1538" s="8" t="s">
        <v>5158</v>
      </c>
      <c r="C1538" s="284">
        <v>97000</v>
      </c>
      <c r="D1538" s="284">
        <v>0</v>
      </c>
      <c r="E1538" s="284">
        <f t="shared" si="23"/>
        <v>-1535222</v>
      </c>
      <c r="F1538" s="8" t="s">
        <v>1643</v>
      </c>
      <c r="G1538" s="8" t="s">
        <v>5</v>
      </c>
      <c r="H1538" s="40" t="s">
        <v>1368</v>
      </c>
    </row>
    <row r="1539" spans="1:8" s="8" customFormat="1">
      <c r="A1539" s="13"/>
      <c r="B1539" s="8" t="s">
        <v>5159</v>
      </c>
      <c r="C1539" s="284">
        <v>100000</v>
      </c>
      <c r="D1539" s="284">
        <v>0</v>
      </c>
      <c r="E1539" s="284">
        <f t="shared" si="23"/>
        <v>-1635222</v>
      </c>
      <c r="F1539" s="8" t="s">
        <v>1643</v>
      </c>
      <c r="G1539" s="8" t="s">
        <v>5</v>
      </c>
      <c r="H1539" s="40" t="s">
        <v>1368</v>
      </c>
    </row>
    <row r="1540" spans="1:8" s="8" customFormat="1">
      <c r="A1540" s="13"/>
      <c r="B1540" s="8" t="s">
        <v>5160</v>
      </c>
      <c r="C1540" s="284">
        <v>100000</v>
      </c>
      <c r="D1540" s="284">
        <v>0</v>
      </c>
      <c r="E1540" s="284">
        <f t="shared" si="23"/>
        <v>-1735222</v>
      </c>
      <c r="F1540" s="8" t="s">
        <v>1643</v>
      </c>
      <c r="G1540" s="8" t="s">
        <v>5</v>
      </c>
      <c r="H1540" s="40" t="s">
        <v>1368</v>
      </c>
    </row>
    <row r="1541" spans="1:8" s="8" customFormat="1">
      <c r="A1541" s="13"/>
      <c r="B1541" s="8" t="s">
        <v>5161</v>
      </c>
      <c r="C1541" s="284">
        <v>200000</v>
      </c>
      <c r="D1541" s="284">
        <v>0</v>
      </c>
      <c r="E1541" s="284">
        <f t="shared" si="23"/>
        <v>-1935222</v>
      </c>
      <c r="F1541" s="8" t="s">
        <v>1643</v>
      </c>
      <c r="G1541" s="8" t="s">
        <v>5</v>
      </c>
      <c r="H1541" s="40" t="s">
        <v>1368</v>
      </c>
    </row>
    <row r="1542" spans="1:8" s="8" customFormat="1">
      <c r="A1542" s="13"/>
      <c r="B1542" s="8" t="s">
        <v>5162</v>
      </c>
      <c r="C1542" s="284">
        <v>50000</v>
      </c>
      <c r="D1542" s="284">
        <v>0</v>
      </c>
      <c r="E1542" s="284">
        <f t="shared" ref="E1542:E1605" si="24">E1541-C1542+D1542</f>
        <v>-1985222</v>
      </c>
      <c r="F1542" s="8" t="s">
        <v>1643</v>
      </c>
      <c r="G1542" s="8" t="s">
        <v>5</v>
      </c>
      <c r="H1542" s="40" t="s">
        <v>1368</v>
      </c>
    </row>
    <row r="1543" spans="1:8" s="8" customFormat="1">
      <c r="A1543" s="13"/>
      <c r="B1543" s="8" t="s">
        <v>5163</v>
      </c>
      <c r="C1543" s="284">
        <v>50000</v>
      </c>
      <c r="D1543" s="284">
        <v>0</v>
      </c>
      <c r="E1543" s="284">
        <f t="shared" si="24"/>
        <v>-2035222</v>
      </c>
      <c r="F1543" s="8" t="s">
        <v>1643</v>
      </c>
      <c r="G1543" s="8" t="s">
        <v>5</v>
      </c>
      <c r="H1543" s="40" t="s">
        <v>1368</v>
      </c>
    </row>
    <row r="1544" spans="1:8" s="8" customFormat="1">
      <c r="A1544" s="13"/>
      <c r="B1544" s="8" t="s">
        <v>5164</v>
      </c>
      <c r="C1544" s="284">
        <v>10000</v>
      </c>
      <c r="D1544" s="284">
        <v>0</v>
      </c>
      <c r="E1544" s="284">
        <f t="shared" si="24"/>
        <v>-2045222</v>
      </c>
      <c r="F1544" s="8" t="s">
        <v>1643</v>
      </c>
      <c r="G1544" s="8" t="s">
        <v>5</v>
      </c>
      <c r="H1544" s="40" t="s">
        <v>1368</v>
      </c>
    </row>
    <row r="1545" spans="1:8" s="8" customFormat="1">
      <c r="A1545" s="13">
        <v>45902</v>
      </c>
      <c r="B1545" s="8" t="s">
        <v>3487</v>
      </c>
      <c r="C1545" s="284">
        <v>0</v>
      </c>
      <c r="D1545" s="284">
        <v>2045222</v>
      </c>
      <c r="E1545" s="284">
        <f t="shared" si="24"/>
        <v>0</v>
      </c>
      <c r="F1545" s="8" t="s">
        <v>920</v>
      </c>
      <c r="G1545" s="8" t="s">
        <v>400</v>
      </c>
      <c r="H1545" s="40" t="s">
        <v>5135</v>
      </c>
    </row>
    <row r="1546" spans="1:8" s="8" customFormat="1">
      <c r="A1546" s="13">
        <v>45706</v>
      </c>
      <c r="B1546" s="8" t="s">
        <v>834</v>
      </c>
      <c r="C1546" s="284">
        <v>0</v>
      </c>
      <c r="D1546" s="284">
        <v>8000000</v>
      </c>
      <c r="E1546" s="284">
        <f t="shared" si="24"/>
        <v>8000000</v>
      </c>
      <c r="F1546" s="8" t="s">
        <v>920</v>
      </c>
      <c r="G1546" s="8" t="s">
        <v>400</v>
      </c>
      <c r="H1546" s="40" t="s">
        <v>5165</v>
      </c>
    </row>
    <row r="1547" spans="1:8" s="8" customFormat="1">
      <c r="A1547" s="13"/>
      <c r="B1547" s="8" t="s">
        <v>5166</v>
      </c>
      <c r="C1547" s="284">
        <v>20000</v>
      </c>
      <c r="D1547" s="284">
        <v>0</v>
      </c>
      <c r="E1547" s="284">
        <f t="shared" si="24"/>
        <v>7980000</v>
      </c>
      <c r="F1547" s="8" t="s">
        <v>1643</v>
      </c>
      <c r="G1547" s="8" t="s">
        <v>5</v>
      </c>
      <c r="H1547" s="40" t="s">
        <v>1364</v>
      </c>
    </row>
    <row r="1548" spans="1:8" s="8" customFormat="1">
      <c r="A1548" s="13"/>
      <c r="B1548" s="8" t="s">
        <v>5167</v>
      </c>
      <c r="C1548" s="284">
        <v>5000000</v>
      </c>
      <c r="D1548" s="284">
        <v>0</v>
      </c>
      <c r="E1548" s="284">
        <f t="shared" si="24"/>
        <v>2980000</v>
      </c>
      <c r="F1548" s="8" t="s">
        <v>1643</v>
      </c>
      <c r="G1548" s="8" t="s">
        <v>5</v>
      </c>
      <c r="H1548" s="40" t="s">
        <v>1364</v>
      </c>
    </row>
    <row r="1549" spans="1:8" s="8" customFormat="1">
      <c r="A1549" s="13"/>
      <c r="B1549" s="8" t="s">
        <v>5122</v>
      </c>
      <c r="C1549" s="284">
        <v>36000</v>
      </c>
      <c r="D1549" s="284">
        <v>0</v>
      </c>
      <c r="E1549" s="284">
        <f t="shared" si="24"/>
        <v>2944000</v>
      </c>
      <c r="F1549" s="8" t="s">
        <v>1643</v>
      </c>
      <c r="G1549" s="8" t="s">
        <v>5</v>
      </c>
      <c r="H1549" s="40" t="s">
        <v>1364</v>
      </c>
    </row>
    <row r="1550" spans="1:8" s="8" customFormat="1">
      <c r="A1550" s="13"/>
      <c r="B1550" s="8" t="s">
        <v>5168</v>
      </c>
      <c r="C1550" s="284">
        <v>406000</v>
      </c>
      <c r="D1550" s="284">
        <v>0</v>
      </c>
      <c r="E1550" s="284">
        <f t="shared" si="24"/>
        <v>2538000</v>
      </c>
      <c r="F1550" s="8" t="s">
        <v>1643</v>
      </c>
      <c r="G1550" s="8" t="s">
        <v>5</v>
      </c>
      <c r="H1550" s="40" t="s">
        <v>1364</v>
      </c>
    </row>
    <row r="1551" spans="1:8" s="8" customFormat="1">
      <c r="A1551" s="13"/>
      <c r="B1551" s="8" t="s">
        <v>5130</v>
      </c>
      <c r="C1551" s="284">
        <v>50000</v>
      </c>
      <c r="D1551" s="284">
        <v>0</v>
      </c>
      <c r="E1551" s="284">
        <f t="shared" si="24"/>
        <v>2488000</v>
      </c>
      <c r="F1551" s="8" t="s">
        <v>1643</v>
      </c>
      <c r="G1551" s="8" t="s">
        <v>5</v>
      </c>
      <c r="H1551" s="40" t="s">
        <v>1364</v>
      </c>
    </row>
    <row r="1552" spans="1:8" s="8" customFormat="1">
      <c r="A1552" s="13"/>
      <c r="B1552" s="8" t="s">
        <v>5169</v>
      </c>
      <c r="C1552" s="284">
        <v>50000</v>
      </c>
      <c r="D1552" s="284">
        <v>0</v>
      </c>
      <c r="E1552" s="284">
        <f t="shared" si="24"/>
        <v>2438000</v>
      </c>
      <c r="F1552" s="8" t="s">
        <v>1643</v>
      </c>
      <c r="G1552" s="8" t="s">
        <v>5</v>
      </c>
      <c r="H1552" s="40" t="s">
        <v>1364</v>
      </c>
    </row>
    <row r="1553" spans="1:8" s="8" customFormat="1">
      <c r="A1553" s="13"/>
      <c r="B1553" s="8" t="s">
        <v>5170</v>
      </c>
      <c r="C1553" s="284">
        <v>45000</v>
      </c>
      <c r="D1553" s="284">
        <v>0</v>
      </c>
      <c r="E1553" s="284">
        <f t="shared" si="24"/>
        <v>2393000</v>
      </c>
      <c r="F1553" s="8" t="s">
        <v>1643</v>
      </c>
      <c r="G1553" s="8" t="s">
        <v>5</v>
      </c>
      <c r="H1553" s="40" t="s">
        <v>1364</v>
      </c>
    </row>
    <row r="1554" spans="1:8" s="8" customFormat="1">
      <c r="A1554" s="13"/>
      <c r="B1554" s="8" t="s">
        <v>5171</v>
      </c>
      <c r="C1554" s="284">
        <v>30000</v>
      </c>
      <c r="D1554" s="284">
        <v>0</v>
      </c>
      <c r="E1554" s="284">
        <f t="shared" si="24"/>
        <v>2363000</v>
      </c>
      <c r="F1554" s="8" t="s">
        <v>1643</v>
      </c>
      <c r="G1554" s="8" t="s">
        <v>5</v>
      </c>
      <c r="H1554" s="40" t="s">
        <v>1364</v>
      </c>
    </row>
    <row r="1555" spans="1:8" s="8" customFormat="1">
      <c r="A1555" s="13"/>
      <c r="B1555" s="8" t="s">
        <v>5172</v>
      </c>
      <c r="C1555" s="284">
        <v>50000</v>
      </c>
      <c r="D1555" s="284">
        <v>0</v>
      </c>
      <c r="E1555" s="284">
        <f t="shared" si="24"/>
        <v>2313000</v>
      </c>
      <c r="F1555" s="8" t="s">
        <v>1643</v>
      </c>
      <c r="G1555" s="8" t="s">
        <v>5</v>
      </c>
      <c r="H1555" s="40" t="s">
        <v>1364</v>
      </c>
    </row>
    <row r="1556" spans="1:8" s="8" customFormat="1">
      <c r="A1556" s="13"/>
      <c r="B1556" s="8" t="s">
        <v>5130</v>
      </c>
      <c r="C1556" s="284">
        <v>50000</v>
      </c>
      <c r="D1556" s="284">
        <v>0</v>
      </c>
      <c r="E1556" s="284">
        <f t="shared" si="24"/>
        <v>2263000</v>
      </c>
      <c r="F1556" s="8" t="s">
        <v>1643</v>
      </c>
      <c r="G1556" s="8" t="s">
        <v>5</v>
      </c>
      <c r="H1556" s="40" t="s">
        <v>1364</v>
      </c>
    </row>
    <row r="1557" spans="1:8" s="8" customFormat="1">
      <c r="A1557" s="13"/>
      <c r="B1557" s="8" t="s">
        <v>5170</v>
      </c>
      <c r="C1557" s="284">
        <v>55000</v>
      </c>
      <c r="D1557" s="284">
        <v>0</v>
      </c>
      <c r="E1557" s="284">
        <f t="shared" si="24"/>
        <v>2208000</v>
      </c>
      <c r="F1557" s="8" t="s">
        <v>1643</v>
      </c>
      <c r="G1557" s="8" t="s">
        <v>5</v>
      </c>
      <c r="H1557" s="40" t="s">
        <v>1364</v>
      </c>
    </row>
    <row r="1558" spans="1:8" s="8" customFormat="1">
      <c r="A1558" s="13"/>
      <c r="B1558" s="8" t="s">
        <v>5173</v>
      </c>
      <c r="C1558" s="284">
        <v>0</v>
      </c>
      <c r="D1558" s="284">
        <v>5000000</v>
      </c>
      <c r="E1558" s="284">
        <f t="shared" si="24"/>
        <v>7208000</v>
      </c>
      <c r="F1558" s="8" t="s">
        <v>1643</v>
      </c>
      <c r="G1558" s="8" t="s">
        <v>5</v>
      </c>
      <c r="H1558" s="40" t="s">
        <v>1364</v>
      </c>
    </row>
    <row r="1559" spans="1:8" s="8" customFormat="1">
      <c r="A1559" s="13"/>
      <c r="B1559" s="8" t="s">
        <v>5174</v>
      </c>
      <c r="C1559" s="284">
        <v>288000</v>
      </c>
      <c r="D1559" s="284">
        <v>0</v>
      </c>
      <c r="E1559" s="284">
        <f t="shared" si="24"/>
        <v>6920000</v>
      </c>
      <c r="F1559" s="8" t="s">
        <v>1643</v>
      </c>
      <c r="G1559" s="8" t="s">
        <v>5</v>
      </c>
      <c r="H1559" s="40" t="s">
        <v>1445</v>
      </c>
    </row>
    <row r="1560" spans="1:8" s="8" customFormat="1">
      <c r="A1560" s="13"/>
      <c r="B1560" s="8" t="s">
        <v>5175</v>
      </c>
      <c r="C1560" s="284">
        <v>27000</v>
      </c>
      <c r="D1560" s="284">
        <v>0</v>
      </c>
      <c r="E1560" s="284">
        <f t="shared" si="24"/>
        <v>6893000</v>
      </c>
      <c r="F1560" s="8" t="s">
        <v>1643</v>
      </c>
      <c r="G1560" s="8" t="s">
        <v>5</v>
      </c>
      <c r="H1560" s="40" t="s">
        <v>1445</v>
      </c>
    </row>
    <row r="1561" spans="1:8" s="8" customFormat="1">
      <c r="A1561" s="13"/>
      <c r="B1561" s="8" t="s">
        <v>5176</v>
      </c>
      <c r="C1561" s="284">
        <v>72000</v>
      </c>
      <c r="D1561" s="284">
        <v>0</v>
      </c>
      <c r="E1561" s="284">
        <f t="shared" si="24"/>
        <v>6821000</v>
      </c>
      <c r="F1561" s="8" t="s">
        <v>1643</v>
      </c>
      <c r="G1561" s="8" t="s">
        <v>5</v>
      </c>
      <c r="H1561" s="40" t="s">
        <v>1445</v>
      </c>
    </row>
    <row r="1562" spans="1:8" s="8" customFormat="1">
      <c r="A1562" s="13"/>
      <c r="B1562" s="8" t="s">
        <v>5177</v>
      </c>
      <c r="C1562" s="284">
        <v>210000</v>
      </c>
      <c r="D1562" s="284">
        <v>0</v>
      </c>
      <c r="E1562" s="284">
        <f t="shared" si="24"/>
        <v>6611000</v>
      </c>
      <c r="F1562" s="8" t="s">
        <v>1643</v>
      </c>
      <c r="G1562" s="8" t="s">
        <v>5</v>
      </c>
      <c r="H1562" s="40" t="s">
        <v>1445</v>
      </c>
    </row>
    <row r="1563" spans="1:8" s="8" customFormat="1">
      <c r="A1563" s="13"/>
      <c r="B1563" s="8" t="s">
        <v>5178</v>
      </c>
      <c r="C1563" s="284">
        <v>210000</v>
      </c>
      <c r="D1563" s="284">
        <v>0</v>
      </c>
      <c r="E1563" s="284">
        <f t="shared" si="24"/>
        <v>6401000</v>
      </c>
      <c r="F1563" s="8" t="s">
        <v>1643</v>
      </c>
      <c r="G1563" s="8" t="s">
        <v>5</v>
      </c>
      <c r="H1563" s="40" t="s">
        <v>1445</v>
      </c>
    </row>
    <row r="1564" spans="1:8" s="8" customFormat="1">
      <c r="A1564" s="13"/>
      <c r="B1564" s="8" t="s">
        <v>5179</v>
      </c>
      <c r="C1564" s="284">
        <v>210000</v>
      </c>
      <c r="D1564" s="284">
        <v>0</v>
      </c>
      <c r="E1564" s="284">
        <f t="shared" si="24"/>
        <v>6191000</v>
      </c>
      <c r="F1564" s="8" t="s">
        <v>1643</v>
      </c>
      <c r="G1564" s="8" t="s">
        <v>5</v>
      </c>
      <c r="H1564" s="40" t="s">
        <v>1445</v>
      </c>
    </row>
    <row r="1565" spans="1:8" s="8" customFormat="1">
      <c r="A1565" s="13"/>
      <c r="B1565" s="8" t="s">
        <v>5180</v>
      </c>
      <c r="C1565" s="284">
        <v>216000</v>
      </c>
      <c r="D1565" s="284">
        <v>0</v>
      </c>
      <c r="E1565" s="284">
        <f t="shared" si="24"/>
        <v>5975000</v>
      </c>
      <c r="F1565" s="8" t="s">
        <v>1643</v>
      </c>
      <c r="G1565" s="8" t="s">
        <v>5</v>
      </c>
      <c r="H1565" s="40" t="s">
        <v>1599</v>
      </c>
    </row>
    <row r="1566" spans="1:8" s="8" customFormat="1">
      <c r="A1566" s="13"/>
      <c r="B1566" s="8" t="s">
        <v>5181</v>
      </c>
      <c r="C1566" s="284">
        <v>112650</v>
      </c>
      <c r="D1566" s="284">
        <v>0</v>
      </c>
      <c r="E1566" s="284">
        <f t="shared" si="24"/>
        <v>5862350</v>
      </c>
      <c r="F1566" s="8" t="s">
        <v>1643</v>
      </c>
      <c r="G1566" s="8" t="s">
        <v>5</v>
      </c>
      <c r="H1566" s="40" t="s">
        <v>1599</v>
      </c>
    </row>
    <row r="1567" spans="1:8" s="8" customFormat="1">
      <c r="A1567" s="13"/>
      <c r="B1567" s="8" t="s">
        <v>5182</v>
      </c>
      <c r="C1567" s="284">
        <v>20000</v>
      </c>
      <c r="D1567" s="284">
        <v>0</v>
      </c>
      <c r="E1567" s="284">
        <f t="shared" si="24"/>
        <v>5842350</v>
      </c>
      <c r="F1567" s="8" t="s">
        <v>1643</v>
      </c>
      <c r="G1567" s="8" t="s">
        <v>5</v>
      </c>
      <c r="H1567" s="40" t="s">
        <v>1599</v>
      </c>
    </row>
    <row r="1568" spans="1:8" s="8" customFormat="1">
      <c r="A1568" s="13"/>
      <c r="B1568" s="8" t="s">
        <v>5183</v>
      </c>
      <c r="C1568" s="284">
        <v>72000</v>
      </c>
      <c r="D1568" s="284">
        <v>0</v>
      </c>
      <c r="E1568" s="284">
        <f t="shared" si="24"/>
        <v>5770350</v>
      </c>
      <c r="F1568" s="8" t="s">
        <v>1643</v>
      </c>
      <c r="G1568" s="8" t="s">
        <v>5</v>
      </c>
      <c r="H1568" s="40" t="s">
        <v>1599</v>
      </c>
    </row>
    <row r="1569" spans="1:8" s="8" customFormat="1">
      <c r="A1569" s="13"/>
      <c r="B1569" s="8" t="s">
        <v>5184</v>
      </c>
      <c r="C1569" s="284">
        <v>10000</v>
      </c>
      <c r="D1569" s="284">
        <v>0</v>
      </c>
      <c r="E1569" s="284">
        <f t="shared" si="24"/>
        <v>5760350</v>
      </c>
      <c r="F1569" s="8" t="s">
        <v>1643</v>
      </c>
      <c r="G1569" s="8" t="s">
        <v>5</v>
      </c>
      <c r="H1569" s="40" t="s">
        <v>1599</v>
      </c>
    </row>
    <row r="1570" spans="1:8" s="8" customFormat="1">
      <c r="A1570" s="13"/>
      <c r="B1570" s="8" t="s">
        <v>5185</v>
      </c>
      <c r="C1570" s="284">
        <v>17212</v>
      </c>
      <c r="D1570" s="284">
        <v>0</v>
      </c>
      <c r="E1570" s="284">
        <f t="shared" si="24"/>
        <v>5743138</v>
      </c>
      <c r="F1570" s="8" t="s">
        <v>1643</v>
      </c>
      <c r="G1570" s="8" t="s">
        <v>5</v>
      </c>
      <c r="H1570" s="40" t="s">
        <v>1599</v>
      </c>
    </row>
    <row r="1571" spans="1:8" s="8" customFormat="1">
      <c r="A1571" s="13"/>
      <c r="B1571" s="8" t="s">
        <v>5186</v>
      </c>
      <c r="C1571" s="284">
        <v>70300</v>
      </c>
      <c r="D1571" s="284">
        <v>0</v>
      </c>
      <c r="E1571" s="284">
        <f t="shared" si="24"/>
        <v>5672838</v>
      </c>
      <c r="F1571" s="8" t="s">
        <v>1643</v>
      </c>
      <c r="G1571" s="8" t="s">
        <v>5</v>
      </c>
      <c r="H1571" s="40" t="s">
        <v>1599</v>
      </c>
    </row>
    <row r="1572" spans="1:8" s="8" customFormat="1">
      <c r="A1572" s="13"/>
      <c r="B1572" s="8" t="s">
        <v>5187</v>
      </c>
      <c r="C1572" s="284">
        <v>144000</v>
      </c>
      <c r="D1572" s="284">
        <v>0</v>
      </c>
      <c r="E1572" s="284">
        <f t="shared" si="24"/>
        <v>5528838</v>
      </c>
      <c r="F1572" s="8" t="s">
        <v>1643</v>
      </c>
      <c r="G1572" s="8" t="s">
        <v>5</v>
      </c>
      <c r="H1572" s="40" t="s">
        <v>1599</v>
      </c>
    </row>
    <row r="1573" spans="1:8" s="8" customFormat="1">
      <c r="A1573" s="13"/>
      <c r="B1573" s="8" t="s">
        <v>5188</v>
      </c>
      <c r="C1573" s="284">
        <v>277500</v>
      </c>
      <c r="D1573" s="284">
        <v>0</v>
      </c>
      <c r="E1573" s="284">
        <f t="shared" si="24"/>
        <v>5251338</v>
      </c>
      <c r="F1573" s="8" t="s">
        <v>1643</v>
      </c>
      <c r="G1573" s="8" t="s">
        <v>5</v>
      </c>
      <c r="H1573" s="40" t="s">
        <v>1599</v>
      </c>
    </row>
    <row r="1574" spans="1:8" s="8" customFormat="1">
      <c r="A1574" s="13">
        <v>45880</v>
      </c>
      <c r="B1574" s="8" t="s">
        <v>2747</v>
      </c>
      <c r="C1574" s="284">
        <v>5251338</v>
      </c>
      <c r="D1574" s="284">
        <v>0</v>
      </c>
      <c r="E1574" s="284">
        <f t="shared" si="24"/>
        <v>0</v>
      </c>
      <c r="F1574" s="8" t="s">
        <v>920</v>
      </c>
      <c r="G1574" s="8" t="s">
        <v>464</v>
      </c>
      <c r="H1574" s="8" t="s">
        <v>5165</v>
      </c>
    </row>
    <row r="1575" spans="1:8" s="8" customFormat="1">
      <c r="A1575" s="13">
        <v>45706</v>
      </c>
      <c r="B1575" s="8" t="s">
        <v>833</v>
      </c>
      <c r="C1575" s="284">
        <v>0</v>
      </c>
      <c r="D1575" s="284">
        <v>6010000</v>
      </c>
      <c r="E1575" s="284">
        <f t="shared" si="24"/>
        <v>6010000</v>
      </c>
      <c r="F1575" s="8" t="s">
        <v>920</v>
      </c>
      <c r="G1575" s="8" t="s">
        <v>400</v>
      </c>
      <c r="H1575" s="40" t="s">
        <v>5189</v>
      </c>
    </row>
    <row r="1576" spans="1:8" s="8" customFormat="1">
      <c r="A1576" s="13"/>
      <c r="B1576" s="8" t="s">
        <v>5190</v>
      </c>
      <c r="C1576" s="284">
        <v>250000</v>
      </c>
      <c r="D1576" s="284">
        <v>0</v>
      </c>
      <c r="E1576" s="284">
        <f t="shared" si="24"/>
        <v>5760000</v>
      </c>
      <c r="F1576" s="8" t="s">
        <v>1643</v>
      </c>
      <c r="G1576" s="8" t="s">
        <v>5</v>
      </c>
      <c r="H1576" s="40" t="s">
        <v>1352</v>
      </c>
    </row>
    <row r="1577" spans="1:8" s="8" customFormat="1">
      <c r="A1577" s="13"/>
      <c r="B1577" s="8" t="s">
        <v>5191</v>
      </c>
      <c r="C1577" s="284">
        <v>250000</v>
      </c>
      <c r="D1577" s="284">
        <v>0</v>
      </c>
      <c r="E1577" s="284">
        <f t="shared" si="24"/>
        <v>5510000</v>
      </c>
      <c r="F1577" s="8" t="s">
        <v>1643</v>
      </c>
      <c r="G1577" s="8" t="s">
        <v>5</v>
      </c>
      <c r="H1577" s="40" t="s">
        <v>1352</v>
      </c>
    </row>
    <row r="1578" spans="1:8" s="8" customFormat="1">
      <c r="A1578" s="13"/>
      <c r="B1578" s="8" t="s">
        <v>5192</v>
      </c>
      <c r="C1578" s="284">
        <v>5510000</v>
      </c>
      <c r="D1578" s="284">
        <v>0</v>
      </c>
      <c r="E1578" s="284">
        <f t="shared" si="24"/>
        <v>0</v>
      </c>
      <c r="F1578" s="8" t="s">
        <v>1643</v>
      </c>
      <c r="G1578" s="8" t="s">
        <v>5</v>
      </c>
      <c r="H1578" s="40" t="s">
        <v>1352</v>
      </c>
    </row>
    <row r="1579" spans="1:8" s="8" customFormat="1">
      <c r="A1579" s="13">
        <v>45710</v>
      </c>
      <c r="B1579" s="8" t="s">
        <v>851</v>
      </c>
      <c r="C1579" s="284">
        <v>0</v>
      </c>
      <c r="D1579" s="284">
        <v>20000000</v>
      </c>
      <c r="E1579" s="284">
        <f t="shared" si="24"/>
        <v>20000000</v>
      </c>
      <c r="F1579" s="8" t="s">
        <v>920</v>
      </c>
      <c r="G1579" s="8" t="s">
        <v>400</v>
      </c>
      <c r="H1579" s="40" t="s">
        <v>5193</v>
      </c>
    </row>
    <row r="1580" spans="1:8" s="8" customFormat="1">
      <c r="A1580" s="13"/>
      <c r="B1580" s="8" t="s">
        <v>5194</v>
      </c>
      <c r="C1580" s="284">
        <v>224500</v>
      </c>
      <c r="D1580" s="284">
        <v>0</v>
      </c>
      <c r="E1580" s="284">
        <f t="shared" si="24"/>
        <v>19775500</v>
      </c>
      <c r="F1580" s="8" t="s">
        <v>1643</v>
      </c>
      <c r="G1580" s="8" t="s">
        <v>5</v>
      </c>
      <c r="H1580" s="40" t="s">
        <v>1445</v>
      </c>
    </row>
    <row r="1581" spans="1:8" s="8" customFormat="1">
      <c r="A1581" s="13"/>
      <c r="B1581" s="8" t="s">
        <v>5195</v>
      </c>
      <c r="C1581" s="284">
        <v>16800000</v>
      </c>
      <c r="D1581" s="284">
        <v>0</v>
      </c>
      <c r="E1581" s="284">
        <f t="shared" si="24"/>
        <v>2975500</v>
      </c>
      <c r="F1581" s="8" t="s">
        <v>1643</v>
      </c>
      <c r="G1581" s="8" t="s">
        <v>5</v>
      </c>
      <c r="H1581" s="40" t="s">
        <v>1445</v>
      </c>
    </row>
    <row r="1582" spans="1:8" s="8" customFormat="1">
      <c r="A1582" s="13"/>
      <c r="B1582" s="8" t="s">
        <v>5196</v>
      </c>
      <c r="C1582" s="284">
        <v>480000</v>
      </c>
      <c r="D1582" s="284">
        <v>0</v>
      </c>
      <c r="E1582" s="284">
        <f t="shared" si="24"/>
        <v>2495500</v>
      </c>
      <c r="F1582" s="8" t="s">
        <v>1643</v>
      </c>
      <c r="G1582" s="8" t="s">
        <v>5</v>
      </c>
      <c r="H1582" s="40" t="s">
        <v>1445</v>
      </c>
    </row>
    <row r="1583" spans="1:8" s="8" customFormat="1">
      <c r="A1583" s="13"/>
      <c r="B1583" s="8" t="s">
        <v>5197</v>
      </c>
      <c r="C1583" s="284">
        <v>264000</v>
      </c>
      <c r="D1583" s="284">
        <v>0</v>
      </c>
      <c r="E1583" s="284">
        <f t="shared" si="24"/>
        <v>2231500</v>
      </c>
      <c r="F1583" s="8" t="s">
        <v>1643</v>
      </c>
      <c r="G1583" s="8" t="s">
        <v>5</v>
      </c>
      <c r="H1583" s="40" t="s">
        <v>1445</v>
      </c>
    </row>
    <row r="1584" spans="1:8" s="8" customFormat="1">
      <c r="A1584" s="13"/>
      <c r="B1584" s="8" t="s">
        <v>5198</v>
      </c>
      <c r="C1584" s="284">
        <v>150000</v>
      </c>
      <c r="D1584" s="284">
        <v>0</v>
      </c>
      <c r="E1584" s="284">
        <f t="shared" si="24"/>
        <v>2081500</v>
      </c>
      <c r="F1584" s="8" t="s">
        <v>1643</v>
      </c>
      <c r="G1584" s="8" t="s">
        <v>5</v>
      </c>
      <c r="H1584" s="40" t="s">
        <v>1445</v>
      </c>
    </row>
    <row r="1585" spans="1:8" s="8" customFormat="1">
      <c r="A1585" s="13"/>
      <c r="B1585" s="8" t="s">
        <v>5199</v>
      </c>
      <c r="C1585" s="284">
        <v>1200000</v>
      </c>
      <c r="D1585" s="284">
        <v>0</v>
      </c>
      <c r="E1585" s="284">
        <f t="shared" si="24"/>
        <v>881500</v>
      </c>
      <c r="F1585" s="8" t="s">
        <v>1643</v>
      </c>
      <c r="G1585" s="8" t="s">
        <v>5</v>
      </c>
      <c r="H1585" s="40" t="s">
        <v>1445</v>
      </c>
    </row>
    <row r="1586" spans="1:8" s="8" customFormat="1">
      <c r="A1586" s="13"/>
      <c r="B1586" s="8" t="s">
        <v>5200</v>
      </c>
      <c r="C1586" s="284">
        <v>300000</v>
      </c>
      <c r="D1586" s="284">
        <v>0</v>
      </c>
      <c r="E1586" s="284">
        <f t="shared" si="24"/>
        <v>581500</v>
      </c>
      <c r="F1586" s="8" t="s">
        <v>1643</v>
      </c>
      <c r="G1586" s="8" t="s">
        <v>5</v>
      </c>
      <c r="H1586" s="40" t="s">
        <v>1445</v>
      </c>
    </row>
    <row r="1587" spans="1:8" s="8" customFormat="1">
      <c r="A1587" s="13"/>
      <c r="B1587" s="8" t="s">
        <v>5201</v>
      </c>
      <c r="C1587" s="284">
        <v>400000</v>
      </c>
      <c r="D1587" s="284">
        <v>0</v>
      </c>
      <c r="E1587" s="284">
        <f t="shared" si="24"/>
        <v>181500</v>
      </c>
      <c r="F1587" s="8" t="s">
        <v>1643</v>
      </c>
      <c r="G1587" s="8" t="s">
        <v>5</v>
      </c>
      <c r="H1587" s="40" t="s">
        <v>1445</v>
      </c>
    </row>
    <row r="1588" spans="1:8" s="8" customFormat="1">
      <c r="A1588" s="13"/>
      <c r="B1588" s="8" t="s">
        <v>5202</v>
      </c>
      <c r="C1588" s="284">
        <v>195500</v>
      </c>
      <c r="D1588" s="284">
        <v>0</v>
      </c>
      <c r="E1588" s="284">
        <f t="shared" si="24"/>
        <v>-14000</v>
      </c>
      <c r="F1588" s="8" t="s">
        <v>1643</v>
      </c>
      <c r="G1588" s="8" t="s">
        <v>5</v>
      </c>
      <c r="H1588" s="40" t="s">
        <v>1445</v>
      </c>
    </row>
    <row r="1589" spans="1:8" s="8" customFormat="1">
      <c r="A1589" s="13">
        <v>45728</v>
      </c>
      <c r="B1589" s="8" t="s">
        <v>955</v>
      </c>
      <c r="C1589" s="284">
        <v>0</v>
      </c>
      <c r="D1589" s="284">
        <v>14000</v>
      </c>
      <c r="E1589" s="284">
        <f t="shared" si="24"/>
        <v>0</v>
      </c>
      <c r="F1589" s="8" t="s">
        <v>920</v>
      </c>
      <c r="G1589" s="8" t="s">
        <v>464</v>
      </c>
      <c r="H1589" s="40" t="s">
        <v>5193</v>
      </c>
    </row>
    <row r="1590" spans="1:8" s="8" customFormat="1">
      <c r="A1590" s="13">
        <v>45742</v>
      </c>
      <c r="B1590" s="8" t="s">
        <v>973</v>
      </c>
      <c r="C1590" s="284">
        <v>0</v>
      </c>
      <c r="D1590" s="284">
        <v>4942490</v>
      </c>
      <c r="E1590" s="284">
        <f t="shared" si="24"/>
        <v>4942490</v>
      </c>
      <c r="F1590" s="8" t="s">
        <v>920</v>
      </c>
      <c r="G1590" s="8" t="s">
        <v>400</v>
      </c>
      <c r="H1590" s="40" t="s">
        <v>5204</v>
      </c>
    </row>
    <row r="1591" spans="1:8" s="8" customFormat="1">
      <c r="A1591" s="13"/>
      <c r="B1591" s="8" t="s">
        <v>5205</v>
      </c>
      <c r="C1591" s="284">
        <v>551000</v>
      </c>
      <c r="D1591" s="284">
        <v>0</v>
      </c>
      <c r="E1591" s="284">
        <f t="shared" si="24"/>
        <v>4391490</v>
      </c>
      <c r="F1591" s="8" t="s">
        <v>6</v>
      </c>
      <c r="G1591" s="8" t="s">
        <v>7</v>
      </c>
      <c r="H1591" s="40" t="s">
        <v>5206</v>
      </c>
    </row>
    <row r="1592" spans="1:8" s="8" customFormat="1">
      <c r="A1592" s="13"/>
      <c r="B1592" s="8" t="s">
        <v>5207</v>
      </c>
      <c r="C1592" s="284">
        <v>194000</v>
      </c>
      <c r="D1592" s="284">
        <v>0</v>
      </c>
      <c r="E1592" s="284">
        <f t="shared" si="24"/>
        <v>4197490</v>
      </c>
      <c r="F1592" s="8" t="s">
        <v>6</v>
      </c>
      <c r="G1592" s="8" t="s">
        <v>7</v>
      </c>
      <c r="H1592" s="40" t="s">
        <v>5206</v>
      </c>
    </row>
    <row r="1593" spans="1:8" s="8" customFormat="1">
      <c r="A1593" s="13"/>
      <c r="B1593" s="8" t="s">
        <v>5208</v>
      </c>
      <c r="C1593" s="284">
        <v>97000</v>
      </c>
      <c r="D1593" s="284">
        <v>0</v>
      </c>
      <c r="E1593" s="284">
        <f t="shared" si="24"/>
        <v>4100490</v>
      </c>
      <c r="F1593" s="8" t="s">
        <v>6</v>
      </c>
      <c r="G1593" s="8" t="s">
        <v>7</v>
      </c>
      <c r="H1593" s="40" t="s">
        <v>5206</v>
      </c>
    </row>
    <row r="1594" spans="1:8" s="8" customFormat="1">
      <c r="A1594" s="13"/>
      <c r="B1594" s="8" t="s">
        <v>5209</v>
      </c>
      <c r="C1594" s="284">
        <v>196000</v>
      </c>
      <c r="D1594" s="284">
        <v>0</v>
      </c>
      <c r="E1594" s="284">
        <f t="shared" si="24"/>
        <v>3904490</v>
      </c>
      <c r="F1594" s="8" t="s">
        <v>6</v>
      </c>
      <c r="G1594" s="8" t="s">
        <v>7</v>
      </c>
      <c r="H1594" s="40" t="s">
        <v>5206</v>
      </c>
    </row>
    <row r="1595" spans="1:8" s="8" customFormat="1">
      <c r="A1595" s="13"/>
      <c r="B1595" s="8" t="s">
        <v>5210</v>
      </c>
      <c r="C1595" s="284">
        <v>14990</v>
      </c>
      <c r="D1595" s="284">
        <v>0</v>
      </c>
      <c r="E1595" s="284">
        <f t="shared" si="24"/>
        <v>3889500</v>
      </c>
      <c r="F1595" s="8" t="s">
        <v>6</v>
      </c>
      <c r="G1595" s="8" t="s">
        <v>7</v>
      </c>
      <c r="H1595" s="40" t="s">
        <v>5206</v>
      </c>
    </row>
    <row r="1596" spans="1:8" s="8" customFormat="1">
      <c r="A1596" s="13"/>
      <c r="B1596" s="8" t="s">
        <v>5211</v>
      </c>
      <c r="C1596" s="284">
        <v>60000</v>
      </c>
      <c r="D1596" s="284">
        <v>0</v>
      </c>
      <c r="E1596" s="284">
        <f t="shared" si="24"/>
        <v>3829500</v>
      </c>
      <c r="F1596" s="8" t="s">
        <v>6</v>
      </c>
      <c r="G1596" s="8" t="s">
        <v>7</v>
      </c>
      <c r="H1596" s="40" t="s">
        <v>5206</v>
      </c>
    </row>
    <row r="1597" spans="1:8" s="8" customFormat="1">
      <c r="A1597" s="13"/>
      <c r="B1597" s="8" t="s">
        <v>5212</v>
      </c>
      <c r="C1597" s="284">
        <v>400000</v>
      </c>
      <c r="D1597" s="284">
        <v>0</v>
      </c>
      <c r="E1597" s="284">
        <f t="shared" si="24"/>
        <v>3429500</v>
      </c>
      <c r="F1597" s="8" t="s">
        <v>6</v>
      </c>
      <c r="G1597" s="8" t="s">
        <v>7</v>
      </c>
      <c r="H1597" s="40" t="s">
        <v>5206</v>
      </c>
    </row>
    <row r="1598" spans="1:8" s="8" customFormat="1">
      <c r="A1598" s="13"/>
      <c r="B1598" s="8" t="s">
        <v>5213</v>
      </c>
      <c r="C1598" s="284">
        <v>79500</v>
      </c>
      <c r="D1598" s="284">
        <v>0</v>
      </c>
      <c r="E1598" s="284">
        <f t="shared" si="24"/>
        <v>3350000</v>
      </c>
      <c r="F1598" s="8" t="s">
        <v>6</v>
      </c>
      <c r="G1598" s="8" t="s">
        <v>7</v>
      </c>
      <c r="H1598" s="40" t="s">
        <v>5206</v>
      </c>
    </row>
    <row r="1599" spans="1:8" s="8" customFormat="1">
      <c r="A1599" s="13"/>
      <c r="B1599" s="8" t="s">
        <v>5214</v>
      </c>
      <c r="C1599" s="284">
        <v>150000</v>
      </c>
      <c r="D1599" s="284">
        <v>0</v>
      </c>
      <c r="E1599" s="284">
        <f t="shared" si="24"/>
        <v>3200000</v>
      </c>
      <c r="F1599" s="8" t="s">
        <v>6</v>
      </c>
      <c r="G1599" s="8" t="s">
        <v>7</v>
      </c>
      <c r="H1599" s="40" t="s">
        <v>5206</v>
      </c>
    </row>
    <row r="1600" spans="1:8" s="8" customFormat="1">
      <c r="A1600" s="13"/>
      <c r="B1600" s="8" t="s">
        <v>5215</v>
      </c>
      <c r="C1600" s="284">
        <v>150000</v>
      </c>
      <c r="D1600" s="284">
        <v>0</v>
      </c>
      <c r="E1600" s="284">
        <f t="shared" si="24"/>
        <v>3050000</v>
      </c>
      <c r="F1600" s="8" t="s">
        <v>6</v>
      </c>
      <c r="G1600" s="8" t="s">
        <v>7</v>
      </c>
      <c r="H1600" s="40" t="s">
        <v>5206</v>
      </c>
    </row>
    <row r="1601" spans="1:8" s="8" customFormat="1">
      <c r="A1601" s="13"/>
      <c r="B1601" s="8" t="s">
        <v>5216</v>
      </c>
      <c r="C1601" s="284">
        <v>150000</v>
      </c>
      <c r="D1601" s="284">
        <v>0</v>
      </c>
      <c r="E1601" s="284">
        <f t="shared" si="24"/>
        <v>2900000</v>
      </c>
      <c r="F1601" s="8" t="s">
        <v>6</v>
      </c>
      <c r="G1601" s="8" t="s">
        <v>7</v>
      </c>
      <c r="H1601" s="40" t="s">
        <v>5206</v>
      </c>
    </row>
    <row r="1602" spans="1:8" s="8" customFormat="1">
      <c r="A1602" s="13"/>
      <c r="B1602" s="8" t="s">
        <v>5217</v>
      </c>
      <c r="C1602" s="284">
        <v>150000</v>
      </c>
      <c r="D1602" s="284">
        <v>0</v>
      </c>
      <c r="E1602" s="284">
        <f t="shared" si="24"/>
        <v>2750000</v>
      </c>
      <c r="F1602" s="8" t="s">
        <v>6</v>
      </c>
      <c r="G1602" s="8" t="s">
        <v>7</v>
      </c>
      <c r="H1602" s="40" t="s">
        <v>5206</v>
      </c>
    </row>
    <row r="1603" spans="1:8" s="8" customFormat="1">
      <c r="A1603" s="13"/>
      <c r="B1603" s="8" t="s">
        <v>5218</v>
      </c>
      <c r="C1603" s="284">
        <v>150000</v>
      </c>
      <c r="D1603" s="284">
        <v>0</v>
      </c>
      <c r="E1603" s="284">
        <f t="shared" si="24"/>
        <v>2600000</v>
      </c>
      <c r="F1603" s="8" t="s">
        <v>6</v>
      </c>
      <c r="G1603" s="8" t="s">
        <v>7</v>
      </c>
      <c r="H1603" s="40" t="s">
        <v>5206</v>
      </c>
    </row>
    <row r="1604" spans="1:8" s="8" customFormat="1">
      <c r="A1604" s="13"/>
      <c r="B1604" s="8" t="s">
        <v>5219</v>
      </c>
      <c r="C1604" s="284">
        <v>150000</v>
      </c>
      <c r="D1604" s="284">
        <v>0</v>
      </c>
      <c r="E1604" s="284">
        <f t="shared" si="24"/>
        <v>2450000</v>
      </c>
      <c r="F1604" s="8" t="s">
        <v>6</v>
      </c>
      <c r="G1604" s="8" t="s">
        <v>7</v>
      </c>
      <c r="H1604" s="40" t="s">
        <v>5206</v>
      </c>
    </row>
    <row r="1605" spans="1:8" s="8" customFormat="1">
      <c r="A1605" s="13"/>
      <c r="B1605" s="8" t="s">
        <v>5220</v>
      </c>
      <c r="C1605" s="284">
        <v>150000</v>
      </c>
      <c r="D1605" s="284">
        <v>0</v>
      </c>
      <c r="E1605" s="284">
        <f t="shared" si="24"/>
        <v>2300000</v>
      </c>
      <c r="F1605" s="8" t="s">
        <v>6</v>
      </c>
      <c r="G1605" s="8" t="s">
        <v>7</v>
      </c>
      <c r="H1605" s="40" t="s">
        <v>5206</v>
      </c>
    </row>
    <row r="1606" spans="1:8" s="8" customFormat="1">
      <c r="A1606" s="13"/>
      <c r="B1606" s="8" t="s">
        <v>5221</v>
      </c>
      <c r="C1606" s="284">
        <v>150000</v>
      </c>
      <c r="D1606" s="284">
        <v>0</v>
      </c>
      <c r="E1606" s="284">
        <f t="shared" ref="E1606:E1669" si="25">E1605-C1606+D1606</f>
        <v>2150000</v>
      </c>
      <c r="F1606" s="8" t="s">
        <v>6</v>
      </c>
      <c r="G1606" s="8" t="s">
        <v>7</v>
      </c>
      <c r="H1606" s="40" t="s">
        <v>5206</v>
      </c>
    </row>
    <row r="1607" spans="1:8" s="8" customFormat="1">
      <c r="A1607" s="13"/>
      <c r="B1607" s="8" t="s">
        <v>5222</v>
      </c>
      <c r="C1607" s="284">
        <v>150000</v>
      </c>
      <c r="D1607" s="284">
        <v>0</v>
      </c>
      <c r="E1607" s="284">
        <f t="shared" si="25"/>
        <v>2000000</v>
      </c>
      <c r="F1607" s="8" t="s">
        <v>6</v>
      </c>
      <c r="G1607" s="8" t="s">
        <v>7</v>
      </c>
      <c r="H1607" s="40" t="s">
        <v>5206</v>
      </c>
    </row>
    <row r="1608" spans="1:8" s="8" customFormat="1">
      <c r="A1608" s="13"/>
      <c r="B1608" s="205" t="s">
        <v>5223</v>
      </c>
      <c r="C1608" s="209">
        <v>2000000</v>
      </c>
      <c r="D1608" s="209">
        <v>0</v>
      </c>
      <c r="E1608" s="284">
        <f t="shared" si="25"/>
        <v>0</v>
      </c>
      <c r="F1608" s="8" t="s">
        <v>6</v>
      </c>
      <c r="G1608" s="8" t="s">
        <v>7</v>
      </c>
      <c r="H1608" s="43" t="s">
        <v>5206</v>
      </c>
    </row>
    <row r="1609" spans="1:8" s="8" customFormat="1">
      <c r="A1609" s="13">
        <v>45770</v>
      </c>
      <c r="B1609" s="8" t="s">
        <v>1004</v>
      </c>
      <c r="C1609" s="284">
        <v>0</v>
      </c>
      <c r="D1609" s="284">
        <v>2500000</v>
      </c>
      <c r="E1609" s="284">
        <f t="shared" si="25"/>
        <v>2500000</v>
      </c>
      <c r="F1609" s="8" t="s">
        <v>920</v>
      </c>
      <c r="G1609" s="8" t="s">
        <v>400</v>
      </c>
      <c r="H1609" s="8" t="s">
        <v>5612</v>
      </c>
    </row>
    <row r="1610" spans="1:8" s="8" customFormat="1">
      <c r="A1610" s="13"/>
      <c r="B1610" s="8" t="s">
        <v>5226</v>
      </c>
      <c r="C1610" s="284">
        <v>62000</v>
      </c>
      <c r="D1610" s="284">
        <v>0</v>
      </c>
      <c r="E1610" s="284">
        <f t="shared" si="25"/>
        <v>2438000</v>
      </c>
      <c r="F1610" s="8" t="s">
        <v>1643</v>
      </c>
      <c r="G1610" s="8" t="s">
        <v>5</v>
      </c>
      <c r="H1610" s="40" t="s">
        <v>1609</v>
      </c>
    </row>
    <row r="1611" spans="1:8" s="8" customFormat="1">
      <c r="A1611" s="13"/>
      <c r="B1611" s="8" t="s">
        <v>5227</v>
      </c>
      <c r="C1611" s="284">
        <v>140000</v>
      </c>
      <c r="D1611" s="284">
        <v>0</v>
      </c>
      <c r="E1611" s="284">
        <f t="shared" si="25"/>
        <v>2298000</v>
      </c>
      <c r="F1611" s="8" t="s">
        <v>1643</v>
      </c>
      <c r="G1611" s="8" t="s">
        <v>5</v>
      </c>
      <c r="H1611" s="40" t="s">
        <v>1609</v>
      </c>
    </row>
    <row r="1612" spans="1:8" s="8" customFormat="1">
      <c r="A1612" s="13"/>
      <c r="B1612" s="8" t="s">
        <v>5228</v>
      </c>
      <c r="C1612" s="284">
        <v>36000</v>
      </c>
      <c r="D1612" s="284">
        <v>0</v>
      </c>
      <c r="E1612" s="284">
        <f t="shared" si="25"/>
        <v>2262000</v>
      </c>
      <c r="F1612" s="8" t="s">
        <v>1643</v>
      </c>
      <c r="G1612" s="8" t="s">
        <v>5</v>
      </c>
      <c r="H1612" s="40" t="s">
        <v>1609</v>
      </c>
    </row>
    <row r="1613" spans="1:8" s="8" customFormat="1">
      <c r="A1613" s="13"/>
      <c r="B1613" s="8" t="s">
        <v>5229</v>
      </c>
      <c r="C1613" s="284">
        <v>25000</v>
      </c>
      <c r="D1613" s="284">
        <v>0</v>
      </c>
      <c r="E1613" s="284">
        <f t="shared" si="25"/>
        <v>2237000</v>
      </c>
      <c r="F1613" s="8" t="s">
        <v>1643</v>
      </c>
      <c r="G1613" s="8" t="s">
        <v>5</v>
      </c>
      <c r="H1613" s="40" t="s">
        <v>1609</v>
      </c>
    </row>
    <row r="1614" spans="1:8" s="8" customFormat="1">
      <c r="A1614" s="13"/>
      <c r="B1614" s="8" t="s">
        <v>5230</v>
      </c>
      <c r="C1614" s="284">
        <v>31000</v>
      </c>
      <c r="D1614" s="284">
        <v>0</v>
      </c>
      <c r="E1614" s="284">
        <f t="shared" si="25"/>
        <v>2206000</v>
      </c>
      <c r="F1614" s="8" t="s">
        <v>1643</v>
      </c>
      <c r="G1614" s="8" t="s">
        <v>5</v>
      </c>
      <c r="H1614" s="40" t="s">
        <v>1609</v>
      </c>
    </row>
    <row r="1615" spans="1:8" s="8" customFormat="1">
      <c r="A1615" s="13"/>
      <c r="B1615" s="8" t="s">
        <v>5231</v>
      </c>
      <c r="C1615" s="284">
        <v>300000</v>
      </c>
      <c r="D1615" s="284">
        <v>0</v>
      </c>
      <c r="E1615" s="284">
        <f t="shared" si="25"/>
        <v>1906000</v>
      </c>
      <c r="F1615" s="8" t="s">
        <v>1643</v>
      </c>
      <c r="G1615" s="8" t="s">
        <v>5</v>
      </c>
      <c r="H1615" s="40" t="s">
        <v>1609</v>
      </c>
    </row>
    <row r="1616" spans="1:8" s="8" customFormat="1">
      <c r="A1616" s="13"/>
      <c r="B1616" s="8" t="s">
        <v>5232</v>
      </c>
      <c r="C1616" s="284">
        <v>49300</v>
      </c>
      <c r="D1616" s="284">
        <v>0</v>
      </c>
      <c r="E1616" s="284">
        <f t="shared" si="25"/>
        <v>1856700</v>
      </c>
      <c r="F1616" s="8" t="s">
        <v>1643</v>
      </c>
      <c r="G1616" s="8" t="s">
        <v>5</v>
      </c>
      <c r="H1616" s="40" t="s">
        <v>1609</v>
      </c>
    </row>
    <row r="1617" spans="1:9" s="8" customFormat="1">
      <c r="A1617" s="13"/>
      <c r="B1617" s="8" t="s">
        <v>5233</v>
      </c>
      <c r="C1617" s="284">
        <v>105000</v>
      </c>
      <c r="D1617" s="284">
        <v>0</v>
      </c>
      <c r="E1617" s="284">
        <f t="shared" si="25"/>
        <v>1751700</v>
      </c>
      <c r="F1617" s="8" t="s">
        <v>1643</v>
      </c>
      <c r="G1617" s="8" t="s">
        <v>5</v>
      </c>
      <c r="H1617" s="40" t="s">
        <v>1609</v>
      </c>
    </row>
    <row r="1618" spans="1:9" s="8" customFormat="1">
      <c r="A1618" s="13"/>
      <c r="B1618" s="8" t="s">
        <v>5234</v>
      </c>
      <c r="C1618" s="284">
        <v>144315</v>
      </c>
      <c r="D1618" s="284">
        <v>0</v>
      </c>
      <c r="E1618" s="284">
        <f t="shared" si="25"/>
        <v>1607385</v>
      </c>
      <c r="F1618" s="8" t="s">
        <v>1643</v>
      </c>
      <c r="G1618" s="8" t="s">
        <v>5</v>
      </c>
      <c r="H1618" s="40" t="s">
        <v>1609</v>
      </c>
    </row>
    <row r="1619" spans="1:9" s="8" customFormat="1">
      <c r="A1619" s="13"/>
      <c r="B1619" s="8" t="s">
        <v>5235</v>
      </c>
      <c r="C1619" s="284">
        <v>70515</v>
      </c>
      <c r="D1619" s="284">
        <v>0</v>
      </c>
      <c r="E1619" s="284">
        <f t="shared" si="25"/>
        <v>1536870</v>
      </c>
      <c r="F1619" s="8" t="s">
        <v>1643</v>
      </c>
      <c r="G1619" s="8" t="s">
        <v>5</v>
      </c>
      <c r="H1619" s="40" t="s">
        <v>1609</v>
      </c>
    </row>
    <row r="1620" spans="1:9" s="8" customFormat="1">
      <c r="A1620" s="13"/>
      <c r="B1620" s="8" t="s">
        <v>5236</v>
      </c>
      <c r="C1620" s="284">
        <v>49215</v>
      </c>
      <c r="D1620" s="284">
        <v>0</v>
      </c>
      <c r="E1620" s="284">
        <f t="shared" si="25"/>
        <v>1487655</v>
      </c>
      <c r="F1620" s="8" t="s">
        <v>1643</v>
      </c>
      <c r="G1620" s="8" t="s">
        <v>5</v>
      </c>
      <c r="H1620" s="40" t="s">
        <v>1609</v>
      </c>
    </row>
    <row r="1621" spans="1:9" s="8" customFormat="1">
      <c r="A1621" s="13"/>
      <c r="B1621" s="8" t="s">
        <v>5237</v>
      </c>
      <c r="C1621" s="284">
        <v>1000000</v>
      </c>
      <c r="D1621" s="284">
        <v>0</v>
      </c>
      <c r="E1621" s="284">
        <f t="shared" si="25"/>
        <v>487655</v>
      </c>
      <c r="F1621" s="8" t="s">
        <v>1643</v>
      </c>
      <c r="G1621" s="8" t="s">
        <v>5</v>
      </c>
      <c r="H1621" s="40" t="s">
        <v>1609</v>
      </c>
    </row>
    <row r="1622" spans="1:9" s="8" customFormat="1">
      <c r="A1622" s="13"/>
      <c r="B1622" s="8" t="s">
        <v>5238</v>
      </c>
      <c r="C1622" s="284">
        <v>192000</v>
      </c>
      <c r="D1622" s="284">
        <v>0</v>
      </c>
      <c r="E1622" s="284">
        <f t="shared" si="25"/>
        <v>295655</v>
      </c>
      <c r="F1622" s="8" t="s">
        <v>1643</v>
      </c>
      <c r="G1622" s="8" t="s">
        <v>5</v>
      </c>
      <c r="H1622" s="40" t="s">
        <v>1609</v>
      </c>
    </row>
    <row r="1623" spans="1:9" s="8" customFormat="1">
      <c r="A1623" s="13"/>
      <c r="B1623" s="8" t="s">
        <v>5239</v>
      </c>
      <c r="C1623" s="284">
        <v>203400</v>
      </c>
      <c r="D1623" s="284">
        <v>0</v>
      </c>
      <c r="E1623" s="284">
        <f t="shared" si="25"/>
        <v>92255</v>
      </c>
      <c r="F1623" s="8" t="s">
        <v>1643</v>
      </c>
      <c r="G1623" s="8" t="s">
        <v>5</v>
      </c>
      <c r="H1623" s="40" t="s">
        <v>1609</v>
      </c>
    </row>
    <row r="1624" spans="1:9" s="8" customFormat="1">
      <c r="A1624" s="13"/>
      <c r="B1624" s="8" t="s">
        <v>5240</v>
      </c>
      <c r="C1624" s="284">
        <v>241000</v>
      </c>
      <c r="D1624" s="284">
        <v>0</v>
      </c>
      <c r="E1624" s="284">
        <f t="shared" si="25"/>
        <v>-148745</v>
      </c>
      <c r="F1624" s="8" t="s">
        <v>1643</v>
      </c>
      <c r="G1624" s="8" t="s">
        <v>5</v>
      </c>
      <c r="H1624" s="40" t="s">
        <v>1609</v>
      </c>
    </row>
    <row r="1625" spans="1:9" s="8" customFormat="1">
      <c r="A1625" s="13">
        <v>45793</v>
      </c>
      <c r="B1625" s="8" t="s">
        <v>1319</v>
      </c>
      <c r="C1625" s="284">
        <v>0</v>
      </c>
      <c r="D1625" s="284">
        <v>148745</v>
      </c>
      <c r="E1625" s="284">
        <f t="shared" si="25"/>
        <v>0</v>
      </c>
      <c r="F1625" s="8" t="s">
        <v>920</v>
      </c>
      <c r="G1625" s="8" t="s">
        <v>400</v>
      </c>
      <c r="H1625" s="8" t="s">
        <v>5612</v>
      </c>
    </row>
    <row r="1626" spans="1:9" s="8" customFormat="1">
      <c r="A1626" s="13">
        <v>45801</v>
      </c>
      <c r="B1626" s="8" t="s">
        <v>1324</v>
      </c>
      <c r="C1626" s="284">
        <v>0</v>
      </c>
      <c r="D1626" s="284">
        <v>33000000</v>
      </c>
      <c r="E1626" s="284">
        <f t="shared" si="25"/>
        <v>33000000</v>
      </c>
      <c r="F1626" s="8" t="s">
        <v>920</v>
      </c>
      <c r="G1626" s="8" t="s">
        <v>400</v>
      </c>
      <c r="H1626" s="8" t="s">
        <v>5611</v>
      </c>
    </row>
    <row r="1627" spans="1:9" s="8" customFormat="1">
      <c r="A1627" s="13"/>
      <c r="B1627" s="8" t="s">
        <v>5241</v>
      </c>
      <c r="C1627" s="290">
        <v>18000</v>
      </c>
      <c r="D1627" s="290">
        <v>0</v>
      </c>
      <c r="E1627" s="284">
        <f t="shared" si="25"/>
        <v>32982000</v>
      </c>
      <c r="F1627" s="291" t="s">
        <v>10</v>
      </c>
      <c r="G1627" s="291" t="s">
        <v>446</v>
      </c>
      <c r="H1627" s="8" t="s">
        <v>2324</v>
      </c>
      <c r="I1627" s="8" t="s">
        <v>26</v>
      </c>
    </row>
    <row r="1628" spans="1:9" s="8" customFormat="1">
      <c r="A1628" s="13"/>
      <c r="B1628" s="8" t="s">
        <v>5242</v>
      </c>
      <c r="C1628" s="290">
        <v>22500</v>
      </c>
      <c r="D1628" s="290">
        <v>0</v>
      </c>
      <c r="E1628" s="284">
        <f t="shared" si="25"/>
        <v>32959500</v>
      </c>
      <c r="F1628" s="291" t="s">
        <v>10</v>
      </c>
      <c r="G1628" s="291" t="s">
        <v>446</v>
      </c>
      <c r="H1628" s="8" t="s">
        <v>2324</v>
      </c>
      <c r="I1628" s="8" t="s">
        <v>26</v>
      </c>
    </row>
    <row r="1629" spans="1:9" s="8" customFormat="1">
      <c r="A1629" s="13"/>
      <c r="B1629" s="8" t="s">
        <v>5243</v>
      </c>
      <c r="C1629" s="290">
        <v>25000</v>
      </c>
      <c r="D1629" s="290">
        <v>0</v>
      </c>
      <c r="E1629" s="284">
        <f t="shared" si="25"/>
        <v>32934500</v>
      </c>
      <c r="F1629" s="291" t="s">
        <v>10</v>
      </c>
      <c r="G1629" s="291" t="s">
        <v>446</v>
      </c>
      <c r="H1629" s="8" t="s">
        <v>2324</v>
      </c>
      <c r="I1629" s="8" t="s">
        <v>26</v>
      </c>
    </row>
    <row r="1630" spans="1:9" s="8" customFormat="1">
      <c r="A1630" s="13"/>
      <c r="B1630" s="8" t="s">
        <v>5244</v>
      </c>
      <c r="C1630" s="290">
        <v>15500</v>
      </c>
      <c r="D1630" s="290">
        <v>0</v>
      </c>
      <c r="E1630" s="284">
        <f t="shared" si="25"/>
        <v>32919000</v>
      </c>
      <c r="F1630" s="291" t="s">
        <v>10</v>
      </c>
      <c r="G1630" s="291" t="s">
        <v>446</v>
      </c>
      <c r="H1630" s="8" t="s">
        <v>2324</v>
      </c>
      <c r="I1630" s="8" t="s">
        <v>26</v>
      </c>
    </row>
    <row r="1631" spans="1:9" s="8" customFormat="1">
      <c r="A1631" s="13"/>
      <c r="B1631" s="8" t="s">
        <v>5245</v>
      </c>
      <c r="C1631" s="290">
        <v>12000</v>
      </c>
      <c r="D1631" s="290">
        <v>0</v>
      </c>
      <c r="E1631" s="284">
        <f t="shared" si="25"/>
        <v>32907000</v>
      </c>
      <c r="F1631" s="291" t="s">
        <v>10</v>
      </c>
      <c r="G1631" s="291" t="s">
        <v>446</v>
      </c>
      <c r="H1631" s="8" t="s">
        <v>2324</v>
      </c>
      <c r="I1631" s="8" t="s">
        <v>26</v>
      </c>
    </row>
    <row r="1632" spans="1:9" s="8" customFormat="1">
      <c r="A1632" s="13"/>
      <c r="B1632" s="8" t="s">
        <v>5246</v>
      </c>
      <c r="C1632" s="290">
        <v>50000</v>
      </c>
      <c r="D1632" s="290">
        <v>0</v>
      </c>
      <c r="E1632" s="284">
        <f t="shared" si="25"/>
        <v>32857000</v>
      </c>
      <c r="F1632" s="291" t="s">
        <v>10</v>
      </c>
      <c r="G1632" s="291" t="s">
        <v>446</v>
      </c>
      <c r="H1632" s="8" t="s">
        <v>2324</v>
      </c>
      <c r="I1632" s="8" t="s">
        <v>26</v>
      </c>
    </row>
    <row r="1633" spans="1:9" s="8" customFormat="1">
      <c r="A1633" s="13"/>
      <c r="B1633" s="8" t="s">
        <v>5247</v>
      </c>
      <c r="C1633" s="290">
        <v>15000</v>
      </c>
      <c r="D1633" s="290">
        <v>0</v>
      </c>
      <c r="E1633" s="284">
        <f t="shared" si="25"/>
        <v>32842000</v>
      </c>
      <c r="F1633" s="291" t="s">
        <v>10</v>
      </c>
      <c r="G1633" s="291" t="s">
        <v>446</v>
      </c>
      <c r="H1633" s="8" t="s">
        <v>2324</v>
      </c>
      <c r="I1633" s="8" t="s">
        <v>26</v>
      </c>
    </row>
    <row r="1634" spans="1:9" s="8" customFormat="1">
      <c r="A1634" s="13"/>
      <c r="B1634" s="8" t="s">
        <v>5248</v>
      </c>
      <c r="C1634" s="290">
        <v>21500</v>
      </c>
      <c r="D1634" s="290">
        <v>0</v>
      </c>
      <c r="E1634" s="284">
        <f t="shared" si="25"/>
        <v>32820500</v>
      </c>
      <c r="F1634" s="291" t="s">
        <v>10</v>
      </c>
      <c r="G1634" s="291" t="s">
        <v>446</v>
      </c>
      <c r="H1634" s="8" t="s">
        <v>2324</v>
      </c>
      <c r="I1634" s="8" t="s">
        <v>26</v>
      </c>
    </row>
    <row r="1635" spans="1:9" s="8" customFormat="1">
      <c r="A1635" s="13"/>
      <c r="B1635" s="8" t="s">
        <v>5249</v>
      </c>
      <c r="C1635" s="290">
        <v>20000</v>
      </c>
      <c r="D1635" s="290">
        <v>0</v>
      </c>
      <c r="E1635" s="284">
        <f t="shared" si="25"/>
        <v>32800500</v>
      </c>
      <c r="F1635" s="291" t="s">
        <v>10</v>
      </c>
      <c r="G1635" s="291" t="s">
        <v>446</v>
      </c>
      <c r="H1635" s="8" t="s">
        <v>2324</v>
      </c>
      <c r="I1635" s="8" t="s">
        <v>26</v>
      </c>
    </row>
    <row r="1636" spans="1:9" s="8" customFormat="1">
      <c r="A1636" s="13"/>
      <c r="B1636" s="8" t="s">
        <v>5250</v>
      </c>
      <c r="C1636" s="290">
        <v>10000</v>
      </c>
      <c r="D1636" s="290">
        <v>0</v>
      </c>
      <c r="E1636" s="284">
        <f t="shared" si="25"/>
        <v>32790500</v>
      </c>
      <c r="F1636" s="291" t="s">
        <v>10</v>
      </c>
      <c r="G1636" s="291" t="s">
        <v>446</v>
      </c>
      <c r="H1636" s="8" t="s">
        <v>2324</v>
      </c>
      <c r="I1636" s="8" t="s">
        <v>26</v>
      </c>
    </row>
    <row r="1637" spans="1:9" s="8" customFormat="1">
      <c r="A1637" s="13"/>
      <c r="B1637" s="8" t="s">
        <v>5251</v>
      </c>
      <c r="C1637" s="290">
        <v>180000</v>
      </c>
      <c r="D1637" s="290">
        <v>0</v>
      </c>
      <c r="E1637" s="284">
        <f t="shared" si="25"/>
        <v>32610500</v>
      </c>
      <c r="F1637" s="291" t="s">
        <v>10</v>
      </c>
      <c r="G1637" s="291" t="s">
        <v>446</v>
      </c>
      <c r="H1637" s="8" t="s">
        <v>2324</v>
      </c>
      <c r="I1637" s="8" t="s">
        <v>26</v>
      </c>
    </row>
    <row r="1638" spans="1:9" s="8" customFormat="1">
      <c r="A1638" s="13"/>
      <c r="B1638" s="8" t="s">
        <v>5252</v>
      </c>
      <c r="C1638" s="290">
        <v>21000</v>
      </c>
      <c r="D1638" s="290">
        <v>0</v>
      </c>
      <c r="E1638" s="284">
        <f t="shared" si="25"/>
        <v>32589500</v>
      </c>
      <c r="F1638" s="291" t="s">
        <v>10</v>
      </c>
      <c r="G1638" s="291" t="s">
        <v>446</v>
      </c>
      <c r="H1638" s="8" t="s">
        <v>2324</v>
      </c>
      <c r="I1638" s="8" t="s">
        <v>26</v>
      </c>
    </row>
    <row r="1639" spans="1:9" s="8" customFormat="1">
      <c r="A1639" s="13"/>
      <c r="B1639" s="8" t="s">
        <v>5253</v>
      </c>
      <c r="C1639" s="290">
        <v>100000</v>
      </c>
      <c r="D1639" s="290">
        <v>0</v>
      </c>
      <c r="E1639" s="284">
        <f t="shared" si="25"/>
        <v>32489500</v>
      </c>
      <c r="F1639" s="291" t="s">
        <v>10</v>
      </c>
      <c r="G1639" s="291" t="s">
        <v>446</v>
      </c>
      <c r="H1639" s="8" t="s">
        <v>2324</v>
      </c>
      <c r="I1639" s="8" t="s">
        <v>26</v>
      </c>
    </row>
    <row r="1640" spans="1:9" s="8" customFormat="1">
      <c r="A1640" s="13"/>
      <c r="B1640" s="8" t="s">
        <v>5254</v>
      </c>
      <c r="C1640" s="290">
        <v>100000</v>
      </c>
      <c r="D1640" s="290">
        <v>0</v>
      </c>
      <c r="E1640" s="284">
        <f t="shared" si="25"/>
        <v>32389500</v>
      </c>
      <c r="F1640" s="291" t="s">
        <v>10</v>
      </c>
      <c r="G1640" s="291" t="s">
        <v>446</v>
      </c>
      <c r="H1640" s="8" t="s">
        <v>2324</v>
      </c>
      <c r="I1640" s="8" t="s">
        <v>26</v>
      </c>
    </row>
    <row r="1641" spans="1:9" s="8" customFormat="1">
      <c r="A1641" s="13"/>
      <c r="B1641" s="8" t="s">
        <v>5255</v>
      </c>
      <c r="C1641" s="290">
        <v>17500</v>
      </c>
      <c r="D1641" s="290">
        <v>0</v>
      </c>
      <c r="E1641" s="284">
        <f t="shared" si="25"/>
        <v>32372000</v>
      </c>
      <c r="F1641" s="291" t="s">
        <v>10</v>
      </c>
      <c r="G1641" s="291" t="s">
        <v>446</v>
      </c>
      <c r="H1641" s="8" t="s">
        <v>2324</v>
      </c>
      <c r="I1641" s="8" t="s">
        <v>26</v>
      </c>
    </row>
    <row r="1642" spans="1:9" s="8" customFormat="1">
      <c r="A1642" s="13"/>
      <c r="B1642" s="8" t="s">
        <v>5256</v>
      </c>
      <c r="C1642" s="290">
        <v>15000</v>
      </c>
      <c r="D1642" s="290">
        <v>0</v>
      </c>
      <c r="E1642" s="284">
        <f t="shared" si="25"/>
        <v>32357000</v>
      </c>
      <c r="F1642" s="291" t="s">
        <v>10</v>
      </c>
      <c r="G1642" s="291" t="s">
        <v>446</v>
      </c>
      <c r="H1642" s="8" t="s">
        <v>2324</v>
      </c>
      <c r="I1642" s="8" t="s">
        <v>26</v>
      </c>
    </row>
    <row r="1643" spans="1:9" s="8" customFormat="1">
      <c r="A1643" s="13"/>
      <c r="B1643" s="8" t="s">
        <v>5257</v>
      </c>
      <c r="C1643" s="290">
        <v>16000</v>
      </c>
      <c r="D1643" s="290">
        <v>0</v>
      </c>
      <c r="E1643" s="284">
        <f t="shared" si="25"/>
        <v>32341000</v>
      </c>
      <c r="F1643" s="291" t="s">
        <v>10</v>
      </c>
      <c r="G1643" s="291" t="s">
        <v>446</v>
      </c>
      <c r="H1643" s="8" t="s">
        <v>2324</v>
      </c>
      <c r="I1643" s="8" t="s">
        <v>26</v>
      </c>
    </row>
    <row r="1644" spans="1:9" s="8" customFormat="1">
      <c r="A1644" s="13"/>
      <c r="B1644" s="8" t="s">
        <v>5258</v>
      </c>
      <c r="C1644" s="290">
        <v>240000</v>
      </c>
      <c r="D1644" s="290">
        <v>0</v>
      </c>
      <c r="E1644" s="284">
        <f t="shared" si="25"/>
        <v>32101000</v>
      </c>
      <c r="F1644" s="291" t="s">
        <v>10</v>
      </c>
      <c r="G1644" s="291" t="s">
        <v>446</v>
      </c>
      <c r="H1644" s="8" t="s">
        <v>2324</v>
      </c>
      <c r="I1644" s="8" t="s">
        <v>26</v>
      </c>
    </row>
    <row r="1645" spans="1:9" s="8" customFormat="1">
      <c r="A1645" s="13"/>
      <c r="B1645" s="8" t="s">
        <v>5259</v>
      </c>
      <c r="C1645" s="290">
        <v>150000</v>
      </c>
      <c r="D1645" s="290">
        <v>0</v>
      </c>
      <c r="E1645" s="284">
        <f t="shared" si="25"/>
        <v>31951000</v>
      </c>
      <c r="F1645" s="291" t="s">
        <v>10</v>
      </c>
      <c r="G1645" s="291" t="s">
        <v>446</v>
      </c>
      <c r="H1645" s="8" t="s">
        <v>2324</v>
      </c>
      <c r="I1645" s="8" t="s">
        <v>26</v>
      </c>
    </row>
    <row r="1646" spans="1:9" s="8" customFormat="1">
      <c r="A1646" s="13"/>
      <c r="B1646" s="8" t="s">
        <v>5260</v>
      </c>
      <c r="C1646" s="290">
        <v>38500</v>
      </c>
      <c r="D1646" s="290">
        <v>0</v>
      </c>
      <c r="E1646" s="284">
        <f t="shared" si="25"/>
        <v>31912500</v>
      </c>
      <c r="F1646" s="291" t="s">
        <v>10</v>
      </c>
      <c r="G1646" s="291" t="s">
        <v>446</v>
      </c>
      <c r="H1646" s="8" t="s">
        <v>2324</v>
      </c>
      <c r="I1646" s="8" t="s">
        <v>26</v>
      </c>
    </row>
    <row r="1647" spans="1:9" s="8" customFormat="1">
      <c r="A1647" s="13"/>
      <c r="B1647" s="8" t="s">
        <v>5261</v>
      </c>
      <c r="C1647" s="290">
        <v>1200000</v>
      </c>
      <c r="D1647" s="290">
        <v>0</v>
      </c>
      <c r="E1647" s="284">
        <f t="shared" si="25"/>
        <v>30712500</v>
      </c>
      <c r="F1647" s="291" t="s">
        <v>10</v>
      </c>
      <c r="G1647" s="291" t="s">
        <v>446</v>
      </c>
      <c r="H1647" s="8" t="s">
        <v>2324</v>
      </c>
      <c r="I1647" s="8" t="s">
        <v>26</v>
      </c>
    </row>
    <row r="1648" spans="1:9" s="8" customFormat="1">
      <c r="A1648" s="13"/>
      <c r="B1648" s="8" t="s">
        <v>5262</v>
      </c>
      <c r="C1648" s="290">
        <v>693000</v>
      </c>
      <c r="D1648" s="290">
        <v>0</v>
      </c>
      <c r="E1648" s="284">
        <f t="shared" si="25"/>
        <v>30019500</v>
      </c>
      <c r="F1648" s="291" t="s">
        <v>10</v>
      </c>
      <c r="G1648" s="291" t="s">
        <v>446</v>
      </c>
      <c r="H1648" s="40" t="s">
        <v>2324</v>
      </c>
      <c r="I1648" s="8" t="s">
        <v>26</v>
      </c>
    </row>
    <row r="1649" spans="1:9" s="8" customFormat="1">
      <c r="A1649" s="13"/>
      <c r="B1649" s="8" t="s">
        <v>5263</v>
      </c>
      <c r="C1649" s="290">
        <v>360000</v>
      </c>
      <c r="D1649" s="290">
        <v>0</v>
      </c>
      <c r="E1649" s="284">
        <f t="shared" si="25"/>
        <v>29659500</v>
      </c>
      <c r="F1649" s="291" t="s">
        <v>10</v>
      </c>
      <c r="G1649" s="291" t="s">
        <v>446</v>
      </c>
      <c r="H1649" s="40" t="s">
        <v>2324</v>
      </c>
      <c r="I1649" s="8" t="s">
        <v>26</v>
      </c>
    </row>
    <row r="1650" spans="1:9" s="8" customFormat="1">
      <c r="A1650" s="13"/>
      <c r="B1650" s="8" t="s">
        <v>5264</v>
      </c>
      <c r="C1650" s="290">
        <v>336000</v>
      </c>
      <c r="D1650" s="290">
        <v>0</v>
      </c>
      <c r="E1650" s="284">
        <f t="shared" si="25"/>
        <v>29323500</v>
      </c>
      <c r="F1650" s="291" t="s">
        <v>10</v>
      </c>
      <c r="G1650" s="291" t="s">
        <v>446</v>
      </c>
      <c r="H1650" s="40" t="s">
        <v>2324</v>
      </c>
      <c r="I1650" s="8" t="s">
        <v>26</v>
      </c>
    </row>
    <row r="1651" spans="1:9" s="8" customFormat="1">
      <c r="A1651" s="13"/>
      <c r="B1651" s="8" t="s">
        <v>5265</v>
      </c>
      <c r="C1651" s="290">
        <v>1000</v>
      </c>
      <c r="D1651" s="290">
        <v>0</v>
      </c>
      <c r="E1651" s="284">
        <f t="shared" si="25"/>
        <v>29322500</v>
      </c>
      <c r="F1651" s="291" t="s">
        <v>10</v>
      </c>
      <c r="G1651" s="291" t="s">
        <v>446</v>
      </c>
      <c r="H1651" s="40" t="s">
        <v>2324</v>
      </c>
      <c r="I1651" s="8" t="s">
        <v>26</v>
      </c>
    </row>
    <row r="1652" spans="1:9" s="8" customFormat="1">
      <c r="A1652" s="13"/>
      <c r="B1652" s="8" t="s">
        <v>5266</v>
      </c>
      <c r="C1652" s="290">
        <v>1450000</v>
      </c>
      <c r="D1652" s="290">
        <v>0</v>
      </c>
      <c r="E1652" s="284">
        <f t="shared" si="25"/>
        <v>27872500</v>
      </c>
      <c r="F1652" s="291" t="s">
        <v>10</v>
      </c>
      <c r="G1652" s="291" t="s">
        <v>446</v>
      </c>
      <c r="H1652" s="40" t="s">
        <v>2324</v>
      </c>
      <c r="I1652" s="8" t="s">
        <v>26</v>
      </c>
    </row>
    <row r="1653" spans="1:9" s="8" customFormat="1">
      <c r="A1653" s="13"/>
      <c r="B1653" s="8" t="s">
        <v>5267</v>
      </c>
      <c r="C1653" s="290">
        <v>2500</v>
      </c>
      <c r="D1653" s="290">
        <v>0</v>
      </c>
      <c r="E1653" s="284">
        <f t="shared" si="25"/>
        <v>27870000</v>
      </c>
      <c r="F1653" s="291" t="s">
        <v>10</v>
      </c>
      <c r="G1653" s="291" t="s">
        <v>446</v>
      </c>
      <c r="H1653" s="40" t="s">
        <v>2324</v>
      </c>
      <c r="I1653" s="8" t="s">
        <v>26</v>
      </c>
    </row>
    <row r="1654" spans="1:9" s="8" customFormat="1">
      <c r="A1654" s="13"/>
      <c r="B1654" s="8" t="s">
        <v>5268</v>
      </c>
      <c r="C1654" s="290">
        <v>360000</v>
      </c>
      <c r="D1654" s="290">
        <v>0</v>
      </c>
      <c r="E1654" s="284">
        <f t="shared" si="25"/>
        <v>27510000</v>
      </c>
      <c r="F1654" s="291" t="s">
        <v>10</v>
      </c>
      <c r="G1654" s="291" t="s">
        <v>446</v>
      </c>
      <c r="H1654" s="40" t="s">
        <v>2324</v>
      </c>
      <c r="I1654" s="8" t="s">
        <v>26</v>
      </c>
    </row>
    <row r="1655" spans="1:9" s="8" customFormat="1">
      <c r="A1655" s="13"/>
      <c r="B1655" s="8" t="s">
        <v>5269</v>
      </c>
      <c r="C1655" s="290">
        <v>100000</v>
      </c>
      <c r="D1655" s="290">
        <v>0</v>
      </c>
      <c r="E1655" s="284">
        <f t="shared" si="25"/>
        <v>27410000</v>
      </c>
      <c r="F1655" s="291" t="s">
        <v>10</v>
      </c>
      <c r="G1655" s="291" t="s">
        <v>446</v>
      </c>
      <c r="H1655" s="40" t="s">
        <v>2324</v>
      </c>
      <c r="I1655" s="8" t="s">
        <v>26</v>
      </c>
    </row>
    <row r="1656" spans="1:9" s="8" customFormat="1">
      <c r="A1656" s="13"/>
      <c r="B1656" s="8" t="s">
        <v>5270</v>
      </c>
      <c r="C1656" s="290">
        <v>4900000</v>
      </c>
      <c r="D1656" s="290">
        <v>0</v>
      </c>
      <c r="E1656" s="284">
        <f t="shared" si="25"/>
        <v>22510000</v>
      </c>
      <c r="F1656" s="291" t="s">
        <v>10</v>
      </c>
      <c r="G1656" s="291" t="s">
        <v>446</v>
      </c>
      <c r="H1656" s="40" t="s">
        <v>2324</v>
      </c>
      <c r="I1656" s="8" t="s">
        <v>26</v>
      </c>
    </row>
    <row r="1657" spans="1:9" s="8" customFormat="1">
      <c r="A1657" s="13"/>
      <c r="B1657" s="8" t="s">
        <v>5271</v>
      </c>
      <c r="C1657" s="290">
        <v>525000</v>
      </c>
      <c r="D1657" s="290">
        <v>0</v>
      </c>
      <c r="E1657" s="284">
        <f t="shared" si="25"/>
        <v>21985000</v>
      </c>
      <c r="F1657" s="291" t="s">
        <v>10</v>
      </c>
      <c r="G1657" s="291" t="s">
        <v>446</v>
      </c>
      <c r="H1657" s="40" t="s">
        <v>2324</v>
      </c>
      <c r="I1657" s="8" t="s">
        <v>26</v>
      </c>
    </row>
    <row r="1658" spans="1:9" s="8" customFormat="1">
      <c r="A1658" s="13"/>
      <c r="B1658" s="8" t="s">
        <v>5272</v>
      </c>
      <c r="C1658" s="290">
        <v>45500</v>
      </c>
      <c r="D1658" s="290">
        <v>0</v>
      </c>
      <c r="E1658" s="284">
        <f t="shared" si="25"/>
        <v>21939500</v>
      </c>
      <c r="F1658" s="291" t="s">
        <v>10</v>
      </c>
      <c r="G1658" s="291" t="s">
        <v>446</v>
      </c>
      <c r="H1658" s="40" t="s">
        <v>2324</v>
      </c>
      <c r="I1658" s="8" t="s">
        <v>26</v>
      </c>
    </row>
    <row r="1659" spans="1:9" s="8" customFormat="1">
      <c r="A1659" s="13"/>
      <c r="B1659" s="8" t="s">
        <v>5273</v>
      </c>
      <c r="C1659" s="290">
        <v>19500</v>
      </c>
      <c r="D1659" s="290">
        <v>0</v>
      </c>
      <c r="E1659" s="284">
        <f t="shared" si="25"/>
        <v>21920000</v>
      </c>
      <c r="F1659" s="291" t="s">
        <v>10</v>
      </c>
      <c r="G1659" s="291" t="s">
        <v>446</v>
      </c>
      <c r="H1659" s="40" t="s">
        <v>2324</v>
      </c>
      <c r="I1659" s="8" t="s">
        <v>26</v>
      </c>
    </row>
    <row r="1660" spans="1:9" s="8" customFormat="1">
      <c r="A1660" s="13"/>
      <c r="B1660" s="8" t="s">
        <v>5274</v>
      </c>
      <c r="C1660" s="290">
        <v>222709</v>
      </c>
      <c r="D1660" s="290">
        <v>0</v>
      </c>
      <c r="E1660" s="284">
        <f t="shared" si="25"/>
        <v>21697291</v>
      </c>
      <c r="F1660" s="291" t="s">
        <v>10</v>
      </c>
      <c r="G1660" s="291" t="s">
        <v>446</v>
      </c>
      <c r="H1660" s="40" t="s">
        <v>2324</v>
      </c>
      <c r="I1660" s="8" t="s">
        <v>26</v>
      </c>
    </row>
    <row r="1661" spans="1:9" s="8" customFormat="1">
      <c r="A1661" s="13"/>
      <c r="B1661" s="8" t="s">
        <v>5275</v>
      </c>
      <c r="C1661" s="290">
        <v>240000</v>
      </c>
      <c r="D1661" s="290">
        <v>0</v>
      </c>
      <c r="E1661" s="284">
        <f t="shared" si="25"/>
        <v>21457291</v>
      </c>
      <c r="F1661" s="291" t="s">
        <v>10</v>
      </c>
      <c r="G1661" s="291" t="s">
        <v>446</v>
      </c>
      <c r="H1661" s="40" t="s">
        <v>2324</v>
      </c>
      <c r="I1661" s="8" t="s">
        <v>26</v>
      </c>
    </row>
    <row r="1662" spans="1:9" s="8" customFormat="1">
      <c r="A1662" s="13"/>
      <c r="B1662" s="8" t="s">
        <v>5276</v>
      </c>
      <c r="C1662" s="290">
        <v>473000</v>
      </c>
      <c r="D1662" s="290">
        <v>0</v>
      </c>
      <c r="E1662" s="284">
        <f t="shared" si="25"/>
        <v>20984291</v>
      </c>
      <c r="F1662" s="291" t="s">
        <v>10</v>
      </c>
      <c r="G1662" s="291" t="s">
        <v>446</v>
      </c>
      <c r="H1662" s="40" t="s">
        <v>2324</v>
      </c>
      <c r="I1662" s="8" t="s">
        <v>26</v>
      </c>
    </row>
    <row r="1663" spans="1:9" s="8" customFormat="1">
      <c r="A1663" s="13"/>
      <c r="B1663" s="8" t="s">
        <v>5277</v>
      </c>
      <c r="C1663" s="290">
        <v>286000</v>
      </c>
      <c r="D1663" s="290">
        <v>0</v>
      </c>
      <c r="E1663" s="284">
        <f t="shared" si="25"/>
        <v>20698291</v>
      </c>
      <c r="F1663" s="291" t="s">
        <v>10</v>
      </c>
      <c r="G1663" s="291" t="s">
        <v>446</v>
      </c>
      <c r="H1663" s="40" t="s">
        <v>2324</v>
      </c>
      <c r="I1663" s="8" t="s">
        <v>26</v>
      </c>
    </row>
    <row r="1664" spans="1:9" s="8" customFormat="1">
      <c r="A1664" s="13"/>
      <c r="B1664" s="8" t="s">
        <v>5267</v>
      </c>
      <c r="C1664" s="290">
        <v>2500</v>
      </c>
      <c r="D1664" s="290">
        <v>0</v>
      </c>
      <c r="E1664" s="284">
        <f t="shared" si="25"/>
        <v>20695791</v>
      </c>
      <c r="F1664" s="291" t="s">
        <v>10</v>
      </c>
      <c r="G1664" s="291" t="s">
        <v>446</v>
      </c>
      <c r="H1664" s="40" t="s">
        <v>2324</v>
      </c>
      <c r="I1664" s="8" t="s">
        <v>26</v>
      </c>
    </row>
    <row r="1665" spans="1:9" s="8" customFormat="1">
      <c r="A1665" s="13"/>
      <c r="B1665" s="8" t="s">
        <v>5278</v>
      </c>
      <c r="C1665" s="290">
        <v>300000</v>
      </c>
      <c r="D1665" s="290">
        <v>0</v>
      </c>
      <c r="E1665" s="284">
        <f t="shared" si="25"/>
        <v>20395791</v>
      </c>
      <c r="F1665" s="291" t="s">
        <v>10</v>
      </c>
      <c r="G1665" s="291" t="s">
        <v>446</v>
      </c>
      <c r="H1665" s="40" t="s">
        <v>2324</v>
      </c>
      <c r="I1665" s="8" t="s">
        <v>26</v>
      </c>
    </row>
    <row r="1666" spans="1:9" s="8" customFormat="1">
      <c r="A1666" s="13"/>
      <c r="B1666" s="8" t="s">
        <v>5279</v>
      </c>
      <c r="C1666" s="290">
        <v>10000000</v>
      </c>
      <c r="D1666" s="290">
        <v>0</v>
      </c>
      <c r="E1666" s="284">
        <f t="shared" si="25"/>
        <v>10395791</v>
      </c>
      <c r="F1666" s="291" t="s">
        <v>10</v>
      </c>
      <c r="G1666" s="291" t="s">
        <v>446</v>
      </c>
      <c r="H1666" s="40" t="s">
        <v>2324</v>
      </c>
      <c r="I1666" s="8" t="s">
        <v>26</v>
      </c>
    </row>
    <row r="1667" spans="1:9" s="8" customFormat="1">
      <c r="A1667" s="13"/>
      <c r="B1667" s="8" t="s">
        <v>5267</v>
      </c>
      <c r="C1667" s="290">
        <v>2500</v>
      </c>
      <c r="D1667" s="290">
        <v>0</v>
      </c>
      <c r="E1667" s="284">
        <f t="shared" si="25"/>
        <v>10393291</v>
      </c>
      <c r="F1667" s="291" t="s">
        <v>10</v>
      </c>
      <c r="G1667" s="291" t="s">
        <v>446</v>
      </c>
      <c r="H1667" s="40" t="s">
        <v>2324</v>
      </c>
      <c r="I1667" s="8" t="s">
        <v>26</v>
      </c>
    </row>
    <row r="1668" spans="1:9" s="8" customFormat="1">
      <c r="A1668" s="13"/>
      <c r="B1668" s="8" t="s">
        <v>5280</v>
      </c>
      <c r="C1668" s="290">
        <v>228000</v>
      </c>
      <c r="D1668" s="290">
        <v>0</v>
      </c>
      <c r="E1668" s="284">
        <f t="shared" si="25"/>
        <v>10165291</v>
      </c>
      <c r="F1668" s="291" t="s">
        <v>10</v>
      </c>
      <c r="G1668" s="291" t="s">
        <v>446</v>
      </c>
      <c r="H1668" s="40" t="s">
        <v>2324</v>
      </c>
      <c r="I1668" s="8" t="s">
        <v>26</v>
      </c>
    </row>
    <row r="1669" spans="1:9" s="8" customFormat="1">
      <c r="A1669" s="13"/>
      <c r="B1669" s="8" t="s">
        <v>5267</v>
      </c>
      <c r="C1669" s="290">
        <v>2500</v>
      </c>
      <c r="D1669" s="290">
        <v>0</v>
      </c>
      <c r="E1669" s="284">
        <f t="shared" si="25"/>
        <v>10162791</v>
      </c>
      <c r="F1669" s="291" t="s">
        <v>10</v>
      </c>
      <c r="G1669" s="291" t="s">
        <v>446</v>
      </c>
      <c r="H1669" s="40" t="s">
        <v>2324</v>
      </c>
      <c r="I1669" s="8" t="s">
        <v>26</v>
      </c>
    </row>
    <row r="1670" spans="1:9" s="8" customFormat="1">
      <c r="A1670" s="13"/>
      <c r="B1670" s="8" t="s">
        <v>5281</v>
      </c>
      <c r="C1670" s="290">
        <v>21000</v>
      </c>
      <c r="D1670" s="290">
        <v>0</v>
      </c>
      <c r="E1670" s="284">
        <f t="shared" ref="E1670:E1733" si="26">E1669-C1670+D1670</f>
        <v>10141791</v>
      </c>
      <c r="F1670" s="291" t="s">
        <v>10</v>
      </c>
      <c r="G1670" s="291" t="s">
        <v>446</v>
      </c>
      <c r="H1670" s="40" t="s">
        <v>2324</v>
      </c>
      <c r="I1670" s="8" t="s">
        <v>26</v>
      </c>
    </row>
    <row r="1671" spans="1:9" s="8" customFormat="1">
      <c r="A1671" s="13"/>
      <c r="B1671" s="8" t="s">
        <v>5282</v>
      </c>
      <c r="C1671" s="290">
        <v>140000</v>
      </c>
      <c r="D1671" s="290">
        <v>0</v>
      </c>
      <c r="E1671" s="284">
        <f t="shared" si="26"/>
        <v>10001791</v>
      </c>
      <c r="F1671" s="291" t="s">
        <v>10</v>
      </c>
      <c r="G1671" s="291" t="s">
        <v>446</v>
      </c>
      <c r="H1671" s="40" t="s">
        <v>2324</v>
      </c>
      <c r="I1671" s="8" t="s">
        <v>26</v>
      </c>
    </row>
    <row r="1672" spans="1:9" s="8" customFormat="1">
      <c r="A1672" s="13"/>
      <c r="B1672" s="8" t="s">
        <v>5283</v>
      </c>
      <c r="C1672" s="290">
        <v>4500000</v>
      </c>
      <c r="D1672" s="290">
        <v>0</v>
      </c>
      <c r="E1672" s="284">
        <f t="shared" si="26"/>
        <v>5501791</v>
      </c>
      <c r="F1672" s="291" t="s">
        <v>10</v>
      </c>
      <c r="G1672" s="291" t="s">
        <v>446</v>
      </c>
      <c r="H1672" s="40" t="s">
        <v>2324</v>
      </c>
      <c r="I1672" s="8" t="s">
        <v>26</v>
      </c>
    </row>
    <row r="1673" spans="1:9" s="8" customFormat="1">
      <c r="A1673" s="13"/>
      <c r="B1673" s="8" t="s">
        <v>5284</v>
      </c>
      <c r="C1673" s="290">
        <v>1800000</v>
      </c>
      <c r="D1673" s="290">
        <v>0</v>
      </c>
      <c r="E1673" s="284">
        <f t="shared" si="26"/>
        <v>3701791</v>
      </c>
      <c r="F1673" s="291" t="s">
        <v>10</v>
      </c>
      <c r="G1673" s="291" t="s">
        <v>446</v>
      </c>
      <c r="H1673" s="40" t="s">
        <v>2324</v>
      </c>
      <c r="I1673" s="8" t="s">
        <v>26</v>
      </c>
    </row>
    <row r="1674" spans="1:9" s="8" customFormat="1">
      <c r="A1674" s="13"/>
      <c r="B1674" s="8" t="s">
        <v>5285</v>
      </c>
      <c r="C1674" s="290">
        <v>900000</v>
      </c>
      <c r="D1674" s="290">
        <v>0</v>
      </c>
      <c r="E1674" s="284">
        <f t="shared" si="26"/>
        <v>2801791</v>
      </c>
      <c r="F1674" s="291" t="s">
        <v>10</v>
      </c>
      <c r="G1674" s="291" t="s">
        <v>446</v>
      </c>
      <c r="H1674" s="40" t="s">
        <v>2324</v>
      </c>
      <c r="I1674" s="8" t="s">
        <v>26</v>
      </c>
    </row>
    <row r="1675" spans="1:9" s="8" customFormat="1">
      <c r="A1675" s="13"/>
      <c r="B1675" s="8" t="s">
        <v>5286</v>
      </c>
      <c r="C1675" s="290">
        <v>2000000</v>
      </c>
      <c r="D1675" s="290">
        <v>0</v>
      </c>
      <c r="E1675" s="284">
        <f t="shared" si="26"/>
        <v>801791</v>
      </c>
      <c r="F1675" s="291" t="s">
        <v>10</v>
      </c>
      <c r="G1675" s="291" t="s">
        <v>446</v>
      </c>
      <c r="H1675" s="40" t="s">
        <v>2324</v>
      </c>
      <c r="I1675" s="8" t="s">
        <v>26</v>
      </c>
    </row>
    <row r="1676" spans="1:9" s="8" customFormat="1">
      <c r="A1676" s="13"/>
      <c r="B1676" s="8" t="s">
        <v>5287</v>
      </c>
      <c r="C1676" s="290">
        <v>21000</v>
      </c>
      <c r="D1676" s="290">
        <v>0</v>
      </c>
      <c r="E1676" s="284">
        <f t="shared" si="26"/>
        <v>780791</v>
      </c>
      <c r="F1676" s="291" t="s">
        <v>10</v>
      </c>
      <c r="G1676" s="291" t="s">
        <v>446</v>
      </c>
      <c r="H1676" s="40" t="s">
        <v>2324</v>
      </c>
      <c r="I1676" s="8" t="s">
        <v>26</v>
      </c>
    </row>
    <row r="1677" spans="1:9" s="8" customFormat="1">
      <c r="A1677" s="13"/>
      <c r="B1677" s="8" t="s">
        <v>5288</v>
      </c>
      <c r="C1677" s="290">
        <v>1830000</v>
      </c>
      <c r="D1677" s="290">
        <v>0</v>
      </c>
      <c r="E1677" s="284">
        <f t="shared" si="26"/>
        <v>-1049209</v>
      </c>
      <c r="F1677" s="291" t="s">
        <v>10</v>
      </c>
      <c r="G1677" s="291" t="s">
        <v>446</v>
      </c>
      <c r="H1677" s="40" t="s">
        <v>2324</v>
      </c>
      <c r="I1677" s="8" t="s">
        <v>26</v>
      </c>
    </row>
    <row r="1678" spans="1:9" s="8" customFormat="1">
      <c r="A1678" s="13"/>
      <c r="B1678" s="8" t="s">
        <v>5289</v>
      </c>
      <c r="C1678" s="290">
        <v>5000</v>
      </c>
      <c r="D1678" s="290">
        <v>0</v>
      </c>
      <c r="E1678" s="284">
        <f t="shared" si="26"/>
        <v>-1054209</v>
      </c>
      <c r="F1678" s="291" t="s">
        <v>10</v>
      </c>
      <c r="G1678" s="291" t="s">
        <v>446</v>
      </c>
      <c r="H1678" s="40" t="s">
        <v>2324</v>
      </c>
      <c r="I1678" s="8" t="s">
        <v>26</v>
      </c>
    </row>
    <row r="1679" spans="1:9" s="8" customFormat="1">
      <c r="A1679" s="13"/>
      <c r="B1679" s="8" t="s">
        <v>5290</v>
      </c>
      <c r="C1679" s="290">
        <v>980000</v>
      </c>
      <c r="D1679" s="290">
        <v>0</v>
      </c>
      <c r="E1679" s="284">
        <f t="shared" si="26"/>
        <v>-2034209</v>
      </c>
      <c r="F1679" s="291" t="s">
        <v>10</v>
      </c>
      <c r="G1679" s="291" t="s">
        <v>446</v>
      </c>
      <c r="H1679" s="40" t="s">
        <v>2324</v>
      </c>
      <c r="I1679" s="8" t="s">
        <v>26</v>
      </c>
    </row>
    <row r="1680" spans="1:9" s="8" customFormat="1">
      <c r="A1680" s="13"/>
      <c r="B1680" s="8" t="s">
        <v>5291</v>
      </c>
      <c r="C1680" s="290">
        <v>427130</v>
      </c>
      <c r="D1680" s="290">
        <v>0</v>
      </c>
      <c r="E1680" s="284">
        <f t="shared" si="26"/>
        <v>-2461339</v>
      </c>
      <c r="F1680" s="291" t="s">
        <v>10</v>
      </c>
      <c r="G1680" s="291" t="s">
        <v>446</v>
      </c>
      <c r="H1680" s="40" t="s">
        <v>2324</v>
      </c>
      <c r="I1680" s="8" t="s">
        <v>26</v>
      </c>
    </row>
    <row r="1681" spans="1:9" s="8" customFormat="1">
      <c r="A1681" s="13"/>
      <c r="B1681" s="8" t="s">
        <v>5292</v>
      </c>
      <c r="C1681" s="290">
        <v>600000</v>
      </c>
      <c r="D1681" s="290">
        <v>0</v>
      </c>
      <c r="E1681" s="284">
        <f t="shared" si="26"/>
        <v>-3061339</v>
      </c>
      <c r="F1681" s="291" t="s">
        <v>10</v>
      </c>
      <c r="G1681" s="291" t="s">
        <v>446</v>
      </c>
      <c r="H1681" s="40" t="s">
        <v>2324</v>
      </c>
      <c r="I1681" s="8" t="s">
        <v>26</v>
      </c>
    </row>
    <row r="1682" spans="1:9" s="8" customFormat="1">
      <c r="A1682" s="13"/>
      <c r="B1682" s="8" t="s">
        <v>5293</v>
      </c>
      <c r="C1682" s="290">
        <v>100000</v>
      </c>
      <c r="D1682" s="290">
        <v>0</v>
      </c>
      <c r="E1682" s="284">
        <f t="shared" si="26"/>
        <v>-3161339</v>
      </c>
      <c r="F1682" s="291" t="s">
        <v>10</v>
      </c>
      <c r="G1682" s="291" t="s">
        <v>446</v>
      </c>
      <c r="H1682" s="40" t="s">
        <v>2324</v>
      </c>
      <c r="I1682" s="8" t="s">
        <v>26</v>
      </c>
    </row>
    <row r="1683" spans="1:9" s="8" customFormat="1">
      <c r="A1683" s="13">
        <v>45818</v>
      </c>
      <c r="B1683" s="8" t="s">
        <v>1944</v>
      </c>
      <c r="C1683" s="284">
        <v>0</v>
      </c>
      <c r="D1683" s="284">
        <v>3161339</v>
      </c>
      <c r="E1683" s="284">
        <f t="shared" si="26"/>
        <v>0</v>
      </c>
      <c r="F1683" s="8" t="s">
        <v>920</v>
      </c>
      <c r="G1683" s="8" t="s">
        <v>400</v>
      </c>
      <c r="H1683" s="8" t="s">
        <v>5611</v>
      </c>
    </row>
    <row r="1684" spans="1:9" s="8" customFormat="1">
      <c r="A1684" s="13">
        <v>45812</v>
      </c>
      <c r="B1684" s="8" t="s">
        <v>1930</v>
      </c>
      <c r="C1684" s="284">
        <v>0</v>
      </c>
      <c r="D1684" s="284">
        <v>3294380</v>
      </c>
      <c r="E1684" s="284">
        <f t="shared" si="26"/>
        <v>3294380</v>
      </c>
      <c r="F1684" s="8" t="s">
        <v>920</v>
      </c>
      <c r="G1684" s="8" t="s">
        <v>400</v>
      </c>
      <c r="H1684" s="8" t="s">
        <v>5610</v>
      </c>
    </row>
    <row r="1685" spans="1:9" s="8" customFormat="1">
      <c r="A1685" s="13"/>
      <c r="B1685" s="8" t="s">
        <v>5295</v>
      </c>
      <c r="C1685" s="284">
        <v>80000</v>
      </c>
      <c r="D1685" s="284">
        <v>0</v>
      </c>
      <c r="E1685" s="284">
        <f t="shared" si="26"/>
        <v>3214380</v>
      </c>
      <c r="F1685" s="8" t="s">
        <v>1643</v>
      </c>
      <c r="G1685" s="8" t="s">
        <v>5</v>
      </c>
      <c r="H1685" s="40" t="s">
        <v>2326</v>
      </c>
    </row>
    <row r="1686" spans="1:9" s="8" customFormat="1">
      <c r="A1686" s="13"/>
      <c r="B1686" s="8" t="s">
        <v>5296</v>
      </c>
      <c r="C1686" s="284">
        <v>48000</v>
      </c>
      <c r="D1686" s="284">
        <v>0</v>
      </c>
      <c r="E1686" s="284">
        <f t="shared" si="26"/>
        <v>3166380</v>
      </c>
      <c r="F1686" s="8" t="s">
        <v>1643</v>
      </c>
      <c r="G1686" s="8" t="s">
        <v>5</v>
      </c>
      <c r="H1686" s="40" t="s">
        <v>2326</v>
      </c>
    </row>
    <row r="1687" spans="1:9" s="8" customFormat="1">
      <c r="A1687" s="13"/>
      <c r="B1687" s="8" t="s">
        <v>5297</v>
      </c>
      <c r="C1687" s="284">
        <v>1139500</v>
      </c>
      <c r="D1687" s="284">
        <v>0</v>
      </c>
      <c r="E1687" s="284">
        <f t="shared" si="26"/>
        <v>2026880</v>
      </c>
      <c r="F1687" s="8" t="s">
        <v>1643</v>
      </c>
      <c r="G1687" s="8" t="s">
        <v>5</v>
      </c>
      <c r="H1687" s="40" t="s">
        <v>2326</v>
      </c>
    </row>
    <row r="1688" spans="1:9" s="8" customFormat="1">
      <c r="A1688" s="13"/>
      <c r="B1688" s="8" t="s">
        <v>5298</v>
      </c>
      <c r="C1688" s="284">
        <v>400000</v>
      </c>
      <c r="D1688" s="284">
        <v>0</v>
      </c>
      <c r="E1688" s="284">
        <f t="shared" si="26"/>
        <v>1626880</v>
      </c>
      <c r="F1688" s="8" t="s">
        <v>1643</v>
      </c>
      <c r="G1688" s="8" t="s">
        <v>5</v>
      </c>
      <c r="H1688" s="40" t="s">
        <v>2326</v>
      </c>
    </row>
    <row r="1689" spans="1:9" s="8" customFormat="1">
      <c r="A1689" s="13"/>
      <c r="B1689" s="8" t="s">
        <v>5299</v>
      </c>
      <c r="C1689" s="284">
        <v>130000</v>
      </c>
      <c r="D1689" s="284">
        <v>0</v>
      </c>
      <c r="E1689" s="284">
        <f t="shared" si="26"/>
        <v>1496880</v>
      </c>
      <c r="F1689" s="8" t="s">
        <v>1643</v>
      </c>
      <c r="G1689" s="8" t="s">
        <v>5</v>
      </c>
      <c r="H1689" s="40" t="s">
        <v>2326</v>
      </c>
    </row>
    <row r="1690" spans="1:9" s="8" customFormat="1">
      <c r="A1690" s="13"/>
      <c r="B1690" s="8" t="s">
        <v>5300</v>
      </c>
      <c r="C1690" s="284">
        <v>1496880</v>
      </c>
      <c r="D1690" s="284">
        <v>0</v>
      </c>
      <c r="E1690" s="284">
        <f t="shared" si="26"/>
        <v>0</v>
      </c>
      <c r="F1690" s="8" t="s">
        <v>1643</v>
      </c>
      <c r="G1690" s="8" t="s">
        <v>5</v>
      </c>
      <c r="H1690" s="40" t="s">
        <v>2326</v>
      </c>
    </row>
    <row r="1691" spans="1:9" s="8" customFormat="1">
      <c r="A1691" s="13">
        <v>45812</v>
      </c>
      <c r="B1691" s="8" t="s">
        <v>1929</v>
      </c>
      <c r="C1691" s="284">
        <v>0</v>
      </c>
      <c r="D1691" s="284">
        <v>7254370</v>
      </c>
      <c r="E1691" s="284">
        <f t="shared" si="26"/>
        <v>7254370</v>
      </c>
      <c r="F1691" s="8" t="s">
        <v>920</v>
      </c>
      <c r="G1691" s="8" t="s">
        <v>400</v>
      </c>
      <c r="H1691" s="8" t="s">
        <v>5301</v>
      </c>
    </row>
    <row r="1692" spans="1:9" s="8" customFormat="1">
      <c r="A1692" s="13"/>
      <c r="B1692" s="8" t="s">
        <v>5302</v>
      </c>
      <c r="C1692" s="284">
        <v>1069200</v>
      </c>
      <c r="D1692" s="284">
        <v>0</v>
      </c>
      <c r="E1692" s="284">
        <f t="shared" si="26"/>
        <v>6185170</v>
      </c>
      <c r="F1692" s="8" t="s">
        <v>1643</v>
      </c>
      <c r="G1692" s="8" t="s">
        <v>5</v>
      </c>
      <c r="H1692" s="40" t="s">
        <v>2326</v>
      </c>
    </row>
    <row r="1693" spans="1:9" s="8" customFormat="1">
      <c r="A1693" s="13"/>
      <c r="B1693" s="8" t="s">
        <v>5303</v>
      </c>
      <c r="C1693" s="284">
        <v>490000</v>
      </c>
      <c r="D1693" s="284">
        <v>0</v>
      </c>
      <c r="E1693" s="284">
        <f t="shared" si="26"/>
        <v>5695170</v>
      </c>
      <c r="F1693" s="8" t="s">
        <v>1643</v>
      </c>
      <c r="G1693" s="8" t="s">
        <v>5</v>
      </c>
      <c r="H1693" s="40" t="s">
        <v>2326</v>
      </c>
    </row>
    <row r="1694" spans="1:9" s="8" customFormat="1">
      <c r="A1694" s="13"/>
      <c r="B1694" s="8" t="s">
        <v>5304</v>
      </c>
      <c r="C1694" s="284">
        <v>100000</v>
      </c>
      <c r="D1694" s="284">
        <v>0</v>
      </c>
      <c r="E1694" s="284">
        <f t="shared" si="26"/>
        <v>5595170</v>
      </c>
      <c r="F1694" s="8" t="s">
        <v>1643</v>
      </c>
      <c r="G1694" s="8" t="s">
        <v>5</v>
      </c>
      <c r="H1694" s="40" t="s">
        <v>2326</v>
      </c>
    </row>
    <row r="1695" spans="1:9" s="8" customFormat="1">
      <c r="A1695" s="13"/>
      <c r="B1695" s="8" t="s">
        <v>5305</v>
      </c>
      <c r="C1695" s="284">
        <v>803440</v>
      </c>
      <c r="D1695" s="284">
        <v>0</v>
      </c>
      <c r="E1695" s="284">
        <f t="shared" si="26"/>
        <v>4791730</v>
      </c>
      <c r="F1695" s="8" t="s">
        <v>1643</v>
      </c>
      <c r="G1695" s="8" t="s">
        <v>5</v>
      </c>
      <c r="H1695" s="40" t="s">
        <v>2326</v>
      </c>
    </row>
    <row r="1696" spans="1:9" s="8" customFormat="1">
      <c r="A1696" s="13"/>
      <c r="B1696" s="8" t="s">
        <v>5306</v>
      </c>
      <c r="C1696" s="284">
        <v>653000</v>
      </c>
      <c r="D1696" s="284">
        <v>0</v>
      </c>
      <c r="E1696" s="284">
        <f t="shared" si="26"/>
        <v>4138730</v>
      </c>
      <c r="F1696" s="8" t="s">
        <v>1643</v>
      </c>
      <c r="G1696" s="8" t="s">
        <v>5</v>
      </c>
      <c r="H1696" s="40" t="s">
        <v>2326</v>
      </c>
    </row>
    <row r="1697" spans="1:8" s="8" customFormat="1">
      <c r="A1697" s="13"/>
      <c r="B1697" s="8" t="s">
        <v>5306</v>
      </c>
      <c r="C1697" s="284">
        <v>760000</v>
      </c>
      <c r="D1697" s="284">
        <v>0</v>
      </c>
      <c r="E1697" s="284">
        <f t="shared" si="26"/>
        <v>3378730</v>
      </c>
      <c r="F1697" s="8" t="s">
        <v>1643</v>
      </c>
      <c r="G1697" s="8" t="s">
        <v>5</v>
      </c>
      <c r="H1697" s="40" t="s">
        <v>2326</v>
      </c>
    </row>
    <row r="1698" spans="1:8" s="8" customFormat="1">
      <c r="A1698" s="13"/>
      <c r="B1698" s="8" t="s">
        <v>5307</v>
      </c>
      <c r="C1698" s="284">
        <v>336380</v>
      </c>
      <c r="D1698" s="284">
        <v>0</v>
      </c>
      <c r="E1698" s="284">
        <f t="shared" si="26"/>
        <v>3042350</v>
      </c>
      <c r="F1698" s="8" t="s">
        <v>1643</v>
      </c>
      <c r="G1698" s="8" t="s">
        <v>5</v>
      </c>
      <c r="H1698" s="40" t="s">
        <v>2326</v>
      </c>
    </row>
    <row r="1699" spans="1:8" s="8" customFormat="1">
      <c r="A1699" s="13"/>
      <c r="B1699" s="8" t="s">
        <v>5307</v>
      </c>
      <c r="C1699" s="284">
        <v>447700</v>
      </c>
      <c r="D1699" s="284">
        <v>0</v>
      </c>
      <c r="E1699" s="284">
        <f t="shared" si="26"/>
        <v>2594650</v>
      </c>
      <c r="F1699" s="8" t="s">
        <v>1643</v>
      </c>
      <c r="G1699" s="8" t="s">
        <v>5</v>
      </c>
      <c r="H1699" s="40" t="s">
        <v>2326</v>
      </c>
    </row>
    <row r="1700" spans="1:8" s="8" customFormat="1">
      <c r="A1700" s="13"/>
      <c r="B1700" s="8" t="s">
        <v>5307</v>
      </c>
      <c r="C1700" s="284">
        <v>381150</v>
      </c>
      <c r="D1700" s="284">
        <v>0</v>
      </c>
      <c r="E1700" s="284">
        <f t="shared" si="26"/>
        <v>2213500</v>
      </c>
      <c r="F1700" s="8" t="s">
        <v>1643</v>
      </c>
      <c r="G1700" s="8" t="s">
        <v>5</v>
      </c>
      <c r="H1700" s="40" t="s">
        <v>2326</v>
      </c>
    </row>
    <row r="1701" spans="1:8" s="8" customFormat="1">
      <c r="A1701" s="13"/>
      <c r="B1701" s="8" t="s">
        <v>5304</v>
      </c>
      <c r="C1701" s="284">
        <v>600000</v>
      </c>
      <c r="D1701" s="284">
        <v>0</v>
      </c>
      <c r="E1701" s="284">
        <f t="shared" si="26"/>
        <v>1613500</v>
      </c>
      <c r="F1701" s="8" t="s">
        <v>1643</v>
      </c>
      <c r="G1701" s="8" t="s">
        <v>5</v>
      </c>
      <c r="H1701" s="40" t="s">
        <v>2326</v>
      </c>
    </row>
    <row r="1702" spans="1:8" s="8" customFormat="1">
      <c r="A1702" s="13"/>
      <c r="B1702" s="8" t="s">
        <v>5308</v>
      </c>
      <c r="C1702" s="284">
        <v>1413500</v>
      </c>
      <c r="D1702" s="284">
        <v>0</v>
      </c>
      <c r="E1702" s="284">
        <f t="shared" si="26"/>
        <v>200000</v>
      </c>
      <c r="F1702" s="8" t="s">
        <v>1643</v>
      </c>
      <c r="G1702" s="8" t="s">
        <v>5</v>
      </c>
      <c r="H1702" s="40" t="s">
        <v>2326</v>
      </c>
    </row>
    <row r="1703" spans="1:8" s="8" customFormat="1">
      <c r="A1703" s="13"/>
      <c r="B1703" s="8" t="s">
        <v>5309</v>
      </c>
      <c r="C1703" s="284">
        <v>200000</v>
      </c>
      <c r="D1703" s="284">
        <v>0</v>
      </c>
      <c r="E1703" s="284">
        <f t="shared" si="26"/>
        <v>0</v>
      </c>
      <c r="F1703" s="8" t="s">
        <v>1643</v>
      </c>
      <c r="G1703" s="8" t="s">
        <v>5</v>
      </c>
      <c r="H1703" s="40" t="s">
        <v>2326</v>
      </c>
    </row>
    <row r="1704" spans="1:8" s="8" customFormat="1">
      <c r="A1704" s="13">
        <v>45821</v>
      </c>
      <c r="B1704" s="8" t="s">
        <v>1949</v>
      </c>
      <c r="C1704" s="284">
        <v>0</v>
      </c>
      <c r="D1704" s="284">
        <v>19000000</v>
      </c>
      <c r="E1704" s="284">
        <f t="shared" si="26"/>
        <v>19000000</v>
      </c>
      <c r="F1704" s="8" t="s">
        <v>920</v>
      </c>
      <c r="G1704" s="8" t="s">
        <v>400</v>
      </c>
      <c r="H1704" s="8" t="s">
        <v>5310</v>
      </c>
    </row>
    <row r="1705" spans="1:8" s="8" customFormat="1">
      <c r="A1705" s="13"/>
      <c r="B1705" s="8" t="s">
        <v>5311</v>
      </c>
      <c r="C1705" s="284">
        <v>3000000</v>
      </c>
      <c r="D1705" s="284">
        <v>0</v>
      </c>
      <c r="E1705" s="284">
        <f t="shared" si="26"/>
        <v>16000000</v>
      </c>
      <c r="F1705" s="8" t="s">
        <v>1643</v>
      </c>
      <c r="G1705" s="8" t="s">
        <v>5</v>
      </c>
      <c r="H1705" s="40" t="s">
        <v>2235</v>
      </c>
    </row>
    <row r="1706" spans="1:8" s="8" customFormat="1">
      <c r="A1706" s="13"/>
      <c r="B1706" s="8" t="s">
        <v>5312</v>
      </c>
      <c r="C1706" s="284">
        <v>700000</v>
      </c>
      <c r="D1706" s="284">
        <v>0</v>
      </c>
      <c r="E1706" s="284">
        <f t="shared" si="26"/>
        <v>15300000</v>
      </c>
      <c r="F1706" s="8" t="s">
        <v>1643</v>
      </c>
      <c r="G1706" s="8" t="s">
        <v>5</v>
      </c>
      <c r="H1706" s="40" t="s">
        <v>2235</v>
      </c>
    </row>
    <row r="1707" spans="1:8" s="8" customFormat="1">
      <c r="A1707" s="13"/>
      <c r="B1707" s="8" t="s">
        <v>5313</v>
      </c>
      <c r="C1707" s="284">
        <v>108800</v>
      </c>
      <c r="D1707" s="284">
        <v>0</v>
      </c>
      <c r="E1707" s="284">
        <f t="shared" si="26"/>
        <v>15191200</v>
      </c>
      <c r="F1707" s="8" t="s">
        <v>1643</v>
      </c>
      <c r="G1707" s="8" t="s">
        <v>5</v>
      </c>
      <c r="H1707" s="40" t="s">
        <v>2235</v>
      </c>
    </row>
    <row r="1708" spans="1:8" s="8" customFormat="1">
      <c r="A1708" s="13"/>
      <c r="B1708" s="8" t="s">
        <v>5314</v>
      </c>
      <c r="C1708" s="284">
        <v>378000</v>
      </c>
      <c r="D1708" s="284">
        <v>0</v>
      </c>
      <c r="E1708" s="284">
        <f t="shared" si="26"/>
        <v>14813200</v>
      </c>
      <c r="F1708" s="8" t="s">
        <v>1643</v>
      </c>
      <c r="G1708" s="8" t="s">
        <v>5</v>
      </c>
      <c r="H1708" s="40" t="s">
        <v>2235</v>
      </c>
    </row>
    <row r="1709" spans="1:8" s="8" customFormat="1">
      <c r="A1709" s="13"/>
      <c r="B1709" s="8" t="s">
        <v>5315</v>
      </c>
      <c r="C1709" s="284">
        <v>480000</v>
      </c>
      <c r="D1709" s="284">
        <v>0</v>
      </c>
      <c r="E1709" s="284">
        <f t="shared" si="26"/>
        <v>14333200</v>
      </c>
      <c r="F1709" s="8" t="s">
        <v>1643</v>
      </c>
      <c r="G1709" s="8" t="s">
        <v>5</v>
      </c>
      <c r="H1709" s="40" t="s">
        <v>2235</v>
      </c>
    </row>
    <row r="1710" spans="1:8" s="8" customFormat="1">
      <c r="A1710" s="13"/>
      <c r="B1710" s="8" t="s">
        <v>5316</v>
      </c>
      <c r="C1710" s="284">
        <v>71000</v>
      </c>
      <c r="D1710" s="284">
        <v>0</v>
      </c>
      <c r="E1710" s="284">
        <f t="shared" si="26"/>
        <v>14262200</v>
      </c>
      <c r="F1710" s="8" t="s">
        <v>1643</v>
      </c>
      <c r="G1710" s="8" t="s">
        <v>5</v>
      </c>
      <c r="H1710" s="40" t="s">
        <v>2235</v>
      </c>
    </row>
    <row r="1711" spans="1:8" s="8" customFormat="1">
      <c r="A1711" s="13"/>
      <c r="B1711" s="8" t="s">
        <v>5317</v>
      </c>
      <c r="C1711" s="284">
        <v>62000</v>
      </c>
      <c r="D1711" s="284">
        <v>0</v>
      </c>
      <c r="E1711" s="284">
        <f t="shared" si="26"/>
        <v>14200200</v>
      </c>
      <c r="F1711" s="8" t="s">
        <v>1643</v>
      </c>
      <c r="G1711" s="8" t="s">
        <v>5</v>
      </c>
      <c r="H1711" s="40" t="s">
        <v>2235</v>
      </c>
    </row>
    <row r="1712" spans="1:8" s="8" customFormat="1">
      <c r="A1712" s="13"/>
      <c r="B1712" s="8" t="s">
        <v>5318</v>
      </c>
      <c r="C1712" s="284">
        <v>20000</v>
      </c>
      <c r="D1712" s="284">
        <v>0</v>
      </c>
      <c r="E1712" s="284">
        <f t="shared" si="26"/>
        <v>14180200</v>
      </c>
      <c r="F1712" s="8" t="s">
        <v>1643</v>
      </c>
      <c r="G1712" s="8" t="s">
        <v>5</v>
      </c>
      <c r="H1712" s="40" t="s">
        <v>2235</v>
      </c>
    </row>
    <row r="1713" spans="1:8" s="8" customFormat="1">
      <c r="A1713" s="13"/>
      <c r="B1713" s="8" t="s">
        <v>5319</v>
      </c>
      <c r="C1713" s="284">
        <v>50000</v>
      </c>
      <c r="D1713" s="284">
        <v>0</v>
      </c>
      <c r="E1713" s="284">
        <f t="shared" si="26"/>
        <v>14130200</v>
      </c>
      <c r="F1713" s="8" t="s">
        <v>1643</v>
      </c>
      <c r="G1713" s="8" t="s">
        <v>5</v>
      </c>
      <c r="H1713" s="40" t="s">
        <v>2235</v>
      </c>
    </row>
    <row r="1714" spans="1:8" s="8" customFormat="1">
      <c r="A1714" s="13"/>
      <c r="B1714" s="8" t="s">
        <v>5320</v>
      </c>
      <c r="C1714" s="284">
        <v>150000</v>
      </c>
      <c r="D1714" s="284">
        <v>0</v>
      </c>
      <c r="E1714" s="284">
        <f t="shared" si="26"/>
        <v>13980200</v>
      </c>
      <c r="F1714" s="8" t="s">
        <v>1643</v>
      </c>
      <c r="G1714" s="8" t="s">
        <v>5</v>
      </c>
      <c r="H1714" s="40" t="s">
        <v>2235</v>
      </c>
    </row>
    <row r="1715" spans="1:8" s="8" customFormat="1">
      <c r="A1715" s="13"/>
      <c r="B1715" s="8" t="s">
        <v>5321</v>
      </c>
      <c r="C1715" s="284">
        <v>77900</v>
      </c>
      <c r="D1715" s="284">
        <v>0</v>
      </c>
      <c r="E1715" s="284">
        <f t="shared" si="26"/>
        <v>13902300</v>
      </c>
      <c r="F1715" s="8" t="s">
        <v>1643</v>
      </c>
      <c r="G1715" s="8" t="s">
        <v>5</v>
      </c>
      <c r="H1715" s="40" t="s">
        <v>2235</v>
      </c>
    </row>
    <row r="1716" spans="1:8" s="8" customFormat="1">
      <c r="A1716" s="13"/>
      <c r="B1716" s="8" t="s">
        <v>5322</v>
      </c>
      <c r="C1716" s="284">
        <v>22500</v>
      </c>
      <c r="D1716" s="284">
        <v>0</v>
      </c>
      <c r="E1716" s="284">
        <f t="shared" si="26"/>
        <v>13879800</v>
      </c>
      <c r="F1716" s="8" t="s">
        <v>1643</v>
      </c>
      <c r="G1716" s="8" t="s">
        <v>5</v>
      </c>
      <c r="H1716" s="40" t="s">
        <v>2235</v>
      </c>
    </row>
    <row r="1717" spans="1:8" s="8" customFormat="1">
      <c r="A1717" s="13"/>
      <c r="B1717" s="8" t="s">
        <v>5323</v>
      </c>
      <c r="C1717" s="284">
        <v>138000</v>
      </c>
      <c r="D1717" s="284">
        <v>0</v>
      </c>
      <c r="E1717" s="284">
        <f t="shared" si="26"/>
        <v>13741800</v>
      </c>
      <c r="F1717" s="8" t="s">
        <v>1643</v>
      </c>
      <c r="G1717" s="8" t="s">
        <v>5</v>
      </c>
      <c r="H1717" s="40" t="s">
        <v>2235</v>
      </c>
    </row>
    <row r="1718" spans="1:8" s="8" customFormat="1">
      <c r="A1718" s="13"/>
      <c r="B1718" s="8" t="s">
        <v>5324</v>
      </c>
      <c r="C1718" s="284">
        <v>268500</v>
      </c>
      <c r="D1718" s="284">
        <v>0</v>
      </c>
      <c r="E1718" s="284">
        <f t="shared" si="26"/>
        <v>13473300</v>
      </c>
      <c r="F1718" s="8" t="s">
        <v>1643</v>
      </c>
      <c r="G1718" s="8" t="s">
        <v>5</v>
      </c>
      <c r="H1718" s="40" t="s">
        <v>2235</v>
      </c>
    </row>
    <row r="1719" spans="1:8" s="8" customFormat="1">
      <c r="A1719" s="13"/>
      <c r="B1719" s="8" t="s">
        <v>5325</v>
      </c>
      <c r="C1719" s="284">
        <v>90000</v>
      </c>
      <c r="D1719" s="284">
        <v>0</v>
      </c>
      <c r="E1719" s="284">
        <f t="shared" si="26"/>
        <v>13383300</v>
      </c>
      <c r="F1719" s="8" t="s">
        <v>1643</v>
      </c>
      <c r="G1719" s="8" t="s">
        <v>5</v>
      </c>
      <c r="H1719" s="40" t="s">
        <v>2235</v>
      </c>
    </row>
    <row r="1720" spans="1:8" s="8" customFormat="1">
      <c r="A1720" s="13"/>
      <c r="B1720" s="8" t="s">
        <v>5326</v>
      </c>
      <c r="C1720" s="284">
        <v>27000</v>
      </c>
      <c r="D1720" s="284">
        <v>0</v>
      </c>
      <c r="E1720" s="284">
        <f t="shared" si="26"/>
        <v>13356300</v>
      </c>
      <c r="F1720" s="8" t="s">
        <v>1643</v>
      </c>
      <c r="G1720" s="8" t="s">
        <v>5</v>
      </c>
      <c r="H1720" s="40" t="s">
        <v>2235</v>
      </c>
    </row>
    <row r="1721" spans="1:8" s="8" customFormat="1">
      <c r="A1721" s="13"/>
      <c r="B1721" s="8" t="s">
        <v>5327</v>
      </c>
      <c r="C1721" s="284">
        <v>27000</v>
      </c>
      <c r="D1721" s="284">
        <v>0</v>
      </c>
      <c r="E1721" s="284">
        <f t="shared" si="26"/>
        <v>13329300</v>
      </c>
      <c r="F1721" s="8" t="s">
        <v>1643</v>
      </c>
      <c r="G1721" s="8" t="s">
        <v>5</v>
      </c>
      <c r="H1721" s="40" t="s">
        <v>2235</v>
      </c>
    </row>
    <row r="1722" spans="1:8" s="8" customFormat="1">
      <c r="A1722" s="13"/>
      <c r="B1722" s="8" t="s">
        <v>5328</v>
      </c>
      <c r="C1722" s="284">
        <v>183500</v>
      </c>
      <c r="D1722" s="284">
        <v>0</v>
      </c>
      <c r="E1722" s="284">
        <f t="shared" si="26"/>
        <v>13145800</v>
      </c>
      <c r="F1722" s="8" t="s">
        <v>1643</v>
      </c>
      <c r="G1722" s="8" t="s">
        <v>5</v>
      </c>
      <c r="H1722" s="40" t="s">
        <v>2235</v>
      </c>
    </row>
    <row r="1723" spans="1:8" s="8" customFormat="1">
      <c r="A1723" s="13"/>
      <c r="B1723" s="8" t="s">
        <v>5329</v>
      </c>
      <c r="C1723" s="284">
        <v>145000</v>
      </c>
      <c r="D1723" s="284">
        <v>0</v>
      </c>
      <c r="E1723" s="284">
        <f t="shared" si="26"/>
        <v>13000800</v>
      </c>
      <c r="F1723" s="8" t="s">
        <v>1643</v>
      </c>
      <c r="G1723" s="8" t="s">
        <v>5</v>
      </c>
      <c r="H1723" s="40" t="s">
        <v>2235</v>
      </c>
    </row>
    <row r="1724" spans="1:8" s="8" customFormat="1">
      <c r="A1724" s="13"/>
      <c r="B1724" s="8" t="s">
        <v>5330</v>
      </c>
      <c r="C1724" s="284">
        <v>544000</v>
      </c>
      <c r="D1724" s="284">
        <v>0</v>
      </c>
      <c r="E1724" s="284">
        <f t="shared" si="26"/>
        <v>12456800</v>
      </c>
      <c r="F1724" s="8" t="s">
        <v>1643</v>
      </c>
      <c r="G1724" s="8" t="s">
        <v>5</v>
      </c>
      <c r="H1724" s="40" t="s">
        <v>2235</v>
      </c>
    </row>
    <row r="1725" spans="1:8" s="8" customFormat="1">
      <c r="A1725" s="13"/>
      <c r="B1725" s="8" t="s">
        <v>5331</v>
      </c>
      <c r="C1725" s="284">
        <v>40000</v>
      </c>
      <c r="D1725" s="284">
        <v>0</v>
      </c>
      <c r="E1725" s="284">
        <f t="shared" si="26"/>
        <v>12416800</v>
      </c>
      <c r="F1725" s="8" t="s">
        <v>1643</v>
      </c>
      <c r="G1725" s="8" t="s">
        <v>5</v>
      </c>
      <c r="H1725" s="40" t="s">
        <v>2235</v>
      </c>
    </row>
    <row r="1726" spans="1:8" s="8" customFormat="1">
      <c r="A1726" s="13"/>
      <c r="B1726" s="8" t="s">
        <v>5332</v>
      </c>
      <c r="C1726" s="284">
        <v>500000</v>
      </c>
      <c r="D1726" s="284">
        <v>0</v>
      </c>
      <c r="E1726" s="284">
        <f t="shared" si="26"/>
        <v>11916800</v>
      </c>
      <c r="F1726" s="8" t="s">
        <v>1643</v>
      </c>
      <c r="G1726" s="8" t="s">
        <v>5</v>
      </c>
      <c r="H1726" s="40" t="s">
        <v>2235</v>
      </c>
    </row>
    <row r="1727" spans="1:8" s="8" customFormat="1">
      <c r="A1727" s="13"/>
      <c r="B1727" s="8" t="s">
        <v>5333</v>
      </c>
      <c r="C1727" s="284">
        <v>54000</v>
      </c>
      <c r="D1727" s="284">
        <v>0</v>
      </c>
      <c r="E1727" s="284">
        <f t="shared" si="26"/>
        <v>11862800</v>
      </c>
      <c r="F1727" s="8" t="s">
        <v>1643</v>
      </c>
      <c r="G1727" s="8" t="s">
        <v>5</v>
      </c>
      <c r="H1727" s="40" t="s">
        <v>2235</v>
      </c>
    </row>
    <row r="1728" spans="1:8" s="8" customFormat="1">
      <c r="A1728" s="13"/>
      <c r="B1728" s="8" t="s">
        <v>5334</v>
      </c>
      <c r="C1728" s="284">
        <v>1105500</v>
      </c>
      <c r="D1728" s="284">
        <v>0</v>
      </c>
      <c r="E1728" s="284">
        <f t="shared" si="26"/>
        <v>10757300</v>
      </c>
      <c r="F1728" s="8" t="s">
        <v>1643</v>
      </c>
      <c r="G1728" s="8" t="s">
        <v>5</v>
      </c>
      <c r="H1728" s="40" t="s">
        <v>2235</v>
      </c>
    </row>
    <row r="1729" spans="1:8" s="8" customFormat="1">
      <c r="A1729" s="13"/>
      <c r="B1729" s="8" t="s">
        <v>5335</v>
      </c>
      <c r="C1729" s="284">
        <v>42000</v>
      </c>
      <c r="D1729" s="284">
        <v>0</v>
      </c>
      <c r="E1729" s="284">
        <f t="shared" si="26"/>
        <v>10715300</v>
      </c>
      <c r="F1729" s="8" t="s">
        <v>1643</v>
      </c>
      <c r="G1729" s="8" t="s">
        <v>5</v>
      </c>
      <c r="H1729" s="40" t="s">
        <v>2235</v>
      </c>
    </row>
    <row r="1730" spans="1:8" s="8" customFormat="1">
      <c r="A1730" s="13"/>
      <c r="B1730" s="8" t="s">
        <v>5336</v>
      </c>
      <c r="C1730" s="284">
        <v>500000</v>
      </c>
      <c r="D1730" s="284">
        <v>0</v>
      </c>
      <c r="E1730" s="284">
        <f t="shared" si="26"/>
        <v>10215300</v>
      </c>
      <c r="F1730" s="8" t="s">
        <v>1643</v>
      </c>
      <c r="G1730" s="8" t="s">
        <v>5</v>
      </c>
      <c r="H1730" s="40" t="s">
        <v>2235</v>
      </c>
    </row>
    <row r="1731" spans="1:8" s="8" customFormat="1">
      <c r="A1731" s="13"/>
      <c r="B1731" s="8" t="s">
        <v>5337</v>
      </c>
      <c r="C1731" s="284">
        <v>500000</v>
      </c>
      <c r="D1731" s="284">
        <v>0</v>
      </c>
      <c r="E1731" s="284">
        <f t="shared" si="26"/>
        <v>9715300</v>
      </c>
      <c r="F1731" s="8" t="s">
        <v>1643</v>
      </c>
      <c r="G1731" s="8" t="s">
        <v>5</v>
      </c>
      <c r="H1731" s="40" t="s">
        <v>2235</v>
      </c>
    </row>
    <row r="1732" spans="1:8" s="8" customFormat="1">
      <c r="A1732" s="13"/>
      <c r="B1732" s="8" t="s">
        <v>5338</v>
      </c>
      <c r="C1732" s="284">
        <v>13000</v>
      </c>
      <c r="D1732" s="284">
        <v>0</v>
      </c>
      <c r="E1732" s="284">
        <f t="shared" si="26"/>
        <v>9702300</v>
      </c>
      <c r="F1732" s="8" t="s">
        <v>1643</v>
      </c>
      <c r="G1732" s="8" t="s">
        <v>5</v>
      </c>
      <c r="H1732" s="40" t="s">
        <v>2235</v>
      </c>
    </row>
    <row r="1733" spans="1:8" s="8" customFormat="1">
      <c r="A1733" s="13"/>
      <c r="B1733" s="8" t="s">
        <v>5338</v>
      </c>
      <c r="C1733" s="284">
        <v>15000</v>
      </c>
      <c r="D1733" s="284">
        <v>0</v>
      </c>
      <c r="E1733" s="284">
        <f t="shared" si="26"/>
        <v>9687300</v>
      </c>
      <c r="F1733" s="8" t="s">
        <v>1643</v>
      </c>
      <c r="G1733" s="8" t="s">
        <v>5</v>
      </c>
      <c r="H1733" s="40" t="s">
        <v>2235</v>
      </c>
    </row>
    <row r="1734" spans="1:8" s="8" customFormat="1">
      <c r="A1734" s="13"/>
      <c r="B1734" s="8" t="s">
        <v>5339</v>
      </c>
      <c r="C1734" s="284">
        <v>196000</v>
      </c>
      <c r="D1734" s="284">
        <v>0</v>
      </c>
      <c r="E1734" s="284">
        <f t="shared" ref="E1734:E1797" si="27">E1733-C1734+D1734</f>
        <v>9491300</v>
      </c>
      <c r="F1734" s="8" t="s">
        <v>1643</v>
      </c>
      <c r="G1734" s="8" t="s">
        <v>5</v>
      </c>
      <c r="H1734" s="40" t="s">
        <v>2235</v>
      </c>
    </row>
    <row r="1735" spans="1:8" s="8" customFormat="1">
      <c r="A1735" s="13"/>
      <c r="B1735" s="8" t="s">
        <v>5340</v>
      </c>
      <c r="C1735" s="284">
        <v>290000</v>
      </c>
      <c r="D1735" s="284">
        <v>0</v>
      </c>
      <c r="E1735" s="284">
        <f t="shared" si="27"/>
        <v>9201300</v>
      </c>
      <c r="F1735" s="8" t="s">
        <v>1643</v>
      </c>
      <c r="G1735" s="8" t="s">
        <v>5</v>
      </c>
      <c r="H1735" s="40" t="s">
        <v>2235</v>
      </c>
    </row>
    <row r="1736" spans="1:8" s="8" customFormat="1">
      <c r="A1736" s="13"/>
      <c r="B1736" s="8" t="s">
        <v>5341</v>
      </c>
      <c r="C1736" s="284">
        <v>2600000</v>
      </c>
      <c r="D1736" s="284">
        <v>0</v>
      </c>
      <c r="E1736" s="284">
        <f t="shared" si="27"/>
        <v>6601300</v>
      </c>
      <c r="F1736" s="8" t="s">
        <v>1643</v>
      </c>
      <c r="G1736" s="8" t="s">
        <v>5</v>
      </c>
      <c r="H1736" s="40" t="s">
        <v>2235</v>
      </c>
    </row>
    <row r="1737" spans="1:8" s="8" customFormat="1">
      <c r="A1737" s="13"/>
      <c r="B1737" s="8" t="s">
        <v>5342</v>
      </c>
      <c r="C1737" s="284">
        <v>823100</v>
      </c>
      <c r="D1737" s="284">
        <v>0</v>
      </c>
      <c r="E1737" s="284">
        <f t="shared" si="27"/>
        <v>5778200</v>
      </c>
      <c r="F1737" s="8" t="s">
        <v>1643</v>
      </c>
      <c r="G1737" s="8" t="s">
        <v>5</v>
      </c>
      <c r="H1737" s="40" t="s">
        <v>2235</v>
      </c>
    </row>
    <row r="1738" spans="1:8" s="8" customFormat="1">
      <c r="A1738" s="13"/>
      <c r="B1738" s="8" t="s">
        <v>5343</v>
      </c>
      <c r="C1738" s="284">
        <v>0</v>
      </c>
      <c r="D1738" s="284">
        <v>3000000</v>
      </c>
      <c r="E1738" s="284">
        <f t="shared" si="27"/>
        <v>8778200</v>
      </c>
      <c r="F1738" s="8" t="s">
        <v>1643</v>
      </c>
      <c r="G1738" s="8" t="s">
        <v>5</v>
      </c>
      <c r="H1738" s="40" t="s">
        <v>2235</v>
      </c>
    </row>
    <row r="1739" spans="1:8" s="8" customFormat="1">
      <c r="A1739" s="13"/>
      <c r="B1739" s="8" t="s">
        <v>5344</v>
      </c>
      <c r="C1739" s="284">
        <v>158400</v>
      </c>
      <c r="D1739" s="284">
        <v>0</v>
      </c>
      <c r="E1739" s="284">
        <f t="shared" si="27"/>
        <v>8619800</v>
      </c>
      <c r="F1739" s="8" t="s">
        <v>1643</v>
      </c>
      <c r="G1739" s="8" t="s">
        <v>5</v>
      </c>
      <c r="H1739" s="40" t="s">
        <v>2320</v>
      </c>
    </row>
    <row r="1740" spans="1:8" s="8" customFormat="1">
      <c r="A1740" s="13"/>
      <c r="B1740" s="8" t="s">
        <v>5345</v>
      </c>
      <c r="C1740" s="284">
        <v>53000</v>
      </c>
      <c r="D1740" s="284">
        <v>0</v>
      </c>
      <c r="E1740" s="284">
        <f t="shared" si="27"/>
        <v>8566800</v>
      </c>
      <c r="F1740" s="8" t="s">
        <v>1643</v>
      </c>
      <c r="G1740" s="8" t="s">
        <v>5</v>
      </c>
      <c r="H1740" s="40" t="s">
        <v>2320</v>
      </c>
    </row>
    <row r="1741" spans="1:8" s="8" customFormat="1">
      <c r="A1741" s="13"/>
      <c r="B1741" s="8" t="s">
        <v>5346</v>
      </c>
      <c r="C1741" s="284">
        <v>33000</v>
      </c>
      <c r="D1741" s="284">
        <v>0</v>
      </c>
      <c r="E1741" s="284">
        <f t="shared" si="27"/>
        <v>8533800</v>
      </c>
      <c r="F1741" s="8" t="s">
        <v>1643</v>
      </c>
      <c r="G1741" s="8" t="s">
        <v>5</v>
      </c>
      <c r="H1741" s="40" t="s">
        <v>2320</v>
      </c>
    </row>
    <row r="1742" spans="1:8" s="8" customFormat="1">
      <c r="A1742" s="13"/>
      <c r="B1742" s="8" t="s">
        <v>5347</v>
      </c>
      <c r="C1742" s="284">
        <v>175000</v>
      </c>
      <c r="D1742" s="284">
        <v>0</v>
      </c>
      <c r="E1742" s="284">
        <f t="shared" si="27"/>
        <v>8358800</v>
      </c>
      <c r="F1742" s="8" t="s">
        <v>1643</v>
      </c>
      <c r="G1742" s="8" t="s">
        <v>5</v>
      </c>
      <c r="H1742" s="40" t="s">
        <v>3334</v>
      </c>
    </row>
    <row r="1743" spans="1:8" s="8" customFormat="1">
      <c r="A1743" s="13"/>
      <c r="B1743" s="8" t="s">
        <v>5348</v>
      </c>
      <c r="C1743" s="284">
        <v>70000</v>
      </c>
      <c r="D1743" s="284">
        <v>0</v>
      </c>
      <c r="E1743" s="284">
        <f t="shared" si="27"/>
        <v>8288800</v>
      </c>
      <c r="F1743" s="8" t="s">
        <v>1643</v>
      </c>
      <c r="G1743" s="8" t="s">
        <v>5</v>
      </c>
      <c r="H1743" s="40" t="s">
        <v>3334</v>
      </c>
    </row>
    <row r="1744" spans="1:8" s="8" customFormat="1">
      <c r="A1744" s="13"/>
      <c r="B1744" s="8" t="s">
        <v>5349</v>
      </c>
      <c r="C1744" s="284">
        <v>80000</v>
      </c>
      <c r="D1744" s="284">
        <v>0</v>
      </c>
      <c r="E1744" s="284">
        <f t="shared" si="27"/>
        <v>8208800</v>
      </c>
      <c r="F1744" s="8" t="s">
        <v>1643</v>
      </c>
      <c r="G1744" s="8" t="s">
        <v>5</v>
      </c>
      <c r="H1744" s="40" t="s">
        <v>3334</v>
      </c>
    </row>
    <row r="1745" spans="1:8" s="8" customFormat="1">
      <c r="A1745" s="13"/>
      <c r="B1745" s="8" t="s">
        <v>5350</v>
      </c>
      <c r="C1745" s="284">
        <v>40000</v>
      </c>
      <c r="D1745" s="284">
        <v>0</v>
      </c>
      <c r="E1745" s="284">
        <f t="shared" si="27"/>
        <v>8168800</v>
      </c>
      <c r="F1745" s="8" t="s">
        <v>1643</v>
      </c>
      <c r="G1745" s="8" t="s">
        <v>5</v>
      </c>
      <c r="H1745" s="40" t="s">
        <v>3334</v>
      </c>
    </row>
    <row r="1746" spans="1:8" s="8" customFormat="1">
      <c r="A1746" s="13"/>
      <c r="B1746" s="8" t="s">
        <v>5351</v>
      </c>
      <c r="C1746" s="284">
        <v>2810000</v>
      </c>
      <c r="D1746" s="284">
        <v>0</v>
      </c>
      <c r="E1746" s="284">
        <f t="shared" si="27"/>
        <v>5358800</v>
      </c>
      <c r="F1746" s="8" t="s">
        <v>1643</v>
      </c>
      <c r="G1746" s="8" t="s">
        <v>5</v>
      </c>
      <c r="H1746" s="40" t="s">
        <v>3334</v>
      </c>
    </row>
    <row r="1747" spans="1:8" s="8" customFormat="1">
      <c r="A1747" s="13"/>
      <c r="B1747" s="8" t="s">
        <v>5352</v>
      </c>
      <c r="C1747" s="284">
        <v>28000</v>
      </c>
      <c r="D1747" s="284">
        <v>0</v>
      </c>
      <c r="E1747" s="284">
        <f t="shared" si="27"/>
        <v>5330800</v>
      </c>
      <c r="F1747" s="8" t="s">
        <v>1643</v>
      </c>
      <c r="G1747" s="8" t="s">
        <v>5</v>
      </c>
      <c r="H1747" s="40" t="s">
        <v>3334</v>
      </c>
    </row>
    <row r="1748" spans="1:8" s="8" customFormat="1">
      <c r="A1748" s="13"/>
      <c r="B1748" s="8" t="s">
        <v>5353</v>
      </c>
      <c r="C1748" s="284">
        <v>282427</v>
      </c>
      <c r="D1748" s="284">
        <v>0</v>
      </c>
      <c r="E1748" s="284">
        <f t="shared" si="27"/>
        <v>5048373</v>
      </c>
      <c r="F1748" s="8" t="s">
        <v>1643</v>
      </c>
      <c r="G1748" s="8" t="s">
        <v>5</v>
      </c>
      <c r="H1748" s="40" t="s">
        <v>3334</v>
      </c>
    </row>
    <row r="1749" spans="1:8" s="8" customFormat="1">
      <c r="A1749" s="13"/>
      <c r="B1749" s="8" t="s">
        <v>5354</v>
      </c>
      <c r="C1749" s="284">
        <v>73500</v>
      </c>
      <c r="D1749" s="284">
        <v>0</v>
      </c>
      <c r="E1749" s="284">
        <f t="shared" si="27"/>
        <v>4974873</v>
      </c>
      <c r="F1749" s="8" t="s">
        <v>1643</v>
      </c>
      <c r="G1749" s="8" t="s">
        <v>5</v>
      </c>
      <c r="H1749" s="40" t="s">
        <v>3334</v>
      </c>
    </row>
    <row r="1750" spans="1:8" s="8" customFormat="1">
      <c r="A1750" s="13"/>
      <c r="B1750" s="8" t="s">
        <v>5355</v>
      </c>
      <c r="C1750" s="284">
        <v>50000</v>
      </c>
      <c r="D1750" s="284">
        <v>0</v>
      </c>
      <c r="E1750" s="284">
        <f t="shared" si="27"/>
        <v>4924873</v>
      </c>
      <c r="F1750" s="8" t="s">
        <v>1643</v>
      </c>
      <c r="G1750" s="8" t="s">
        <v>5</v>
      </c>
      <c r="H1750" s="40" t="s">
        <v>3334</v>
      </c>
    </row>
    <row r="1751" spans="1:8" s="8" customFormat="1">
      <c r="A1751" s="13"/>
      <c r="B1751" s="8" t="s">
        <v>5356</v>
      </c>
      <c r="C1751" s="284">
        <v>88000</v>
      </c>
      <c r="D1751" s="284">
        <v>0</v>
      </c>
      <c r="E1751" s="284">
        <f t="shared" si="27"/>
        <v>4836873</v>
      </c>
      <c r="F1751" s="8" t="s">
        <v>1643</v>
      </c>
      <c r="G1751" s="8" t="s">
        <v>5</v>
      </c>
      <c r="H1751" s="40" t="s">
        <v>3334</v>
      </c>
    </row>
    <row r="1752" spans="1:8" s="8" customFormat="1">
      <c r="A1752" s="13"/>
      <c r="B1752" s="8" t="s">
        <v>5357</v>
      </c>
      <c r="C1752" s="284">
        <v>88000</v>
      </c>
      <c r="D1752" s="284">
        <v>0</v>
      </c>
      <c r="E1752" s="284">
        <f t="shared" si="27"/>
        <v>4748873</v>
      </c>
      <c r="F1752" s="8" t="s">
        <v>1643</v>
      </c>
      <c r="G1752" s="8" t="s">
        <v>5</v>
      </c>
      <c r="H1752" s="40" t="s">
        <v>3334</v>
      </c>
    </row>
    <row r="1753" spans="1:8" s="8" customFormat="1">
      <c r="A1753" s="13"/>
      <c r="B1753" s="8" t="s">
        <v>5358</v>
      </c>
      <c r="C1753" s="284">
        <v>116000</v>
      </c>
      <c r="D1753" s="284">
        <v>0</v>
      </c>
      <c r="E1753" s="284">
        <f t="shared" si="27"/>
        <v>4632873</v>
      </c>
      <c r="F1753" s="8" t="s">
        <v>1643</v>
      </c>
      <c r="G1753" s="8" t="s">
        <v>5</v>
      </c>
      <c r="H1753" s="40" t="s">
        <v>3334</v>
      </c>
    </row>
    <row r="1754" spans="1:8" s="8" customFormat="1">
      <c r="A1754" s="13"/>
      <c r="B1754" s="8" t="s">
        <v>5359</v>
      </c>
      <c r="C1754" s="284">
        <v>19000</v>
      </c>
      <c r="D1754" s="284">
        <v>0</v>
      </c>
      <c r="E1754" s="284">
        <f t="shared" si="27"/>
        <v>4613873</v>
      </c>
      <c r="F1754" s="8" t="s">
        <v>1643</v>
      </c>
      <c r="G1754" s="8" t="s">
        <v>5</v>
      </c>
      <c r="H1754" s="40" t="s">
        <v>3334</v>
      </c>
    </row>
    <row r="1755" spans="1:8" s="8" customFormat="1">
      <c r="A1755" s="13"/>
      <c r="B1755" s="8" t="s">
        <v>5360</v>
      </c>
      <c r="C1755" s="284">
        <v>199329</v>
      </c>
      <c r="D1755" s="284">
        <v>0</v>
      </c>
      <c r="E1755" s="284">
        <f t="shared" si="27"/>
        <v>4414544</v>
      </c>
      <c r="F1755" s="8" t="s">
        <v>1643</v>
      </c>
      <c r="G1755" s="8" t="s">
        <v>5</v>
      </c>
      <c r="H1755" s="40" t="s">
        <v>3334</v>
      </c>
    </row>
    <row r="1756" spans="1:8" s="8" customFormat="1">
      <c r="A1756" s="13"/>
      <c r="B1756" s="8" t="s">
        <v>5361</v>
      </c>
      <c r="C1756" s="284">
        <v>100000</v>
      </c>
      <c r="D1756" s="284">
        <v>0</v>
      </c>
      <c r="E1756" s="284">
        <f t="shared" si="27"/>
        <v>4314544</v>
      </c>
      <c r="F1756" s="8" t="s">
        <v>1643</v>
      </c>
      <c r="G1756" s="8" t="s">
        <v>5</v>
      </c>
      <c r="H1756" s="40" t="s">
        <v>3334</v>
      </c>
    </row>
    <row r="1757" spans="1:8" s="8" customFormat="1">
      <c r="A1757" s="13"/>
      <c r="B1757" s="8" t="s">
        <v>5362</v>
      </c>
      <c r="C1757" s="284">
        <v>49500</v>
      </c>
      <c r="D1757" s="284">
        <v>0</v>
      </c>
      <c r="E1757" s="284">
        <f t="shared" si="27"/>
        <v>4265044</v>
      </c>
      <c r="F1757" s="8" t="s">
        <v>1643</v>
      </c>
      <c r="G1757" s="8" t="s">
        <v>5</v>
      </c>
      <c r="H1757" s="40" t="s">
        <v>3334</v>
      </c>
    </row>
    <row r="1758" spans="1:8" s="8" customFormat="1">
      <c r="A1758" s="13"/>
      <c r="B1758" s="8" t="s">
        <v>5363</v>
      </c>
      <c r="C1758" s="284">
        <v>42000</v>
      </c>
      <c r="D1758" s="284">
        <v>0</v>
      </c>
      <c r="E1758" s="284">
        <f t="shared" si="27"/>
        <v>4223044</v>
      </c>
      <c r="F1758" s="8" t="s">
        <v>1643</v>
      </c>
      <c r="G1758" s="8" t="s">
        <v>5</v>
      </c>
      <c r="H1758" s="40" t="s">
        <v>3334</v>
      </c>
    </row>
    <row r="1759" spans="1:8" s="8" customFormat="1">
      <c r="A1759" s="13"/>
      <c r="B1759" s="8" t="s">
        <v>5364</v>
      </c>
      <c r="C1759" s="284">
        <v>60000</v>
      </c>
      <c r="D1759" s="284">
        <v>0</v>
      </c>
      <c r="E1759" s="284">
        <f t="shared" si="27"/>
        <v>4163044</v>
      </c>
      <c r="F1759" s="8" t="s">
        <v>1643</v>
      </c>
      <c r="G1759" s="8" t="s">
        <v>5</v>
      </c>
      <c r="H1759" s="40" t="s">
        <v>3334</v>
      </c>
    </row>
    <row r="1760" spans="1:8" s="8" customFormat="1">
      <c r="A1760" s="13"/>
      <c r="B1760" s="8" t="s">
        <v>5365</v>
      </c>
      <c r="C1760" s="284">
        <v>33000</v>
      </c>
      <c r="D1760" s="284">
        <v>0</v>
      </c>
      <c r="E1760" s="284">
        <f t="shared" si="27"/>
        <v>4130044</v>
      </c>
      <c r="F1760" s="8" t="s">
        <v>1643</v>
      </c>
      <c r="G1760" s="8" t="s">
        <v>5</v>
      </c>
      <c r="H1760" s="40" t="s">
        <v>3334</v>
      </c>
    </row>
    <row r="1761" spans="1:8" s="8" customFormat="1">
      <c r="A1761" s="13"/>
      <c r="B1761" s="8" t="s">
        <v>5366</v>
      </c>
      <c r="C1761" s="284">
        <v>42000</v>
      </c>
      <c r="D1761" s="284">
        <v>0</v>
      </c>
      <c r="E1761" s="284">
        <f t="shared" si="27"/>
        <v>4088044</v>
      </c>
      <c r="F1761" s="8" t="s">
        <v>1643</v>
      </c>
      <c r="G1761" s="8" t="s">
        <v>5</v>
      </c>
      <c r="H1761" s="40" t="s">
        <v>3334</v>
      </c>
    </row>
    <row r="1762" spans="1:8" s="8" customFormat="1">
      <c r="A1762" s="13"/>
      <c r="B1762" s="8" t="s">
        <v>5367</v>
      </c>
      <c r="C1762" s="284">
        <v>60000</v>
      </c>
      <c r="D1762" s="284">
        <v>0</v>
      </c>
      <c r="E1762" s="284">
        <f t="shared" si="27"/>
        <v>4028044</v>
      </c>
      <c r="F1762" s="8" t="s">
        <v>1643</v>
      </c>
      <c r="G1762" s="8" t="s">
        <v>5</v>
      </c>
      <c r="H1762" s="40" t="s">
        <v>3334</v>
      </c>
    </row>
    <row r="1763" spans="1:8" s="8" customFormat="1">
      <c r="A1763" s="13"/>
      <c r="B1763" s="8" t="s">
        <v>5355</v>
      </c>
      <c r="C1763" s="284">
        <v>50000</v>
      </c>
      <c r="D1763" s="284">
        <v>0</v>
      </c>
      <c r="E1763" s="284">
        <f t="shared" si="27"/>
        <v>3978044</v>
      </c>
      <c r="F1763" s="8" t="s">
        <v>1643</v>
      </c>
      <c r="G1763" s="8" t="s">
        <v>5</v>
      </c>
      <c r="H1763" s="40" t="s">
        <v>3334</v>
      </c>
    </row>
    <row r="1764" spans="1:8" s="8" customFormat="1">
      <c r="A1764" s="13">
        <v>45879</v>
      </c>
      <c r="B1764" s="8" t="s">
        <v>2746</v>
      </c>
      <c r="C1764" s="284">
        <v>3978044</v>
      </c>
      <c r="D1764" s="284">
        <v>0</v>
      </c>
      <c r="E1764" s="284">
        <f t="shared" si="27"/>
        <v>0</v>
      </c>
      <c r="F1764" s="8" t="s">
        <v>920</v>
      </c>
      <c r="G1764" s="8" t="s">
        <v>464</v>
      </c>
      <c r="H1764" s="8" t="s">
        <v>5609</v>
      </c>
    </row>
    <row r="1765" spans="1:8" s="8" customFormat="1">
      <c r="A1765" s="5">
        <v>45804</v>
      </c>
      <c r="B1765" s="7" t="s">
        <v>5396</v>
      </c>
      <c r="C1765" s="283">
        <v>0</v>
      </c>
      <c r="D1765" s="283">
        <v>330000000</v>
      </c>
      <c r="E1765" s="284">
        <f t="shared" si="27"/>
        <v>330000000</v>
      </c>
      <c r="F1765" s="292" t="s">
        <v>920</v>
      </c>
      <c r="G1765" s="8" t="s">
        <v>491</v>
      </c>
      <c r="H1765" s="154" t="s">
        <v>5399</v>
      </c>
    </row>
    <row r="1766" spans="1:8" s="8" customFormat="1">
      <c r="A1766" s="5">
        <v>45804</v>
      </c>
      <c r="B1766" t="s">
        <v>5397</v>
      </c>
      <c r="C1766" s="288">
        <v>0</v>
      </c>
      <c r="D1766" s="288">
        <v>250000000</v>
      </c>
      <c r="E1766" s="284">
        <f t="shared" si="27"/>
        <v>580000000</v>
      </c>
      <c r="F1766" s="292" t="s">
        <v>920</v>
      </c>
      <c r="G1766" s="8" t="s">
        <v>4250</v>
      </c>
      <c r="H1766" s="154" t="s">
        <v>5399</v>
      </c>
    </row>
    <row r="1767" spans="1:8" s="8" customFormat="1">
      <c r="A1767" s="5">
        <v>45804</v>
      </c>
      <c r="B1767" t="s">
        <v>5397</v>
      </c>
      <c r="C1767" s="288">
        <v>0</v>
      </c>
      <c r="D1767" s="288">
        <v>250000000</v>
      </c>
      <c r="E1767" s="284">
        <f t="shared" si="27"/>
        <v>830000000</v>
      </c>
      <c r="F1767" s="292" t="s">
        <v>920</v>
      </c>
      <c r="G1767" s="8" t="s">
        <v>4250</v>
      </c>
      <c r="H1767" s="154" t="s">
        <v>5399</v>
      </c>
    </row>
    <row r="1768" spans="1:8" s="8" customFormat="1">
      <c r="A1768" s="5">
        <v>45804</v>
      </c>
      <c r="B1768" t="s">
        <v>5398</v>
      </c>
      <c r="C1768" s="288">
        <v>0</v>
      </c>
      <c r="D1768" s="288">
        <v>600000000</v>
      </c>
      <c r="E1768" s="284">
        <f t="shared" si="27"/>
        <v>1430000000</v>
      </c>
      <c r="F1768" s="292" t="s">
        <v>920</v>
      </c>
      <c r="G1768" s="8" t="s">
        <v>352</v>
      </c>
      <c r="H1768" s="154" t="s">
        <v>5399</v>
      </c>
    </row>
    <row r="1769" spans="1:8" s="8" customFormat="1">
      <c r="A1769" s="5">
        <v>45805</v>
      </c>
      <c r="B1769" t="s">
        <v>5398</v>
      </c>
      <c r="C1769" s="288">
        <v>0</v>
      </c>
      <c r="D1769" s="288">
        <v>170000000</v>
      </c>
      <c r="E1769" s="284">
        <f t="shared" si="27"/>
        <v>1600000000</v>
      </c>
      <c r="F1769" s="292" t="s">
        <v>920</v>
      </c>
      <c r="G1769" s="8" t="s">
        <v>352</v>
      </c>
      <c r="H1769" s="154" t="s">
        <v>5399</v>
      </c>
    </row>
    <row r="1770" spans="1:8" s="8" customFormat="1">
      <c r="A1770" s="13"/>
      <c r="B1770" s="8" t="s">
        <v>5400</v>
      </c>
      <c r="C1770" s="284">
        <v>213000</v>
      </c>
      <c r="D1770" s="284">
        <v>0</v>
      </c>
      <c r="E1770" s="284">
        <f t="shared" si="27"/>
        <v>1599787000</v>
      </c>
      <c r="F1770" s="8" t="s">
        <v>1643</v>
      </c>
      <c r="G1770" s="8" t="s">
        <v>5</v>
      </c>
      <c r="H1770" s="40" t="s">
        <v>2326</v>
      </c>
    </row>
    <row r="1771" spans="1:8" s="8" customFormat="1">
      <c r="A1771" s="13"/>
      <c r="B1771" s="8" t="s">
        <v>5401</v>
      </c>
      <c r="C1771" s="284">
        <v>1196000</v>
      </c>
      <c r="D1771" s="284">
        <v>0</v>
      </c>
      <c r="E1771" s="284">
        <f t="shared" si="27"/>
        <v>1598591000</v>
      </c>
      <c r="F1771" s="8" t="s">
        <v>1643</v>
      </c>
      <c r="G1771" s="8" t="s">
        <v>5</v>
      </c>
      <c r="H1771" s="40" t="s">
        <v>2326</v>
      </c>
    </row>
    <row r="1772" spans="1:8" s="8" customFormat="1">
      <c r="A1772" s="13"/>
      <c r="B1772" s="8" t="s">
        <v>5402</v>
      </c>
      <c r="C1772" s="284">
        <v>163000</v>
      </c>
      <c r="D1772" s="284">
        <v>0</v>
      </c>
      <c r="E1772" s="284">
        <f t="shared" si="27"/>
        <v>1598428000</v>
      </c>
      <c r="F1772" s="8" t="s">
        <v>1643</v>
      </c>
      <c r="G1772" s="8" t="s">
        <v>5</v>
      </c>
      <c r="H1772" s="40" t="s">
        <v>2326</v>
      </c>
    </row>
    <row r="1773" spans="1:8" s="8" customFormat="1">
      <c r="A1773" s="13"/>
      <c r="B1773" s="8" t="s">
        <v>5403</v>
      </c>
      <c r="C1773" s="284">
        <v>5200000</v>
      </c>
      <c r="D1773" s="284">
        <v>0</v>
      </c>
      <c r="E1773" s="284">
        <f t="shared" si="27"/>
        <v>1593228000</v>
      </c>
      <c r="F1773" s="8" t="s">
        <v>1643</v>
      </c>
      <c r="G1773" s="8" t="s">
        <v>5</v>
      </c>
      <c r="H1773" s="40" t="s">
        <v>2326</v>
      </c>
    </row>
    <row r="1774" spans="1:8" s="8" customFormat="1">
      <c r="A1774" s="13"/>
      <c r="B1774" s="8" t="s">
        <v>5404</v>
      </c>
      <c r="C1774" s="284">
        <v>1519000000</v>
      </c>
      <c r="D1774" s="284">
        <v>0</v>
      </c>
      <c r="E1774" s="284">
        <f t="shared" si="27"/>
        <v>74228000</v>
      </c>
      <c r="F1774" s="8" t="s">
        <v>1643</v>
      </c>
      <c r="G1774" s="8" t="s">
        <v>5</v>
      </c>
      <c r="H1774" s="40" t="s">
        <v>2326</v>
      </c>
    </row>
    <row r="1775" spans="1:8" s="8" customFormat="1">
      <c r="A1775" s="13"/>
      <c r="B1775" s="8" t="s">
        <v>5405</v>
      </c>
      <c r="C1775" s="284">
        <v>35000000</v>
      </c>
      <c r="D1775" s="284">
        <v>0</v>
      </c>
      <c r="E1775" s="284">
        <f t="shared" si="27"/>
        <v>39228000</v>
      </c>
      <c r="F1775" s="8" t="s">
        <v>1643</v>
      </c>
      <c r="G1775" s="8" t="s">
        <v>5</v>
      </c>
      <c r="H1775" s="40" t="s">
        <v>2326</v>
      </c>
    </row>
    <row r="1776" spans="1:8" s="8" customFormat="1">
      <c r="A1776" s="13"/>
      <c r="B1776" s="8" t="s">
        <v>5406</v>
      </c>
      <c r="C1776" s="284">
        <v>200000</v>
      </c>
      <c r="D1776" s="284">
        <v>0</v>
      </c>
      <c r="E1776" s="284">
        <f t="shared" si="27"/>
        <v>39028000</v>
      </c>
      <c r="F1776" s="8" t="s">
        <v>1643</v>
      </c>
      <c r="G1776" s="8" t="s">
        <v>5</v>
      </c>
      <c r="H1776" s="40" t="s">
        <v>2326</v>
      </c>
    </row>
    <row r="1777" spans="1:8" s="8" customFormat="1">
      <c r="A1777" s="13"/>
      <c r="B1777" s="8" t="s">
        <v>5407</v>
      </c>
      <c r="C1777" s="284">
        <v>7500000</v>
      </c>
      <c r="D1777" s="284">
        <v>0</v>
      </c>
      <c r="E1777" s="284">
        <f t="shared" si="27"/>
        <v>31528000</v>
      </c>
      <c r="F1777" s="8" t="s">
        <v>1643</v>
      </c>
      <c r="G1777" s="8" t="s">
        <v>5</v>
      </c>
      <c r="H1777" s="40" t="s">
        <v>2326</v>
      </c>
    </row>
    <row r="1778" spans="1:8" s="8" customFormat="1">
      <c r="A1778" s="13"/>
      <c r="B1778" s="8" t="s">
        <v>5408</v>
      </c>
      <c r="C1778" s="284">
        <v>16802000</v>
      </c>
      <c r="D1778" s="284">
        <v>0</v>
      </c>
      <c r="E1778" s="284">
        <f t="shared" si="27"/>
        <v>14726000</v>
      </c>
      <c r="F1778" s="8" t="s">
        <v>1643</v>
      </c>
      <c r="G1778" s="8" t="s">
        <v>5</v>
      </c>
      <c r="H1778" s="40" t="s">
        <v>2326</v>
      </c>
    </row>
    <row r="1779" spans="1:8" s="8" customFormat="1">
      <c r="A1779" s="13"/>
      <c r="B1779" s="8" t="s">
        <v>5409</v>
      </c>
      <c r="C1779" s="284">
        <v>250000</v>
      </c>
      <c r="D1779" s="284">
        <v>0</v>
      </c>
      <c r="E1779" s="284">
        <f t="shared" si="27"/>
        <v>14476000</v>
      </c>
      <c r="F1779" s="8" t="s">
        <v>1643</v>
      </c>
      <c r="G1779" s="8" t="s">
        <v>5</v>
      </c>
      <c r="H1779" s="40" t="s">
        <v>2326</v>
      </c>
    </row>
    <row r="1780" spans="1:8" s="8" customFormat="1">
      <c r="A1780" s="13"/>
      <c r="B1780" s="8" t="s">
        <v>5410</v>
      </c>
      <c r="C1780" s="284">
        <v>51000</v>
      </c>
      <c r="D1780" s="284">
        <v>0</v>
      </c>
      <c r="E1780" s="284">
        <f t="shared" si="27"/>
        <v>14425000</v>
      </c>
      <c r="F1780" s="8" t="s">
        <v>1643</v>
      </c>
      <c r="G1780" s="8" t="s">
        <v>5</v>
      </c>
      <c r="H1780" s="40" t="s">
        <v>2326</v>
      </c>
    </row>
    <row r="1781" spans="1:8" s="8" customFormat="1">
      <c r="A1781" s="13"/>
      <c r="B1781" s="8" t="s">
        <v>5411</v>
      </c>
      <c r="C1781" s="284">
        <v>75000</v>
      </c>
      <c r="D1781" s="284">
        <v>0</v>
      </c>
      <c r="E1781" s="284">
        <f t="shared" si="27"/>
        <v>14350000</v>
      </c>
      <c r="F1781" s="8" t="s">
        <v>1643</v>
      </c>
      <c r="G1781" s="8" t="s">
        <v>5</v>
      </c>
      <c r="H1781" s="40" t="s">
        <v>2326</v>
      </c>
    </row>
    <row r="1782" spans="1:8" s="8" customFormat="1">
      <c r="A1782" s="13"/>
      <c r="B1782" s="8" t="s">
        <v>5412</v>
      </c>
      <c r="C1782" s="284">
        <v>299807</v>
      </c>
      <c r="D1782" s="284">
        <v>0</v>
      </c>
      <c r="E1782" s="284">
        <f t="shared" si="27"/>
        <v>14050193</v>
      </c>
      <c r="F1782" s="8" t="s">
        <v>1643</v>
      </c>
      <c r="G1782" s="8" t="s">
        <v>5</v>
      </c>
      <c r="H1782" s="40" t="s">
        <v>2326</v>
      </c>
    </row>
    <row r="1783" spans="1:8" s="8" customFormat="1">
      <c r="A1783" s="13"/>
      <c r="B1783" s="8" t="s">
        <v>5413</v>
      </c>
      <c r="C1783" s="284">
        <v>5000000</v>
      </c>
      <c r="D1783" s="284">
        <v>0</v>
      </c>
      <c r="E1783" s="284">
        <f t="shared" si="27"/>
        <v>9050193</v>
      </c>
      <c r="F1783" s="8" t="s">
        <v>1643</v>
      </c>
      <c r="G1783" s="8" t="s">
        <v>5</v>
      </c>
      <c r="H1783" s="40" t="s">
        <v>2326</v>
      </c>
    </row>
    <row r="1784" spans="1:8" s="8" customFormat="1">
      <c r="A1784" s="13"/>
      <c r="B1784" s="8" t="s">
        <v>5414</v>
      </c>
      <c r="C1784" s="284">
        <v>1000000</v>
      </c>
      <c r="D1784" s="284">
        <v>0</v>
      </c>
      <c r="E1784" s="284">
        <f t="shared" si="27"/>
        <v>8050193</v>
      </c>
      <c r="F1784" s="8" t="s">
        <v>1643</v>
      </c>
      <c r="G1784" s="8" t="s">
        <v>5</v>
      </c>
      <c r="H1784" s="40" t="s">
        <v>2326</v>
      </c>
    </row>
    <row r="1785" spans="1:8" s="8" customFormat="1">
      <c r="A1785" s="13"/>
      <c r="B1785" s="8" t="s">
        <v>5415</v>
      </c>
      <c r="C1785" s="284">
        <v>1200000</v>
      </c>
      <c r="D1785" s="284">
        <v>0</v>
      </c>
      <c r="E1785" s="284">
        <f t="shared" si="27"/>
        <v>6850193</v>
      </c>
      <c r="F1785" s="8" t="s">
        <v>1643</v>
      </c>
      <c r="G1785" s="8" t="s">
        <v>5</v>
      </c>
      <c r="H1785" s="40" t="s">
        <v>2326</v>
      </c>
    </row>
    <row r="1786" spans="1:8" s="8" customFormat="1">
      <c r="A1786" s="13"/>
      <c r="B1786" s="8" t="s">
        <v>5416</v>
      </c>
      <c r="C1786" s="284">
        <v>7120000</v>
      </c>
      <c r="D1786" s="284">
        <v>0</v>
      </c>
      <c r="E1786" s="284">
        <f t="shared" si="27"/>
        <v>-269807</v>
      </c>
      <c r="F1786" s="8" t="s">
        <v>1643</v>
      </c>
      <c r="G1786" s="8" t="s">
        <v>5</v>
      </c>
      <c r="H1786" s="8" t="s">
        <v>2326</v>
      </c>
    </row>
    <row r="1787" spans="1:8" s="8" customFormat="1">
      <c r="A1787" s="13"/>
      <c r="B1787" s="8" t="s">
        <v>5417</v>
      </c>
      <c r="C1787" s="284">
        <v>300000</v>
      </c>
      <c r="D1787" s="284">
        <v>0</v>
      </c>
      <c r="E1787" s="284">
        <f t="shared" si="27"/>
        <v>-569807</v>
      </c>
      <c r="F1787" s="8" t="s">
        <v>1643</v>
      </c>
      <c r="G1787" s="8" t="s">
        <v>5</v>
      </c>
      <c r="H1787" s="8" t="s">
        <v>2326</v>
      </c>
    </row>
    <row r="1788" spans="1:8" s="8" customFormat="1">
      <c r="A1788" s="13">
        <v>45842</v>
      </c>
      <c r="B1788" s="8" t="s">
        <v>2629</v>
      </c>
      <c r="C1788" s="284">
        <v>0</v>
      </c>
      <c r="D1788" s="284">
        <v>569807</v>
      </c>
      <c r="E1788" s="284">
        <f t="shared" si="27"/>
        <v>0</v>
      </c>
      <c r="F1788" s="8" t="s">
        <v>920</v>
      </c>
      <c r="G1788" s="8" t="s">
        <v>400</v>
      </c>
      <c r="H1788" s="8" t="s">
        <v>5399</v>
      </c>
    </row>
    <row r="1789" spans="1:8" s="8" customFormat="1">
      <c r="A1789" s="13">
        <v>45833</v>
      </c>
      <c r="B1789" s="8" t="s">
        <v>1973</v>
      </c>
      <c r="C1789" s="284">
        <v>0</v>
      </c>
      <c r="D1789" s="284">
        <v>6519000</v>
      </c>
      <c r="E1789" s="284">
        <f t="shared" si="27"/>
        <v>6519000</v>
      </c>
      <c r="F1789" s="8" t="s">
        <v>920</v>
      </c>
      <c r="G1789" s="8" t="s">
        <v>400</v>
      </c>
      <c r="H1789" s="8" t="s">
        <v>5418</v>
      </c>
    </row>
    <row r="1790" spans="1:8" s="8" customFormat="1">
      <c r="A1790" s="13"/>
      <c r="B1790" s="8" t="s">
        <v>5419</v>
      </c>
      <c r="C1790" s="284">
        <v>80000</v>
      </c>
      <c r="D1790" s="284">
        <v>0</v>
      </c>
      <c r="E1790" s="284">
        <f t="shared" si="27"/>
        <v>6439000</v>
      </c>
      <c r="F1790" s="8" t="s">
        <v>1643</v>
      </c>
      <c r="G1790" s="8" t="s">
        <v>5</v>
      </c>
      <c r="H1790" s="8" t="s">
        <v>1376</v>
      </c>
    </row>
    <row r="1791" spans="1:8" s="8" customFormat="1">
      <c r="A1791" s="13"/>
      <c r="B1791" s="8" t="s">
        <v>5420</v>
      </c>
      <c r="C1791" s="284">
        <v>1139000</v>
      </c>
      <c r="D1791" s="284">
        <v>0</v>
      </c>
      <c r="E1791" s="284">
        <f t="shared" si="27"/>
        <v>5300000</v>
      </c>
      <c r="F1791" s="8" t="s">
        <v>1643</v>
      </c>
      <c r="G1791" s="8" t="s">
        <v>5</v>
      </c>
      <c r="H1791" s="8" t="s">
        <v>1376</v>
      </c>
    </row>
    <row r="1792" spans="1:8" s="8" customFormat="1">
      <c r="A1792" s="13"/>
      <c r="B1792" s="8" t="s">
        <v>5421</v>
      </c>
      <c r="C1792" s="284">
        <v>500000</v>
      </c>
      <c r="D1792" s="284">
        <v>0</v>
      </c>
      <c r="E1792" s="284">
        <f t="shared" si="27"/>
        <v>4800000</v>
      </c>
      <c r="F1792" s="8" t="s">
        <v>1643</v>
      </c>
      <c r="G1792" s="8" t="s">
        <v>5</v>
      </c>
      <c r="H1792" s="8" t="s">
        <v>1376</v>
      </c>
    </row>
    <row r="1793" spans="1:8" s="8" customFormat="1">
      <c r="A1793" s="13"/>
      <c r="B1793" s="8" t="s">
        <v>5422</v>
      </c>
      <c r="C1793" s="284">
        <v>2500000</v>
      </c>
      <c r="D1793" s="284">
        <v>0</v>
      </c>
      <c r="E1793" s="284">
        <f t="shared" si="27"/>
        <v>2300000</v>
      </c>
      <c r="F1793" s="8" t="s">
        <v>1643</v>
      </c>
      <c r="G1793" s="8" t="s">
        <v>5</v>
      </c>
      <c r="H1793" s="8" t="s">
        <v>1376</v>
      </c>
    </row>
    <row r="1794" spans="1:8" s="8" customFormat="1">
      <c r="A1794" s="13"/>
      <c r="B1794" s="8" t="s">
        <v>5423</v>
      </c>
      <c r="C1794" s="284">
        <v>2000000</v>
      </c>
      <c r="D1794" s="284">
        <v>0</v>
      </c>
      <c r="E1794" s="284">
        <f t="shared" si="27"/>
        <v>300000</v>
      </c>
      <c r="F1794" s="8" t="s">
        <v>1643</v>
      </c>
      <c r="G1794" s="8" t="s">
        <v>5</v>
      </c>
      <c r="H1794" s="8" t="s">
        <v>1376</v>
      </c>
    </row>
    <row r="1795" spans="1:8" s="8" customFormat="1">
      <c r="A1795" s="13"/>
      <c r="B1795" s="8" t="s">
        <v>5424</v>
      </c>
      <c r="C1795" s="284">
        <v>300000</v>
      </c>
      <c r="D1795" s="284">
        <v>0</v>
      </c>
      <c r="E1795" s="284">
        <f t="shared" si="27"/>
        <v>0</v>
      </c>
      <c r="F1795" s="8" t="s">
        <v>1643</v>
      </c>
      <c r="G1795" s="8" t="s">
        <v>5</v>
      </c>
      <c r="H1795" s="8" t="s">
        <v>1376</v>
      </c>
    </row>
    <row r="1796" spans="1:8" s="8" customFormat="1">
      <c r="A1796" s="13">
        <v>45844</v>
      </c>
      <c r="B1796" s="8" t="s">
        <v>2636</v>
      </c>
      <c r="C1796" s="284">
        <v>0</v>
      </c>
      <c r="D1796" s="284">
        <v>10000000</v>
      </c>
      <c r="E1796" s="284">
        <f t="shared" si="27"/>
        <v>10000000</v>
      </c>
      <c r="F1796" s="8" t="s">
        <v>920</v>
      </c>
      <c r="G1796" s="8" t="s">
        <v>400</v>
      </c>
      <c r="H1796" s="8" t="s">
        <v>5600</v>
      </c>
    </row>
    <row r="1797" spans="1:8" s="8" customFormat="1">
      <c r="A1797" s="13"/>
      <c r="B1797" s="8" t="s">
        <v>5426</v>
      </c>
      <c r="C1797" s="284">
        <v>200000</v>
      </c>
      <c r="D1797" s="284">
        <v>0</v>
      </c>
      <c r="E1797" s="284">
        <f t="shared" si="27"/>
        <v>9800000</v>
      </c>
      <c r="F1797" s="8" t="s">
        <v>1643</v>
      </c>
      <c r="G1797" s="8" t="s">
        <v>5</v>
      </c>
      <c r="H1797" s="8" t="s">
        <v>2320</v>
      </c>
    </row>
    <row r="1798" spans="1:8" s="8" customFormat="1">
      <c r="A1798" s="13"/>
      <c r="B1798" s="8" t="s">
        <v>5427</v>
      </c>
      <c r="C1798" s="284">
        <v>200000</v>
      </c>
      <c r="D1798" s="284">
        <v>0</v>
      </c>
      <c r="E1798" s="284">
        <f t="shared" ref="E1798:E1861" si="28">E1797-C1798+D1798</f>
        <v>9600000</v>
      </c>
      <c r="F1798" s="8" t="s">
        <v>1643</v>
      </c>
      <c r="G1798" s="8" t="s">
        <v>5</v>
      </c>
      <c r="H1798" s="8" t="s">
        <v>2320</v>
      </c>
    </row>
    <row r="1799" spans="1:8" s="8" customFormat="1">
      <c r="A1799" s="13"/>
      <c r="B1799" s="8" t="s">
        <v>5428</v>
      </c>
      <c r="C1799" s="284">
        <v>45100</v>
      </c>
      <c r="D1799" s="284">
        <v>0</v>
      </c>
      <c r="E1799" s="284">
        <f t="shared" si="28"/>
        <v>9554900</v>
      </c>
      <c r="F1799" s="8" t="s">
        <v>1643</v>
      </c>
      <c r="G1799" s="8" t="s">
        <v>5</v>
      </c>
      <c r="H1799" s="8" t="s">
        <v>2320</v>
      </c>
    </row>
    <row r="1800" spans="1:8" s="8" customFormat="1">
      <c r="A1800" s="13"/>
      <c r="B1800" s="8" t="s">
        <v>5429</v>
      </c>
      <c r="C1800" s="284">
        <v>103000</v>
      </c>
      <c r="D1800" s="284">
        <v>0</v>
      </c>
      <c r="E1800" s="284">
        <f t="shared" si="28"/>
        <v>9451900</v>
      </c>
      <c r="F1800" s="8" t="s">
        <v>1643</v>
      </c>
      <c r="G1800" s="8" t="s">
        <v>5</v>
      </c>
      <c r="H1800" s="8" t="s">
        <v>2320</v>
      </c>
    </row>
    <row r="1801" spans="1:8" s="8" customFormat="1">
      <c r="A1801" s="13"/>
      <c r="B1801" s="8" t="s">
        <v>5430</v>
      </c>
      <c r="C1801" s="284">
        <v>150000</v>
      </c>
      <c r="D1801" s="284">
        <v>0</v>
      </c>
      <c r="E1801" s="284">
        <f t="shared" si="28"/>
        <v>9301900</v>
      </c>
      <c r="F1801" s="8" t="s">
        <v>1643</v>
      </c>
      <c r="G1801" s="8" t="s">
        <v>5</v>
      </c>
      <c r="H1801" s="8" t="s">
        <v>2320</v>
      </c>
    </row>
    <row r="1802" spans="1:8" s="8" customFormat="1">
      <c r="A1802" s="13"/>
      <c r="B1802" s="8" t="s">
        <v>5431</v>
      </c>
      <c r="C1802" s="284">
        <v>110000</v>
      </c>
      <c r="D1802" s="284">
        <v>0</v>
      </c>
      <c r="E1802" s="284">
        <f t="shared" si="28"/>
        <v>9191900</v>
      </c>
      <c r="F1802" s="8" t="s">
        <v>1643</v>
      </c>
      <c r="G1802" s="8" t="s">
        <v>5</v>
      </c>
      <c r="H1802" s="8" t="s">
        <v>2320</v>
      </c>
    </row>
    <row r="1803" spans="1:8" s="8" customFormat="1">
      <c r="A1803" s="13"/>
      <c r="B1803" s="8" t="s">
        <v>5432</v>
      </c>
      <c r="C1803" s="284">
        <v>108000</v>
      </c>
      <c r="D1803" s="284">
        <v>0</v>
      </c>
      <c r="E1803" s="284">
        <f t="shared" si="28"/>
        <v>9083900</v>
      </c>
      <c r="F1803" s="8" t="s">
        <v>1643</v>
      </c>
      <c r="G1803" s="8" t="s">
        <v>5</v>
      </c>
      <c r="H1803" s="8" t="s">
        <v>2320</v>
      </c>
    </row>
    <row r="1804" spans="1:8" s="8" customFormat="1">
      <c r="A1804" s="13"/>
      <c r="B1804" s="8" t="s">
        <v>5429</v>
      </c>
      <c r="C1804" s="284">
        <v>103000</v>
      </c>
      <c r="D1804" s="284">
        <v>0</v>
      </c>
      <c r="E1804" s="284">
        <f t="shared" si="28"/>
        <v>8980900</v>
      </c>
      <c r="F1804" s="8" t="s">
        <v>1643</v>
      </c>
      <c r="G1804" s="8" t="s">
        <v>5</v>
      </c>
      <c r="H1804" s="8" t="s">
        <v>2320</v>
      </c>
    </row>
    <row r="1805" spans="1:8" s="8" customFormat="1">
      <c r="A1805" s="13"/>
      <c r="B1805" s="8" t="s">
        <v>5433</v>
      </c>
      <c r="C1805" s="284">
        <v>66000</v>
      </c>
      <c r="D1805" s="284">
        <v>0</v>
      </c>
      <c r="E1805" s="284">
        <f t="shared" si="28"/>
        <v>8914900</v>
      </c>
      <c r="F1805" s="8" t="s">
        <v>1643</v>
      </c>
      <c r="G1805" s="8" t="s">
        <v>5</v>
      </c>
      <c r="H1805" s="8" t="s">
        <v>2320</v>
      </c>
    </row>
    <row r="1806" spans="1:8" s="8" customFormat="1">
      <c r="A1806" s="13"/>
      <c r="B1806" s="8" t="s">
        <v>5431</v>
      </c>
      <c r="C1806" s="284">
        <v>98000</v>
      </c>
      <c r="D1806" s="284">
        <v>0</v>
      </c>
      <c r="E1806" s="284">
        <f t="shared" si="28"/>
        <v>8816900</v>
      </c>
      <c r="F1806" s="8" t="s">
        <v>1643</v>
      </c>
      <c r="G1806" s="8" t="s">
        <v>5</v>
      </c>
      <c r="H1806" s="8" t="s">
        <v>2320</v>
      </c>
    </row>
    <row r="1807" spans="1:8" s="8" customFormat="1">
      <c r="A1807" s="13"/>
      <c r="B1807" s="8" t="s">
        <v>5432</v>
      </c>
      <c r="C1807" s="284">
        <v>112000</v>
      </c>
      <c r="D1807" s="284">
        <v>0</v>
      </c>
      <c r="E1807" s="284">
        <f t="shared" si="28"/>
        <v>8704900</v>
      </c>
      <c r="F1807" s="8" t="s">
        <v>1643</v>
      </c>
      <c r="G1807" s="8" t="s">
        <v>5</v>
      </c>
      <c r="H1807" s="8" t="s">
        <v>2320</v>
      </c>
    </row>
    <row r="1808" spans="1:8" s="8" customFormat="1">
      <c r="A1808" s="13"/>
      <c r="B1808" s="8" t="s">
        <v>5429</v>
      </c>
      <c r="C1808" s="284">
        <v>103000</v>
      </c>
      <c r="D1808" s="284">
        <v>0</v>
      </c>
      <c r="E1808" s="284">
        <f t="shared" si="28"/>
        <v>8601900</v>
      </c>
      <c r="F1808" s="8" t="s">
        <v>1643</v>
      </c>
      <c r="G1808" s="8" t="s">
        <v>5</v>
      </c>
      <c r="H1808" s="8" t="s">
        <v>2320</v>
      </c>
    </row>
    <row r="1809" spans="1:8" s="8" customFormat="1">
      <c r="A1809" s="13"/>
      <c r="B1809" s="8" t="s">
        <v>5434</v>
      </c>
      <c r="C1809" s="284">
        <v>100000</v>
      </c>
      <c r="D1809" s="284">
        <v>0</v>
      </c>
      <c r="E1809" s="284">
        <f t="shared" si="28"/>
        <v>8501900</v>
      </c>
      <c r="F1809" s="8" t="s">
        <v>1643</v>
      </c>
      <c r="G1809" s="8" t="s">
        <v>5</v>
      </c>
      <c r="H1809" s="8" t="s">
        <v>2320</v>
      </c>
    </row>
    <row r="1810" spans="1:8" s="8" customFormat="1">
      <c r="A1810" s="13"/>
      <c r="B1810" s="8" t="s">
        <v>5429</v>
      </c>
      <c r="C1810" s="284">
        <v>94000</v>
      </c>
      <c r="D1810" s="284">
        <v>0</v>
      </c>
      <c r="E1810" s="284">
        <f t="shared" si="28"/>
        <v>8407900</v>
      </c>
      <c r="F1810" s="8" t="s">
        <v>1643</v>
      </c>
      <c r="G1810" s="8" t="s">
        <v>5</v>
      </c>
      <c r="H1810" s="8" t="s">
        <v>2320</v>
      </c>
    </row>
    <row r="1811" spans="1:8" s="8" customFormat="1">
      <c r="A1811" s="13"/>
      <c r="B1811" s="8" t="s">
        <v>5435</v>
      </c>
      <c r="C1811" s="284">
        <v>150000</v>
      </c>
      <c r="D1811" s="284">
        <v>0</v>
      </c>
      <c r="E1811" s="284">
        <f t="shared" si="28"/>
        <v>8257900</v>
      </c>
      <c r="F1811" s="8" t="s">
        <v>1643</v>
      </c>
      <c r="G1811" s="8" t="s">
        <v>5</v>
      </c>
      <c r="H1811" s="8" t="s">
        <v>2320</v>
      </c>
    </row>
    <row r="1812" spans="1:8" s="8" customFormat="1">
      <c r="A1812" s="13"/>
      <c r="B1812" s="8" t="s">
        <v>5436</v>
      </c>
      <c r="C1812" s="284">
        <v>2922500</v>
      </c>
      <c r="D1812" s="284">
        <v>0</v>
      </c>
      <c r="E1812" s="284">
        <f t="shared" si="28"/>
        <v>5335400</v>
      </c>
      <c r="F1812" s="8" t="s">
        <v>1643</v>
      </c>
      <c r="G1812" s="8" t="s">
        <v>5</v>
      </c>
      <c r="H1812" s="8" t="s">
        <v>2320</v>
      </c>
    </row>
    <row r="1813" spans="1:8" s="8" customFormat="1">
      <c r="A1813" s="13"/>
      <c r="B1813" s="8" t="s">
        <v>5437</v>
      </c>
      <c r="C1813" s="284">
        <v>553500</v>
      </c>
      <c r="D1813" s="284">
        <v>0</v>
      </c>
      <c r="E1813" s="284">
        <f t="shared" si="28"/>
        <v>4781900</v>
      </c>
      <c r="F1813" s="8" t="s">
        <v>1643</v>
      </c>
      <c r="G1813" s="8" t="s">
        <v>5</v>
      </c>
      <c r="H1813" s="8" t="s">
        <v>2320</v>
      </c>
    </row>
    <row r="1814" spans="1:8" s="8" customFormat="1">
      <c r="A1814" s="13"/>
      <c r="B1814" s="8" t="s">
        <v>5438</v>
      </c>
      <c r="C1814" s="284">
        <v>550000</v>
      </c>
      <c r="D1814" s="284">
        <v>0</v>
      </c>
      <c r="E1814" s="284">
        <f t="shared" si="28"/>
        <v>4231900</v>
      </c>
      <c r="F1814" s="8" t="s">
        <v>1643</v>
      </c>
      <c r="G1814" s="8" t="s">
        <v>5</v>
      </c>
      <c r="H1814" s="8" t="s">
        <v>2320</v>
      </c>
    </row>
    <row r="1815" spans="1:8" s="8" customFormat="1">
      <c r="A1815" s="13"/>
      <c r="B1815" s="8" t="s">
        <v>5439</v>
      </c>
      <c r="C1815" s="284">
        <v>320000</v>
      </c>
      <c r="D1815" s="284">
        <v>0</v>
      </c>
      <c r="E1815" s="284">
        <f t="shared" si="28"/>
        <v>3911900</v>
      </c>
      <c r="F1815" s="8" t="s">
        <v>1643</v>
      </c>
      <c r="G1815" s="8" t="s">
        <v>5</v>
      </c>
      <c r="H1815" s="8" t="s">
        <v>2320</v>
      </c>
    </row>
    <row r="1816" spans="1:8" s="8" customFormat="1">
      <c r="A1816" s="13"/>
      <c r="B1816" s="8" t="s">
        <v>5440</v>
      </c>
      <c r="C1816" s="284">
        <v>155000</v>
      </c>
      <c r="D1816" s="284">
        <v>0</v>
      </c>
      <c r="E1816" s="284">
        <f t="shared" si="28"/>
        <v>3756900</v>
      </c>
      <c r="F1816" s="8" t="s">
        <v>1643</v>
      </c>
      <c r="G1816" s="8" t="s">
        <v>5</v>
      </c>
      <c r="H1816" s="8" t="s">
        <v>2320</v>
      </c>
    </row>
    <row r="1817" spans="1:8" s="8" customFormat="1">
      <c r="A1817" s="13"/>
      <c r="B1817" s="8" t="s">
        <v>5441</v>
      </c>
      <c r="C1817" s="284">
        <v>200000</v>
      </c>
      <c r="D1817" s="284">
        <v>0</v>
      </c>
      <c r="E1817" s="284">
        <f t="shared" si="28"/>
        <v>3556900</v>
      </c>
      <c r="F1817" s="8" t="s">
        <v>1643</v>
      </c>
      <c r="G1817" s="8" t="s">
        <v>5</v>
      </c>
      <c r="H1817" s="8" t="s">
        <v>2320</v>
      </c>
    </row>
    <row r="1818" spans="1:8" s="8" customFormat="1">
      <c r="A1818" s="13"/>
      <c r="B1818" s="8" t="s">
        <v>5442</v>
      </c>
      <c r="C1818" s="284">
        <v>105000</v>
      </c>
      <c r="D1818" s="284">
        <v>0</v>
      </c>
      <c r="E1818" s="284">
        <f t="shared" si="28"/>
        <v>3451900</v>
      </c>
      <c r="F1818" s="8" t="s">
        <v>1643</v>
      </c>
      <c r="G1818" s="8" t="s">
        <v>5</v>
      </c>
      <c r="H1818" s="8" t="s">
        <v>2320</v>
      </c>
    </row>
    <row r="1819" spans="1:8" s="8" customFormat="1">
      <c r="A1819" s="13"/>
      <c r="B1819" s="8" t="s">
        <v>5443</v>
      </c>
      <c r="C1819" s="284">
        <v>1030000</v>
      </c>
      <c r="D1819" s="284">
        <v>0</v>
      </c>
      <c r="E1819" s="284">
        <f t="shared" si="28"/>
        <v>2421900</v>
      </c>
      <c r="F1819" s="8" t="s">
        <v>1643</v>
      </c>
      <c r="G1819" s="8" t="s">
        <v>5</v>
      </c>
      <c r="H1819" s="8" t="s">
        <v>2320</v>
      </c>
    </row>
    <row r="1820" spans="1:8" s="8" customFormat="1">
      <c r="A1820" s="13"/>
      <c r="B1820" s="8" t="s">
        <v>5444</v>
      </c>
      <c r="C1820" s="284">
        <v>362000</v>
      </c>
      <c r="D1820" s="284">
        <v>0</v>
      </c>
      <c r="E1820" s="284">
        <f t="shared" si="28"/>
        <v>2059900</v>
      </c>
      <c r="F1820" s="8" t="s">
        <v>1643</v>
      </c>
      <c r="G1820" s="8" t="s">
        <v>5</v>
      </c>
      <c r="H1820" s="8" t="s">
        <v>2320</v>
      </c>
    </row>
    <row r="1821" spans="1:8" s="8" customFormat="1">
      <c r="A1821" s="13"/>
      <c r="B1821" s="8" t="s">
        <v>5445</v>
      </c>
      <c r="C1821" s="284">
        <v>87034</v>
      </c>
      <c r="D1821" s="284">
        <v>0</v>
      </c>
      <c r="E1821" s="284">
        <f t="shared" si="28"/>
        <v>1972866</v>
      </c>
      <c r="F1821" s="8" t="s">
        <v>1643</v>
      </c>
      <c r="G1821" s="8" t="s">
        <v>5</v>
      </c>
      <c r="H1821" s="8" t="s">
        <v>2320</v>
      </c>
    </row>
    <row r="1822" spans="1:8" s="8" customFormat="1">
      <c r="A1822" s="13"/>
      <c r="B1822" s="8" t="s">
        <v>5446</v>
      </c>
      <c r="C1822" s="284">
        <v>103222</v>
      </c>
      <c r="D1822" s="284">
        <v>0</v>
      </c>
      <c r="E1822" s="284">
        <f t="shared" si="28"/>
        <v>1869644</v>
      </c>
      <c r="F1822" s="8" t="s">
        <v>1643</v>
      </c>
      <c r="G1822" s="8" t="s">
        <v>5</v>
      </c>
      <c r="H1822" s="8" t="s">
        <v>2320</v>
      </c>
    </row>
    <row r="1823" spans="1:8" s="8" customFormat="1">
      <c r="A1823" s="13"/>
      <c r="B1823" s="8" t="s">
        <v>5447</v>
      </c>
      <c r="C1823" s="284">
        <v>220500</v>
      </c>
      <c r="D1823" s="284">
        <v>0</v>
      </c>
      <c r="E1823" s="284">
        <f t="shared" si="28"/>
        <v>1649144</v>
      </c>
      <c r="F1823" s="8" t="s">
        <v>1643</v>
      </c>
      <c r="G1823" s="8" t="s">
        <v>5</v>
      </c>
      <c r="H1823" s="8" t="s">
        <v>2320</v>
      </c>
    </row>
    <row r="1824" spans="1:8" s="8" customFormat="1">
      <c r="A1824" s="13"/>
      <c r="B1824" s="8" t="s">
        <v>5448</v>
      </c>
      <c r="C1824" s="284">
        <v>50000</v>
      </c>
      <c r="D1824" s="284">
        <v>0</v>
      </c>
      <c r="E1824" s="284">
        <f t="shared" si="28"/>
        <v>1599144</v>
      </c>
      <c r="F1824" s="8" t="s">
        <v>1643</v>
      </c>
      <c r="G1824" s="8" t="s">
        <v>5</v>
      </c>
      <c r="H1824" s="8" t="s">
        <v>2320</v>
      </c>
    </row>
    <row r="1825" spans="1:8" s="8" customFormat="1">
      <c r="A1825" s="13"/>
      <c r="B1825" s="8" t="s">
        <v>5449</v>
      </c>
      <c r="C1825" s="284">
        <v>119540</v>
      </c>
      <c r="D1825" s="284">
        <v>0</v>
      </c>
      <c r="E1825" s="284">
        <f t="shared" si="28"/>
        <v>1479604</v>
      </c>
      <c r="F1825" s="8" t="s">
        <v>1643</v>
      </c>
      <c r="G1825" s="8" t="s">
        <v>5</v>
      </c>
      <c r="H1825" s="8" t="s">
        <v>2320</v>
      </c>
    </row>
    <row r="1826" spans="1:8" s="8" customFormat="1">
      <c r="A1826" s="13"/>
      <c r="B1826" s="8" t="s">
        <v>5450</v>
      </c>
      <c r="C1826" s="284">
        <v>39800</v>
      </c>
      <c r="D1826" s="284">
        <v>0</v>
      </c>
      <c r="E1826" s="284">
        <f t="shared" si="28"/>
        <v>1439804</v>
      </c>
      <c r="F1826" s="8" t="s">
        <v>1643</v>
      </c>
      <c r="G1826" s="8" t="s">
        <v>5</v>
      </c>
      <c r="H1826" s="8" t="s">
        <v>2320</v>
      </c>
    </row>
    <row r="1827" spans="1:8" s="8" customFormat="1">
      <c r="A1827" s="13"/>
      <c r="B1827" s="8" t="s">
        <v>5451</v>
      </c>
      <c r="C1827" s="284">
        <v>59000</v>
      </c>
      <c r="D1827" s="284">
        <v>0</v>
      </c>
      <c r="E1827" s="284">
        <f t="shared" si="28"/>
        <v>1380804</v>
      </c>
      <c r="F1827" s="8" t="s">
        <v>1643</v>
      </c>
      <c r="G1827" s="8" t="s">
        <v>5</v>
      </c>
      <c r="H1827" s="8" t="s">
        <v>2320</v>
      </c>
    </row>
    <row r="1828" spans="1:8" s="8" customFormat="1">
      <c r="A1828" s="13"/>
      <c r="B1828" s="8" t="s">
        <v>5452</v>
      </c>
      <c r="C1828" s="284">
        <v>52640</v>
      </c>
      <c r="D1828" s="284">
        <v>0</v>
      </c>
      <c r="E1828" s="284">
        <f t="shared" si="28"/>
        <v>1328164</v>
      </c>
      <c r="F1828" s="8" t="s">
        <v>1643</v>
      </c>
      <c r="G1828" s="8" t="s">
        <v>5</v>
      </c>
      <c r="H1828" s="8" t="s">
        <v>2320</v>
      </c>
    </row>
    <row r="1829" spans="1:8" s="8" customFormat="1">
      <c r="A1829" s="13"/>
      <c r="B1829" s="8" t="s">
        <v>5453</v>
      </c>
      <c r="C1829" s="284">
        <v>24000</v>
      </c>
      <c r="D1829" s="284">
        <v>0</v>
      </c>
      <c r="E1829" s="284">
        <f t="shared" si="28"/>
        <v>1304164</v>
      </c>
      <c r="F1829" s="8" t="s">
        <v>1643</v>
      </c>
      <c r="G1829" s="8" t="s">
        <v>5</v>
      </c>
      <c r="H1829" s="8" t="s">
        <v>2320</v>
      </c>
    </row>
    <row r="1830" spans="1:8" s="8" customFormat="1">
      <c r="A1830" s="13"/>
      <c r="B1830" s="8" t="s">
        <v>5453</v>
      </c>
      <c r="C1830" s="284">
        <v>21000</v>
      </c>
      <c r="D1830" s="284">
        <v>0</v>
      </c>
      <c r="E1830" s="284">
        <f t="shared" si="28"/>
        <v>1283164</v>
      </c>
      <c r="F1830" s="8" t="s">
        <v>1643</v>
      </c>
      <c r="G1830" s="8" t="s">
        <v>5</v>
      </c>
      <c r="H1830" s="8" t="s">
        <v>2320</v>
      </c>
    </row>
    <row r="1831" spans="1:8" s="8" customFormat="1">
      <c r="A1831" s="13"/>
      <c r="B1831" s="8" t="s">
        <v>5453</v>
      </c>
      <c r="C1831" s="284">
        <v>24000</v>
      </c>
      <c r="D1831" s="284">
        <v>0</v>
      </c>
      <c r="E1831" s="284">
        <f t="shared" si="28"/>
        <v>1259164</v>
      </c>
      <c r="F1831" s="8" t="s">
        <v>1643</v>
      </c>
      <c r="G1831" s="8" t="s">
        <v>5</v>
      </c>
      <c r="H1831" s="8" t="s">
        <v>2320</v>
      </c>
    </row>
    <row r="1832" spans="1:8" s="8" customFormat="1">
      <c r="A1832" s="13"/>
      <c r="B1832" s="8" t="s">
        <v>5453</v>
      </c>
      <c r="C1832" s="284">
        <v>24000</v>
      </c>
      <c r="D1832" s="284">
        <v>0</v>
      </c>
      <c r="E1832" s="284">
        <f t="shared" si="28"/>
        <v>1235164</v>
      </c>
      <c r="F1832" s="8" t="s">
        <v>1643</v>
      </c>
      <c r="G1832" s="8" t="s">
        <v>5</v>
      </c>
      <c r="H1832" s="8" t="s">
        <v>2320</v>
      </c>
    </row>
    <row r="1833" spans="1:8" s="8" customFormat="1">
      <c r="A1833" s="13"/>
      <c r="B1833" s="8" t="s">
        <v>5454</v>
      </c>
      <c r="C1833" s="284">
        <v>306000</v>
      </c>
      <c r="D1833" s="284">
        <v>0</v>
      </c>
      <c r="E1833" s="284">
        <f t="shared" si="28"/>
        <v>929164</v>
      </c>
      <c r="F1833" s="8" t="s">
        <v>1643</v>
      </c>
      <c r="G1833" s="8" t="s">
        <v>5</v>
      </c>
      <c r="H1833" s="8" t="s">
        <v>2320</v>
      </c>
    </row>
    <row r="1834" spans="1:8" s="8" customFormat="1">
      <c r="A1834" s="13">
        <v>45897</v>
      </c>
      <c r="B1834" s="8" t="s">
        <v>2836</v>
      </c>
      <c r="C1834" s="284">
        <v>929164</v>
      </c>
      <c r="D1834" s="284">
        <v>0</v>
      </c>
      <c r="E1834" s="284">
        <f t="shared" si="28"/>
        <v>0</v>
      </c>
      <c r="F1834" s="8" t="s">
        <v>920</v>
      </c>
      <c r="G1834" s="8" t="s">
        <v>464</v>
      </c>
      <c r="H1834" s="8" t="s">
        <v>5600</v>
      </c>
    </row>
    <row r="1835" spans="1:8" s="8" customFormat="1">
      <c r="A1835" s="13">
        <v>45853</v>
      </c>
      <c r="B1835" s="8" t="s">
        <v>2657</v>
      </c>
      <c r="C1835" s="284">
        <v>0</v>
      </c>
      <c r="D1835" s="284">
        <v>10000000</v>
      </c>
      <c r="E1835" s="284">
        <f t="shared" si="28"/>
        <v>10000000</v>
      </c>
      <c r="F1835" s="8" t="s">
        <v>920</v>
      </c>
      <c r="G1835" s="8" t="s">
        <v>400</v>
      </c>
      <c r="H1835" s="8" t="s">
        <v>5601</v>
      </c>
    </row>
    <row r="1836" spans="1:8" s="8" customFormat="1">
      <c r="A1836" s="13"/>
      <c r="B1836" s="8" t="s">
        <v>5455</v>
      </c>
      <c r="C1836" s="284">
        <v>133741</v>
      </c>
      <c r="D1836" s="284">
        <v>0</v>
      </c>
      <c r="E1836" s="284">
        <f t="shared" si="28"/>
        <v>9866259</v>
      </c>
      <c r="F1836" s="8" t="s">
        <v>1643</v>
      </c>
      <c r="G1836" s="8" t="s">
        <v>5</v>
      </c>
      <c r="H1836" s="8" t="s">
        <v>1622</v>
      </c>
    </row>
    <row r="1837" spans="1:8" s="8" customFormat="1">
      <c r="A1837" s="13"/>
      <c r="B1837" s="8" t="s">
        <v>5456</v>
      </c>
      <c r="C1837" s="284">
        <v>500000</v>
      </c>
      <c r="D1837" s="284">
        <v>0</v>
      </c>
      <c r="E1837" s="284">
        <f t="shared" si="28"/>
        <v>9366259</v>
      </c>
      <c r="F1837" s="8" t="s">
        <v>1643</v>
      </c>
      <c r="G1837" s="8" t="s">
        <v>5</v>
      </c>
      <c r="H1837" s="8" t="s">
        <v>1622</v>
      </c>
    </row>
    <row r="1838" spans="1:8" s="8" customFormat="1">
      <c r="A1838" s="13"/>
      <c r="B1838" s="8" t="s">
        <v>5457</v>
      </c>
      <c r="C1838" s="284">
        <v>205700</v>
      </c>
      <c r="D1838" s="284">
        <v>0</v>
      </c>
      <c r="E1838" s="284">
        <f t="shared" si="28"/>
        <v>9160559</v>
      </c>
      <c r="F1838" s="8" t="s">
        <v>1643</v>
      </c>
      <c r="G1838" s="8" t="s">
        <v>5</v>
      </c>
      <c r="H1838" s="8" t="s">
        <v>1622</v>
      </c>
    </row>
    <row r="1839" spans="1:8" s="8" customFormat="1">
      <c r="A1839" s="13"/>
      <c r="B1839" s="8" t="s">
        <v>5458</v>
      </c>
      <c r="C1839" s="284">
        <v>900000</v>
      </c>
      <c r="D1839" s="284">
        <v>0</v>
      </c>
      <c r="E1839" s="284">
        <f t="shared" si="28"/>
        <v>8260559</v>
      </c>
      <c r="F1839" s="8" t="s">
        <v>1643</v>
      </c>
      <c r="G1839" s="8" t="s">
        <v>5</v>
      </c>
      <c r="H1839" s="8" t="s">
        <v>1622</v>
      </c>
    </row>
    <row r="1840" spans="1:8" s="8" customFormat="1">
      <c r="A1840" s="13"/>
      <c r="B1840" s="8" t="s">
        <v>5459</v>
      </c>
      <c r="C1840" s="284">
        <v>1250000</v>
      </c>
      <c r="D1840" s="284">
        <v>0</v>
      </c>
      <c r="E1840" s="284">
        <f t="shared" si="28"/>
        <v>7010559</v>
      </c>
      <c r="F1840" s="8" t="s">
        <v>1643</v>
      </c>
      <c r="G1840" s="8" t="s">
        <v>5</v>
      </c>
      <c r="H1840" s="8" t="s">
        <v>1622</v>
      </c>
    </row>
    <row r="1841" spans="1:9" s="8" customFormat="1">
      <c r="A1841" s="13"/>
      <c r="B1841" s="8" t="s">
        <v>5460</v>
      </c>
      <c r="C1841" s="284">
        <v>1000000</v>
      </c>
      <c r="D1841" s="284">
        <v>0</v>
      </c>
      <c r="E1841" s="284">
        <f t="shared" si="28"/>
        <v>6010559</v>
      </c>
      <c r="F1841" s="8" t="s">
        <v>1643</v>
      </c>
      <c r="G1841" s="8" t="s">
        <v>5</v>
      </c>
      <c r="H1841" s="8" t="s">
        <v>1622</v>
      </c>
    </row>
    <row r="1842" spans="1:9" s="8" customFormat="1">
      <c r="A1842" s="13"/>
      <c r="B1842" s="8" t="s">
        <v>5461</v>
      </c>
      <c r="C1842" s="284">
        <v>500000</v>
      </c>
      <c r="D1842" s="284">
        <v>0</v>
      </c>
      <c r="E1842" s="284">
        <f t="shared" si="28"/>
        <v>5510559</v>
      </c>
      <c r="F1842" s="8" t="s">
        <v>1643</v>
      </c>
      <c r="G1842" s="8" t="s">
        <v>5</v>
      </c>
      <c r="H1842" s="8" t="s">
        <v>1622</v>
      </c>
    </row>
    <row r="1843" spans="1:9" s="8" customFormat="1">
      <c r="A1843" s="13"/>
      <c r="B1843" s="8" t="s">
        <v>5462</v>
      </c>
      <c r="C1843" s="284">
        <v>360000</v>
      </c>
      <c r="D1843" s="284">
        <v>0</v>
      </c>
      <c r="E1843" s="284">
        <f t="shared" si="28"/>
        <v>5150559</v>
      </c>
      <c r="F1843" s="8" t="s">
        <v>1643</v>
      </c>
      <c r="G1843" s="8" t="s">
        <v>5</v>
      </c>
      <c r="H1843" s="8" t="s">
        <v>1622</v>
      </c>
    </row>
    <row r="1844" spans="1:9" s="8" customFormat="1">
      <c r="A1844" s="13"/>
      <c r="B1844" s="8" t="s">
        <v>5463</v>
      </c>
      <c r="C1844" s="284">
        <v>560000</v>
      </c>
      <c r="D1844" s="284">
        <v>0</v>
      </c>
      <c r="E1844" s="284">
        <f t="shared" si="28"/>
        <v>4590559</v>
      </c>
      <c r="F1844" s="8" t="s">
        <v>1643</v>
      </c>
      <c r="G1844" s="8" t="s">
        <v>5</v>
      </c>
      <c r="H1844" s="8" t="s">
        <v>1622</v>
      </c>
    </row>
    <row r="1845" spans="1:9" s="8" customFormat="1">
      <c r="A1845" s="13"/>
      <c r="B1845" s="8" t="s">
        <v>5464</v>
      </c>
      <c r="C1845" s="284">
        <v>8630000</v>
      </c>
      <c r="D1845" s="284">
        <v>0</v>
      </c>
      <c r="E1845" s="284">
        <f t="shared" si="28"/>
        <v>-4039441</v>
      </c>
      <c r="F1845" s="8" t="s">
        <v>1643</v>
      </c>
      <c r="G1845" s="8" t="s">
        <v>5</v>
      </c>
      <c r="H1845" s="8" t="s">
        <v>1622</v>
      </c>
    </row>
    <row r="1846" spans="1:9" s="8" customFormat="1">
      <c r="A1846" s="13"/>
      <c r="B1846" s="8" t="s">
        <v>5465</v>
      </c>
      <c r="C1846" s="284">
        <v>5500000</v>
      </c>
      <c r="D1846" s="284">
        <v>0</v>
      </c>
      <c r="E1846" s="284">
        <f t="shared" si="28"/>
        <v>-9539441</v>
      </c>
      <c r="F1846" s="8" t="s">
        <v>1643</v>
      </c>
      <c r="G1846" s="8" t="s">
        <v>5</v>
      </c>
      <c r="H1846" s="8" t="s">
        <v>1622</v>
      </c>
    </row>
    <row r="1847" spans="1:9" s="8" customFormat="1">
      <c r="A1847" s="13"/>
      <c r="B1847" s="8" t="s">
        <v>5466</v>
      </c>
      <c r="C1847" s="284">
        <v>230000</v>
      </c>
      <c r="D1847" s="284">
        <v>0</v>
      </c>
      <c r="E1847" s="284">
        <f t="shared" si="28"/>
        <v>-9769441</v>
      </c>
      <c r="F1847" s="8" t="s">
        <v>1643</v>
      </c>
      <c r="G1847" s="8" t="s">
        <v>5</v>
      </c>
      <c r="H1847" s="8" t="s">
        <v>1622</v>
      </c>
    </row>
    <row r="1848" spans="1:9" s="8" customFormat="1">
      <c r="A1848" s="13">
        <v>45877</v>
      </c>
      <c r="B1848" s="8" t="s">
        <v>2743</v>
      </c>
      <c r="C1848" s="284">
        <v>0</v>
      </c>
      <c r="D1848" s="284">
        <v>9769441</v>
      </c>
      <c r="E1848" s="284">
        <f t="shared" si="28"/>
        <v>0</v>
      </c>
      <c r="F1848" s="8" t="s">
        <v>920</v>
      </c>
      <c r="G1848" s="8" t="s">
        <v>400</v>
      </c>
      <c r="H1848" s="8" t="s">
        <v>5601</v>
      </c>
    </row>
    <row r="1849" spans="1:9" s="8" customFormat="1">
      <c r="A1849" s="13">
        <v>45862</v>
      </c>
      <c r="B1849" s="8" t="s">
        <v>2697</v>
      </c>
      <c r="C1849" s="284">
        <v>0</v>
      </c>
      <c r="D1849" s="284">
        <v>14000000</v>
      </c>
      <c r="E1849" s="284">
        <f t="shared" si="28"/>
        <v>14000000</v>
      </c>
      <c r="F1849" s="8" t="s">
        <v>920</v>
      </c>
      <c r="G1849" s="8" t="s">
        <v>400</v>
      </c>
      <c r="H1849" s="8" t="s">
        <v>5603</v>
      </c>
    </row>
    <row r="1850" spans="1:9" s="8" customFormat="1">
      <c r="A1850" s="13"/>
      <c r="B1850" s="8" t="s">
        <v>5467</v>
      </c>
      <c r="C1850" s="284">
        <v>407000</v>
      </c>
      <c r="D1850" s="284">
        <v>0</v>
      </c>
      <c r="E1850" s="284">
        <f t="shared" si="28"/>
        <v>13593000</v>
      </c>
      <c r="F1850" s="8" t="s">
        <v>10</v>
      </c>
      <c r="G1850" s="8" t="s">
        <v>446</v>
      </c>
      <c r="H1850" s="8" t="s">
        <v>2318</v>
      </c>
      <c r="I1850" s="8" t="s">
        <v>26</v>
      </c>
    </row>
    <row r="1851" spans="1:9" s="8" customFormat="1">
      <c r="A1851" s="13"/>
      <c r="B1851" s="8" t="s">
        <v>5468</v>
      </c>
      <c r="C1851" s="284">
        <v>287700</v>
      </c>
      <c r="D1851" s="284">
        <v>0</v>
      </c>
      <c r="E1851" s="284">
        <f t="shared" si="28"/>
        <v>13305300</v>
      </c>
      <c r="F1851" s="8" t="s">
        <v>10</v>
      </c>
      <c r="G1851" s="8" t="s">
        <v>446</v>
      </c>
      <c r="H1851" s="8" t="s">
        <v>2318</v>
      </c>
      <c r="I1851" s="8" t="s">
        <v>26</v>
      </c>
    </row>
    <row r="1852" spans="1:9" s="8" customFormat="1">
      <c r="A1852" s="13"/>
      <c r="B1852" s="8" t="s">
        <v>5469</v>
      </c>
      <c r="C1852" s="284">
        <v>141000</v>
      </c>
      <c r="D1852" s="284">
        <v>0</v>
      </c>
      <c r="E1852" s="284">
        <f t="shared" si="28"/>
        <v>13164300</v>
      </c>
      <c r="F1852" s="8" t="s">
        <v>10</v>
      </c>
      <c r="G1852" s="8" t="s">
        <v>446</v>
      </c>
      <c r="H1852" s="8" t="s">
        <v>2318</v>
      </c>
      <c r="I1852" s="8" t="s">
        <v>26</v>
      </c>
    </row>
    <row r="1853" spans="1:9" s="8" customFormat="1">
      <c r="A1853" s="13"/>
      <c r="B1853" s="8" t="s">
        <v>5470</v>
      </c>
      <c r="C1853" s="284">
        <v>115500</v>
      </c>
      <c r="D1853" s="284">
        <v>0</v>
      </c>
      <c r="E1853" s="284">
        <f t="shared" si="28"/>
        <v>13048800</v>
      </c>
      <c r="F1853" s="8" t="s">
        <v>10</v>
      </c>
      <c r="G1853" s="8" t="s">
        <v>446</v>
      </c>
      <c r="H1853" s="8" t="s">
        <v>2318</v>
      </c>
      <c r="I1853" s="8" t="s">
        <v>26</v>
      </c>
    </row>
    <row r="1854" spans="1:9" s="8" customFormat="1">
      <c r="A1854" s="13"/>
      <c r="B1854" s="8" t="s">
        <v>5471</v>
      </c>
      <c r="C1854" s="284">
        <v>194500</v>
      </c>
      <c r="D1854" s="284">
        <v>0</v>
      </c>
      <c r="E1854" s="284">
        <f t="shared" si="28"/>
        <v>12854300</v>
      </c>
      <c r="F1854" s="8" t="s">
        <v>10</v>
      </c>
      <c r="G1854" s="8" t="s">
        <v>446</v>
      </c>
      <c r="H1854" s="8" t="s">
        <v>2318</v>
      </c>
      <c r="I1854" s="8" t="s">
        <v>26</v>
      </c>
    </row>
    <row r="1855" spans="1:9" s="8" customFormat="1">
      <c r="A1855" s="13"/>
      <c r="B1855" s="8" t="s">
        <v>5472</v>
      </c>
      <c r="C1855" s="284">
        <v>220000</v>
      </c>
      <c r="D1855" s="284">
        <v>0</v>
      </c>
      <c r="E1855" s="284">
        <f t="shared" si="28"/>
        <v>12634300</v>
      </c>
      <c r="F1855" s="8" t="s">
        <v>10</v>
      </c>
      <c r="G1855" s="8" t="s">
        <v>446</v>
      </c>
      <c r="H1855" s="8" t="s">
        <v>2318</v>
      </c>
      <c r="I1855" s="8" t="s">
        <v>26</v>
      </c>
    </row>
    <row r="1856" spans="1:9" s="8" customFormat="1">
      <c r="A1856" s="13"/>
      <c r="B1856" s="8" t="s">
        <v>5473</v>
      </c>
      <c r="C1856" s="284">
        <v>177000</v>
      </c>
      <c r="D1856" s="284">
        <v>0</v>
      </c>
      <c r="E1856" s="284">
        <f t="shared" si="28"/>
        <v>12457300</v>
      </c>
      <c r="F1856" s="8" t="s">
        <v>10</v>
      </c>
      <c r="G1856" s="8" t="s">
        <v>446</v>
      </c>
      <c r="H1856" s="8" t="s">
        <v>2318</v>
      </c>
      <c r="I1856" s="8" t="s">
        <v>26</v>
      </c>
    </row>
    <row r="1857" spans="1:9" s="8" customFormat="1">
      <c r="A1857" s="13"/>
      <c r="B1857" s="8" t="s">
        <v>5474</v>
      </c>
      <c r="C1857" s="284">
        <v>230000</v>
      </c>
      <c r="D1857" s="284">
        <v>0</v>
      </c>
      <c r="E1857" s="284">
        <f t="shared" si="28"/>
        <v>12227300</v>
      </c>
      <c r="F1857" s="8" t="s">
        <v>10</v>
      </c>
      <c r="G1857" s="8" t="s">
        <v>446</v>
      </c>
      <c r="H1857" s="8" t="s">
        <v>2318</v>
      </c>
      <c r="I1857" s="8" t="s">
        <v>26</v>
      </c>
    </row>
    <row r="1858" spans="1:9" s="8" customFormat="1">
      <c r="A1858" s="13"/>
      <c r="B1858" s="8" t="s">
        <v>5468</v>
      </c>
      <c r="C1858" s="284">
        <v>198000</v>
      </c>
      <c r="D1858" s="284">
        <v>0</v>
      </c>
      <c r="E1858" s="284">
        <f t="shared" si="28"/>
        <v>12029300</v>
      </c>
      <c r="F1858" s="8" t="s">
        <v>10</v>
      </c>
      <c r="G1858" s="8" t="s">
        <v>446</v>
      </c>
      <c r="H1858" s="8" t="s">
        <v>2318</v>
      </c>
      <c r="I1858" s="8" t="s">
        <v>26</v>
      </c>
    </row>
    <row r="1859" spans="1:9" s="8" customFormat="1">
      <c r="A1859" s="13"/>
      <c r="B1859" s="8" t="s">
        <v>5475</v>
      </c>
      <c r="C1859" s="284">
        <v>580000</v>
      </c>
      <c r="D1859" s="284">
        <v>0</v>
      </c>
      <c r="E1859" s="284">
        <f t="shared" si="28"/>
        <v>11449300</v>
      </c>
      <c r="F1859" s="8" t="s">
        <v>10</v>
      </c>
      <c r="G1859" s="8" t="s">
        <v>446</v>
      </c>
      <c r="H1859" s="8" t="s">
        <v>2318</v>
      </c>
      <c r="I1859" s="8" t="s">
        <v>26</v>
      </c>
    </row>
    <row r="1860" spans="1:9" s="8" customFormat="1">
      <c r="A1860" s="13"/>
      <c r="B1860" s="8" t="s">
        <v>5476</v>
      </c>
      <c r="C1860" s="284">
        <v>522665</v>
      </c>
      <c r="D1860" s="284">
        <v>0</v>
      </c>
      <c r="E1860" s="284">
        <f t="shared" si="28"/>
        <v>10926635</v>
      </c>
      <c r="F1860" s="8" t="s">
        <v>10</v>
      </c>
      <c r="G1860" s="8" t="s">
        <v>446</v>
      </c>
      <c r="H1860" s="8" t="s">
        <v>2318</v>
      </c>
      <c r="I1860" s="8" t="s">
        <v>26</v>
      </c>
    </row>
    <row r="1861" spans="1:9" s="8" customFormat="1">
      <c r="A1861" s="13"/>
      <c r="B1861" s="8" t="s">
        <v>5477</v>
      </c>
      <c r="C1861" s="284">
        <v>113000</v>
      </c>
      <c r="D1861" s="284">
        <v>0</v>
      </c>
      <c r="E1861" s="284">
        <f t="shared" si="28"/>
        <v>10813635</v>
      </c>
      <c r="F1861" s="8" t="s">
        <v>10</v>
      </c>
      <c r="G1861" s="8" t="s">
        <v>446</v>
      </c>
      <c r="H1861" s="8" t="s">
        <v>2318</v>
      </c>
      <c r="I1861" s="8" t="s">
        <v>26</v>
      </c>
    </row>
    <row r="1862" spans="1:9" s="8" customFormat="1">
      <c r="A1862" s="13"/>
      <c r="B1862" s="8" t="s">
        <v>5474</v>
      </c>
      <c r="C1862" s="284">
        <v>510000</v>
      </c>
      <c r="D1862" s="284">
        <v>0</v>
      </c>
      <c r="E1862" s="284">
        <f t="shared" ref="E1862:E1925" si="29">E1861-C1862+D1862</f>
        <v>10303635</v>
      </c>
      <c r="F1862" s="8" t="s">
        <v>10</v>
      </c>
      <c r="G1862" s="8" t="s">
        <v>446</v>
      </c>
      <c r="H1862" s="8" t="s">
        <v>2318</v>
      </c>
      <c r="I1862" s="8" t="s">
        <v>26</v>
      </c>
    </row>
    <row r="1863" spans="1:9" s="8" customFormat="1">
      <c r="A1863" s="13"/>
      <c r="B1863" s="8" t="s">
        <v>5478</v>
      </c>
      <c r="C1863" s="284">
        <v>184800</v>
      </c>
      <c r="D1863" s="284">
        <v>0</v>
      </c>
      <c r="E1863" s="284">
        <f t="shared" si="29"/>
        <v>10118835</v>
      </c>
      <c r="F1863" s="8" t="s">
        <v>10</v>
      </c>
      <c r="G1863" s="8" t="s">
        <v>446</v>
      </c>
      <c r="H1863" s="8" t="s">
        <v>2318</v>
      </c>
      <c r="I1863" s="8" t="s">
        <v>26</v>
      </c>
    </row>
    <row r="1864" spans="1:9" s="8" customFormat="1">
      <c r="A1864" s="13"/>
      <c r="B1864" s="8" t="s">
        <v>5472</v>
      </c>
      <c r="C1864" s="284">
        <v>172000</v>
      </c>
      <c r="D1864" s="284">
        <v>0</v>
      </c>
      <c r="E1864" s="284">
        <f t="shared" si="29"/>
        <v>9946835</v>
      </c>
      <c r="F1864" s="8" t="s">
        <v>10</v>
      </c>
      <c r="G1864" s="8" t="s">
        <v>446</v>
      </c>
      <c r="H1864" s="8" t="s">
        <v>2318</v>
      </c>
      <c r="I1864" s="8" t="s">
        <v>26</v>
      </c>
    </row>
    <row r="1865" spans="1:9" s="8" customFormat="1">
      <c r="A1865" s="13"/>
      <c r="B1865" s="8" t="s">
        <v>5479</v>
      </c>
      <c r="C1865" s="284">
        <v>1073150</v>
      </c>
      <c r="D1865" s="284">
        <v>0</v>
      </c>
      <c r="E1865" s="284">
        <f t="shared" si="29"/>
        <v>8873685</v>
      </c>
      <c r="F1865" s="8" t="s">
        <v>10</v>
      </c>
      <c r="G1865" s="8" t="s">
        <v>446</v>
      </c>
      <c r="H1865" s="8" t="s">
        <v>2318</v>
      </c>
      <c r="I1865" s="8" t="s">
        <v>26</v>
      </c>
    </row>
    <row r="1866" spans="1:9" s="8" customFormat="1">
      <c r="A1866" s="13"/>
      <c r="B1866" s="8" t="s">
        <v>5480</v>
      </c>
      <c r="C1866" s="284">
        <v>161700</v>
      </c>
      <c r="D1866" s="284">
        <v>0</v>
      </c>
      <c r="E1866" s="284">
        <f t="shared" si="29"/>
        <v>8711985</v>
      </c>
      <c r="F1866" s="8" t="s">
        <v>10</v>
      </c>
      <c r="G1866" s="8" t="s">
        <v>446</v>
      </c>
      <c r="H1866" s="8" t="s">
        <v>2318</v>
      </c>
      <c r="I1866" s="8" t="s">
        <v>26</v>
      </c>
    </row>
    <row r="1867" spans="1:9" s="8" customFormat="1">
      <c r="A1867" s="13"/>
      <c r="B1867" s="8" t="s">
        <v>5481</v>
      </c>
      <c r="C1867" s="284">
        <v>346190</v>
      </c>
      <c r="D1867" s="284">
        <v>0</v>
      </c>
      <c r="E1867" s="284">
        <f t="shared" si="29"/>
        <v>8365795</v>
      </c>
      <c r="F1867" s="8" t="s">
        <v>10</v>
      </c>
      <c r="G1867" s="8" t="s">
        <v>446</v>
      </c>
      <c r="H1867" s="8" t="s">
        <v>2318</v>
      </c>
      <c r="I1867" s="8" t="s">
        <v>26</v>
      </c>
    </row>
    <row r="1868" spans="1:9" s="8" customFormat="1">
      <c r="A1868" s="13"/>
      <c r="B1868" s="8" t="s">
        <v>5482</v>
      </c>
      <c r="C1868" s="284">
        <v>149000</v>
      </c>
      <c r="D1868" s="284">
        <v>0</v>
      </c>
      <c r="E1868" s="284">
        <f t="shared" si="29"/>
        <v>8216795</v>
      </c>
      <c r="F1868" s="8" t="s">
        <v>10</v>
      </c>
      <c r="G1868" s="8" t="s">
        <v>446</v>
      </c>
      <c r="H1868" s="8" t="s">
        <v>2318</v>
      </c>
      <c r="I1868" s="8" t="s">
        <v>26</v>
      </c>
    </row>
    <row r="1869" spans="1:9" s="8" customFormat="1">
      <c r="A1869" s="13"/>
      <c r="B1869" s="8" t="s">
        <v>5483</v>
      </c>
      <c r="C1869" s="284">
        <v>307000</v>
      </c>
      <c r="D1869" s="284">
        <v>0</v>
      </c>
      <c r="E1869" s="284">
        <f t="shared" si="29"/>
        <v>7909795</v>
      </c>
      <c r="F1869" s="8" t="s">
        <v>10</v>
      </c>
      <c r="G1869" s="8" t="s">
        <v>446</v>
      </c>
      <c r="H1869" s="8" t="s">
        <v>2318</v>
      </c>
      <c r="I1869" s="8" t="s">
        <v>26</v>
      </c>
    </row>
    <row r="1870" spans="1:9" s="8" customFormat="1">
      <c r="A1870" s="13"/>
      <c r="B1870" s="8" t="s">
        <v>5484</v>
      </c>
      <c r="C1870" s="284">
        <v>235000</v>
      </c>
      <c r="D1870" s="284">
        <v>0</v>
      </c>
      <c r="E1870" s="284">
        <f t="shared" si="29"/>
        <v>7674795</v>
      </c>
      <c r="F1870" s="8" t="s">
        <v>10</v>
      </c>
      <c r="G1870" s="8" t="s">
        <v>446</v>
      </c>
      <c r="H1870" s="8" t="s">
        <v>2318</v>
      </c>
      <c r="I1870" s="8" t="s">
        <v>26</v>
      </c>
    </row>
    <row r="1871" spans="1:9" s="8" customFormat="1">
      <c r="A1871" s="13"/>
      <c r="B1871" s="8" t="s">
        <v>5467</v>
      </c>
      <c r="C1871" s="284">
        <v>132000</v>
      </c>
      <c r="D1871" s="284">
        <v>0</v>
      </c>
      <c r="E1871" s="284">
        <f t="shared" si="29"/>
        <v>7542795</v>
      </c>
      <c r="F1871" s="8" t="s">
        <v>10</v>
      </c>
      <c r="G1871" s="8" t="s">
        <v>446</v>
      </c>
      <c r="H1871" s="8" t="s">
        <v>2318</v>
      </c>
      <c r="I1871" s="8" t="s">
        <v>26</v>
      </c>
    </row>
    <row r="1872" spans="1:9" s="8" customFormat="1">
      <c r="A1872" s="13"/>
      <c r="B1872" s="8" t="s">
        <v>5467</v>
      </c>
      <c r="C1872" s="284">
        <v>44000</v>
      </c>
      <c r="D1872" s="284">
        <v>0</v>
      </c>
      <c r="E1872" s="284">
        <f t="shared" si="29"/>
        <v>7498795</v>
      </c>
      <c r="F1872" s="8" t="s">
        <v>10</v>
      </c>
      <c r="G1872" s="8" t="s">
        <v>446</v>
      </c>
      <c r="H1872" s="8" t="s">
        <v>2318</v>
      </c>
      <c r="I1872" s="8" t="s">
        <v>26</v>
      </c>
    </row>
    <row r="1873" spans="1:9" s="8" customFormat="1">
      <c r="A1873" s="13"/>
      <c r="B1873" s="8" t="s">
        <v>5485</v>
      </c>
      <c r="C1873" s="284">
        <v>255000</v>
      </c>
      <c r="D1873" s="284">
        <v>0</v>
      </c>
      <c r="E1873" s="284">
        <f t="shared" si="29"/>
        <v>7243795</v>
      </c>
      <c r="F1873" s="8" t="s">
        <v>10</v>
      </c>
      <c r="G1873" s="8" t="s">
        <v>446</v>
      </c>
      <c r="H1873" s="8" t="s">
        <v>2318</v>
      </c>
      <c r="I1873" s="8" t="s">
        <v>26</v>
      </c>
    </row>
    <row r="1874" spans="1:9" s="8" customFormat="1">
      <c r="A1874" s="13"/>
      <c r="B1874" s="8" t="s">
        <v>5486</v>
      </c>
      <c r="C1874" s="284">
        <v>761200</v>
      </c>
      <c r="D1874" s="284">
        <v>0</v>
      </c>
      <c r="E1874" s="284">
        <f t="shared" si="29"/>
        <v>6482595</v>
      </c>
      <c r="F1874" s="8" t="s">
        <v>10</v>
      </c>
      <c r="G1874" s="8" t="s">
        <v>446</v>
      </c>
      <c r="H1874" s="8" t="s">
        <v>2318</v>
      </c>
      <c r="I1874" s="8" t="s">
        <v>26</v>
      </c>
    </row>
    <row r="1875" spans="1:9" s="8" customFormat="1">
      <c r="A1875" s="13"/>
      <c r="B1875" s="8" t="s">
        <v>5487</v>
      </c>
      <c r="C1875" s="284">
        <v>203400</v>
      </c>
      <c r="D1875" s="284">
        <v>0</v>
      </c>
      <c r="E1875" s="284">
        <f t="shared" si="29"/>
        <v>6279195</v>
      </c>
      <c r="F1875" s="8" t="s">
        <v>10</v>
      </c>
      <c r="G1875" s="8" t="s">
        <v>446</v>
      </c>
      <c r="H1875" s="8" t="s">
        <v>2318</v>
      </c>
      <c r="I1875" s="8" t="s">
        <v>26</v>
      </c>
    </row>
    <row r="1876" spans="1:9" s="8" customFormat="1">
      <c r="A1876" s="13"/>
      <c r="B1876" s="8" t="s">
        <v>5488</v>
      </c>
      <c r="C1876" s="284">
        <v>524400</v>
      </c>
      <c r="D1876" s="284">
        <v>0</v>
      </c>
      <c r="E1876" s="284">
        <f t="shared" si="29"/>
        <v>5754795</v>
      </c>
      <c r="F1876" s="8" t="s">
        <v>10</v>
      </c>
      <c r="G1876" s="8" t="s">
        <v>446</v>
      </c>
      <c r="H1876" s="8" t="s">
        <v>2318</v>
      </c>
      <c r="I1876" s="8" t="s">
        <v>26</v>
      </c>
    </row>
    <row r="1877" spans="1:9" s="8" customFormat="1">
      <c r="A1877" s="13"/>
      <c r="B1877" s="8" t="s">
        <v>5489</v>
      </c>
      <c r="C1877" s="284">
        <v>44000</v>
      </c>
      <c r="D1877" s="284">
        <v>0</v>
      </c>
      <c r="E1877" s="284">
        <f t="shared" si="29"/>
        <v>5710795</v>
      </c>
      <c r="F1877" s="8" t="s">
        <v>10</v>
      </c>
      <c r="G1877" s="8" t="s">
        <v>446</v>
      </c>
      <c r="H1877" s="8" t="s">
        <v>2318</v>
      </c>
      <c r="I1877" s="8" t="s">
        <v>26</v>
      </c>
    </row>
    <row r="1878" spans="1:9" s="8" customFormat="1">
      <c r="A1878" s="13"/>
      <c r="B1878" s="8" t="s">
        <v>5490</v>
      </c>
      <c r="C1878" s="284">
        <v>408000</v>
      </c>
      <c r="D1878" s="284">
        <v>0</v>
      </c>
      <c r="E1878" s="284">
        <f t="shared" si="29"/>
        <v>5302795</v>
      </c>
      <c r="F1878" s="8" t="s">
        <v>10</v>
      </c>
      <c r="G1878" s="8" t="s">
        <v>446</v>
      </c>
      <c r="H1878" s="8" t="s">
        <v>2318</v>
      </c>
      <c r="I1878" s="8" t="s">
        <v>26</v>
      </c>
    </row>
    <row r="1879" spans="1:9" s="8" customFormat="1">
      <c r="A1879" s="13"/>
      <c r="B1879" s="8" t="s">
        <v>5491</v>
      </c>
      <c r="C1879" s="284">
        <v>655600</v>
      </c>
      <c r="D1879" s="284">
        <v>0</v>
      </c>
      <c r="E1879" s="284">
        <f t="shared" si="29"/>
        <v>4647195</v>
      </c>
      <c r="F1879" s="8" t="s">
        <v>10</v>
      </c>
      <c r="G1879" s="8" t="s">
        <v>446</v>
      </c>
      <c r="H1879" s="8" t="s">
        <v>2318</v>
      </c>
      <c r="I1879" s="8" t="s">
        <v>26</v>
      </c>
    </row>
    <row r="1880" spans="1:9" s="8" customFormat="1">
      <c r="A1880" s="13"/>
      <c r="B1880" s="8" t="s">
        <v>5492</v>
      </c>
      <c r="C1880" s="284">
        <v>193700</v>
      </c>
      <c r="D1880" s="284">
        <v>0</v>
      </c>
      <c r="E1880" s="284">
        <f t="shared" si="29"/>
        <v>4453495</v>
      </c>
      <c r="F1880" s="8" t="s">
        <v>10</v>
      </c>
      <c r="G1880" s="8" t="s">
        <v>446</v>
      </c>
      <c r="H1880" s="8" t="s">
        <v>2318</v>
      </c>
      <c r="I1880" s="8" t="s">
        <v>26</v>
      </c>
    </row>
    <row r="1881" spans="1:9" s="8" customFormat="1">
      <c r="A1881" s="13"/>
      <c r="B1881" s="8" t="s">
        <v>5478</v>
      </c>
      <c r="C1881" s="284">
        <v>366135</v>
      </c>
      <c r="D1881" s="284">
        <v>0</v>
      </c>
      <c r="E1881" s="284">
        <f t="shared" si="29"/>
        <v>4087360</v>
      </c>
      <c r="F1881" s="8" t="s">
        <v>10</v>
      </c>
      <c r="G1881" s="8" t="s">
        <v>446</v>
      </c>
      <c r="H1881" s="8" t="s">
        <v>2318</v>
      </c>
      <c r="I1881" s="8" t="s">
        <v>26</v>
      </c>
    </row>
    <row r="1882" spans="1:9" s="8" customFormat="1">
      <c r="A1882" s="13"/>
      <c r="B1882" s="8" t="s">
        <v>5493</v>
      </c>
      <c r="C1882" s="284">
        <v>330000</v>
      </c>
      <c r="D1882" s="284">
        <v>0</v>
      </c>
      <c r="E1882" s="284">
        <f t="shared" si="29"/>
        <v>3757360</v>
      </c>
      <c r="F1882" s="8" t="s">
        <v>10</v>
      </c>
      <c r="G1882" s="8" t="s">
        <v>446</v>
      </c>
      <c r="H1882" s="8" t="s">
        <v>2318</v>
      </c>
      <c r="I1882" s="8" t="s">
        <v>26</v>
      </c>
    </row>
    <row r="1883" spans="1:9" s="8" customFormat="1">
      <c r="A1883" s="13"/>
      <c r="B1883" s="8" t="s">
        <v>5494</v>
      </c>
      <c r="C1883" s="284">
        <v>112700</v>
      </c>
      <c r="D1883" s="284">
        <v>0</v>
      </c>
      <c r="E1883" s="284">
        <f t="shared" si="29"/>
        <v>3644660</v>
      </c>
      <c r="F1883" s="8" t="s">
        <v>10</v>
      </c>
      <c r="G1883" s="8" t="s">
        <v>446</v>
      </c>
      <c r="H1883" s="8" t="s">
        <v>2318</v>
      </c>
      <c r="I1883" s="8" t="s">
        <v>26</v>
      </c>
    </row>
    <row r="1884" spans="1:9" s="8" customFormat="1">
      <c r="A1884" s="13"/>
      <c r="B1884" s="8" t="s">
        <v>5495</v>
      </c>
      <c r="C1884" s="284">
        <v>112500</v>
      </c>
      <c r="D1884" s="284">
        <v>0</v>
      </c>
      <c r="E1884" s="284">
        <f t="shared" si="29"/>
        <v>3532160</v>
      </c>
      <c r="F1884" s="8" t="s">
        <v>10</v>
      </c>
      <c r="G1884" s="8" t="s">
        <v>446</v>
      </c>
      <c r="H1884" s="8" t="s">
        <v>2318</v>
      </c>
      <c r="I1884" s="8" t="s">
        <v>26</v>
      </c>
    </row>
    <row r="1885" spans="1:9" s="8" customFormat="1">
      <c r="A1885" s="13"/>
      <c r="B1885" s="8" t="s">
        <v>5496</v>
      </c>
      <c r="C1885" s="284">
        <v>271500</v>
      </c>
      <c r="D1885" s="284">
        <v>0</v>
      </c>
      <c r="E1885" s="284">
        <f t="shared" si="29"/>
        <v>3260660</v>
      </c>
      <c r="F1885" s="8" t="s">
        <v>10</v>
      </c>
      <c r="G1885" s="8" t="s">
        <v>446</v>
      </c>
      <c r="H1885" s="8" t="s">
        <v>2318</v>
      </c>
      <c r="I1885" s="8" t="s">
        <v>26</v>
      </c>
    </row>
    <row r="1886" spans="1:9" s="8" customFormat="1">
      <c r="A1886" s="13"/>
      <c r="B1886" s="8" t="s">
        <v>5497</v>
      </c>
      <c r="C1886" s="284">
        <v>139000</v>
      </c>
      <c r="D1886" s="284">
        <v>0</v>
      </c>
      <c r="E1886" s="284">
        <f t="shared" si="29"/>
        <v>3121660</v>
      </c>
      <c r="F1886" s="8" t="s">
        <v>10</v>
      </c>
      <c r="G1886" s="8" t="s">
        <v>446</v>
      </c>
      <c r="H1886" s="8" t="s">
        <v>2318</v>
      </c>
      <c r="I1886" s="8" t="s">
        <v>26</v>
      </c>
    </row>
    <row r="1887" spans="1:9" s="8" customFormat="1">
      <c r="A1887" s="13"/>
      <c r="B1887" s="8" t="s">
        <v>5498</v>
      </c>
      <c r="C1887" s="284">
        <v>379000</v>
      </c>
      <c r="D1887" s="284">
        <v>0</v>
      </c>
      <c r="E1887" s="284">
        <f t="shared" si="29"/>
        <v>2742660</v>
      </c>
      <c r="F1887" s="8" t="s">
        <v>10</v>
      </c>
      <c r="G1887" s="8" t="s">
        <v>446</v>
      </c>
      <c r="H1887" s="8" t="s">
        <v>2318</v>
      </c>
      <c r="I1887" s="8" t="s">
        <v>26</v>
      </c>
    </row>
    <row r="1888" spans="1:9" s="8" customFormat="1">
      <c r="A1888" s="13"/>
      <c r="B1888" s="8" t="s">
        <v>5499</v>
      </c>
      <c r="C1888" s="284">
        <v>488800</v>
      </c>
      <c r="D1888" s="284">
        <v>0</v>
      </c>
      <c r="E1888" s="284">
        <f t="shared" si="29"/>
        <v>2253860</v>
      </c>
      <c r="F1888" s="8" t="s">
        <v>10</v>
      </c>
      <c r="G1888" s="8" t="s">
        <v>446</v>
      </c>
      <c r="H1888" s="8" t="s">
        <v>2318</v>
      </c>
      <c r="I1888" s="8" t="s">
        <v>26</v>
      </c>
    </row>
    <row r="1889" spans="1:9" s="8" customFormat="1">
      <c r="A1889" s="13"/>
      <c r="B1889" s="8" t="s">
        <v>5500</v>
      </c>
      <c r="C1889" s="284">
        <v>368500</v>
      </c>
      <c r="D1889" s="284">
        <v>0</v>
      </c>
      <c r="E1889" s="284">
        <f t="shared" si="29"/>
        <v>1885360</v>
      </c>
      <c r="F1889" s="8" t="s">
        <v>10</v>
      </c>
      <c r="G1889" s="8" t="s">
        <v>446</v>
      </c>
      <c r="H1889" s="8" t="s">
        <v>2318</v>
      </c>
      <c r="I1889" s="8" t="s">
        <v>26</v>
      </c>
    </row>
    <row r="1890" spans="1:9" s="8" customFormat="1">
      <c r="A1890" s="13"/>
      <c r="B1890" s="8" t="s">
        <v>5501</v>
      </c>
      <c r="C1890" s="284">
        <v>162000</v>
      </c>
      <c r="D1890" s="284">
        <v>0</v>
      </c>
      <c r="E1890" s="284">
        <f t="shared" si="29"/>
        <v>1723360</v>
      </c>
      <c r="F1890" s="8" t="s">
        <v>10</v>
      </c>
      <c r="G1890" s="8" t="s">
        <v>446</v>
      </c>
      <c r="H1890" s="8" t="s">
        <v>2318</v>
      </c>
      <c r="I1890" s="8" t="s">
        <v>26</v>
      </c>
    </row>
    <row r="1891" spans="1:9" s="8" customFormat="1">
      <c r="A1891" s="13"/>
      <c r="B1891" s="8" t="s">
        <v>5502</v>
      </c>
      <c r="C1891" s="284">
        <v>759000</v>
      </c>
      <c r="D1891" s="284">
        <v>0</v>
      </c>
      <c r="E1891" s="284">
        <f t="shared" si="29"/>
        <v>964360</v>
      </c>
      <c r="F1891" s="8" t="s">
        <v>10</v>
      </c>
      <c r="G1891" s="8" t="s">
        <v>446</v>
      </c>
      <c r="H1891" s="8" t="s">
        <v>2318</v>
      </c>
      <c r="I1891" s="8" t="s">
        <v>26</v>
      </c>
    </row>
    <row r="1892" spans="1:9" s="8" customFormat="1">
      <c r="A1892" s="13">
        <v>45876</v>
      </c>
      <c r="B1892" s="8" t="s">
        <v>2724</v>
      </c>
      <c r="C1892" s="284">
        <v>964360</v>
      </c>
      <c r="D1892" s="284">
        <v>0</v>
      </c>
      <c r="E1892" s="284">
        <f t="shared" si="29"/>
        <v>0</v>
      </c>
      <c r="F1892" s="8" t="s">
        <v>920</v>
      </c>
      <c r="G1892" s="8" t="s">
        <v>464</v>
      </c>
      <c r="H1892" s="8" t="s">
        <v>5603</v>
      </c>
    </row>
    <row r="1893" spans="1:9" s="8" customFormat="1">
      <c r="A1893" s="13">
        <v>45862</v>
      </c>
      <c r="B1893" s="8" t="s">
        <v>2696</v>
      </c>
      <c r="C1893" s="284">
        <v>0</v>
      </c>
      <c r="D1893" s="284">
        <v>5000000</v>
      </c>
      <c r="E1893" s="284">
        <f t="shared" si="29"/>
        <v>5000000</v>
      </c>
      <c r="F1893" s="8" t="s">
        <v>920</v>
      </c>
      <c r="G1893" s="8" t="s">
        <v>400</v>
      </c>
      <c r="H1893" s="8" t="s">
        <v>5602</v>
      </c>
    </row>
    <row r="1894" spans="1:9" s="8" customFormat="1">
      <c r="A1894" s="13"/>
      <c r="B1894" s="8" t="s">
        <v>5503</v>
      </c>
      <c r="C1894" s="284">
        <v>2036875</v>
      </c>
      <c r="D1894" s="284">
        <v>0</v>
      </c>
      <c r="E1894" s="284">
        <f t="shared" si="29"/>
        <v>2963125</v>
      </c>
      <c r="F1894" s="8" t="s">
        <v>1643</v>
      </c>
      <c r="G1894" s="8" t="s">
        <v>5</v>
      </c>
      <c r="H1894" s="8" t="s">
        <v>2316</v>
      </c>
    </row>
    <row r="1895" spans="1:9" s="8" customFormat="1">
      <c r="A1895" s="13"/>
      <c r="B1895" s="8" t="s">
        <v>5504</v>
      </c>
      <c r="C1895" s="284">
        <v>1548025</v>
      </c>
      <c r="D1895" s="284">
        <v>0</v>
      </c>
      <c r="E1895" s="284">
        <f t="shared" si="29"/>
        <v>1415100</v>
      </c>
      <c r="F1895" s="8" t="s">
        <v>1643</v>
      </c>
      <c r="G1895" s="8" t="s">
        <v>5</v>
      </c>
      <c r="H1895" s="8" t="s">
        <v>2316</v>
      </c>
    </row>
    <row r="1896" spans="1:9" s="8" customFormat="1">
      <c r="A1896" s="13"/>
      <c r="B1896" s="8" t="s">
        <v>5505</v>
      </c>
      <c r="C1896" s="284">
        <v>200000</v>
      </c>
      <c r="D1896" s="284">
        <v>0</v>
      </c>
      <c r="E1896" s="284">
        <f t="shared" si="29"/>
        <v>1215100</v>
      </c>
      <c r="F1896" s="8" t="s">
        <v>1643</v>
      </c>
      <c r="G1896" s="8" t="s">
        <v>5</v>
      </c>
      <c r="H1896" s="8" t="s">
        <v>2316</v>
      </c>
    </row>
    <row r="1897" spans="1:9" s="8" customFormat="1">
      <c r="A1897" s="13"/>
      <c r="B1897" s="8" t="s">
        <v>5506</v>
      </c>
      <c r="C1897" s="284">
        <v>181335</v>
      </c>
      <c r="D1897" s="284">
        <v>0</v>
      </c>
      <c r="E1897" s="284">
        <f t="shared" si="29"/>
        <v>1033765</v>
      </c>
      <c r="F1897" s="8" t="s">
        <v>1643</v>
      </c>
      <c r="G1897" s="8" t="s">
        <v>5</v>
      </c>
      <c r="H1897" s="8" t="s">
        <v>2316</v>
      </c>
    </row>
    <row r="1898" spans="1:9" s="8" customFormat="1">
      <c r="A1898" s="13"/>
      <c r="B1898" s="8" t="s">
        <v>5507</v>
      </c>
      <c r="C1898" s="284">
        <v>162500</v>
      </c>
      <c r="D1898" s="284">
        <v>0</v>
      </c>
      <c r="E1898" s="284">
        <f t="shared" si="29"/>
        <v>871265</v>
      </c>
      <c r="F1898" s="8" t="s">
        <v>1643</v>
      </c>
      <c r="G1898" s="8" t="s">
        <v>5</v>
      </c>
      <c r="H1898" s="8" t="s">
        <v>2316</v>
      </c>
    </row>
    <row r="1899" spans="1:9" s="8" customFormat="1">
      <c r="A1899" s="13"/>
      <c r="B1899" s="8" t="s">
        <v>5508</v>
      </c>
      <c r="C1899" s="284">
        <v>279500</v>
      </c>
      <c r="D1899" s="284">
        <v>0</v>
      </c>
      <c r="E1899" s="284">
        <f t="shared" si="29"/>
        <v>591765</v>
      </c>
      <c r="F1899" s="8" t="s">
        <v>1643</v>
      </c>
      <c r="G1899" s="8" t="s">
        <v>5</v>
      </c>
      <c r="H1899" s="8" t="s">
        <v>2316</v>
      </c>
    </row>
    <row r="1900" spans="1:9" s="8" customFormat="1">
      <c r="A1900" s="13"/>
      <c r="B1900" s="8" t="s">
        <v>5509</v>
      </c>
      <c r="C1900" s="284">
        <v>92950</v>
      </c>
      <c r="D1900" s="284">
        <v>0</v>
      </c>
      <c r="E1900" s="284">
        <f t="shared" si="29"/>
        <v>498815</v>
      </c>
      <c r="F1900" s="8" t="s">
        <v>1643</v>
      </c>
      <c r="G1900" s="8" t="s">
        <v>5</v>
      </c>
      <c r="H1900" s="8" t="s">
        <v>2316</v>
      </c>
    </row>
    <row r="1901" spans="1:9" s="8" customFormat="1">
      <c r="A1901" s="13"/>
      <c r="B1901" s="8" t="s">
        <v>5510</v>
      </c>
      <c r="C1901" s="284">
        <v>113750</v>
      </c>
      <c r="D1901" s="284">
        <v>0</v>
      </c>
      <c r="E1901" s="284">
        <f t="shared" si="29"/>
        <v>385065</v>
      </c>
      <c r="F1901" s="8" t="s">
        <v>1643</v>
      </c>
      <c r="G1901" s="8" t="s">
        <v>5</v>
      </c>
      <c r="H1901" s="8" t="s">
        <v>2316</v>
      </c>
    </row>
    <row r="1902" spans="1:9" s="8" customFormat="1">
      <c r="A1902" s="13"/>
      <c r="B1902" s="8" t="s">
        <v>5511</v>
      </c>
      <c r="C1902" s="284">
        <v>26650</v>
      </c>
      <c r="D1902" s="284">
        <v>0</v>
      </c>
      <c r="E1902" s="284">
        <f t="shared" si="29"/>
        <v>358415</v>
      </c>
      <c r="F1902" s="8" t="s">
        <v>1643</v>
      </c>
      <c r="G1902" s="8" t="s">
        <v>5</v>
      </c>
      <c r="H1902" s="8" t="s">
        <v>2316</v>
      </c>
    </row>
    <row r="1903" spans="1:9" s="8" customFormat="1">
      <c r="A1903" s="13"/>
      <c r="B1903" s="8" t="s">
        <v>5512</v>
      </c>
      <c r="C1903" s="284">
        <v>9750</v>
      </c>
      <c r="D1903" s="284">
        <v>0</v>
      </c>
      <c r="E1903" s="284">
        <f t="shared" si="29"/>
        <v>348665</v>
      </c>
      <c r="F1903" s="8" t="s">
        <v>1643</v>
      </c>
      <c r="G1903" s="8" t="s">
        <v>5</v>
      </c>
      <c r="H1903" s="8" t="s">
        <v>2316</v>
      </c>
    </row>
    <row r="1904" spans="1:9" s="8" customFormat="1">
      <c r="A1904" s="13"/>
      <c r="B1904" s="8" t="s">
        <v>5513</v>
      </c>
      <c r="C1904" s="284">
        <v>146900</v>
      </c>
      <c r="D1904" s="284">
        <v>0</v>
      </c>
      <c r="E1904" s="284">
        <f t="shared" si="29"/>
        <v>201765</v>
      </c>
      <c r="F1904" s="8" t="s">
        <v>1643</v>
      </c>
      <c r="G1904" s="8" t="s">
        <v>5</v>
      </c>
      <c r="H1904" s="8" t="s">
        <v>2316</v>
      </c>
    </row>
    <row r="1905" spans="1:8" s="8" customFormat="1">
      <c r="A1905" s="13"/>
      <c r="B1905" s="8" t="s">
        <v>5514</v>
      </c>
      <c r="C1905" s="284">
        <v>130000</v>
      </c>
      <c r="D1905" s="284">
        <v>0</v>
      </c>
      <c r="E1905" s="284">
        <f t="shared" si="29"/>
        <v>71765</v>
      </c>
      <c r="F1905" s="8" t="s">
        <v>1643</v>
      </c>
      <c r="G1905" s="8" t="s">
        <v>5</v>
      </c>
      <c r="H1905" s="8" t="s">
        <v>2316</v>
      </c>
    </row>
    <row r="1906" spans="1:8" s="8" customFormat="1">
      <c r="A1906" s="13"/>
      <c r="B1906" s="8" t="s">
        <v>5515</v>
      </c>
      <c r="C1906" s="284">
        <v>260000</v>
      </c>
      <c r="D1906" s="284">
        <v>0</v>
      </c>
      <c r="E1906" s="284">
        <f t="shared" si="29"/>
        <v>-188235</v>
      </c>
      <c r="F1906" s="8" t="s">
        <v>1643</v>
      </c>
      <c r="G1906" s="8" t="s">
        <v>5</v>
      </c>
      <c r="H1906" s="8" t="s">
        <v>2316</v>
      </c>
    </row>
    <row r="1907" spans="1:8" s="8" customFormat="1">
      <c r="A1907" s="13">
        <v>45890</v>
      </c>
      <c r="B1907" s="8" t="s">
        <v>2798</v>
      </c>
      <c r="C1907" s="284">
        <v>0</v>
      </c>
      <c r="D1907" s="284">
        <v>188235</v>
      </c>
      <c r="E1907" s="284">
        <f t="shared" si="29"/>
        <v>0</v>
      </c>
      <c r="F1907" s="8" t="s">
        <v>920</v>
      </c>
      <c r="G1907" s="8" t="s">
        <v>400</v>
      </c>
      <c r="H1907" s="8" t="s">
        <v>5602</v>
      </c>
    </row>
    <row r="1908" spans="1:8" s="8" customFormat="1">
      <c r="A1908" s="13">
        <v>45868</v>
      </c>
      <c r="B1908" s="8" t="s">
        <v>2709</v>
      </c>
      <c r="C1908" s="284">
        <v>0</v>
      </c>
      <c r="D1908" s="284">
        <v>6000000</v>
      </c>
      <c r="E1908" s="284">
        <f t="shared" si="29"/>
        <v>6000000</v>
      </c>
      <c r="F1908" s="8" t="s">
        <v>920</v>
      </c>
      <c r="G1908" s="8" t="s">
        <v>400</v>
      </c>
      <c r="H1908" s="8" t="s">
        <v>5604</v>
      </c>
    </row>
    <row r="1909" spans="1:8" s="8" customFormat="1">
      <c r="A1909" s="13"/>
      <c r="B1909" s="8" t="s">
        <v>5516</v>
      </c>
      <c r="C1909" s="284">
        <v>2288000</v>
      </c>
      <c r="D1909" s="284">
        <v>0</v>
      </c>
      <c r="E1909" s="284">
        <f t="shared" si="29"/>
        <v>3712000</v>
      </c>
      <c r="F1909" s="8" t="s">
        <v>1643</v>
      </c>
      <c r="G1909" s="8" t="s">
        <v>5</v>
      </c>
      <c r="H1909" s="8" t="s">
        <v>3232</v>
      </c>
    </row>
    <row r="1910" spans="1:8" s="8" customFormat="1">
      <c r="A1910" s="13"/>
      <c r="B1910" s="8" t="s">
        <v>5517</v>
      </c>
      <c r="C1910" s="284">
        <v>547000</v>
      </c>
      <c r="D1910" s="284">
        <v>0</v>
      </c>
      <c r="E1910" s="284">
        <f t="shared" si="29"/>
        <v>3165000</v>
      </c>
      <c r="F1910" s="8" t="s">
        <v>1643</v>
      </c>
      <c r="G1910" s="8" t="s">
        <v>5</v>
      </c>
      <c r="H1910" s="8" t="s">
        <v>3232</v>
      </c>
    </row>
    <row r="1911" spans="1:8" s="8" customFormat="1">
      <c r="A1911" s="13"/>
      <c r="B1911" s="8" t="s">
        <v>5518</v>
      </c>
      <c r="C1911" s="284">
        <v>20000</v>
      </c>
      <c r="D1911" s="284">
        <v>0</v>
      </c>
      <c r="E1911" s="284">
        <f t="shared" si="29"/>
        <v>3145000</v>
      </c>
      <c r="F1911" s="8" t="s">
        <v>1643</v>
      </c>
      <c r="G1911" s="8" t="s">
        <v>5</v>
      </c>
      <c r="H1911" s="8" t="s">
        <v>3232</v>
      </c>
    </row>
    <row r="1912" spans="1:8" s="8" customFormat="1">
      <c r="A1912" s="13"/>
      <c r="B1912" s="8" t="s">
        <v>5519</v>
      </c>
      <c r="C1912" s="284">
        <v>20500</v>
      </c>
      <c r="D1912" s="284">
        <v>0</v>
      </c>
      <c r="E1912" s="284">
        <f t="shared" si="29"/>
        <v>3124500</v>
      </c>
      <c r="F1912" s="8" t="s">
        <v>1643</v>
      </c>
      <c r="G1912" s="8" t="s">
        <v>5</v>
      </c>
      <c r="H1912" s="8" t="s">
        <v>3232</v>
      </c>
    </row>
    <row r="1913" spans="1:8" s="8" customFormat="1">
      <c r="A1913" s="13"/>
      <c r="B1913" s="8" t="s">
        <v>5520</v>
      </c>
      <c r="C1913" s="284">
        <v>1364850</v>
      </c>
      <c r="D1913" s="284">
        <v>0</v>
      </c>
      <c r="E1913" s="284">
        <f t="shared" si="29"/>
        <v>1759650</v>
      </c>
      <c r="F1913" s="8" t="s">
        <v>1643</v>
      </c>
      <c r="G1913" s="8" t="s">
        <v>5</v>
      </c>
      <c r="H1913" s="8" t="s">
        <v>3232</v>
      </c>
    </row>
    <row r="1914" spans="1:8" s="8" customFormat="1">
      <c r="A1914" s="13"/>
      <c r="B1914" s="8" t="s">
        <v>5521</v>
      </c>
      <c r="C1914" s="284">
        <v>44000</v>
      </c>
      <c r="D1914" s="284">
        <v>0</v>
      </c>
      <c r="E1914" s="284">
        <f t="shared" si="29"/>
        <v>1715650</v>
      </c>
      <c r="F1914" s="8" t="s">
        <v>1643</v>
      </c>
      <c r="G1914" s="8" t="s">
        <v>5</v>
      </c>
      <c r="H1914" s="8" t="s">
        <v>3232</v>
      </c>
    </row>
    <row r="1915" spans="1:8" s="8" customFormat="1">
      <c r="A1915" s="13"/>
      <c r="B1915" s="8" t="s">
        <v>5522</v>
      </c>
      <c r="C1915" s="284">
        <v>55000</v>
      </c>
      <c r="D1915" s="284">
        <v>0</v>
      </c>
      <c r="E1915" s="284">
        <f t="shared" si="29"/>
        <v>1660650</v>
      </c>
      <c r="F1915" s="8" t="s">
        <v>1643</v>
      </c>
      <c r="G1915" s="8" t="s">
        <v>5</v>
      </c>
      <c r="H1915" s="8" t="s">
        <v>3232</v>
      </c>
    </row>
    <row r="1916" spans="1:8" s="8" customFormat="1">
      <c r="A1916" s="13"/>
      <c r="B1916" s="8" t="s">
        <v>5523</v>
      </c>
      <c r="C1916" s="284">
        <v>106000</v>
      </c>
      <c r="D1916" s="284">
        <v>0</v>
      </c>
      <c r="E1916" s="284">
        <f t="shared" si="29"/>
        <v>1554650</v>
      </c>
      <c r="F1916" s="8" t="s">
        <v>1643</v>
      </c>
      <c r="G1916" s="8" t="s">
        <v>5</v>
      </c>
      <c r="H1916" s="8" t="s">
        <v>3232</v>
      </c>
    </row>
    <row r="1917" spans="1:8" s="8" customFormat="1">
      <c r="A1917" s="13"/>
      <c r="B1917" s="8" t="s">
        <v>5524</v>
      </c>
      <c r="C1917" s="284">
        <v>60000</v>
      </c>
      <c r="D1917" s="284">
        <v>0</v>
      </c>
      <c r="E1917" s="284">
        <f t="shared" si="29"/>
        <v>1494650</v>
      </c>
      <c r="F1917" s="8" t="s">
        <v>1643</v>
      </c>
      <c r="G1917" s="8" t="s">
        <v>5</v>
      </c>
      <c r="H1917" s="8" t="s">
        <v>3232</v>
      </c>
    </row>
    <row r="1918" spans="1:8" s="8" customFormat="1">
      <c r="A1918" s="13"/>
      <c r="B1918" s="8" t="s">
        <v>5525</v>
      </c>
      <c r="C1918" s="284">
        <v>100000</v>
      </c>
      <c r="D1918" s="284">
        <v>0</v>
      </c>
      <c r="E1918" s="284">
        <f t="shared" si="29"/>
        <v>1394650</v>
      </c>
      <c r="F1918" s="8" t="s">
        <v>1643</v>
      </c>
      <c r="G1918" s="8" t="s">
        <v>5</v>
      </c>
      <c r="H1918" s="8" t="s">
        <v>3232</v>
      </c>
    </row>
    <row r="1919" spans="1:8" s="8" customFormat="1">
      <c r="A1919" s="13"/>
      <c r="B1919" s="8" t="s">
        <v>5526</v>
      </c>
      <c r="C1919" s="284">
        <v>60000</v>
      </c>
      <c r="D1919" s="284">
        <v>0</v>
      </c>
      <c r="E1919" s="284">
        <f t="shared" si="29"/>
        <v>1334650</v>
      </c>
      <c r="F1919" s="8" t="s">
        <v>1643</v>
      </c>
      <c r="G1919" s="8" t="s">
        <v>5</v>
      </c>
      <c r="H1919" s="8" t="s">
        <v>3232</v>
      </c>
    </row>
    <row r="1920" spans="1:8" s="8" customFormat="1">
      <c r="A1920" s="13"/>
      <c r="B1920" s="8" t="s">
        <v>5527</v>
      </c>
      <c r="C1920" s="284">
        <v>20000</v>
      </c>
      <c r="D1920" s="284">
        <v>0</v>
      </c>
      <c r="E1920" s="284">
        <f t="shared" si="29"/>
        <v>1314650</v>
      </c>
      <c r="F1920" s="8" t="s">
        <v>1643</v>
      </c>
      <c r="G1920" s="8" t="s">
        <v>5</v>
      </c>
      <c r="H1920" s="8" t="s">
        <v>3232</v>
      </c>
    </row>
    <row r="1921" spans="1:8" s="8" customFormat="1">
      <c r="A1921" s="13"/>
      <c r="B1921" s="8" t="s">
        <v>5528</v>
      </c>
      <c r="C1921" s="284">
        <v>113400</v>
      </c>
      <c r="D1921" s="284">
        <v>0</v>
      </c>
      <c r="E1921" s="284">
        <f t="shared" si="29"/>
        <v>1201250</v>
      </c>
      <c r="F1921" s="8" t="s">
        <v>1643</v>
      </c>
      <c r="G1921" s="8" t="s">
        <v>5</v>
      </c>
      <c r="H1921" s="8" t="s">
        <v>3232</v>
      </c>
    </row>
    <row r="1922" spans="1:8" s="8" customFormat="1">
      <c r="A1922" s="13"/>
      <c r="B1922" s="8" t="s">
        <v>5529</v>
      </c>
      <c r="C1922" s="284">
        <v>221000</v>
      </c>
      <c r="D1922" s="284">
        <v>0</v>
      </c>
      <c r="E1922" s="284">
        <f t="shared" si="29"/>
        <v>980250</v>
      </c>
      <c r="F1922" s="8" t="s">
        <v>1643</v>
      </c>
      <c r="G1922" s="8" t="s">
        <v>5</v>
      </c>
      <c r="H1922" s="8" t="s">
        <v>3232</v>
      </c>
    </row>
    <row r="1923" spans="1:8" s="8" customFormat="1">
      <c r="A1923" s="13"/>
      <c r="B1923" s="8" t="s">
        <v>5530</v>
      </c>
      <c r="C1923" s="284">
        <v>20000</v>
      </c>
      <c r="D1923" s="284">
        <v>0</v>
      </c>
      <c r="E1923" s="284">
        <f t="shared" si="29"/>
        <v>960250</v>
      </c>
      <c r="F1923" s="8" t="s">
        <v>1643</v>
      </c>
      <c r="G1923" s="8" t="s">
        <v>5</v>
      </c>
      <c r="H1923" s="8" t="s">
        <v>3232</v>
      </c>
    </row>
    <row r="1924" spans="1:8" s="8" customFormat="1">
      <c r="A1924" s="13"/>
      <c r="B1924" s="8" t="s">
        <v>5531</v>
      </c>
      <c r="C1924" s="284">
        <v>12000</v>
      </c>
      <c r="D1924" s="284">
        <v>0</v>
      </c>
      <c r="E1924" s="284">
        <f t="shared" si="29"/>
        <v>948250</v>
      </c>
      <c r="F1924" s="8" t="s">
        <v>1643</v>
      </c>
      <c r="G1924" s="8" t="s">
        <v>5</v>
      </c>
      <c r="H1924" s="8" t="s">
        <v>3232</v>
      </c>
    </row>
    <row r="1925" spans="1:8" s="8" customFormat="1">
      <c r="A1925" s="13"/>
      <c r="B1925" s="8" t="s">
        <v>5532</v>
      </c>
      <c r="C1925" s="284">
        <v>5000</v>
      </c>
      <c r="D1925" s="284">
        <v>0</v>
      </c>
      <c r="E1925" s="284">
        <f t="shared" si="29"/>
        <v>943250</v>
      </c>
      <c r="F1925" s="8" t="s">
        <v>1643</v>
      </c>
      <c r="G1925" s="8" t="s">
        <v>5</v>
      </c>
      <c r="H1925" s="8" t="s">
        <v>3232</v>
      </c>
    </row>
    <row r="1926" spans="1:8" s="8" customFormat="1">
      <c r="A1926" s="13"/>
      <c r="B1926" s="8" t="s">
        <v>5533</v>
      </c>
      <c r="C1926" s="284">
        <v>3000</v>
      </c>
      <c r="D1926" s="284">
        <v>0</v>
      </c>
      <c r="E1926" s="284">
        <f t="shared" ref="E1926:E1989" si="30">E1925-C1926+D1926</f>
        <v>940250</v>
      </c>
      <c r="F1926" s="8" t="s">
        <v>1643</v>
      </c>
      <c r="G1926" s="8" t="s">
        <v>5</v>
      </c>
      <c r="H1926" s="8" t="s">
        <v>3232</v>
      </c>
    </row>
    <row r="1927" spans="1:8" s="8" customFormat="1">
      <c r="A1927" s="13"/>
      <c r="B1927" s="8" t="s">
        <v>5534</v>
      </c>
      <c r="C1927" s="284">
        <v>9000</v>
      </c>
      <c r="D1927" s="284">
        <v>0</v>
      </c>
      <c r="E1927" s="284">
        <f t="shared" si="30"/>
        <v>931250</v>
      </c>
      <c r="F1927" s="8" t="s">
        <v>1643</v>
      </c>
      <c r="G1927" s="8" t="s">
        <v>5</v>
      </c>
      <c r="H1927" s="8" t="s">
        <v>3232</v>
      </c>
    </row>
    <row r="1928" spans="1:8" s="8" customFormat="1">
      <c r="A1928" s="13"/>
      <c r="B1928" s="8" t="s">
        <v>5535</v>
      </c>
      <c r="C1928" s="284">
        <v>112500</v>
      </c>
      <c r="D1928" s="284">
        <v>0</v>
      </c>
      <c r="E1928" s="284">
        <f t="shared" si="30"/>
        <v>818750</v>
      </c>
      <c r="F1928" s="8" t="s">
        <v>1643</v>
      </c>
      <c r="G1928" s="8" t="s">
        <v>5</v>
      </c>
      <c r="H1928" s="8" t="s">
        <v>3232</v>
      </c>
    </row>
    <row r="1929" spans="1:8" s="8" customFormat="1">
      <c r="A1929" s="13"/>
      <c r="B1929" s="8" t="s">
        <v>5536</v>
      </c>
      <c r="C1929" s="284">
        <v>150000</v>
      </c>
      <c r="D1929" s="284">
        <v>0</v>
      </c>
      <c r="E1929" s="284">
        <f t="shared" si="30"/>
        <v>668750</v>
      </c>
      <c r="F1929" s="8" t="s">
        <v>1643</v>
      </c>
      <c r="G1929" s="8" t="s">
        <v>5</v>
      </c>
      <c r="H1929" s="8" t="s">
        <v>3232</v>
      </c>
    </row>
    <row r="1930" spans="1:8" s="8" customFormat="1">
      <c r="A1930" s="13"/>
      <c r="B1930" s="8" t="s">
        <v>5531</v>
      </c>
      <c r="C1930" s="284">
        <v>15000</v>
      </c>
      <c r="D1930" s="284">
        <v>0</v>
      </c>
      <c r="E1930" s="284">
        <f t="shared" si="30"/>
        <v>653750</v>
      </c>
      <c r="F1930" s="8" t="s">
        <v>1643</v>
      </c>
      <c r="G1930" s="8" t="s">
        <v>5</v>
      </c>
      <c r="H1930" s="8" t="s">
        <v>3232</v>
      </c>
    </row>
    <row r="1931" spans="1:8" s="8" customFormat="1">
      <c r="A1931" s="13"/>
      <c r="B1931" s="8" t="s">
        <v>5533</v>
      </c>
      <c r="C1931" s="284">
        <v>3000</v>
      </c>
      <c r="D1931" s="284">
        <v>0</v>
      </c>
      <c r="E1931" s="284">
        <f t="shared" si="30"/>
        <v>650750</v>
      </c>
      <c r="F1931" s="8" t="s">
        <v>1643</v>
      </c>
      <c r="G1931" s="8" t="s">
        <v>5</v>
      </c>
      <c r="H1931" s="8" t="s">
        <v>3232</v>
      </c>
    </row>
    <row r="1932" spans="1:8" s="8" customFormat="1">
      <c r="A1932" s="13"/>
      <c r="B1932" s="8" t="s">
        <v>5537</v>
      </c>
      <c r="C1932" s="284">
        <v>51000</v>
      </c>
      <c r="D1932" s="284">
        <v>0</v>
      </c>
      <c r="E1932" s="284">
        <f t="shared" si="30"/>
        <v>599750</v>
      </c>
      <c r="F1932" s="8" t="s">
        <v>1643</v>
      </c>
      <c r="G1932" s="8" t="s">
        <v>5</v>
      </c>
      <c r="H1932" s="8" t="s">
        <v>3232</v>
      </c>
    </row>
    <row r="1933" spans="1:8" s="8" customFormat="1">
      <c r="A1933" s="13">
        <v>45880</v>
      </c>
      <c r="B1933" s="8" t="s">
        <v>2748</v>
      </c>
      <c r="C1933" s="284">
        <v>599750</v>
      </c>
      <c r="D1933" s="284">
        <v>0</v>
      </c>
      <c r="E1933" s="284">
        <f t="shared" si="30"/>
        <v>0</v>
      </c>
      <c r="F1933" s="8" t="s">
        <v>920</v>
      </c>
      <c r="G1933" s="8" t="s">
        <v>464</v>
      </c>
      <c r="H1933" s="8" t="s">
        <v>5604</v>
      </c>
    </row>
    <row r="1934" spans="1:8" s="8" customFormat="1">
      <c r="A1934" s="13">
        <v>45875</v>
      </c>
      <c r="B1934" s="8" t="s">
        <v>2723</v>
      </c>
      <c r="C1934" s="284">
        <v>0</v>
      </c>
      <c r="D1934" s="284">
        <v>2048629</v>
      </c>
      <c r="E1934" s="284">
        <f t="shared" si="30"/>
        <v>2048629</v>
      </c>
      <c r="F1934" s="8" t="s">
        <v>920</v>
      </c>
      <c r="G1934" s="8" t="s">
        <v>400</v>
      </c>
      <c r="H1934" s="8" t="s">
        <v>5605</v>
      </c>
    </row>
    <row r="1935" spans="1:8" s="8" customFormat="1">
      <c r="A1935" s="13"/>
      <c r="B1935" s="205" t="s">
        <v>5538</v>
      </c>
      <c r="C1935" s="293">
        <v>100000</v>
      </c>
      <c r="D1935" s="209">
        <v>0</v>
      </c>
      <c r="E1935" s="284">
        <f t="shared" si="30"/>
        <v>1948629</v>
      </c>
      <c r="F1935" s="294" t="s">
        <v>1643</v>
      </c>
      <c r="G1935" s="294" t="s">
        <v>5</v>
      </c>
      <c r="H1935" s="43" t="s">
        <v>1368</v>
      </c>
    </row>
    <row r="1936" spans="1:8" s="8" customFormat="1">
      <c r="A1936" s="13"/>
      <c r="B1936" s="205" t="s">
        <v>5539</v>
      </c>
      <c r="C1936" s="293">
        <v>212300</v>
      </c>
      <c r="D1936" s="209">
        <v>0</v>
      </c>
      <c r="E1936" s="284">
        <f t="shared" si="30"/>
        <v>1736329</v>
      </c>
      <c r="F1936" s="294" t="s">
        <v>1643</v>
      </c>
      <c r="G1936" s="294" t="s">
        <v>5</v>
      </c>
      <c r="H1936" s="43" t="s">
        <v>1368</v>
      </c>
    </row>
    <row r="1937" spans="1:8" s="8" customFormat="1">
      <c r="A1937" s="13"/>
      <c r="B1937" s="205" t="s">
        <v>5540</v>
      </c>
      <c r="C1937" s="293">
        <v>1736329</v>
      </c>
      <c r="D1937" s="209">
        <v>0</v>
      </c>
      <c r="E1937" s="284">
        <f t="shared" si="30"/>
        <v>0</v>
      </c>
      <c r="F1937" s="294" t="s">
        <v>1643</v>
      </c>
      <c r="G1937" s="294" t="s">
        <v>5</v>
      </c>
      <c r="H1937" s="43" t="s">
        <v>1368</v>
      </c>
    </row>
    <row r="1938" spans="1:8" s="8" customFormat="1">
      <c r="A1938" s="5">
        <v>45879</v>
      </c>
      <c r="B1938" t="s">
        <v>5542</v>
      </c>
      <c r="C1938" s="288">
        <v>0</v>
      </c>
      <c r="D1938" s="288">
        <v>500000000</v>
      </c>
      <c r="E1938" s="284">
        <f t="shared" si="30"/>
        <v>500000000</v>
      </c>
      <c r="F1938" s="8" t="s">
        <v>920</v>
      </c>
      <c r="G1938" t="s">
        <v>352</v>
      </c>
      <c r="H1938" s="40" t="s">
        <v>5541</v>
      </c>
    </row>
    <row r="1939" spans="1:8" s="8" customFormat="1">
      <c r="A1939" s="13"/>
      <c r="B1939" s="8" t="s">
        <v>5543</v>
      </c>
      <c r="C1939" s="284">
        <v>3375000</v>
      </c>
      <c r="D1939" s="284">
        <v>0</v>
      </c>
      <c r="E1939" s="284">
        <f t="shared" si="30"/>
        <v>496625000</v>
      </c>
      <c r="F1939" s="8" t="s">
        <v>1643</v>
      </c>
      <c r="G1939" s="8" t="s">
        <v>5</v>
      </c>
      <c r="H1939" s="8" t="s">
        <v>3457</v>
      </c>
    </row>
    <row r="1940" spans="1:8" s="8" customFormat="1">
      <c r="A1940" s="13"/>
      <c r="B1940" s="8" t="s">
        <v>5544</v>
      </c>
      <c r="C1940" s="284">
        <v>391500000</v>
      </c>
      <c r="D1940" s="284">
        <v>0</v>
      </c>
      <c r="E1940" s="284">
        <f t="shared" si="30"/>
        <v>105125000</v>
      </c>
      <c r="F1940" s="8" t="s">
        <v>1643</v>
      </c>
      <c r="G1940" s="8" t="s">
        <v>5</v>
      </c>
      <c r="H1940" s="8" t="s">
        <v>3457</v>
      </c>
    </row>
    <row r="1941" spans="1:8" s="8" customFormat="1">
      <c r="A1941" s="13"/>
      <c r="B1941" s="8" t="s">
        <v>5545</v>
      </c>
      <c r="C1941" s="284">
        <v>300000</v>
      </c>
      <c r="D1941" s="284">
        <v>0</v>
      </c>
      <c r="E1941" s="284">
        <f t="shared" si="30"/>
        <v>104825000</v>
      </c>
      <c r="F1941" s="8" t="s">
        <v>1643</v>
      </c>
      <c r="G1941" s="8" t="s">
        <v>5</v>
      </c>
      <c r="H1941" s="8" t="s">
        <v>3457</v>
      </c>
    </row>
    <row r="1942" spans="1:8" s="8" customFormat="1">
      <c r="A1942" s="13"/>
      <c r="B1942" s="8" t="s">
        <v>5546</v>
      </c>
      <c r="C1942" s="284">
        <v>3380000</v>
      </c>
      <c r="D1942" s="284">
        <v>0</v>
      </c>
      <c r="E1942" s="284">
        <f t="shared" si="30"/>
        <v>101445000</v>
      </c>
      <c r="F1942" s="8" t="s">
        <v>1643</v>
      </c>
      <c r="G1942" s="8" t="s">
        <v>5</v>
      </c>
      <c r="H1942" s="8" t="s">
        <v>3457</v>
      </c>
    </row>
    <row r="1943" spans="1:8" s="8" customFormat="1">
      <c r="A1943" s="13"/>
      <c r="B1943" s="8" t="s">
        <v>5547</v>
      </c>
      <c r="C1943" s="284">
        <v>1900000</v>
      </c>
      <c r="D1943" s="284">
        <v>0</v>
      </c>
      <c r="E1943" s="284">
        <f t="shared" si="30"/>
        <v>99545000</v>
      </c>
      <c r="F1943" s="8" t="s">
        <v>1643</v>
      </c>
      <c r="G1943" s="8" t="s">
        <v>5</v>
      </c>
      <c r="H1943" s="8" t="s">
        <v>3457</v>
      </c>
    </row>
    <row r="1944" spans="1:8" s="8" customFormat="1">
      <c r="A1944" s="13"/>
      <c r="B1944" s="8" t="s">
        <v>5548</v>
      </c>
      <c r="C1944" s="284">
        <v>150000</v>
      </c>
      <c r="D1944" s="284">
        <v>0</v>
      </c>
      <c r="E1944" s="284">
        <f t="shared" si="30"/>
        <v>99395000</v>
      </c>
      <c r="F1944" s="8" t="s">
        <v>1643</v>
      </c>
      <c r="G1944" s="8" t="s">
        <v>5</v>
      </c>
      <c r="H1944" s="8" t="s">
        <v>3457</v>
      </c>
    </row>
    <row r="1945" spans="1:8" s="8" customFormat="1">
      <c r="A1945" s="13"/>
      <c r="B1945" s="8" t="s">
        <v>5549</v>
      </c>
      <c r="C1945" s="284">
        <v>948000</v>
      </c>
      <c r="D1945" s="284">
        <v>0</v>
      </c>
      <c r="E1945" s="284">
        <f t="shared" si="30"/>
        <v>98447000</v>
      </c>
      <c r="F1945" s="8" t="s">
        <v>1643</v>
      </c>
      <c r="G1945" s="8" t="s">
        <v>5</v>
      </c>
      <c r="H1945" s="8" t="s">
        <v>3457</v>
      </c>
    </row>
    <row r="1946" spans="1:8" s="8" customFormat="1">
      <c r="A1946" s="13"/>
      <c r="B1946" s="8" t="s">
        <v>5550</v>
      </c>
      <c r="C1946" s="284">
        <v>400000</v>
      </c>
      <c r="D1946" s="284">
        <v>0</v>
      </c>
      <c r="E1946" s="284">
        <f t="shared" si="30"/>
        <v>98047000</v>
      </c>
      <c r="F1946" s="8" t="s">
        <v>1643</v>
      </c>
      <c r="G1946" s="8" t="s">
        <v>5</v>
      </c>
      <c r="H1946" s="8" t="s">
        <v>3457</v>
      </c>
    </row>
    <row r="1947" spans="1:8" s="8" customFormat="1">
      <c r="A1947" s="13">
        <v>45890</v>
      </c>
      <c r="B1947" s="8" t="s">
        <v>2967</v>
      </c>
      <c r="C1947" s="290">
        <v>98047000</v>
      </c>
      <c r="D1947" s="290">
        <v>0</v>
      </c>
      <c r="E1947" s="284">
        <f t="shared" si="30"/>
        <v>0</v>
      </c>
      <c r="F1947" s="8" t="s">
        <v>920</v>
      </c>
      <c r="G1947" s="8" t="s">
        <v>473</v>
      </c>
      <c r="H1947" s="40" t="s">
        <v>5541</v>
      </c>
    </row>
    <row r="1948" spans="1:8" s="8" customFormat="1">
      <c r="A1948" s="13">
        <v>45882</v>
      </c>
      <c r="B1948" s="8" t="s">
        <v>2773</v>
      </c>
      <c r="C1948" s="284">
        <v>0</v>
      </c>
      <c r="D1948" s="284">
        <v>6000000</v>
      </c>
      <c r="E1948" s="284">
        <f t="shared" si="30"/>
        <v>6000000</v>
      </c>
      <c r="F1948" s="8" t="s">
        <v>920</v>
      </c>
      <c r="G1948" s="8" t="s">
        <v>400</v>
      </c>
      <c r="H1948" s="8" t="s">
        <v>5606</v>
      </c>
    </row>
    <row r="1949" spans="1:8" s="8" customFormat="1">
      <c r="A1949" s="13"/>
      <c r="B1949" s="8" t="s">
        <v>5551</v>
      </c>
      <c r="C1949" s="284">
        <v>2000000</v>
      </c>
      <c r="D1949" s="284">
        <v>0</v>
      </c>
      <c r="E1949" s="284">
        <f t="shared" si="30"/>
        <v>4000000</v>
      </c>
      <c r="F1949" s="8" t="s">
        <v>1643</v>
      </c>
      <c r="G1949" s="8" t="s">
        <v>5</v>
      </c>
      <c r="H1949" s="8" t="s">
        <v>3232</v>
      </c>
    </row>
    <row r="1950" spans="1:8" s="8" customFormat="1">
      <c r="A1950" s="13"/>
      <c r="B1950" s="8" t="s">
        <v>5552</v>
      </c>
      <c r="C1950" s="284">
        <v>1203000</v>
      </c>
      <c r="D1950" s="284">
        <v>0</v>
      </c>
      <c r="E1950" s="284">
        <f t="shared" si="30"/>
        <v>2797000</v>
      </c>
      <c r="F1950" s="8" t="s">
        <v>1643</v>
      </c>
      <c r="G1950" s="8" t="s">
        <v>5</v>
      </c>
      <c r="H1950" s="8" t="s">
        <v>3232</v>
      </c>
    </row>
    <row r="1951" spans="1:8" s="8" customFormat="1">
      <c r="A1951" s="13"/>
      <c r="B1951" s="8" t="s">
        <v>5553</v>
      </c>
      <c r="C1951" s="284">
        <v>34500</v>
      </c>
      <c r="D1951" s="284">
        <v>0</v>
      </c>
      <c r="E1951" s="284">
        <f t="shared" si="30"/>
        <v>2762500</v>
      </c>
      <c r="F1951" s="8" t="s">
        <v>1643</v>
      </c>
      <c r="G1951" s="8" t="s">
        <v>5</v>
      </c>
      <c r="H1951" s="8" t="s">
        <v>3232</v>
      </c>
    </row>
    <row r="1952" spans="1:8" s="8" customFormat="1">
      <c r="A1952" s="13"/>
      <c r="B1952" s="8" t="s">
        <v>5554</v>
      </c>
      <c r="C1952" s="284">
        <v>198000</v>
      </c>
      <c r="D1952" s="284">
        <v>0</v>
      </c>
      <c r="E1952" s="284">
        <f t="shared" si="30"/>
        <v>2564500</v>
      </c>
      <c r="F1952" s="8" t="s">
        <v>1643</v>
      </c>
      <c r="G1952" s="8" t="s">
        <v>5</v>
      </c>
      <c r="H1952" s="8" t="s">
        <v>3232</v>
      </c>
    </row>
    <row r="1953" spans="1:8" s="8" customFormat="1">
      <c r="A1953" s="13"/>
      <c r="B1953" s="8" t="s">
        <v>5316</v>
      </c>
      <c r="C1953" s="284">
        <v>39000</v>
      </c>
      <c r="D1953" s="284">
        <v>0</v>
      </c>
      <c r="E1953" s="284">
        <f t="shared" si="30"/>
        <v>2525500</v>
      </c>
      <c r="F1953" s="8" t="s">
        <v>1643</v>
      </c>
      <c r="G1953" s="8" t="s">
        <v>5</v>
      </c>
      <c r="H1953" s="8" t="s">
        <v>3232</v>
      </c>
    </row>
    <row r="1954" spans="1:8" s="8" customFormat="1">
      <c r="A1954" s="13"/>
      <c r="B1954" s="8" t="s">
        <v>5555</v>
      </c>
      <c r="C1954" s="284">
        <v>56000</v>
      </c>
      <c r="D1954" s="284">
        <v>0</v>
      </c>
      <c r="E1954" s="284">
        <f t="shared" si="30"/>
        <v>2469500</v>
      </c>
      <c r="F1954" s="8" t="s">
        <v>1643</v>
      </c>
      <c r="G1954" s="8" t="s">
        <v>5</v>
      </c>
      <c r="H1954" s="8" t="s">
        <v>3232</v>
      </c>
    </row>
    <row r="1955" spans="1:8" s="8" customFormat="1">
      <c r="A1955" s="13"/>
      <c r="B1955" s="8" t="s">
        <v>5556</v>
      </c>
      <c r="C1955" s="284">
        <v>25000</v>
      </c>
      <c r="D1955" s="284">
        <v>0</v>
      </c>
      <c r="E1955" s="284">
        <f t="shared" si="30"/>
        <v>2444500</v>
      </c>
      <c r="F1955" s="8" t="s">
        <v>1643</v>
      </c>
      <c r="G1955" s="8" t="s">
        <v>5</v>
      </c>
      <c r="H1955" s="8" t="s">
        <v>3232</v>
      </c>
    </row>
    <row r="1956" spans="1:8" s="8" customFormat="1">
      <c r="A1956" s="13"/>
      <c r="B1956" s="8" t="s">
        <v>5557</v>
      </c>
      <c r="C1956" s="284">
        <v>42000</v>
      </c>
      <c r="D1956" s="284">
        <v>0</v>
      </c>
      <c r="E1956" s="284">
        <f t="shared" si="30"/>
        <v>2402500</v>
      </c>
      <c r="F1956" s="8" t="s">
        <v>1643</v>
      </c>
      <c r="G1956" s="8" t="s">
        <v>5</v>
      </c>
      <c r="H1956" s="8" t="s">
        <v>3232</v>
      </c>
    </row>
    <row r="1957" spans="1:8" s="8" customFormat="1">
      <c r="A1957" s="13"/>
      <c r="B1957" s="8" t="s">
        <v>5558</v>
      </c>
      <c r="C1957" s="284">
        <v>50000</v>
      </c>
      <c r="D1957" s="284">
        <v>0</v>
      </c>
      <c r="E1957" s="284">
        <f t="shared" si="30"/>
        <v>2352500</v>
      </c>
      <c r="F1957" s="8" t="s">
        <v>1643</v>
      </c>
      <c r="G1957" s="8" t="s">
        <v>5</v>
      </c>
      <c r="H1957" s="8" t="s">
        <v>3232</v>
      </c>
    </row>
    <row r="1958" spans="1:8" s="8" customFormat="1">
      <c r="A1958" s="13"/>
      <c r="B1958" s="8" t="s">
        <v>5559</v>
      </c>
      <c r="C1958" s="284">
        <v>228000</v>
      </c>
      <c r="D1958" s="284">
        <v>0</v>
      </c>
      <c r="E1958" s="284">
        <f t="shared" si="30"/>
        <v>2124500</v>
      </c>
      <c r="F1958" s="8" t="s">
        <v>1643</v>
      </c>
      <c r="G1958" s="8" t="s">
        <v>5</v>
      </c>
      <c r="H1958" s="8" t="s">
        <v>3232</v>
      </c>
    </row>
    <row r="1959" spans="1:8" s="8" customFormat="1">
      <c r="A1959" s="13"/>
      <c r="B1959" s="8" t="s">
        <v>5560</v>
      </c>
      <c r="C1959" s="284">
        <v>605400</v>
      </c>
      <c r="D1959" s="284">
        <v>0</v>
      </c>
      <c r="E1959" s="284">
        <f t="shared" si="30"/>
        <v>1519100</v>
      </c>
      <c r="F1959" s="8" t="s">
        <v>1643</v>
      </c>
      <c r="G1959" s="8" t="s">
        <v>5</v>
      </c>
      <c r="H1959" s="8" t="s">
        <v>3232</v>
      </c>
    </row>
    <row r="1960" spans="1:8" s="8" customFormat="1">
      <c r="A1960" s="13"/>
      <c r="B1960" s="8" t="s">
        <v>5561</v>
      </c>
      <c r="C1960" s="284">
        <v>50000</v>
      </c>
      <c r="D1960" s="284">
        <v>0</v>
      </c>
      <c r="E1960" s="284">
        <f t="shared" si="30"/>
        <v>1469100</v>
      </c>
      <c r="F1960" s="8" t="s">
        <v>1643</v>
      </c>
      <c r="G1960" s="8" t="s">
        <v>5</v>
      </c>
      <c r="H1960" s="8" t="s">
        <v>3232</v>
      </c>
    </row>
    <row r="1961" spans="1:8" s="8" customFormat="1">
      <c r="A1961" s="13"/>
      <c r="B1961" s="8" t="s">
        <v>5562</v>
      </c>
      <c r="C1961" s="284">
        <v>100000</v>
      </c>
      <c r="D1961" s="284">
        <v>0</v>
      </c>
      <c r="E1961" s="284">
        <f t="shared" si="30"/>
        <v>1369100</v>
      </c>
      <c r="F1961" s="8" t="s">
        <v>1643</v>
      </c>
      <c r="G1961" s="8" t="s">
        <v>5</v>
      </c>
      <c r="H1961" s="8" t="s">
        <v>3232</v>
      </c>
    </row>
    <row r="1962" spans="1:8" s="8" customFormat="1">
      <c r="A1962" s="13"/>
      <c r="B1962" s="8" t="s">
        <v>5563</v>
      </c>
      <c r="C1962" s="284">
        <v>400000</v>
      </c>
      <c r="D1962" s="284">
        <v>0</v>
      </c>
      <c r="E1962" s="284">
        <f t="shared" si="30"/>
        <v>969100</v>
      </c>
      <c r="F1962" s="8" t="s">
        <v>1643</v>
      </c>
      <c r="G1962" s="8" t="s">
        <v>5</v>
      </c>
      <c r="H1962" s="8" t="s">
        <v>3232</v>
      </c>
    </row>
    <row r="1963" spans="1:8" s="8" customFormat="1">
      <c r="A1963" s="13"/>
      <c r="B1963" s="8" t="s">
        <v>5564</v>
      </c>
      <c r="C1963" s="284">
        <v>50000</v>
      </c>
      <c r="D1963" s="284">
        <v>0</v>
      </c>
      <c r="E1963" s="284">
        <f t="shared" si="30"/>
        <v>919100</v>
      </c>
      <c r="F1963" s="8" t="s">
        <v>1643</v>
      </c>
      <c r="G1963" s="8" t="s">
        <v>5</v>
      </c>
      <c r="H1963" s="8" t="s">
        <v>3232</v>
      </c>
    </row>
    <row r="1964" spans="1:8" s="8" customFormat="1">
      <c r="A1964" s="13">
        <v>45897</v>
      </c>
      <c r="B1964" s="8" t="s">
        <v>2835</v>
      </c>
      <c r="C1964" s="284">
        <v>919100</v>
      </c>
      <c r="D1964" s="284">
        <v>0</v>
      </c>
      <c r="E1964" s="284">
        <f t="shared" si="30"/>
        <v>0</v>
      </c>
      <c r="F1964" s="8" t="s">
        <v>920</v>
      </c>
      <c r="G1964" s="8" t="s">
        <v>464</v>
      </c>
      <c r="H1964" s="8" t="s">
        <v>5606</v>
      </c>
    </row>
    <row r="1965" spans="1:8" s="8" customFormat="1">
      <c r="A1965" s="13">
        <v>45890</v>
      </c>
      <c r="B1965" s="8" t="s">
        <v>2797</v>
      </c>
      <c r="C1965" s="284">
        <v>0</v>
      </c>
      <c r="D1965" s="284">
        <v>15000000</v>
      </c>
      <c r="E1965" s="284">
        <f t="shared" si="30"/>
        <v>15000000</v>
      </c>
      <c r="F1965" s="8" t="s">
        <v>920</v>
      </c>
      <c r="G1965" s="8" t="s">
        <v>400</v>
      </c>
      <c r="H1965" s="8" t="s">
        <v>5607</v>
      </c>
    </row>
    <row r="1966" spans="1:8" s="8" customFormat="1">
      <c r="A1966" s="13"/>
      <c r="B1966" s="8" t="s">
        <v>5565</v>
      </c>
      <c r="C1966" s="284">
        <v>2835000</v>
      </c>
      <c r="D1966" s="284">
        <v>0</v>
      </c>
      <c r="E1966" s="284">
        <f t="shared" si="30"/>
        <v>12165000</v>
      </c>
      <c r="F1966" s="8" t="s">
        <v>1643</v>
      </c>
      <c r="G1966" s="8" t="s">
        <v>5</v>
      </c>
      <c r="H1966" s="8" t="s">
        <v>3440</v>
      </c>
    </row>
    <row r="1967" spans="1:8" s="8" customFormat="1">
      <c r="A1967" s="13"/>
      <c r="B1967" s="8" t="s">
        <v>5566</v>
      </c>
      <c r="C1967" s="284">
        <v>690000</v>
      </c>
      <c r="D1967" s="284">
        <v>0</v>
      </c>
      <c r="E1967" s="284">
        <f t="shared" si="30"/>
        <v>11475000</v>
      </c>
      <c r="F1967" s="8" t="s">
        <v>1643</v>
      </c>
      <c r="G1967" s="8" t="s">
        <v>5</v>
      </c>
      <c r="H1967" s="8" t="s">
        <v>3440</v>
      </c>
    </row>
    <row r="1968" spans="1:8" s="8" customFormat="1">
      <c r="A1968" s="13"/>
      <c r="B1968" s="8" t="s">
        <v>5567</v>
      </c>
      <c r="C1968" s="284">
        <v>2283000</v>
      </c>
      <c r="D1968" s="284">
        <v>0</v>
      </c>
      <c r="E1968" s="284">
        <f t="shared" si="30"/>
        <v>9192000</v>
      </c>
      <c r="F1968" s="8" t="s">
        <v>1643</v>
      </c>
      <c r="G1968" s="8" t="s">
        <v>5</v>
      </c>
      <c r="H1968" s="8" t="s">
        <v>3440</v>
      </c>
    </row>
    <row r="1969" spans="1:8" s="8" customFormat="1">
      <c r="A1969" s="13"/>
      <c r="B1969" s="8" t="s">
        <v>5568</v>
      </c>
      <c r="C1969" s="284">
        <v>842000</v>
      </c>
      <c r="D1969" s="284">
        <v>0</v>
      </c>
      <c r="E1969" s="284">
        <f t="shared" si="30"/>
        <v>8350000</v>
      </c>
      <c r="F1969" s="8" t="s">
        <v>1643</v>
      </c>
      <c r="G1969" s="8" t="s">
        <v>5</v>
      </c>
      <c r="H1969" s="8" t="s">
        <v>3440</v>
      </c>
    </row>
    <row r="1970" spans="1:8" s="8" customFormat="1">
      <c r="A1970" s="13"/>
      <c r="B1970" s="8" t="s">
        <v>5569</v>
      </c>
      <c r="C1970" s="284">
        <v>272000</v>
      </c>
      <c r="D1970" s="284">
        <v>0</v>
      </c>
      <c r="E1970" s="284">
        <f t="shared" si="30"/>
        <v>8078000</v>
      </c>
      <c r="F1970" s="8" t="s">
        <v>1643</v>
      </c>
      <c r="G1970" s="8" t="s">
        <v>5</v>
      </c>
      <c r="H1970" s="8" t="s">
        <v>3440</v>
      </c>
    </row>
    <row r="1971" spans="1:8" s="8" customFormat="1">
      <c r="A1971" s="13"/>
      <c r="B1971" s="8" t="s">
        <v>5570</v>
      </c>
      <c r="C1971" s="284">
        <v>3680000</v>
      </c>
      <c r="D1971" s="284">
        <v>0</v>
      </c>
      <c r="E1971" s="284">
        <f t="shared" si="30"/>
        <v>4398000</v>
      </c>
      <c r="F1971" s="8" t="s">
        <v>1643</v>
      </c>
      <c r="G1971" s="8" t="s">
        <v>5</v>
      </c>
      <c r="H1971" s="8" t="s">
        <v>3440</v>
      </c>
    </row>
    <row r="1972" spans="1:8" s="8" customFormat="1">
      <c r="A1972" s="13"/>
      <c r="B1972" s="8" t="s">
        <v>5571</v>
      </c>
      <c r="C1972" s="284">
        <v>220000</v>
      </c>
      <c r="D1972" s="284">
        <v>0</v>
      </c>
      <c r="E1972" s="284">
        <f t="shared" si="30"/>
        <v>4178000</v>
      </c>
      <c r="F1972" s="8" t="s">
        <v>1643</v>
      </c>
      <c r="G1972" s="8" t="s">
        <v>5</v>
      </c>
      <c r="H1972" s="8" t="s">
        <v>3440</v>
      </c>
    </row>
    <row r="1973" spans="1:8" s="8" customFormat="1">
      <c r="A1973" s="13"/>
      <c r="B1973" s="8" t="s">
        <v>5571</v>
      </c>
      <c r="C1973" s="284">
        <v>220000</v>
      </c>
      <c r="D1973" s="284">
        <v>0</v>
      </c>
      <c r="E1973" s="284">
        <f t="shared" si="30"/>
        <v>3958000</v>
      </c>
      <c r="F1973" s="8" t="s">
        <v>1643</v>
      </c>
      <c r="G1973" s="8" t="s">
        <v>5</v>
      </c>
      <c r="H1973" s="8" t="s">
        <v>3440</v>
      </c>
    </row>
    <row r="1974" spans="1:8" s="8" customFormat="1">
      <c r="A1974" s="13"/>
      <c r="B1974" s="8" t="s">
        <v>5572</v>
      </c>
      <c r="C1974" s="284">
        <v>36000</v>
      </c>
      <c r="D1974" s="284">
        <v>0</v>
      </c>
      <c r="E1974" s="284">
        <f t="shared" si="30"/>
        <v>3922000</v>
      </c>
      <c r="F1974" s="8" t="s">
        <v>1643</v>
      </c>
      <c r="G1974" s="8" t="s">
        <v>5</v>
      </c>
      <c r="H1974" s="8" t="s">
        <v>3440</v>
      </c>
    </row>
    <row r="1975" spans="1:8" s="8" customFormat="1">
      <c r="A1975" s="13"/>
      <c r="B1975" s="8" t="s">
        <v>5573</v>
      </c>
      <c r="C1975" s="284">
        <v>204000</v>
      </c>
      <c r="D1975" s="284">
        <v>0</v>
      </c>
      <c r="E1975" s="284">
        <f t="shared" si="30"/>
        <v>3718000</v>
      </c>
      <c r="F1975" s="8" t="s">
        <v>1643</v>
      </c>
      <c r="G1975" s="8" t="s">
        <v>5</v>
      </c>
      <c r="H1975" s="8" t="s">
        <v>3440</v>
      </c>
    </row>
    <row r="1976" spans="1:8" s="8" customFormat="1">
      <c r="A1976" s="13"/>
      <c r="B1976" s="8" t="s">
        <v>5574</v>
      </c>
      <c r="C1976" s="284">
        <v>115000</v>
      </c>
      <c r="D1976" s="284">
        <v>0</v>
      </c>
      <c r="E1976" s="284">
        <f t="shared" si="30"/>
        <v>3603000</v>
      </c>
      <c r="F1976" s="8" t="s">
        <v>1643</v>
      </c>
      <c r="G1976" s="8" t="s">
        <v>5</v>
      </c>
      <c r="H1976" s="8" t="s">
        <v>3440</v>
      </c>
    </row>
    <row r="1977" spans="1:8" s="8" customFormat="1">
      <c r="A1977" s="13"/>
      <c r="B1977" s="8" t="s">
        <v>5575</v>
      </c>
      <c r="C1977" s="284">
        <v>345000</v>
      </c>
      <c r="D1977" s="284">
        <v>0</v>
      </c>
      <c r="E1977" s="284">
        <f t="shared" si="30"/>
        <v>3258000</v>
      </c>
      <c r="F1977" s="8" t="s">
        <v>1643</v>
      </c>
      <c r="G1977" s="8" t="s">
        <v>5</v>
      </c>
      <c r="H1977" s="8" t="s">
        <v>3440</v>
      </c>
    </row>
    <row r="1978" spans="1:8" s="8" customFormat="1">
      <c r="A1978" s="13"/>
      <c r="B1978" s="8" t="s">
        <v>5576</v>
      </c>
      <c r="C1978" s="284">
        <v>537000</v>
      </c>
      <c r="D1978" s="284">
        <v>0</v>
      </c>
      <c r="E1978" s="284">
        <f t="shared" si="30"/>
        <v>2721000</v>
      </c>
      <c r="F1978" s="8" t="s">
        <v>1643</v>
      </c>
      <c r="G1978" s="8" t="s">
        <v>5</v>
      </c>
      <c r="H1978" s="8" t="s">
        <v>3440</v>
      </c>
    </row>
    <row r="1979" spans="1:8" s="8" customFormat="1">
      <c r="A1979" s="13"/>
      <c r="B1979" s="8" t="s">
        <v>5577</v>
      </c>
      <c r="C1979" s="284">
        <v>30500</v>
      </c>
      <c r="D1979" s="284">
        <v>0</v>
      </c>
      <c r="E1979" s="284">
        <f t="shared" si="30"/>
        <v>2690500</v>
      </c>
      <c r="F1979" s="8" t="s">
        <v>1643</v>
      </c>
      <c r="G1979" s="8" t="s">
        <v>5</v>
      </c>
      <c r="H1979" s="8" t="s">
        <v>3440</v>
      </c>
    </row>
    <row r="1980" spans="1:8" s="8" customFormat="1">
      <c r="A1980" s="13"/>
      <c r="B1980" s="8" t="s">
        <v>5578</v>
      </c>
      <c r="C1980" s="284">
        <v>31000</v>
      </c>
      <c r="D1980" s="284">
        <v>0</v>
      </c>
      <c r="E1980" s="284">
        <f t="shared" si="30"/>
        <v>2659500</v>
      </c>
      <c r="F1980" s="8" t="s">
        <v>1643</v>
      </c>
      <c r="G1980" s="8" t="s">
        <v>5</v>
      </c>
      <c r="H1980" s="8" t="s">
        <v>3440</v>
      </c>
    </row>
    <row r="1981" spans="1:8" s="8" customFormat="1">
      <c r="A1981" s="13"/>
      <c r="B1981" s="8" t="s">
        <v>5579</v>
      </c>
      <c r="C1981" s="284">
        <v>31000</v>
      </c>
      <c r="D1981" s="284">
        <v>0</v>
      </c>
      <c r="E1981" s="284">
        <f t="shared" si="30"/>
        <v>2628500</v>
      </c>
      <c r="F1981" s="8" t="s">
        <v>1643</v>
      </c>
      <c r="G1981" s="8" t="s">
        <v>5</v>
      </c>
      <c r="H1981" s="8" t="s">
        <v>3440</v>
      </c>
    </row>
    <row r="1982" spans="1:8" s="8" customFormat="1">
      <c r="A1982" s="13"/>
      <c r="B1982" s="8" t="s">
        <v>5580</v>
      </c>
      <c r="C1982" s="284">
        <v>26500</v>
      </c>
      <c r="D1982" s="284">
        <v>0</v>
      </c>
      <c r="E1982" s="284">
        <f t="shared" si="30"/>
        <v>2602000</v>
      </c>
      <c r="F1982" s="8" t="s">
        <v>1643</v>
      </c>
      <c r="G1982" s="8" t="s">
        <v>5</v>
      </c>
      <c r="H1982" s="8" t="s">
        <v>3440</v>
      </c>
    </row>
    <row r="1983" spans="1:8" s="8" customFormat="1">
      <c r="A1983" s="13"/>
      <c r="B1983" s="8" t="s">
        <v>5581</v>
      </c>
      <c r="C1983" s="284">
        <v>34000</v>
      </c>
      <c r="D1983" s="284">
        <v>0</v>
      </c>
      <c r="E1983" s="284">
        <f t="shared" si="30"/>
        <v>2568000</v>
      </c>
      <c r="F1983" s="8" t="s">
        <v>1643</v>
      </c>
      <c r="G1983" s="8" t="s">
        <v>5</v>
      </c>
      <c r="H1983" s="8" t="s">
        <v>3440</v>
      </c>
    </row>
    <row r="1984" spans="1:8" s="8" customFormat="1">
      <c r="A1984" s="13"/>
      <c r="B1984" s="8" t="s">
        <v>5582</v>
      </c>
      <c r="C1984" s="284">
        <v>202000</v>
      </c>
      <c r="D1984" s="284">
        <v>0</v>
      </c>
      <c r="E1984" s="284">
        <f t="shared" si="30"/>
        <v>2366000</v>
      </c>
      <c r="F1984" s="8" t="s">
        <v>1643</v>
      </c>
      <c r="G1984" s="8" t="s">
        <v>5</v>
      </c>
      <c r="H1984" s="8" t="s">
        <v>3440</v>
      </c>
    </row>
    <row r="1985" spans="1:8" s="8" customFormat="1">
      <c r="A1985" s="13"/>
      <c r="B1985" s="8" t="s">
        <v>5583</v>
      </c>
      <c r="C1985" s="284">
        <v>141000</v>
      </c>
      <c r="D1985" s="284">
        <v>0</v>
      </c>
      <c r="E1985" s="284">
        <f t="shared" si="30"/>
        <v>2225000</v>
      </c>
      <c r="F1985" s="8" t="s">
        <v>1643</v>
      </c>
      <c r="G1985" s="8" t="s">
        <v>5</v>
      </c>
      <c r="H1985" s="8" t="s">
        <v>3440</v>
      </c>
    </row>
    <row r="1986" spans="1:8" s="8" customFormat="1">
      <c r="A1986" s="13"/>
      <c r="B1986" s="8" t="s">
        <v>5584</v>
      </c>
      <c r="C1986" s="284">
        <v>20000</v>
      </c>
      <c r="D1986" s="284">
        <v>0</v>
      </c>
      <c r="E1986" s="284">
        <f t="shared" si="30"/>
        <v>2205000</v>
      </c>
      <c r="F1986" s="8" t="s">
        <v>1643</v>
      </c>
      <c r="G1986" s="8" t="s">
        <v>5</v>
      </c>
      <c r="H1986" s="8" t="s">
        <v>3440</v>
      </c>
    </row>
    <row r="1987" spans="1:8" s="8" customFormat="1">
      <c r="A1987" s="13"/>
      <c r="B1987" s="8" t="s">
        <v>5585</v>
      </c>
      <c r="C1987" s="284">
        <v>50000</v>
      </c>
      <c r="D1987" s="284">
        <v>0</v>
      </c>
      <c r="E1987" s="284">
        <f t="shared" si="30"/>
        <v>2155000</v>
      </c>
      <c r="F1987" s="8" t="s">
        <v>1643</v>
      </c>
      <c r="G1987" s="8" t="s">
        <v>5</v>
      </c>
      <c r="H1987" s="8" t="s">
        <v>3440</v>
      </c>
    </row>
    <row r="1988" spans="1:8" s="8" customFormat="1">
      <c r="A1988" s="13"/>
      <c r="B1988" s="8" t="s">
        <v>5586</v>
      </c>
      <c r="C1988" s="284">
        <v>30000</v>
      </c>
      <c r="D1988" s="284">
        <v>0</v>
      </c>
      <c r="E1988" s="284">
        <f t="shared" si="30"/>
        <v>2125000</v>
      </c>
      <c r="F1988" s="8" t="s">
        <v>1643</v>
      </c>
      <c r="G1988" s="8" t="s">
        <v>5</v>
      </c>
      <c r="H1988" s="8" t="s">
        <v>3440</v>
      </c>
    </row>
    <row r="1989" spans="1:8" s="8" customFormat="1">
      <c r="A1989" s="13"/>
      <c r="B1989" s="8" t="s">
        <v>5587</v>
      </c>
      <c r="C1989" s="284">
        <v>160000</v>
      </c>
      <c r="D1989" s="284">
        <v>0</v>
      </c>
      <c r="E1989" s="284">
        <f t="shared" si="30"/>
        <v>1965000</v>
      </c>
      <c r="F1989" s="8" t="s">
        <v>1643</v>
      </c>
      <c r="G1989" s="8" t="s">
        <v>5</v>
      </c>
      <c r="H1989" s="8" t="s">
        <v>3440</v>
      </c>
    </row>
    <row r="1990" spans="1:8" s="8" customFormat="1">
      <c r="A1990" s="13"/>
      <c r="B1990" s="8" t="s">
        <v>5588</v>
      </c>
      <c r="C1990" s="284">
        <v>250000</v>
      </c>
      <c r="D1990" s="284">
        <v>0</v>
      </c>
      <c r="E1990" s="284">
        <f t="shared" ref="E1990:E2053" si="31">E1989-C1990+D1990</f>
        <v>1715000</v>
      </c>
      <c r="F1990" s="8" t="s">
        <v>1643</v>
      </c>
      <c r="G1990" s="8" t="s">
        <v>5</v>
      </c>
      <c r="H1990" s="8" t="s">
        <v>3440</v>
      </c>
    </row>
    <row r="1991" spans="1:8" s="8" customFormat="1">
      <c r="A1991" s="13"/>
      <c r="B1991" s="8" t="s">
        <v>5589</v>
      </c>
      <c r="C1991" s="284">
        <v>251500</v>
      </c>
      <c r="D1991" s="284">
        <v>0</v>
      </c>
      <c r="E1991" s="284">
        <f t="shared" si="31"/>
        <v>1463500</v>
      </c>
      <c r="F1991" s="8" t="s">
        <v>1643</v>
      </c>
      <c r="G1991" s="8" t="s">
        <v>5</v>
      </c>
      <c r="H1991" s="8" t="s">
        <v>3440</v>
      </c>
    </row>
    <row r="1992" spans="1:8" s="8" customFormat="1">
      <c r="A1992" s="13"/>
      <c r="B1992" s="8" t="s">
        <v>5590</v>
      </c>
      <c r="C1992" s="284">
        <v>69000</v>
      </c>
      <c r="D1992" s="284">
        <v>0</v>
      </c>
      <c r="E1992" s="284">
        <f t="shared" si="31"/>
        <v>1394500</v>
      </c>
      <c r="F1992" s="8" t="s">
        <v>1643</v>
      </c>
      <c r="G1992" s="8" t="s">
        <v>5</v>
      </c>
      <c r="H1992" s="8" t="s">
        <v>3440</v>
      </c>
    </row>
    <row r="1993" spans="1:8" s="8" customFormat="1">
      <c r="A1993" s="13"/>
      <c r="B1993" s="8" t="s">
        <v>5591</v>
      </c>
      <c r="C1993" s="284">
        <v>150000</v>
      </c>
      <c r="D1993" s="284">
        <v>0</v>
      </c>
      <c r="E1993" s="284">
        <f t="shared" si="31"/>
        <v>1244500</v>
      </c>
      <c r="F1993" s="8" t="s">
        <v>1643</v>
      </c>
      <c r="G1993" s="8" t="s">
        <v>5</v>
      </c>
      <c r="H1993" s="8" t="s">
        <v>3440</v>
      </c>
    </row>
    <row r="1994" spans="1:8" s="8" customFormat="1">
      <c r="A1994" s="13"/>
      <c r="B1994" s="8" t="s">
        <v>5592</v>
      </c>
      <c r="C1994" s="284">
        <v>132000</v>
      </c>
      <c r="D1994" s="284">
        <v>0</v>
      </c>
      <c r="E1994" s="284">
        <f t="shared" si="31"/>
        <v>1112500</v>
      </c>
      <c r="F1994" s="8" t="s">
        <v>1643</v>
      </c>
      <c r="G1994" s="8" t="s">
        <v>5</v>
      </c>
      <c r="H1994" s="8" t="s">
        <v>3440</v>
      </c>
    </row>
    <row r="1995" spans="1:8" s="8" customFormat="1">
      <c r="A1995" s="13"/>
      <c r="B1995" s="8" t="s">
        <v>5593</v>
      </c>
      <c r="C1995" s="284">
        <v>21900</v>
      </c>
      <c r="D1995" s="284">
        <v>0</v>
      </c>
      <c r="E1995" s="284">
        <f t="shared" si="31"/>
        <v>1090600</v>
      </c>
      <c r="F1995" s="8" t="s">
        <v>1643</v>
      </c>
      <c r="G1995" s="8" t="s">
        <v>5</v>
      </c>
      <c r="H1995" s="8" t="s">
        <v>3440</v>
      </c>
    </row>
    <row r="1996" spans="1:8" s="8" customFormat="1">
      <c r="A1996" s="13"/>
      <c r="B1996" s="8" t="s">
        <v>5594</v>
      </c>
      <c r="C1996" s="284">
        <v>27300</v>
      </c>
      <c r="D1996" s="284">
        <v>0</v>
      </c>
      <c r="E1996" s="284">
        <f t="shared" si="31"/>
        <v>1063300</v>
      </c>
      <c r="F1996" s="8" t="s">
        <v>1643</v>
      </c>
      <c r="G1996" s="8" t="s">
        <v>5</v>
      </c>
      <c r="H1996" s="8" t="s">
        <v>3440</v>
      </c>
    </row>
    <row r="1997" spans="1:8" s="8" customFormat="1">
      <c r="A1997" s="13"/>
      <c r="B1997" s="8" t="s">
        <v>5595</v>
      </c>
      <c r="C1997" s="284">
        <v>122000</v>
      </c>
      <c r="D1997" s="284">
        <v>0</v>
      </c>
      <c r="E1997" s="284">
        <f t="shared" si="31"/>
        <v>941300</v>
      </c>
      <c r="F1997" s="8" t="s">
        <v>1643</v>
      </c>
      <c r="G1997" s="8" t="s">
        <v>5</v>
      </c>
      <c r="H1997" s="8" t="s">
        <v>3440</v>
      </c>
    </row>
    <row r="1998" spans="1:8" s="8" customFormat="1">
      <c r="A1998" s="13"/>
      <c r="B1998" s="8" t="s">
        <v>5596</v>
      </c>
      <c r="C1998" s="284">
        <v>114000</v>
      </c>
      <c r="D1998" s="284">
        <v>0</v>
      </c>
      <c r="E1998" s="284">
        <f t="shared" si="31"/>
        <v>827300</v>
      </c>
      <c r="F1998" s="8" t="s">
        <v>1643</v>
      </c>
      <c r="G1998" s="8" t="s">
        <v>5</v>
      </c>
      <c r="H1998" s="8" t="s">
        <v>3440</v>
      </c>
    </row>
    <row r="1999" spans="1:8" s="8" customFormat="1">
      <c r="A1999" s="13"/>
      <c r="B1999" s="8" t="s">
        <v>5597</v>
      </c>
      <c r="C1999" s="284">
        <v>120000</v>
      </c>
      <c r="D1999" s="284">
        <v>0</v>
      </c>
      <c r="E1999" s="284">
        <f t="shared" si="31"/>
        <v>707300</v>
      </c>
      <c r="F1999" s="8" t="s">
        <v>1643</v>
      </c>
      <c r="G1999" s="8" t="s">
        <v>5</v>
      </c>
      <c r="H1999" s="8" t="s">
        <v>3440</v>
      </c>
    </row>
    <row r="2000" spans="1:8" s="8" customFormat="1">
      <c r="A2000" s="13"/>
      <c r="B2000" s="8" t="s">
        <v>5434</v>
      </c>
      <c r="C2000" s="284">
        <v>100000</v>
      </c>
      <c r="D2000" s="284">
        <v>0</v>
      </c>
      <c r="E2000" s="284">
        <f t="shared" si="31"/>
        <v>607300</v>
      </c>
      <c r="F2000" s="8" t="s">
        <v>1643</v>
      </c>
      <c r="G2000" s="8" t="s">
        <v>5</v>
      </c>
      <c r="H2000" s="8" t="s">
        <v>3440</v>
      </c>
    </row>
    <row r="2001" spans="1:9" s="8" customFormat="1">
      <c r="A2001" s="13"/>
      <c r="B2001" s="8" t="s">
        <v>5598</v>
      </c>
      <c r="C2001" s="284">
        <v>150000</v>
      </c>
      <c r="D2001" s="284">
        <v>0</v>
      </c>
      <c r="E2001" s="284">
        <f t="shared" si="31"/>
        <v>457300</v>
      </c>
      <c r="F2001" s="8" t="s">
        <v>1643</v>
      </c>
      <c r="G2001" s="8" t="s">
        <v>5</v>
      </c>
      <c r="H2001" s="8" t="s">
        <v>3440</v>
      </c>
    </row>
    <row r="2002" spans="1:9" s="8" customFormat="1">
      <c r="A2002" s="13"/>
      <c r="B2002" s="8" t="s">
        <v>5599</v>
      </c>
      <c r="C2002" s="284">
        <v>176000</v>
      </c>
      <c r="D2002" s="284">
        <v>0</v>
      </c>
      <c r="E2002" s="284">
        <f t="shared" si="31"/>
        <v>281300</v>
      </c>
      <c r="F2002" s="8" t="s">
        <v>1643</v>
      </c>
      <c r="G2002" s="8" t="s">
        <v>5</v>
      </c>
      <c r="H2002" s="8" t="s">
        <v>3440</v>
      </c>
    </row>
    <row r="2003" spans="1:9" s="8" customFormat="1">
      <c r="A2003" s="13">
        <v>45896</v>
      </c>
      <c r="B2003" s="8" t="s">
        <v>2802</v>
      </c>
      <c r="C2003" s="284">
        <v>281300</v>
      </c>
      <c r="D2003" s="284">
        <v>0</v>
      </c>
      <c r="E2003" s="284">
        <f t="shared" si="31"/>
        <v>0</v>
      </c>
      <c r="F2003" s="8" t="s">
        <v>920</v>
      </c>
      <c r="G2003" s="8" t="s">
        <v>464</v>
      </c>
      <c r="H2003" s="8" t="s">
        <v>5607</v>
      </c>
    </row>
    <row r="2004" spans="1:9" s="8" customFormat="1">
      <c r="A2004" s="13">
        <v>45902</v>
      </c>
      <c r="B2004" s="8" t="s">
        <v>3486</v>
      </c>
      <c r="C2004" s="284">
        <v>0</v>
      </c>
      <c r="D2004" s="284">
        <v>28250000</v>
      </c>
      <c r="E2004" s="284">
        <f t="shared" si="31"/>
        <v>28250000</v>
      </c>
      <c r="F2004" s="8" t="s">
        <v>920</v>
      </c>
      <c r="G2004" s="8" t="s">
        <v>400</v>
      </c>
      <c r="H2004" s="8" t="s">
        <v>5608</v>
      </c>
    </row>
    <row r="2005" spans="1:9" s="8" customFormat="1">
      <c r="A2005" s="13"/>
      <c r="B2005" s="8" t="s">
        <v>5613</v>
      </c>
      <c r="C2005" s="284">
        <v>92000</v>
      </c>
      <c r="D2005" s="284">
        <v>0</v>
      </c>
      <c r="E2005" s="284">
        <f t="shared" si="31"/>
        <v>28158000</v>
      </c>
      <c r="F2005" s="8" t="s">
        <v>10</v>
      </c>
      <c r="G2005" s="8" t="s">
        <v>446</v>
      </c>
      <c r="H2005" s="8" t="s">
        <v>3470</v>
      </c>
      <c r="I2005" s="8" t="s">
        <v>26</v>
      </c>
    </row>
    <row r="2006" spans="1:9" s="8" customFormat="1">
      <c r="A2006" s="13"/>
      <c r="B2006" s="8" t="s">
        <v>5614</v>
      </c>
      <c r="C2006" s="284">
        <v>2705000</v>
      </c>
      <c r="D2006" s="284">
        <v>0</v>
      </c>
      <c r="E2006" s="284">
        <f t="shared" si="31"/>
        <v>25453000</v>
      </c>
      <c r="F2006" s="8" t="s">
        <v>10</v>
      </c>
      <c r="G2006" s="8" t="s">
        <v>446</v>
      </c>
      <c r="H2006" s="8" t="s">
        <v>3470</v>
      </c>
      <c r="I2006" s="8" t="s">
        <v>26</v>
      </c>
    </row>
    <row r="2007" spans="1:9" s="8" customFormat="1">
      <c r="A2007" s="13"/>
      <c r="B2007" s="8" t="s">
        <v>5615</v>
      </c>
      <c r="C2007" s="284">
        <v>250000</v>
      </c>
      <c r="D2007" s="284">
        <v>0</v>
      </c>
      <c r="E2007" s="284">
        <f t="shared" si="31"/>
        <v>25203000</v>
      </c>
      <c r="F2007" s="8" t="s">
        <v>10</v>
      </c>
      <c r="G2007" s="8" t="s">
        <v>446</v>
      </c>
      <c r="H2007" s="8" t="s">
        <v>3470</v>
      </c>
      <c r="I2007" s="8" t="s">
        <v>26</v>
      </c>
    </row>
    <row r="2008" spans="1:9" s="8" customFormat="1">
      <c r="A2008" s="13"/>
      <c r="B2008" s="8" t="s">
        <v>5616</v>
      </c>
      <c r="C2008" s="284">
        <v>685000</v>
      </c>
      <c r="D2008" s="284">
        <v>0</v>
      </c>
      <c r="E2008" s="284">
        <f t="shared" si="31"/>
        <v>24518000</v>
      </c>
      <c r="F2008" s="8" t="s">
        <v>10</v>
      </c>
      <c r="G2008" s="8" t="s">
        <v>446</v>
      </c>
      <c r="H2008" s="8" t="s">
        <v>3470</v>
      </c>
      <c r="I2008" s="8" t="s">
        <v>26</v>
      </c>
    </row>
    <row r="2009" spans="1:9" s="8" customFormat="1">
      <c r="A2009" s="13"/>
      <c r="B2009" s="8" t="s">
        <v>5617</v>
      </c>
      <c r="C2009" s="284">
        <v>300000</v>
      </c>
      <c r="D2009" s="284">
        <v>0</v>
      </c>
      <c r="E2009" s="284">
        <f t="shared" si="31"/>
        <v>24218000</v>
      </c>
      <c r="F2009" s="8" t="s">
        <v>10</v>
      </c>
      <c r="G2009" s="8" t="s">
        <v>446</v>
      </c>
      <c r="H2009" s="8" t="s">
        <v>3470</v>
      </c>
      <c r="I2009" s="8" t="s">
        <v>26</v>
      </c>
    </row>
    <row r="2010" spans="1:9" s="8" customFormat="1">
      <c r="A2010" s="13"/>
      <c r="B2010" s="8" t="s">
        <v>5618</v>
      </c>
      <c r="C2010" s="284">
        <v>238970</v>
      </c>
      <c r="D2010" s="284">
        <v>0</v>
      </c>
      <c r="E2010" s="284">
        <f t="shared" si="31"/>
        <v>23979030</v>
      </c>
      <c r="F2010" s="8" t="s">
        <v>10</v>
      </c>
      <c r="G2010" s="8" t="s">
        <v>446</v>
      </c>
      <c r="H2010" s="8" t="s">
        <v>3470</v>
      </c>
      <c r="I2010" s="8" t="s">
        <v>26</v>
      </c>
    </row>
    <row r="2011" spans="1:9" s="8" customFormat="1">
      <c r="A2011" s="13"/>
      <c r="B2011" s="8" t="s">
        <v>5619</v>
      </c>
      <c r="C2011" s="284">
        <v>16645037</v>
      </c>
      <c r="D2011" s="284">
        <v>0</v>
      </c>
      <c r="E2011" s="284">
        <f t="shared" si="31"/>
        <v>7333993</v>
      </c>
      <c r="F2011" s="8" t="s">
        <v>10</v>
      </c>
      <c r="G2011" s="8" t="s">
        <v>446</v>
      </c>
      <c r="H2011" s="8" t="s">
        <v>3470</v>
      </c>
      <c r="I2011" s="8" t="s">
        <v>26</v>
      </c>
    </row>
    <row r="2012" spans="1:9" s="8" customFormat="1">
      <c r="A2012" s="13">
        <v>45931</v>
      </c>
      <c r="B2012" s="8" t="s">
        <v>3771</v>
      </c>
      <c r="C2012" s="284">
        <v>7333993</v>
      </c>
      <c r="D2012" s="284">
        <v>0</v>
      </c>
      <c r="E2012" s="284">
        <f t="shared" si="31"/>
        <v>0</v>
      </c>
      <c r="F2012" s="8" t="s">
        <v>920</v>
      </c>
      <c r="G2012" s="8" t="s">
        <v>464</v>
      </c>
      <c r="H2012" s="8" t="s">
        <v>5608</v>
      </c>
    </row>
    <row r="2013" spans="1:9" s="8" customFormat="1">
      <c r="A2013" s="13">
        <v>45909</v>
      </c>
      <c r="B2013" s="8" t="s">
        <v>3494</v>
      </c>
      <c r="C2013" s="284">
        <v>0</v>
      </c>
      <c r="D2013" s="284">
        <v>3000000</v>
      </c>
      <c r="E2013" s="284">
        <f t="shared" si="31"/>
        <v>3000000</v>
      </c>
      <c r="F2013" s="8" t="s">
        <v>920</v>
      </c>
      <c r="G2013" s="8" t="s">
        <v>400</v>
      </c>
      <c r="H2013" s="8" t="s">
        <v>5620</v>
      </c>
    </row>
    <row r="2014" spans="1:9" s="8" customFormat="1">
      <c r="A2014" s="13"/>
      <c r="B2014" s="8" t="s">
        <v>5621</v>
      </c>
      <c r="C2014" s="284">
        <v>50000</v>
      </c>
      <c r="D2014" s="284">
        <v>0</v>
      </c>
      <c r="E2014" s="284">
        <f t="shared" si="31"/>
        <v>2950000</v>
      </c>
      <c r="F2014" s="8" t="s">
        <v>10</v>
      </c>
      <c r="G2014" s="8" t="s">
        <v>446</v>
      </c>
      <c r="H2014" s="8" t="s">
        <v>3470</v>
      </c>
      <c r="I2014" s="8" t="s">
        <v>26</v>
      </c>
    </row>
    <row r="2015" spans="1:9" s="8" customFormat="1">
      <c r="A2015" s="13"/>
      <c r="B2015" s="8" t="s">
        <v>5622</v>
      </c>
      <c r="C2015" s="284">
        <v>80000</v>
      </c>
      <c r="D2015" s="284">
        <v>0</v>
      </c>
      <c r="E2015" s="284">
        <f t="shared" si="31"/>
        <v>2870000</v>
      </c>
      <c r="F2015" s="8" t="s">
        <v>10</v>
      </c>
      <c r="G2015" s="8" t="s">
        <v>446</v>
      </c>
      <c r="H2015" s="8" t="s">
        <v>3470</v>
      </c>
      <c r="I2015" s="8" t="s">
        <v>26</v>
      </c>
    </row>
    <row r="2016" spans="1:9" s="8" customFormat="1">
      <c r="A2016" s="13"/>
      <c r="B2016" s="8" t="s">
        <v>5623</v>
      </c>
      <c r="C2016" s="284">
        <v>145000</v>
      </c>
      <c r="D2016" s="284">
        <v>0</v>
      </c>
      <c r="E2016" s="284">
        <f t="shared" si="31"/>
        <v>2725000</v>
      </c>
      <c r="F2016" s="8" t="s">
        <v>10</v>
      </c>
      <c r="G2016" s="8" t="s">
        <v>446</v>
      </c>
      <c r="H2016" s="8" t="s">
        <v>3470</v>
      </c>
      <c r="I2016" s="8" t="s">
        <v>26</v>
      </c>
    </row>
    <row r="2017" spans="1:9" s="8" customFormat="1">
      <c r="A2017" s="13"/>
      <c r="B2017" s="8" t="s">
        <v>5358</v>
      </c>
      <c r="C2017" s="284">
        <v>172000</v>
      </c>
      <c r="D2017" s="284">
        <v>0</v>
      </c>
      <c r="E2017" s="284">
        <f t="shared" si="31"/>
        <v>2553000</v>
      </c>
      <c r="F2017" s="8" t="s">
        <v>10</v>
      </c>
      <c r="G2017" s="8" t="s">
        <v>446</v>
      </c>
      <c r="H2017" s="8" t="s">
        <v>3470</v>
      </c>
      <c r="I2017" s="8" t="s">
        <v>26</v>
      </c>
    </row>
    <row r="2018" spans="1:9" s="8" customFormat="1">
      <c r="A2018" s="13"/>
      <c r="B2018" s="8" t="s">
        <v>5624</v>
      </c>
      <c r="C2018" s="284">
        <v>85000</v>
      </c>
      <c r="D2018" s="284">
        <v>0</v>
      </c>
      <c r="E2018" s="284">
        <f t="shared" si="31"/>
        <v>2468000</v>
      </c>
      <c r="F2018" s="8" t="s">
        <v>10</v>
      </c>
      <c r="G2018" s="8" t="s">
        <v>446</v>
      </c>
      <c r="H2018" s="8" t="s">
        <v>3470</v>
      </c>
      <c r="I2018" s="8" t="s">
        <v>26</v>
      </c>
    </row>
    <row r="2019" spans="1:9" s="8" customFormat="1">
      <c r="A2019" s="13"/>
      <c r="B2019" s="8" t="s">
        <v>5150</v>
      </c>
      <c r="C2019" s="284">
        <v>20000</v>
      </c>
      <c r="D2019" s="284">
        <v>0</v>
      </c>
      <c r="E2019" s="284">
        <f t="shared" si="31"/>
        <v>2448000</v>
      </c>
      <c r="F2019" s="8" t="s">
        <v>10</v>
      </c>
      <c r="G2019" s="8" t="s">
        <v>446</v>
      </c>
      <c r="H2019" s="8" t="s">
        <v>3470</v>
      </c>
      <c r="I2019" s="8" t="s">
        <v>26</v>
      </c>
    </row>
    <row r="2020" spans="1:9" s="8" customFormat="1">
      <c r="A2020" s="13"/>
      <c r="B2020" s="8" t="s">
        <v>5625</v>
      </c>
      <c r="C2020" s="284">
        <v>44000</v>
      </c>
      <c r="D2020" s="284">
        <v>0</v>
      </c>
      <c r="E2020" s="284">
        <f t="shared" si="31"/>
        <v>2404000</v>
      </c>
      <c r="F2020" s="8" t="s">
        <v>10</v>
      </c>
      <c r="G2020" s="8" t="s">
        <v>446</v>
      </c>
      <c r="H2020" s="8" t="s">
        <v>3470</v>
      </c>
      <c r="I2020" s="8" t="s">
        <v>26</v>
      </c>
    </row>
    <row r="2021" spans="1:9" s="8" customFormat="1">
      <c r="A2021" s="13"/>
      <c r="B2021" s="8" t="s">
        <v>5626</v>
      </c>
      <c r="C2021" s="284">
        <v>8000</v>
      </c>
      <c r="D2021" s="284">
        <v>0</v>
      </c>
      <c r="E2021" s="284">
        <f t="shared" si="31"/>
        <v>2396000</v>
      </c>
      <c r="F2021" s="8" t="s">
        <v>10</v>
      </c>
      <c r="G2021" s="8" t="s">
        <v>446</v>
      </c>
      <c r="H2021" s="8" t="s">
        <v>3470</v>
      </c>
      <c r="I2021" s="8" t="s">
        <v>26</v>
      </c>
    </row>
    <row r="2022" spans="1:9" s="8" customFormat="1">
      <c r="A2022" s="13"/>
      <c r="B2022" s="8" t="s">
        <v>5627</v>
      </c>
      <c r="C2022" s="284">
        <v>15500</v>
      </c>
      <c r="D2022" s="284">
        <v>0</v>
      </c>
      <c r="E2022" s="284">
        <f t="shared" si="31"/>
        <v>2380500</v>
      </c>
      <c r="F2022" s="8" t="s">
        <v>10</v>
      </c>
      <c r="G2022" s="8" t="s">
        <v>446</v>
      </c>
      <c r="H2022" s="8" t="s">
        <v>3470</v>
      </c>
      <c r="I2022" s="8" t="s">
        <v>26</v>
      </c>
    </row>
    <row r="2023" spans="1:9" s="8" customFormat="1">
      <c r="A2023" s="13"/>
      <c r="B2023" s="8" t="s">
        <v>5628</v>
      </c>
      <c r="C2023" s="284">
        <v>204000</v>
      </c>
      <c r="D2023" s="284">
        <v>0</v>
      </c>
      <c r="E2023" s="284">
        <f t="shared" si="31"/>
        <v>2176500</v>
      </c>
      <c r="F2023" s="8" t="s">
        <v>10</v>
      </c>
      <c r="G2023" s="8" t="s">
        <v>446</v>
      </c>
      <c r="H2023" s="8" t="s">
        <v>3470</v>
      </c>
      <c r="I2023" s="8" t="s">
        <v>26</v>
      </c>
    </row>
    <row r="2024" spans="1:9" s="8" customFormat="1">
      <c r="A2024" s="13"/>
      <c r="B2024" s="8" t="s">
        <v>5629</v>
      </c>
      <c r="C2024" s="284">
        <v>11500</v>
      </c>
      <c r="D2024" s="284">
        <v>0</v>
      </c>
      <c r="E2024" s="284">
        <f t="shared" si="31"/>
        <v>2165000</v>
      </c>
      <c r="F2024" s="8" t="s">
        <v>10</v>
      </c>
      <c r="G2024" s="8" t="s">
        <v>446</v>
      </c>
      <c r="H2024" s="8" t="s">
        <v>3470</v>
      </c>
      <c r="I2024" s="8" t="s">
        <v>26</v>
      </c>
    </row>
    <row r="2025" spans="1:9" s="8" customFormat="1">
      <c r="A2025" s="13"/>
      <c r="B2025" s="8" t="s">
        <v>5630</v>
      </c>
      <c r="C2025" s="284">
        <v>621206</v>
      </c>
      <c r="D2025" s="284">
        <v>0</v>
      </c>
      <c r="E2025" s="284">
        <f t="shared" si="31"/>
        <v>1543794</v>
      </c>
      <c r="F2025" s="8" t="s">
        <v>10</v>
      </c>
      <c r="G2025" s="8" t="s">
        <v>446</v>
      </c>
      <c r="H2025" s="8" t="s">
        <v>3470</v>
      </c>
      <c r="I2025" s="8" t="s">
        <v>26</v>
      </c>
    </row>
    <row r="2026" spans="1:9" s="8" customFormat="1">
      <c r="A2026" s="13"/>
      <c r="B2026" s="8" t="s">
        <v>5631</v>
      </c>
      <c r="C2026" s="284">
        <v>13500</v>
      </c>
      <c r="D2026" s="284">
        <v>0</v>
      </c>
      <c r="E2026" s="284">
        <f t="shared" si="31"/>
        <v>1530294</v>
      </c>
      <c r="F2026" s="8" t="s">
        <v>10</v>
      </c>
      <c r="G2026" s="8" t="s">
        <v>446</v>
      </c>
      <c r="H2026" s="8" t="s">
        <v>3470</v>
      </c>
      <c r="I2026" s="8" t="s">
        <v>26</v>
      </c>
    </row>
    <row r="2027" spans="1:9" s="8" customFormat="1">
      <c r="A2027" s="13"/>
      <c r="B2027" s="8" t="s">
        <v>5632</v>
      </c>
      <c r="C2027" s="284">
        <v>200000</v>
      </c>
      <c r="D2027" s="284">
        <v>0</v>
      </c>
      <c r="E2027" s="284">
        <f t="shared" si="31"/>
        <v>1330294</v>
      </c>
      <c r="F2027" s="8" t="s">
        <v>10</v>
      </c>
      <c r="G2027" s="8" t="s">
        <v>446</v>
      </c>
      <c r="H2027" s="8" t="s">
        <v>3470</v>
      </c>
      <c r="I2027" s="8" t="s">
        <v>26</v>
      </c>
    </row>
    <row r="2028" spans="1:9" s="8" customFormat="1">
      <c r="A2028" s="13"/>
      <c r="B2028" s="8" t="s">
        <v>5633</v>
      </c>
      <c r="C2028" s="284">
        <v>50000</v>
      </c>
      <c r="D2028" s="284">
        <v>0</v>
      </c>
      <c r="E2028" s="284">
        <f t="shared" si="31"/>
        <v>1280294</v>
      </c>
      <c r="F2028" s="8" t="s">
        <v>10</v>
      </c>
      <c r="G2028" s="8" t="s">
        <v>446</v>
      </c>
      <c r="H2028" s="8" t="s">
        <v>3470</v>
      </c>
      <c r="I2028" s="8" t="s">
        <v>26</v>
      </c>
    </row>
    <row r="2029" spans="1:9" s="8" customFormat="1">
      <c r="A2029" s="13"/>
      <c r="B2029" s="8" t="s">
        <v>5634</v>
      </c>
      <c r="C2029" s="284">
        <v>200000</v>
      </c>
      <c r="D2029" s="284">
        <v>0</v>
      </c>
      <c r="E2029" s="284">
        <f t="shared" si="31"/>
        <v>1080294</v>
      </c>
      <c r="F2029" s="8" t="s">
        <v>10</v>
      </c>
      <c r="G2029" s="8" t="s">
        <v>446</v>
      </c>
      <c r="H2029" s="8" t="s">
        <v>3470</v>
      </c>
      <c r="I2029" s="8" t="s">
        <v>26</v>
      </c>
    </row>
    <row r="2030" spans="1:9" s="8" customFormat="1">
      <c r="A2030" s="13"/>
      <c r="B2030" s="8" t="s">
        <v>5635</v>
      </c>
      <c r="C2030" s="284">
        <v>140000</v>
      </c>
      <c r="D2030" s="284">
        <v>0</v>
      </c>
      <c r="E2030" s="284">
        <f t="shared" si="31"/>
        <v>940294</v>
      </c>
      <c r="F2030" s="8" t="s">
        <v>10</v>
      </c>
      <c r="G2030" s="8" t="s">
        <v>446</v>
      </c>
      <c r="H2030" s="8" t="s">
        <v>3470</v>
      </c>
      <c r="I2030" s="8" t="s">
        <v>26</v>
      </c>
    </row>
    <row r="2031" spans="1:9" s="8" customFormat="1">
      <c r="A2031" s="13">
        <v>45960</v>
      </c>
      <c r="B2031" s="8" t="s">
        <v>3896</v>
      </c>
      <c r="C2031" s="284">
        <v>940294</v>
      </c>
      <c r="D2031" s="284">
        <v>0</v>
      </c>
      <c r="E2031" s="284">
        <f t="shared" si="31"/>
        <v>0</v>
      </c>
      <c r="F2031" s="8" t="s">
        <v>920</v>
      </c>
      <c r="G2031" s="8" t="s">
        <v>464</v>
      </c>
      <c r="H2031" s="8" t="s">
        <v>5620</v>
      </c>
    </row>
    <row r="2032" spans="1:9" s="8" customFormat="1">
      <c r="A2032" s="13">
        <v>45930</v>
      </c>
      <c r="B2032" s="8" t="s">
        <v>3524</v>
      </c>
      <c r="C2032" s="284">
        <v>0</v>
      </c>
      <c r="D2032" s="284">
        <v>60000000</v>
      </c>
      <c r="E2032" s="284">
        <f t="shared" si="31"/>
        <v>60000000</v>
      </c>
      <c r="F2032" s="8" t="s">
        <v>920</v>
      </c>
      <c r="G2032" s="8" t="s">
        <v>400</v>
      </c>
      <c r="H2032" s="8" t="s">
        <v>5636</v>
      </c>
    </row>
    <row r="2033" spans="1:8" s="8" customFormat="1">
      <c r="A2033" s="13"/>
      <c r="B2033" s="205" t="s">
        <v>5637</v>
      </c>
      <c r="C2033" s="293">
        <v>27000000</v>
      </c>
      <c r="D2033" s="209">
        <v>0</v>
      </c>
      <c r="E2033" s="284">
        <f t="shared" si="31"/>
        <v>33000000</v>
      </c>
      <c r="F2033" s="294" t="s">
        <v>1643</v>
      </c>
      <c r="G2033" s="294" t="s">
        <v>5</v>
      </c>
      <c r="H2033" s="43" t="s">
        <v>6576</v>
      </c>
    </row>
    <row r="2034" spans="1:8" s="8" customFormat="1">
      <c r="A2034" s="13"/>
      <c r="B2034" s="205" t="s">
        <v>5638</v>
      </c>
      <c r="C2034" s="293">
        <v>1500000</v>
      </c>
      <c r="D2034" s="209">
        <v>0</v>
      </c>
      <c r="E2034" s="284">
        <f t="shared" si="31"/>
        <v>31500000</v>
      </c>
      <c r="F2034" s="294" t="s">
        <v>1643</v>
      </c>
      <c r="G2034" s="294" t="s">
        <v>5</v>
      </c>
      <c r="H2034" s="43" t="s">
        <v>6576</v>
      </c>
    </row>
    <row r="2035" spans="1:8" s="8" customFormat="1">
      <c r="A2035" s="13"/>
      <c r="B2035" s="205" t="s">
        <v>5639</v>
      </c>
      <c r="C2035" s="293">
        <v>4219500</v>
      </c>
      <c r="D2035" s="209">
        <v>0</v>
      </c>
      <c r="E2035" s="284">
        <f t="shared" si="31"/>
        <v>27280500</v>
      </c>
      <c r="F2035" s="294" t="s">
        <v>1643</v>
      </c>
      <c r="G2035" s="294" t="s">
        <v>5</v>
      </c>
      <c r="H2035" s="43" t="s">
        <v>6576</v>
      </c>
    </row>
    <row r="2036" spans="1:8" s="8" customFormat="1">
      <c r="A2036" s="13"/>
      <c r="B2036" s="205" t="s">
        <v>5640</v>
      </c>
      <c r="C2036" s="293">
        <v>29700000</v>
      </c>
      <c r="D2036" s="209">
        <v>0</v>
      </c>
      <c r="E2036" s="284">
        <f t="shared" si="31"/>
        <v>-2419500</v>
      </c>
      <c r="F2036" s="294" t="s">
        <v>1643</v>
      </c>
      <c r="G2036" s="294" t="s">
        <v>5</v>
      </c>
      <c r="H2036" s="43" t="s">
        <v>6576</v>
      </c>
    </row>
    <row r="2037" spans="1:8" s="8" customFormat="1">
      <c r="A2037" s="13">
        <v>45936</v>
      </c>
      <c r="B2037" s="8" t="s">
        <v>3799</v>
      </c>
      <c r="C2037" s="284">
        <v>0</v>
      </c>
      <c r="D2037" s="284">
        <v>2419500</v>
      </c>
      <c r="E2037" s="284">
        <f t="shared" si="31"/>
        <v>0</v>
      </c>
      <c r="F2037" s="8" t="s">
        <v>920</v>
      </c>
      <c r="G2037" s="8" t="s">
        <v>400</v>
      </c>
      <c r="H2037" s="8" t="s">
        <v>5636</v>
      </c>
    </row>
    <row r="2038" spans="1:8" s="8" customFormat="1">
      <c r="A2038" s="13">
        <v>45930</v>
      </c>
      <c r="B2038" s="8" t="s">
        <v>3523</v>
      </c>
      <c r="C2038" s="284">
        <v>0</v>
      </c>
      <c r="D2038" s="284">
        <v>15000000</v>
      </c>
      <c r="E2038" s="284">
        <f t="shared" si="31"/>
        <v>15000000</v>
      </c>
      <c r="F2038" s="8" t="s">
        <v>920</v>
      </c>
      <c r="G2038" s="8" t="s">
        <v>400</v>
      </c>
      <c r="H2038" s="8" t="s">
        <v>5641</v>
      </c>
    </row>
    <row r="2039" spans="1:8" s="8" customFormat="1">
      <c r="A2039" s="13"/>
      <c r="B2039" s="8" t="s">
        <v>6211</v>
      </c>
      <c r="C2039" s="290">
        <v>52000</v>
      </c>
      <c r="D2039" s="290">
        <v>0</v>
      </c>
      <c r="E2039" s="284">
        <f t="shared" si="31"/>
        <v>14948000</v>
      </c>
      <c r="F2039" s="294" t="s">
        <v>1643</v>
      </c>
      <c r="G2039" s="294" t="s">
        <v>5</v>
      </c>
      <c r="H2039" s="43" t="s">
        <v>6576</v>
      </c>
    </row>
    <row r="2040" spans="1:8" s="8" customFormat="1">
      <c r="A2040" s="13"/>
      <c r="B2040" s="8" t="s">
        <v>6212</v>
      </c>
      <c r="C2040" s="290">
        <v>32000</v>
      </c>
      <c r="D2040" s="290">
        <v>0</v>
      </c>
      <c r="E2040" s="284">
        <f t="shared" si="31"/>
        <v>14916000</v>
      </c>
      <c r="F2040" s="294" t="s">
        <v>1643</v>
      </c>
      <c r="G2040" s="294" t="s">
        <v>5</v>
      </c>
      <c r="H2040" s="43" t="s">
        <v>6576</v>
      </c>
    </row>
    <row r="2041" spans="1:8" s="8" customFormat="1">
      <c r="A2041" s="13"/>
      <c r="B2041" s="8" t="s">
        <v>6213</v>
      </c>
      <c r="C2041" s="290">
        <v>610000</v>
      </c>
      <c r="D2041" s="290">
        <v>0</v>
      </c>
      <c r="E2041" s="284">
        <f t="shared" si="31"/>
        <v>14306000</v>
      </c>
      <c r="F2041" s="294" t="s">
        <v>1643</v>
      </c>
      <c r="G2041" s="294" t="s">
        <v>5</v>
      </c>
      <c r="H2041" s="43" t="s">
        <v>6576</v>
      </c>
    </row>
    <row r="2042" spans="1:8" s="8" customFormat="1">
      <c r="A2042" s="13"/>
      <c r="B2042" s="8" t="s">
        <v>5523</v>
      </c>
      <c r="C2042" s="290">
        <v>30000</v>
      </c>
      <c r="D2042" s="290">
        <v>0</v>
      </c>
      <c r="E2042" s="284">
        <f t="shared" si="31"/>
        <v>14276000</v>
      </c>
      <c r="F2042" s="294" t="s">
        <v>1643</v>
      </c>
      <c r="G2042" s="294" t="s">
        <v>5</v>
      </c>
      <c r="H2042" s="43" t="s">
        <v>6576</v>
      </c>
    </row>
    <row r="2043" spans="1:8" s="8" customFormat="1">
      <c r="A2043" s="13"/>
      <c r="B2043" s="8" t="s">
        <v>6214</v>
      </c>
      <c r="C2043" s="290">
        <v>254000</v>
      </c>
      <c r="D2043" s="290">
        <v>0</v>
      </c>
      <c r="E2043" s="284">
        <f t="shared" si="31"/>
        <v>14022000</v>
      </c>
      <c r="F2043" s="294" t="s">
        <v>1643</v>
      </c>
      <c r="G2043" s="294" t="s">
        <v>5</v>
      </c>
      <c r="H2043" s="43" t="s">
        <v>6576</v>
      </c>
    </row>
    <row r="2044" spans="1:8" s="8" customFormat="1">
      <c r="A2044" s="13"/>
      <c r="B2044" s="8" t="s">
        <v>6215</v>
      </c>
      <c r="C2044" s="290">
        <v>268000</v>
      </c>
      <c r="D2044" s="290">
        <v>0</v>
      </c>
      <c r="E2044" s="284">
        <f t="shared" si="31"/>
        <v>13754000</v>
      </c>
      <c r="F2044" s="294" t="s">
        <v>1643</v>
      </c>
      <c r="G2044" s="294" t="s">
        <v>5</v>
      </c>
      <c r="H2044" s="43" t="s">
        <v>6576</v>
      </c>
    </row>
    <row r="2045" spans="1:8" s="8" customFormat="1">
      <c r="A2045" s="13"/>
      <c r="B2045" s="8" t="s">
        <v>6216</v>
      </c>
      <c r="C2045" s="290">
        <v>15000</v>
      </c>
      <c r="D2045" s="290">
        <v>0</v>
      </c>
      <c r="E2045" s="284">
        <f t="shared" si="31"/>
        <v>13739000</v>
      </c>
      <c r="F2045" s="294" t="s">
        <v>1643</v>
      </c>
      <c r="G2045" s="294" t="s">
        <v>5</v>
      </c>
      <c r="H2045" s="43" t="s">
        <v>6576</v>
      </c>
    </row>
    <row r="2046" spans="1:8" s="8" customFormat="1">
      <c r="A2046" s="13"/>
      <c r="B2046" s="8" t="s">
        <v>6217</v>
      </c>
      <c r="C2046" s="290">
        <v>57200</v>
      </c>
      <c r="D2046" s="290">
        <v>0</v>
      </c>
      <c r="E2046" s="284">
        <f t="shared" si="31"/>
        <v>13681800</v>
      </c>
      <c r="F2046" s="294" t="s">
        <v>1643</v>
      </c>
      <c r="G2046" s="294" t="s">
        <v>5</v>
      </c>
      <c r="H2046" s="43" t="s">
        <v>6576</v>
      </c>
    </row>
    <row r="2047" spans="1:8" s="8" customFormat="1">
      <c r="A2047" s="13"/>
      <c r="B2047" s="8" t="s">
        <v>6218</v>
      </c>
      <c r="C2047" s="290">
        <v>14300</v>
      </c>
      <c r="D2047" s="290">
        <v>0</v>
      </c>
      <c r="E2047" s="284">
        <f t="shared" si="31"/>
        <v>13667500</v>
      </c>
      <c r="F2047" s="294" t="s">
        <v>1643</v>
      </c>
      <c r="G2047" s="294" t="s">
        <v>5</v>
      </c>
      <c r="H2047" s="43" t="s">
        <v>6576</v>
      </c>
    </row>
    <row r="2048" spans="1:8" s="8" customFormat="1">
      <c r="A2048" s="13"/>
      <c r="B2048" s="8" t="s">
        <v>6219</v>
      </c>
      <c r="C2048" s="290">
        <v>47500</v>
      </c>
      <c r="D2048" s="290">
        <v>0</v>
      </c>
      <c r="E2048" s="284">
        <f t="shared" si="31"/>
        <v>13620000</v>
      </c>
      <c r="F2048" s="294" t="s">
        <v>1643</v>
      </c>
      <c r="G2048" s="294" t="s">
        <v>5</v>
      </c>
      <c r="H2048" s="43" t="s">
        <v>6576</v>
      </c>
    </row>
    <row r="2049" spans="1:8" s="8" customFormat="1">
      <c r="A2049" s="13"/>
      <c r="B2049" s="8" t="s">
        <v>6220</v>
      </c>
      <c r="C2049" s="290">
        <v>47500</v>
      </c>
      <c r="D2049" s="290">
        <v>0</v>
      </c>
      <c r="E2049" s="284">
        <f t="shared" si="31"/>
        <v>13572500</v>
      </c>
      <c r="F2049" s="294" t="s">
        <v>1643</v>
      </c>
      <c r="G2049" s="294" t="s">
        <v>5</v>
      </c>
      <c r="H2049" s="43" t="s">
        <v>6576</v>
      </c>
    </row>
    <row r="2050" spans="1:8" s="8" customFormat="1">
      <c r="A2050" s="13"/>
      <c r="B2050" s="8" t="s">
        <v>6221</v>
      </c>
      <c r="C2050" s="290">
        <v>47500</v>
      </c>
      <c r="D2050" s="290">
        <v>0</v>
      </c>
      <c r="E2050" s="284">
        <f t="shared" si="31"/>
        <v>13525000</v>
      </c>
      <c r="F2050" s="294" t="s">
        <v>1643</v>
      </c>
      <c r="G2050" s="294" t="s">
        <v>5</v>
      </c>
      <c r="H2050" s="43" t="s">
        <v>6576</v>
      </c>
    </row>
    <row r="2051" spans="1:8" s="8" customFormat="1">
      <c r="A2051" s="13"/>
      <c r="B2051" s="8" t="s">
        <v>6222</v>
      </c>
      <c r="C2051" s="290">
        <v>47500</v>
      </c>
      <c r="D2051" s="290">
        <v>0</v>
      </c>
      <c r="E2051" s="284">
        <f t="shared" si="31"/>
        <v>13477500</v>
      </c>
      <c r="F2051" s="294" t="s">
        <v>1643</v>
      </c>
      <c r="G2051" s="294" t="s">
        <v>5</v>
      </c>
      <c r="H2051" s="43" t="s">
        <v>6576</v>
      </c>
    </row>
    <row r="2052" spans="1:8" s="8" customFormat="1">
      <c r="A2052" s="13"/>
      <c r="B2052" s="8" t="s">
        <v>6223</v>
      </c>
      <c r="C2052" s="290">
        <v>47500</v>
      </c>
      <c r="D2052" s="290">
        <v>0</v>
      </c>
      <c r="E2052" s="284">
        <f t="shared" si="31"/>
        <v>13430000</v>
      </c>
      <c r="F2052" s="294" t="s">
        <v>1643</v>
      </c>
      <c r="G2052" s="294" t="s">
        <v>5</v>
      </c>
      <c r="H2052" s="43" t="s">
        <v>6576</v>
      </c>
    </row>
    <row r="2053" spans="1:8" s="8" customFormat="1">
      <c r="A2053" s="13"/>
      <c r="B2053" s="8" t="s">
        <v>6224</v>
      </c>
      <c r="C2053" s="290">
        <v>47500</v>
      </c>
      <c r="D2053" s="290">
        <v>0</v>
      </c>
      <c r="E2053" s="284">
        <f t="shared" si="31"/>
        <v>13382500</v>
      </c>
      <c r="F2053" s="294" t="s">
        <v>1643</v>
      </c>
      <c r="G2053" s="294" t="s">
        <v>5</v>
      </c>
      <c r="H2053" s="43" t="s">
        <v>6576</v>
      </c>
    </row>
    <row r="2054" spans="1:8" s="8" customFormat="1">
      <c r="A2054" s="13"/>
      <c r="B2054" s="8" t="s">
        <v>6225</v>
      </c>
      <c r="C2054" s="290">
        <v>47500</v>
      </c>
      <c r="D2054" s="290">
        <v>0</v>
      </c>
      <c r="E2054" s="284">
        <f t="shared" ref="E2054:E2117" si="32">E2053-C2054+D2054</f>
        <v>13335000</v>
      </c>
      <c r="F2054" s="294" t="s">
        <v>1643</v>
      </c>
      <c r="G2054" s="294" t="s">
        <v>5</v>
      </c>
      <c r="H2054" s="43" t="s">
        <v>6576</v>
      </c>
    </row>
    <row r="2055" spans="1:8" s="8" customFormat="1">
      <c r="A2055" s="13"/>
      <c r="B2055" s="8" t="s">
        <v>6226</v>
      </c>
      <c r="C2055" s="290">
        <v>47500</v>
      </c>
      <c r="D2055" s="290">
        <v>0</v>
      </c>
      <c r="E2055" s="284">
        <f t="shared" si="32"/>
        <v>13287500</v>
      </c>
      <c r="F2055" s="294" t="s">
        <v>1643</v>
      </c>
      <c r="G2055" s="294" t="s">
        <v>5</v>
      </c>
      <c r="H2055" s="43" t="s">
        <v>6576</v>
      </c>
    </row>
    <row r="2056" spans="1:8" s="8" customFormat="1">
      <c r="A2056" s="13"/>
      <c r="B2056" s="8" t="s">
        <v>6227</v>
      </c>
      <c r="C2056" s="290">
        <v>47500</v>
      </c>
      <c r="D2056" s="290">
        <v>0</v>
      </c>
      <c r="E2056" s="284">
        <f t="shared" si="32"/>
        <v>13240000</v>
      </c>
      <c r="F2056" s="294" t="s">
        <v>1643</v>
      </c>
      <c r="G2056" s="294" t="s">
        <v>5</v>
      </c>
      <c r="H2056" s="43" t="s">
        <v>6576</v>
      </c>
    </row>
    <row r="2057" spans="1:8" s="8" customFormat="1">
      <c r="A2057" s="13"/>
      <c r="B2057" s="8" t="s">
        <v>6228</v>
      </c>
      <c r="C2057" s="290">
        <v>47500</v>
      </c>
      <c r="D2057" s="290">
        <v>0</v>
      </c>
      <c r="E2057" s="284">
        <f t="shared" si="32"/>
        <v>13192500</v>
      </c>
      <c r="F2057" s="294" t="s">
        <v>1643</v>
      </c>
      <c r="G2057" s="294" t="s">
        <v>5</v>
      </c>
      <c r="H2057" s="43" t="s">
        <v>6576</v>
      </c>
    </row>
    <row r="2058" spans="1:8" s="8" customFormat="1">
      <c r="A2058" s="13"/>
      <c r="B2058" s="8" t="s">
        <v>6229</v>
      </c>
      <c r="C2058" s="290">
        <v>47500</v>
      </c>
      <c r="D2058" s="290">
        <v>0</v>
      </c>
      <c r="E2058" s="284">
        <f t="shared" si="32"/>
        <v>13145000</v>
      </c>
      <c r="F2058" s="294" t="s">
        <v>1643</v>
      </c>
      <c r="G2058" s="294" t="s">
        <v>5</v>
      </c>
      <c r="H2058" s="43" t="s">
        <v>6576</v>
      </c>
    </row>
    <row r="2059" spans="1:8" s="8" customFormat="1">
      <c r="A2059" s="13"/>
      <c r="B2059" s="8" t="s">
        <v>6230</v>
      </c>
      <c r="C2059" s="290">
        <v>47500</v>
      </c>
      <c r="D2059" s="290">
        <v>0</v>
      </c>
      <c r="E2059" s="284">
        <f t="shared" si="32"/>
        <v>13097500</v>
      </c>
      <c r="F2059" s="294" t="s">
        <v>1643</v>
      </c>
      <c r="G2059" s="294" t="s">
        <v>5</v>
      </c>
      <c r="H2059" s="43" t="s">
        <v>6576</v>
      </c>
    </row>
    <row r="2060" spans="1:8" s="8" customFormat="1">
      <c r="A2060" s="13"/>
      <c r="B2060" s="8" t="s">
        <v>6231</v>
      </c>
      <c r="C2060" s="290">
        <v>47500</v>
      </c>
      <c r="D2060" s="290">
        <v>0</v>
      </c>
      <c r="E2060" s="284">
        <f t="shared" si="32"/>
        <v>13050000</v>
      </c>
      <c r="F2060" s="294" t="s">
        <v>1643</v>
      </c>
      <c r="G2060" s="294" t="s">
        <v>5</v>
      </c>
      <c r="H2060" s="43" t="s">
        <v>6576</v>
      </c>
    </row>
    <row r="2061" spans="1:8" s="8" customFormat="1">
      <c r="A2061" s="13"/>
      <c r="B2061" s="8" t="s">
        <v>6232</v>
      </c>
      <c r="C2061" s="290">
        <v>47500</v>
      </c>
      <c r="D2061" s="290">
        <v>0</v>
      </c>
      <c r="E2061" s="284">
        <f t="shared" si="32"/>
        <v>13002500</v>
      </c>
      <c r="F2061" s="294" t="s">
        <v>1643</v>
      </c>
      <c r="G2061" s="294" t="s">
        <v>5</v>
      </c>
      <c r="H2061" s="43" t="s">
        <v>6576</v>
      </c>
    </row>
    <row r="2062" spans="1:8" s="8" customFormat="1">
      <c r="A2062" s="13"/>
      <c r="B2062" s="8" t="s">
        <v>6233</v>
      </c>
      <c r="C2062" s="290">
        <v>47500</v>
      </c>
      <c r="D2062" s="290">
        <v>0</v>
      </c>
      <c r="E2062" s="284">
        <f t="shared" si="32"/>
        <v>12955000</v>
      </c>
      <c r="F2062" s="294" t="s">
        <v>1643</v>
      </c>
      <c r="G2062" s="294" t="s">
        <v>5</v>
      </c>
      <c r="H2062" s="43" t="s">
        <v>6576</v>
      </c>
    </row>
    <row r="2063" spans="1:8" s="8" customFormat="1">
      <c r="A2063" s="13"/>
      <c r="B2063" s="8" t="s">
        <v>6234</v>
      </c>
      <c r="C2063" s="290">
        <v>47500</v>
      </c>
      <c r="D2063" s="290">
        <v>0</v>
      </c>
      <c r="E2063" s="284">
        <f t="shared" si="32"/>
        <v>12907500</v>
      </c>
      <c r="F2063" s="294" t="s">
        <v>1643</v>
      </c>
      <c r="G2063" s="294" t="s">
        <v>5</v>
      </c>
      <c r="H2063" s="43" t="s">
        <v>6576</v>
      </c>
    </row>
    <row r="2064" spans="1:8" s="8" customFormat="1">
      <c r="A2064" s="13"/>
      <c r="B2064" s="8" t="s">
        <v>6235</v>
      </c>
      <c r="C2064" s="290">
        <v>47500</v>
      </c>
      <c r="D2064" s="290">
        <v>0</v>
      </c>
      <c r="E2064" s="284">
        <f t="shared" si="32"/>
        <v>12860000</v>
      </c>
      <c r="F2064" s="294" t="s">
        <v>1643</v>
      </c>
      <c r="G2064" s="294" t="s">
        <v>5</v>
      </c>
      <c r="H2064" s="43" t="s">
        <v>6576</v>
      </c>
    </row>
    <row r="2065" spans="1:8" s="8" customFormat="1">
      <c r="A2065" s="13"/>
      <c r="B2065" s="8" t="s">
        <v>6236</v>
      </c>
      <c r="C2065" s="290">
        <v>47500</v>
      </c>
      <c r="D2065" s="290">
        <v>0</v>
      </c>
      <c r="E2065" s="284">
        <f t="shared" si="32"/>
        <v>12812500</v>
      </c>
      <c r="F2065" s="294" t="s">
        <v>1643</v>
      </c>
      <c r="G2065" s="294" t="s">
        <v>5</v>
      </c>
      <c r="H2065" s="43" t="s">
        <v>6576</v>
      </c>
    </row>
    <row r="2066" spans="1:8" s="8" customFormat="1">
      <c r="A2066" s="13"/>
      <c r="B2066" s="8" t="s">
        <v>6237</v>
      </c>
      <c r="C2066" s="290">
        <v>47500</v>
      </c>
      <c r="D2066" s="290">
        <v>0</v>
      </c>
      <c r="E2066" s="284">
        <f t="shared" si="32"/>
        <v>12765000</v>
      </c>
      <c r="F2066" s="294" t="s">
        <v>1643</v>
      </c>
      <c r="G2066" s="294" t="s">
        <v>5</v>
      </c>
      <c r="H2066" s="43" t="s">
        <v>6576</v>
      </c>
    </row>
    <row r="2067" spans="1:8" s="8" customFormat="1">
      <c r="A2067" s="13"/>
      <c r="B2067" s="8" t="s">
        <v>6238</v>
      </c>
      <c r="C2067" s="290">
        <v>47500</v>
      </c>
      <c r="D2067" s="290">
        <v>0</v>
      </c>
      <c r="E2067" s="284">
        <f t="shared" si="32"/>
        <v>12717500</v>
      </c>
      <c r="F2067" s="294" t="s">
        <v>1643</v>
      </c>
      <c r="G2067" s="294" t="s">
        <v>5</v>
      </c>
      <c r="H2067" s="43" t="s">
        <v>6576</v>
      </c>
    </row>
    <row r="2068" spans="1:8" s="8" customFormat="1">
      <c r="A2068" s="13"/>
      <c r="B2068" s="8" t="s">
        <v>6239</v>
      </c>
      <c r="C2068" s="290">
        <v>4125000</v>
      </c>
      <c r="D2068" s="290">
        <v>0</v>
      </c>
      <c r="E2068" s="284">
        <f t="shared" si="32"/>
        <v>8592500</v>
      </c>
      <c r="F2068" s="294" t="s">
        <v>1643</v>
      </c>
      <c r="G2068" s="294" t="s">
        <v>5</v>
      </c>
      <c r="H2068" s="43" t="s">
        <v>6576</v>
      </c>
    </row>
    <row r="2069" spans="1:8" s="8" customFormat="1">
      <c r="A2069" s="13"/>
      <c r="B2069" s="8" t="s">
        <v>6240</v>
      </c>
      <c r="C2069" s="290">
        <v>2800000</v>
      </c>
      <c r="D2069" s="290">
        <v>0</v>
      </c>
      <c r="E2069" s="284">
        <f t="shared" si="32"/>
        <v>5792500</v>
      </c>
      <c r="F2069" s="294" t="s">
        <v>1643</v>
      </c>
      <c r="G2069" s="294" t="s">
        <v>5</v>
      </c>
      <c r="H2069" s="43" t="s">
        <v>6576</v>
      </c>
    </row>
    <row r="2070" spans="1:8" s="8" customFormat="1">
      <c r="A2070" s="13"/>
      <c r="B2070" s="8" t="s">
        <v>6241</v>
      </c>
      <c r="C2070" s="290">
        <v>290389</v>
      </c>
      <c r="D2070" s="290">
        <v>0</v>
      </c>
      <c r="E2070" s="284">
        <f t="shared" si="32"/>
        <v>5502111</v>
      </c>
      <c r="F2070" s="294" t="s">
        <v>1643</v>
      </c>
      <c r="G2070" s="294" t="s">
        <v>5</v>
      </c>
      <c r="H2070" s="43" t="s">
        <v>6576</v>
      </c>
    </row>
    <row r="2071" spans="1:8" s="8" customFormat="1">
      <c r="A2071" s="13"/>
      <c r="B2071" s="8" t="s">
        <v>6242</v>
      </c>
      <c r="C2071" s="290">
        <v>1300000</v>
      </c>
      <c r="D2071" s="290">
        <v>0</v>
      </c>
      <c r="E2071" s="284">
        <f t="shared" si="32"/>
        <v>4202111</v>
      </c>
      <c r="F2071" s="294" t="s">
        <v>1643</v>
      </c>
      <c r="G2071" s="294" t="s">
        <v>5</v>
      </c>
      <c r="H2071" s="43" t="s">
        <v>6576</v>
      </c>
    </row>
    <row r="2072" spans="1:8" s="8" customFormat="1">
      <c r="A2072" s="13"/>
      <c r="B2072" s="8" t="s">
        <v>6243</v>
      </c>
      <c r="C2072" s="290">
        <v>500000</v>
      </c>
      <c r="D2072" s="290">
        <v>0</v>
      </c>
      <c r="E2072" s="284">
        <f t="shared" si="32"/>
        <v>3702111</v>
      </c>
      <c r="F2072" s="294" t="s">
        <v>1643</v>
      </c>
      <c r="G2072" s="294" t="s">
        <v>5</v>
      </c>
      <c r="H2072" s="43" t="s">
        <v>6576</v>
      </c>
    </row>
    <row r="2073" spans="1:8" s="8" customFormat="1">
      <c r="A2073" s="13"/>
      <c r="B2073" s="8" t="s">
        <v>6244</v>
      </c>
      <c r="C2073" s="290">
        <v>60000</v>
      </c>
      <c r="D2073" s="290">
        <v>0</v>
      </c>
      <c r="E2073" s="284">
        <f t="shared" si="32"/>
        <v>3642111</v>
      </c>
      <c r="F2073" s="294" t="s">
        <v>1643</v>
      </c>
      <c r="G2073" s="294" t="s">
        <v>5</v>
      </c>
      <c r="H2073" s="43" t="s">
        <v>6576</v>
      </c>
    </row>
    <row r="2074" spans="1:8" s="8" customFormat="1">
      <c r="A2074" s="13"/>
      <c r="B2074" s="8" t="s">
        <v>6245</v>
      </c>
      <c r="C2074" s="290">
        <v>49000</v>
      </c>
      <c r="D2074" s="290">
        <v>0</v>
      </c>
      <c r="E2074" s="284">
        <f t="shared" si="32"/>
        <v>3593111</v>
      </c>
      <c r="F2074" s="294" t="s">
        <v>1643</v>
      </c>
      <c r="G2074" s="294" t="s">
        <v>5</v>
      </c>
      <c r="H2074" s="43" t="s">
        <v>6576</v>
      </c>
    </row>
    <row r="2075" spans="1:8" s="8" customFormat="1">
      <c r="A2075" s="13"/>
      <c r="B2075" s="8" t="s">
        <v>6246</v>
      </c>
      <c r="C2075" s="290">
        <v>304200</v>
      </c>
      <c r="D2075" s="290">
        <v>0</v>
      </c>
      <c r="E2075" s="284">
        <f t="shared" si="32"/>
        <v>3288911</v>
      </c>
      <c r="F2075" s="294" t="s">
        <v>1643</v>
      </c>
      <c r="G2075" s="294" t="s">
        <v>5</v>
      </c>
      <c r="H2075" s="43" t="s">
        <v>6576</v>
      </c>
    </row>
    <row r="2076" spans="1:8" s="8" customFormat="1">
      <c r="A2076" s="13"/>
      <c r="B2076" s="8" t="s">
        <v>6247</v>
      </c>
      <c r="C2076" s="290">
        <v>85000</v>
      </c>
      <c r="D2076" s="290">
        <v>0</v>
      </c>
      <c r="E2076" s="284">
        <f t="shared" si="32"/>
        <v>3203911</v>
      </c>
      <c r="F2076" s="294" t="s">
        <v>1643</v>
      </c>
      <c r="G2076" s="294" t="s">
        <v>5</v>
      </c>
      <c r="H2076" s="43" t="s">
        <v>6576</v>
      </c>
    </row>
    <row r="2077" spans="1:8" s="8" customFormat="1">
      <c r="A2077" s="13"/>
      <c r="B2077" s="8" t="s">
        <v>6248</v>
      </c>
      <c r="C2077" s="290">
        <v>105000</v>
      </c>
      <c r="D2077" s="290">
        <v>0</v>
      </c>
      <c r="E2077" s="284">
        <f t="shared" si="32"/>
        <v>3098911</v>
      </c>
      <c r="F2077" s="294" t="s">
        <v>1643</v>
      </c>
      <c r="G2077" s="294" t="s">
        <v>5</v>
      </c>
      <c r="H2077" s="43" t="s">
        <v>6576</v>
      </c>
    </row>
    <row r="2078" spans="1:8" s="8" customFormat="1">
      <c r="A2078" s="13"/>
      <c r="B2078" s="8" t="s">
        <v>6249</v>
      </c>
      <c r="C2078" s="290">
        <v>20000</v>
      </c>
      <c r="D2078" s="290">
        <v>0</v>
      </c>
      <c r="E2078" s="284">
        <f t="shared" si="32"/>
        <v>3078911</v>
      </c>
      <c r="F2078" s="294" t="s">
        <v>1643</v>
      </c>
      <c r="G2078" s="294" t="s">
        <v>5</v>
      </c>
      <c r="H2078" s="43" t="s">
        <v>6576</v>
      </c>
    </row>
    <row r="2079" spans="1:8" s="8" customFormat="1">
      <c r="A2079" s="13"/>
      <c r="B2079" s="8" t="s">
        <v>6250</v>
      </c>
      <c r="C2079" s="290">
        <v>150700</v>
      </c>
      <c r="D2079" s="290">
        <v>0</v>
      </c>
      <c r="E2079" s="284">
        <f t="shared" si="32"/>
        <v>2928211</v>
      </c>
      <c r="F2079" s="294" t="s">
        <v>1643</v>
      </c>
      <c r="G2079" s="294" t="s">
        <v>5</v>
      </c>
      <c r="H2079" s="43" t="s">
        <v>6576</v>
      </c>
    </row>
    <row r="2080" spans="1:8" s="8" customFormat="1">
      <c r="A2080" s="13"/>
      <c r="B2080" s="8" t="s">
        <v>6251</v>
      </c>
      <c r="C2080" s="290">
        <v>200000</v>
      </c>
      <c r="D2080" s="290">
        <v>0</v>
      </c>
      <c r="E2080" s="284">
        <f t="shared" si="32"/>
        <v>2728211</v>
      </c>
      <c r="F2080" s="294" t="s">
        <v>1643</v>
      </c>
      <c r="G2080" s="294" t="s">
        <v>5</v>
      </c>
      <c r="H2080" s="43" t="s">
        <v>6576</v>
      </c>
    </row>
    <row r="2081" spans="1:8" s="8" customFormat="1">
      <c r="A2081" s="13"/>
      <c r="B2081" s="8" t="s">
        <v>6252</v>
      </c>
      <c r="C2081" s="290">
        <v>2500000</v>
      </c>
      <c r="D2081" s="290">
        <v>0</v>
      </c>
      <c r="E2081" s="284">
        <f t="shared" si="32"/>
        <v>228211</v>
      </c>
      <c r="F2081" s="294" t="s">
        <v>1643</v>
      </c>
      <c r="G2081" s="294" t="s">
        <v>5</v>
      </c>
      <c r="H2081" s="43" t="s">
        <v>6576</v>
      </c>
    </row>
    <row r="2082" spans="1:8" s="8" customFormat="1">
      <c r="A2082" s="13"/>
      <c r="B2082" s="8" t="s">
        <v>6253</v>
      </c>
      <c r="C2082" s="290">
        <v>50000</v>
      </c>
      <c r="D2082" s="290">
        <v>0</v>
      </c>
      <c r="E2082" s="284">
        <f t="shared" si="32"/>
        <v>178211</v>
      </c>
      <c r="F2082" s="294" t="s">
        <v>1643</v>
      </c>
      <c r="G2082" s="294" t="s">
        <v>5</v>
      </c>
      <c r="H2082" s="43" t="s">
        <v>6576</v>
      </c>
    </row>
    <row r="2083" spans="1:8" s="8" customFormat="1">
      <c r="A2083" s="13"/>
      <c r="B2083" s="8" t="s">
        <v>6254</v>
      </c>
      <c r="C2083" s="290">
        <v>178211</v>
      </c>
      <c r="D2083" s="290">
        <v>0</v>
      </c>
      <c r="E2083" s="284">
        <f t="shared" si="32"/>
        <v>0</v>
      </c>
      <c r="F2083" s="8" t="s">
        <v>920</v>
      </c>
      <c r="G2083" s="8" t="s">
        <v>464</v>
      </c>
      <c r="H2083" s="8" t="s">
        <v>5977</v>
      </c>
    </row>
    <row r="2084" spans="1:8" s="8" customFormat="1">
      <c r="A2084" s="13">
        <v>45931</v>
      </c>
      <c r="B2084" s="8" t="s">
        <v>3773</v>
      </c>
      <c r="C2084" s="284">
        <v>0</v>
      </c>
      <c r="D2084" s="284">
        <v>5000000</v>
      </c>
      <c r="E2084" s="284">
        <f t="shared" si="32"/>
        <v>5000000</v>
      </c>
      <c r="F2084" t="s">
        <v>920</v>
      </c>
      <c r="G2084" t="s">
        <v>400</v>
      </c>
      <c r="H2084" s="8" t="s">
        <v>5644</v>
      </c>
    </row>
    <row r="2085" spans="1:8" s="8" customFormat="1">
      <c r="A2085" s="13"/>
      <c r="B2085" s="8" t="s">
        <v>5645</v>
      </c>
      <c r="C2085" s="290">
        <v>1500000</v>
      </c>
      <c r="D2085" s="290">
        <v>0</v>
      </c>
      <c r="E2085" s="284">
        <f t="shared" si="32"/>
        <v>3500000</v>
      </c>
      <c r="F2085" s="8" t="s">
        <v>1643</v>
      </c>
      <c r="G2085" s="8" t="s">
        <v>5</v>
      </c>
      <c r="H2085" s="8" t="s">
        <v>6576</v>
      </c>
    </row>
    <row r="2086" spans="1:8" s="8" customFormat="1">
      <c r="A2086" s="13"/>
      <c r="B2086" s="8" t="s">
        <v>5646</v>
      </c>
      <c r="C2086" s="284">
        <v>1115000</v>
      </c>
      <c r="D2086" s="284">
        <v>0</v>
      </c>
      <c r="E2086" s="284">
        <f t="shared" si="32"/>
        <v>2385000</v>
      </c>
      <c r="F2086" s="8" t="s">
        <v>1643</v>
      </c>
      <c r="G2086" s="8" t="s">
        <v>5</v>
      </c>
      <c r="H2086" s="8" t="s">
        <v>6576</v>
      </c>
    </row>
    <row r="2087" spans="1:8" s="8" customFormat="1">
      <c r="A2087" s="13"/>
      <c r="B2087" s="8" t="s">
        <v>5647</v>
      </c>
      <c r="C2087" s="284">
        <v>900000</v>
      </c>
      <c r="D2087" s="284">
        <v>0</v>
      </c>
      <c r="E2087" s="284">
        <f t="shared" si="32"/>
        <v>1485000</v>
      </c>
      <c r="F2087" s="8" t="s">
        <v>1643</v>
      </c>
      <c r="G2087" s="8" t="s">
        <v>5</v>
      </c>
      <c r="H2087" s="8" t="s">
        <v>6576</v>
      </c>
    </row>
    <row r="2088" spans="1:8" s="8" customFormat="1">
      <c r="A2088" s="13"/>
      <c r="B2088" s="8" t="s">
        <v>5648</v>
      </c>
      <c r="C2088" s="284">
        <v>840000</v>
      </c>
      <c r="D2088" s="284">
        <v>0</v>
      </c>
      <c r="E2088" s="284">
        <f t="shared" si="32"/>
        <v>645000</v>
      </c>
      <c r="F2088" s="8" t="s">
        <v>1643</v>
      </c>
      <c r="G2088" s="8" t="s">
        <v>5</v>
      </c>
      <c r="H2088" s="8" t="s">
        <v>6576</v>
      </c>
    </row>
    <row r="2089" spans="1:8" s="8" customFormat="1">
      <c r="A2089" s="13"/>
      <c r="B2089" s="8" t="s">
        <v>5649</v>
      </c>
      <c r="C2089" s="284">
        <v>500000</v>
      </c>
      <c r="D2089" s="284">
        <v>0</v>
      </c>
      <c r="E2089" s="284">
        <f t="shared" si="32"/>
        <v>145000</v>
      </c>
      <c r="F2089" s="8" t="s">
        <v>1643</v>
      </c>
      <c r="G2089" s="8" t="s">
        <v>5</v>
      </c>
      <c r="H2089" s="8" t="s">
        <v>6576</v>
      </c>
    </row>
    <row r="2090" spans="1:8" s="8" customFormat="1">
      <c r="A2090" s="13"/>
      <c r="B2090" s="8" t="s">
        <v>5650</v>
      </c>
      <c r="C2090" s="284">
        <v>90000</v>
      </c>
      <c r="D2090" s="284">
        <v>0</v>
      </c>
      <c r="E2090" s="284">
        <f t="shared" si="32"/>
        <v>55000</v>
      </c>
      <c r="F2090" s="8" t="s">
        <v>1643</v>
      </c>
      <c r="G2090" s="8" t="s">
        <v>5</v>
      </c>
      <c r="H2090" s="8" t="s">
        <v>6576</v>
      </c>
    </row>
    <row r="2091" spans="1:8" s="8" customFormat="1">
      <c r="A2091" s="13"/>
      <c r="B2091" s="8" t="s">
        <v>5651</v>
      </c>
      <c r="C2091" s="284">
        <v>1647383</v>
      </c>
      <c r="D2091" s="284">
        <v>0</v>
      </c>
      <c r="E2091" s="284">
        <f t="shared" si="32"/>
        <v>-1592383</v>
      </c>
      <c r="F2091" s="8" t="s">
        <v>1643</v>
      </c>
      <c r="G2091" s="8" t="s">
        <v>5</v>
      </c>
      <c r="H2091" s="8" t="s">
        <v>6576</v>
      </c>
    </row>
    <row r="2092" spans="1:8" s="8" customFormat="1">
      <c r="A2092" s="13">
        <v>45937</v>
      </c>
      <c r="B2092" s="8" t="s">
        <v>3773</v>
      </c>
      <c r="C2092" s="284">
        <v>0</v>
      </c>
      <c r="D2092" s="284">
        <v>1592383</v>
      </c>
      <c r="E2092" s="284">
        <f t="shared" si="32"/>
        <v>0</v>
      </c>
      <c r="F2092" t="s">
        <v>920</v>
      </c>
      <c r="G2092" t="s">
        <v>400</v>
      </c>
      <c r="H2092" s="8" t="s">
        <v>5644</v>
      </c>
    </row>
    <row r="2093" spans="1:8" s="8" customFormat="1">
      <c r="A2093" s="13">
        <v>45936</v>
      </c>
      <c r="B2093" s="8" t="s">
        <v>3798</v>
      </c>
      <c r="C2093" s="284">
        <v>0</v>
      </c>
      <c r="D2093" s="284">
        <v>12800000</v>
      </c>
      <c r="E2093" s="284">
        <f t="shared" si="32"/>
        <v>12800000</v>
      </c>
      <c r="F2093" t="s">
        <v>920</v>
      </c>
      <c r="G2093" t="s">
        <v>400</v>
      </c>
      <c r="H2093" s="8" t="s">
        <v>5652</v>
      </c>
    </row>
    <row r="2094" spans="1:8" s="8" customFormat="1">
      <c r="A2094" s="13"/>
      <c r="B2094" s="8" t="s">
        <v>5917</v>
      </c>
      <c r="C2094" s="284">
        <v>120000</v>
      </c>
      <c r="D2094" s="284">
        <v>0</v>
      </c>
      <c r="E2094" s="284">
        <f t="shared" si="32"/>
        <v>12680000</v>
      </c>
      <c r="F2094" s="8" t="s">
        <v>1643</v>
      </c>
      <c r="G2094" s="8" t="s">
        <v>5</v>
      </c>
      <c r="H2094" s="8" t="s">
        <v>6576</v>
      </c>
    </row>
    <row r="2095" spans="1:8" s="8" customFormat="1">
      <c r="A2095" s="13"/>
      <c r="B2095" s="8" t="s">
        <v>5918</v>
      </c>
      <c r="C2095" s="284">
        <v>10000000</v>
      </c>
      <c r="D2095" s="284">
        <v>0</v>
      </c>
      <c r="E2095" s="284">
        <f t="shared" si="32"/>
        <v>2680000</v>
      </c>
      <c r="F2095" s="8" t="s">
        <v>1643</v>
      </c>
      <c r="G2095" s="8" t="s">
        <v>5</v>
      </c>
      <c r="H2095" s="8" t="s">
        <v>6576</v>
      </c>
    </row>
    <row r="2096" spans="1:8" s="8" customFormat="1">
      <c r="A2096" s="13"/>
      <c r="B2096" s="8" t="s">
        <v>5919</v>
      </c>
      <c r="C2096" s="284">
        <v>18000</v>
      </c>
      <c r="D2096" s="284">
        <v>0</v>
      </c>
      <c r="E2096" s="284">
        <f t="shared" si="32"/>
        <v>2662000</v>
      </c>
      <c r="F2096" s="8" t="s">
        <v>1643</v>
      </c>
      <c r="G2096" s="8" t="s">
        <v>5</v>
      </c>
      <c r="H2096" s="8" t="s">
        <v>6576</v>
      </c>
    </row>
    <row r="2097" spans="1:8" s="8" customFormat="1">
      <c r="A2097" s="13"/>
      <c r="B2097" s="8" t="s">
        <v>5920</v>
      </c>
      <c r="C2097" s="284">
        <v>735000</v>
      </c>
      <c r="D2097" s="284">
        <v>0</v>
      </c>
      <c r="E2097" s="284">
        <f t="shared" si="32"/>
        <v>1927000</v>
      </c>
      <c r="F2097" s="8" t="s">
        <v>1643</v>
      </c>
      <c r="G2097" s="8" t="s">
        <v>5</v>
      </c>
      <c r="H2097" s="8" t="s">
        <v>6576</v>
      </c>
    </row>
    <row r="2098" spans="1:8" s="8" customFormat="1">
      <c r="A2098" s="13"/>
      <c r="B2098" s="8" t="s">
        <v>5921</v>
      </c>
      <c r="C2098" s="284">
        <v>75000</v>
      </c>
      <c r="D2098" s="284">
        <v>0</v>
      </c>
      <c r="E2098" s="284">
        <f t="shared" si="32"/>
        <v>1852000</v>
      </c>
      <c r="F2098" s="8" t="s">
        <v>1643</v>
      </c>
      <c r="G2098" s="8" t="s">
        <v>5</v>
      </c>
      <c r="H2098" s="8" t="s">
        <v>6576</v>
      </c>
    </row>
    <row r="2099" spans="1:8" s="8" customFormat="1">
      <c r="A2099" s="13"/>
      <c r="B2099" s="8" t="s">
        <v>5922</v>
      </c>
      <c r="C2099" s="284">
        <v>26500</v>
      </c>
      <c r="D2099" s="284">
        <v>0</v>
      </c>
      <c r="E2099" s="284">
        <f t="shared" si="32"/>
        <v>1825500</v>
      </c>
      <c r="F2099" s="8" t="s">
        <v>1643</v>
      </c>
      <c r="G2099" s="8" t="s">
        <v>5</v>
      </c>
      <c r="H2099" s="8" t="s">
        <v>6576</v>
      </c>
    </row>
    <row r="2100" spans="1:8" s="8" customFormat="1">
      <c r="A2100" s="13"/>
      <c r="B2100" s="8" t="s">
        <v>5923</v>
      </c>
      <c r="C2100" s="284">
        <v>22000</v>
      </c>
      <c r="D2100" s="284">
        <v>0</v>
      </c>
      <c r="E2100" s="284">
        <f t="shared" si="32"/>
        <v>1803500</v>
      </c>
      <c r="F2100" s="8" t="s">
        <v>1643</v>
      </c>
      <c r="G2100" s="8" t="s">
        <v>5</v>
      </c>
      <c r="H2100" s="8" t="s">
        <v>6576</v>
      </c>
    </row>
    <row r="2101" spans="1:8" s="8" customFormat="1">
      <c r="A2101" s="13"/>
      <c r="B2101" s="8" t="s">
        <v>5924</v>
      </c>
      <c r="C2101" s="284">
        <v>18000</v>
      </c>
      <c r="D2101" s="284">
        <v>0</v>
      </c>
      <c r="E2101" s="284">
        <f t="shared" si="32"/>
        <v>1785500</v>
      </c>
      <c r="F2101" s="8" t="s">
        <v>1643</v>
      </c>
      <c r="G2101" s="8" t="s">
        <v>5</v>
      </c>
      <c r="H2101" s="8" t="s">
        <v>6576</v>
      </c>
    </row>
    <row r="2102" spans="1:8" s="8" customFormat="1">
      <c r="A2102" s="13"/>
      <c r="B2102" s="8" t="s">
        <v>5925</v>
      </c>
      <c r="C2102" s="284">
        <v>18000</v>
      </c>
      <c r="D2102" s="284">
        <v>0</v>
      </c>
      <c r="E2102" s="284">
        <f t="shared" si="32"/>
        <v>1767500</v>
      </c>
      <c r="F2102" s="8" t="s">
        <v>1643</v>
      </c>
      <c r="G2102" s="8" t="s">
        <v>5</v>
      </c>
      <c r="H2102" s="8" t="s">
        <v>6576</v>
      </c>
    </row>
    <row r="2103" spans="1:8" s="8" customFormat="1">
      <c r="A2103" s="13"/>
      <c r="B2103" s="8" t="s">
        <v>5926</v>
      </c>
      <c r="C2103" s="284">
        <v>24000</v>
      </c>
      <c r="D2103" s="284">
        <v>0</v>
      </c>
      <c r="E2103" s="284">
        <f t="shared" si="32"/>
        <v>1743500</v>
      </c>
      <c r="F2103" s="8" t="s">
        <v>1643</v>
      </c>
      <c r="G2103" s="8" t="s">
        <v>5</v>
      </c>
      <c r="H2103" s="8" t="s">
        <v>6576</v>
      </c>
    </row>
    <row r="2104" spans="1:8" s="8" customFormat="1">
      <c r="A2104" s="13"/>
      <c r="B2104" s="8" t="s">
        <v>5927</v>
      </c>
      <c r="C2104" s="284">
        <v>12000</v>
      </c>
      <c r="D2104" s="284">
        <v>0</v>
      </c>
      <c r="E2104" s="284">
        <f t="shared" si="32"/>
        <v>1731500</v>
      </c>
      <c r="F2104" s="8" t="s">
        <v>1643</v>
      </c>
      <c r="G2104" s="8" t="s">
        <v>5</v>
      </c>
      <c r="H2104" s="8" t="s">
        <v>6576</v>
      </c>
    </row>
    <row r="2105" spans="1:8" s="8" customFormat="1">
      <c r="A2105" s="13"/>
      <c r="B2105" s="8" t="s">
        <v>5924</v>
      </c>
      <c r="C2105" s="284">
        <v>19000</v>
      </c>
      <c r="D2105" s="284">
        <v>0</v>
      </c>
      <c r="E2105" s="284">
        <f t="shared" si="32"/>
        <v>1712500</v>
      </c>
      <c r="F2105" s="8" t="s">
        <v>1643</v>
      </c>
      <c r="G2105" s="8" t="s">
        <v>5</v>
      </c>
      <c r="H2105" s="8" t="s">
        <v>6576</v>
      </c>
    </row>
    <row r="2106" spans="1:8" s="8" customFormat="1">
      <c r="A2106" s="13"/>
      <c r="B2106" s="8" t="s">
        <v>5925</v>
      </c>
      <c r="C2106" s="284">
        <v>19000</v>
      </c>
      <c r="D2106" s="284">
        <v>0</v>
      </c>
      <c r="E2106" s="284">
        <f t="shared" si="32"/>
        <v>1693500</v>
      </c>
      <c r="F2106" s="8" t="s">
        <v>1643</v>
      </c>
      <c r="G2106" s="8" t="s">
        <v>5</v>
      </c>
      <c r="H2106" s="8" t="s">
        <v>6576</v>
      </c>
    </row>
    <row r="2107" spans="1:8" s="8" customFormat="1">
      <c r="A2107" s="13"/>
      <c r="B2107" s="8" t="s">
        <v>5928</v>
      </c>
      <c r="C2107" s="284">
        <v>100000</v>
      </c>
      <c r="D2107" s="284">
        <v>0</v>
      </c>
      <c r="E2107" s="284">
        <f t="shared" si="32"/>
        <v>1593500</v>
      </c>
      <c r="F2107" s="8" t="s">
        <v>1643</v>
      </c>
      <c r="G2107" s="8" t="s">
        <v>5</v>
      </c>
      <c r="H2107" s="8" t="s">
        <v>6576</v>
      </c>
    </row>
    <row r="2108" spans="1:8" s="8" customFormat="1">
      <c r="A2108" s="13"/>
      <c r="B2108" s="8" t="s">
        <v>5929</v>
      </c>
      <c r="C2108" s="284">
        <v>1500000</v>
      </c>
      <c r="D2108" s="284">
        <v>0</v>
      </c>
      <c r="E2108" s="284">
        <f t="shared" si="32"/>
        <v>93500</v>
      </c>
      <c r="F2108" s="8" t="s">
        <v>1643</v>
      </c>
      <c r="G2108" s="8" t="s">
        <v>5</v>
      </c>
      <c r="H2108" s="8" t="s">
        <v>6576</v>
      </c>
    </row>
    <row r="2109" spans="1:8" s="8" customFormat="1">
      <c r="A2109" s="13"/>
      <c r="B2109" s="8" t="s">
        <v>5930</v>
      </c>
      <c r="C2109" s="284">
        <v>870000</v>
      </c>
      <c r="D2109" s="284">
        <v>0</v>
      </c>
      <c r="E2109" s="284">
        <f t="shared" si="32"/>
        <v>-776500</v>
      </c>
      <c r="F2109" s="8" t="s">
        <v>1643</v>
      </c>
      <c r="G2109" s="8" t="s">
        <v>5</v>
      </c>
      <c r="H2109" s="8" t="s">
        <v>6576</v>
      </c>
    </row>
    <row r="2110" spans="1:8" s="8" customFormat="1">
      <c r="A2110" s="13"/>
      <c r="B2110" s="8" t="s">
        <v>5921</v>
      </c>
      <c r="C2110" s="284">
        <v>75000</v>
      </c>
      <c r="D2110" s="284">
        <v>0</v>
      </c>
      <c r="E2110" s="284">
        <f t="shared" si="32"/>
        <v>-851500</v>
      </c>
      <c r="F2110" s="8" t="s">
        <v>1643</v>
      </c>
      <c r="G2110" s="8" t="s">
        <v>5</v>
      </c>
      <c r="H2110" s="8" t="s">
        <v>6576</v>
      </c>
    </row>
    <row r="2111" spans="1:8" s="8" customFormat="1">
      <c r="A2111" s="13"/>
      <c r="B2111" s="8" t="s">
        <v>5931</v>
      </c>
      <c r="C2111" s="284">
        <v>150000</v>
      </c>
      <c r="D2111" s="284">
        <v>0</v>
      </c>
      <c r="E2111" s="284">
        <f t="shared" si="32"/>
        <v>-1001500</v>
      </c>
      <c r="F2111" s="8" t="s">
        <v>1643</v>
      </c>
      <c r="G2111" s="8" t="s">
        <v>5</v>
      </c>
      <c r="H2111" s="8" t="s">
        <v>6576</v>
      </c>
    </row>
    <row r="2112" spans="1:8" s="8" customFormat="1">
      <c r="A2112" s="13"/>
      <c r="B2112" s="8" t="s">
        <v>5975</v>
      </c>
      <c r="C2112" s="284">
        <v>0</v>
      </c>
      <c r="D2112" s="284">
        <v>1001500</v>
      </c>
      <c r="E2112" s="284">
        <f t="shared" si="32"/>
        <v>0</v>
      </c>
      <c r="F2112" s="8" t="s">
        <v>920</v>
      </c>
      <c r="G2112" s="8" t="s">
        <v>400</v>
      </c>
      <c r="H2112" s="8" t="s">
        <v>6139</v>
      </c>
    </row>
    <row r="2113" spans="1:8" s="8" customFormat="1">
      <c r="A2113" s="13">
        <v>45936</v>
      </c>
      <c r="B2113" s="8" t="s">
        <v>3797</v>
      </c>
      <c r="C2113" s="284">
        <v>0</v>
      </c>
      <c r="D2113" s="284">
        <v>6000000</v>
      </c>
      <c r="E2113" s="284">
        <f t="shared" si="32"/>
        <v>6000000</v>
      </c>
      <c r="F2113" t="s">
        <v>920</v>
      </c>
      <c r="G2113" t="s">
        <v>400</v>
      </c>
      <c r="H2113" s="8" t="s">
        <v>5653</v>
      </c>
    </row>
    <row r="2114" spans="1:8" s="8" customFormat="1">
      <c r="A2114" s="13"/>
      <c r="B2114" s="8" t="s">
        <v>5654</v>
      </c>
      <c r="C2114" s="284">
        <v>3000000</v>
      </c>
      <c r="D2114" s="284">
        <v>0</v>
      </c>
      <c r="E2114" s="284">
        <f t="shared" si="32"/>
        <v>3000000</v>
      </c>
      <c r="F2114" s="8" t="s">
        <v>1643</v>
      </c>
      <c r="G2114" s="8" t="s">
        <v>5</v>
      </c>
      <c r="H2114" s="8" t="s">
        <v>4097</v>
      </c>
    </row>
    <row r="2115" spans="1:8" s="8" customFormat="1">
      <c r="A2115" s="13"/>
      <c r="B2115" s="8" t="s">
        <v>5655</v>
      </c>
      <c r="C2115" s="284">
        <v>1200000</v>
      </c>
      <c r="D2115" s="284">
        <v>0</v>
      </c>
      <c r="E2115" s="284">
        <f t="shared" si="32"/>
        <v>1800000</v>
      </c>
      <c r="F2115" s="8" t="s">
        <v>1643</v>
      </c>
      <c r="G2115" s="8" t="s">
        <v>5</v>
      </c>
      <c r="H2115" s="8" t="s">
        <v>4097</v>
      </c>
    </row>
    <row r="2116" spans="1:8" s="8" customFormat="1">
      <c r="A2116" s="13"/>
      <c r="B2116" s="8" t="s">
        <v>5656</v>
      </c>
      <c r="C2116" s="284">
        <v>42000</v>
      </c>
      <c r="D2116" s="284">
        <v>0</v>
      </c>
      <c r="E2116" s="284">
        <f t="shared" si="32"/>
        <v>1758000</v>
      </c>
      <c r="F2116" t="s">
        <v>1643</v>
      </c>
      <c r="G2116" t="s">
        <v>5</v>
      </c>
      <c r="H2116" s="8" t="s">
        <v>4097</v>
      </c>
    </row>
    <row r="2117" spans="1:8" s="8" customFormat="1">
      <c r="A2117" s="13"/>
      <c r="B2117" s="8" t="s">
        <v>5657</v>
      </c>
      <c r="C2117" s="284">
        <v>20000</v>
      </c>
      <c r="D2117" s="284">
        <v>0</v>
      </c>
      <c r="E2117" s="284">
        <f t="shared" si="32"/>
        <v>1738000</v>
      </c>
      <c r="F2117" t="s">
        <v>1643</v>
      </c>
      <c r="G2117" t="s">
        <v>5</v>
      </c>
      <c r="H2117" s="8" t="s">
        <v>4097</v>
      </c>
    </row>
    <row r="2118" spans="1:8" s="8" customFormat="1">
      <c r="A2118" s="13"/>
      <c r="B2118" s="8" t="s">
        <v>5658</v>
      </c>
      <c r="C2118" s="284">
        <v>32000</v>
      </c>
      <c r="D2118" s="284">
        <v>0</v>
      </c>
      <c r="E2118" s="284">
        <f t="shared" ref="E2118:E2181" si="33">E2117-C2118+D2118</f>
        <v>1706000</v>
      </c>
      <c r="F2118" t="s">
        <v>1643</v>
      </c>
      <c r="G2118" t="s">
        <v>5</v>
      </c>
      <c r="H2118" s="8" t="s">
        <v>4097</v>
      </c>
    </row>
    <row r="2119" spans="1:8" s="8" customFormat="1">
      <c r="A2119" s="13"/>
      <c r="B2119" s="8" t="s">
        <v>5659</v>
      </c>
      <c r="C2119" s="284">
        <v>10000</v>
      </c>
      <c r="D2119" s="284">
        <v>0</v>
      </c>
      <c r="E2119" s="284">
        <f t="shared" si="33"/>
        <v>1696000</v>
      </c>
      <c r="F2119" t="s">
        <v>1643</v>
      </c>
      <c r="G2119" t="s">
        <v>5</v>
      </c>
      <c r="H2119" s="8" t="s">
        <v>4097</v>
      </c>
    </row>
    <row r="2120" spans="1:8" s="8" customFormat="1">
      <c r="A2120" s="13"/>
      <c r="B2120" s="8" t="s">
        <v>5660</v>
      </c>
      <c r="C2120" s="284">
        <v>17000</v>
      </c>
      <c r="D2120" s="284">
        <v>0</v>
      </c>
      <c r="E2120" s="284">
        <f t="shared" si="33"/>
        <v>1679000</v>
      </c>
      <c r="F2120" t="s">
        <v>1643</v>
      </c>
      <c r="G2120" t="s">
        <v>5</v>
      </c>
      <c r="H2120" s="8" t="s">
        <v>4097</v>
      </c>
    </row>
    <row r="2121" spans="1:8" s="8" customFormat="1">
      <c r="A2121" s="13"/>
      <c r="B2121" s="8" t="s">
        <v>5661</v>
      </c>
      <c r="C2121" s="284">
        <v>30000</v>
      </c>
      <c r="D2121" s="284">
        <v>0</v>
      </c>
      <c r="E2121" s="284">
        <f t="shared" si="33"/>
        <v>1649000</v>
      </c>
      <c r="F2121" t="s">
        <v>1643</v>
      </c>
      <c r="G2121" t="s">
        <v>5</v>
      </c>
      <c r="H2121" s="8" t="s">
        <v>4097</v>
      </c>
    </row>
    <row r="2122" spans="1:8" s="8" customFormat="1">
      <c r="A2122" s="13"/>
      <c r="B2122" s="8" t="s">
        <v>5662</v>
      </c>
      <c r="C2122" s="284">
        <v>93000</v>
      </c>
      <c r="D2122" s="284">
        <v>0</v>
      </c>
      <c r="E2122" s="284">
        <f t="shared" si="33"/>
        <v>1556000</v>
      </c>
      <c r="F2122" t="s">
        <v>1643</v>
      </c>
      <c r="G2122" t="s">
        <v>5</v>
      </c>
      <c r="H2122" s="8" t="s">
        <v>4097</v>
      </c>
    </row>
    <row r="2123" spans="1:8" s="8" customFormat="1">
      <c r="A2123" s="13"/>
      <c r="B2123" s="8" t="s">
        <v>5663</v>
      </c>
      <c r="C2123" s="284">
        <v>80000</v>
      </c>
      <c r="D2123" s="284">
        <v>0</v>
      </c>
      <c r="E2123" s="284">
        <f t="shared" si="33"/>
        <v>1476000</v>
      </c>
      <c r="F2123" t="s">
        <v>1643</v>
      </c>
      <c r="G2123" t="s">
        <v>5</v>
      </c>
      <c r="H2123" s="8" t="s">
        <v>4097</v>
      </c>
    </row>
    <row r="2124" spans="1:8" s="8" customFormat="1">
      <c r="A2124" s="13"/>
      <c r="B2124" s="8" t="s">
        <v>5664</v>
      </c>
      <c r="C2124" s="284">
        <v>35400</v>
      </c>
      <c r="D2124" s="284">
        <v>0</v>
      </c>
      <c r="E2124" s="284">
        <f t="shared" si="33"/>
        <v>1440600</v>
      </c>
      <c r="F2124" t="s">
        <v>1643</v>
      </c>
      <c r="G2124" t="s">
        <v>5</v>
      </c>
      <c r="H2124" s="8" t="s">
        <v>4097</v>
      </c>
    </row>
    <row r="2125" spans="1:8" s="8" customFormat="1">
      <c r="A2125" s="13"/>
      <c r="B2125" s="8" t="s">
        <v>5665</v>
      </c>
      <c r="C2125" s="284">
        <v>15000</v>
      </c>
      <c r="D2125" s="284">
        <v>0</v>
      </c>
      <c r="E2125" s="284">
        <f t="shared" si="33"/>
        <v>1425600</v>
      </c>
      <c r="F2125" t="s">
        <v>1643</v>
      </c>
      <c r="G2125" t="s">
        <v>5</v>
      </c>
      <c r="H2125" s="8" t="s">
        <v>4097</v>
      </c>
    </row>
    <row r="2126" spans="1:8" s="8" customFormat="1">
      <c r="A2126" s="13"/>
      <c r="B2126" s="8" t="s">
        <v>5666</v>
      </c>
      <c r="C2126" s="284">
        <v>200000</v>
      </c>
      <c r="D2126" s="284">
        <v>0</v>
      </c>
      <c r="E2126" s="284">
        <f t="shared" si="33"/>
        <v>1225600</v>
      </c>
      <c r="F2126" t="s">
        <v>1643</v>
      </c>
      <c r="G2126" t="s">
        <v>5</v>
      </c>
      <c r="H2126" s="8" t="s">
        <v>4097</v>
      </c>
    </row>
    <row r="2127" spans="1:8" s="8" customFormat="1">
      <c r="A2127" s="13"/>
      <c r="B2127" s="8" t="s">
        <v>5667</v>
      </c>
      <c r="C2127" s="284">
        <v>71600</v>
      </c>
      <c r="D2127" s="284">
        <v>0</v>
      </c>
      <c r="E2127" s="284">
        <f t="shared" si="33"/>
        <v>1154000</v>
      </c>
      <c r="F2127" t="s">
        <v>1643</v>
      </c>
      <c r="G2127" t="s">
        <v>5</v>
      </c>
      <c r="H2127" s="8" t="s">
        <v>4097</v>
      </c>
    </row>
    <row r="2128" spans="1:8" s="8" customFormat="1">
      <c r="A2128" s="13"/>
      <c r="B2128" s="8" t="s">
        <v>5442</v>
      </c>
      <c r="C2128" s="284">
        <v>35000</v>
      </c>
      <c r="D2128" s="284">
        <v>0</v>
      </c>
      <c r="E2128" s="284">
        <f t="shared" si="33"/>
        <v>1119000</v>
      </c>
      <c r="F2128" t="s">
        <v>1643</v>
      </c>
      <c r="G2128" t="s">
        <v>5</v>
      </c>
      <c r="H2128" s="8" t="s">
        <v>4097</v>
      </c>
    </row>
    <row r="2129" spans="1:8" s="8" customFormat="1">
      <c r="A2129" s="13"/>
      <c r="B2129" s="8" t="s">
        <v>5668</v>
      </c>
      <c r="C2129" s="284">
        <v>25819</v>
      </c>
      <c r="D2129" s="284">
        <v>0</v>
      </c>
      <c r="E2129" s="284">
        <f t="shared" si="33"/>
        <v>1093181</v>
      </c>
      <c r="F2129" t="s">
        <v>1643</v>
      </c>
      <c r="G2129" t="s">
        <v>5</v>
      </c>
      <c r="H2129" s="8" t="s">
        <v>4097</v>
      </c>
    </row>
    <row r="2130" spans="1:8" s="8" customFormat="1">
      <c r="A2130" s="13"/>
      <c r="B2130" s="8" t="s">
        <v>5669</v>
      </c>
      <c r="C2130" s="284">
        <v>100000</v>
      </c>
      <c r="D2130" s="284">
        <v>0</v>
      </c>
      <c r="E2130" s="284">
        <f t="shared" si="33"/>
        <v>993181</v>
      </c>
      <c r="F2130" t="s">
        <v>1643</v>
      </c>
      <c r="G2130" t="s">
        <v>5</v>
      </c>
      <c r="H2130" s="8" t="s">
        <v>4097</v>
      </c>
    </row>
    <row r="2131" spans="1:8" s="8" customFormat="1">
      <c r="A2131" s="13"/>
      <c r="B2131" s="8" t="s">
        <v>5670</v>
      </c>
      <c r="C2131" s="284">
        <v>157809</v>
      </c>
      <c r="D2131" s="284">
        <v>0</v>
      </c>
      <c r="E2131" s="284">
        <f t="shared" si="33"/>
        <v>835372</v>
      </c>
      <c r="F2131" t="s">
        <v>1643</v>
      </c>
      <c r="G2131" t="s">
        <v>5</v>
      </c>
      <c r="H2131" s="8" t="s">
        <v>4097</v>
      </c>
    </row>
    <row r="2132" spans="1:8" s="8" customFormat="1">
      <c r="A2132" s="13"/>
      <c r="B2132" s="8" t="s">
        <v>5671</v>
      </c>
      <c r="C2132" s="284">
        <v>100000</v>
      </c>
      <c r="D2132" s="284">
        <v>0</v>
      </c>
      <c r="E2132" s="284">
        <f t="shared" si="33"/>
        <v>735372</v>
      </c>
      <c r="F2132" t="s">
        <v>1643</v>
      </c>
      <c r="G2132" t="s">
        <v>5</v>
      </c>
      <c r="H2132" s="8" t="s">
        <v>4097</v>
      </c>
    </row>
    <row r="2133" spans="1:8" s="8" customFormat="1">
      <c r="A2133" s="13"/>
      <c r="B2133" s="8" t="s">
        <v>5672</v>
      </c>
      <c r="C2133" s="284">
        <v>92183</v>
      </c>
      <c r="D2133" s="284">
        <v>0</v>
      </c>
      <c r="E2133" s="284">
        <f t="shared" si="33"/>
        <v>643189</v>
      </c>
      <c r="F2133" t="s">
        <v>1643</v>
      </c>
      <c r="G2133" t="s">
        <v>5</v>
      </c>
      <c r="H2133" s="8" t="s">
        <v>4097</v>
      </c>
    </row>
    <row r="2134" spans="1:8" s="8" customFormat="1">
      <c r="A2134" s="13"/>
      <c r="B2134" s="8" t="s">
        <v>5673</v>
      </c>
      <c r="C2134" s="284">
        <v>160116</v>
      </c>
      <c r="D2134" s="284">
        <v>0</v>
      </c>
      <c r="E2134" s="284">
        <f t="shared" si="33"/>
        <v>483073</v>
      </c>
      <c r="F2134" s="8" t="s">
        <v>1643</v>
      </c>
      <c r="G2134" s="8" t="s">
        <v>5</v>
      </c>
      <c r="H2134" s="8" t="s">
        <v>4097</v>
      </c>
    </row>
    <row r="2135" spans="1:8" s="8" customFormat="1">
      <c r="A2135" s="13"/>
      <c r="B2135" s="8" t="s">
        <v>5674</v>
      </c>
      <c r="C2135" s="284">
        <v>256000</v>
      </c>
      <c r="D2135" s="284">
        <v>0</v>
      </c>
      <c r="E2135" s="284">
        <f t="shared" si="33"/>
        <v>227073</v>
      </c>
      <c r="F2135" s="8" t="s">
        <v>1643</v>
      </c>
      <c r="G2135" s="8" t="s">
        <v>5</v>
      </c>
      <c r="H2135" s="8" t="s">
        <v>4097</v>
      </c>
    </row>
    <row r="2136" spans="1:8" s="8" customFormat="1">
      <c r="A2136" s="13"/>
      <c r="B2136" s="8" t="s">
        <v>5675</v>
      </c>
      <c r="C2136" s="284">
        <v>29000</v>
      </c>
      <c r="D2136" s="284">
        <v>0</v>
      </c>
      <c r="E2136" s="284">
        <f t="shared" si="33"/>
        <v>198073</v>
      </c>
      <c r="F2136" s="8" t="s">
        <v>1643</v>
      </c>
      <c r="G2136" s="8" t="s">
        <v>5</v>
      </c>
      <c r="H2136" s="8" t="s">
        <v>4097</v>
      </c>
    </row>
    <row r="2137" spans="1:8" s="8" customFormat="1">
      <c r="A2137" s="13"/>
      <c r="B2137" s="8" t="s">
        <v>5676</v>
      </c>
      <c r="C2137" s="284">
        <v>150000</v>
      </c>
      <c r="D2137" s="284">
        <v>0</v>
      </c>
      <c r="E2137" s="284">
        <f t="shared" si="33"/>
        <v>48073</v>
      </c>
      <c r="F2137" s="8" t="s">
        <v>1643</v>
      </c>
      <c r="G2137" s="8" t="s">
        <v>5</v>
      </c>
      <c r="H2137" s="8" t="s">
        <v>4097</v>
      </c>
    </row>
    <row r="2138" spans="1:8" s="8" customFormat="1">
      <c r="A2138" s="13">
        <v>45953</v>
      </c>
      <c r="B2138" s="8" t="s">
        <v>3877</v>
      </c>
      <c r="C2138" s="284">
        <v>48073</v>
      </c>
      <c r="D2138" s="284">
        <v>0</v>
      </c>
      <c r="E2138" s="284">
        <f t="shared" si="33"/>
        <v>0</v>
      </c>
      <c r="F2138" t="s">
        <v>920</v>
      </c>
      <c r="G2138" t="s">
        <v>464</v>
      </c>
      <c r="H2138" s="8" t="s">
        <v>5653</v>
      </c>
    </row>
    <row r="2139" spans="1:8" s="8" customFormat="1">
      <c r="A2139" s="13">
        <v>45936</v>
      </c>
      <c r="B2139" s="8" t="s">
        <v>3807</v>
      </c>
      <c r="C2139" s="284">
        <v>0</v>
      </c>
      <c r="D2139" s="284">
        <v>10000000</v>
      </c>
      <c r="E2139" s="284">
        <f t="shared" si="33"/>
        <v>10000000</v>
      </c>
      <c r="F2139" s="8" t="s">
        <v>920</v>
      </c>
      <c r="G2139" s="8" t="s">
        <v>400</v>
      </c>
      <c r="H2139" s="8" t="s">
        <v>5677</v>
      </c>
    </row>
    <row r="2140" spans="1:8" s="8" customFormat="1">
      <c r="A2140" s="13"/>
      <c r="B2140" s="8" t="s">
        <v>6485</v>
      </c>
      <c r="C2140" s="284">
        <v>20000</v>
      </c>
      <c r="D2140" s="284">
        <v>0</v>
      </c>
      <c r="E2140" s="284">
        <f t="shared" si="33"/>
        <v>9980000</v>
      </c>
      <c r="F2140" s="8" t="s">
        <v>1643</v>
      </c>
      <c r="G2140" s="8" t="s">
        <v>5</v>
      </c>
      <c r="H2140" s="8" t="s">
        <v>6576</v>
      </c>
    </row>
    <row r="2141" spans="1:8" s="8" customFormat="1">
      <c r="A2141" s="13"/>
      <c r="B2141" s="8" t="s">
        <v>6486</v>
      </c>
      <c r="C2141" s="284">
        <v>50000</v>
      </c>
      <c r="D2141" s="284">
        <v>0</v>
      </c>
      <c r="E2141" s="284">
        <f t="shared" si="33"/>
        <v>9930000</v>
      </c>
      <c r="F2141" s="8" t="s">
        <v>1643</v>
      </c>
      <c r="G2141" s="8" t="s">
        <v>5</v>
      </c>
      <c r="H2141" s="8" t="s">
        <v>6576</v>
      </c>
    </row>
    <row r="2142" spans="1:8" s="8" customFormat="1">
      <c r="A2142" s="13"/>
      <c r="B2142" s="8" t="s">
        <v>6487</v>
      </c>
      <c r="C2142" s="284">
        <v>126000</v>
      </c>
      <c r="D2142" s="284">
        <v>0</v>
      </c>
      <c r="E2142" s="284">
        <f t="shared" si="33"/>
        <v>9804000</v>
      </c>
      <c r="F2142" s="8" t="s">
        <v>1643</v>
      </c>
      <c r="G2142" s="8" t="s">
        <v>5</v>
      </c>
      <c r="H2142" s="8" t="s">
        <v>6576</v>
      </c>
    </row>
    <row r="2143" spans="1:8" s="8" customFormat="1">
      <c r="A2143" s="13"/>
      <c r="B2143" s="8" t="s">
        <v>6488</v>
      </c>
      <c r="C2143" s="284">
        <v>42000</v>
      </c>
      <c r="D2143" s="284">
        <v>0</v>
      </c>
      <c r="E2143" s="284">
        <f t="shared" si="33"/>
        <v>9762000</v>
      </c>
      <c r="F2143" s="8" t="s">
        <v>1643</v>
      </c>
      <c r="G2143" s="8" t="s">
        <v>5</v>
      </c>
      <c r="H2143" s="8" t="s">
        <v>6576</v>
      </c>
    </row>
    <row r="2144" spans="1:8" s="8" customFormat="1">
      <c r="A2144" s="13"/>
      <c r="B2144" s="8" t="s">
        <v>6489</v>
      </c>
      <c r="C2144" s="284">
        <v>110000</v>
      </c>
      <c r="D2144" s="284">
        <v>0</v>
      </c>
      <c r="E2144" s="284">
        <f t="shared" si="33"/>
        <v>9652000</v>
      </c>
      <c r="F2144" s="8" t="s">
        <v>1643</v>
      </c>
      <c r="G2144" s="8" t="s">
        <v>5</v>
      </c>
      <c r="H2144" s="8" t="s">
        <v>6576</v>
      </c>
    </row>
    <row r="2145" spans="1:8" s="8" customFormat="1">
      <c r="A2145" s="13"/>
      <c r="B2145" s="8" t="s">
        <v>6490</v>
      </c>
      <c r="C2145" s="284">
        <v>8000</v>
      </c>
      <c r="D2145" s="284">
        <v>0</v>
      </c>
      <c r="E2145" s="284">
        <f t="shared" si="33"/>
        <v>9644000</v>
      </c>
      <c r="F2145" s="8" t="s">
        <v>1643</v>
      </c>
      <c r="G2145" s="8" t="s">
        <v>5</v>
      </c>
      <c r="H2145" s="8" t="s">
        <v>6576</v>
      </c>
    </row>
    <row r="2146" spans="1:8" s="8" customFormat="1">
      <c r="A2146" s="13"/>
      <c r="B2146" s="8" t="s">
        <v>6491</v>
      </c>
      <c r="C2146" s="284">
        <v>50000</v>
      </c>
      <c r="D2146" s="284">
        <v>0</v>
      </c>
      <c r="E2146" s="284">
        <f t="shared" si="33"/>
        <v>9594000</v>
      </c>
      <c r="F2146" s="8" t="s">
        <v>1643</v>
      </c>
      <c r="G2146" s="8" t="s">
        <v>5</v>
      </c>
      <c r="H2146" s="8" t="s">
        <v>6576</v>
      </c>
    </row>
    <row r="2147" spans="1:8" s="8" customFormat="1">
      <c r="A2147" s="13"/>
      <c r="B2147" s="8" t="s">
        <v>6492</v>
      </c>
      <c r="C2147" s="284">
        <v>80000</v>
      </c>
      <c r="D2147" s="284">
        <v>0</v>
      </c>
      <c r="E2147" s="284">
        <f t="shared" si="33"/>
        <v>9514000</v>
      </c>
      <c r="F2147" s="8" t="s">
        <v>1643</v>
      </c>
      <c r="G2147" s="8" t="s">
        <v>5</v>
      </c>
      <c r="H2147" s="8" t="s">
        <v>6576</v>
      </c>
    </row>
    <row r="2148" spans="1:8" s="8" customFormat="1">
      <c r="A2148" s="13"/>
      <c r="B2148" s="8" t="s">
        <v>6493</v>
      </c>
      <c r="C2148" s="284">
        <v>133000</v>
      </c>
      <c r="D2148" s="284">
        <v>0</v>
      </c>
      <c r="E2148" s="284">
        <f t="shared" si="33"/>
        <v>9381000</v>
      </c>
      <c r="F2148" s="8" t="s">
        <v>1643</v>
      </c>
      <c r="G2148" s="8" t="s">
        <v>5</v>
      </c>
      <c r="H2148" s="8" t="s">
        <v>6576</v>
      </c>
    </row>
    <row r="2149" spans="1:8" s="8" customFormat="1">
      <c r="A2149" s="13"/>
      <c r="B2149" s="8" t="s">
        <v>6494</v>
      </c>
      <c r="C2149" s="284">
        <v>250000</v>
      </c>
      <c r="D2149" s="284">
        <v>0</v>
      </c>
      <c r="E2149" s="284">
        <f t="shared" si="33"/>
        <v>9131000</v>
      </c>
      <c r="F2149" s="8" t="s">
        <v>1643</v>
      </c>
      <c r="G2149" s="8" t="s">
        <v>5</v>
      </c>
      <c r="H2149" s="8" t="s">
        <v>6576</v>
      </c>
    </row>
    <row r="2150" spans="1:8" s="8" customFormat="1">
      <c r="A2150" s="13"/>
      <c r="B2150" s="8" t="s">
        <v>6495</v>
      </c>
      <c r="C2150" s="284">
        <v>300000</v>
      </c>
      <c r="D2150" s="284">
        <v>0</v>
      </c>
      <c r="E2150" s="284">
        <f t="shared" si="33"/>
        <v>8831000</v>
      </c>
      <c r="F2150" s="8" t="s">
        <v>1643</v>
      </c>
      <c r="G2150" s="8" t="s">
        <v>5</v>
      </c>
      <c r="H2150" s="8" t="s">
        <v>6576</v>
      </c>
    </row>
    <row r="2151" spans="1:8" s="8" customFormat="1">
      <c r="A2151" s="13"/>
      <c r="B2151" s="8" t="s">
        <v>6496</v>
      </c>
      <c r="C2151" s="284">
        <v>30600</v>
      </c>
      <c r="D2151" s="284">
        <v>0</v>
      </c>
      <c r="E2151" s="284">
        <f t="shared" si="33"/>
        <v>8800400</v>
      </c>
      <c r="F2151" s="8" t="s">
        <v>1643</v>
      </c>
      <c r="G2151" s="8" t="s">
        <v>5</v>
      </c>
      <c r="H2151" s="8" t="s">
        <v>6576</v>
      </c>
    </row>
    <row r="2152" spans="1:8" s="8" customFormat="1">
      <c r="A2152" s="13"/>
      <c r="B2152" s="8" t="s">
        <v>6497</v>
      </c>
      <c r="C2152" s="284">
        <v>46500</v>
      </c>
      <c r="D2152" s="284">
        <v>0</v>
      </c>
      <c r="E2152" s="284">
        <f t="shared" si="33"/>
        <v>8753900</v>
      </c>
      <c r="F2152" s="8" t="s">
        <v>1643</v>
      </c>
      <c r="G2152" s="8" t="s">
        <v>5</v>
      </c>
      <c r="H2152" s="8" t="s">
        <v>6576</v>
      </c>
    </row>
    <row r="2153" spans="1:8" s="8" customFormat="1">
      <c r="A2153" s="13"/>
      <c r="B2153" s="8" t="s">
        <v>6498</v>
      </c>
      <c r="C2153" s="284">
        <v>165000</v>
      </c>
      <c r="D2153" s="284">
        <v>0</v>
      </c>
      <c r="E2153" s="284">
        <f t="shared" si="33"/>
        <v>8588900</v>
      </c>
      <c r="F2153" s="8" t="s">
        <v>1643</v>
      </c>
      <c r="G2153" s="8" t="s">
        <v>5</v>
      </c>
      <c r="H2153" s="8" t="s">
        <v>6576</v>
      </c>
    </row>
    <row r="2154" spans="1:8" s="8" customFormat="1">
      <c r="A2154" s="13"/>
      <c r="B2154" s="8" t="s">
        <v>6499</v>
      </c>
      <c r="C2154" s="284">
        <v>40600</v>
      </c>
      <c r="D2154" s="284">
        <v>0</v>
      </c>
      <c r="E2154" s="284">
        <f t="shared" si="33"/>
        <v>8548300</v>
      </c>
      <c r="F2154" s="8" t="s">
        <v>1643</v>
      </c>
      <c r="G2154" s="8" t="s">
        <v>5</v>
      </c>
      <c r="H2154" s="8" t="s">
        <v>6576</v>
      </c>
    </row>
    <row r="2155" spans="1:8" s="8" customFormat="1">
      <c r="A2155" s="13"/>
      <c r="B2155" s="8" t="s">
        <v>6500</v>
      </c>
      <c r="C2155" s="284">
        <v>24500</v>
      </c>
      <c r="D2155" s="284">
        <v>0</v>
      </c>
      <c r="E2155" s="284">
        <f t="shared" si="33"/>
        <v>8523800</v>
      </c>
      <c r="F2155" s="8" t="s">
        <v>1643</v>
      </c>
      <c r="G2155" s="8" t="s">
        <v>5</v>
      </c>
      <c r="H2155" s="8" t="s">
        <v>6576</v>
      </c>
    </row>
    <row r="2156" spans="1:8" s="8" customFormat="1">
      <c r="A2156" s="13"/>
      <c r="B2156" s="8" t="s">
        <v>6501</v>
      </c>
      <c r="C2156" s="284">
        <v>31200</v>
      </c>
      <c r="D2156" s="284">
        <v>0</v>
      </c>
      <c r="E2156" s="284">
        <f t="shared" si="33"/>
        <v>8492600</v>
      </c>
      <c r="F2156" s="8" t="s">
        <v>1643</v>
      </c>
      <c r="G2156" s="8" t="s">
        <v>5</v>
      </c>
      <c r="H2156" s="8" t="s">
        <v>6576</v>
      </c>
    </row>
    <row r="2157" spans="1:8" s="8" customFormat="1">
      <c r="A2157" s="13"/>
      <c r="B2157" s="8" t="s">
        <v>6502</v>
      </c>
      <c r="C2157" s="284">
        <v>190000</v>
      </c>
      <c r="D2157" s="284">
        <v>0</v>
      </c>
      <c r="E2157" s="284">
        <f t="shared" si="33"/>
        <v>8302600</v>
      </c>
      <c r="F2157" s="8" t="s">
        <v>1643</v>
      </c>
      <c r="G2157" s="8" t="s">
        <v>5</v>
      </c>
      <c r="H2157" s="8" t="s">
        <v>6576</v>
      </c>
    </row>
    <row r="2158" spans="1:8" s="8" customFormat="1">
      <c r="A2158" s="13"/>
      <c r="B2158" s="8" t="s">
        <v>6503</v>
      </c>
      <c r="C2158" s="284">
        <v>42000</v>
      </c>
      <c r="D2158" s="284">
        <v>0</v>
      </c>
      <c r="E2158" s="284">
        <f t="shared" si="33"/>
        <v>8260600</v>
      </c>
      <c r="F2158" s="8" t="s">
        <v>1643</v>
      </c>
      <c r="G2158" s="8" t="s">
        <v>5</v>
      </c>
      <c r="H2158" s="8" t="s">
        <v>6576</v>
      </c>
    </row>
    <row r="2159" spans="1:8" s="8" customFormat="1">
      <c r="A2159" s="13"/>
      <c r="B2159" s="8" t="s">
        <v>6504</v>
      </c>
      <c r="C2159" s="284">
        <v>120000</v>
      </c>
      <c r="D2159" s="284">
        <v>0</v>
      </c>
      <c r="E2159" s="284">
        <f t="shared" si="33"/>
        <v>8140600</v>
      </c>
      <c r="F2159" s="8" t="s">
        <v>1643</v>
      </c>
      <c r="G2159" s="8" t="s">
        <v>5</v>
      </c>
      <c r="H2159" s="8" t="s">
        <v>6576</v>
      </c>
    </row>
    <row r="2160" spans="1:8" s="8" customFormat="1">
      <c r="A2160" s="13"/>
      <c r="B2160" s="8" t="s">
        <v>6505</v>
      </c>
      <c r="C2160" s="284">
        <v>30600</v>
      </c>
      <c r="D2160" s="284">
        <v>0</v>
      </c>
      <c r="E2160" s="284">
        <f t="shared" si="33"/>
        <v>8110000</v>
      </c>
      <c r="F2160" s="8" t="s">
        <v>1643</v>
      </c>
      <c r="G2160" s="8" t="s">
        <v>5</v>
      </c>
      <c r="H2160" s="8" t="s">
        <v>6576</v>
      </c>
    </row>
    <row r="2161" spans="1:8" s="8" customFormat="1">
      <c r="A2161" s="13"/>
      <c r="B2161" s="8" t="s">
        <v>6506</v>
      </c>
      <c r="C2161" s="284">
        <v>50800</v>
      </c>
      <c r="D2161" s="284">
        <v>0</v>
      </c>
      <c r="E2161" s="284">
        <f t="shared" si="33"/>
        <v>8059200</v>
      </c>
      <c r="F2161" s="8" t="s">
        <v>1643</v>
      </c>
      <c r="G2161" s="8" t="s">
        <v>5</v>
      </c>
      <c r="H2161" s="8" t="s">
        <v>6576</v>
      </c>
    </row>
    <row r="2162" spans="1:8" s="8" customFormat="1">
      <c r="A2162" s="13"/>
      <c r="B2162" s="8" t="s">
        <v>6507</v>
      </c>
      <c r="C2162" s="284">
        <v>37600</v>
      </c>
      <c r="D2162" s="284">
        <v>0</v>
      </c>
      <c r="E2162" s="284">
        <f t="shared" si="33"/>
        <v>8021600</v>
      </c>
      <c r="F2162" s="8" t="s">
        <v>1643</v>
      </c>
      <c r="G2162" s="8" t="s">
        <v>5</v>
      </c>
      <c r="H2162" s="8" t="s">
        <v>6576</v>
      </c>
    </row>
    <row r="2163" spans="1:8" s="8" customFormat="1">
      <c r="A2163" s="13"/>
      <c r="B2163" s="8" t="s">
        <v>6508</v>
      </c>
      <c r="C2163" s="284">
        <v>30600</v>
      </c>
      <c r="D2163" s="284">
        <v>0</v>
      </c>
      <c r="E2163" s="284">
        <f t="shared" si="33"/>
        <v>7991000</v>
      </c>
      <c r="F2163" s="8" t="s">
        <v>1643</v>
      </c>
      <c r="G2163" s="8" t="s">
        <v>5</v>
      </c>
      <c r="H2163" s="8" t="s">
        <v>6576</v>
      </c>
    </row>
    <row r="2164" spans="1:8" s="8" customFormat="1">
      <c r="A2164" s="13"/>
      <c r="B2164" s="8" t="s">
        <v>6509</v>
      </c>
      <c r="C2164" s="284">
        <v>232000</v>
      </c>
      <c r="D2164" s="284">
        <v>0</v>
      </c>
      <c r="E2164" s="284">
        <f t="shared" si="33"/>
        <v>7759000</v>
      </c>
      <c r="F2164" s="8" t="s">
        <v>1643</v>
      </c>
      <c r="G2164" s="8" t="s">
        <v>5</v>
      </c>
      <c r="H2164" s="8" t="s">
        <v>6576</v>
      </c>
    </row>
    <row r="2165" spans="1:8" s="8" customFormat="1">
      <c r="A2165" s="13"/>
      <c r="B2165" s="8" t="s">
        <v>6509</v>
      </c>
      <c r="C2165" s="284">
        <v>126000</v>
      </c>
      <c r="D2165" s="284">
        <v>0</v>
      </c>
      <c r="E2165" s="284">
        <f t="shared" si="33"/>
        <v>7633000</v>
      </c>
      <c r="F2165" s="8" t="s">
        <v>1643</v>
      </c>
      <c r="G2165" s="8" t="s">
        <v>5</v>
      </c>
      <c r="H2165" s="8" t="s">
        <v>6576</v>
      </c>
    </row>
    <row r="2166" spans="1:8" s="8" customFormat="1">
      <c r="A2166" s="13"/>
      <c r="B2166" s="8" t="s">
        <v>6510</v>
      </c>
      <c r="C2166" s="284">
        <v>136400</v>
      </c>
      <c r="D2166" s="284">
        <v>0</v>
      </c>
      <c r="E2166" s="284">
        <f t="shared" si="33"/>
        <v>7496600</v>
      </c>
      <c r="F2166" s="8" t="s">
        <v>1643</v>
      </c>
      <c r="G2166" s="8" t="s">
        <v>5</v>
      </c>
      <c r="H2166" s="8" t="s">
        <v>6576</v>
      </c>
    </row>
    <row r="2167" spans="1:8" s="8" customFormat="1">
      <c r="A2167" s="13"/>
      <c r="B2167" s="8" t="s">
        <v>6511</v>
      </c>
      <c r="C2167" s="284">
        <v>5300</v>
      </c>
      <c r="D2167" s="284">
        <v>0</v>
      </c>
      <c r="E2167" s="284">
        <f t="shared" si="33"/>
        <v>7491300</v>
      </c>
      <c r="F2167" s="8" t="s">
        <v>1643</v>
      </c>
      <c r="G2167" s="8" t="s">
        <v>5</v>
      </c>
      <c r="H2167" s="8" t="s">
        <v>6576</v>
      </c>
    </row>
    <row r="2168" spans="1:8" s="8" customFormat="1">
      <c r="A2168" s="13"/>
      <c r="B2168" s="8" t="s">
        <v>6512</v>
      </c>
      <c r="C2168" s="284">
        <v>42200</v>
      </c>
      <c r="D2168" s="284">
        <v>0</v>
      </c>
      <c r="E2168" s="284">
        <f t="shared" si="33"/>
        <v>7449100</v>
      </c>
      <c r="F2168" s="8" t="s">
        <v>1643</v>
      </c>
      <c r="G2168" s="8" t="s">
        <v>5</v>
      </c>
      <c r="H2168" s="8" t="s">
        <v>6576</v>
      </c>
    </row>
    <row r="2169" spans="1:8" s="8" customFormat="1">
      <c r="A2169" s="13"/>
      <c r="B2169" s="8" t="s">
        <v>6513</v>
      </c>
      <c r="C2169" s="284">
        <v>600000</v>
      </c>
      <c r="D2169" s="284">
        <v>0</v>
      </c>
      <c r="E2169" s="284">
        <f t="shared" si="33"/>
        <v>6849100</v>
      </c>
      <c r="F2169" s="8" t="s">
        <v>1643</v>
      </c>
      <c r="G2169" s="8" t="s">
        <v>5</v>
      </c>
      <c r="H2169" s="8" t="s">
        <v>6576</v>
      </c>
    </row>
    <row r="2170" spans="1:8" s="8" customFormat="1">
      <c r="A2170" s="13"/>
      <c r="B2170" s="8" t="s">
        <v>6514</v>
      </c>
      <c r="C2170" s="284">
        <v>30600</v>
      </c>
      <c r="D2170" s="284">
        <v>0</v>
      </c>
      <c r="E2170" s="284">
        <f t="shared" si="33"/>
        <v>6818500</v>
      </c>
      <c r="F2170" s="8" t="s">
        <v>1643</v>
      </c>
      <c r="G2170" s="8" t="s">
        <v>5</v>
      </c>
      <c r="H2170" s="8" t="s">
        <v>6576</v>
      </c>
    </row>
    <row r="2171" spans="1:8" s="8" customFormat="1">
      <c r="A2171" s="13"/>
      <c r="B2171" s="8" t="s">
        <v>6515</v>
      </c>
      <c r="C2171" s="284">
        <v>30600</v>
      </c>
      <c r="D2171" s="284">
        <v>0</v>
      </c>
      <c r="E2171" s="284">
        <f t="shared" si="33"/>
        <v>6787900</v>
      </c>
      <c r="F2171" s="8" t="s">
        <v>1643</v>
      </c>
      <c r="G2171" s="8" t="s">
        <v>5</v>
      </c>
      <c r="H2171" s="8" t="s">
        <v>6576</v>
      </c>
    </row>
    <row r="2172" spans="1:8" s="8" customFormat="1">
      <c r="A2172" s="13"/>
      <c r="B2172" s="8" t="s">
        <v>6516</v>
      </c>
      <c r="C2172" s="284">
        <v>330000</v>
      </c>
      <c r="D2172" s="284">
        <v>0</v>
      </c>
      <c r="E2172" s="284">
        <f t="shared" si="33"/>
        <v>6457900</v>
      </c>
      <c r="F2172" s="8" t="s">
        <v>1643</v>
      </c>
      <c r="G2172" s="8" t="s">
        <v>5</v>
      </c>
      <c r="H2172" s="8" t="s">
        <v>6576</v>
      </c>
    </row>
    <row r="2173" spans="1:8" s="8" customFormat="1">
      <c r="A2173" s="13"/>
      <c r="B2173" s="8" t="s">
        <v>6517</v>
      </c>
      <c r="C2173" s="284">
        <v>3500000</v>
      </c>
      <c r="D2173" s="284">
        <v>0</v>
      </c>
      <c r="E2173" s="284">
        <f t="shared" si="33"/>
        <v>2957900</v>
      </c>
      <c r="F2173" s="8" t="s">
        <v>1643</v>
      </c>
      <c r="G2173" s="8" t="s">
        <v>5</v>
      </c>
      <c r="H2173" s="8" t="s">
        <v>6576</v>
      </c>
    </row>
    <row r="2174" spans="1:8" s="8" customFormat="1">
      <c r="A2174" s="13"/>
      <c r="B2174" s="8" t="s">
        <v>6518</v>
      </c>
      <c r="C2174" s="284">
        <v>380000</v>
      </c>
      <c r="D2174" s="284">
        <v>0</v>
      </c>
      <c r="E2174" s="284">
        <f t="shared" si="33"/>
        <v>2577900</v>
      </c>
      <c r="F2174" s="8" t="s">
        <v>1643</v>
      </c>
      <c r="G2174" s="8" t="s">
        <v>5</v>
      </c>
      <c r="H2174" s="8" t="s">
        <v>6576</v>
      </c>
    </row>
    <row r="2175" spans="1:8" s="8" customFormat="1">
      <c r="A2175" s="13"/>
      <c r="B2175" s="8" t="s">
        <v>6519</v>
      </c>
      <c r="C2175" s="284">
        <v>15000</v>
      </c>
      <c r="D2175" s="284">
        <v>0</v>
      </c>
      <c r="E2175" s="284">
        <f t="shared" si="33"/>
        <v>2562900</v>
      </c>
      <c r="F2175" s="8" t="s">
        <v>1643</v>
      </c>
      <c r="G2175" s="8" t="s">
        <v>5</v>
      </c>
      <c r="H2175" s="8" t="s">
        <v>6576</v>
      </c>
    </row>
    <row r="2176" spans="1:8" s="8" customFormat="1">
      <c r="A2176" s="13">
        <v>46020</v>
      </c>
      <c r="B2176" s="8" t="s">
        <v>6462</v>
      </c>
      <c r="C2176" s="284">
        <v>2562900</v>
      </c>
      <c r="D2176" s="284">
        <v>0</v>
      </c>
      <c r="E2176" s="284">
        <f t="shared" si="33"/>
        <v>0</v>
      </c>
      <c r="F2176" t="s">
        <v>920</v>
      </c>
      <c r="G2176" t="s">
        <v>464</v>
      </c>
      <c r="H2176" s="8" t="s">
        <v>5677</v>
      </c>
    </row>
    <row r="2177" spans="1:8" s="8" customFormat="1">
      <c r="A2177" s="13">
        <v>45936</v>
      </c>
      <c r="B2177" s="8" t="s">
        <v>3806</v>
      </c>
      <c r="C2177" s="284">
        <v>0</v>
      </c>
      <c r="D2177" s="284">
        <v>5000000</v>
      </c>
      <c r="E2177" s="284">
        <f t="shared" si="33"/>
        <v>5000000</v>
      </c>
      <c r="F2177" s="8" t="s">
        <v>920</v>
      </c>
      <c r="G2177" s="8" t="s">
        <v>400</v>
      </c>
      <c r="H2177" s="8" t="s">
        <v>5678</v>
      </c>
    </row>
    <row r="2178" spans="1:8" s="8" customFormat="1">
      <c r="A2178" s="13"/>
      <c r="B2178" s="8" t="s">
        <v>6324</v>
      </c>
      <c r="C2178" s="284">
        <v>216000</v>
      </c>
      <c r="D2178" s="284">
        <v>0</v>
      </c>
      <c r="E2178" s="284">
        <f t="shared" si="33"/>
        <v>4784000</v>
      </c>
      <c r="F2178" s="8" t="s">
        <v>1643</v>
      </c>
      <c r="G2178" s="8" t="s">
        <v>5</v>
      </c>
      <c r="H2178" s="8" t="s">
        <v>6576</v>
      </c>
    </row>
    <row r="2179" spans="1:8" s="8" customFormat="1">
      <c r="A2179" s="13"/>
      <c r="B2179" s="8" t="s">
        <v>6325</v>
      </c>
      <c r="C2179" s="284">
        <v>550000</v>
      </c>
      <c r="D2179" s="284">
        <v>0</v>
      </c>
      <c r="E2179" s="284">
        <f t="shared" si="33"/>
        <v>4234000</v>
      </c>
      <c r="F2179" s="8" t="s">
        <v>1643</v>
      </c>
      <c r="G2179" s="8" t="s">
        <v>5</v>
      </c>
      <c r="H2179" s="8" t="s">
        <v>6576</v>
      </c>
    </row>
    <row r="2180" spans="1:8" s="8" customFormat="1">
      <c r="A2180" s="13"/>
      <c r="B2180" s="8" t="s">
        <v>6326</v>
      </c>
      <c r="C2180" s="284">
        <v>550000</v>
      </c>
      <c r="D2180" s="284">
        <v>0</v>
      </c>
      <c r="E2180" s="284">
        <f t="shared" si="33"/>
        <v>3684000</v>
      </c>
      <c r="F2180" s="8" t="s">
        <v>1643</v>
      </c>
      <c r="G2180" s="8" t="s">
        <v>5</v>
      </c>
      <c r="H2180" s="8" t="s">
        <v>6576</v>
      </c>
    </row>
    <row r="2181" spans="1:8" s="8" customFormat="1">
      <c r="A2181" s="13"/>
      <c r="B2181" s="8" t="s">
        <v>6327</v>
      </c>
      <c r="C2181" s="284">
        <v>155500</v>
      </c>
      <c r="D2181" s="284">
        <v>0</v>
      </c>
      <c r="E2181" s="284">
        <f t="shared" si="33"/>
        <v>3528500</v>
      </c>
      <c r="F2181" s="8" t="s">
        <v>1643</v>
      </c>
      <c r="G2181" s="8" t="s">
        <v>5</v>
      </c>
      <c r="H2181" s="8" t="s">
        <v>6576</v>
      </c>
    </row>
    <row r="2182" spans="1:8" s="8" customFormat="1">
      <c r="A2182" s="13"/>
      <c r="B2182" s="8" t="s">
        <v>6328</v>
      </c>
      <c r="C2182" s="284">
        <v>89000</v>
      </c>
      <c r="D2182" s="284">
        <v>0</v>
      </c>
      <c r="E2182" s="284">
        <f t="shared" ref="E2182:E2245" si="34">E2181-C2182+D2182</f>
        <v>3439500</v>
      </c>
      <c r="F2182" s="8" t="s">
        <v>1643</v>
      </c>
      <c r="G2182" s="8" t="s">
        <v>5</v>
      </c>
      <c r="H2182" s="8" t="s">
        <v>6576</v>
      </c>
    </row>
    <row r="2183" spans="1:8" s="8" customFormat="1">
      <c r="A2183" s="13"/>
      <c r="B2183" s="8" t="s">
        <v>6329</v>
      </c>
      <c r="C2183" s="284">
        <v>63000</v>
      </c>
      <c r="D2183" s="284">
        <v>0</v>
      </c>
      <c r="E2183" s="284">
        <f t="shared" si="34"/>
        <v>3376500</v>
      </c>
      <c r="F2183" s="8" t="s">
        <v>1643</v>
      </c>
      <c r="G2183" s="8" t="s">
        <v>5</v>
      </c>
      <c r="H2183" s="8" t="s">
        <v>6576</v>
      </c>
    </row>
    <row r="2184" spans="1:8" s="8" customFormat="1">
      <c r="A2184" s="13"/>
      <c r="B2184" s="8" t="s">
        <v>6330</v>
      </c>
      <c r="C2184" s="284">
        <v>59000</v>
      </c>
      <c r="D2184" s="284">
        <v>0</v>
      </c>
      <c r="E2184" s="284">
        <f t="shared" si="34"/>
        <v>3317500</v>
      </c>
      <c r="F2184" s="8" t="s">
        <v>1643</v>
      </c>
      <c r="G2184" s="8" t="s">
        <v>5</v>
      </c>
      <c r="H2184" s="8" t="s">
        <v>6576</v>
      </c>
    </row>
    <row r="2185" spans="1:8" s="8" customFormat="1">
      <c r="A2185" s="13"/>
      <c r="B2185" s="8" t="s">
        <v>6331</v>
      </c>
      <c r="C2185" s="284">
        <v>89000</v>
      </c>
      <c r="D2185" s="284">
        <v>0</v>
      </c>
      <c r="E2185" s="284">
        <f t="shared" si="34"/>
        <v>3228500</v>
      </c>
      <c r="F2185" s="8" t="s">
        <v>1643</v>
      </c>
      <c r="G2185" s="8" t="s">
        <v>5</v>
      </c>
      <c r="H2185" s="8" t="s">
        <v>6576</v>
      </c>
    </row>
    <row r="2186" spans="1:8" s="8" customFormat="1">
      <c r="A2186" s="13"/>
      <c r="B2186" s="8" t="s">
        <v>6332</v>
      </c>
      <c r="C2186" s="284">
        <v>93000</v>
      </c>
      <c r="D2186" s="284">
        <v>0</v>
      </c>
      <c r="E2186" s="284">
        <f t="shared" si="34"/>
        <v>3135500</v>
      </c>
      <c r="F2186" s="8" t="s">
        <v>1643</v>
      </c>
      <c r="G2186" s="8" t="s">
        <v>5</v>
      </c>
      <c r="H2186" s="8" t="s">
        <v>6576</v>
      </c>
    </row>
    <row r="2187" spans="1:8" s="8" customFormat="1">
      <c r="A2187" s="13"/>
      <c r="B2187" s="8" t="s">
        <v>6333</v>
      </c>
      <c r="C2187" s="284">
        <v>93000</v>
      </c>
      <c r="D2187" s="284">
        <v>0</v>
      </c>
      <c r="E2187" s="284">
        <f t="shared" si="34"/>
        <v>3042500</v>
      </c>
      <c r="F2187" s="8" t="s">
        <v>1643</v>
      </c>
      <c r="G2187" s="8" t="s">
        <v>5</v>
      </c>
      <c r="H2187" s="8" t="s">
        <v>6576</v>
      </c>
    </row>
    <row r="2188" spans="1:8" s="8" customFormat="1">
      <c r="A2188" s="13"/>
      <c r="B2188" s="8" t="s">
        <v>6331</v>
      </c>
      <c r="C2188" s="284">
        <v>89000</v>
      </c>
      <c r="D2188" s="284">
        <v>0</v>
      </c>
      <c r="E2188" s="284">
        <f t="shared" si="34"/>
        <v>2953500</v>
      </c>
      <c r="F2188" s="8" t="s">
        <v>1643</v>
      </c>
      <c r="G2188" s="8" t="s">
        <v>5</v>
      </c>
      <c r="H2188" s="8" t="s">
        <v>6576</v>
      </c>
    </row>
    <row r="2189" spans="1:8" s="8" customFormat="1">
      <c r="A2189" s="13"/>
      <c r="B2189" s="8" t="s">
        <v>6332</v>
      </c>
      <c r="C2189" s="284">
        <v>93000</v>
      </c>
      <c r="D2189" s="284">
        <v>0</v>
      </c>
      <c r="E2189" s="284">
        <f t="shared" si="34"/>
        <v>2860500</v>
      </c>
      <c r="F2189" s="8" t="s">
        <v>1643</v>
      </c>
      <c r="G2189" s="8" t="s">
        <v>5</v>
      </c>
      <c r="H2189" s="8" t="s">
        <v>6576</v>
      </c>
    </row>
    <row r="2190" spans="1:8" s="8" customFormat="1">
      <c r="A2190" s="13"/>
      <c r="B2190" s="8" t="s">
        <v>6333</v>
      </c>
      <c r="C2190" s="284">
        <v>89000</v>
      </c>
      <c r="D2190" s="284">
        <v>0</v>
      </c>
      <c r="E2190" s="284">
        <f t="shared" si="34"/>
        <v>2771500</v>
      </c>
      <c r="F2190" s="8" t="s">
        <v>1643</v>
      </c>
      <c r="G2190" s="8" t="s">
        <v>5</v>
      </c>
      <c r="H2190" s="8" t="s">
        <v>6576</v>
      </c>
    </row>
    <row r="2191" spans="1:8" s="8" customFormat="1">
      <c r="A2191" s="13"/>
      <c r="B2191" s="8" t="s">
        <v>6334</v>
      </c>
      <c r="C2191" s="284">
        <v>1950000</v>
      </c>
      <c r="D2191" s="284">
        <v>0</v>
      </c>
      <c r="E2191" s="284">
        <f t="shared" si="34"/>
        <v>821500</v>
      </c>
      <c r="F2191" s="8" t="s">
        <v>1643</v>
      </c>
      <c r="G2191" s="8" t="s">
        <v>5</v>
      </c>
      <c r="H2191" s="8" t="s">
        <v>6576</v>
      </c>
    </row>
    <row r="2192" spans="1:8" s="8" customFormat="1">
      <c r="A2192" s="13"/>
      <c r="B2192" s="8" t="s">
        <v>6331</v>
      </c>
      <c r="C2192" s="284">
        <v>89000</v>
      </c>
      <c r="D2192" s="284">
        <v>0</v>
      </c>
      <c r="E2192" s="284">
        <f t="shared" si="34"/>
        <v>732500</v>
      </c>
      <c r="F2192" s="8" t="s">
        <v>1643</v>
      </c>
      <c r="G2192" s="8" t="s">
        <v>5</v>
      </c>
      <c r="H2192" s="8" t="s">
        <v>6576</v>
      </c>
    </row>
    <row r="2193" spans="1:8" s="8" customFormat="1">
      <c r="A2193" s="13"/>
      <c r="B2193" s="8" t="s">
        <v>6335</v>
      </c>
      <c r="C2193" s="284">
        <v>93000</v>
      </c>
      <c r="D2193" s="284">
        <v>0</v>
      </c>
      <c r="E2193" s="284">
        <f t="shared" si="34"/>
        <v>639500</v>
      </c>
      <c r="F2193" s="8" t="s">
        <v>1643</v>
      </c>
      <c r="G2193" s="8" t="s">
        <v>5</v>
      </c>
      <c r="H2193" s="8" t="s">
        <v>6576</v>
      </c>
    </row>
    <row r="2194" spans="1:8" s="8" customFormat="1">
      <c r="A2194" s="13"/>
      <c r="B2194" s="8" t="s">
        <v>6336</v>
      </c>
      <c r="C2194" s="284">
        <v>126000</v>
      </c>
      <c r="D2194" s="284">
        <v>0</v>
      </c>
      <c r="E2194" s="284">
        <f t="shared" si="34"/>
        <v>513500</v>
      </c>
      <c r="F2194" s="8" t="s">
        <v>1643</v>
      </c>
      <c r="G2194" s="8" t="s">
        <v>5</v>
      </c>
      <c r="H2194" s="8" t="s">
        <v>6576</v>
      </c>
    </row>
    <row r="2195" spans="1:8" s="8" customFormat="1">
      <c r="A2195" s="13">
        <v>46007</v>
      </c>
      <c r="B2195" s="8" t="s">
        <v>6278</v>
      </c>
      <c r="C2195" s="284">
        <v>513500</v>
      </c>
      <c r="D2195" s="284">
        <v>0</v>
      </c>
      <c r="E2195" s="284">
        <f t="shared" si="34"/>
        <v>0</v>
      </c>
      <c r="F2195" t="s">
        <v>920</v>
      </c>
      <c r="G2195" t="s">
        <v>464</v>
      </c>
      <c r="H2195" s="8" t="s">
        <v>5678</v>
      </c>
    </row>
    <row r="2196" spans="1:8" s="8" customFormat="1">
      <c r="A2196" s="13">
        <v>45936</v>
      </c>
      <c r="B2196" s="8" t="s">
        <v>3805</v>
      </c>
      <c r="C2196" s="284">
        <v>0</v>
      </c>
      <c r="D2196" s="284">
        <v>5000000</v>
      </c>
      <c r="E2196" s="284">
        <f t="shared" si="34"/>
        <v>5000000</v>
      </c>
      <c r="F2196" t="s">
        <v>920</v>
      </c>
      <c r="G2196" t="s">
        <v>400</v>
      </c>
      <c r="H2196" s="8" t="s">
        <v>5679</v>
      </c>
    </row>
    <row r="2197" spans="1:8" s="8" customFormat="1">
      <c r="A2197" s="13"/>
      <c r="B2197" s="8" t="s">
        <v>5680</v>
      </c>
      <c r="C2197" s="284">
        <v>120500</v>
      </c>
      <c r="D2197" s="284">
        <v>0</v>
      </c>
      <c r="E2197" s="284">
        <f t="shared" si="34"/>
        <v>4879500</v>
      </c>
      <c r="F2197" s="8" t="s">
        <v>1643</v>
      </c>
      <c r="G2197" s="8" t="s">
        <v>5</v>
      </c>
      <c r="H2197" s="8" t="s">
        <v>6576</v>
      </c>
    </row>
    <row r="2198" spans="1:8" s="8" customFormat="1">
      <c r="A2198" s="13"/>
      <c r="B2198" s="8" t="s">
        <v>5681</v>
      </c>
      <c r="C2198" s="284">
        <v>31500</v>
      </c>
      <c r="D2198" s="284">
        <v>0</v>
      </c>
      <c r="E2198" s="284">
        <f t="shared" si="34"/>
        <v>4848000</v>
      </c>
      <c r="F2198" s="8" t="s">
        <v>1643</v>
      </c>
      <c r="G2198" s="8" t="s">
        <v>5</v>
      </c>
      <c r="H2198" s="8" t="s">
        <v>6576</v>
      </c>
    </row>
    <row r="2199" spans="1:8" s="8" customFormat="1">
      <c r="A2199" s="13"/>
      <c r="B2199" s="8" t="s">
        <v>5682</v>
      </c>
      <c r="C2199" s="284">
        <v>38000</v>
      </c>
      <c r="D2199" s="284">
        <v>0</v>
      </c>
      <c r="E2199" s="284">
        <f t="shared" si="34"/>
        <v>4810000</v>
      </c>
      <c r="F2199" s="8" t="s">
        <v>1643</v>
      </c>
      <c r="G2199" s="8" t="s">
        <v>5</v>
      </c>
      <c r="H2199" s="8" t="s">
        <v>6576</v>
      </c>
    </row>
    <row r="2200" spans="1:8" s="8" customFormat="1">
      <c r="A2200" s="13"/>
      <c r="B2200" s="8" t="s">
        <v>5683</v>
      </c>
      <c r="C2200" s="284">
        <v>240000</v>
      </c>
      <c r="D2200" s="284">
        <v>0</v>
      </c>
      <c r="E2200" s="284">
        <f t="shared" si="34"/>
        <v>4570000</v>
      </c>
      <c r="F2200" s="8" t="s">
        <v>1643</v>
      </c>
      <c r="G2200" s="8" t="s">
        <v>5</v>
      </c>
      <c r="H2200" s="8" t="s">
        <v>6576</v>
      </c>
    </row>
    <row r="2201" spans="1:8" s="8" customFormat="1">
      <c r="A2201" s="13"/>
      <c r="B2201" s="8" t="s">
        <v>5684</v>
      </c>
      <c r="C2201" s="284">
        <v>15000</v>
      </c>
      <c r="D2201" s="284">
        <v>0</v>
      </c>
      <c r="E2201" s="284">
        <f t="shared" si="34"/>
        <v>4555000</v>
      </c>
      <c r="F2201" s="8" t="s">
        <v>1643</v>
      </c>
      <c r="G2201" s="8" t="s">
        <v>5</v>
      </c>
      <c r="H2201" s="8" t="s">
        <v>6576</v>
      </c>
    </row>
    <row r="2202" spans="1:8" s="8" customFormat="1">
      <c r="A2202" s="13"/>
      <c r="B2202" s="8" t="s">
        <v>5685</v>
      </c>
      <c r="C2202" s="284">
        <v>17000</v>
      </c>
      <c r="D2202" s="284">
        <v>0</v>
      </c>
      <c r="E2202" s="284">
        <f t="shared" si="34"/>
        <v>4538000</v>
      </c>
      <c r="F2202" s="8" t="s">
        <v>1643</v>
      </c>
      <c r="G2202" s="8" t="s">
        <v>5</v>
      </c>
      <c r="H2202" s="8" t="s">
        <v>6576</v>
      </c>
    </row>
    <row r="2203" spans="1:8" s="8" customFormat="1">
      <c r="A2203" s="13"/>
      <c r="B2203" s="8" t="s">
        <v>5686</v>
      </c>
      <c r="C2203" s="284">
        <v>164000</v>
      </c>
      <c r="D2203" s="284">
        <v>0</v>
      </c>
      <c r="E2203" s="284">
        <f t="shared" si="34"/>
        <v>4374000</v>
      </c>
      <c r="F2203" s="8" t="s">
        <v>1643</v>
      </c>
      <c r="G2203" s="8" t="s">
        <v>5</v>
      </c>
      <c r="H2203" s="8" t="s">
        <v>6576</v>
      </c>
    </row>
    <row r="2204" spans="1:8" s="8" customFormat="1">
      <c r="A2204" s="13"/>
      <c r="B2204" s="8" t="s">
        <v>5687</v>
      </c>
      <c r="C2204" s="284">
        <v>24500</v>
      </c>
      <c r="D2204" s="284">
        <v>0</v>
      </c>
      <c r="E2204" s="284">
        <f t="shared" si="34"/>
        <v>4349500</v>
      </c>
      <c r="F2204" s="8" t="s">
        <v>1643</v>
      </c>
      <c r="G2204" s="8" t="s">
        <v>5</v>
      </c>
      <c r="H2204" s="8" t="s">
        <v>6576</v>
      </c>
    </row>
    <row r="2205" spans="1:8" s="8" customFormat="1">
      <c r="A2205" s="13"/>
      <c r="B2205" s="8" t="s">
        <v>5688</v>
      </c>
      <c r="C2205" s="284">
        <v>40000</v>
      </c>
      <c r="D2205" s="284">
        <v>0</v>
      </c>
      <c r="E2205" s="284">
        <f t="shared" si="34"/>
        <v>4309500</v>
      </c>
      <c r="F2205" s="8" t="s">
        <v>1643</v>
      </c>
      <c r="G2205" s="8" t="s">
        <v>5</v>
      </c>
      <c r="H2205" s="8" t="s">
        <v>6576</v>
      </c>
    </row>
    <row r="2206" spans="1:8" s="8" customFormat="1">
      <c r="A2206" s="13"/>
      <c r="B2206" s="8" t="s">
        <v>5689</v>
      </c>
      <c r="C2206" s="284">
        <v>17000</v>
      </c>
      <c r="D2206" s="284">
        <v>0</v>
      </c>
      <c r="E2206" s="284">
        <f t="shared" si="34"/>
        <v>4292500</v>
      </c>
      <c r="F2206" s="8" t="s">
        <v>1643</v>
      </c>
      <c r="G2206" s="8" t="s">
        <v>5</v>
      </c>
      <c r="H2206" s="8" t="s">
        <v>6576</v>
      </c>
    </row>
    <row r="2207" spans="1:8" s="8" customFormat="1">
      <c r="A2207" s="13"/>
      <c r="B2207" s="8" t="s">
        <v>5690</v>
      </c>
      <c r="C2207" s="284">
        <v>58000</v>
      </c>
      <c r="D2207" s="284">
        <v>0</v>
      </c>
      <c r="E2207" s="284">
        <f t="shared" si="34"/>
        <v>4234500</v>
      </c>
      <c r="F2207" s="8" t="s">
        <v>1643</v>
      </c>
      <c r="G2207" s="8" t="s">
        <v>5</v>
      </c>
      <c r="H2207" s="8" t="s">
        <v>6576</v>
      </c>
    </row>
    <row r="2208" spans="1:8" s="8" customFormat="1">
      <c r="A2208" s="13"/>
      <c r="B2208" s="8" t="s">
        <v>5691</v>
      </c>
      <c r="C2208" s="284">
        <v>19000</v>
      </c>
      <c r="D2208" s="284">
        <v>0</v>
      </c>
      <c r="E2208" s="284">
        <f t="shared" si="34"/>
        <v>4215500</v>
      </c>
      <c r="F2208" s="8" t="s">
        <v>1643</v>
      </c>
      <c r="G2208" s="8" t="s">
        <v>5</v>
      </c>
      <c r="H2208" s="8" t="s">
        <v>6576</v>
      </c>
    </row>
    <row r="2209" spans="1:9" s="8" customFormat="1">
      <c r="A2209" s="13"/>
      <c r="B2209" s="8" t="s">
        <v>5692</v>
      </c>
      <c r="C2209" s="284">
        <v>632500</v>
      </c>
      <c r="D2209" s="284">
        <v>0</v>
      </c>
      <c r="E2209" s="284">
        <f t="shared" si="34"/>
        <v>3583000</v>
      </c>
      <c r="F2209" s="8" t="s">
        <v>1643</v>
      </c>
      <c r="G2209" s="8" t="s">
        <v>5</v>
      </c>
      <c r="H2209" s="8" t="s">
        <v>6576</v>
      </c>
    </row>
    <row r="2210" spans="1:9" s="8" customFormat="1">
      <c r="A2210" s="13"/>
      <c r="B2210" s="8" t="s">
        <v>5693</v>
      </c>
      <c r="C2210" s="284">
        <v>16000</v>
      </c>
      <c r="D2210" s="284">
        <v>0</v>
      </c>
      <c r="E2210" s="284">
        <f t="shared" si="34"/>
        <v>3567000</v>
      </c>
      <c r="F2210" s="8" t="s">
        <v>1643</v>
      </c>
      <c r="G2210" s="8" t="s">
        <v>5</v>
      </c>
      <c r="H2210" s="8" t="s">
        <v>6576</v>
      </c>
    </row>
    <row r="2211" spans="1:9" s="8" customFormat="1">
      <c r="A2211" s="13"/>
      <c r="B2211" s="8" t="s">
        <v>5694</v>
      </c>
      <c r="C2211" s="284">
        <v>41500</v>
      </c>
      <c r="D2211" s="284">
        <v>0</v>
      </c>
      <c r="E2211" s="284">
        <f t="shared" si="34"/>
        <v>3525500</v>
      </c>
      <c r="F2211" s="8" t="s">
        <v>1643</v>
      </c>
      <c r="G2211" s="8" t="s">
        <v>5</v>
      </c>
      <c r="H2211" s="8" t="s">
        <v>6576</v>
      </c>
    </row>
    <row r="2212" spans="1:9" s="8" customFormat="1">
      <c r="A2212" s="13"/>
      <c r="B2212" s="8" t="s">
        <v>5688</v>
      </c>
      <c r="C2212" s="284">
        <v>40000</v>
      </c>
      <c r="D2212" s="284">
        <v>0</v>
      </c>
      <c r="E2212" s="284">
        <f t="shared" si="34"/>
        <v>3485500</v>
      </c>
      <c r="F2212" s="8" t="s">
        <v>1643</v>
      </c>
      <c r="G2212" s="8" t="s">
        <v>5</v>
      </c>
      <c r="H2212" s="8" t="s">
        <v>6576</v>
      </c>
    </row>
    <row r="2213" spans="1:9" s="8" customFormat="1">
      <c r="A2213" s="13"/>
      <c r="B2213" s="8" t="s">
        <v>5695</v>
      </c>
      <c r="C2213" s="284">
        <v>20000</v>
      </c>
      <c r="D2213" s="284">
        <v>0</v>
      </c>
      <c r="E2213" s="284">
        <f t="shared" si="34"/>
        <v>3465500</v>
      </c>
      <c r="F2213" s="8" t="s">
        <v>1643</v>
      </c>
      <c r="G2213" s="8" t="s">
        <v>5</v>
      </c>
      <c r="H2213" s="8" t="s">
        <v>6576</v>
      </c>
    </row>
    <row r="2214" spans="1:9" s="8" customFormat="1">
      <c r="A2214" s="13"/>
      <c r="B2214" s="8" t="s">
        <v>5696</v>
      </c>
      <c r="C2214" s="284">
        <v>652445</v>
      </c>
      <c r="D2214" s="284">
        <v>0</v>
      </c>
      <c r="E2214" s="284">
        <f t="shared" si="34"/>
        <v>2813055</v>
      </c>
      <c r="F2214" s="8" t="s">
        <v>1643</v>
      </c>
      <c r="G2214" s="8" t="s">
        <v>5</v>
      </c>
      <c r="H2214" s="8" t="s">
        <v>6576</v>
      </c>
    </row>
    <row r="2215" spans="1:9" s="8" customFormat="1">
      <c r="A2215" s="13"/>
      <c r="B2215" s="8" t="s">
        <v>5697</v>
      </c>
      <c r="C2215" s="284">
        <v>162500</v>
      </c>
      <c r="D2215" s="284">
        <v>0</v>
      </c>
      <c r="E2215" s="284">
        <f t="shared" si="34"/>
        <v>2650555</v>
      </c>
      <c r="F2215" s="8" t="s">
        <v>1643</v>
      </c>
      <c r="G2215" s="8" t="s">
        <v>5</v>
      </c>
      <c r="H2215" s="8" t="s">
        <v>6576</v>
      </c>
    </row>
    <row r="2216" spans="1:9" s="8" customFormat="1">
      <c r="A2216" s="13"/>
      <c r="B2216" s="8" t="s">
        <v>5698</v>
      </c>
      <c r="C2216" s="284">
        <v>138999</v>
      </c>
      <c r="D2216" s="284">
        <v>0</v>
      </c>
      <c r="E2216" s="284">
        <f t="shared" si="34"/>
        <v>2511556</v>
      </c>
      <c r="F2216" s="8" t="s">
        <v>1643</v>
      </c>
      <c r="G2216" s="8" t="s">
        <v>5</v>
      </c>
      <c r="H2216" s="8" t="s">
        <v>6576</v>
      </c>
    </row>
    <row r="2217" spans="1:9" s="8" customFormat="1">
      <c r="A2217" s="13"/>
      <c r="B2217" s="8" t="s">
        <v>5699</v>
      </c>
      <c r="C2217" s="284">
        <v>152350</v>
      </c>
      <c r="D2217" s="284">
        <v>0</v>
      </c>
      <c r="E2217" s="284">
        <f t="shared" si="34"/>
        <v>2359206</v>
      </c>
      <c r="F2217" s="8" t="s">
        <v>1643</v>
      </c>
      <c r="G2217" s="8" t="s">
        <v>5</v>
      </c>
      <c r="H2217" s="8" t="s">
        <v>6576</v>
      </c>
    </row>
    <row r="2218" spans="1:9" s="8" customFormat="1">
      <c r="A2218" s="13"/>
      <c r="B2218" s="8" t="s">
        <v>5700</v>
      </c>
      <c r="C2218" s="284">
        <v>225000</v>
      </c>
      <c r="D2218" s="284">
        <v>0</v>
      </c>
      <c r="E2218" s="284">
        <f t="shared" si="34"/>
        <v>2134206</v>
      </c>
      <c r="F2218" s="8" t="s">
        <v>1643</v>
      </c>
      <c r="G2218" s="8" t="s">
        <v>5</v>
      </c>
      <c r="H2218" s="8" t="s">
        <v>6576</v>
      </c>
    </row>
    <row r="2219" spans="1:9" s="8" customFormat="1">
      <c r="A2219" s="13">
        <v>45952</v>
      </c>
      <c r="B2219" s="8" t="s">
        <v>3872</v>
      </c>
      <c r="C2219" s="284">
        <v>2134206</v>
      </c>
      <c r="D2219" s="284">
        <v>0</v>
      </c>
      <c r="E2219" s="284">
        <f t="shared" si="34"/>
        <v>0</v>
      </c>
      <c r="F2219" t="s">
        <v>920</v>
      </c>
      <c r="G2219" t="s">
        <v>464</v>
      </c>
      <c r="H2219" s="8" t="s">
        <v>5679</v>
      </c>
    </row>
    <row r="2220" spans="1:9" s="8" customFormat="1">
      <c r="A2220" s="13">
        <v>45943</v>
      </c>
      <c r="B2220" s="8" t="s">
        <v>3853</v>
      </c>
      <c r="C2220" s="284">
        <v>0</v>
      </c>
      <c r="D2220" s="284">
        <v>10000000</v>
      </c>
      <c r="E2220" s="284">
        <f t="shared" si="34"/>
        <v>10000000</v>
      </c>
      <c r="F2220" t="s">
        <v>920</v>
      </c>
      <c r="G2220" t="s">
        <v>400</v>
      </c>
      <c r="H2220" s="8" t="s">
        <v>5701</v>
      </c>
    </row>
    <row r="2221" spans="1:9" s="8" customFormat="1">
      <c r="A2221" s="13"/>
      <c r="B2221" s="8" t="s">
        <v>5702</v>
      </c>
      <c r="C2221" s="284">
        <v>67500</v>
      </c>
      <c r="D2221" s="284">
        <v>0</v>
      </c>
      <c r="E2221" s="284">
        <f t="shared" si="34"/>
        <v>9932500</v>
      </c>
      <c r="F2221" t="s">
        <v>10</v>
      </c>
      <c r="G2221" t="s">
        <v>446</v>
      </c>
      <c r="H2221" s="8" t="s">
        <v>4095</v>
      </c>
      <c r="I2221" s="8" t="s">
        <v>26</v>
      </c>
    </row>
    <row r="2222" spans="1:9" s="8" customFormat="1">
      <c r="A2222" s="13"/>
      <c r="B2222" s="8" t="s">
        <v>5703</v>
      </c>
      <c r="C2222" s="284">
        <v>1000000</v>
      </c>
      <c r="D2222" s="284">
        <v>0</v>
      </c>
      <c r="E2222" s="284">
        <f t="shared" si="34"/>
        <v>8932500</v>
      </c>
      <c r="F2222" t="s">
        <v>10</v>
      </c>
      <c r="G2222" t="s">
        <v>446</v>
      </c>
      <c r="H2222" s="8" t="s">
        <v>4095</v>
      </c>
      <c r="I2222" s="8" t="s">
        <v>26</v>
      </c>
    </row>
    <row r="2223" spans="1:9" s="8" customFormat="1">
      <c r="A2223" s="13"/>
      <c r="B2223" s="8" t="s">
        <v>5704</v>
      </c>
      <c r="C2223" s="284">
        <v>300000</v>
      </c>
      <c r="D2223" s="284">
        <v>0</v>
      </c>
      <c r="E2223" s="284">
        <f t="shared" si="34"/>
        <v>8632500</v>
      </c>
      <c r="F2223" t="s">
        <v>10</v>
      </c>
      <c r="G2223" t="s">
        <v>446</v>
      </c>
      <c r="H2223" s="8" t="s">
        <v>4095</v>
      </c>
      <c r="I2223" s="8" t="s">
        <v>26</v>
      </c>
    </row>
    <row r="2224" spans="1:9" s="8" customFormat="1">
      <c r="A2224" s="13"/>
      <c r="B2224" s="8" t="s">
        <v>5705</v>
      </c>
      <c r="C2224" s="284">
        <v>1900000</v>
      </c>
      <c r="D2224" s="284">
        <v>0</v>
      </c>
      <c r="E2224" s="284">
        <f t="shared" si="34"/>
        <v>6732500</v>
      </c>
      <c r="F2224" t="s">
        <v>10</v>
      </c>
      <c r="G2224" t="s">
        <v>446</v>
      </c>
      <c r="H2224" s="8" t="s">
        <v>4095</v>
      </c>
      <c r="I2224" s="8" t="s">
        <v>26</v>
      </c>
    </row>
    <row r="2225" spans="1:9" s="8" customFormat="1">
      <c r="A2225" s="13"/>
      <c r="B2225" s="8" t="s">
        <v>5706</v>
      </c>
      <c r="C2225" s="284">
        <v>87000</v>
      </c>
      <c r="D2225" s="284">
        <v>0</v>
      </c>
      <c r="E2225" s="284">
        <f t="shared" si="34"/>
        <v>6645500</v>
      </c>
      <c r="F2225" t="s">
        <v>10</v>
      </c>
      <c r="G2225" t="s">
        <v>446</v>
      </c>
      <c r="H2225" s="8" t="s">
        <v>4095</v>
      </c>
      <c r="I2225" s="8" t="s">
        <v>26</v>
      </c>
    </row>
    <row r="2226" spans="1:9" s="8" customFormat="1">
      <c r="A2226" s="13"/>
      <c r="B2226" s="8" t="s">
        <v>5707</v>
      </c>
      <c r="C2226" s="284">
        <v>109901</v>
      </c>
      <c r="D2226" s="284">
        <v>0</v>
      </c>
      <c r="E2226" s="284">
        <f t="shared" si="34"/>
        <v>6535599</v>
      </c>
      <c r="F2226" t="s">
        <v>10</v>
      </c>
      <c r="G2226" t="s">
        <v>446</v>
      </c>
      <c r="H2226" s="8" t="s">
        <v>4095</v>
      </c>
      <c r="I2226" s="8" t="s">
        <v>26</v>
      </c>
    </row>
    <row r="2227" spans="1:9" s="8" customFormat="1">
      <c r="A2227" s="13"/>
      <c r="B2227" s="8" t="s">
        <v>5708</v>
      </c>
      <c r="C2227" s="284">
        <v>5725000</v>
      </c>
      <c r="D2227" s="284">
        <v>0</v>
      </c>
      <c r="E2227" s="284">
        <f t="shared" si="34"/>
        <v>810599</v>
      </c>
      <c r="F2227" t="s">
        <v>10</v>
      </c>
      <c r="G2227" t="s">
        <v>446</v>
      </c>
      <c r="H2227" s="8" t="s">
        <v>4095</v>
      </c>
      <c r="I2227" s="8" t="s">
        <v>26</v>
      </c>
    </row>
    <row r="2228" spans="1:9" s="8" customFormat="1">
      <c r="A2228" s="13"/>
      <c r="B2228" s="8" t="s">
        <v>5709</v>
      </c>
      <c r="C2228" s="284">
        <v>1200000</v>
      </c>
      <c r="D2228" s="284">
        <v>0</v>
      </c>
      <c r="E2228" s="284">
        <f t="shared" si="34"/>
        <v>-389401</v>
      </c>
      <c r="F2228" t="s">
        <v>10</v>
      </c>
      <c r="G2228" t="s">
        <v>446</v>
      </c>
      <c r="H2228" s="8" t="s">
        <v>4095</v>
      </c>
      <c r="I2228" s="8" t="s">
        <v>26</v>
      </c>
    </row>
    <row r="2229" spans="1:9" s="8" customFormat="1">
      <c r="A2229" s="13"/>
      <c r="B2229" s="8" t="s">
        <v>5710</v>
      </c>
      <c r="C2229" s="284">
        <v>67000</v>
      </c>
      <c r="D2229" s="284">
        <v>0</v>
      </c>
      <c r="E2229" s="284">
        <f t="shared" si="34"/>
        <v>-456401</v>
      </c>
      <c r="F2229" t="s">
        <v>10</v>
      </c>
      <c r="G2229" t="s">
        <v>446</v>
      </c>
      <c r="H2229" s="8" t="s">
        <v>4095</v>
      </c>
      <c r="I2229" s="8" t="s">
        <v>26</v>
      </c>
    </row>
    <row r="2230" spans="1:9" s="8" customFormat="1">
      <c r="A2230" s="13"/>
      <c r="B2230" s="8" t="s">
        <v>5711</v>
      </c>
      <c r="C2230" s="284">
        <v>181000</v>
      </c>
      <c r="D2230" s="284">
        <v>0</v>
      </c>
      <c r="E2230" s="284">
        <f t="shared" si="34"/>
        <v>-637401</v>
      </c>
      <c r="F2230" t="s">
        <v>10</v>
      </c>
      <c r="G2230" t="s">
        <v>446</v>
      </c>
      <c r="H2230" s="8" t="s">
        <v>4095</v>
      </c>
      <c r="I2230" s="8" t="s">
        <v>26</v>
      </c>
    </row>
    <row r="2231" spans="1:9" s="8" customFormat="1">
      <c r="A2231" s="13"/>
      <c r="B2231" s="8" t="s">
        <v>5712</v>
      </c>
      <c r="C2231" s="284">
        <v>450000</v>
      </c>
      <c r="D2231" s="284">
        <v>0</v>
      </c>
      <c r="E2231" s="284">
        <f t="shared" si="34"/>
        <v>-1087401</v>
      </c>
      <c r="F2231" t="s">
        <v>10</v>
      </c>
      <c r="G2231" t="s">
        <v>446</v>
      </c>
      <c r="H2231" s="8" t="s">
        <v>4095</v>
      </c>
      <c r="I2231" s="8" t="s">
        <v>26</v>
      </c>
    </row>
    <row r="2232" spans="1:9" s="8" customFormat="1">
      <c r="A2232" s="13"/>
      <c r="B2232" s="8" t="s">
        <v>5713</v>
      </c>
      <c r="C2232" s="284">
        <v>70000</v>
      </c>
      <c r="D2232" s="284">
        <v>0</v>
      </c>
      <c r="E2232" s="284">
        <f t="shared" si="34"/>
        <v>-1157401</v>
      </c>
      <c r="F2232" t="s">
        <v>10</v>
      </c>
      <c r="G2232" t="s">
        <v>446</v>
      </c>
      <c r="H2232" s="8" t="s">
        <v>4095</v>
      </c>
      <c r="I2232" s="8" t="s">
        <v>26</v>
      </c>
    </row>
    <row r="2233" spans="1:9" s="8" customFormat="1">
      <c r="A2233" s="13"/>
      <c r="B2233" s="8" t="s">
        <v>5714</v>
      </c>
      <c r="C2233" s="284">
        <v>160000</v>
      </c>
      <c r="D2233" s="284">
        <v>0</v>
      </c>
      <c r="E2233" s="284">
        <f t="shared" si="34"/>
        <v>-1317401</v>
      </c>
      <c r="F2233" t="s">
        <v>10</v>
      </c>
      <c r="G2233" t="s">
        <v>446</v>
      </c>
      <c r="H2233" s="8" t="s">
        <v>4095</v>
      </c>
      <c r="I2233" s="8" t="s">
        <v>26</v>
      </c>
    </row>
    <row r="2234" spans="1:9" s="8" customFormat="1">
      <c r="A2234" s="13"/>
      <c r="B2234" s="8" t="s">
        <v>5715</v>
      </c>
      <c r="C2234" s="284">
        <v>111800</v>
      </c>
      <c r="D2234" s="284">
        <v>0</v>
      </c>
      <c r="E2234" s="284">
        <f t="shared" si="34"/>
        <v>-1429201</v>
      </c>
      <c r="F2234" t="s">
        <v>10</v>
      </c>
      <c r="G2234" t="s">
        <v>446</v>
      </c>
      <c r="H2234" s="8" t="s">
        <v>4095</v>
      </c>
      <c r="I2234" s="8" t="s">
        <v>26</v>
      </c>
    </row>
    <row r="2235" spans="1:9" s="8" customFormat="1">
      <c r="A2235" s="13">
        <v>45961</v>
      </c>
      <c r="B2235" s="8" t="s">
        <v>4011</v>
      </c>
      <c r="C2235" s="284">
        <v>0</v>
      </c>
      <c r="D2235" s="284">
        <v>1429201</v>
      </c>
      <c r="E2235" s="284">
        <f t="shared" si="34"/>
        <v>0</v>
      </c>
      <c r="F2235" t="s">
        <v>920</v>
      </c>
      <c r="G2235" t="s">
        <v>400</v>
      </c>
      <c r="H2235" s="8" t="s">
        <v>5701</v>
      </c>
    </row>
    <row r="2236" spans="1:9" s="8" customFormat="1">
      <c r="A2236" s="13">
        <v>45943</v>
      </c>
      <c r="B2236" s="8" t="s">
        <v>3852</v>
      </c>
      <c r="C2236" s="284">
        <v>0</v>
      </c>
      <c r="D2236" s="284">
        <v>40000000</v>
      </c>
      <c r="E2236" s="284">
        <f t="shared" si="34"/>
        <v>40000000</v>
      </c>
      <c r="F2236" t="s">
        <v>920</v>
      </c>
      <c r="G2236" t="s">
        <v>400</v>
      </c>
      <c r="H2236" s="8" t="s">
        <v>5716</v>
      </c>
    </row>
    <row r="2237" spans="1:9" s="8" customFormat="1">
      <c r="A2237" s="13"/>
      <c r="B2237" s="8" t="s">
        <v>5717</v>
      </c>
      <c r="C2237" s="284">
        <v>1801000</v>
      </c>
      <c r="D2237" s="284">
        <v>0</v>
      </c>
      <c r="E2237" s="284">
        <f t="shared" si="34"/>
        <v>38199000</v>
      </c>
      <c r="F2237" t="s">
        <v>10</v>
      </c>
      <c r="G2237" t="s">
        <v>446</v>
      </c>
      <c r="H2237" s="8" t="s">
        <v>4095</v>
      </c>
      <c r="I2237" s="8" t="s">
        <v>26</v>
      </c>
    </row>
    <row r="2238" spans="1:9" s="8" customFormat="1">
      <c r="A2238" s="13"/>
      <c r="B2238" s="8" t="s">
        <v>5718</v>
      </c>
      <c r="C2238" s="284">
        <v>3301000</v>
      </c>
      <c r="D2238" s="284">
        <v>0</v>
      </c>
      <c r="E2238" s="284">
        <f t="shared" si="34"/>
        <v>34898000</v>
      </c>
      <c r="F2238" t="s">
        <v>10</v>
      </c>
      <c r="G2238" t="s">
        <v>446</v>
      </c>
      <c r="H2238" s="8" t="s">
        <v>4095</v>
      </c>
      <c r="I2238" s="8" t="s">
        <v>26</v>
      </c>
    </row>
    <row r="2239" spans="1:9" s="8" customFormat="1">
      <c r="A2239" s="13"/>
      <c r="B2239" s="8" t="s">
        <v>5719</v>
      </c>
      <c r="C2239" s="284">
        <v>3001000</v>
      </c>
      <c r="D2239" s="284">
        <v>0</v>
      </c>
      <c r="E2239" s="284">
        <f t="shared" si="34"/>
        <v>31897000</v>
      </c>
      <c r="F2239" t="s">
        <v>10</v>
      </c>
      <c r="G2239" t="s">
        <v>446</v>
      </c>
      <c r="H2239" s="8" t="s">
        <v>4095</v>
      </c>
      <c r="I2239" s="8" t="s">
        <v>26</v>
      </c>
    </row>
    <row r="2240" spans="1:9" s="8" customFormat="1">
      <c r="A2240" s="13"/>
      <c r="B2240" s="8" t="s">
        <v>5720</v>
      </c>
      <c r="C2240" s="284">
        <v>2701000</v>
      </c>
      <c r="D2240" s="284">
        <v>0</v>
      </c>
      <c r="E2240" s="284">
        <f t="shared" si="34"/>
        <v>29196000</v>
      </c>
      <c r="F2240" t="s">
        <v>10</v>
      </c>
      <c r="G2240" t="s">
        <v>446</v>
      </c>
      <c r="H2240" s="8" t="s">
        <v>4095</v>
      </c>
      <c r="I2240" s="8" t="s">
        <v>26</v>
      </c>
    </row>
    <row r="2241" spans="1:9" s="8" customFormat="1">
      <c r="A2241" s="13"/>
      <c r="B2241" s="8" t="s">
        <v>5721</v>
      </c>
      <c r="C2241" s="284">
        <v>3001000</v>
      </c>
      <c r="D2241" s="284">
        <v>0</v>
      </c>
      <c r="E2241" s="284">
        <f t="shared" si="34"/>
        <v>26195000</v>
      </c>
      <c r="F2241" t="s">
        <v>10</v>
      </c>
      <c r="G2241" t="s">
        <v>446</v>
      </c>
      <c r="H2241" s="8" t="s">
        <v>4095</v>
      </c>
      <c r="I2241" s="8" t="s">
        <v>26</v>
      </c>
    </row>
    <row r="2242" spans="1:9" s="8" customFormat="1">
      <c r="A2242" s="13"/>
      <c r="B2242" s="8" t="s">
        <v>5722</v>
      </c>
      <c r="C2242" s="284">
        <v>2701000</v>
      </c>
      <c r="D2242" s="284">
        <v>0</v>
      </c>
      <c r="E2242" s="284">
        <f t="shared" si="34"/>
        <v>23494000</v>
      </c>
      <c r="F2242" t="s">
        <v>10</v>
      </c>
      <c r="G2242" t="s">
        <v>446</v>
      </c>
      <c r="H2242" s="8" t="s">
        <v>4095</v>
      </c>
      <c r="I2242" s="8" t="s">
        <v>26</v>
      </c>
    </row>
    <row r="2243" spans="1:9" s="8" customFormat="1">
      <c r="A2243" s="13"/>
      <c r="B2243" s="8" t="s">
        <v>5723</v>
      </c>
      <c r="C2243" s="284">
        <v>2701000</v>
      </c>
      <c r="D2243" s="284">
        <v>0</v>
      </c>
      <c r="E2243" s="284">
        <f t="shared" si="34"/>
        <v>20793000</v>
      </c>
      <c r="F2243" t="s">
        <v>10</v>
      </c>
      <c r="G2243" t="s">
        <v>446</v>
      </c>
      <c r="H2243" s="8" t="s">
        <v>4095</v>
      </c>
      <c r="I2243" s="8" t="s">
        <v>26</v>
      </c>
    </row>
    <row r="2244" spans="1:9" s="8" customFormat="1">
      <c r="A2244" s="13"/>
      <c r="B2244" s="8" t="s">
        <v>5724</v>
      </c>
      <c r="C2244" s="284">
        <v>2701500</v>
      </c>
      <c r="D2244" s="284">
        <v>0</v>
      </c>
      <c r="E2244" s="284">
        <f t="shared" si="34"/>
        <v>18091500</v>
      </c>
      <c r="F2244" t="s">
        <v>10</v>
      </c>
      <c r="G2244" t="s">
        <v>446</v>
      </c>
      <c r="H2244" s="8" t="s">
        <v>4095</v>
      </c>
      <c r="I2244" s="8" t="s">
        <v>26</v>
      </c>
    </row>
    <row r="2245" spans="1:9" s="8" customFormat="1">
      <c r="A2245" s="13"/>
      <c r="B2245" s="8" t="s">
        <v>5725</v>
      </c>
      <c r="C2245" s="284">
        <v>1150000</v>
      </c>
      <c r="D2245" s="284">
        <v>0</v>
      </c>
      <c r="E2245" s="284">
        <f t="shared" si="34"/>
        <v>16941500</v>
      </c>
      <c r="F2245" t="s">
        <v>10</v>
      </c>
      <c r="G2245" t="s">
        <v>446</v>
      </c>
      <c r="H2245" s="8" t="s">
        <v>4095</v>
      </c>
      <c r="I2245" s="8" t="s">
        <v>26</v>
      </c>
    </row>
    <row r="2246" spans="1:9" s="8" customFormat="1">
      <c r="A2246" s="13"/>
      <c r="B2246" s="8" t="s">
        <v>5726</v>
      </c>
      <c r="C2246" s="284">
        <v>1400000</v>
      </c>
      <c r="D2246" s="284">
        <v>0</v>
      </c>
      <c r="E2246" s="284">
        <f t="shared" ref="E2246:E2309" si="35">E2245-C2246+D2246</f>
        <v>15541500</v>
      </c>
      <c r="F2246" t="s">
        <v>10</v>
      </c>
      <c r="G2246" t="s">
        <v>446</v>
      </c>
      <c r="H2246" s="8" t="s">
        <v>4095</v>
      </c>
      <c r="I2246" s="8" t="s">
        <v>26</v>
      </c>
    </row>
    <row r="2247" spans="1:9" s="8" customFormat="1">
      <c r="A2247" s="13"/>
      <c r="B2247" s="8" t="s">
        <v>5727</v>
      </c>
      <c r="C2247" s="284">
        <v>440000</v>
      </c>
      <c r="D2247" s="284">
        <v>0</v>
      </c>
      <c r="E2247" s="284">
        <f t="shared" si="35"/>
        <v>15101500</v>
      </c>
      <c r="F2247" t="s">
        <v>10</v>
      </c>
      <c r="G2247" t="s">
        <v>446</v>
      </c>
      <c r="H2247" s="8" t="s">
        <v>4095</v>
      </c>
      <c r="I2247" s="8" t="s">
        <v>26</v>
      </c>
    </row>
    <row r="2248" spans="1:9" s="8" customFormat="1">
      <c r="A2248" s="13"/>
      <c r="B2248" s="8" t="s">
        <v>5728</v>
      </c>
      <c r="C2248" s="284">
        <v>541750</v>
      </c>
      <c r="D2248" s="284">
        <v>0</v>
      </c>
      <c r="E2248" s="284">
        <f t="shared" si="35"/>
        <v>14559750</v>
      </c>
      <c r="F2248" t="s">
        <v>10</v>
      </c>
      <c r="G2248" t="s">
        <v>446</v>
      </c>
      <c r="H2248" s="8" t="s">
        <v>4095</v>
      </c>
      <c r="I2248" s="8" t="s">
        <v>26</v>
      </c>
    </row>
    <row r="2249" spans="1:9" s="8" customFormat="1">
      <c r="A2249" s="13"/>
      <c r="B2249" s="8" t="s">
        <v>5729</v>
      </c>
      <c r="C2249" s="284">
        <v>400000</v>
      </c>
      <c r="D2249" s="284">
        <v>0</v>
      </c>
      <c r="E2249" s="284">
        <f t="shared" si="35"/>
        <v>14159750</v>
      </c>
      <c r="F2249" t="s">
        <v>10</v>
      </c>
      <c r="G2249" t="s">
        <v>446</v>
      </c>
      <c r="H2249" s="8" t="s">
        <v>4095</v>
      </c>
      <c r="I2249" s="8" t="s">
        <v>26</v>
      </c>
    </row>
    <row r="2250" spans="1:9" s="8" customFormat="1">
      <c r="A2250" s="13"/>
      <c r="B2250" s="8" t="s">
        <v>5730</v>
      </c>
      <c r="C2250" s="284">
        <v>1952500</v>
      </c>
      <c r="D2250" s="284">
        <v>0</v>
      </c>
      <c r="E2250" s="284">
        <f t="shared" si="35"/>
        <v>12207250</v>
      </c>
      <c r="F2250" t="s">
        <v>10</v>
      </c>
      <c r="G2250" t="s">
        <v>446</v>
      </c>
      <c r="H2250" s="8" t="s">
        <v>4095</v>
      </c>
      <c r="I2250" s="8" t="s">
        <v>26</v>
      </c>
    </row>
    <row r="2251" spans="1:9" s="8" customFormat="1">
      <c r="A2251" s="13"/>
      <c r="B2251" s="8" t="s">
        <v>5731</v>
      </c>
      <c r="C2251" s="284">
        <v>1096800</v>
      </c>
      <c r="D2251" s="284">
        <v>0</v>
      </c>
      <c r="E2251" s="284">
        <f t="shared" si="35"/>
        <v>11110450</v>
      </c>
      <c r="F2251" t="s">
        <v>10</v>
      </c>
      <c r="G2251" t="s">
        <v>446</v>
      </c>
      <c r="H2251" s="8" t="s">
        <v>4095</v>
      </c>
      <c r="I2251" s="8" t="s">
        <v>26</v>
      </c>
    </row>
    <row r="2252" spans="1:9" s="8" customFormat="1">
      <c r="A2252" s="13"/>
      <c r="B2252" s="8" t="s">
        <v>5732</v>
      </c>
      <c r="C2252" s="284">
        <v>2600000</v>
      </c>
      <c r="D2252" s="284">
        <v>0</v>
      </c>
      <c r="E2252" s="284">
        <f t="shared" si="35"/>
        <v>8510450</v>
      </c>
      <c r="F2252" t="s">
        <v>10</v>
      </c>
      <c r="G2252" t="s">
        <v>446</v>
      </c>
      <c r="H2252" s="8" t="s">
        <v>4095</v>
      </c>
      <c r="I2252" s="8" t="s">
        <v>26</v>
      </c>
    </row>
    <row r="2253" spans="1:9" s="8" customFormat="1">
      <c r="A2253" s="13"/>
      <c r="B2253" s="8" t="s">
        <v>5733</v>
      </c>
      <c r="C2253" s="284">
        <v>95000</v>
      </c>
      <c r="D2253" s="284">
        <v>0</v>
      </c>
      <c r="E2253" s="284">
        <f t="shared" si="35"/>
        <v>8415450</v>
      </c>
      <c r="F2253" t="s">
        <v>10</v>
      </c>
      <c r="G2253" t="s">
        <v>446</v>
      </c>
      <c r="H2253" s="8" t="s">
        <v>4095</v>
      </c>
      <c r="I2253" s="8" t="s">
        <v>26</v>
      </c>
    </row>
    <row r="2254" spans="1:9" s="8" customFormat="1">
      <c r="A2254" s="13"/>
      <c r="B2254" s="8" t="s">
        <v>5734</v>
      </c>
      <c r="C2254" s="284">
        <v>99900</v>
      </c>
      <c r="D2254" s="284">
        <v>0</v>
      </c>
      <c r="E2254" s="284">
        <f t="shared" si="35"/>
        <v>8315550</v>
      </c>
      <c r="F2254" t="s">
        <v>10</v>
      </c>
      <c r="G2254" t="s">
        <v>446</v>
      </c>
      <c r="H2254" s="8" t="s">
        <v>4095</v>
      </c>
      <c r="I2254" s="8" t="s">
        <v>26</v>
      </c>
    </row>
    <row r="2255" spans="1:9" s="8" customFormat="1">
      <c r="A2255" s="13"/>
      <c r="B2255" s="8" t="s">
        <v>5735</v>
      </c>
      <c r="C2255" s="284">
        <v>1700000</v>
      </c>
      <c r="D2255" s="284">
        <v>0</v>
      </c>
      <c r="E2255" s="284">
        <f t="shared" si="35"/>
        <v>6615550</v>
      </c>
      <c r="F2255" t="s">
        <v>10</v>
      </c>
      <c r="G2255" t="s">
        <v>446</v>
      </c>
      <c r="H2255" s="8" t="s">
        <v>4095</v>
      </c>
      <c r="I2255" s="8" t="s">
        <v>26</v>
      </c>
    </row>
    <row r="2256" spans="1:9" s="8" customFormat="1">
      <c r="A2256" s="13"/>
      <c r="B2256" s="8" t="s">
        <v>5736</v>
      </c>
      <c r="C2256" s="284">
        <v>200000</v>
      </c>
      <c r="D2256" s="284">
        <v>0</v>
      </c>
      <c r="E2256" s="284">
        <f t="shared" si="35"/>
        <v>6415550</v>
      </c>
      <c r="F2256" t="s">
        <v>10</v>
      </c>
      <c r="G2256" t="s">
        <v>446</v>
      </c>
      <c r="H2256" s="8" t="s">
        <v>4095</v>
      </c>
      <c r="I2256" s="8" t="s">
        <v>26</v>
      </c>
    </row>
    <row r="2257" spans="1:9" s="8" customFormat="1">
      <c r="A2257" s="13"/>
      <c r="B2257" s="8" t="s">
        <v>5737</v>
      </c>
      <c r="C2257" s="284">
        <v>400000</v>
      </c>
      <c r="D2257" s="284">
        <v>0</v>
      </c>
      <c r="E2257" s="284">
        <f t="shared" si="35"/>
        <v>6015550</v>
      </c>
      <c r="F2257" t="s">
        <v>10</v>
      </c>
      <c r="G2257" t="s">
        <v>446</v>
      </c>
      <c r="H2257" s="8" t="s">
        <v>4095</v>
      </c>
      <c r="I2257" s="8" t="s">
        <v>26</v>
      </c>
    </row>
    <row r="2258" spans="1:9" s="8" customFormat="1">
      <c r="A2258" s="113">
        <v>45958</v>
      </c>
      <c r="B2258" s="7" t="s">
        <v>5932</v>
      </c>
      <c r="C2258" s="284">
        <v>6015550</v>
      </c>
      <c r="D2258" s="284">
        <v>0</v>
      </c>
      <c r="E2258" s="284">
        <f t="shared" si="35"/>
        <v>0</v>
      </c>
      <c r="F2258" s="292" t="s">
        <v>920</v>
      </c>
      <c r="G2258" s="8" t="s">
        <v>498</v>
      </c>
      <c r="H2258" t="s">
        <v>5716</v>
      </c>
    </row>
    <row r="2259" spans="1:9" s="8" customFormat="1">
      <c r="A2259" s="13">
        <v>45960</v>
      </c>
      <c r="B2259" s="8" t="s">
        <v>3897</v>
      </c>
      <c r="C2259" s="284">
        <v>0</v>
      </c>
      <c r="D2259" s="284">
        <v>2437500</v>
      </c>
      <c r="E2259" s="284">
        <f t="shared" si="35"/>
        <v>2437500</v>
      </c>
      <c r="F2259" s="8" t="s">
        <v>920</v>
      </c>
      <c r="G2259" s="8" t="s">
        <v>400</v>
      </c>
      <c r="H2259" s="8" t="s">
        <v>5738</v>
      </c>
    </row>
    <row r="2260" spans="1:9" s="8" customFormat="1">
      <c r="A2260" s="113"/>
      <c r="B2260" s="7" t="s">
        <v>5933</v>
      </c>
      <c r="C2260" s="284">
        <v>200000</v>
      </c>
      <c r="D2260" s="284">
        <v>0</v>
      </c>
      <c r="E2260" s="284">
        <f t="shared" si="35"/>
        <v>2237500</v>
      </c>
      <c r="F2260" s="292" t="s">
        <v>1643</v>
      </c>
      <c r="G2260" s="8" t="s">
        <v>5</v>
      </c>
      <c r="H2260" s="8" t="s">
        <v>6576</v>
      </c>
    </row>
    <row r="2261" spans="1:9" s="8" customFormat="1">
      <c r="A2261" s="113"/>
      <c r="B2261" s="7" t="s">
        <v>5934</v>
      </c>
      <c r="C2261" s="284">
        <v>25000</v>
      </c>
      <c r="D2261" s="284">
        <v>0</v>
      </c>
      <c r="E2261" s="284">
        <f t="shared" si="35"/>
        <v>2212500</v>
      </c>
      <c r="F2261" s="292" t="s">
        <v>1643</v>
      </c>
      <c r="G2261" s="8" t="s">
        <v>5</v>
      </c>
      <c r="H2261" s="8" t="s">
        <v>6576</v>
      </c>
    </row>
    <row r="2262" spans="1:9" s="8" customFormat="1">
      <c r="A2262" s="113"/>
      <c r="B2262" s="7" t="s">
        <v>5935</v>
      </c>
      <c r="C2262" s="284">
        <v>25000</v>
      </c>
      <c r="D2262" s="284">
        <v>0</v>
      </c>
      <c r="E2262" s="284">
        <f t="shared" si="35"/>
        <v>2187500</v>
      </c>
      <c r="F2262" s="292" t="s">
        <v>1643</v>
      </c>
      <c r="G2262" s="8" t="s">
        <v>5</v>
      </c>
      <c r="H2262" s="8" t="s">
        <v>6576</v>
      </c>
    </row>
    <row r="2263" spans="1:9" s="8" customFormat="1">
      <c r="A2263" s="113"/>
      <c r="B2263" s="7" t="s">
        <v>5936</v>
      </c>
      <c r="C2263" s="284">
        <v>18000</v>
      </c>
      <c r="D2263" s="284">
        <v>0</v>
      </c>
      <c r="E2263" s="284">
        <f t="shared" si="35"/>
        <v>2169500</v>
      </c>
      <c r="F2263" s="292" t="s">
        <v>1643</v>
      </c>
      <c r="G2263" s="8" t="s">
        <v>5</v>
      </c>
      <c r="H2263" s="8" t="s">
        <v>6576</v>
      </c>
    </row>
    <row r="2264" spans="1:9" s="8" customFormat="1">
      <c r="A2264" s="113"/>
      <c r="B2264" s="7" t="s">
        <v>5937</v>
      </c>
      <c r="C2264" s="284">
        <v>15000</v>
      </c>
      <c r="D2264" s="284">
        <v>0</v>
      </c>
      <c r="E2264" s="284">
        <f t="shared" si="35"/>
        <v>2154500</v>
      </c>
      <c r="F2264" s="292" t="s">
        <v>1643</v>
      </c>
      <c r="G2264" s="8" t="s">
        <v>5</v>
      </c>
      <c r="H2264" s="8" t="s">
        <v>6576</v>
      </c>
    </row>
    <row r="2265" spans="1:9" s="8" customFormat="1">
      <c r="A2265" s="113"/>
      <c r="B2265" s="7" t="s">
        <v>5938</v>
      </c>
      <c r="C2265" s="284">
        <v>23000</v>
      </c>
      <c r="D2265" s="284">
        <v>0</v>
      </c>
      <c r="E2265" s="284">
        <f t="shared" si="35"/>
        <v>2131500</v>
      </c>
      <c r="F2265" s="292" t="s">
        <v>1643</v>
      </c>
      <c r="G2265" s="8" t="s">
        <v>5</v>
      </c>
      <c r="H2265" s="8" t="s">
        <v>6576</v>
      </c>
    </row>
    <row r="2266" spans="1:9" s="8" customFormat="1">
      <c r="A2266" s="113"/>
      <c r="B2266" s="7" t="s">
        <v>5939</v>
      </c>
      <c r="C2266" s="284">
        <v>100000</v>
      </c>
      <c r="D2266" s="284">
        <v>0</v>
      </c>
      <c r="E2266" s="284">
        <f t="shared" si="35"/>
        <v>2031500</v>
      </c>
      <c r="F2266" s="292" t="s">
        <v>1643</v>
      </c>
      <c r="G2266" s="8" t="s">
        <v>5</v>
      </c>
      <c r="H2266" s="8" t="s">
        <v>6576</v>
      </c>
    </row>
    <row r="2267" spans="1:9" s="8" customFormat="1">
      <c r="A2267" s="113"/>
      <c r="B2267" s="7" t="s">
        <v>5940</v>
      </c>
      <c r="C2267" s="284">
        <v>125000</v>
      </c>
      <c r="D2267" s="284">
        <v>0</v>
      </c>
      <c r="E2267" s="284">
        <f t="shared" si="35"/>
        <v>1906500</v>
      </c>
      <c r="F2267" s="292" t="s">
        <v>1643</v>
      </c>
      <c r="G2267" s="8" t="s">
        <v>5</v>
      </c>
      <c r="H2267" s="8" t="s">
        <v>6576</v>
      </c>
    </row>
    <row r="2268" spans="1:9" s="8" customFormat="1">
      <c r="A2268" s="113"/>
      <c r="B2268" s="7" t="s">
        <v>5941</v>
      </c>
      <c r="C2268" s="284">
        <v>125000</v>
      </c>
      <c r="D2268" s="284">
        <v>0</v>
      </c>
      <c r="E2268" s="284">
        <f t="shared" si="35"/>
        <v>1781500</v>
      </c>
      <c r="F2268" s="292" t="s">
        <v>1643</v>
      </c>
      <c r="G2268" s="8" t="s">
        <v>5</v>
      </c>
      <c r="H2268" s="8" t="s">
        <v>6576</v>
      </c>
    </row>
    <row r="2269" spans="1:9" s="8" customFormat="1">
      <c r="A2269" s="113"/>
      <c r="B2269" s="7" t="s">
        <v>5942</v>
      </c>
      <c r="C2269" s="284">
        <v>125000</v>
      </c>
      <c r="D2269" s="284">
        <v>0</v>
      </c>
      <c r="E2269" s="284">
        <f t="shared" si="35"/>
        <v>1656500</v>
      </c>
      <c r="F2269" s="292" t="s">
        <v>1643</v>
      </c>
      <c r="G2269" s="8" t="s">
        <v>5</v>
      </c>
      <c r="H2269" s="8" t="s">
        <v>6576</v>
      </c>
    </row>
    <row r="2270" spans="1:9" s="8" customFormat="1">
      <c r="A2270" s="113"/>
      <c r="B2270" s="7" t="s">
        <v>5943</v>
      </c>
      <c r="C2270" s="284">
        <v>125000</v>
      </c>
      <c r="D2270" s="284">
        <v>0</v>
      </c>
      <c r="E2270" s="284">
        <f t="shared" si="35"/>
        <v>1531500</v>
      </c>
      <c r="F2270" s="292" t="s">
        <v>1643</v>
      </c>
      <c r="G2270" s="8" t="s">
        <v>5</v>
      </c>
      <c r="H2270" s="8" t="s">
        <v>6576</v>
      </c>
    </row>
    <row r="2271" spans="1:9" s="8" customFormat="1">
      <c r="A2271" s="113"/>
      <c r="B2271" s="7" t="s">
        <v>5944</v>
      </c>
      <c r="C2271" s="284">
        <v>450000</v>
      </c>
      <c r="D2271" s="284">
        <v>0</v>
      </c>
      <c r="E2271" s="284">
        <f t="shared" si="35"/>
        <v>1081500</v>
      </c>
      <c r="F2271" s="292" t="s">
        <v>1643</v>
      </c>
      <c r="G2271" s="8" t="s">
        <v>5</v>
      </c>
      <c r="H2271" s="8" t="s">
        <v>6576</v>
      </c>
    </row>
    <row r="2272" spans="1:9" s="8" customFormat="1">
      <c r="A2272" s="113"/>
      <c r="B2272" s="7" t="s">
        <v>5945</v>
      </c>
      <c r="C2272" s="284">
        <v>10000</v>
      </c>
      <c r="D2272" s="284">
        <v>0</v>
      </c>
      <c r="E2272" s="284">
        <f t="shared" si="35"/>
        <v>1071500</v>
      </c>
      <c r="F2272" s="292" t="s">
        <v>1643</v>
      </c>
      <c r="G2272" s="8" t="s">
        <v>5</v>
      </c>
      <c r="H2272" s="8" t="s">
        <v>6576</v>
      </c>
    </row>
    <row r="2273" spans="1:8" s="8" customFormat="1">
      <c r="A2273" s="113"/>
      <c r="B2273" s="7" t="s">
        <v>5946</v>
      </c>
      <c r="C2273" s="284">
        <v>55000</v>
      </c>
      <c r="D2273" s="284">
        <v>0</v>
      </c>
      <c r="E2273" s="284">
        <f t="shared" si="35"/>
        <v>1016500</v>
      </c>
      <c r="F2273" s="292" t="s">
        <v>1643</v>
      </c>
      <c r="G2273" s="8" t="s">
        <v>5</v>
      </c>
      <c r="H2273" s="8" t="s">
        <v>6576</v>
      </c>
    </row>
    <row r="2274" spans="1:8" s="8" customFormat="1">
      <c r="A2274" s="113"/>
      <c r="B2274" s="7" t="s">
        <v>5947</v>
      </c>
      <c r="C2274" s="284">
        <v>400000</v>
      </c>
      <c r="D2274" s="284">
        <v>0</v>
      </c>
      <c r="E2274" s="284">
        <f t="shared" si="35"/>
        <v>616500</v>
      </c>
      <c r="F2274" s="292" t="s">
        <v>1643</v>
      </c>
      <c r="G2274" s="8" t="s">
        <v>5</v>
      </c>
      <c r="H2274" s="8" t="s">
        <v>6576</v>
      </c>
    </row>
    <row r="2275" spans="1:8" s="8" customFormat="1">
      <c r="A2275" s="113"/>
      <c r="B2275" s="7" t="s">
        <v>5948</v>
      </c>
      <c r="C2275" s="284">
        <v>196500</v>
      </c>
      <c r="D2275" s="284">
        <v>0</v>
      </c>
      <c r="E2275" s="284">
        <f t="shared" si="35"/>
        <v>420000</v>
      </c>
      <c r="F2275" s="292" t="s">
        <v>1643</v>
      </c>
      <c r="G2275" s="8" t="s">
        <v>5</v>
      </c>
      <c r="H2275" s="8" t="s">
        <v>6576</v>
      </c>
    </row>
    <row r="2276" spans="1:8" s="8" customFormat="1">
      <c r="A2276" s="113"/>
      <c r="B2276" s="7" t="s">
        <v>5949</v>
      </c>
      <c r="C2276" s="284">
        <v>40000</v>
      </c>
      <c r="D2276" s="284">
        <v>0</v>
      </c>
      <c r="E2276" s="284">
        <f t="shared" si="35"/>
        <v>380000</v>
      </c>
      <c r="F2276" s="292" t="s">
        <v>1643</v>
      </c>
      <c r="G2276" s="8" t="s">
        <v>5</v>
      </c>
      <c r="H2276" s="8" t="s">
        <v>6576</v>
      </c>
    </row>
    <row r="2277" spans="1:8" s="8" customFormat="1">
      <c r="A2277" s="113"/>
      <c r="B2277" s="7" t="s">
        <v>5950</v>
      </c>
      <c r="C2277" s="284">
        <v>380000</v>
      </c>
      <c r="D2277" s="284">
        <v>0</v>
      </c>
      <c r="E2277" s="284">
        <f t="shared" si="35"/>
        <v>0</v>
      </c>
      <c r="F2277" s="292" t="s">
        <v>1643</v>
      </c>
      <c r="G2277" s="8" t="s">
        <v>5</v>
      </c>
      <c r="H2277" s="8" t="s">
        <v>6576</v>
      </c>
    </row>
    <row r="2278" spans="1:8" s="8" customFormat="1">
      <c r="A2278" s="13">
        <v>45961</v>
      </c>
      <c r="B2278" s="8" t="s">
        <v>4010</v>
      </c>
      <c r="C2278" s="284">
        <v>0</v>
      </c>
      <c r="D2278" s="284">
        <v>22500000</v>
      </c>
      <c r="E2278" s="284">
        <f t="shared" si="35"/>
        <v>22500000</v>
      </c>
      <c r="F2278" s="8" t="s">
        <v>920</v>
      </c>
      <c r="G2278" s="8" t="s">
        <v>400</v>
      </c>
      <c r="H2278" s="8" t="s">
        <v>5739</v>
      </c>
    </row>
    <row r="2279" spans="1:8" s="8" customFormat="1">
      <c r="A2279" s="113"/>
      <c r="B2279" s="7" t="s">
        <v>5951</v>
      </c>
      <c r="C2279" s="284">
        <v>15000000</v>
      </c>
      <c r="D2279" s="284">
        <v>0</v>
      </c>
      <c r="E2279" s="284">
        <f t="shared" si="35"/>
        <v>7500000</v>
      </c>
      <c r="F2279" s="292" t="s">
        <v>1643</v>
      </c>
      <c r="G2279" s="8" t="s">
        <v>5</v>
      </c>
      <c r="H2279" s="8" t="s">
        <v>6576</v>
      </c>
    </row>
    <row r="2280" spans="1:8" s="8" customFormat="1">
      <c r="A2280" s="113"/>
      <c r="B2280" s="7" t="s">
        <v>5952</v>
      </c>
      <c r="C2280" s="284">
        <v>7500000</v>
      </c>
      <c r="D2280" s="284">
        <v>0</v>
      </c>
      <c r="E2280" s="284">
        <f t="shared" si="35"/>
        <v>0</v>
      </c>
      <c r="F2280" s="292" t="s">
        <v>1643</v>
      </c>
      <c r="G2280" s="8" t="s">
        <v>5</v>
      </c>
      <c r="H2280" s="8" t="s">
        <v>6576</v>
      </c>
    </row>
    <row r="2281" spans="1:8" s="8" customFormat="1">
      <c r="A2281" s="5">
        <v>45967</v>
      </c>
      <c r="B2281" t="s">
        <v>4130</v>
      </c>
      <c r="C2281" s="288">
        <v>0</v>
      </c>
      <c r="D2281" s="288">
        <v>300000000</v>
      </c>
      <c r="E2281" s="284">
        <f t="shared" si="35"/>
        <v>300000000</v>
      </c>
      <c r="F2281" s="80" t="s">
        <v>920</v>
      </c>
      <c r="G2281" s="80" t="s">
        <v>4250</v>
      </c>
      <c r="H2281" t="s">
        <v>5978</v>
      </c>
    </row>
    <row r="2282" spans="1:8" s="8" customFormat="1">
      <c r="A2282" s="113"/>
      <c r="B2282" s="7" t="s">
        <v>6167</v>
      </c>
      <c r="C2282" s="290">
        <v>15000000</v>
      </c>
      <c r="D2282" s="290">
        <v>0</v>
      </c>
      <c r="E2282" s="284">
        <f t="shared" si="35"/>
        <v>285000000</v>
      </c>
      <c r="F2282" s="295" t="s">
        <v>10</v>
      </c>
      <c r="G2282" s="8" t="s">
        <v>446</v>
      </c>
      <c r="H2282" s="8" t="s">
        <v>4631</v>
      </c>
    </row>
    <row r="2283" spans="1:8" s="8" customFormat="1">
      <c r="A2283" s="113"/>
      <c r="B2283" s="7" t="s">
        <v>6168</v>
      </c>
      <c r="C2283" s="290">
        <v>170000000</v>
      </c>
      <c r="D2283" s="290">
        <v>0</v>
      </c>
      <c r="E2283" s="284">
        <f t="shared" si="35"/>
        <v>115000000</v>
      </c>
      <c r="F2283" s="295" t="s">
        <v>10</v>
      </c>
      <c r="G2283" s="8" t="s">
        <v>446</v>
      </c>
      <c r="H2283" s="8" t="s">
        <v>4631</v>
      </c>
    </row>
    <row r="2284" spans="1:8" s="8" customFormat="1">
      <c r="A2284" s="113"/>
      <c r="B2284" s="7" t="s">
        <v>6169</v>
      </c>
      <c r="C2284" s="290">
        <v>5000000</v>
      </c>
      <c r="D2284" s="290">
        <v>0</v>
      </c>
      <c r="E2284" s="284">
        <f t="shared" si="35"/>
        <v>110000000</v>
      </c>
      <c r="F2284" s="295" t="s">
        <v>10</v>
      </c>
      <c r="G2284" s="8" t="s">
        <v>446</v>
      </c>
      <c r="H2284" s="8" t="s">
        <v>4631</v>
      </c>
    </row>
    <row r="2285" spans="1:8" s="8" customFormat="1">
      <c r="A2285" s="113"/>
      <c r="B2285" s="7" t="s">
        <v>6170</v>
      </c>
      <c r="C2285" s="290">
        <v>8000000</v>
      </c>
      <c r="D2285" s="290">
        <v>0</v>
      </c>
      <c r="E2285" s="284">
        <f t="shared" si="35"/>
        <v>102000000</v>
      </c>
      <c r="F2285" s="295" t="s">
        <v>10</v>
      </c>
      <c r="G2285" s="8" t="s">
        <v>446</v>
      </c>
      <c r="H2285" s="8" t="s">
        <v>4631</v>
      </c>
    </row>
    <row r="2286" spans="1:8" s="8" customFormat="1">
      <c r="A2286" s="113"/>
      <c r="B2286" s="7" t="s">
        <v>6171</v>
      </c>
      <c r="C2286" s="290">
        <v>9796250</v>
      </c>
      <c r="D2286" s="290">
        <v>0</v>
      </c>
      <c r="E2286" s="284">
        <f t="shared" si="35"/>
        <v>92203750</v>
      </c>
      <c r="F2286" s="295" t="s">
        <v>10</v>
      </c>
      <c r="G2286" s="8" t="s">
        <v>446</v>
      </c>
      <c r="H2286" s="8" t="s">
        <v>4631</v>
      </c>
    </row>
    <row r="2287" spans="1:8" s="8" customFormat="1">
      <c r="A2287" s="113"/>
      <c r="B2287" s="7" t="s">
        <v>6172</v>
      </c>
      <c r="C2287" s="290">
        <v>627500</v>
      </c>
      <c r="D2287" s="290">
        <v>0</v>
      </c>
      <c r="E2287" s="284">
        <f t="shared" si="35"/>
        <v>91576250</v>
      </c>
      <c r="F2287" s="295" t="s">
        <v>10</v>
      </c>
      <c r="G2287" s="8" t="s">
        <v>446</v>
      </c>
      <c r="H2287" s="8" t="s">
        <v>4631</v>
      </c>
    </row>
    <row r="2288" spans="1:8" s="8" customFormat="1">
      <c r="A2288" s="113"/>
      <c r="B2288" s="7" t="s">
        <v>6173</v>
      </c>
      <c r="C2288" s="290">
        <v>101000</v>
      </c>
      <c r="D2288" s="290">
        <v>0</v>
      </c>
      <c r="E2288" s="284">
        <f t="shared" si="35"/>
        <v>91475250</v>
      </c>
      <c r="F2288" s="295" t="s">
        <v>10</v>
      </c>
      <c r="G2288" s="8" t="s">
        <v>446</v>
      </c>
      <c r="H2288" s="8" t="s">
        <v>4631</v>
      </c>
    </row>
    <row r="2289" spans="1:8" s="8" customFormat="1">
      <c r="A2289" s="113"/>
      <c r="B2289" s="7" t="s">
        <v>6174</v>
      </c>
      <c r="C2289" s="290">
        <v>212500</v>
      </c>
      <c r="D2289" s="290">
        <v>0</v>
      </c>
      <c r="E2289" s="284">
        <f t="shared" si="35"/>
        <v>91262750</v>
      </c>
      <c r="F2289" s="295" t="s">
        <v>10</v>
      </c>
      <c r="G2289" s="8" t="s">
        <v>446</v>
      </c>
      <c r="H2289" s="8" t="s">
        <v>4631</v>
      </c>
    </row>
    <row r="2290" spans="1:8" s="8" customFormat="1">
      <c r="A2290" s="113"/>
      <c r="B2290" s="7" t="s">
        <v>6175</v>
      </c>
      <c r="C2290" s="290">
        <v>118210</v>
      </c>
      <c r="D2290" s="290">
        <v>0</v>
      </c>
      <c r="E2290" s="284">
        <f t="shared" si="35"/>
        <v>91144540</v>
      </c>
      <c r="F2290" s="295" t="s">
        <v>10</v>
      </c>
      <c r="G2290" s="8" t="s">
        <v>446</v>
      </c>
      <c r="H2290" s="8" t="s">
        <v>4631</v>
      </c>
    </row>
    <row r="2291" spans="1:8" s="8" customFormat="1">
      <c r="A2291" s="113"/>
      <c r="B2291" s="7" t="s">
        <v>6176</v>
      </c>
      <c r="C2291" s="290">
        <v>899500</v>
      </c>
      <c r="D2291" s="290">
        <v>0</v>
      </c>
      <c r="E2291" s="284">
        <f t="shared" si="35"/>
        <v>90245040</v>
      </c>
      <c r="F2291" s="295" t="s">
        <v>10</v>
      </c>
      <c r="G2291" s="8" t="s">
        <v>446</v>
      </c>
      <c r="H2291" s="8" t="s">
        <v>4631</v>
      </c>
    </row>
    <row r="2292" spans="1:8" s="8" customFormat="1">
      <c r="A2292" s="113"/>
      <c r="B2292" s="7" t="s">
        <v>6177</v>
      </c>
      <c r="C2292" s="290">
        <v>77500</v>
      </c>
      <c r="D2292" s="290">
        <v>0</v>
      </c>
      <c r="E2292" s="284">
        <f t="shared" si="35"/>
        <v>90167540</v>
      </c>
      <c r="F2292" s="295" t="s">
        <v>10</v>
      </c>
      <c r="G2292" s="8" t="s">
        <v>446</v>
      </c>
      <c r="H2292" s="8" t="s">
        <v>4631</v>
      </c>
    </row>
    <row r="2293" spans="1:8" s="8" customFormat="1">
      <c r="A2293" s="113"/>
      <c r="B2293" s="7" t="s">
        <v>6178</v>
      </c>
      <c r="C2293" s="290">
        <v>31800</v>
      </c>
      <c r="D2293" s="290">
        <v>0</v>
      </c>
      <c r="E2293" s="284">
        <f t="shared" si="35"/>
        <v>90135740</v>
      </c>
      <c r="F2293" s="295" t="s">
        <v>10</v>
      </c>
      <c r="G2293" s="8" t="s">
        <v>446</v>
      </c>
      <c r="H2293" s="8" t="s">
        <v>4631</v>
      </c>
    </row>
    <row r="2294" spans="1:8" s="8" customFormat="1">
      <c r="A2294" s="113"/>
      <c r="B2294" s="7" t="s">
        <v>6179</v>
      </c>
      <c r="C2294" s="290">
        <v>93000</v>
      </c>
      <c r="D2294" s="290">
        <v>0</v>
      </c>
      <c r="E2294" s="284">
        <f t="shared" si="35"/>
        <v>90042740</v>
      </c>
      <c r="F2294" s="295" t="s">
        <v>10</v>
      </c>
      <c r="G2294" s="8" t="s">
        <v>446</v>
      </c>
      <c r="H2294" s="8" t="s">
        <v>4631</v>
      </c>
    </row>
    <row r="2295" spans="1:8" s="8" customFormat="1">
      <c r="A2295" s="113"/>
      <c r="B2295" s="7" t="s">
        <v>6180</v>
      </c>
      <c r="C2295" s="290">
        <v>522500</v>
      </c>
      <c r="D2295" s="290">
        <v>0</v>
      </c>
      <c r="E2295" s="284">
        <f t="shared" si="35"/>
        <v>89520240</v>
      </c>
      <c r="F2295" s="295" t="s">
        <v>10</v>
      </c>
      <c r="G2295" s="8" t="s">
        <v>446</v>
      </c>
      <c r="H2295" s="8" t="s">
        <v>4631</v>
      </c>
    </row>
    <row r="2296" spans="1:8" s="8" customFormat="1">
      <c r="A2296" s="113"/>
      <c r="B2296" s="7" t="s">
        <v>6181</v>
      </c>
      <c r="C2296" s="290">
        <v>1032500</v>
      </c>
      <c r="D2296" s="290">
        <v>0</v>
      </c>
      <c r="E2296" s="284">
        <f t="shared" si="35"/>
        <v>88487740</v>
      </c>
      <c r="F2296" s="295" t="s">
        <v>10</v>
      </c>
      <c r="G2296" s="8" t="s">
        <v>446</v>
      </c>
      <c r="H2296" s="8" t="s">
        <v>4631</v>
      </c>
    </row>
    <row r="2297" spans="1:8" s="8" customFormat="1">
      <c r="A2297" s="113"/>
      <c r="B2297" s="7" t="s">
        <v>6182</v>
      </c>
      <c r="C2297" s="290">
        <v>742500</v>
      </c>
      <c r="D2297" s="290">
        <v>0</v>
      </c>
      <c r="E2297" s="284">
        <f t="shared" si="35"/>
        <v>87745240</v>
      </c>
      <c r="F2297" s="295" t="s">
        <v>10</v>
      </c>
      <c r="G2297" s="8" t="s">
        <v>446</v>
      </c>
      <c r="H2297" s="8" t="s">
        <v>4631</v>
      </c>
    </row>
    <row r="2298" spans="1:8" s="8" customFormat="1">
      <c r="A2298" s="113"/>
      <c r="B2298" s="7" t="s">
        <v>6183</v>
      </c>
      <c r="C2298" s="290">
        <v>392500</v>
      </c>
      <c r="D2298" s="290">
        <v>0</v>
      </c>
      <c r="E2298" s="284">
        <f t="shared" si="35"/>
        <v>87352740</v>
      </c>
      <c r="F2298" s="295" t="s">
        <v>10</v>
      </c>
      <c r="G2298" s="8" t="s">
        <v>446</v>
      </c>
      <c r="H2298" s="8" t="s">
        <v>4631</v>
      </c>
    </row>
    <row r="2299" spans="1:8" s="8" customFormat="1">
      <c r="A2299" s="113"/>
      <c r="B2299" s="7" t="s">
        <v>6184</v>
      </c>
      <c r="C2299" s="290">
        <v>6100523</v>
      </c>
      <c r="D2299" s="290">
        <v>0</v>
      </c>
      <c r="E2299" s="284">
        <f t="shared" si="35"/>
        <v>81252217</v>
      </c>
      <c r="F2299" s="295" t="s">
        <v>10</v>
      </c>
      <c r="G2299" s="8" t="s">
        <v>446</v>
      </c>
      <c r="H2299" s="8" t="s">
        <v>4631</v>
      </c>
    </row>
    <row r="2300" spans="1:8" s="8" customFormat="1">
      <c r="A2300" s="113"/>
      <c r="B2300" s="7" t="s">
        <v>6185</v>
      </c>
      <c r="C2300" s="290">
        <v>273540</v>
      </c>
      <c r="D2300" s="290">
        <v>0</v>
      </c>
      <c r="E2300" s="284">
        <f t="shared" si="35"/>
        <v>80978677</v>
      </c>
      <c r="F2300" s="295" t="s">
        <v>10</v>
      </c>
      <c r="G2300" s="8" t="s">
        <v>446</v>
      </c>
      <c r="H2300" s="8" t="s">
        <v>4631</v>
      </c>
    </row>
    <row r="2301" spans="1:8" s="8" customFormat="1">
      <c r="A2301" s="113"/>
      <c r="B2301" s="7" t="s">
        <v>6186</v>
      </c>
      <c r="C2301" s="290">
        <v>2130000</v>
      </c>
      <c r="D2301" s="290">
        <v>0</v>
      </c>
      <c r="E2301" s="284">
        <f t="shared" si="35"/>
        <v>78848677</v>
      </c>
      <c r="F2301" s="295" t="s">
        <v>10</v>
      </c>
      <c r="G2301" s="8" t="s">
        <v>446</v>
      </c>
      <c r="H2301" s="8" t="s">
        <v>4631</v>
      </c>
    </row>
    <row r="2302" spans="1:8" s="8" customFormat="1">
      <c r="A2302" s="113"/>
      <c r="B2302" s="7" t="s">
        <v>6187</v>
      </c>
      <c r="C2302" s="290">
        <v>2280000</v>
      </c>
      <c r="D2302" s="290">
        <v>0</v>
      </c>
      <c r="E2302" s="284">
        <f t="shared" si="35"/>
        <v>76568677</v>
      </c>
      <c r="F2302" s="295" t="s">
        <v>10</v>
      </c>
      <c r="G2302" s="8" t="s">
        <v>446</v>
      </c>
      <c r="H2302" s="8" t="s">
        <v>4631</v>
      </c>
    </row>
    <row r="2303" spans="1:8" s="8" customFormat="1">
      <c r="A2303" s="113"/>
      <c r="B2303" s="7" t="s">
        <v>6188</v>
      </c>
      <c r="C2303" s="290">
        <v>3050000</v>
      </c>
      <c r="D2303" s="290">
        <v>0</v>
      </c>
      <c r="E2303" s="284">
        <f t="shared" si="35"/>
        <v>73518677</v>
      </c>
      <c r="F2303" s="295" t="s">
        <v>10</v>
      </c>
      <c r="G2303" s="8" t="s">
        <v>446</v>
      </c>
      <c r="H2303" s="8" t="s">
        <v>4631</v>
      </c>
    </row>
    <row r="2304" spans="1:8" s="8" customFormat="1">
      <c r="A2304" s="113"/>
      <c r="B2304" s="7" t="s">
        <v>6189</v>
      </c>
      <c r="C2304" s="290">
        <v>8102500</v>
      </c>
      <c r="D2304" s="290">
        <v>0</v>
      </c>
      <c r="E2304" s="284">
        <f t="shared" si="35"/>
        <v>65416177</v>
      </c>
      <c r="F2304" s="295" t="s">
        <v>10</v>
      </c>
      <c r="G2304" s="8" t="s">
        <v>446</v>
      </c>
      <c r="H2304" s="8" t="s">
        <v>4631</v>
      </c>
    </row>
    <row r="2305" spans="1:8" s="8" customFormat="1">
      <c r="A2305" s="113"/>
      <c r="B2305" s="7" t="s">
        <v>6190</v>
      </c>
      <c r="C2305" s="290">
        <v>6348600</v>
      </c>
      <c r="D2305" s="290">
        <v>0</v>
      </c>
      <c r="E2305" s="284">
        <f t="shared" si="35"/>
        <v>59067577</v>
      </c>
      <c r="F2305" s="295" t="s">
        <v>10</v>
      </c>
      <c r="G2305" s="8" t="s">
        <v>446</v>
      </c>
      <c r="H2305" s="8" t="s">
        <v>4631</v>
      </c>
    </row>
    <row r="2306" spans="1:8" s="8" customFormat="1">
      <c r="A2306" s="113"/>
      <c r="B2306" s="7" t="s">
        <v>6191</v>
      </c>
      <c r="C2306" s="290">
        <v>300000</v>
      </c>
      <c r="D2306" s="290">
        <v>0</v>
      </c>
      <c r="E2306" s="284">
        <f t="shared" si="35"/>
        <v>58767577</v>
      </c>
      <c r="F2306" s="295" t="s">
        <v>10</v>
      </c>
      <c r="G2306" s="8" t="s">
        <v>446</v>
      </c>
      <c r="H2306" s="8" t="s">
        <v>4631</v>
      </c>
    </row>
    <row r="2307" spans="1:8" s="8" customFormat="1">
      <c r="A2307" s="113"/>
      <c r="B2307" s="7" t="s">
        <v>6192</v>
      </c>
      <c r="C2307" s="290">
        <v>100000000</v>
      </c>
      <c r="D2307" s="290">
        <v>0</v>
      </c>
      <c r="E2307" s="284">
        <f t="shared" si="35"/>
        <v>-41232423</v>
      </c>
      <c r="F2307" s="295" t="s">
        <v>10</v>
      </c>
      <c r="G2307" s="8" t="s">
        <v>446</v>
      </c>
      <c r="H2307" s="8" t="s">
        <v>4631</v>
      </c>
    </row>
    <row r="2308" spans="1:8" s="8" customFormat="1">
      <c r="A2308" s="13"/>
      <c r="B2308" s="226" t="s">
        <v>6193</v>
      </c>
      <c r="C2308" s="290">
        <v>0</v>
      </c>
      <c r="D2308" s="290">
        <v>41232423</v>
      </c>
      <c r="E2308" s="284">
        <f t="shared" si="35"/>
        <v>0</v>
      </c>
      <c r="F2308" s="8" t="s">
        <v>920</v>
      </c>
      <c r="G2308" s="8" t="s">
        <v>400</v>
      </c>
      <c r="H2308" s="8" t="s">
        <v>6294</v>
      </c>
    </row>
    <row r="2309" spans="1:8" s="8" customFormat="1">
      <c r="A2309" s="13">
        <v>45967</v>
      </c>
      <c r="B2309" s="8" t="s">
        <v>4174</v>
      </c>
      <c r="C2309" s="284">
        <v>0</v>
      </c>
      <c r="D2309" s="284">
        <v>300000000</v>
      </c>
      <c r="E2309" s="284">
        <f t="shared" si="35"/>
        <v>300000000</v>
      </c>
      <c r="F2309" s="8" t="s">
        <v>920</v>
      </c>
      <c r="G2309" s="8" t="s">
        <v>400</v>
      </c>
      <c r="H2309" s="8" t="s">
        <v>5741</v>
      </c>
    </row>
    <row r="2310" spans="1:8" s="8" customFormat="1">
      <c r="A2310" s="13"/>
      <c r="B2310" s="226" t="s">
        <v>6339</v>
      </c>
      <c r="C2310" s="290">
        <v>15000000</v>
      </c>
      <c r="D2310" s="290">
        <v>0</v>
      </c>
      <c r="E2310" s="284">
        <f t="shared" ref="E2310:E2373" si="36">E2309-C2310+D2310</f>
        <v>285000000</v>
      </c>
      <c r="F2310" s="8" t="s">
        <v>1643</v>
      </c>
      <c r="G2310" s="8" t="s">
        <v>5</v>
      </c>
      <c r="H2310" s="8" t="s">
        <v>5956</v>
      </c>
    </row>
    <row r="2311" spans="1:8" s="8" customFormat="1">
      <c r="A2311" s="13"/>
      <c r="B2311" s="226" t="s">
        <v>6340</v>
      </c>
      <c r="C2311" s="290">
        <v>60000000</v>
      </c>
      <c r="D2311" s="290">
        <v>0</v>
      </c>
      <c r="E2311" s="284">
        <f t="shared" si="36"/>
        <v>225000000</v>
      </c>
      <c r="F2311" s="8" t="s">
        <v>1643</v>
      </c>
      <c r="G2311" s="8" t="s">
        <v>5</v>
      </c>
      <c r="H2311" s="8" t="s">
        <v>5956</v>
      </c>
    </row>
    <row r="2312" spans="1:8" s="8" customFormat="1">
      <c r="A2312" s="13"/>
      <c r="B2312" s="226" t="s">
        <v>6341</v>
      </c>
      <c r="C2312" s="290">
        <v>3000000</v>
      </c>
      <c r="D2312" s="290">
        <v>0</v>
      </c>
      <c r="E2312" s="284">
        <f t="shared" si="36"/>
        <v>222000000</v>
      </c>
      <c r="F2312" s="8" t="s">
        <v>1643</v>
      </c>
      <c r="G2312" s="8" t="s">
        <v>5</v>
      </c>
      <c r="H2312" s="8" t="s">
        <v>5956</v>
      </c>
    </row>
    <row r="2313" spans="1:8" s="8" customFormat="1">
      <c r="A2313" s="13"/>
      <c r="B2313" s="226" t="s">
        <v>6342</v>
      </c>
      <c r="C2313" s="290">
        <v>12000000</v>
      </c>
      <c r="D2313" s="290">
        <v>0</v>
      </c>
      <c r="E2313" s="284">
        <f t="shared" si="36"/>
        <v>210000000</v>
      </c>
      <c r="F2313" s="8" t="s">
        <v>1643</v>
      </c>
      <c r="G2313" s="8" t="s">
        <v>5</v>
      </c>
      <c r="H2313" s="8" t="s">
        <v>5956</v>
      </c>
    </row>
    <row r="2314" spans="1:8" s="8" customFormat="1">
      <c r="A2314" s="13"/>
      <c r="B2314" s="226" t="s">
        <v>6343</v>
      </c>
      <c r="C2314" s="290">
        <v>65000000</v>
      </c>
      <c r="D2314" s="290">
        <v>0</v>
      </c>
      <c r="E2314" s="284">
        <f t="shared" si="36"/>
        <v>145000000</v>
      </c>
      <c r="F2314" s="8" t="s">
        <v>1643</v>
      </c>
      <c r="G2314" s="8" t="s">
        <v>5</v>
      </c>
      <c r="H2314" s="8" t="s">
        <v>5956</v>
      </c>
    </row>
    <row r="2315" spans="1:8" s="8" customFormat="1">
      <c r="A2315" s="13"/>
      <c r="B2315" s="226" t="s">
        <v>6344</v>
      </c>
      <c r="C2315" s="290">
        <v>500000</v>
      </c>
      <c r="D2315" s="290">
        <v>0</v>
      </c>
      <c r="E2315" s="284">
        <f t="shared" si="36"/>
        <v>144500000</v>
      </c>
      <c r="F2315" s="8" t="s">
        <v>1643</v>
      </c>
      <c r="G2315" s="8" t="s">
        <v>5</v>
      </c>
      <c r="H2315" s="8" t="s">
        <v>5956</v>
      </c>
    </row>
    <row r="2316" spans="1:8" s="8" customFormat="1">
      <c r="A2316" s="13"/>
      <c r="B2316" s="226" t="s">
        <v>6345</v>
      </c>
      <c r="C2316" s="290">
        <v>1000000</v>
      </c>
      <c r="D2316" s="290">
        <v>0</v>
      </c>
      <c r="E2316" s="284">
        <f t="shared" si="36"/>
        <v>143500000</v>
      </c>
      <c r="F2316" s="8" t="s">
        <v>1643</v>
      </c>
      <c r="G2316" s="8" t="s">
        <v>5</v>
      </c>
      <c r="H2316" s="8" t="s">
        <v>5956</v>
      </c>
    </row>
    <row r="2317" spans="1:8" s="8" customFormat="1">
      <c r="A2317" s="13"/>
      <c r="B2317" s="226" t="s">
        <v>6346</v>
      </c>
      <c r="C2317" s="290">
        <v>50000</v>
      </c>
      <c r="D2317" s="290">
        <v>0</v>
      </c>
      <c r="E2317" s="284">
        <f t="shared" si="36"/>
        <v>143450000</v>
      </c>
      <c r="F2317" s="8" t="s">
        <v>1643</v>
      </c>
      <c r="G2317" s="8" t="s">
        <v>5</v>
      </c>
      <c r="H2317" s="8" t="s">
        <v>5956</v>
      </c>
    </row>
    <row r="2318" spans="1:8" s="8" customFormat="1">
      <c r="A2318" s="13"/>
      <c r="B2318" s="226" t="s">
        <v>6347</v>
      </c>
      <c r="C2318" s="290">
        <v>75000</v>
      </c>
      <c r="D2318" s="290">
        <v>0</v>
      </c>
      <c r="E2318" s="284">
        <f t="shared" si="36"/>
        <v>143375000</v>
      </c>
      <c r="F2318" s="8" t="s">
        <v>1643</v>
      </c>
      <c r="G2318" s="8" t="s">
        <v>5</v>
      </c>
      <c r="H2318" s="8" t="s">
        <v>5956</v>
      </c>
    </row>
    <row r="2319" spans="1:8" s="8" customFormat="1">
      <c r="A2319" s="13"/>
      <c r="B2319" s="226" t="s">
        <v>6348</v>
      </c>
      <c r="C2319" s="290">
        <v>200000</v>
      </c>
      <c r="D2319" s="290">
        <v>0</v>
      </c>
      <c r="E2319" s="284">
        <f t="shared" si="36"/>
        <v>143175000</v>
      </c>
      <c r="F2319" s="8" t="s">
        <v>1643</v>
      </c>
      <c r="G2319" s="8" t="s">
        <v>5</v>
      </c>
      <c r="H2319" s="8" t="s">
        <v>5956</v>
      </c>
    </row>
    <row r="2320" spans="1:8" s="8" customFormat="1">
      <c r="A2320" s="13"/>
      <c r="B2320" s="226" t="s">
        <v>6349</v>
      </c>
      <c r="C2320" s="290">
        <v>210000</v>
      </c>
      <c r="D2320" s="290">
        <v>0</v>
      </c>
      <c r="E2320" s="284">
        <f t="shared" si="36"/>
        <v>142965000</v>
      </c>
      <c r="F2320" s="8" t="s">
        <v>1643</v>
      </c>
      <c r="G2320" s="8" t="s">
        <v>5</v>
      </c>
      <c r="H2320" s="8" t="s">
        <v>5956</v>
      </c>
    </row>
    <row r="2321" spans="1:9" s="8" customFormat="1">
      <c r="A2321" s="13"/>
      <c r="B2321" s="226" t="s">
        <v>6350</v>
      </c>
      <c r="C2321" s="290">
        <v>300000</v>
      </c>
      <c r="D2321" s="290">
        <v>0</v>
      </c>
      <c r="E2321" s="284">
        <f t="shared" si="36"/>
        <v>142665000</v>
      </c>
      <c r="F2321" s="8" t="s">
        <v>1643</v>
      </c>
      <c r="G2321" s="8" t="s">
        <v>5</v>
      </c>
      <c r="H2321" s="8" t="s">
        <v>5956</v>
      </c>
    </row>
    <row r="2322" spans="1:9" s="8" customFormat="1">
      <c r="A2322" s="13"/>
      <c r="B2322" s="226" t="s">
        <v>6351</v>
      </c>
      <c r="C2322" s="290">
        <v>350000</v>
      </c>
      <c r="D2322" s="290">
        <v>0</v>
      </c>
      <c r="E2322" s="284">
        <f t="shared" si="36"/>
        <v>142315000</v>
      </c>
      <c r="F2322" s="8" t="s">
        <v>1643</v>
      </c>
      <c r="G2322" s="8" t="s">
        <v>5</v>
      </c>
      <c r="H2322" s="8" t="s">
        <v>5956</v>
      </c>
    </row>
    <row r="2323" spans="1:9" s="8" customFormat="1">
      <c r="A2323" s="13"/>
      <c r="B2323" s="226" t="s">
        <v>6352</v>
      </c>
      <c r="C2323" s="290">
        <v>119520</v>
      </c>
      <c r="D2323" s="290">
        <v>0</v>
      </c>
      <c r="E2323" s="284">
        <f t="shared" si="36"/>
        <v>142195480</v>
      </c>
      <c r="F2323" s="8" t="s">
        <v>1643</v>
      </c>
      <c r="G2323" s="8" t="s">
        <v>5</v>
      </c>
      <c r="H2323" s="8" t="s">
        <v>5956</v>
      </c>
    </row>
    <row r="2324" spans="1:9" s="8" customFormat="1">
      <c r="A2324" s="13"/>
      <c r="B2324" s="226" t="s">
        <v>6353</v>
      </c>
      <c r="C2324" s="290">
        <v>919200</v>
      </c>
      <c r="D2324" s="290">
        <v>0</v>
      </c>
      <c r="E2324" s="284">
        <f t="shared" si="36"/>
        <v>141276280</v>
      </c>
      <c r="F2324" s="8" t="s">
        <v>1643</v>
      </c>
      <c r="G2324" s="8" t="s">
        <v>5</v>
      </c>
      <c r="H2324" s="8" t="s">
        <v>5956</v>
      </c>
    </row>
    <row r="2325" spans="1:9" s="8" customFormat="1">
      <c r="A2325" s="13"/>
      <c r="B2325" s="226" t="s">
        <v>6354</v>
      </c>
      <c r="C2325" s="290">
        <v>136000000</v>
      </c>
      <c r="D2325" s="290">
        <v>0</v>
      </c>
      <c r="E2325" s="284">
        <f t="shared" si="36"/>
        <v>5276280</v>
      </c>
      <c r="F2325" s="8" t="s">
        <v>10</v>
      </c>
      <c r="G2325" s="8" t="s">
        <v>446</v>
      </c>
      <c r="H2325" s="8" t="s">
        <v>6532</v>
      </c>
    </row>
    <row r="2326" spans="1:9" s="8" customFormat="1">
      <c r="A2326" s="13"/>
      <c r="B2326" s="226" t="s">
        <v>6355</v>
      </c>
      <c r="C2326" s="290">
        <v>150000</v>
      </c>
      <c r="D2326" s="290">
        <v>0</v>
      </c>
      <c r="E2326" s="284">
        <f t="shared" si="36"/>
        <v>5126280</v>
      </c>
      <c r="F2326" s="8" t="s">
        <v>10</v>
      </c>
      <c r="G2326" s="8" t="s">
        <v>446</v>
      </c>
      <c r="H2326" s="8" t="s">
        <v>6532</v>
      </c>
    </row>
    <row r="2327" spans="1:9" s="8" customFormat="1">
      <c r="A2327" s="13"/>
      <c r="B2327" s="8" t="s">
        <v>6356</v>
      </c>
      <c r="C2327" s="290">
        <v>5126280</v>
      </c>
      <c r="D2327" s="290">
        <v>0</v>
      </c>
      <c r="E2327" s="284">
        <f t="shared" si="36"/>
        <v>0</v>
      </c>
      <c r="F2327" s="8" t="s">
        <v>920</v>
      </c>
      <c r="G2327" s="8" t="s">
        <v>464</v>
      </c>
      <c r="H2327" s="8" t="s">
        <v>5741</v>
      </c>
    </row>
    <row r="2328" spans="1:9" s="8" customFormat="1">
      <c r="A2328" s="5">
        <v>45975</v>
      </c>
      <c r="B2328" t="s">
        <v>4140</v>
      </c>
      <c r="C2328" s="288">
        <v>0</v>
      </c>
      <c r="D2328" s="288">
        <v>4763317</v>
      </c>
      <c r="E2328" s="284">
        <f t="shared" si="36"/>
        <v>4763317</v>
      </c>
      <c r="F2328" s="80" t="s">
        <v>920</v>
      </c>
      <c r="G2328" s="80" t="s">
        <v>4250</v>
      </c>
      <c r="H2328" t="s">
        <v>5953</v>
      </c>
    </row>
    <row r="2329" spans="1:9" s="8" customFormat="1">
      <c r="A2329" s="113"/>
      <c r="B2329" s="7" t="s">
        <v>5954</v>
      </c>
      <c r="C2329" s="284">
        <v>4763317</v>
      </c>
      <c r="D2329" s="284">
        <v>0</v>
      </c>
      <c r="E2329" s="284">
        <f t="shared" si="36"/>
        <v>0</v>
      </c>
      <c r="F2329" s="292" t="s">
        <v>1643</v>
      </c>
      <c r="G2329" s="8" t="s">
        <v>5</v>
      </c>
      <c r="H2329" s="8" t="s">
        <v>4077</v>
      </c>
      <c r="I2329" s="8" t="s">
        <v>26</v>
      </c>
    </row>
    <row r="2330" spans="1:9" s="8" customFormat="1">
      <c r="A2330" s="13">
        <v>45975</v>
      </c>
      <c r="B2330" s="8" t="s">
        <v>4191</v>
      </c>
      <c r="C2330" s="290">
        <v>0</v>
      </c>
      <c r="D2330" s="290">
        <v>300000000</v>
      </c>
      <c r="E2330" s="284">
        <f t="shared" si="36"/>
        <v>300000000</v>
      </c>
      <c r="F2330" s="8" t="s">
        <v>920</v>
      </c>
      <c r="G2330" s="8" t="s">
        <v>400</v>
      </c>
      <c r="H2330" s="8" t="s">
        <v>5742</v>
      </c>
    </row>
    <row r="2331" spans="1:9" s="8" customFormat="1">
      <c r="A2331" s="113"/>
      <c r="B2331" s="7" t="s">
        <v>6194</v>
      </c>
      <c r="C2331" s="290">
        <v>100000000</v>
      </c>
      <c r="D2331" s="290">
        <v>0</v>
      </c>
      <c r="E2331" s="284">
        <f t="shared" si="36"/>
        <v>200000000</v>
      </c>
      <c r="F2331" s="295" t="s">
        <v>1643</v>
      </c>
      <c r="G2331" s="8" t="s">
        <v>5</v>
      </c>
      <c r="H2331" s="8" t="s">
        <v>5985</v>
      </c>
    </row>
    <row r="2332" spans="1:9" s="8" customFormat="1">
      <c r="A2332" s="113"/>
      <c r="B2332" s="7" t="s">
        <v>6195</v>
      </c>
      <c r="C2332" s="290">
        <v>20000000</v>
      </c>
      <c r="D2332" s="290">
        <v>0</v>
      </c>
      <c r="E2332" s="284">
        <f t="shared" si="36"/>
        <v>180000000</v>
      </c>
      <c r="F2332" s="295" t="s">
        <v>1643</v>
      </c>
      <c r="G2332" s="8" t="s">
        <v>5</v>
      </c>
      <c r="H2332" s="8" t="s">
        <v>5985</v>
      </c>
    </row>
    <row r="2333" spans="1:9" s="8" customFormat="1">
      <c r="A2333" s="113"/>
      <c r="B2333" s="7" t="s">
        <v>6196</v>
      </c>
      <c r="C2333" s="290">
        <v>45000000</v>
      </c>
      <c r="D2333" s="290">
        <v>0</v>
      </c>
      <c r="E2333" s="284">
        <f t="shared" si="36"/>
        <v>135000000</v>
      </c>
      <c r="F2333" s="295" t="s">
        <v>1643</v>
      </c>
      <c r="G2333" s="8" t="s">
        <v>5</v>
      </c>
      <c r="H2333" s="8" t="s">
        <v>5985</v>
      </c>
    </row>
    <row r="2334" spans="1:9" s="8" customFormat="1">
      <c r="A2334" s="113"/>
      <c r="B2334" s="7" t="s">
        <v>6197</v>
      </c>
      <c r="C2334" s="290">
        <v>100000000</v>
      </c>
      <c r="D2334" s="290">
        <v>0</v>
      </c>
      <c r="E2334" s="284">
        <f t="shared" si="36"/>
        <v>35000000</v>
      </c>
      <c r="F2334" s="295" t="s">
        <v>1643</v>
      </c>
      <c r="G2334" s="8" t="s">
        <v>5</v>
      </c>
      <c r="H2334" s="8" t="s">
        <v>5985</v>
      </c>
    </row>
    <row r="2335" spans="1:9" s="8" customFormat="1">
      <c r="A2335" s="113"/>
      <c r="B2335" s="7" t="s">
        <v>6198</v>
      </c>
      <c r="C2335" s="290">
        <v>5000000</v>
      </c>
      <c r="D2335" s="290">
        <v>0</v>
      </c>
      <c r="E2335" s="284">
        <f t="shared" si="36"/>
        <v>30000000</v>
      </c>
      <c r="F2335" s="295" t="s">
        <v>1643</v>
      </c>
      <c r="G2335" s="8" t="s">
        <v>5</v>
      </c>
      <c r="H2335" s="8" t="s">
        <v>5985</v>
      </c>
    </row>
    <row r="2336" spans="1:9" s="8" customFormat="1">
      <c r="A2336" s="113"/>
      <c r="B2336" s="7" t="s">
        <v>6199</v>
      </c>
      <c r="C2336" s="290">
        <v>8000000</v>
      </c>
      <c r="D2336" s="290">
        <v>0</v>
      </c>
      <c r="E2336" s="284">
        <f t="shared" si="36"/>
        <v>22000000</v>
      </c>
      <c r="F2336" s="295" t="s">
        <v>1643</v>
      </c>
      <c r="G2336" s="8" t="s">
        <v>5</v>
      </c>
      <c r="H2336" s="8" t="s">
        <v>5985</v>
      </c>
    </row>
    <row r="2337" spans="1:8" s="8" customFormat="1">
      <c r="A2337" s="113"/>
      <c r="B2337" s="7" t="s">
        <v>6200</v>
      </c>
      <c r="C2337" s="290">
        <v>2000000</v>
      </c>
      <c r="D2337" s="290">
        <v>0</v>
      </c>
      <c r="E2337" s="284">
        <f t="shared" si="36"/>
        <v>20000000</v>
      </c>
      <c r="F2337" s="295" t="s">
        <v>1643</v>
      </c>
      <c r="G2337" s="8" t="s">
        <v>5</v>
      </c>
      <c r="H2337" s="8" t="s">
        <v>5985</v>
      </c>
    </row>
    <row r="2338" spans="1:8" s="8" customFormat="1">
      <c r="A2338" s="113"/>
      <c r="B2338" s="7" t="s">
        <v>6201</v>
      </c>
      <c r="C2338" s="290">
        <v>4356000</v>
      </c>
      <c r="D2338" s="290">
        <v>0</v>
      </c>
      <c r="E2338" s="284">
        <f t="shared" si="36"/>
        <v>15644000</v>
      </c>
      <c r="F2338" s="295" t="s">
        <v>1643</v>
      </c>
      <c r="G2338" s="8" t="s">
        <v>5</v>
      </c>
      <c r="H2338" s="8" t="s">
        <v>5985</v>
      </c>
    </row>
    <row r="2339" spans="1:8" s="8" customFormat="1">
      <c r="A2339" s="113"/>
      <c r="B2339" s="7" t="s">
        <v>6202</v>
      </c>
      <c r="C2339" s="290">
        <v>2296500</v>
      </c>
      <c r="D2339" s="290">
        <v>0</v>
      </c>
      <c r="E2339" s="284">
        <f t="shared" si="36"/>
        <v>13347500</v>
      </c>
      <c r="F2339" s="295" t="s">
        <v>1643</v>
      </c>
      <c r="G2339" s="8" t="s">
        <v>5</v>
      </c>
      <c r="H2339" s="8" t="s">
        <v>5985</v>
      </c>
    </row>
    <row r="2340" spans="1:8" s="8" customFormat="1">
      <c r="A2340" s="113"/>
      <c r="B2340" s="7" t="s">
        <v>6203</v>
      </c>
      <c r="C2340" s="290">
        <v>3614460</v>
      </c>
      <c r="D2340" s="290">
        <v>0</v>
      </c>
      <c r="E2340" s="284">
        <f t="shared" si="36"/>
        <v>9733040</v>
      </c>
      <c r="F2340" s="295" t="s">
        <v>1643</v>
      </c>
      <c r="G2340" s="8" t="s">
        <v>5</v>
      </c>
      <c r="H2340" s="8" t="s">
        <v>5985</v>
      </c>
    </row>
    <row r="2341" spans="1:8" s="8" customFormat="1">
      <c r="A2341" s="113"/>
      <c r="B2341" s="7" t="s">
        <v>6204</v>
      </c>
      <c r="C2341" s="290">
        <v>300000</v>
      </c>
      <c r="D2341" s="290">
        <v>0</v>
      </c>
      <c r="E2341" s="284">
        <f t="shared" si="36"/>
        <v>9433040</v>
      </c>
      <c r="F2341" s="295" t="s">
        <v>1643</v>
      </c>
      <c r="G2341" s="8" t="s">
        <v>5</v>
      </c>
      <c r="H2341" s="8" t="s">
        <v>5985</v>
      </c>
    </row>
    <row r="2342" spans="1:8" s="8" customFormat="1">
      <c r="A2342" s="113"/>
      <c r="B2342" s="7" t="s">
        <v>6205</v>
      </c>
      <c r="C2342" s="290">
        <v>200000</v>
      </c>
      <c r="D2342" s="290">
        <v>0</v>
      </c>
      <c r="E2342" s="284">
        <f t="shared" si="36"/>
        <v>9233040</v>
      </c>
      <c r="F2342" s="295" t="s">
        <v>1643</v>
      </c>
      <c r="G2342" s="8" t="s">
        <v>5</v>
      </c>
      <c r="H2342" s="8" t="s">
        <v>5985</v>
      </c>
    </row>
    <row r="2343" spans="1:8" s="8" customFormat="1">
      <c r="A2343" s="13"/>
      <c r="B2343" s="8" t="s">
        <v>6206</v>
      </c>
      <c r="C2343" s="290">
        <v>9233040</v>
      </c>
      <c r="D2343" s="290">
        <v>0</v>
      </c>
      <c r="E2343" s="284">
        <f t="shared" si="36"/>
        <v>0</v>
      </c>
      <c r="F2343" s="295" t="s">
        <v>920</v>
      </c>
      <c r="G2343" s="8" t="s">
        <v>464</v>
      </c>
      <c r="H2343" s="8" t="s">
        <v>5742</v>
      </c>
    </row>
    <row r="2344" spans="1:8" s="8" customFormat="1">
      <c r="A2344" s="13">
        <v>45986</v>
      </c>
      <c r="B2344" s="8" t="s">
        <v>4654</v>
      </c>
      <c r="C2344" s="290">
        <v>0</v>
      </c>
      <c r="D2344" s="290">
        <v>200000000</v>
      </c>
      <c r="E2344" s="284">
        <f t="shared" si="36"/>
        <v>200000000</v>
      </c>
      <c r="F2344" s="295" t="s">
        <v>920</v>
      </c>
      <c r="G2344" s="8" t="s">
        <v>400</v>
      </c>
      <c r="H2344" s="8" t="s">
        <v>5744</v>
      </c>
    </row>
    <row r="2345" spans="1:8" s="8" customFormat="1">
      <c r="A2345" s="13"/>
      <c r="B2345" s="8" t="s">
        <v>6520</v>
      </c>
      <c r="C2345" s="290">
        <v>15000000</v>
      </c>
      <c r="D2345" s="290">
        <v>0</v>
      </c>
      <c r="E2345" s="284">
        <f t="shared" si="36"/>
        <v>185000000</v>
      </c>
      <c r="F2345" s="295" t="s">
        <v>10</v>
      </c>
      <c r="G2345" s="8" t="s">
        <v>446</v>
      </c>
      <c r="H2345" s="8" t="s">
        <v>5999</v>
      </c>
    </row>
    <row r="2346" spans="1:8" s="8" customFormat="1">
      <c r="A2346" s="13"/>
      <c r="B2346" s="8" t="s">
        <v>6521</v>
      </c>
      <c r="C2346" s="290">
        <v>50000000</v>
      </c>
      <c r="D2346" s="290">
        <v>0</v>
      </c>
      <c r="E2346" s="284">
        <f t="shared" si="36"/>
        <v>135000000</v>
      </c>
      <c r="F2346" s="295" t="s">
        <v>10</v>
      </c>
      <c r="G2346" s="8" t="s">
        <v>446</v>
      </c>
      <c r="H2346" s="8" t="s">
        <v>5999</v>
      </c>
    </row>
    <row r="2347" spans="1:8" s="8" customFormat="1">
      <c r="A2347" s="13"/>
      <c r="B2347" s="8" t="s">
        <v>6522</v>
      </c>
      <c r="C2347" s="290">
        <v>5000000</v>
      </c>
      <c r="D2347" s="290">
        <v>0</v>
      </c>
      <c r="E2347" s="284">
        <f t="shared" si="36"/>
        <v>130000000</v>
      </c>
      <c r="F2347" s="295" t="s">
        <v>10</v>
      </c>
      <c r="G2347" s="8" t="s">
        <v>446</v>
      </c>
      <c r="H2347" s="8" t="s">
        <v>5999</v>
      </c>
    </row>
    <row r="2348" spans="1:8" s="8" customFormat="1">
      <c r="A2348" s="13"/>
      <c r="B2348" s="8" t="s">
        <v>6204</v>
      </c>
      <c r="C2348" s="290">
        <v>300000</v>
      </c>
      <c r="D2348" s="290">
        <v>0</v>
      </c>
      <c r="E2348" s="284">
        <f t="shared" si="36"/>
        <v>129700000</v>
      </c>
      <c r="F2348" s="295" t="s">
        <v>10</v>
      </c>
      <c r="G2348" s="8" t="s">
        <v>446</v>
      </c>
      <c r="H2348" s="8" t="s">
        <v>5999</v>
      </c>
    </row>
    <row r="2349" spans="1:8" s="8" customFormat="1">
      <c r="A2349" s="13"/>
      <c r="B2349" s="8" t="s">
        <v>6523</v>
      </c>
      <c r="C2349" s="290">
        <v>100000</v>
      </c>
      <c r="D2349" s="290">
        <v>0</v>
      </c>
      <c r="E2349" s="284">
        <f t="shared" si="36"/>
        <v>129600000</v>
      </c>
      <c r="F2349" s="295" t="s">
        <v>10</v>
      </c>
      <c r="G2349" s="8" t="s">
        <v>446</v>
      </c>
      <c r="H2349" s="8" t="s">
        <v>5999</v>
      </c>
    </row>
    <row r="2350" spans="1:8" s="8" customFormat="1">
      <c r="A2350" s="13"/>
      <c r="B2350" s="8" t="s">
        <v>6200</v>
      </c>
      <c r="C2350" s="290">
        <v>1000000</v>
      </c>
      <c r="D2350" s="290">
        <v>0</v>
      </c>
      <c r="E2350" s="284">
        <f t="shared" si="36"/>
        <v>128600000</v>
      </c>
      <c r="F2350" s="295" t="s">
        <v>10</v>
      </c>
      <c r="G2350" s="8" t="s">
        <v>446</v>
      </c>
      <c r="H2350" s="8" t="s">
        <v>5999</v>
      </c>
    </row>
    <row r="2351" spans="1:8" s="8" customFormat="1">
      <c r="A2351" s="13"/>
      <c r="B2351" s="8" t="s">
        <v>6524</v>
      </c>
      <c r="C2351" s="290">
        <v>500000</v>
      </c>
      <c r="D2351" s="290">
        <v>0</v>
      </c>
      <c r="E2351" s="284">
        <f t="shared" si="36"/>
        <v>128100000</v>
      </c>
      <c r="F2351" s="295" t="s">
        <v>10</v>
      </c>
      <c r="G2351" s="8" t="s">
        <v>446</v>
      </c>
      <c r="H2351" s="8" t="s">
        <v>5999</v>
      </c>
    </row>
    <row r="2352" spans="1:8" s="8" customFormat="1">
      <c r="A2352" s="13"/>
      <c r="B2352" s="8" t="s">
        <v>6525</v>
      </c>
      <c r="C2352" s="290">
        <v>3000000</v>
      </c>
      <c r="D2352" s="290">
        <v>0</v>
      </c>
      <c r="E2352" s="284">
        <f t="shared" si="36"/>
        <v>125100000</v>
      </c>
      <c r="F2352" s="295" t="s">
        <v>10</v>
      </c>
      <c r="G2352" s="8" t="s">
        <v>446</v>
      </c>
      <c r="H2352" s="8" t="s">
        <v>5999</v>
      </c>
    </row>
    <row r="2353" spans="1:8" s="8" customFormat="1">
      <c r="A2353" s="13"/>
      <c r="B2353" s="8" t="s">
        <v>6526</v>
      </c>
      <c r="C2353" s="290">
        <v>90000</v>
      </c>
      <c r="D2353" s="290">
        <v>0</v>
      </c>
      <c r="E2353" s="284">
        <f t="shared" si="36"/>
        <v>125010000</v>
      </c>
      <c r="F2353" s="295" t="s">
        <v>10</v>
      </c>
      <c r="G2353" s="8" t="s">
        <v>446</v>
      </c>
      <c r="H2353" s="8" t="s">
        <v>5999</v>
      </c>
    </row>
    <row r="2354" spans="1:8" s="8" customFormat="1">
      <c r="A2354" s="13"/>
      <c r="B2354" s="8" t="s">
        <v>6527</v>
      </c>
      <c r="C2354" s="290">
        <v>5277700</v>
      </c>
      <c r="D2354" s="290">
        <v>0</v>
      </c>
      <c r="E2354" s="284">
        <f t="shared" si="36"/>
        <v>119732300</v>
      </c>
      <c r="F2354" s="295" t="s">
        <v>10</v>
      </c>
      <c r="G2354" s="8" t="s">
        <v>446</v>
      </c>
      <c r="H2354" s="8" t="s">
        <v>5999</v>
      </c>
    </row>
    <row r="2355" spans="1:8" s="8" customFormat="1">
      <c r="A2355" s="13"/>
      <c r="B2355" s="8" t="s">
        <v>6528</v>
      </c>
      <c r="C2355" s="290">
        <v>502500</v>
      </c>
      <c r="D2355" s="290">
        <v>0</v>
      </c>
      <c r="E2355" s="284">
        <f t="shared" si="36"/>
        <v>119229800</v>
      </c>
      <c r="F2355" s="295" t="s">
        <v>10</v>
      </c>
      <c r="G2355" s="8" t="s">
        <v>446</v>
      </c>
      <c r="H2355" s="8" t="s">
        <v>5999</v>
      </c>
    </row>
    <row r="2356" spans="1:8" s="8" customFormat="1">
      <c r="A2356" s="13"/>
      <c r="B2356" s="8" t="s">
        <v>6529</v>
      </c>
      <c r="C2356" s="290">
        <v>562500</v>
      </c>
      <c r="D2356" s="290">
        <v>0</v>
      </c>
      <c r="E2356" s="284">
        <f t="shared" si="36"/>
        <v>118667300</v>
      </c>
      <c r="F2356" s="295" t="s">
        <v>10</v>
      </c>
      <c r="G2356" s="8" t="s">
        <v>446</v>
      </c>
      <c r="H2356" s="8" t="s">
        <v>5999</v>
      </c>
    </row>
    <row r="2357" spans="1:8" s="8" customFormat="1">
      <c r="A2357" s="13"/>
      <c r="B2357" s="8" t="s">
        <v>6530</v>
      </c>
      <c r="C2357" s="290">
        <v>32340000</v>
      </c>
      <c r="D2357" s="290">
        <v>0</v>
      </c>
      <c r="E2357" s="284">
        <f t="shared" si="36"/>
        <v>86327300</v>
      </c>
      <c r="F2357" s="295" t="s">
        <v>10</v>
      </c>
      <c r="G2357" s="8" t="s">
        <v>446</v>
      </c>
      <c r="H2357" s="8" t="s">
        <v>5999</v>
      </c>
    </row>
    <row r="2358" spans="1:8" s="8" customFormat="1">
      <c r="A2358" s="13">
        <v>46014</v>
      </c>
      <c r="B2358" s="8" t="s">
        <v>6398</v>
      </c>
      <c r="C2358" s="290">
        <v>86327300</v>
      </c>
      <c r="D2358" s="290">
        <v>0</v>
      </c>
      <c r="E2358" s="284">
        <f t="shared" si="36"/>
        <v>0</v>
      </c>
      <c r="F2358" s="295" t="s">
        <v>920</v>
      </c>
      <c r="G2358" s="8" t="s">
        <v>498</v>
      </c>
      <c r="H2358" s="8" t="s">
        <v>5744</v>
      </c>
    </row>
    <row r="2359" spans="1:8" s="8" customFormat="1">
      <c r="A2359" s="13">
        <v>45986</v>
      </c>
      <c r="B2359" s="8" t="s">
        <v>4653</v>
      </c>
      <c r="C2359" s="290">
        <v>0</v>
      </c>
      <c r="D2359" s="290">
        <v>200000000</v>
      </c>
      <c r="E2359" s="284">
        <f t="shared" si="36"/>
        <v>200000000</v>
      </c>
      <c r="F2359" s="8" t="s">
        <v>920</v>
      </c>
      <c r="G2359" s="8" t="s">
        <v>400</v>
      </c>
      <c r="H2359" s="8" t="s">
        <v>5743</v>
      </c>
    </row>
    <row r="2360" spans="1:8" s="8" customFormat="1">
      <c r="A2360" s="13"/>
      <c r="B2360" s="8" t="s">
        <v>6207</v>
      </c>
      <c r="C2360" s="290">
        <v>20000000</v>
      </c>
      <c r="D2360" s="290">
        <v>0</v>
      </c>
      <c r="E2360" s="284">
        <f t="shared" si="36"/>
        <v>180000000</v>
      </c>
      <c r="F2360" s="8" t="s">
        <v>10</v>
      </c>
      <c r="G2360" s="8" t="s">
        <v>446</v>
      </c>
      <c r="H2360" s="8" t="s">
        <v>5752</v>
      </c>
    </row>
    <row r="2361" spans="1:8" s="8" customFormat="1">
      <c r="A2361" s="13"/>
      <c r="B2361" s="8" t="s">
        <v>6168</v>
      </c>
      <c r="C2361" s="290">
        <v>170000000</v>
      </c>
      <c r="D2361" s="290">
        <v>0</v>
      </c>
      <c r="E2361" s="284">
        <f t="shared" si="36"/>
        <v>10000000</v>
      </c>
      <c r="F2361" s="8" t="s">
        <v>10</v>
      </c>
      <c r="G2361" s="8" t="s">
        <v>446</v>
      </c>
      <c r="H2361" s="8" t="s">
        <v>5752</v>
      </c>
    </row>
    <row r="2362" spans="1:8" s="8" customFormat="1">
      <c r="A2362" s="13"/>
      <c r="B2362" s="8" t="s">
        <v>6198</v>
      </c>
      <c r="C2362" s="290">
        <v>3000000</v>
      </c>
      <c r="D2362" s="290">
        <v>0</v>
      </c>
      <c r="E2362" s="284">
        <f t="shared" si="36"/>
        <v>7000000</v>
      </c>
      <c r="F2362" s="8" t="s">
        <v>10</v>
      </c>
      <c r="G2362" s="8" t="s">
        <v>446</v>
      </c>
      <c r="H2362" s="8" t="s">
        <v>5752</v>
      </c>
    </row>
    <row r="2363" spans="1:8" s="8" customFormat="1">
      <c r="A2363" s="13"/>
      <c r="B2363" s="8" t="s">
        <v>6199</v>
      </c>
      <c r="C2363" s="290">
        <v>8000000</v>
      </c>
      <c r="D2363" s="290">
        <v>0</v>
      </c>
      <c r="E2363" s="284">
        <f t="shared" si="36"/>
        <v>-1000000</v>
      </c>
      <c r="F2363" s="8" t="s">
        <v>10</v>
      </c>
      <c r="G2363" s="8" t="s">
        <v>446</v>
      </c>
      <c r="H2363" s="8" t="s">
        <v>5752</v>
      </c>
    </row>
    <row r="2364" spans="1:8" s="8" customFormat="1">
      <c r="A2364" s="13"/>
      <c r="B2364" s="8" t="s">
        <v>6208</v>
      </c>
      <c r="C2364" s="290">
        <v>50000000</v>
      </c>
      <c r="D2364" s="290">
        <v>0</v>
      </c>
      <c r="E2364" s="284">
        <f t="shared" si="36"/>
        <v>-51000000</v>
      </c>
      <c r="F2364" s="8" t="s">
        <v>10</v>
      </c>
      <c r="G2364" s="8" t="s">
        <v>446</v>
      </c>
      <c r="H2364" s="8" t="s">
        <v>5752</v>
      </c>
    </row>
    <row r="2365" spans="1:8" s="8" customFormat="1">
      <c r="A2365" s="13"/>
      <c r="B2365" s="8" t="s">
        <v>6200</v>
      </c>
      <c r="C2365" s="290">
        <v>2000000</v>
      </c>
      <c r="D2365" s="290">
        <v>0</v>
      </c>
      <c r="E2365" s="284">
        <f t="shared" si="36"/>
        <v>-53000000</v>
      </c>
      <c r="F2365" s="8" t="s">
        <v>10</v>
      </c>
      <c r="G2365" s="8" t="s">
        <v>446</v>
      </c>
      <c r="H2365" s="8" t="s">
        <v>5752</v>
      </c>
    </row>
    <row r="2366" spans="1:8" s="8" customFormat="1">
      <c r="A2366" s="13"/>
      <c r="B2366" s="8" t="s">
        <v>6209</v>
      </c>
      <c r="C2366" s="290">
        <v>12278000</v>
      </c>
      <c r="D2366" s="290">
        <v>0</v>
      </c>
      <c r="E2366" s="284">
        <f t="shared" si="36"/>
        <v>-65278000</v>
      </c>
      <c r="F2366" s="8" t="s">
        <v>10</v>
      </c>
      <c r="G2366" s="8" t="s">
        <v>446</v>
      </c>
      <c r="H2366" s="8" t="s">
        <v>5752</v>
      </c>
    </row>
    <row r="2367" spans="1:8" s="8" customFormat="1">
      <c r="A2367" s="13"/>
      <c r="B2367" s="8" t="s">
        <v>6210</v>
      </c>
      <c r="C2367" s="290">
        <v>1020650</v>
      </c>
      <c r="D2367" s="290">
        <v>0</v>
      </c>
      <c r="E2367" s="284">
        <f t="shared" si="36"/>
        <v>-66298650</v>
      </c>
      <c r="F2367" s="8" t="s">
        <v>10</v>
      </c>
      <c r="G2367" s="8" t="s">
        <v>446</v>
      </c>
      <c r="H2367" s="8" t="s">
        <v>5752</v>
      </c>
    </row>
    <row r="2368" spans="1:8" s="8" customFormat="1">
      <c r="A2368" s="13">
        <v>46002</v>
      </c>
      <c r="B2368" s="8" t="s">
        <v>6116</v>
      </c>
      <c r="C2368" s="290">
        <v>0</v>
      </c>
      <c r="D2368" s="290">
        <v>66298650</v>
      </c>
      <c r="E2368" s="284">
        <f t="shared" si="36"/>
        <v>0</v>
      </c>
      <c r="F2368" s="8" t="s">
        <v>920</v>
      </c>
      <c r="G2368" s="8" t="s">
        <v>400</v>
      </c>
      <c r="H2368" s="8" t="s">
        <v>5743</v>
      </c>
    </row>
    <row r="2369" spans="1:8" s="8" customFormat="1">
      <c r="A2369" s="13">
        <v>45992</v>
      </c>
      <c r="B2369" s="8" t="s">
        <v>6473</v>
      </c>
      <c r="C2369" s="290">
        <v>0</v>
      </c>
      <c r="D2369" s="290">
        <v>5000000</v>
      </c>
      <c r="E2369" s="284">
        <f t="shared" si="36"/>
        <v>5000000</v>
      </c>
      <c r="F2369" s="8" t="s">
        <v>920</v>
      </c>
      <c r="G2369" s="8" t="s">
        <v>400</v>
      </c>
      <c r="H2369" s="8" t="s">
        <v>6474</v>
      </c>
    </row>
    <row r="2370" spans="1:8" s="8" customFormat="1">
      <c r="A2370" s="13"/>
      <c r="B2370" s="8" t="s">
        <v>6475</v>
      </c>
      <c r="C2370" s="290">
        <v>980000</v>
      </c>
      <c r="D2370" s="290">
        <v>0</v>
      </c>
      <c r="E2370" s="284">
        <f t="shared" si="36"/>
        <v>4020000</v>
      </c>
      <c r="F2370" s="8" t="s">
        <v>10</v>
      </c>
      <c r="G2370" s="8" t="s">
        <v>446</v>
      </c>
      <c r="H2370" s="8" t="s">
        <v>4096</v>
      </c>
    </row>
    <row r="2371" spans="1:8" s="8" customFormat="1">
      <c r="A2371" s="13"/>
      <c r="B2371" s="8" t="s">
        <v>6476</v>
      </c>
      <c r="C2371" s="290">
        <v>135000</v>
      </c>
      <c r="D2371" s="290">
        <v>0</v>
      </c>
      <c r="E2371" s="284">
        <f t="shared" si="36"/>
        <v>3885000</v>
      </c>
      <c r="F2371" s="8" t="s">
        <v>10</v>
      </c>
      <c r="G2371" s="8" t="s">
        <v>446</v>
      </c>
      <c r="H2371" s="8" t="s">
        <v>4096</v>
      </c>
    </row>
    <row r="2372" spans="1:8" s="8" customFormat="1">
      <c r="A2372" s="13"/>
      <c r="B2372" s="8" t="s">
        <v>6477</v>
      </c>
      <c r="C2372" s="290">
        <v>331200</v>
      </c>
      <c r="D2372" s="290">
        <v>0</v>
      </c>
      <c r="E2372" s="284">
        <f t="shared" si="36"/>
        <v>3553800</v>
      </c>
      <c r="F2372" s="8" t="s">
        <v>10</v>
      </c>
      <c r="G2372" s="8" t="s">
        <v>446</v>
      </c>
      <c r="H2372" s="8" t="s">
        <v>4096</v>
      </c>
    </row>
    <row r="2373" spans="1:8" s="8" customFormat="1">
      <c r="A2373" s="13"/>
      <c r="B2373" s="8" t="s">
        <v>6475</v>
      </c>
      <c r="C2373" s="290">
        <v>1470000</v>
      </c>
      <c r="D2373" s="290">
        <v>0</v>
      </c>
      <c r="E2373" s="284">
        <f t="shared" si="36"/>
        <v>2083800</v>
      </c>
      <c r="F2373" s="8" t="s">
        <v>10</v>
      </c>
      <c r="G2373" s="8" t="s">
        <v>446</v>
      </c>
      <c r="H2373" s="8" t="s">
        <v>4096</v>
      </c>
    </row>
    <row r="2374" spans="1:8" s="8" customFormat="1">
      <c r="A2374" s="13"/>
      <c r="B2374" s="8" t="s">
        <v>6478</v>
      </c>
      <c r="C2374" s="290">
        <v>245000</v>
      </c>
      <c r="D2374" s="290">
        <v>0</v>
      </c>
      <c r="E2374" s="284">
        <f t="shared" ref="E2374:E2437" si="37">E2373-C2374+D2374</f>
        <v>1838800</v>
      </c>
      <c r="F2374" s="8" t="s">
        <v>10</v>
      </c>
      <c r="G2374" s="8" t="s">
        <v>446</v>
      </c>
      <c r="H2374" s="8" t="s">
        <v>4096</v>
      </c>
    </row>
    <row r="2375" spans="1:8" s="8" customFormat="1">
      <c r="A2375" s="13"/>
      <c r="B2375" s="8" t="s">
        <v>6479</v>
      </c>
      <c r="C2375" s="290">
        <v>71370</v>
      </c>
      <c r="D2375" s="290">
        <v>0</v>
      </c>
      <c r="E2375" s="284">
        <f t="shared" si="37"/>
        <v>1767430</v>
      </c>
      <c r="F2375" s="8" t="s">
        <v>10</v>
      </c>
      <c r="G2375" s="8" t="s">
        <v>446</v>
      </c>
      <c r="H2375" s="8" t="s">
        <v>4096</v>
      </c>
    </row>
    <row r="2376" spans="1:8" s="8" customFormat="1">
      <c r="A2376" s="13"/>
      <c r="B2376" s="8" t="s">
        <v>6480</v>
      </c>
      <c r="C2376" s="290">
        <v>265000</v>
      </c>
      <c r="D2376" s="290">
        <v>0</v>
      </c>
      <c r="E2376" s="284">
        <f t="shared" si="37"/>
        <v>1502430</v>
      </c>
      <c r="F2376" s="8" t="s">
        <v>10</v>
      </c>
      <c r="G2376" s="8" t="s">
        <v>446</v>
      </c>
      <c r="H2376" s="8" t="s">
        <v>4096</v>
      </c>
    </row>
    <row r="2377" spans="1:8" s="8" customFormat="1">
      <c r="A2377" s="13"/>
      <c r="B2377" s="8" t="s">
        <v>6481</v>
      </c>
      <c r="C2377" s="290">
        <v>175500</v>
      </c>
      <c r="D2377" s="290">
        <v>0</v>
      </c>
      <c r="E2377" s="284">
        <f t="shared" si="37"/>
        <v>1326930</v>
      </c>
      <c r="F2377" s="8" t="s">
        <v>10</v>
      </c>
      <c r="G2377" s="8" t="s">
        <v>446</v>
      </c>
      <c r="H2377" s="8" t="s">
        <v>4096</v>
      </c>
    </row>
    <row r="2378" spans="1:8" s="8" customFormat="1">
      <c r="A2378" s="13"/>
      <c r="B2378" s="8" t="s">
        <v>6482</v>
      </c>
      <c r="C2378" s="290">
        <v>1009000</v>
      </c>
      <c r="D2378" s="290">
        <v>0</v>
      </c>
      <c r="E2378" s="284">
        <f t="shared" si="37"/>
        <v>317930</v>
      </c>
      <c r="F2378" s="8" t="s">
        <v>10</v>
      </c>
      <c r="G2378" s="8" t="s">
        <v>446</v>
      </c>
      <c r="H2378" s="8" t="s">
        <v>4096</v>
      </c>
    </row>
    <row r="2379" spans="1:8" s="8" customFormat="1">
      <c r="A2379" s="13"/>
      <c r="B2379" s="8" t="s">
        <v>6483</v>
      </c>
      <c r="C2379" s="290">
        <v>213675</v>
      </c>
      <c r="D2379" s="290">
        <v>0</v>
      </c>
      <c r="E2379" s="284">
        <f t="shared" si="37"/>
        <v>104255</v>
      </c>
      <c r="F2379" s="8" t="s">
        <v>10</v>
      </c>
      <c r="G2379" s="8" t="s">
        <v>446</v>
      </c>
      <c r="H2379" s="8" t="s">
        <v>4096</v>
      </c>
    </row>
    <row r="2380" spans="1:8" s="8" customFormat="1">
      <c r="A2380" s="13"/>
      <c r="B2380" s="8" t="s">
        <v>6484</v>
      </c>
      <c r="C2380" s="290">
        <v>2500</v>
      </c>
      <c r="D2380" s="290">
        <v>0</v>
      </c>
      <c r="E2380" s="284">
        <f t="shared" si="37"/>
        <v>101755</v>
      </c>
      <c r="F2380" s="8" t="s">
        <v>10</v>
      </c>
      <c r="G2380" s="8" t="s">
        <v>446</v>
      </c>
      <c r="H2380" s="8" t="s">
        <v>4096</v>
      </c>
    </row>
    <row r="2381" spans="1:8" s="8" customFormat="1">
      <c r="A2381" s="13">
        <v>46009</v>
      </c>
      <c r="B2381" s="8" t="s">
        <v>6442</v>
      </c>
      <c r="C2381" s="290">
        <v>101755</v>
      </c>
      <c r="D2381" s="290">
        <v>0</v>
      </c>
      <c r="E2381" s="284">
        <f t="shared" si="37"/>
        <v>0</v>
      </c>
      <c r="F2381" s="8" t="s">
        <v>920</v>
      </c>
      <c r="G2381" s="8" t="s">
        <v>464</v>
      </c>
      <c r="H2381" s="8" t="s">
        <v>6474</v>
      </c>
    </row>
    <row r="2382" spans="1:8" s="8" customFormat="1">
      <c r="A2382" s="13">
        <v>46001</v>
      </c>
      <c r="B2382" s="8" t="s">
        <v>6308</v>
      </c>
      <c r="C2382" s="290">
        <v>0</v>
      </c>
      <c r="D2382" s="290">
        <v>250000000</v>
      </c>
      <c r="E2382" s="284">
        <f t="shared" si="37"/>
        <v>250000000</v>
      </c>
      <c r="F2382" s="8" t="s">
        <v>920</v>
      </c>
      <c r="G2382" s="8" t="s">
        <v>4250</v>
      </c>
      <c r="H2382" s="8" t="s">
        <v>6307</v>
      </c>
    </row>
    <row r="2383" spans="1:8" s="8" customFormat="1">
      <c r="A2383" s="13">
        <v>46001</v>
      </c>
      <c r="B2383" s="8" t="s">
        <v>6308</v>
      </c>
      <c r="C2383" s="290">
        <v>0</v>
      </c>
      <c r="D2383" s="290">
        <v>250000000</v>
      </c>
      <c r="E2383" s="284">
        <f t="shared" si="37"/>
        <v>500000000</v>
      </c>
      <c r="F2383" s="8" t="s">
        <v>920</v>
      </c>
      <c r="G2383" s="8" t="s">
        <v>4250</v>
      </c>
      <c r="H2383" s="8" t="s">
        <v>6307</v>
      </c>
    </row>
    <row r="2384" spans="1:8" s="8" customFormat="1">
      <c r="A2384" s="13"/>
      <c r="B2384" s="8" t="s">
        <v>6320</v>
      </c>
      <c r="C2384" s="290">
        <v>90000000</v>
      </c>
      <c r="D2384" s="290">
        <v>0</v>
      </c>
      <c r="E2384" s="284">
        <f t="shared" si="37"/>
        <v>410000000</v>
      </c>
      <c r="F2384" s="8" t="s">
        <v>10</v>
      </c>
      <c r="G2384" s="8" t="s">
        <v>446</v>
      </c>
      <c r="H2384" s="8" t="s">
        <v>6001</v>
      </c>
    </row>
    <row r="2385" spans="1:9" s="8" customFormat="1">
      <c r="A2385" s="13"/>
      <c r="B2385" s="8" t="s">
        <v>6321</v>
      </c>
      <c r="C2385" s="290">
        <v>340000000</v>
      </c>
      <c r="D2385" s="290">
        <v>0</v>
      </c>
      <c r="E2385" s="284">
        <f t="shared" si="37"/>
        <v>70000000</v>
      </c>
      <c r="F2385" s="8" t="s">
        <v>10</v>
      </c>
      <c r="G2385" s="8" t="s">
        <v>446</v>
      </c>
      <c r="H2385" s="8" t="s">
        <v>6001</v>
      </c>
    </row>
    <row r="2386" spans="1:9" s="8" customFormat="1">
      <c r="A2386" s="13"/>
      <c r="B2386" s="8" t="s">
        <v>6322</v>
      </c>
      <c r="C2386" s="290">
        <v>3000000</v>
      </c>
      <c r="D2386" s="290">
        <v>0</v>
      </c>
      <c r="E2386" s="284">
        <f t="shared" si="37"/>
        <v>67000000</v>
      </c>
      <c r="F2386" s="8" t="s">
        <v>10</v>
      </c>
      <c r="G2386" s="8" t="s">
        <v>446</v>
      </c>
      <c r="H2386" s="8" t="s">
        <v>6001</v>
      </c>
    </row>
    <row r="2387" spans="1:9" s="8" customFormat="1">
      <c r="A2387" s="13"/>
      <c r="B2387" s="8" t="s">
        <v>6323</v>
      </c>
      <c r="C2387" s="290">
        <v>8000000</v>
      </c>
      <c r="D2387" s="290">
        <v>0</v>
      </c>
      <c r="E2387" s="284">
        <f t="shared" si="37"/>
        <v>59000000</v>
      </c>
      <c r="F2387" s="8" t="s">
        <v>10</v>
      </c>
      <c r="G2387" s="8" t="s">
        <v>446</v>
      </c>
      <c r="H2387" s="8" t="s">
        <v>6001</v>
      </c>
    </row>
    <row r="2388" spans="1:9" s="8" customFormat="1">
      <c r="A2388" s="13"/>
      <c r="B2388" s="8" t="s">
        <v>6310</v>
      </c>
      <c r="C2388" s="290">
        <v>1500000</v>
      </c>
      <c r="D2388" s="290">
        <v>0</v>
      </c>
      <c r="E2388" s="284">
        <f t="shared" si="37"/>
        <v>57500000</v>
      </c>
      <c r="F2388" s="8" t="s">
        <v>10</v>
      </c>
      <c r="G2388" s="8" t="s">
        <v>446</v>
      </c>
      <c r="H2388" s="8" t="s">
        <v>6001</v>
      </c>
    </row>
    <row r="2389" spans="1:9" s="8" customFormat="1">
      <c r="A2389" s="13"/>
      <c r="B2389" s="8" t="s">
        <v>6311</v>
      </c>
      <c r="C2389" s="290">
        <v>45000</v>
      </c>
      <c r="D2389" s="290">
        <v>0</v>
      </c>
      <c r="E2389" s="284">
        <f t="shared" si="37"/>
        <v>57455000</v>
      </c>
      <c r="F2389" s="8" t="s">
        <v>10</v>
      </c>
      <c r="G2389" s="8" t="s">
        <v>446</v>
      </c>
      <c r="H2389" s="8" t="s">
        <v>6001</v>
      </c>
    </row>
    <row r="2390" spans="1:9" s="8" customFormat="1">
      <c r="A2390" s="13"/>
      <c r="B2390" s="8" t="s">
        <v>6312</v>
      </c>
      <c r="C2390" s="290">
        <v>3402500</v>
      </c>
      <c r="D2390" s="290">
        <v>0</v>
      </c>
      <c r="E2390" s="284">
        <f t="shared" si="37"/>
        <v>54052500</v>
      </c>
      <c r="F2390" s="8" t="s">
        <v>10</v>
      </c>
      <c r="G2390" s="8" t="s">
        <v>446</v>
      </c>
      <c r="H2390" s="8" t="s">
        <v>6001</v>
      </c>
    </row>
    <row r="2391" spans="1:9" s="8" customFormat="1">
      <c r="A2391" s="13"/>
      <c r="B2391" s="8" t="s">
        <v>6313</v>
      </c>
      <c r="C2391" s="290">
        <v>940000</v>
      </c>
      <c r="D2391" s="290">
        <v>0</v>
      </c>
      <c r="E2391" s="284">
        <f t="shared" si="37"/>
        <v>53112500</v>
      </c>
      <c r="F2391" s="8" t="s">
        <v>10</v>
      </c>
      <c r="G2391" s="8" t="s">
        <v>446</v>
      </c>
      <c r="H2391" s="8" t="s">
        <v>6001</v>
      </c>
    </row>
    <row r="2392" spans="1:9" s="8" customFormat="1">
      <c r="A2392" s="13"/>
      <c r="B2392" s="8" t="s">
        <v>6314</v>
      </c>
      <c r="C2392" s="290">
        <v>80000</v>
      </c>
      <c r="D2392" s="290">
        <v>0</v>
      </c>
      <c r="E2392" s="284">
        <f t="shared" si="37"/>
        <v>53032500</v>
      </c>
      <c r="F2392" s="8" t="s">
        <v>10</v>
      </c>
      <c r="G2392" s="8" t="s">
        <v>446</v>
      </c>
      <c r="H2392" s="8" t="s">
        <v>6001</v>
      </c>
    </row>
    <row r="2393" spans="1:9" s="8" customFormat="1">
      <c r="A2393" s="13"/>
      <c r="B2393" s="8" t="s">
        <v>6315</v>
      </c>
      <c r="C2393" s="290">
        <v>120000</v>
      </c>
      <c r="D2393" s="290">
        <v>0</v>
      </c>
      <c r="E2393" s="284">
        <f t="shared" si="37"/>
        <v>52912500</v>
      </c>
      <c r="F2393" s="8" t="s">
        <v>10</v>
      </c>
      <c r="G2393" s="8" t="s">
        <v>446</v>
      </c>
      <c r="H2393" s="8" t="s">
        <v>6001</v>
      </c>
    </row>
    <row r="2394" spans="1:9" s="8" customFormat="1">
      <c r="A2394" s="13"/>
      <c r="B2394" s="8" t="s">
        <v>6316</v>
      </c>
      <c r="C2394" s="290">
        <v>200000</v>
      </c>
      <c r="D2394" s="290">
        <v>0</v>
      </c>
      <c r="E2394" s="284">
        <f t="shared" si="37"/>
        <v>52712500</v>
      </c>
      <c r="F2394" s="8" t="s">
        <v>10</v>
      </c>
      <c r="G2394" s="8" t="s">
        <v>446</v>
      </c>
      <c r="H2394" s="8" t="s">
        <v>6001</v>
      </c>
    </row>
    <row r="2395" spans="1:9" s="8" customFormat="1">
      <c r="A2395" s="13"/>
      <c r="B2395" s="8" t="s">
        <v>6317</v>
      </c>
      <c r="C2395" s="290">
        <v>200000</v>
      </c>
      <c r="D2395" s="290">
        <v>0</v>
      </c>
      <c r="E2395" s="284">
        <f t="shared" si="37"/>
        <v>52512500</v>
      </c>
      <c r="F2395" s="8" t="s">
        <v>10</v>
      </c>
      <c r="G2395" s="8" t="s">
        <v>446</v>
      </c>
      <c r="H2395" s="8" t="s">
        <v>6001</v>
      </c>
    </row>
    <row r="2396" spans="1:9" s="8" customFormat="1">
      <c r="A2396" s="13"/>
      <c r="B2396" s="8" t="s">
        <v>6318</v>
      </c>
      <c r="C2396" s="290">
        <v>3000000</v>
      </c>
      <c r="D2396" s="290">
        <v>0</v>
      </c>
      <c r="E2396" s="284">
        <f t="shared" si="37"/>
        <v>49512500</v>
      </c>
      <c r="F2396" s="8" t="s">
        <v>10</v>
      </c>
      <c r="G2396" s="8" t="s">
        <v>446</v>
      </c>
      <c r="H2396" s="8" t="s">
        <v>6001</v>
      </c>
    </row>
    <row r="2397" spans="1:9" s="8" customFormat="1">
      <c r="A2397" s="13"/>
      <c r="B2397" s="8" t="s">
        <v>6319</v>
      </c>
      <c r="C2397" s="290">
        <v>20000000</v>
      </c>
      <c r="D2397" s="290">
        <v>0</v>
      </c>
      <c r="E2397" s="284">
        <f t="shared" si="37"/>
        <v>29512500</v>
      </c>
      <c r="F2397" s="8" t="s">
        <v>10</v>
      </c>
      <c r="G2397" s="8" t="s">
        <v>446</v>
      </c>
      <c r="H2397" s="8" t="s">
        <v>6001</v>
      </c>
    </row>
    <row r="2398" spans="1:9" s="8" customFormat="1">
      <c r="A2398" s="13">
        <v>46006</v>
      </c>
      <c r="B2398" s="8" t="s">
        <v>6277</v>
      </c>
      <c r="C2398" s="290">
        <v>29512500</v>
      </c>
      <c r="D2398" s="290">
        <v>0</v>
      </c>
      <c r="E2398" s="284">
        <f t="shared" si="37"/>
        <v>0</v>
      </c>
      <c r="F2398" s="8" t="s">
        <v>920</v>
      </c>
      <c r="G2398" s="8" t="s">
        <v>464</v>
      </c>
      <c r="H2398" s="8" t="s">
        <v>6307</v>
      </c>
    </row>
    <row r="2399" spans="1:9" s="8" customFormat="1">
      <c r="A2399" s="113">
        <v>45757</v>
      </c>
      <c r="B2399" s="7" t="s">
        <v>977</v>
      </c>
      <c r="C2399" s="284">
        <v>0</v>
      </c>
      <c r="D2399" s="284">
        <v>665230</v>
      </c>
      <c r="E2399" s="284">
        <f t="shared" si="37"/>
        <v>665230</v>
      </c>
      <c r="F2399" s="292" t="s">
        <v>2140</v>
      </c>
      <c r="G2399" s="8" t="s">
        <v>2141</v>
      </c>
      <c r="H2399" t="s">
        <v>1445</v>
      </c>
      <c r="I2399" s="8" t="s">
        <v>1517</v>
      </c>
    </row>
    <row r="2400" spans="1:9" s="8" customFormat="1">
      <c r="A2400" s="113"/>
      <c r="B2400" s="7" t="s">
        <v>977</v>
      </c>
      <c r="C2400" s="284">
        <f>D2399</f>
        <v>665230</v>
      </c>
      <c r="D2400" s="284">
        <v>0</v>
      </c>
      <c r="E2400" s="284">
        <f t="shared" si="37"/>
        <v>0</v>
      </c>
      <c r="F2400" t="s">
        <v>10</v>
      </c>
      <c r="G2400" s="8" t="s">
        <v>94</v>
      </c>
      <c r="H2400" s="8" t="s">
        <v>5867</v>
      </c>
      <c r="I2400" s="8" t="s">
        <v>1517</v>
      </c>
    </row>
    <row r="2401" spans="1:9" s="8" customFormat="1">
      <c r="A2401" s="113">
        <v>45763</v>
      </c>
      <c r="B2401" s="7" t="s">
        <v>990</v>
      </c>
      <c r="C2401" s="284">
        <v>0</v>
      </c>
      <c r="D2401" s="284">
        <v>917690</v>
      </c>
      <c r="E2401" s="284">
        <f t="shared" si="37"/>
        <v>917690</v>
      </c>
      <c r="F2401" s="292" t="s">
        <v>2140</v>
      </c>
      <c r="G2401" s="8" t="s">
        <v>2141</v>
      </c>
      <c r="H2401" t="s">
        <v>1445</v>
      </c>
      <c r="I2401" s="8" t="s">
        <v>1535</v>
      </c>
    </row>
    <row r="2402" spans="1:9" s="8" customFormat="1">
      <c r="A2402" s="113"/>
      <c r="B2402" s="7" t="s">
        <v>990</v>
      </c>
      <c r="C2402" s="284">
        <f>D2401</f>
        <v>917690</v>
      </c>
      <c r="D2402" s="284">
        <v>0</v>
      </c>
      <c r="E2402" s="284">
        <f t="shared" si="37"/>
        <v>0</v>
      </c>
      <c r="F2402" t="s">
        <v>10</v>
      </c>
      <c r="G2402" s="8" t="s">
        <v>94</v>
      </c>
      <c r="H2402" s="8" t="s">
        <v>5867</v>
      </c>
      <c r="I2402" s="8" t="s">
        <v>1535</v>
      </c>
    </row>
    <row r="2403" spans="1:9" s="8" customFormat="1">
      <c r="A2403" s="13">
        <v>45771</v>
      </c>
      <c r="B2403" s="8" t="s">
        <v>1005</v>
      </c>
      <c r="C2403" s="284">
        <v>0</v>
      </c>
      <c r="D2403" s="284">
        <v>6146212</v>
      </c>
      <c r="E2403" s="284">
        <f t="shared" si="37"/>
        <v>6146212</v>
      </c>
      <c r="F2403" s="8" t="s">
        <v>2140</v>
      </c>
      <c r="G2403" s="8" t="s">
        <v>2141</v>
      </c>
      <c r="H2403" s="214" t="s">
        <v>1445</v>
      </c>
      <c r="I2403" s="37" t="s">
        <v>1526</v>
      </c>
    </row>
    <row r="2404" spans="1:9" s="8" customFormat="1">
      <c r="A2404" s="113"/>
      <c r="B2404" s="8" t="s">
        <v>1005</v>
      </c>
      <c r="C2404" s="284">
        <v>5200641</v>
      </c>
      <c r="D2404" s="284">
        <v>0</v>
      </c>
      <c r="E2404" s="284">
        <f t="shared" si="37"/>
        <v>945571</v>
      </c>
      <c r="F2404" t="s">
        <v>920</v>
      </c>
      <c r="G2404" s="8" t="s">
        <v>7858</v>
      </c>
      <c r="H2404" t="s">
        <v>7218</v>
      </c>
      <c r="I2404" s="37" t="s">
        <v>1526</v>
      </c>
    </row>
    <row r="2405" spans="1:9" s="8" customFormat="1">
      <c r="A2405" s="113"/>
      <c r="B2405" s="8" t="s">
        <v>1005</v>
      </c>
      <c r="C2405" s="284">
        <v>945571</v>
      </c>
      <c r="D2405" s="284">
        <v>0</v>
      </c>
      <c r="E2405" s="284">
        <f t="shared" si="37"/>
        <v>0</v>
      </c>
      <c r="F2405" t="s">
        <v>10</v>
      </c>
      <c r="G2405" s="8" t="s">
        <v>94</v>
      </c>
      <c r="H2405" s="8" t="s">
        <v>5867</v>
      </c>
      <c r="I2405" s="37" t="s">
        <v>1526</v>
      </c>
    </row>
    <row r="2406" spans="1:9" s="8" customFormat="1">
      <c r="A2406" s="13">
        <v>45792</v>
      </c>
      <c r="B2406" s="8" t="s">
        <v>1335</v>
      </c>
      <c r="C2406" s="284">
        <v>0</v>
      </c>
      <c r="D2406" s="284">
        <v>356615</v>
      </c>
      <c r="E2406" s="284">
        <f t="shared" si="37"/>
        <v>356615</v>
      </c>
      <c r="F2406" s="8" t="s">
        <v>2140</v>
      </c>
      <c r="G2406" s="8" t="s">
        <v>2141</v>
      </c>
      <c r="H2406" s="214" t="s">
        <v>1445</v>
      </c>
      <c r="I2406" s="37" t="s">
        <v>1544</v>
      </c>
    </row>
    <row r="2407" spans="1:9" s="8" customFormat="1">
      <c r="A2407" s="113"/>
      <c r="B2407" s="8" t="s">
        <v>1335</v>
      </c>
      <c r="C2407" s="284">
        <f>D2406</f>
        <v>356615</v>
      </c>
      <c r="D2407" s="284">
        <v>0</v>
      </c>
      <c r="E2407" s="284">
        <f t="shared" si="37"/>
        <v>0</v>
      </c>
      <c r="F2407" t="s">
        <v>10</v>
      </c>
      <c r="G2407" s="8" t="s">
        <v>94</v>
      </c>
      <c r="H2407" s="8" t="s">
        <v>5867</v>
      </c>
      <c r="I2407" s="37" t="s">
        <v>1544</v>
      </c>
    </row>
    <row r="2408" spans="1:9" s="8" customFormat="1">
      <c r="A2408" s="13">
        <v>45826</v>
      </c>
      <c r="B2408" s="8" t="s">
        <v>1966</v>
      </c>
      <c r="C2408" s="284">
        <v>0</v>
      </c>
      <c r="D2408" s="284">
        <v>275692</v>
      </c>
      <c r="E2408" s="284">
        <f t="shared" si="37"/>
        <v>275692</v>
      </c>
      <c r="F2408" s="8" t="s">
        <v>2140</v>
      </c>
      <c r="G2408" s="8" t="s">
        <v>2141</v>
      </c>
      <c r="H2408" s="154" t="s">
        <v>1445</v>
      </c>
      <c r="I2408" s="8" t="s">
        <v>1540</v>
      </c>
    </row>
    <row r="2409" spans="1:9" s="8" customFormat="1">
      <c r="A2409" s="113"/>
      <c r="B2409" s="8" t="s">
        <v>1966</v>
      </c>
      <c r="C2409" s="284">
        <f>D2408</f>
        <v>275692</v>
      </c>
      <c r="D2409" s="284">
        <v>0</v>
      </c>
      <c r="E2409" s="284">
        <f t="shared" si="37"/>
        <v>0</v>
      </c>
      <c r="F2409" t="s">
        <v>10</v>
      </c>
      <c r="G2409" s="8" t="s">
        <v>94</v>
      </c>
      <c r="H2409" s="8" t="s">
        <v>5867</v>
      </c>
      <c r="I2409" s="8" t="s">
        <v>1540</v>
      </c>
    </row>
    <row r="2410" spans="1:9" s="8" customFormat="1">
      <c r="A2410" s="113">
        <v>45888</v>
      </c>
      <c r="B2410" s="7" t="s">
        <v>2780</v>
      </c>
      <c r="C2410" s="284">
        <v>0</v>
      </c>
      <c r="D2410" s="284">
        <v>448602</v>
      </c>
      <c r="E2410" s="284">
        <f t="shared" si="37"/>
        <v>448602</v>
      </c>
      <c r="F2410" s="292" t="s">
        <v>2140</v>
      </c>
      <c r="G2410" s="8" t="s">
        <v>2141</v>
      </c>
      <c r="H2410" t="s">
        <v>2320</v>
      </c>
      <c r="I2410" s="8" t="s">
        <v>3397</v>
      </c>
    </row>
    <row r="2411" spans="1:9" s="8" customFormat="1">
      <c r="A2411" s="113"/>
      <c r="B2411" s="7" t="s">
        <v>2780</v>
      </c>
      <c r="C2411" s="284">
        <f>D2410</f>
        <v>448602</v>
      </c>
      <c r="D2411" s="284">
        <v>0</v>
      </c>
      <c r="E2411" s="284">
        <f t="shared" si="37"/>
        <v>0</v>
      </c>
      <c r="F2411" t="s">
        <v>10</v>
      </c>
      <c r="G2411" s="8" t="s">
        <v>94</v>
      </c>
      <c r="H2411" s="8" t="s">
        <v>5867</v>
      </c>
      <c r="I2411" s="8" t="s">
        <v>3397</v>
      </c>
    </row>
    <row r="2412" spans="1:9" s="8" customFormat="1">
      <c r="A2412" s="13">
        <v>45888</v>
      </c>
      <c r="B2412" s="8" t="s">
        <v>2781</v>
      </c>
      <c r="C2412" s="284">
        <v>0</v>
      </c>
      <c r="D2412" s="284">
        <v>598136</v>
      </c>
      <c r="E2412" s="284">
        <f t="shared" si="37"/>
        <v>598136</v>
      </c>
      <c r="F2412" s="8" t="s">
        <v>2140</v>
      </c>
      <c r="G2412" s="8" t="s">
        <v>2141</v>
      </c>
      <c r="H2412" s="8" t="s">
        <v>2320</v>
      </c>
      <c r="I2412" s="8" t="s">
        <v>3399</v>
      </c>
    </row>
    <row r="2413" spans="1:9" s="8" customFormat="1">
      <c r="A2413" s="113"/>
      <c r="B2413" s="8" t="s">
        <v>2781</v>
      </c>
      <c r="C2413" s="284">
        <f>D2412</f>
        <v>598136</v>
      </c>
      <c r="D2413" s="284">
        <v>0</v>
      </c>
      <c r="E2413" s="284">
        <f t="shared" si="37"/>
        <v>0</v>
      </c>
      <c r="F2413" t="s">
        <v>10</v>
      </c>
      <c r="G2413" s="8" t="s">
        <v>94</v>
      </c>
      <c r="H2413" s="8" t="s">
        <v>5867</v>
      </c>
      <c r="I2413" s="8" t="s">
        <v>3399</v>
      </c>
    </row>
    <row r="2414" spans="1:9" s="8" customFormat="1">
      <c r="A2414" s="13">
        <v>45898</v>
      </c>
      <c r="B2414" s="8" t="s">
        <v>2832</v>
      </c>
      <c r="C2414" s="284">
        <v>0</v>
      </c>
      <c r="D2414" s="284">
        <v>345715</v>
      </c>
      <c r="E2414" s="284">
        <f t="shared" si="37"/>
        <v>345715</v>
      </c>
      <c r="F2414" s="8" t="s">
        <v>2140</v>
      </c>
      <c r="G2414" s="8" t="s">
        <v>2141</v>
      </c>
      <c r="H2414" s="8" t="s">
        <v>2316</v>
      </c>
      <c r="I2414" s="8" t="s">
        <v>3446</v>
      </c>
    </row>
    <row r="2415" spans="1:9" s="8" customFormat="1">
      <c r="A2415" s="113"/>
      <c r="B2415" s="8" t="s">
        <v>2832</v>
      </c>
      <c r="C2415" s="284">
        <f>D2414</f>
        <v>345715</v>
      </c>
      <c r="D2415" s="284">
        <v>0</v>
      </c>
      <c r="E2415" s="284">
        <f t="shared" si="37"/>
        <v>0</v>
      </c>
      <c r="F2415" t="s">
        <v>10</v>
      </c>
      <c r="G2415" s="8" t="s">
        <v>94</v>
      </c>
      <c r="H2415" s="8" t="s">
        <v>5867</v>
      </c>
      <c r="I2415" s="8" t="s">
        <v>3446</v>
      </c>
    </row>
    <row r="2416" spans="1:9" s="8" customFormat="1">
      <c r="A2416" s="13">
        <v>45916</v>
      </c>
      <c r="B2416" s="8" t="s">
        <v>3498</v>
      </c>
      <c r="C2416" s="284">
        <v>0</v>
      </c>
      <c r="D2416" s="284">
        <v>1021802</v>
      </c>
      <c r="E2416" s="284">
        <f t="shared" si="37"/>
        <v>1021802</v>
      </c>
      <c r="F2416" t="s">
        <v>2140</v>
      </c>
      <c r="G2416" t="s">
        <v>2141</v>
      </c>
      <c r="H2416" t="s">
        <v>3232</v>
      </c>
      <c r="I2416" t="s">
        <v>3452</v>
      </c>
    </row>
    <row r="2417" spans="1:9" s="8" customFormat="1">
      <c r="A2417" s="113"/>
      <c r="B2417" s="8" t="s">
        <v>3498</v>
      </c>
      <c r="C2417" s="284">
        <f>D2416</f>
        <v>1021802</v>
      </c>
      <c r="D2417" s="284">
        <v>0</v>
      </c>
      <c r="E2417" s="284">
        <f t="shared" si="37"/>
        <v>0</v>
      </c>
      <c r="F2417" t="s">
        <v>10</v>
      </c>
      <c r="G2417" s="8" t="s">
        <v>94</v>
      </c>
      <c r="H2417" s="8" t="s">
        <v>5867</v>
      </c>
      <c r="I2417" t="s">
        <v>3452</v>
      </c>
    </row>
    <row r="2418" spans="1:9" s="8" customFormat="1">
      <c r="A2418" s="13">
        <v>45940</v>
      </c>
      <c r="B2418" s="8" t="s">
        <v>3839</v>
      </c>
      <c r="C2418" s="284">
        <v>0</v>
      </c>
      <c r="D2418" s="284">
        <v>37125</v>
      </c>
      <c r="E2418" s="284">
        <f t="shared" si="37"/>
        <v>37125</v>
      </c>
      <c r="F2418" t="s">
        <v>2140</v>
      </c>
      <c r="G2418" t="s">
        <v>2141</v>
      </c>
      <c r="H2418" s="8" t="s">
        <v>2316</v>
      </c>
      <c r="I2418" t="s">
        <v>3447</v>
      </c>
    </row>
    <row r="2419" spans="1:9" s="8" customFormat="1">
      <c r="A2419" s="113"/>
      <c r="B2419" s="8" t="s">
        <v>3839</v>
      </c>
      <c r="C2419" s="284">
        <f>D2418</f>
        <v>37125</v>
      </c>
      <c r="D2419" s="284">
        <v>0</v>
      </c>
      <c r="E2419" s="284">
        <f t="shared" si="37"/>
        <v>0</v>
      </c>
      <c r="F2419" t="s">
        <v>10</v>
      </c>
      <c r="G2419" s="8" t="s">
        <v>94</v>
      </c>
      <c r="H2419" s="8" t="s">
        <v>5867</v>
      </c>
      <c r="I2419" t="s">
        <v>3447</v>
      </c>
    </row>
    <row r="2420" spans="1:9" s="8" customFormat="1">
      <c r="A2420" s="113">
        <v>45951</v>
      </c>
      <c r="B2420" s="7" t="s">
        <v>3871</v>
      </c>
      <c r="C2420" s="284">
        <v>0</v>
      </c>
      <c r="D2420" s="284">
        <v>2548280</v>
      </c>
      <c r="E2420" s="284">
        <f t="shared" si="37"/>
        <v>2548280</v>
      </c>
      <c r="F2420" t="s">
        <v>2140</v>
      </c>
      <c r="G2420" s="8" t="s">
        <v>2141</v>
      </c>
      <c r="H2420" t="s">
        <v>3440</v>
      </c>
      <c r="I2420" s="8" t="s">
        <v>4072</v>
      </c>
    </row>
    <row r="2421" spans="1:9" s="8" customFormat="1">
      <c r="A2421" s="113"/>
      <c r="B2421" s="7" t="s">
        <v>3871</v>
      </c>
      <c r="C2421" s="284">
        <f>D2420</f>
        <v>2548280</v>
      </c>
      <c r="D2421" s="284">
        <v>0</v>
      </c>
      <c r="E2421" s="284">
        <f t="shared" si="37"/>
        <v>0</v>
      </c>
      <c r="F2421" t="s">
        <v>10</v>
      </c>
      <c r="G2421" s="8" t="s">
        <v>94</v>
      </c>
      <c r="H2421" s="8" t="s">
        <v>5867</v>
      </c>
      <c r="I2421" s="8" t="s">
        <v>4072</v>
      </c>
    </row>
    <row r="2422" spans="1:9" s="8" customFormat="1">
      <c r="A2422" s="13">
        <v>45953</v>
      </c>
      <c r="B2422" s="8" t="s">
        <v>3878</v>
      </c>
      <c r="C2422" s="284">
        <v>0</v>
      </c>
      <c r="D2422" s="284">
        <v>1</v>
      </c>
      <c r="E2422" s="284">
        <f t="shared" si="37"/>
        <v>1</v>
      </c>
      <c r="F2422" t="s">
        <v>1209</v>
      </c>
      <c r="G2422" t="s">
        <v>192</v>
      </c>
      <c r="H2422" s="8" t="s">
        <v>26</v>
      </c>
      <c r="I2422" t="s">
        <v>26</v>
      </c>
    </row>
    <row r="2423" spans="1:9" s="8" customFormat="1">
      <c r="A2423" s="113"/>
      <c r="B2423" s="8" t="s">
        <v>3878</v>
      </c>
      <c r="C2423" s="284">
        <v>1</v>
      </c>
      <c r="D2423" s="284">
        <v>0</v>
      </c>
      <c r="E2423" s="284">
        <f t="shared" si="37"/>
        <v>0</v>
      </c>
      <c r="F2423" t="s">
        <v>2140</v>
      </c>
      <c r="G2423" t="s">
        <v>2141</v>
      </c>
      <c r="H2423" s="8" t="s">
        <v>2316</v>
      </c>
      <c r="I2423" t="s">
        <v>3444</v>
      </c>
    </row>
    <row r="2424" spans="1:9" s="8" customFormat="1">
      <c r="A2424" s="13">
        <v>45996</v>
      </c>
      <c r="B2424" s="8" t="s">
        <v>5907</v>
      </c>
      <c r="C2424" s="284">
        <v>0</v>
      </c>
      <c r="D2424" s="284">
        <v>516843</v>
      </c>
      <c r="E2424" s="284">
        <f t="shared" si="37"/>
        <v>516843</v>
      </c>
      <c r="F2424" s="80" t="s">
        <v>2140</v>
      </c>
      <c r="G2424" s="80" t="s">
        <v>2141</v>
      </c>
      <c r="H2424" s="154" t="s">
        <v>2320</v>
      </c>
      <c r="I2424" s="37" t="s">
        <v>3462</v>
      </c>
    </row>
    <row r="2425" spans="1:9" s="8" customFormat="1">
      <c r="A2425" s="113"/>
      <c r="B2425" s="8" t="s">
        <v>5907</v>
      </c>
      <c r="C2425" s="284">
        <v>516843</v>
      </c>
      <c r="D2425" s="284">
        <v>0</v>
      </c>
      <c r="E2425" s="284">
        <f t="shared" si="37"/>
        <v>0</v>
      </c>
      <c r="F2425" t="s">
        <v>10</v>
      </c>
      <c r="G2425" s="8" t="s">
        <v>94</v>
      </c>
      <c r="H2425" s="8" t="s">
        <v>5867</v>
      </c>
      <c r="I2425" s="37" t="s">
        <v>3462</v>
      </c>
    </row>
    <row r="2426" spans="1:9" s="8" customFormat="1">
      <c r="A2426" s="13">
        <v>46003</v>
      </c>
      <c r="B2426" s="8" t="s">
        <v>6119</v>
      </c>
      <c r="C2426" s="284">
        <v>0</v>
      </c>
      <c r="D2426" s="284">
        <v>332800</v>
      </c>
      <c r="E2426" s="284">
        <f t="shared" si="37"/>
        <v>332800</v>
      </c>
      <c r="F2426" s="80" t="s">
        <v>2140</v>
      </c>
      <c r="G2426" s="80" t="s">
        <v>2141</v>
      </c>
      <c r="H2426" t="s">
        <v>5748</v>
      </c>
      <c r="I2426" t="s">
        <v>6122</v>
      </c>
    </row>
    <row r="2427" spans="1:9" s="8" customFormat="1">
      <c r="A2427" s="113"/>
      <c r="B2427" s="8" t="s">
        <v>6119</v>
      </c>
      <c r="C2427" s="284">
        <v>332800</v>
      </c>
      <c r="D2427" s="284">
        <v>0</v>
      </c>
      <c r="E2427" s="284">
        <f t="shared" si="37"/>
        <v>0</v>
      </c>
      <c r="F2427" t="s">
        <v>10</v>
      </c>
      <c r="G2427" s="8" t="s">
        <v>94</v>
      </c>
      <c r="H2427" s="8" t="s">
        <v>5867</v>
      </c>
      <c r="I2427" t="s">
        <v>6122</v>
      </c>
    </row>
    <row r="2428" spans="1:9" s="8" customFormat="1">
      <c r="A2428" s="5">
        <v>45721</v>
      </c>
      <c r="B2428" t="s">
        <v>1109</v>
      </c>
      <c r="C2428" s="288">
        <v>0</v>
      </c>
      <c r="D2428" s="288">
        <v>29279279</v>
      </c>
      <c r="E2428" s="284">
        <f t="shared" si="37"/>
        <v>29279279</v>
      </c>
      <c r="F2428" t="s">
        <v>2140</v>
      </c>
      <c r="G2428" t="s">
        <v>2141</v>
      </c>
      <c r="H2428" s="37" t="s">
        <v>1352</v>
      </c>
      <c r="I2428" s="37" t="s">
        <v>1480</v>
      </c>
    </row>
    <row r="2429" spans="1:9" s="8" customFormat="1">
      <c r="A2429" s="5"/>
      <c r="B2429" t="s">
        <v>1109</v>
      </c>
      <c r="C2429" s="296">
        <v>24774775</v>
      </c>
      <c r="D2429" s="288">
        <v>0</v>
      </c>
      <c r="E2429" s="284">
        <f t="shared" si="37"/>
        <v>4504504</v>
      </c>
      <c r="F2429" t="s">
        <v>920</v>
      </c>
      <c r="G2429" s="8" t="s">
        <v>7858</v>
      </c>
      <c r="H2429" t="s">
        <v>7218</v>
      </c>
      <c r="I2429" s="37" t="s">
        <v>1480</v>
      </c>
    </row>
    <row r="2430" spans="1:9" s="8" customFormat="1">
      <c r="A2430" s="5"/>
      <c r="B2430" t="s">
        <v>1109</v>
      </c>
      <c r="C2430" s="288">
        <v>4504504</v>
      </c>
      <c r="D2430" s="288">
        <v>0</v>
      </c>
      <c r="E2430" s="284">
        <f t="shared" si="37"/>
        <v>0</v>
      </c>
      <c r="F2430" t="s">
        <v>10</v>
      </c>
      <c r="G2430" s="8" t="s">
        <v>94</v>
      </c>
      <c r="H2430" s="8" t="s">
        <v>5867</v>
      </c>
      <c r="I2430" s="37" t="s">
        <v>1480</v>
      </c>
    </row>
    <row r="2431" spans="1:9" s="8" customFormat="1">
      <c r="A2431" s="5">
        <v>45737</v>
      </c>
      <c r="B2431" t="s">
        <v>2340</v>
      </c>
      <c r="C2431" s="288">
        <v>0</v>
      </c>
      <c r="D2431" s="288">
        <v>1407250</v>
      </c>
      <c r="E2431" s="284">
        <f t="shared" si="37"/>
        <v>1407250</v>
      </c>
      <c r="F2431" t="s">
        <v>2140</v>
      </c>
      <c r="G2431" t="s">
        <v>2141</v>
      </c>
      <c r="H2431" t="s">
        <v>919</v>
      </c>
      <c r="I2431" t="s">
        <v>2342</v>
      </c>
    </row>
    <row r="2432" spans="1:9" s="8" customFormat="1">
      <c r="A2432" s="5"/>
      <c r="B2432" t="s">
        <v>2340</v>
      </c>
      <c r="C2432" s="210">
        <v>1190750</v>
      </c>
      <c r="D2432" s="288">
        <v>0</v>
      </c>
      <c r="E2432" s="284">
        <f t="shared" si="37"/>
        <v>216500</v>
      </c>
      <c r="F2432" t="s">
        <v>920</v>
      </c>
      <c r="G2432" s="8" t="s">
        <v>7858</v>
      </c>
      <c r="H2432" t="s">
        <v>7218</v>
      </c>
      <c r="I2432" t="s">
        <v>2342</v>
      </c>
    </row>
    <row r="2433" spans="1:9" s="8" customFormat="1">
      <c r="A2433" s="5"/>
      <c r="B2433" t="s">
        <v>2340</v>
      </c>
      <c r="C2433" s="288">
        <v>216500</v>
      </c>
      <c r="D2433" s="288">
        <v>0</v>
      </c>
      <c r="E2433" s="284">
        <f t="shared" si="37"/>
        <v>0</v>
      </c>
      <c r="F2433" t="s">
        <v>10</v>
      </c>
      <c r="G2433" s="8" t="s">
        <v>94</v>
      </c>
      <c r="H2433" s="8" t="s">
        <v>5867</v>
      </c>
      <c r="I2433" t="s">
        <v>2342</v>
      </c>
    </row>
    <row r="2434" spans="1:9" s="8" customFormat="1">
      <c r="A2434" s="5">
        <v>45737</v>
      </c>
      <c r="B2434" t="s">
        <v>2340</v>
      </c>
      <c r="C2434" s="288">
        <v>0</v>
      </c>
      <c r="D2434" s="288">
        <v>1407250</v>
      </c>
      <c r="E2434" s="284">
        <f t="shared" si="37"/>
        <v>1407250</v>
      </c>
      <c r="F2434" t="s">
        <v>2140</v>
      </c>
      <c r="G2434" t="s">
        <v>2141</v>
      </c>
      <c r="H2434" t="s">
        <v>919</v>
      </c>
      <c r="I2434" t="s">
        <v>2341</v>
      </c>
    </row>
    <row r="2435" spans="1:9" s="8" customFormat="1">
      <c r="A2435" s="5"/>
      <c r="B2435" t="s">
        <v>2340</v>
      </c>
      <c r="C2435" s="210">
        <v>1190750</v>
      </c>
      <c r="D2435" s="288">
        <v>0</v>
      </c>
      <c r="E2435" s="284">
        <f t="shared" si="37"/>
        <v>216500</v>
      </c>
      <c r="F2435" t="s">
        <v>920</v>
      </c>
      <c r="G2435" s="8" t="s">
        <v>7858</v>
      </c>
      <c r="H2435" t="s">
        <v>7218</v>
      </c>
      <c r="I2435" t="s">
        <v>2341</v>
      </c>
    </row>
    <row r="2436" spans="1:9" s="8" customFormat="1">
      <c r="A2436" s="5"/>
      <c r="B2436" t="s">
        <v>2340</v>
      </c>
      <c r="C2436" s="288">
        <v>216500</v>
      </c>
      <c r="D2436" s="288">
        <v>0</v>
      </c>
      <c r="E2436" s="284">
        <f t="shared" si="37"/>
        <v>0</v>
      </c>
      <c r="F2436" t="s">
        <v>10</v>
      </c>
      <c r="G2436" s="8" t="s">
        <v>94</v>
      </c>
      <c r="H2436" s="8" t="s">
        <v>5867</v>
      </c>
      <c r="I2436" t="s">
        <v>2341</v>
      </c>
    </row>
    <row r="2437" spans="1:9" s="8" customFormat="1">
      <c r="A2437" s="5">
        <v>45758</v>
      </c>
      <c r="B2437" t="s">
        <v>423</v>
      </c>
      <c r="C2437" s="288">
        <v>0</v>
      </c>
      <c r="D2437" s="296">
        <v>1499968</v>
      </c>
      <c r="E2437" s="284">
        <f t="shared" si="37"/>
        <v>1499968</v>
      </c>
      <c r="F2437" t="s">
        <v>2140</v>
      </c>
      <c r="G2437" t="s">
        <v>2141</v>
      </c>
      <c r="H2437" s="146" t="s">
        <v>1593</v>
      </c>
      <c r="I2437" t="s">
        <v>2147</v>
      </c>
    </row>
    <row r="2438" spans="1:9" s="8" customFormat="1">
      <c r="A2438" s="5"/>
      <c r="B2438" t="s">
        <v>423</v>
      </c>
      <c r="C2438" s="210">
        <v>1269204</v>
      </c>
      <c r="D2438" s="288">
        <v>0</v>
      </c>
      <c r="E2438" s="284">
        <f t="shared" ref="E2438:E2501" si="38">E2437-C2438+D2438</f>
        <v>230764</v>
      </c>
      <c r="F2438" t="s">
        <v>920</v>
      </c>
      <c r="G2438" s="8" t="s">
        <v>7858</v>
      </c>
      <c r="H2438" t="s">
        <v>7218</v>
      </c>
      <c r="I2438" t="s">
        <v>2147</v>
      </c>
    </row>
    <row r="2439" spans="1:9" s="8" customFormat="1">
      <c r="A2439" s="5"/>
      <c r="B2439" t="s">
        <v>423</v>
      </c>
      <c r="C2439" s="288">
        <v>230764</v>
      </c>
      <c r="D2439" s="288">
        <v>0</v>
      </c>
      <c r="E2439" s="284">
        <f t="shared" si="38"/>
        <v>0</v>
      </c>
      <c r="F2439" t="s">
        <v>10</v>
      </c>
      <c r="G2439" s="8" t="s">
        <v>94</v>
      </c>
      <c r="H2439" s="8" t="s">
        <v>5867</v>
      </c>
      <c r="I2439" t="s">
        <v>2147</v>
      </c>
    </row>
    <row r="2440" spans="1:9" s="8" customFormat="1">
      <c r="A2440" s="5">
        <v>45764</v>
      </c>
      <c r="B2440" t="s">
        <v>423</v>
      </c>
      <c r="C2440" s="288">
        <v>0</v>
      </c>
      <c r="D2440" s="296">
        <v>1397500</v>
      </c>
      <c r="E2440" s="284">
        <f t="shared" si="38"/>
        <v>1397500</v>
      </c>
      <c r="F2440" t="s">
        <v>2140</v>
      </c>
      <c r="G2440" t="s">
        <v>2141</v>
      </c>
      <c r="H2440" s="154" t="s">
        <v>919</v>
      </c>
      <c r="I2440" s="37" t="s">
        <v>1511</v>
      </c>
    </row>
    <row r="2441" spans="1:9" s="8" customFormat="1">
      <c r="A2441" s="5"/>
      <c r="B2441" t="s">
        <v>423</v>
      </c>
      <c r="C2441" s="210">
        <v>1182500</v>
      </c>
      <c r="D2441" s="288">
        <v>0</v>
      </c>
      <c r="E2441" s="284">
        <f t="shared" si="38"/>
        <v>215000</v>
      </c>
      <c r="F2441" t="s">
        <v>920</v>
      </c>
      <c r="G2441" s="8" t="s">
        <v>7858</v>
      </c>
      <c r="H2441" t="s">
        <v>7218</v>
      </c>
      <c r="I2441" s="37" t="s">
        <v>1511</v>
      </c>
    </row>
    <row r="2442" spans="1:9" s="8" customFormat="1">
      <c r="A2442" s="5"/>
      <c r="B2442" t="s">
        <v>423</v>
      </c>
      <c r="C2442" s="288">
        <v>215000</v>
      </c>
      <c r="D2442" s="288">
        <v>0</v>
      </c>
      <c r="E2442" s="284">
        <f t="shared" si="38"/>
        <v>0</v>
      </c>
      <c r="F2442" t="s">
        <v>10</v>
      </c>
      <c r="G2442" s="8" t="s">
        <v>94</v>
      </c>
      <c r="H2442" s="8" t="s">
        <v>5867</v>
      </c>
      <c r="I2442" s="37" t="s">
        <v>1511</v>
      </c>
    </row>
    <row r="2443" spans="1:9" s="8" customFormat="1">
      <c r="A2443" s="5">
        <v>45768</v>
      </c>
      <c r="B2443" t="s">
        <v>423</v>
      </c>
      <c r="C2443" s="288">
        <v>0</v>
      </c>
      <c r="D2443" s="230">
        <v>164732</v>
      </c>
      <c r="E2443" s="284">
        <f t="shared" si="38"/>
        <v>164732</v>
      </c>
      <c r="F2443" t="s">
        <v>2140</v>
      </c>
      <c r="G2443" t="s">
        <v>2141</v>
      </c>
      <c r="H2443" s="146" t="s">
        <v>1417</v>
      </c>
      <c r="I2443" t="s">
        <v>2148</v>
      </c>
    </row>
    <row r="2444" spans="1:9" s="8" customFormat="1">
      <c r="A2444" s="5"/>
      <c r="B2444" t="s">
        <v>423</v>
      </c>
      <c r="C2444" s="230">
        <v>164732</v>
      </c>
      <c r="D2444" s="288">
        <v>0</v>
      </c>
      <c r="E2444" s="284">
        <f t="shared" si="38"/>
        <v>0</v>
      </c>
      <c r="F2444" t="s">
        <v>10</v>
      </c>
      <c r="G2444" s="8" t="s">
        <v>94</v>
      </c>
      <c r="H2444" s="8" t="s">
        <v>5867</v>
      </c>
      <c r="I2444" t="s">
        <v>2148</v>
      </c>
    </row>
    <row r="2445" spans="1:9" s="8" customFormat="1">
      <c r="A2445" s="5">
        <v>45771</v>
      </c>
      <c r="B2445" t="s">
        <v>2343</v>
      </c>
      <c r="C2445" s="288">
        <v>0</v>
      </c>
      <c r="D2445" s="230">
        <v>773100</v>
      </c>
      <c r="E2445" s="284">
        <f t="shared" si="38"/>
        <v>773100</v>
      </c>
      <c r="F2445" t="s">
        <v>2140</v>
      </c>
      <c r="G2445" t="s">
        <v>2141</v>
      </c>
      <c r="H2445" s="37" t="s">
        <v>1376</v>
      </c>
      <c r="I2445" s="37" t="s">
        <v>1537</v>
      </c>
    </row>
    <row r="2446" spans="1:9" s="8" customFormat="1">
      <c r="A2446" s="5"/>
      <c r="B2446" t="s">
        <v>2343</v>
      </c>
      <c r="C2446" s="230">
        <v>773100</v>
      </c>
      <c r="D2446" s="288">
        <v>0</v>
      </c>
      <c r="E2446" s="284">
        <f t="shared" si="38"/>
        <v>0</v>
      </c>
      <c r="F2446" t="s">
        <v>10</v>
      </c>
      <c r="G2446" s="8" t="s">
        <v>94</v>
      </c>
      <c r="H2446" s="8" t="s">
        <v>5867</v>
      </c>
      <c r="I2446" s="37" t="s">
        <v>1537</v>
      </c>
    </row>
    <row r="2447" spans="1:9" s="8" customFormat="1">
      <c r="A2447" s="5">
        <v>45771</v>
      </c>
      <c r="B2447" t="s">
        <v>2343</v>
      </c>
      <c r="C2447" s="288">
        <v>0</v>
      </c>
      <c r="D2447" s="230">
        <v>34172</v>
      </c>
      <c r="E2447" s="284">
        <f t="shared" si="38"/>
        <v>34172</v>
      </c>
      <c r="F2447" t="s">
        <v>2140</v>
      </c>
      <c r="G2447" t="s">
        <v>2141</v>
      </c>
      <c r="H2447" s="154" t="s">
        <v>1376</v>
      </c>
      <c r="I2447" s="37" t="s">
        <v>1538</v>
      </c>
    </row>
    <row r="2448" spans="1:9" s="8" customFormat="1">
      <c r="A2448" s="5"/>
      <c r="B2448" t="s">
        <v>2343</v>
      </c>
      <c r="C2448" s="230">
        <v>34172</v>
      </c>
      <c r="D2448" s="288">
        <v>0</v>
      </c>
      <c r="E2448" s="284">
        <f t="shared" si="38"/>
        <v>0</v>
      </c>
      <c r="F2448" t="s">
        <v>10</v>
      </c>
      <c r="G2448" s="8" t="s">
        <v>94</v>
      </c>
      <c r="H2448" s="8" t="s">
        <v>5867</v>
      </c>
      <c r="I2448" s="37" t="s">
        <v>1538</v>
      </c>
    </row>
    <row r="2449" spans="1:9" s="8" customFormat="1">
      <c r="A2449" s="5">
        <v>45771</v>
      </c>
      <c r="B2449" t="s">
        <v>2343</v>
      </c>
      <c r="C2449" s="288">
        <v>0</v>
      </c>
      <c r="D2449" s="230">
        <v>953413</v>
      </c>
      <c r="E2449" s="284">
        <f t="shared" si="38"/>
        <v>953413</v>
      </c>
      <c r="F2449" t="s">
        <v>2140</v>
      </c>
      <c r="G2449" t="s">
        <v>2141</v>
      </c>
      <c r="H2449" s="154" t="s">
        <v>1376</v>
      </c>
      <c r="I2449" s="37" t="s">
        <v>1542</v>
      </c>
    </row>
    <row r="2450" spans="1:9" s="8" customFormat="1">
      <c r="A2450" s="5"/>
      <c r="B2450" t="s">
        <v>2343</v>
      </c>
      <c r="C2450" s="230">
        <v>953413</v>
      </c>
      <c r="D2450" s="288">
        <v>0</v>
      </c>
      <c r="E2450" s="284">
        <f t="shared" si="38"/>
        <v>0</v>
      </c>
      <c r="F2450" t="s">
        <v>10</v>
      </c>
      <c r="G2450" s="8" t="s">
        <v>94</v>
      </c>
      <c r="H2450" s="8" t="s">
        <v>5867</v>
      </c>
      <c r="I2450" s="37" t="s">
        <v>1542</v>
      </c>
    </row>
    <row r="2451" spans="1:9" s="8" customFormat="1">
      <c r="A2451" s="5">
        <v>45779</v>
      </c>
      <c r="B2451" t="s">
        <v>1975</v>
      </c>
      <c r="C2451" s="288">
        <v>0</v>
      </c>
      <c r="D2451" s="296">
        <v>14184407</v>
      </c>
      <c r="E2451" s="284">
        <f t="shared" si="38"/>
        <v>14184407</v>
      </c>
      <c r="F2451" t="s">
        <v>2140</v>
      </c>
      <c r="G2451" t="s">
        <v>2141</v>
      </c>
      <c r="H2451" s="154" t="s">
        <v>1368</v>
      </c>
      <c r="I2451" s="37" t="s">
        <v>1514</v>
      </c>
    </row>
    <row r="2452" spans="1:9" s="8" customFormat="1">
      <c r="A2452" s="5"/>
      <c r="B2452" t="s">
        <v>1975</v>
      </c>
      <c r="C2452" s="296">
        <v>14184407</v>
      </c>
      <c r="D2452" s="288">
        <v>0</v>
      </c>
      <c r="E2452" s="284">
        <f t="shared" si="38"/>
        <v>0</v>
      </c>
      <c r="F2452" t="s">
        <v>10</v>
      </c>
      <c r="G2452" s="8" t="s">
        <v>94</v>
      </c>
      <c r="H2452" s="8" t="s">
        <v>5867</v>
      </c>
      <c r="I2452" s="37" t="s">
        <v>1514</v>
      </c>
    </row>
    <row r="2453" spans="1:9" s="8" customFormat="1">
      <c r="A2453" s="5">
        <v>45785</v>
      </c>
      <c r="B2453" t="s">
        <v>2344</v>
      </c>
      <c r="C2453" s="288">
        <v>0</v>
      </c>
      <c r="D2453" s="230">
        <v>104275</v>
      </c>
      <c r="E2453" s="284">
        <f t="shared" si="38"/>
        <v>104275</v>
      </c>
      <c r="F2453" t="s">
        <v>2140</v>
      </c>
      <c r="G2453" t="s">
        <v>2141</v>
      </c>
      <c r="H2453" s="154" t="s">
        <v>1376</v>
      </c>
      <c r="I2453" s="37" t="s">
        <v>1546</v>
      </c>
    </row>
    <row r="2454" spans="1:9" s="8" customFormat="1">
      <c r="A2454" s="5"/>
      <c r="B2454" t="s">
        <v>2344</v>
      </c>
      <c r="C2454" s="230">
        <v>104275</v>
      </c>
      <c r="D2454" s="288">
        <v>0</v>
      </c>
      <c r="E2454" s="284">
        <f t="shared" si="38"/>
        <v>0</v>
      </c>
      <c r="F2454" t="s">
        <v>10</v>
      </c>
      <c r="G2454" s="8" t="s">
        <v>94</v>
      </c>
      <c r="H2454" s="8" t="s">
        <v>5867</v>
      </c>
      <c r="I2454" s="37" t="s">
        <v>1546</v>
      </c>
    </row>
    <row r="2455" spans="1:9" s="8" customFormat="1">
      <c r="A2455" s="5">
        <v>45785</v>
      </c>
      <c r="B2455" t="s">
        <v>2344</v>
      </c>
      <c r="C2455" s="288">
        <v>0</v>
      </c>
      <c r="D2455" s="230">
        <v>408605</v>
      </c>
      <c r="E2455" s="284">
        <f t="shared" si="38"/>
        <v>408605</v>
      </c>
      <c r="F2455" t="s">
        <v>2140</v>
      </c>
      <c r="G2455" t="s">
        <v>2141</v>
      </c>
      <c r="H2455" s="154" t="s">
        <v>1376</v>
      </c>
      <c r="I2455" s="37" t="s">
        <v>2345</v>
      </c>
    </row>
    <row r="2456" spans="1:9" s="8" customFormat="1">
      <c r="A2456" s="5"/>
      <c r="B2456" t="s">
        <v>2344</v>
      </c>
      <c r="C2456" s="230">
        <v>408605</v>
      </c>
      <c r="D2456" s="288">
        <v>0</v>
      </c>
      <c r="E2456" s="284">
        <f t="shared" si="38"/>
        <v>0</v>
      </c>
      <c r="F2456" t="s">
        <v>10</v>
      </c>
      <c r="G2456" s="8" t="s">
        <v>94</v>
      </c>
      <c r="H2456" s="8" t="s">
        <v>5867</v>
      </c>
      <c r="I2456" s="37" t="s">
        <v>2345</v>
      </c>
    </row>
    <row r="2457" spans="1:9" s="8" customFormat="1">
      <c r="A2457" s="5">
        <v>45799</v>
      </c>
      <c r="B2457" t="s">
        <v>2346</v>
      </c>
      <c r="C2457" s="288">
        <v>0</v>
      </c>
      <c r="D2457" s="230">
        <v>160017</v>
      </c>
      <c r="E2457" s="284">
        <f t="shared" si="38"/>
        <v>160017</v>
      </c>
      <c r="F2457" s="80" t="s">
        <v>2140</v>
      </c>
      <c r="G2457" s="80" t="s">
        <v>2141</v>
      </c>
      <c r="H2457" s="37" t="s">
        <v>1376</v>
      </c>
      <c r="I2457" s="37" t="s">
        <v>1557</v>
      </c>
    </row>
    <row r="2458" spans="1:9" s="8" customFormat="1">
      <c r="A2458" s="5"/>
      <c r="B2458" t="s">
        <v>2346</v>
      </c>
      <c r="C2458" s="230">
        <v>160017</v>
      </c>
      <c r="D2458" s="288">
        <v>0</v>
      </c>
      <c r="E2458" s="284">
        <f t="shared" si="38"/>
        <v>0</v>
      </c>
      <c r="F2458" t="s">
        <v>10</v>
      </c>
      <c r="G2458" s="8" t="s">
        <v>94</v>
      </c>
      <c r="H2458" s="8" t="s">
        <v>5867</v>
      </c>
      <c r="I2458" s="37" t="s">
        <v>1557</v>
      </c>
    </row>
    <row r="2459" spans="1:9" s="8" customFormat="1">
      <c r="A2459" s="5">
        <v>45799</v>
      </c>
      <c r="B2459" t="s">
        <v>2346</v>
      </c>
      <c r="C2459" s="288">
        <v>0</v>
      </c>
      <c r="D2459" s="230">
        <v>140800</v>
      </c>
      <c r="E2459" s="284">
        <f t="shared" si="38"/>
        <v>140800</v>
      </c>
      <c r="F2459" s="80" t="s">
        <v>2140</v>
      </c>
      <c r="G2459" s="80" t="s">
        <v>2141</v>
      </c>
      <c r="H2459" s="37" t="s">
        <v>1376</v>
      </c>
      <c r="I2459" s="37" t="s">
        <v>1558</v>
      </c>
    </row>
    <row r="2460" spans="1:9" s="8" customFormat="1">
      <c r="A2460" s="5"/>
      <c r="B2460" t="s">
        <v>2346</v>
      </c>
      <c r="C2460" s="230">
        <v>140800</v>
      </c>
      <c r="D2460" s="288">
        <v>0</v>
      </c>
      <c r="E2460" s="284">
        <f t="shared" si="38"/>
        <v>0</v>
      </c>
      <c r="F2460" t="s">
        <v>10</v>
      </c>
      <c r="G2460" s="8" t="s">
        <v>94</v>
      </c>
      <c r="H2460" s="8" t="s">
        <v>5867</v>
      </c>
      <c r="I2460" s="37" t="s">
        <v>1558</v>
      </c>
    </row>
    <row r="2461" spans="1:9" s="8" customFormat="1">
      <c r="A2461" s="5">
        <v>45799</v>
      </c>
      <c r="B2461" t="s">
        <v>2346</v>
      </c>
      <c r="C2461" s="288">
        <v>0</v>
      </c>
      <c r="D2461" s="230">
        <v>23000</v>
      </c>
      <c r="E2461" s="284">
        <f t="shared" si="38"/>
        <v>23000</v>
      </c>
      <c r="F2461" s="80" t="s">
        <v>2140</v>
      </c>
      <c r="G2461" s="80" t="s">
        <v>2141</v>
      </c>
      <c r="H2461" s="37" t="s">
        <v>1376</v>
      </c>
      <c r="I2461" s="37" t="s">
        <v>1559</v>
      </c>
    </row>
    <row r="2462" spans="1:9" s="8" customFormat="1">
      <c r="A2462" s="5"/>
      <c r="B2462" t="s">
        <v>2346</v>
      </c>
      <c r="C2462" s="230">
        <v>23000</v>
      </c>
      <c r="D2462" s="288">
        <v>0</v>
      </c>
      <c r="E2462" s="284">
        <f t="shared" si="38"/>
        <v>0</v>
      </c>
      <c r="F2462" t="s">
        <v>10</v>
      </c>
      <c r="G2462" s="8" t="s">
        <v>94</v>
      </c>
      <c r="H2462" s="8" t="s">
        <v>5867</v>
      </c>
      <c r="I2462" s="37" t="s">
        <v>1559</v>
      </c>
    </row>
    <row r="2463" spans="1:9" s="8" customFormat="1">
      <c r="A2463" s="5">
        <v>45818</v>
      </c>
      <c r="B2463" t="s">
        <v>2071</v>
      </c>
      <c r="C2463" s="288">
        <v>0</v>
      </c>
      <c r="D2463" s="230">
        <v>12975668</v>
      </c>
      <c r="E2463" s="284">
        <f t="shared" si="38"/>
        <v>12975668</v>
      </c>
      <c r="F2463" t="s">
        <v>2140</v>
      </c>
      <c r="G2463" t="s">
        <v>2141</v>
      </c>
      <c r="H2463" s="154" t="s">
        <v>1622</v>
      </c>
      <c r="I2463" s="37" t="s">
        <v>2223</v>
      </c>
    </row>
    <row r="2464" spans="1:9" s="8" customFormat="1">
      <c r="A2464" s="5"/>
      <c r="B2464" t="s">
        <v>2071</v>
      </c>
      <c r="C2464" s="230">
        <v>12975668</v>
      </c>
      <c r="D2464" s="288">
        <v>0</v>
      </c>
      <c r="E2464" s="284">
        <f t="shared" si="38"/>
        <v>0</v>
      </c>
      <c r="F2464" t="s">
        <v>10</v>
      </c>
      <c r="G2464" s="8" t="s">
        <v>94</v>
      </c>
      <c r="H2464" s="8" t="s">
        <v>5867</v>
      </c>
      <c r="I2464" s="37" t="s">
        <v>2223</v>
      </c>
    </row>
    <row r="2465" spans="1:9" s="8" customFormat="1">
      <c r="A2465" s="5">
        <v>45821</v>
      </c>
      <c r="B2465" t="s">
        <v>2348</v>
      </c>
      <c r="C2465" s="288">
        <v>0</v>
      </c>
      <c r="D2465" s="288">
        <v>2180562</v>
      </c>
      <c r="E2465" s="284">
        <f t="shared" si="38"/>
        <v>2180562</v>
      </c>
      <c r="F2465" t="s">
        <v>2140</v>
      </c>
      <c r="G2465" t="s">
        <v>2141</v>
      </c>
      <c r="H2465" s="154" t="s">
        <v>1615</v>
      </c>
      <c r="I2465" s="37" t="s">
        <v>1554</v>
      </c>
    </row>
    <row r="2466" spans="1:9" s="8" customFormat="1">
      <c r="A2466" s="5"/>
      <c r="B2466" t="s">
        <v>2348</v>
      </c>
      <c r="C2466" s="296">
        <v>1845091</v>
      </c>
      <c r="D2466" s="288">
        <v>0</v>
      </c>
      <c r="E2466" s="284">
        <f t="shared" si="38"/>
        <v>335471</v>
      </c>
      <c r="F2466" t="s">
        <v>920</v>
      </c>
      <c r="G2466" s="8" t="s">
        <v>7858</v>
      </c>
      <c r="H2466" t="s">
        <v>7218</v>
      </c>
      <c r="I2466" s="37" t="s">
        <v>1554</v>
      </c>
    </row>
    <row r="2467" spans="1:9" s="8" customFormat="1">
      <c r="A2467" s="5"/>
      <c r="B2467" t="s">
        <v>2348</v>
      </c>
      <c r="C2467" s="288">
        <v>335471</v>
      </c>
      <c r="D2467" s="288">
        <v>0</v>
      </c>
      <c r="E2467" s="284">
        <f t="shared" si="38"/>
        <v>0</v>
      </c>
      <c r="F2467" t="s">
        <v>10</v>
      </c>
      <c r="G2467" s="8" t="s">
        <v>94</v>
      </c>
      <c r="H2467" s="8" t="s">
        <v>5867</v>
      </c>
      <c r="I2467" s="37" t="s">
        <v>1554</v>
      </c>
    </row>
    <row r="2468" spans="1:9" s="8" customFormat="1">
      <c r="A2468" s="5">
        <v>45821</v>
      </c>
      <c r="B2468" t="s">
        <v>2348</v>
      </c>
      <c r="C2468" s="288">
        <v>0</v>
      </c>
      <c r="D2468" s="288">
        <v>2509221</v>
      </c>
      <c r="E2468" s="284">
        <f t="shared" si="38"/>
        <v>2509221</v>
      </c>
      <c r="F2468" t="s">
        <v>2140</v>
      </c>
      <c r="G2468" t="s">
        <v>2141</v>
      </c>
      <c r="H2468" s="154" t="s">
        <v>1615</v>
      </c>
      <c r="I2468" s="37" t="s">
        <v>1555</v>
      </c>
    </row>
    <row r="2469" spans="1:9" s="8" customFormat="1">
      <c r="A2469" s="5"/>
      <c r="B2469" t="s">
        <v>2348</v>
      </c>
      <c r="C2469" s="296">
        <v>2123187</v>
      </c>
      <c r="D2469" s="288">
        <v>0</v>
      </c>
      <c r="E2469" s="284">
        <f t="shared" si="38"/>
        <v>386034</v>
      </c>
      <c r="F2469" t="s">
        <v>920</v>
      </c>
      <c r="G2469" s="8" t="s">
        <v>7858</v>
      </c>
      <c r="H2469" t="s">
        <v>7218</v>
      </c>
      <c r="I2469" s="37" t="s">
        <v>1555</v>
      </c>
    </row>
    <row r="2470" spans="1:9" s="8" customFormat="1">
      <c r="A2470" s="5"/>
      <c r="B2470" t="s">
        <v>2348</v>
      </c>
      <c r="C2470" s="288">
        <v>386034</v>
      </c>
      <c r="D2470" s="288">
        <v>0</v>
      </c>
      <c r="E2470" s="284">
        <f t="shared" si="38"/>
        <v>0</v>
      </c>
      <c r="F2470" t="s">
        <v>10</v>
      </c>
      <c r="G2470" s="8" t="s">
        <v>94</v>
      </c>
      <c r="H2470" s="8" t="s">
        <v>5867</v>
      </c>
      <c r="I2470" s="37" t="s">
        <v>1555</v>
      </c>
    </row>
    <row r="2471" spans="1:9" s="8" customFormat="1">
      <c r="A2471" s="5">
        <v>45821</v>
      </c>
      <c r="B2471" t="s">
        <v>2348</v>
      </c>
      <c r="C2471" s="288">
        <v>0</v>
      </c>
      <c r="D2471" s="230">
        <v>2427659</v>
      </c>
      <c r="E2471" s="284">
        <f t="shared" si="38"/>
        <v>2427659</v>
      </c>
      <c r="F2471" t="s">
        <v>2140</v>
      </c>
      <c r="G2471" t="s">
        <v>2141</v>
      </c>
      <c r="H2471" s="37" t="s">
        <v>1615</v>
      </c>
      <c r="I2471" s="37" t="s">
        <v>1556</v>
      </c>
    </row>
    <row r="2472" spans="1:9" s="8" customFormat="1">
      <c r="A2472" s="5"/>
      <c r="B2472" t="s">
        <v>2348</v>
      </c>
      <c r="C2472" s="210">
        <v>2054173</v>
      </c>
      <c r="D2472" s="288">
        <v>0</v>
      </c>
      <c r="E2472" s="284">
        <f t="shared" si="38"/>
        <v>373486</v>
      </c>
      <c r="F2472" t="s">
        <v>920</v>
      </c>
      <c r="G2472" s="8" t="s">
        <v>7858</v>
      </c>
      <c r="H2472" t="s">
        <v>7218</v>
      </c>
      <c r="I2472" s="37" t="s">
        <v>1556</v>
      </c>
    </row>
    <row r="2473" spans="1:9" s="8" customFormat="1">
      <c r="A2473" s="5"/>
      <c r="B2473" t="s">
        <v>2348</v>
      </c>
      <c r="C2473" s="288">
        <v>373486</v>
      </c>
      <c r="D2473" s="288">
        <v>0</v>
      </c>
      <c r="E2473" s="284">
        <f t="shared" si="38"/>
        <v>0</v>
      </c>
      <c r="F2473" t="s">
        <v>10</v>
      </c>
      <c r="G2473" s="8" t="s">
        <v>94</v>
      </c>
      <c r="H2473" s="8" t="s">
        <v>5867</v>
      </c>
      <c r="I2473" s="37" t="s">
        <v>1556</v>
      </c>
    </row>
    <row r="2474" spans="1:9" s="8" customFormat="1">
      <c r="A2474" s="5">
        <v>45831</v>
      </c>
      <c r="B2474" t="s">
        <v>1185</v>
      </c>
      <c r="C2474" s="288">
        <v>0</v>
      </c>
      <c r="D2474" s="230">
        <v>7150061</v>
      </c>
      <c r="E2474" s="284">
        <f t="shared" si="38"/>
        <v>7150061</v>
      </c>
      <c r="F2474" t="s">
        <v>2140</v>
      </c>
      <c r="G2474" t="s">
        <v>2141</v>
      </c>
      <c r="H2474" s="146" t="s">
        <v>2216</v>
      </c>
      <c r="I2474" t="s">
        <v>2149</v>
      </c>
    </row>
    <row r="2475" spans="1:9" s="8" customFormat="1">
      <c r="A2475" s="5"/>
      <c r="B2475" t="s">
        <v>1185</v>
      </c>
      <c r="C2475" s="296">
        <v>6050052</v>
      </c>
      <c r="D2475" s="288">
        <v>0</v>
      </c>
      <c r="E2475" s="284">
        <f t="shared" si="38"/>
        <v>1100009</v>
      </c>
      <c r="F2475" t="s">
        <v>920</v>
      </c>
      <c r="G2475" s="8" t="s">
        <v>7858</v>
      </c>
      <c r="H2475" t="s">
        <v>7218</v>
      </c>
      <c r="I2475" t="s">
        <v>2149</v>
      </c>
    </row>
    <row r="2476" spans="1:9" s="8" customFormat="1">
      <c r="A2476" s="5"/>
      <c r="B2476" t="s">
        <v>1185</v>
      </c>
      <c r="C2476" s="288">
        <v>1100009</v>
      </c>
      <c r="D2476" s="288">
        <v>0</v>
      </c>
      <c r="E2476" s="284">
        <f t="shared" si="38"/>
        <v>0</v>
      </c>
      <c r="F2476" t="s">
        <v>10</v>
      </c>
      <c r="G2476" s="8" t="s">
        <v>94</v>
      </c>
      <c r="H2476" s="8" t="s">
        <v>5867</v>
      </c>
      <c r="I2476" t="s">
        <v>2149</v>
      </c>
    </row>
    <row r="2477" spans="1:9" s="8" customFormat="1">
      <c r="A2477" s="5">
        <v>45832</v>
      </c>
      <c r="B2477" t="s">
        <v>2107</v>
      </c>
      <c r="C2477" s="288">
        <v>0</v>
      </c>
      <c r="D2477" s="288">
        <v>2695440</v>
      </c>
      <c r="E2477" s="284">
        <f t="shared" si="38"/>
        <v>2695440</v>
      </c>
      <c r="F2477" t="s">
        <v>2140</v>
      </c>
      <c r="G2477" t="s">
        <v>2141</v>
      </c>
      <c r="H2477" s="154" t="s">
        <v>1368</v>
      </c>
      <c r="I2477" s="37" t="s">
        <v>1523</v>
      </c>
    </row>
    <row r="2478" spans="1:9" s="8" customFormat="1">
      <c r="A2478" s="5"/>
      <c r="B2478" t="s">
        <v>2107</v>
      </c>
      <c r="C2478" s="288">
        <v>2693480</v>
      </c>
      <c r="D2478" s="288">
        <v>0</v>
      </c>
      <c r="E2478" s="284">
        <f t="shared" si="38"/>
        <v>1960</v>
      </c>
      <c r="F2478" t="s">
        <v>10</v>
      </c>
      <c r="G2478" s="8" t="s">
        <v>94</v>
      </c>
      <c r="H2478" s="8" t="s">
        <v>5867</v>
      </c>
      <c r="I2478" s="37" t="s">
        <v>1523</v>
      </c>
    </row>
    <row r="2479" spans="1:9" s="8" customFormat="1">
      <c r="A2479" s="218"/>
      <c r="B2479" s="40" t="s">
        <v>2107</v>
      </c>
      <c r="C2479" s="296">
        <v>1960</v>
      </c>
      <c r="D2479" s="296">
        <v>0</v>
      </c>
      <c r="E2479" s="284">
        <f t="shared" si="38"/>
        <v>0</v>
      </c>
      <c r="F2479" s="40" t="s">
        <v>1209</v>
      </c>
      <c r="G2479" s="8" t="s">
        <v>69</v>
      </c>
      <c r="H2479" s="37"/>
      <c r="I2479" s="37"/>
    </row>
    <row r="2480" spans="1:9" s="8" customFormat="1">
      <c r="A2480" s="5">
        <v>45833</v>
      </c>
      <c r="B2480" t="s">
        <v>2021</v>
      </c>
      <c r="C2480" s="288">
        <v>0</v>
      </c>
      <c r="D2480" s="288">
        <v>6487834</v>
      </c>
      <c r="E2480" s="284">
        <f t="shared" si="38"/>
        <v>6487834</v>
      </c>
      <c r="F2480" t="s">
        <v>2140</v>
      </c>
      <c r="G2480" t="s">
        <v>2141</v>
      </c>
      <c r="H2480" s="154" t="s">
        <v>1622</v>
      </c>
      <c r="I2480" s="37" t="s">
        <v>2232</v>
      </c>
    </row>
    <row r="2481" spans="1:9" s="8" customFormat="1">
      <c r="A2481" s="5"/>
      <c r="B2481" t="s">
        <v>2021</v>
      </c>
      <c r="C2481" s="288">
        <v>6487834</v>
      </c>
      <c r="D2481" s="288">
        <v>0</v>
      </c>
      <c r="E2481" s="284">
        <f t="shared" si="38"/>
        <v>0</v>
      </c>
      <c r="F2481" t="s">
        <v>10</v>
      </c>
      <c r="G2481" s="8" t="s">
        <v>94</v>
      </c>
      <c r="H2481" s="8" t="s">
        <v>5867</v>
      </c>
      <c r="I2481" s="37" t="s">
        <v>2232</v>
      </c>
    </row>
    <row r="2482" spans="1:9" s="8" customFormat="1">
      <c r="A2482" s="5">
        <v>45848</v>
      </c>
      <c r="B2482" t="s">
        <v>2354</v>
      </c>
      <c r="C2482" s="288">
        <v>0</v>
      </c>
      <c r="D2482" s="230">
        <v>2162631</v>
      </c>
      <c r="E2482" s="284">
        <f t="shared" si="38"/>
        <v>2162631</v>
      </c>
      <c r="F2482" t="s">
        <v>2140</v>
      </c>
      <c r="G2482" t="s">
        <v>2141</v>
      </c>
      <c r="H2482" s="154" t="s">
        <v>1622</v>
      </c>
      <c r="I2482" s="37" t="s">
        <v>2244</v>
      </c>
    </row>
    <row r="2483" spans="1:9" s="8" customFormat="1">
      <c r="A2483" s="5"/>
      <c r="B2483" t="s">
        <v>2354</v>
      </c>
      <c r="C2483" s="230">
        <v>2162631</v>
      </c>
      <c r="D2483" s="288">
        <v>0</v>
      </c>
      <c r="E2483" s="284">
        <f t="shared" si="38"/>
        <v>0</v>
      </c>
      <c r="F2483" t="s">
        <v>10</v>
      </c>
      <c r="G2483" s="8" t="s">
        <v>94</v>
      </c>
      <c r="H2483" s="8" t="s">
        <v>5867</v>
      </c>
      <c r="I2483" s="37" t="s">
        <v>2244</v>
      </c>
    </row>
    <row r="2484" spans="1:9" s="8" customFormat="1">
      <c r="A2484" s="5">
        <v>45859</v>
      </c>
      <c r="B2484" t="s">
        <v>382</v>
      </c>
      <c r="C2484" s="288">
        <v>0</v>
      </c>
      <c r="D2484" s="230">
        <v>6487544</v>
      </c>
      <c r="E2484" s="284">
        <f t="shared" si="38"/>
        <v>6487544</v>
      </c>
      <c r="F2484" t="s">
        <v>2140</v>
      </c>
      <c r="G2484" t="s">
        <v>2141</v>
      </c>
      <c r="H2484" t="s">
        <v>1633</v>
      </c>
      <c r="I2484" t="s">
        <v>2240</v>
      </c>
    </row>
    <row r="2485" spans="1:9" s="8" customFormat="1">
      <c r="A2485" s="5"/>
      <c r="B2485" t="s">
        <v>382</v>
      </c>
      <c r="C2485" s="210">
        <v>5489460</v>
      </c>
      <c r="D2485" s="288">
        <v>0</v>
      </c>
      <c r="E2485" s="284">
        <f t="shared" si="38"/>
        <v>998084</v>
      </c>
      <c r="F2485" t="s">
        <v>920</v>
      </c>
      <c r="G2485" s="8" t="s">
        <v>7858</v>
      </c>
      <c r="H2485" t="s">
        <v>7218</v>
      </c>
      <c r="I2485" t="s">
        <v>2240</v>
      </c>
    </row>
    <row r="2486" spans="1:9" s="8" customFormat="1">
      <c r="A2486" s="5"/>
      <c r="B2486" t="s">
        <v>382</v>
      </c>
      <c r="C2486" s="288">
        <v>998084</v>
      </c>
      <c r="D2486" s="288">
        <v>0</v>
      </c>
      <c r="E2486" s="284">
        <f t="shared" si="38"/>
        <v>0</v>
      </c>
      <c r="F2486" t="s">
        <v>10</v>
      </c>
      <c r="G2486" s="8" t="s">
        <v>94</v>
      </c>
      <c r="H2486" s="8" t="s">
        <v>5867</v>
      </c>
      <c r="I2486" t="s">
        <v>2240</v>
      </c>
    </row>
    <row r="2487" spans="1:9" s="8" customFormat="1">
      <c r="A2487" s="5">
        <v>45859</v>
      </c>
      <c r="B2487" t="s">
        <v>382</v>
      </c>
      <c r="C2487" s="288">
        <v>0</v>
      </c>
      <c r="D2487" s="288">
        <v>36613200</v>
      </c>
      <c r="E2487" s="284">
        <f t="shared" si="38"/>
        <v>36613200</v>
      </c>
      <c r="F2487" t="s">
        <v>2140</v>
      </c>
      <c r="G2487" t="s">
        <v>2141</v>
      </c>
      <c r="H2487" s="146" t="s">
        <v>2238</v>
      </c>
      <c r="I2487" s="37" t="s">
        <v>2237</v>
      </c>
    </row>
    <row r="2488" spans="1:9" s="8" customFormat="1">
      <c r="A2488" s="5"/>
      <c r="B2488" t="s">
        <v>382</v>
      </c>
      <c r="C2488" s="210">
        <v>30980400</v>
      </c>
      <c r="D2488" s="288">
        <v>0</v>
      </c>
      <c r="E2488" s="284">
        <f t="shared" si="38"/>
        <v>5632800</v>
      </c>
      <c r="F2488" t="s">
        <v>920</v>
      </c>
      <c r="G2488" s="8" t="s">
        <v>7858</v>
      </c>
      <c r="H2488" t="s">
        <v>7218</v>
      </c>
      <c r="I2488" s="37" t="s">
        <v>2237</v>
      </c>
    </row>
    <row r="2489" spans="1:9" s="8" customFormat="1">
      <c r="A2489" s="5"/>
      <c r="B2489" t="s">
        <v>382</v>
      </c>
      <c r="C2489" s="288">
        <v>5632800</v>
      </c>
      <c r="D2489" s="288">
        <v>0</v>
      </c>
      <c r="E2489" s="284">
        <f t="shared" si="38"/>
        <v>0</v>
      </c>
      <c r="F2489" t="s">
        <v>10</v>
      </c>
      <c r="G2489" s="8" t="s">
        <v>94</v>
      </c>
      <c r="H2489" s="8" t="s">
        <v>5867</v>
      </c>
      <c r="I2489" s="37" t="s">
        <v>2237</v>
      </c>
    </row>
    <row r="2490" spans="1:9" s="8" customFormat="1">
      <c r="A2490" s="5">
        <v>45863</v>
      </c>
      <c r="B2490" t="s">
        <v>2548</v>
      </c>
      <c r="C2490" s="288">
        <v>0</v>
      </c>
      <c r="D2490" s="288">
        <v>600000</v>
      </c>
      <c r="E2490" s="284">
        <f t="shared" si="38"/>
        <v>600000</v>
      </c>
      <c r="F2490" s="80" t="s">
        <v>2140</v>
      </c>
      <c r="G2490" s="80" t="s">
        <v>2141</v>
      </c>
      <c r="H2490" s="146" t="s">
        <v>1622</v>
      </c>
      <c r="I2490" s="37" t="s">
        <v>3384</v>
      </c>
    </row>
    <row r="2491" spans="1:9" s="8" customFormat="1">
      <c r="A2491" s="5"/>
      <c r="B2491" t="s">
        <v>2548</v>
      </c>
      <c r="C2491" s="230">
        <v>600000</v>
      </c>
      <c r="D2491" s="288">
        <v>0</v>
      </c>
      <c r="E2491" s="284">
        <f t="shared" si="38"/>
        <v>0</v>
      </c>
      <c r="F2491" t="s">
        <v>10</v>
      </c>
      <c r="G2491" s="8" t="s">
        <v>94</v>
      </c>
      <c r="H2491" s="8" t="s">
        <v>5867</v>
      </c>
      <c r="I2491" s="37" t="s">
        <v>3384</v>
      </c>
    </row>
    <row r="2492" spans="1:9" s="8" customFormat="1">
      <c r="A2492" s="5">
        <v>45863</v>
      </c>
      <c r="B2492" t="s">
        <v>2548</v>
      </c>
      <c r="C2492" s="288">
        <v>0</v>
      </c>
      <c r="D2492" s="230">
        <v>524000</v>
      </c>
      <c r="E2492" s="284">
        <f t="shared" si="38"/>
        <v>524000</v>
      </c>
      <c r="F2492" s="80" t="s">
        <v>2140</v>
      </c>
      <c r="G2492" s="80" t="s">
        <v>2141</v>
      </c>
      <c r="H2492" s="146" t="s">
        <v>1622</v>
      </c>
      <c r="I2492" s="37" t="s">
        <v>3390</v>
      </c>
    </row>
    <row r="2493" spans="1:9" s="8" customFormat="1">
      <c r="A2493" s="5"/>
      <c r="B2493" t="s">
        <v>2548</v>
      </c>
      <c r="C2493" s="230">
        <v>524000</v>
      </c>
      <c r="D2493" s="288">
        <v>0</v>
      </c>
      <c r="E2493" s="284">
        <f t="shared" si="38"/>
        <v>0</v>
      </c>
      <c r="F2493" t="s">
        <v>10</v>
      </c>
      <c r="G2493" s="8" t="s">
        <v>94</v>
      </c>
      <c r="H2493" s="8" t="s">
        <v>5867</v>
      </c>
      <c r="I2493" s="37" t="s">
        <v>3390</v>
      </c>
    </row>
    <row r="2494" spans="1:9" s="8" customFormat="1">
      <c r="A2494" s="5">
        <v>45863</v>
      </c>
      <c r="B2494" t="s">
        <v>2548</v>
      </c>
      <c r="C2494" s="288">
        <v>0</v>
      </c>
      <c r="D2494" s="288">
        <v>1348000</v>
      </c>
      <c r="E2494" s="284">
        <f t="shared" si="38"/>
        <v>1348000</v>
      </c>
      <c r="F2494" t="s">
        <v>2140</v>
      </c>
      <c r="G2494" s="8" t="s">
        <v>2141</v>
      </c>
      <c r="H2494" s="8" t="s">
        <v>1622</v>
      </c>
      <c r="I2494" s="37" t="s">
        <v>3392</v>
      </c>
    </row>
    <row r="2495" spans="1:9" s="8" customFormat="1">
      <c r="A2495" s="5"/>
      <c r="B2495" t="s">
        <v>2548</v>
      </c>
      <c r="C2495" s="288">
        <v>1348000</v>
      </c>
      <c r="D2495" s="288">
        <v>0</v>
      </c>
      <c r="E2495" s="284">
        <f t="shared" si="38"/>
        <v>0</v>
      </c>
      <c r="F2495" t="s">
        <v>10</v>
      </c>
      <c r="G2495" s="8" t="s">
        <v>94</v>
      </c>
      <c r="H2495" s="8" t="s">
        <v>5867</v>
      </c>
      <c r="I2495" s="37" t="s">
        <v>3392</v>
      </c>
    </row>
    <row r="2496" spans="1:9" s="8" customFormat="1">
      <c r="A2496" s="5">
        <v>45880</v>
      </c>
      <c r="B2496" t="s">
        <v>2876</v>
      </c>
      <c r="C2496" s="288">
        <v>0</v>
      </c>
      <c r="D2496" s="230">
        <v>126586</v>
      </c>
      <c r="E2496" s="284">
        <f t="shared" si="38"/>
        <v>126586</v>
      </c>
      <c r="F2496" t="s">
        <v>2140</v>
      </c>
      <c r="G2496" t="s">
        <v>2141</v>
      </c>
      <c r="H2496" s="154" t="s">
        <v>1452</v>
      </c>
      <c r="I2496" s="37" t="s">
        <v>2212</v>
      </c>
    </row>
    <row r="2497" spans="1:9" s="8" customFormat="1">
      <c r="A2497" s="5"/>
      <c r="B2497" t="s">
        <v>2571</v>
      </c>
      <c r="C2497" s="230">
        <v>126586</v>
      </c>
      <c r="D2497" s="288">
        <v>0</v>
      </c>
      <c r="E2497" s="284">
        <f t="shared" si="38"/>
        <v>0</v>
      </c>
      <c r="F2497" t="s">
        <v>10</v>
      </c>
      <c r="G2497" s="8" t="s">
        <v>94</v>
      </c>
      <c r="H2497" s="8" t="s">
        <v>5867</v>
      </c>
      <c r="I2497" s="37" t="s">
        <v>2212</v>
      </c>
    </row>
    <row r="2498" spans="1:9" s="8" customFormat="1">
      <c r="A2498" s="5">
        <v>45889</v>
      </c>
      <c r="B2498" t="s">
        <v>2894</v>
      </c>
      <c r="C2498" s="288">
        <v>0</v>
      </c>
      <c r="D2498" s="230">
        <v>75440119.099999994</v>
      </c>
      <c r="E2498" s="284">
        <f t="shared" si="38"/>
        <v>75440119.099999994</v>
      </c>
      <c r="F2498" t="s">
        <v>2140</v>
      </c>
      <c r="G2498" t="s">
        <v>2141</v>
      </c>
      <c r="H2498" s="146" t="s">
        <v>2326</v>
      </c>
      <c r="I2498" s="37" t="s">
        <v>3408</v>
      </c>
    </row>
    <row r="2499" spans="1:9" s="8" customFormat="1">
      <c r="A2499" s="5"/>
      <c r="B2499" t="s">
        <v>2894</v>
      </c>
      <c r="C2499" s="210">
        <v>74324324</v>
      </c>
      <c r="D2499" s="288">
        <v>0</v>
      </c>
      <c r="E2499" s="284">
        <f t="shared" si="38"/>
        <v>1115795.099999994</v>
      </c>
      <c r="F2499" t="s">
        <v>920</v>
      </c>
      <c r="G2499" s="8" t="s">
        <v>7858</v>
      </c>
      <c r="H2499" t="s">
        <v>7218</v>
      </c>
      <c r="I2499" s="37" t="s">
        <v>3408</v>
      </c>
    </row>
    <row r="2500" spans="1:9" s="8" customFormat="1">
      <c r="A2500" s="5"/>
      <c r="B2500" t="s">
        <v>2894</v>
      </c>
      <c r="C2500" s="288">
        <v>1115795</v>
      </c>
      <c r="D2500" s="288">
        <v>0</v>
      </c>
      <c r="E2500" s="284">
        <f t="shared" si="38"/>
        <v>9.9999994039535522E-2</v>
      </c>
      <c r="F2500" t="s">
        <v>10</v>
      </c>
      <c r="G2500" s="8" t="s">
        <v>94</v>
      </c>
      <c r="H2500" s="8" t="s">
        <v>5867</v>
      </c>
      <c r="I2500" s="37" t="s">
        <v>3408</v>
      </c>
    </row>
    <row r="2501" spans="1:9" s="8" customFormat="1">
      <c r="A2501" s="5"/>
      <c r="B2501" t="s">
        <v>2894</v>
      </c>
      <c r="C2501" s="288">
        <v>9.9999994039535522E-2</v>
      </c>
      <c r="D2501" s="288">
        <v>0</v>
      </c>
      <c r="E2501" s="284">
        <f t="shared" si="38"/>
        <v>0</v>
      </c>
      <c r="F2501" t="s">
        <v>1209</v>
      </c>
      <c r="G2501" s="8" t="s">
        <v>69</v>
      </c>
      <c r="H2501" s="37"/>
      <c r="I2501" s="37"/>
    </row>
    <row r="2502" spans="1:9" s="8" customFormat="1">
      <c r="A2502" s="5">
        <v>45891</v>
      </c>
      <c r="B2502" t="s">
        <v>423</v>
      </c>
      <c r="C2502" s="288">
        <v>0</v>
      </c>
      <c r="D2502" s="288">
        <v>3908406</v>
      </c>
      <c r="E2502" s="284">
        <f t="shared" ref="E2502:E2565" si="39">E2501-C2502+D2502</f>
        <v>3908406</v>
      </c>
      <c r="F2502" t="s">
        <v>2140</v>
      </c>
      <c r="G2502" s="8" t="s">
        <v>2141</v>
      </c>
      <c r="H2502" s="37" t="s">
        <v>2322</v>
      </c>
      <c r="I2502" s="37" t="s">
        <v>3382</v>
      </c>
    </row>
    <row r="2503" spans="1:9" s="8" customFormat="1">
      <c r="A2503" s="5"/>
      <c r="B2503" t="s">
        <v>423</v>
      </c>
      <c r="C2503" s="210">
        <v>3307113</v>
      </c>
      <c r="D2503" s="288">
        <v>0</v>
      </c>
      <c r="E2503" s="284">
        <f t="shared" si="39"/>
        <v>601293</v>
      </c>
      <c r="F2503" t="s">
        <v>920</v>
      </c>
      <c r="G2503" s="8" t="s">
        <v>7858</v>
      </c>
      <c r="H2503" t="s">
        <v>7218</v>
      </c>
      <c r="I2503" s="37" t="s">
        <v>3382</v>
      </c>
    </row>
    <row r="2504" spans="1:9" s="8" customFormat="1">
      <c r="A2504" s="5"/>
      <c r="B2504" t="s">
        <v>423</v>
      </c>
      <c r="C2504" s="288">
        <v>601293</v>
      </c>
      <c r="D2504" s="288">
        <v>0</v>
      </c>
      <c r="E2504" s="284">
        <f t="shared" si="39"/>
        <v>0</v>
      </c>
      <c r="F2504" t="s">
        <v>10</v>
      </c>
      <c r="G2504" s="8" t="s">
        <v>94</v>
      </c>
      <c r="H2504" s="8" t="s">
        <v>5867</v>
      </c>
      <c r="I2504" s="37" t="s">
        <v>3382</v>
      </c>
    </row>
    <row r="2505" spans="1:9" s="8" customFormat="1">
      <c r="A2505" s="218">
        <v>45891</v>
      </c>
      <c r="B2505" s="40" t="s">
        <v>2923</v>
      </c>
      <c r="C2505" s="296">
        <v>0</v>
      </c>
      <c r="D2505" s="230">
        <v>396000</v>
      </c>
      <c r="E2505" s="284">
        <f t="shared" si="39"/>
        <v>396000</v>
      </c>
      <c r="F2505" s="40" t="s">
        <v>2140</v>
      </c>
      <c r="G2505" s="40" t="s">
        <v>2141</v>
      </c>
      <c r="H2505" s="154" t="s">
        <v>1376</v>
      </c>
      <c r="I2505" s="37" t="s">
        <v>3429</v>
      </c>
    </row>
    <row r="2506" spans="1:9" s="8" customFormat="1">
      <c r="A2506" s="5"/>
      <c r="B2506" s="40" t="s">
        <v>2923</v>
      </c>
      <c r="C2506" s="230">
        <v>396000</v>
      </c>
      <c r="D2506" s="288">
        <v>0</v>
      </c>
      <c r="E2506" s="284">
        <f t="shared" si="39"/>
        <v>0</v>
      </c>
      <c r="F2506" t="s">
        <v>10</v>
      </c>
      <c r="G2506" s="8" t="s">
        <v>94</v>
      </c>
      <c r="H2506" s="8" t="s">
        <v>5867</v>
      </c>
      <c r="I2506" s="37" t="s">
        <v>3429</v>
      </c>
    </row>
    <row r="2507" spans="1:9" s="8" customFormat="1">
      <c r="A2507" s="218">
        <v>45891</v>
      </c>
      <c r="B2507" s="40" t="s">
        <v>2923</v>
      </c>
      <c r="C2507" s="296">
        <v>0</v>
      </c>
      <c r="D2507" s="230">
        <v>293427</v>
      </c>
      <c r="E2507" s="284">
        <f t="shared" si="39"/>
        <v>293427</v>
      </c>
      <c r="F2507" s="40" t="s">
        <v>2140</v>
      </c>
      <c r="G2507" s="40" t="s">
        <v>2141</v>
      </c>
      <c r="H2507" s="154" t="s">
        <v>1376</v>
      </c>
      <c r="I2507" s="37" t="s">
        <v>3434</v>
      </c>
    </row>
    <row r="2508" spans="1:9" s="8" customFormat="1">
      <c r="A2508" s="5"/>
      <c r="B2508" s="40" t="s">
        <v>2923</v>
      </c>
      <c r="C2508" s="230">
        <v>293427</v>
      </c>
      <c r="D2508" s="288">
        <v>0</v>
      </c>
      <c r="E2508" s="284">
        <f t="shared" si="39"/>
        <v>0</v>
      </c>
      <c r="F2508" t="s">
        <v>10</v>
      </c>
      <c r="G2508" s="8" t="s">
        <v>94</v>
      </c>
      <c r="H2508" s="8" t="s">
        <v>5867</v>
      </c>
      <c r="I2508" s="37" t="s">
        <v>3434</v>
      </c>
    </row>
    <row r="2509" spans="1:9" s="8" customFormat="1">
      <c r="A2509" s="218">
        <v>45891</v>
      </c>
      <c r="B2509" s="40" t="s">
        <v>2923</v>
      </c>
      <c r="C2509" s="296">
        <v>0</v>
      </c>
      <c r="D2509" s="296">
        <v>296286</v>
      </c>
      <c r="E2509" s="284">
        <f t="shared" si="39"/>
        <v>296286</v>
      </c>
      <c r="F2509" s="40" t="s">
        <v>2140</v>
      </c>
      <c r="G2509" s="40" t="s">
        <v>2141</v>
      </c>
      <c r="H2509" s="154" t="s">
        <v>1376</v>
      </c>
      <c r="I2509" s="37" t="s">
        <v>3436</v>
      </c>
    </row>
    <row r="2510" spans="1:9" s="8" customFormat="1">
      <c r="A2510" s="5"/>
      <c r="B2510" s="40" t="s">
        <v>2923</v>
      </c>
      <c r="C2510" s="296">
        <v>296286</v>
      </c>
      <c r="D2510" s="288">
        <v>0</v>
      </c>
      <c r="E2510" s="284">
        <f t="shared" si="39"/>
        <v>0</v>
      </c>
      <c r="F2510" t="s">
        <v>10</v>
      </c>
      <c r="G2510" s="8" t="s">
        <v>94</v>
      </c>
      <c r="H2510" s="8" t="s">
        <v>5867</v>
      </c>
      <c r="I2510" s="37" t="s">
        <v>3436</v>
      </c>
    </row>
    <row r="2511" spans="1:9" s="8" customFormat="1">
      <c r="A2511" s="5">
        <v>45894</v>
      </c>
      <c r="B2511" t="s">
        <v>2548</v>
      </c>
      <c r="C2511" s="288">
        <v>0</v>
      </c>
      <c r="D2511" s="288">
        <v>472726</v>
      </c>
      <c r="E2511" s="284">
        <f t="shared" si="39"/>
        <v>472726</v>
      </c>
      <c r="F2511" t="s">
        <v>2140</v>
      </c>
      <c r="G2511" t="s">
        <v>2141</v>
      </c>
      <c r="H2511" s="154" t="s">
        <v>1622</v>
      </c>
      <c r="I2511" t="s">
        <v>3412</v>
      </c>
    </row>
    <row r="2512" spans="1:9" s="8" customFormat="1">
      <c r="A2512" s="5"/>
      <c r="B2512" t="s">
        <v>2548</v>
      </c>
      <c r="C2512" s="288">
        <v>472726</v>
      </c>
      <c r="D2512" s="288">
        <v>0</v>
      </c>
      <c r="E2512" s="284">
        <f t="shared" si="39"/>
        <v>0</v>
      </c>
      <c r="F2512" t="s">
        <v>10</v>
      </c>
      <c r="G2512" s="8" t="s">
        <v>94</v>
      </c>
      <c r="H2512" s="8" t="s">
        <v>5867</v>
      </c>
      <c r="I2512" t="s">
        <v>3412</v>
      </c>
    </row>
    <row r="2513" spans="1:9" s="8" customFormat="1">
      <c r="A2513" s="5">
        <v>45894</v>
      </c>
      <c r="B2513" t="s">
        <v>2548</v>
      </c>
      <c r="C2513" s="288">
        <v>0</v>
      </c>
      <c r="D2513" s="230">
        <v>971850</v>
      </c>
      <c r="E2513" s="284">
        <f t="shared" si="39"/>
        <v>971850</v>
      </c>
      <c r="F2513" t="s">
        <v>2140</v>
      </c>
      <c r="G2513" t="s">
        <v>2141</v>
      </c>
      <c r="H2513" s="154" t="s">
        <v>1622</v>
      </c>
      <c r="I2513" t="s">
        <v>3417</v>
      </c>
    </row>
    <row r="2514" spans="1:9" s="8" customFormat="1">
      <c r="A2514" s="5"/>
      <c r="B2514" t="s">
        <v>2548</v>
      </c>
      <c r="C2514" s="230">
        <v>971850</v>
      </c>
      <c r="D2514" s="230">
        <v>0</v>
      </c>
      <c r="E2514" s="284">
        <f t="shared" si="39"/>
        <v>0</v>
      </c>
      <c r="F2514" t="s">
        <v>10</v>
      </c>
      <c r="G2514" s="8" t="s">
        <v>94</v>
      </c>
      <c r="H2514" s="8" t="s">
        <v>5867</v>
      </c>
      <c r="I2514" t="s">
        <v>3417</v>
      </c>
    </row>
    <row r="2515" spans="1:9" s="8" customFormat="1">
      <c r="A2515" s="5">
        <v>45894</v>
      </c>
      <c r="B2515" t="s">
        <v>2548</v>
      </c>
      <c r="C2515" s="288">
        <v>0</v>
      </c>
      <c r="D2515" s="230">
        <v>1829519</v>
      </c>
      <c r="E2515" s="284">
        <f t="shared" si="39"/>
        <v>1829519</v>
      </c>
      <c r="F2515" t="s">
        <v>2140</v>
      </c>
      <c r="G2515" t="s">
        <v>2141</v>
      </c>
      <c r="H2515" s="154" t="s">
        <v>1622</v>
      </c>
      <c r="I2515" t="s">
        <v>3421</v>
      </c>
    </row>
    <row r="2516" spans="1:9" s="8" customFormat="1">
      <c r="A2516" s="5"/>
      <c r="B2516" t="s">
        <v>2548</v>
      </c>
      <c r="C2516" s="230">
        <v>1829519</v>
      </c>
      <c r="D2516" s="288">
        <v>0</v>
      </c>
      <c r="E2516" s="284">
        <f t="shared" si="39"/>
        <v>0</v>
      </c>
      <c r="F2516" t="s">
        <v>10</v>
      </c>
      <c r="G2516" s="8" t="s">
        <v>94</v>
      </c>
      <c r="H2516" s="8" t="s">
        <v>5867</v>
      </c>
      <c r="I2516" t="s">
        <v>3421</v>
      </c>
    </row>
    <row r="2517" spans="1:9" s="8" customFormat="1">
      <c r="A2517" s="5">
        <v>45894</v>
      </c>
      <c r="B2517" t="s">
        <v>2548</v>
      </c>
      <c r="C2517" s="288">
        <v>0</v>
      </c>
      <c r="D2517" s="230">
        <v>377300</v>
      </c>
      <c r="E2517" s="284">
        <f t="shared" si="39"/>
        <v>377300</v>
      </c>
      <c r="F2517" t="s">
        <v>2140</v>
      </c>
      <c r="G2517" t="s">
        <v>2141</v>
      </c>
      <c r="H2517" s="154" t="s">
        <v>1622</v>
      </c>
      <c r="I2517" t="s">
        <v>3423</v>
      </c>
    </row>
    <row r="2518" spans="1:9" s="8" customFormat="1">
      <c r="A2518" s="5"/>
      <c r="B2518" t="s">
        <v>2548</v>
      </c>
      <c r="C2518" s="230">
        <v>377300</v>
      </c>
      <c r="D2518" s="288">
        <v>0</v>
      </c>
      <c r="E2518" s="284">
        <f t="shared" si="39"/>
        <v>0</v>
      </c>
      <c r="F2518" t="s">
        <v>10</v>
      </c>
      <c r="G2518" s="8" t="s">
        <v>94</v>
      </c>
      <c r="H2518" s="8" t="s">
        <v>5867</v>
      </c>
      <c r="I2518" t="s">
        <v>3423</v>
      </c>
    </row>
    <row r="2519" spans="1:9" s="8" customFormat="1">
      <c r="A2519" s="5">
        <v>45910</v>
      </c>
      <c r="B2519" t="s">
        <v>3528</v>
      </c>
      <c r="C2519" s="288">
        <v>0</v>
      </c>
      <c r="D2519" s="288">
        <v>479002</v>
      </c>
      <c r="E2519" s="284">
        <f t="shared" si="39"/>
        <v>479002</v>
      </c>
      <c r="F2519" s="80" t="s">
        <v>2140</v>
      </c>
      <c r="G2519" s="80" t="s">
        <v>2141</v>
      </c>
      <c r="H2519" s="154" t="s">
        <v>1622</v>
      </c>
      <c r="I2519" s="37" t="s">
        <v>3410</v>
      </c>
    </row>
    <row r="2520" spans="1:9" s="8" customFormat="1">
      <c r="A2520" s="5"/>
      <c r="B2520" t="s">
        <v>3528</v>
      </c>
      <c r="C2520" s="288">
        <v>479002</v>
      </c>
      <c r="D2520" s="288">
        <v>0</v>
      </c>
      <c r="E2520" s="284">
        <f t="shared" si="39"/>
        <v>0</v>
      </c>
      <c r="F2520" t="s">
        <v>10</v>
      </c>
      <c r="G2520" s="8" t="s">
        <v>94</v>
      </c>
      <c r="H2520" s="8" t="s">
        <v>5867</v>
      </c>
      <c r="I2520" s="37" t="s">
        <v>3410</v>
      </c>
    </row>
    <row r="2521" spans="1:9" s="8" customFormat="1">
      <c r="A2521" s="5">
        <v>45917</v>
      </c>
      <c r="B2521" t="s">
        <v>382</v>
      </c>
      <c r="C2521" s="288">
        <v>0</v>
      </c>
      <c r="D2521" s="288">
        <v>8235025</v>
      </c>
      <c r="E2521" s="284">
        <f t="shared" si="39"/>
        <v>8235025</v>
      </c>
      <c r="F2521" s="80" t="s">
        <v>2140</v>
      </c>
      <c r="G2521" s="80" t="s">
        <v>2141</v>
      </c>
      <c r="H2521" s="154" t="s">
        <v>2321</v>
      </c>
      <c r="I2521" s="37" t="s">
        <v>3442</v>
      </c>
    </row>
    <row r="2522" spans="1:9" s="8" customFormat="1">
      <c r="A2522" s="5"/>
      <c r="B2522" t="s">
        <v>382</v>
      </c>
      <c r="C2522" s="210">
        <v>6968098</v>
      </c>
      <c r="D2522" s="288">
        <v>0</v>
      </c>
      <c r="E2522" s="284">
        <f t="shared" si="39"/>
        <v>1266927</v>
      </c>
      <c r="F2522" t="s">
        <v>920</v>
      </c>
      <c r="G2522" s="8" t="s">
        <v>7858</v>
      </c>
      <c r="H2522" t="s">
        <v>7218</v>
      </c>
      <c r="I2522" s="37" t="s">
        <v>3442</v>
      </c>
    </row>
    <row r="2523" spans="1:9" s="8" customFormat="1">
      <c r="A2523" s="5"/>
      <c r="B2523" s="80" t="s">
        <v>382</v>
      </c>
      <c r="C2523" s="288">
        <v>1266927</v>
      </c>
      <c r="D2523" s="288">
        <v>0</v>
      </c>
      <c r="E2523" s="284">
        <f t="shared" si="39"/>
        <v>0</v>
      </c>
      <c r="F2523" t="s">
        <v>10</v>
      </c>
      <c r="G2523" s="8" t="s">
        <v>94</v>
      </c>
      <c r="H2523" s="8" t="s">
        <v>5867</v>
      </c>
      <c r="I2523" s="37" t="s">
        <v>3442</v>
      </c>
    </row>
    <row r="2524" spans="1:9" s="8" customFormat="1">
      <c r="A2524" s="218">
        <v>45923</v>
      </c>
      <c r="B2524" s="40" t="s">
        <v>3525</v>
      </c>
      <c r="C2524" s="296">
        <v>0</v>
      </c>
      <c r="D2524" s="296">
        <v>26159571</v>
      </c>
      <c r="E2524" s="284">
        <f t="shared" si="39"/>
        <v>26159571</v>
      </c>
      <c r="F2524" s="40" t="s">
        <v>2140</v>
      </c>
      <c r="G2524" s="40" t="s">
        <v>2141</v>
      </c>
      <c r="H2524" s="40" t="s">
        <v>3457</v>
      </c>
      <c r="I2524" s="40" t="s">
        <v>4060</v>
      </c>
    </row>
    <row r="2525" spans="1:9" s="8" customFormat="1">
      <c r="A2525" s="5"/>
      <c r="B2525" s="40" t="s">
        <v>3525</v>
      </c>
      <c r="C2525" s="296">
        <v>22135023</v>
      </c>
      <c r="D2525" s="288">
        <v>0</v>
      </c>
      <c r="E2525" s="284">
        <f t="shared" si="39"/>
        <v>4024548</v>
      </c>
      <c r="F2525" t="s">
        <v>920</v>
      </c>
      <c r="G2525" s="8" t="s">
        <v>7858</v>
      </c>
      <c r="H2525" t="s">
        <v>7218</v>
      </c>
      <c r="I2525" s="40" t="s">
        <v>4060</v>
      </c>
    </row>
    <row r="2526" spans="1:9" s="8" customFormat="1">
      <c r="A2526" s="5"/>
      <c r="B2526" s="40" t="s">
        <v>3525</v>
      </c>
      <c r="C2526" s="288">
        <v>4024548</v>
      </c>
      <c r="D2526" s="288">
        <v>0</v>
      </c>
      <c r="E2526" s="284">
        <f t="shared" si="39"/>
        <v>0</v>
      </c>
      <c r="F2526" t="s">
        <v>10</v>
      </c>
      <c r="G2526" s="8" t="s">
        <v>94</v>
      </c>
      <c r="H2526" s="8" t="s">
        <v>5867</v>
      </c>
      <c r="I2526" s="40" t="s">
        <v>4060</v>
      </c>
    </row>
    <row r="2527" spans="1:9" s="8" customFormat="1">
      <c r="A2527" s="218">
        <v>45929</v>
      </c>
      <c r="B2527" s="40" t="s">
        <v>3573</v>
      </c>
      <c r="C2527" s="50">
        <v>0</v>
      </c>
      <c r="D2527" s="50">
        <v>2312631</v>
      </c>
      <c r="E2527" s="284">
        <f t="shared" si="39"/>
        <v>2312631</v>
      </c>
      <c r="F2527" s="40" t="s">
        <v>2140</v>
      </c>
      <c r="G2527" s="40" t="s">
        <v>2141</v>
      </c>
      <c r="H2527" s="40" t="s">
        <v>2313</v>
      </c>
      <c r="I2527" s="40" t="s">
        <v>2312</v>
      </c>
    </row>
    <row r="2528" spans="1:9" s="8" customFormat="1">
      <c r="A2528" s="5"/>
      <c r="B2528" s="40" t="s">
        <v>3573</v>
      </c>
      <c r="C2528" s="288">
        <v>2312631</v>
      </c>
      <c r="D2528" s="288">
        <v>0</v>
      </c>
      <c r="E2528" s="284">
        <f t="shared" si="39"/>
        <v>0</v>
      </c>
      <c r="F2528" t="s">
        <v>10</v>
      </c>
      <c r="G2528" s="8" t="s">
        <v>94</v>
      </c>
      <c r="H2528" s="8" t="s">
        <v>5867</v>
      </c>
      <c r="I2528" s="40" t="s">
        <v>2312</v>
      </c>
    </row>
    <row r="2529" spans="1:9" s="8" customFormat="1">
      <c r="A2529" s="5">
        <v>45931</v>
      </c>
      <c r="B2529" t="s">
        <v>338</v>
      </c>
      <c r="C2529" s="288">
        <v>0</v>
      </c>
      <c r="D2529" s="288">
        <v>5304590</v>
      </c>
      <c r="E2529" s="284">
        <f t="shared" si="39"/>
        <v>5304590</v>
      </c>
      <c r="F2529" s="80" t="s">
        <v>2140</v>
      </c>
      <c r="G2529" s="80" t="s">
        <v>2141</v>
      </c>
      <c r="H2529" t="s">
        <v>3460</v>
      </c>
      <c r="I2529" t="s">
        <v>3459</v>
      </c>
    </row>
    <row r="2530" spans="1:9" s="8" customFormat="1">
      <c r="A2530" s="5"/>
      <c r="B2530" t="s">
        <v>338</v>
      </c>
      <c r="C2530" s="296">
        <v>4488499</v>
      </c>
      <c r="D2530" s="288">
        <v>0</v>
      </c>
      <c r="E2530" s="284">
        <f t="shared" si="39"/>
        <v>816091</v>
      </c>
      <c r="F2530" t="s">
        <v>920</v>
      </c>
      <c r="G2530" s="8" t="s">
        <v>7858</v>
      </c>
      <c r="H2530" t="s">
        <v>7218</v>
      </c>
      <c r="I2530" t="s">
        <v>3459</v>
      </c>
    </row>
    <row r="2531" spans="1:9" s="8" customFormat="1">
      <c r="A2531" s="5"/>
      <c r="B2531" t="s">
        <v>338</v>
      </c>
      <c r="C2531" s="288">
        <v>816091</v>
      </c>
      <c r="D2531" s="288">
        <v>0</v>
      </c>
      <c r="E2531" s="284">
        <f t="shared" si="39"/>
        <v>0</v>
      </c>
      <c r="F2531" t="s">
        <v>10</v>
      </c>
      <c r="G2531" s="8" t="s">
        <v>94</v>
      </c>
      <c r="H2531" s="8" t="s">
        <v>5867</v>
      </c>
      <c r="I2531" t="s">
        <v>3459</v>
      </c>
    </row>
    <row r="2532" spans="1:9" s="8" customFormat="1">
      <c r="A2532" s="218">
        <v>45947</v>
      </c>
      <c r="B2532" s="40" t="s">
        <v>3685</v>
      </c>
      <c r="C2532" s="296">
        <v>0</v>
      </c>
      <c r="D2532" s="296">
        <v>7651738</v>
      </c>
      <c r="E2532" s="284">
        <f t="shared" si="39"/>
        <v>7651738</v>
      </c>
      <c r="F2532" s="40" t="s">
        <v>2140</v>
      </c>
      <c r="G2532" s="40" t="s">
        <v>2141</v>
      </c>
      <c r="H2532" s="154" t="s">
        <v>3280</v>
      </c>
      <c r="I2532" s="40" t="s">
        <v>4065</v>
      </c>
    </row>
    <row r="2533" spans="1:9" s="8" customFormat="1">
      <c r="A2533" s="5"/>
      <c r="B2533" s="40" t="s">
        <v>3685</v>
      </c>
      <c r="C2533" s="210">
        <v>6474548</v>
      </c>
      <c r="D2533" s="288">
        <v>0</v>
      </c>
      <c r="E2533" s="284">
        <f t="shared" si="39"/>
        <v>1177190</v>
      </c>
      <c r="F2533" t="s">
        <v>920</v>
      </c>
      <c r="G2533" s="8" t="s">
        <v>7858</v>
      </c>
      <c r="H2533" t="s">
        <v>7218</v>
      </c>
      <c r="I2533" s="40" t="s">
        <v>4065</v>
      </c>
    </row>
    <row r="2534" spans="1:9" s="8" customFormat="1">
      <c r="A2534" s="5"/>
      <c r="B2534" s="40" t="s">
        <v>3685</v>
      </c>
      <c r="C2534" s="288">
        <v>1177190</v>
      </c>
      <c r="D2534" s="288">
        <v>0</v>
      </c>
      <c r="E2534" s="284">
        <f t="shared" si="39"/>
        <v>0</v>
      </c>
      <c r="F2534" t="s">
        <v>10</v>
      </c>
      <c r="G2534" s="8" t="s">
        <v>94</v>
      </c>
      <c r="H2534" s="8" t="s">
        <v>5867</v>
      </c>
      <c r="I2534" s="40" t="s">
        <v>4065</v>
      </c>
    </row>
    <row r="2535" spans="1:9" s="8" customFormat="1">
      <c r="A2535" s="218">
        <v>45960</v>
      </c>
      <c r="B2535" s="40" t="s">
        <v>4012</v>
      </c>
      <c r="C2535" s="296">
        <v>0</v>
      </c>
      <c r="D2535" s="296">
        <v>15176559</v>
      </c>
      <c r="E2535" s="284">
        <f t="shared" si="39"/>
        <v>15176559</v>
      </c>
      <c r="F2535" s="40" t="s">
        <v>2140</v>
      </c>
      <c r="G2535" s="40" t="s">
        <v>2141</v>
      </c>
      <c r="H2535" s="40" t="s">
        <v>3334</v>
      </c>
      <c r="I2535" s="40" t="s">
        <v>4069</v>
      </c>
    </row>
    <row r="2536" spans="1:9" s="8" customFormat="1">
      <c r="A2536" s="5"/>
      <c r="B2536" s="40" t="s">
        <v>4012</v>
      </c>
      <c r="C2536" s="288">
        <v>15176559</v>
      </c>
      <c r="D2536" s="288">
        <v>0</v>
      </c>
      <c r="E2536" s="284">
        <f t="shared" si="39"/>
        <v>0</v>
      </c>
      <c r="F2536" t="s">
        <v>10</v>
      </c>
      <c r="G2536" s="8" t="s">
        <v>94</v>
      </c>
      <c r="H2536" s="8" t="s">
        <v>5867</v>
      </c>
      <c r="I2536" s="40" t="s">
        <v>4069</v>
      </c>
    </row>
    <row r="2537" spans="1:9" s="8" customFormat="1">
      <c r="A2537" s="5">
        <v>45968</v>
      </c>
      <c r="B2537" s="40" t="s">
        <v>4103</v>
      </c>
      <c r="C2537" s="288">
        <v>0</v>
      </c>
      <c r="D2537" s="288">
        <v>102099305</v>
      </c>
      <c r="E2537" s="284">
        <f t="shared" si="39"/>
        <v>102099305</v>
      </c>
      <c r="F2537" t="s">
        <v>2140</v>
      </c>
      <c r="G2537" s="8" t="s">
        <v>2141</v>
      </c>
      <c r="H2537" s="37" t="s">
        <v>2326</v>
      </c>
      <c r="I2537" s="37" t="s">
        <v>4040</v>
      </c>
    </row>
    <row r="2538" spans="1:9" s="8" customFormat="1">
      <c r="A2538" s="5"/>
      <c r="B2538" s="40" t="s">
        <v>4103</v>
      </c>
      <c r="C2538" s="296">
        <v>86391721</v>
      </c>
      <c r="D2538" s="288">
        <v>0</v>
      </c>
      <c r="E2538" s="284">
        <f t="shared" si="39"/>
        <v>15707584</v>
      </c>
      <c r="F2538" t="s">
        <v>920</v>
      </c>
      <c r="G2538" s="8" t="s">
        <v>7858</v>
      </c>
      <c r="H2538" t="s">
        <v>7218</v>
      </c>
      <c r="I2538" s="37" t="s">
        <v>4040</v>
      </c>
    </row>
    <row r="2539" spans="1:9" s="8" customFormat="1">
      <c r="A2539" s="5"/>
      <c r="B2539" s="40" t="s">
        <v>4103</v>
      </c>
      <c r="C2539" s="288">
        <v>15707584</v>
      </c>
      <c r="D2539" s="288">
        <v>0</v>
      </c>
      <c r="E2539" s="284">
        <f t="shared" si="39"/>
        <v>0</v>
      </c>
      <c r="F2539" t="s">
        <v>10</v>
      </c>
      <c r="G2539" s="8" t="s">
        <v>94</v>
      </c>
      <c r="H2539" s="8" t="s">
        <v>5867</v>
      </c>
      <c r="I2539" s="37" t="s">
        <v>4040</v>
      </c>
    </row>
    <row r="2540" spans="1:9" s="8" customFormat="1">
      <c r="A2540" s="218">
        <v>45982</v>
      </c>
      <c r="B2540" s="40" t="s">
        <v>4161</v>
      </c>
      <c r="C2540" s="296">
        <v>0</v>
      </c>
      <c r="D2540" s="296">
        <v>3593319</v>
      </c>
      <c r="E2540" s="284">
        <f t="shared" si="39"/>
        <v>3593319</v>
      </c>
      <c r="F2540" s="40" t="s">
        <v>2140</v>
      </c>
      <c r="G2540" s="40" t="s">
        <v>2141</v>
      </c>
      <c r="H2540" s="40" t="s">
        <v>3135</v>
      </c>
      <c r="I2540" s="40" t="s">
        <v>4075</v>
      </c>
    </row>
    <row r="2541" spans="1:9" s="8" customFormat="1">
      <c r="A2541" s="5"/>
      <c r="B2541" s="40" t="s">
        <v>4161</v>
      </c>
      <c r="C2541" s="296">
        <v>3040501</v>
      </c>
      <c r="D2541" s="288">
        <v>0</v>
      </c>
      <c r="E2541" s="284">
        <f t="shared" si="39"/>
        <v>552818</v>
      </c>
      <c r="F2541" t="s">
        <v>920</v>
      </c>
      <c r="G2541" s="8" t="s">
        <v>7858</v>
      </c>
      <c r="H2541" t="s">
        <v>7218</v>
      </c>
      <c r="I2541" s="40" t="s">
        <v>4075</v>
      </c>
    </row>
    <row r="2542" spans="1:9" s="8" customFormat="1">
      <c r="A2542" s="5"/>
      <c r="B2542" s="40" t="s">
        <v>4161</v>
      </c>
      <c r="C2542" s="288">
        <v>552818</v>
      </c>
      <c r="D2542" s="288">
        <v>0</v>
      </c>
      <c r="E2542" s="284">
        <f t="shared" si="39"/>
        <v>0</v>
      </c>
      <c r="F2542" t="s">
        <v>10</v>
      </c>
      <c r="G2542" s="8" t="s">
        <v>94</v>
      </c>
      <c r="H2542" s="8" t="s">
        <v>5867</v>
      </c>
      <c r="I2542" s="40" t="s">
        <v>4075</v>
      </c>
    </row>
    <row r="2543" spans="1:9" s="8" customFormat="1">
      <c r="A2543" s="218">
        <v>45986</v>
      </c>
      <c r="B2543" s="40" t="s">
        <v>4667</v>
      </c>
      <c r="C2543" s="296">
        <v>0</v>
      </c>
      <c r="D2543" s="296">
        <v>130000000</v>
      </c>
      <c r="E2543" s="284">
        <f t="shared" si="39"/>
        <v>130000000</v>
      </c>
      <c r="F2543" s="40" t="s">
        <v>2140</v>
      </c>
      <c r="G2543" s="40" t="s">
        <v>2141</v>
      </c>
      <c r="H2543" s="154" t="s">
        <v>1352</v>
      </c>
      <c r="I2543" s="37" t="s">
        <v>5839</v>
      </c>
    </row>
    <row r="2544" spans="1:9" s="8" customFormat="1">
      <c r="A2544" s="5"/>
      <c r="B2544" s="40" t="s">
        <v>4667</v>
      </c>
      <c r="C2544" s="296">
        <v>110000000</v>
      </c>
      <c r="D2544" s="288">
        <v>0</v>
      </c>
      <c r="E2544" s="284">
        <f t="shared" si="39"/>
        <v>20000000</v>
      </c>
      <c r="F2544" t="s">
        <v>920</v>
      </c>
      <c r="G2544" s="8" t="s">
        <v>7858</v>
      </c>
      <c r="H2544" t="s">
        <v>7218</v>
      </c>
      <c r="I2544" s="37" t="s">
        <v>5839</v>
      </c>
    </row>
    <row r="2545" spans="1:9" s="8" customFormat="1">
      <c r="A2545" s="5"/>
      <c r="B2545" s="40" t="s">
        <v>4667</v>
      </c>
      <c r="C2545" s="288">
        <v>20000000</v>
      </c>
      <c r="D2545" s="288">
        <v>0</v>
      </c>
      <c r="E2545" s="284">
        <f t="shared" si="39"/>
        <v>0</v>
      </c>
      <c r="F2545" t="s">
        <v>10</v>
      </c>
      <c r="G2545" s="8" t="s">
        <v>94</v>
      </c>
      <c r="H2545" s="8" t="s">
        <v>5867</v>
      </c>
      <c r="I2545" s="37" t="s">
        <v>5839</v>
      </c>
    </row>
    <row r="2546" spans="1:9" s="8" customFormat="1">
      <c r="A2546" s="13">
        <v>45993</v>
      </c>
      <c r="B2546" s="8" t="s">
        <v>5868</v>
      </c>
      <c r="C2546" s="284">
        <v>0</v>
      </c>
      <c r="D2546" s="284">
        <v>100242534</v>
      </c>
      <c r="E2546" s="284">
        <f t="shared" si="39"/>
        <v>100242534</v>
      </c>
      <c r="F2546" s="8" t="s">
        <v>2140</v>
      </c>
      <c r="G2546" s="8" t="s">
        <v>2141</v>
      </c>
      <c r="H2546" s="154" t="s">
        <v>4080</v>
      </c>
      <c r="I2546" s="37" t="s">
        <v>4079</v>
      </c>
    </row>
    <row r="2547" spans="1:9" s="8" customFormat="1">
      <c r="A2547" s="5"/>
      <c r="B2547" s="8" t="s">
        <v>5868</v>
      </c>
      <c r="C2547" s="296">
        <v>84820607</v>
      </c>
      <c r="D2547" s="288">
        <v>0</v>
      </c>
      <c r="E2547" s="284">
        <f t="shared" si="39"/>
        <v>15421927</v>
      </c>
      <c r="F2547" t="s">
        <v>920</v>
      </c>
      <c r="G2547" s="8" t="s">
        <v>7858</v>
      </c>
      <c r="H2547" t="s">
        <v>7218</v>
      </c>
      <c r="I2547" s="37" t="s">
        <v>4079</v>
      </c>
    </row>
    <row r="2548" spans="1:9" s="8" customFormat="1">
      <c r="A2548" s="5"/>
      <c r="B2548" s="8" t="s">
        <v>5868</v>
      </c>
      <c r="C2548" s="288">
        <v>15421927</v>
      </c>
      <c r="D2548" s="288">
        <v>0</v>
      </c>
      <c r="E2548" s="284">
        <f t="shared" si="39"/>
        <v>0</v>
      </c>
      <c r="F2548" t="s">
        <v>10</v>
      </c>
      <c r="G2548" s="8" t="s">
        <v>94</v>
      </c>
      <c r="H2548" s="8" t="s">
        <v>5867</v>
      </c>
      <c r="I2548" s="37" t="s">
        <v>4079</v>
      </c>
    </row>
    <row r="2549" spans="1:9" s="8" customFormat="1">
      <c r="A2549" s="13">
        <v>45994</v>
      </c>
      <c r="B2549" s="8" t="s">
        <v>5892</v>
      </c>
      <c r="C2549" s="284">
        <v>0</v>
      </c>
      <c r="D2549" s="284">
        <v>819078591</v>
      </c>
      <c r="E2549" s="284">
        <f t="shared" si="39"/>
        <v>819078591</v>
      </c>
      <c r="F2549" s="8" t="s">
        <v>2140</v>
      </c>
      <c r="G2549" s="8" t="s">
        <v>2141</v>
      </c>
      <c r="H2549" s="154" t="s">
        <v>4098</v>
      </c>
      <c r="I2549" s="37" t="s">
        <v>5849</v>
      </c>
    </row>
    <row r="2550" spans="1:9" s="8" customFormat="1">
      <c r="A2550" s="5"/>
      <c r="B2550" s="8" t="s">
        <v>5892</v>
      </c>
      <c r="C2550" s="209">
        <v>667397370</v>
      </c>
      <c r="D2550" s="288">
        <v>0</v>
      </c>
      <c r="E2550" s="284">
        <f t="shared" si="39"/>
        <v>151681221</v>
      </c>
      <c r="F2550" t="s">
        <v>920</v>
      </c>
      <c r="G2550" s="8" t="s">
        <v>7858</v>
      </c>
      <c r="H2550" t="s">
        <v>7218</v>
      </c>
      <c r="I2550" s="37" t="s">
        <v>5849</v>
      </c>
    </row>
    <row r="2551" spans="1:9" s="8" customFormat="1">
      <c r="A2551" s="5"/>
      <c r="B2551" s="8" t="s">
        <v>5892</v>
      </c>
      <c r="C2551" s="288">
        <v>121344976</v>
      </c>
      <c r="D2551" s="288">
        <v>0</v>
      </c>
      <c r="E2551" s="284">
        <f t="shared" si="39"/>
        <v>30336245</v>
      </c>
      <c r="F2551" t="s">
        <v>10</v>
      </c>
      <c r="G2551" s="8" t="s">
        <v>94</v>
      </c>
      <c r="H2551" s="8" t="s">
        <v>5867</v>
      </c>
      <c r="I2551" s="37" t="s">
        <v>5849</v>
      </c>
    </row>
    <row r="2552" spans="1:9" s="8" customFormat="1">
      <c r="A2552" s="218"/>
      <c r="B2552" s="8" t="s">
        <v>7134</v>
      </c>
      <c r="C2552" s="296">
        <v>27329950</v>
      </c>
      <c r="D2552" s="296">
        <v>0</v>
      </c>
      <c r="E2552" s="290">
        <f t="shared" si="39"/>
        <v>3006295</v>
      </c>
      <c r="F2552" s="40" t="s">
        <v>19</v>
      </c>
      <c r="G2552" s="8" t="s">
        <v>189</v>
      </c>
      <c r="I2552" s="37"/>
    </row>
    <row r="2553" spans="1:9" s="8" customFormat="1">
      <c r="A2553" s="218"/>
      <c r="B2553" s="8" t="s">
        <v>7134</v>
      </c>
      <c r="C2553" s="296">
        <v>3006295</v>
      </c>
      <c r="D2553" s="296">
        <v>0</v>
      </c>
      <c r="E2553" s="290">
        <f t="shared" si="39"/>
        <v>0</v>
      </c>
      <c r="F2553" t="s">
        <v>920</v>
      </c>
      <c r="G2553" t="s">
        <v>7858</v>
      </c>
      <c r="H2553" s="8" t="s">
        <v>7032</v>
      </c>
      <c r="I2553" s="8" t="s">
        <v>4560</v>
      </c>
    </row>
    <row r="2554" spans="1:9" s="8" customFormat="1">
      <c r="A2554" s="218"/>
      <c r="B2554" s="8" t="s">
        <v>7134</v>
      </c>
      <c r="C2554" s="296">
        <v>0</v>
      </c>
      <c r="D2554" s="296">
        <v>546599</v>
      </c>
      <c r="E2554" s="290">
        <f t="shared" si="39"/>
        <v>546599</v>
      </c>
      <c r="F2554" s="40" t="s">
        <v>6</v>
      </c>
      <c r="G2554" s="8" t="s">
        <v>53</v>
      </c>
      <c r="H2554" s="8" t="s">
        <v>7125</v>
      </c>
      <c r="I2554" s="37" t="s">
        <v>6537</v>
      </c>
    </row>
    <row r="2555" spans="1:9" s="8" customFormat="1">
      <c r="A2555" s="218"/>
      <c r="B2555" s="8" t="s">
        <v>7134</v>
      </c>
      <c r="C2555" s="296">
        <v>546599</v>
      </c>
      <c r="D2555" s="296">
        <v>0</v>
      </c>
      <c r="E2555" s="290">
        <f t="shared" si="39"/>
        <v>0</v>
      </c>
      <c r="F2555" s="40" t="s">
        <v>10</v>
      </c>
      <c r="G2555" s="8" t="s">
        <v>99</v>
      </c>
      <c r="H2555" s="8" t="s">
        <v>7135</v>
      </c>
      <c r="I2555" s="37"/>
    </row>
    <row r="2556" spans="1:9" s="8" customFormat="1">
      <c r="A2556" s="13">
        <v>45995</v>
      </c>
      <c r="B2556" s="8" t="s">
        <v>5897</v>
      </c>
      <c r="C2556" s="284">
        <v>0</v>
      </c>
      <c r="D2556" s="284">
        <v>87837837.559999943</v>
      </c>
      <c r="E2556" s="284">
        <f t="shared" si="39"/>
        <v>87837837.559999943</v>
      </c>
      <c r="F2556" s="8" t="s">
        <v>2140</v>
      </c>
      <c r="G2556" s="8" t="s">
        <v>2141</v>
      </c>
      <c r="H2556" s="8" t="s">
        <v>4080</v>
      </c>
      <c r="I2556" s="8" t="s">
        <v>5902</v>
      </c>
    </row>
    <row r="2557" spans="1:9" s="8" customFormat="1">
      <c r="A2557" s="5"/>
      <c r="B2557" s="8" t="s">
        <v>5897</v>
      </c>
      <c r="C2557" s="296">
        <v>74324324</v>
      </c>
      <c r="D2557" s="288">
        <v>0</v>
      </c>
      <c r="E2557" s="284">
        <f t="shared" si="39"/>
        <v>13513513.559999943</v>
      </c>
      <c r="F2557" t="s">
        <v>920</v>
      </c>
      <c r="G2557" s="8" t="s">
        <v>7858</v>
      </c>
      <c r="H2557" t="s">
        <v>7218</v>
      </c>
      <c r="I2557" s="8" t="s">
        <v>5902</v>
      </c>
    </row>
    <row r="2558" spans="1:9" s="8" customFormat="1">
      <c r="A2558" s="5"/>
      <c r="B2558" s="8" t="s">
        <v>5897</v>
      </c>
      <c r="C2558" s="288">
        <v>13513513</v>
      </c>
      <c r="D2558" s="288">
        <v>0</v>
      </c>
      <c r="E2558" s="284">
        <f t="shared" si="39"/>
        <v>0.55999994277954102</v>
      </c>
      <c r="F2558" t="s">
        <v>10</v>
      </c>
      <c r="G2558" s="8" t="s">
        <v>94</v>
      </c>
      <c r="H2558" s="8" t="s">
        <v>5867</v>
      </c>
      <c r="I2558" s="8" t="s">
        <v>5902</v>
      </c>
    </row>
    <row r="2559" spans="1:9" s="8" customFormat="1">
      <c r="A2559" s="5"/>
      <c r="B2559" s="8" t="s">
        <v>5897</v>
      </c>
      <c r="C2559" s="288">
        <v>0.55999994277954102</v>
      </c>
      <c r="D2559" s="288">
        <v>0</v>
      </c>
      <c r="E2559" s="284">
        <f t="shared" si="39"/>
        <v>0</v>
      </c>
      <c r="F2559" t="s">
        <v>1209</v>
      </c>
      <c r="G2559" s="8" t="s">
        <v>69</v>
      </c>
      <c r="I2559" s="37"/>
    </row>
    <row r="2560" spans="1:9" s="8" customFormat="1">
      <c r="A2560" s="13">
        <v>46001</v>
      </c>
      <c r="B2560" s="8" t="s">
        <v>338</v>
      </c>
      <c r="C2560" s="284">
        <v>0</v>
      </c>
      <c r="D2560" s="284">
        <v>5720000</v>
      </c>
      <c r="E2560" s="284">
        <f t="shared" si="39"/>
        <v>5720000</v>
      </c>
      <c r="F2560" s="8" t="s">
        <v>2140</v>
      </c>
      <c r="G2560" s="8" t="s">
        <v>2141</v>
      </c>
      <c r="H2560" s="8" t="s">
        <v>3092</v>
      </c>
      <c r="I2560" s="8" t="s">
        <v>5805</v>
      </c>
    </row>
    <row r="2561" spans="1:10" s="8" customFormat="1">
      <c r="A2561" s="5"/>
      <c r="B2561" s="8" t="s">
        <v>338</v>
      </c>
      <c r="C2561" s="296">
        <v>4840000</v>
      </c>
      <c r="D2561" s="288">
        <v>0</v>
      </c>
      <c r="E2561" s="284">
        <f t="shared" si="39"/>
        <v>880000</v>
      </c>
      <c r="F2561" t="s">
        <v>920</v>
      </c>
      <c r="G2561" s="8" t="s">
        <v>7858</v>
      </c>
      <c r="H2561" t="s">
        <v>7218</v>
      </c>
      <c r="I2561" s="8" t="s">
        <v>5805</v>
      </c>
    </row>
    <row r="2562" spans="1:10" s="8" customFormat="1">
      <c r="A2562" s="5"/>
      <c r="B2562" s="8" t="s">
        <v>338</v>
      </c>
      <c r="C2562" s="288">
        <v>880000</v>
      </c>
      <c r="D2562" s="288">
        <v>0</v>
      </c>
      <c r="E2562" s="284">
        <f t="shared" si="39"/>
        <v>0</v>
      </c>
      <c r="F2562" t="s">
        <v>10</v>
      </c>
      <c r="G2562" s="8" t="s">
        <v>94</v>
      </c>
      <c r="H2562" s="8" t="s">
        <v>5867</v>
      </c>
      <c r="I2562" s="8" t="s">
        <v>5805</v>
      </c>
    </row>
    <row r="2563" spans="1:10" s="8" customFormat="1">
      <c r="A2563" s="13">
        <v>46003</v>
      </c>
      <c r="B2563" t="s">
        <v>1185</v>
      </c>
      <c r="C2563" s="55">
        <v>0</v>
      </c>
      <c r="D2563" s="284">
        <v>12616500</v>
      </c>
      <c r="E2563" s="284">
        <f t="shared" si="39"/>
        <v>12616500</v>
      </c>
      <c r="F2563" s="8" t="s">
        <v>2140</v>
      </c>
      <c r="G2563" s="8" t="s">
        <v>2141</v>
      </c>
      <c r="H2563" s="154" t="s">
        <v>1627</v>
      </c>
      <c r="I2563" s="37" t="s">
        <v>5803</v>
      </c>
    </row>
    <row r="2564" spans="1:10" s="8" customFormat="1">
      <c r="A2564" s="5"/>
      <c r="B2564" t="s">
        <v>1185</v>
      </c>
      <c r="C2564" s="209">
        <v>10675500</v>
      </c>
      <c r="D2564" s="288">
        <v>0</v>
      </c>
      <c r="E2564" s="284">
        <f t="shared" si="39"/>
        <v>1941000</v>
      </c>
      <c r="F2564" t="s">
        <v>920</v>
      </c>
      <c r="G2564" s="8" t="s">
        <v>7858</v>
      </c>
      <c r="H2564" t="s">
        <v>7218</v>
      </c>
      <c r="I2564" s="37" t="s">
        <v>5803</v>
      </c>
    </row>
    <row r="2565" spans="1:10" s="8" customFormat="1">
      <c r="A2565" s="5"/>
      <c r="B2565" t="s">
        <v>1185</v>
      </c>
      <c r="C2565" s="55">
        <v>1941000</v>
      </c>
      <c r="D2565" s="288">
        <v>0</v>
      </c>
      <c r="E2565" s="284">
        <f t="shared" si="39"/>
        <v>0</v>
      </c>
      <c r="F2565" t="s">
        <v>10</v>
      </c>
      <c r="G2565" s="8" t="s">
        <v>94</v>
      </c>
      <c r="H2565" s="8" t="s">
        <v>5867</v>
      </c>
      <c r="I2565" s="37" t="s">
        <v>5803</v>
      </c>
    </row>
    <row r="2566" spans="1:10" s="8" customFormat="1">
      <c r="A2566" s="13">
        <v>46008</v>
      </c>
      <c r="B2566" t="s">
        <v>6337</v>
      </c>
      <c r="C2566" s="55">
        <v>0</v>
      </c>
      <c r="D2566" s="290">
        <v>28594566</v>
      </c>
      <c r="E2566" s="284">
        <f t="shared" ref="E2566:E2629" si="40">E2565-C2566+D2566</f>
        <v>28594566</v>
      </c>
      <c r="F2566" s="8" t="s">
        <v>2140</v>
      </c>
      <c r="G2566" s="8" t="s">
        <v>2141</v>
      </c>
      <c r="H2566" s="154" t="s">
        <v>1634</v>
      </c>
      <c r="I2566" s="154" t="s">
        <v>5804</v>
      </c>
    </row>
    <row r="2567" spans="1:10" s="8" customFormat="1">
      <c r="A2567" s="5"/>
      <c r="B2567" t="s">
        <v>6337</v>
      </c>
      <c r="C2567" s="55">
        <v>24195402</v>
      </c>
      <c r="D2567" s="288">
        <v>0</v>
      </c>
      <c r="E2567" s="284">
        <f t="shared" si="40"/>
        <v>4399164</v>
      </c>
      <c r="F2567" t="s">
        <v>920</v>
      </c>
      <c r="G2567" s="8" t="s">
        <v>7858</v>
      </c>
      <c r="H2567" t="s">
        <v>7218</v>
      </c>
      <c r="I2567" s="154" t="s">
        <v>5804</v>
      </c>
    </row>
    <row r="2568" spans="1:10" s="8" customFormat="1">
      <c r="A2568" s="5"/>
      <c r="B2568" t="s">
        <v>6337</v>
      </c>
      <c r="C2568" s="55">
        <v>4399164</v>
      </c>
      <c r="D2568" s="288">
        <v>0</v>
      </c>
      <c r="E2568" s="284">
        <f t="shared" si="40"/>
        <v>0</v>
      </c>
      <c r="F2568" t="s">
        <v>10</v>
      </c>
      <c r="G2568" s="8" t="s">
        <v>94</v>
      </c>
      <c r="H2568" s="8" t="s">
        <v>5867</v>
      </c>
      <c r="I2568" s="154" t="s">
        <v>5804</v>
      </c>
    </row>
    <row r="2569" spans="1:10" s="8" customFormat="1">
      <c r="A2569" s="13">
        <v>46008</v>
      </c>
      <c r="B2569" t="s">
        <v>6337</v>
      </c>
      <c r="C2569" s="55">
        <v>0</v>
      </c>
      <c r="D2569" s="290">
        <v>13193362</v>
      </c>
      <c r="E2569" s="284">
        <f t="shared" si="40"/>
        <v>13193362</v>
      </c>
      <c r="F2569" s="8" t="s">
        <v>10</v>
      </c>
      <c r="G2569" s="8" t="s">
        <v>18</v>
      </c>
      <c r="H2569" s="154" t="s">
        <v>442</v>
      </c>
      <c r="I2569" s="37" t="s">
        <v>6338</v>
      </c>
    </row>
    <row r="2570" spans="1:10" s="8" customFormat="1">
      <c r="A2570" s="5"/>
      <c r="B2570" t="s">
        <v>6337</v>
      </c>
      <c r="C2570" s="55">
        <v>11163614</v>
      </c>
      <c r="D2570" s="288">
        <v>0</v>
      </c>
      <c r="E2570" s="284">
        <f t="shared" si="40"/>
        <v>2029748</v>
      </c>
      <c r="F2570" t="s">
        <v>920</v>
      </c>
      <c r="G2570" s="8" t="s">
        <v>7858</v>
      </c>
      <c r="H2570" s="8" t="s">
        <v>7219</v>
      </c>
      <c r="I2570" s="37" t="s">
        <v>6338</v>
      </c>
      <c r="J2570" s="8" t="s">
        <v>274</v>
      </c>
    </row>
    <row r="2571" spans="1:10" s="8" customFormat="1">
      <c r="A2571" s="5"/>
      <c r="B2571" t="s">
        <v>6337</v>
      </c>
      <c r="C2571" s="55">
        <v>2029748</v>
      </c>
      <c r="D2571" s="288">
        <v>0</v>
      </c>
      <c r="E2571" s="284">
        <f t="shared" si="40"/>
        <v>0</v>
      </c>
      <c r="F2571" t="s">
        <v>10</v>
      </c>
      <c r="G2571" s="8" t="s">
        <v>94</v>
      </c>
      <c r="H2571" s="8" t="s">
        <v>5867</v>
      </c>
      <c r="I2571" s="37" t="s">
        <v>6338</v>
      </c>
    </row>
    <row r="2572" spans="1:10" s="8" customFormat="1">
      <c r="A2572" s="5">
        <v>46010</v>
      </c>
      <c r="B2572" t="s">
        <v>423</v>
      </c>
      <c r="C2572" s="55">
        <v>0</v>
      </c>
      <c r="D2572" s="288">
        <v>6940340</v>
      </c>
      <c r="E2572" s="284">
        <f t="shared" si="40"/>
        <v>6940340</v>
      </c>
      <c r="F2572" t="s">
        <v>2140</v>
      </c>
      <c r="G2572" s="8" t="s">
        <v>2141</v>
      </c>
      <c r="H2572" s="8" t="s">
        <v>3263</v>
      </c>
      <c r="I2572" s="37" t="s">
        <v>5854</v>
      </c>
    </row>
    <row r="2573" spans="1:10" s="8" customFormat="1">
      <c r="A2573" s="5"/>
      <c r="B2573" t="s">
        <v>423</v>
      </c>
      <c r="C2573" s="55">
        <v>5872595</v>
      </c>
      <c r="D2573" s="288">
        <v>0</v>
      </c>
      <c r="E2573" s="284">
        <f t="shared" si="40"/>
        <v>1067745</v>
      </c>
      <c r="F2573" t="s">
        <v>920</v>
      </c>
      <c r="G2573" s="8" t="s">
        <v>7858</v>
      </c>
      <c r="H2573" t="s">
        <v>7218</v>
      </c>
      <c r="I2573" s="37" t="s">
        <v>5854</v>
      </c>
    </row>
    <row r="2574" spans="1:10" s="8" customFormat="1">
      <c r="A2574" s="5"/>
      <c r="B2574" t="s">
        <v>423</v>
      </c>
      <c r="C2574" s="55">
        <v>1067745</v>
      </c>
      <c r="D2574" s="288">
        <v>0</v>
      </c>
      <c r="E2574" s="284">
        <f t="shared" si="40"/>
        <v>0</v>
      </c>
      <c r="F2574" t="s">
        <v>10</v>
      </c>
      <c r="G2574" s="8" t="s">
        <v>94</v>
      </c>
      <c r="H2574" s="8" t="s">
        <v>5867</v>
      </c>
      <c r="I2574" s="37" t="s">
        <v>5854</v>
      </c>
    </row>
    <row r="2575" spans="1:10" s="8" customFormat="1">
      <c r="A2575" s="5">
        <v>46010</v>
      </c>
      <c r="B2575" t="s">
        <v>6535</v>
      </c>
      <c r="C2575" s="55">
        <v>0</v>
      </c>
      <c r="D2575" s="288">
        <v>22721303</v>
      </c>
      <c r="E2575" s="284">
        <f t="shared" si="40"/>
        <v>22721303</v>
      </c>
      <c r="F2575" t="s">
        <v>2140</v>
      </c>
      <c r="G2575" s="8" t="s">
        <v>2141</v>
      </c>
      <c r="H2575" s="8" t="s">
        <v>1378</v>
      </c>
      <c r="I2575" s="37" t="s">
        <v>5806</v>
      </c>
    </row>
    <row r="2576" spans="1:10" s="8" customFormat="1">
      <c r="A2576" s="5"/>
      <c r="B2576" t="s">
        <v>6535</v>
      </c>
      <c r="C2576" s="55">
        <v>19225718</v>
      </c>
      <c r="D2576" s="288">
        <v>0</v>
      </c>
      <c r="E2576" s="284">
        <f t="shared" si="40"/>
        <v>3495585</v>
      </c>
      <c r="F2576" t="s">
        <v>920</v>
      </c>
      <c r="G2576" s="8" t="s">
        <v>7858</v>
      </c>
      <c r="H2576" t="s">
        <v>7218</v>
      </c>
      <c r="I2576" s="37" t="s">
        <v>5806</v>
      </c>
    </row>
    <row r="2577" spans="1:10" s="8" customFormat="1">
      <c r="A2577" s="5"/>
      <c r="B2577" t="s">
        <v>6535</v>
      </c>
      <c r="C2577" s="55">
        <v>3495585</v>
      </c>
      <c r="D2577" s="288">
        <v>0</v>
      </c>
      <c r="E2577" s="284">
        <f t="shared" si="40"/>
        <v>0</v>
      </c>
      <c r="F2577" t="s">
        <v>10</v>
      </c>
      <c r="G2577" s="8" t="s">
        <v>94</v>
      </c>
      <c r="H2577" s="8" t="s">
        <v>5867</v>
      </c>
      <c r="I2577" s="37" t="s">
        <v>5806</v>
      </c>
    </row>
    <row r="2578" spans="1:10" s="8" customFormat="1">
      <c r="A2578" s="5">
        <v>46010</v>
      </c>
      <c r="B2578" t="s">
        <v>6535</v>
      </c>
      <c r="C2578" s="55">
        <v>0</v>
      </c>
      <c r="D2578" s="288">
        <v>23931831</v>
      </c>
      <c r="E2578" s="284">
        <f t="shared" si="40"/>
        <v>23931831</v>
      </c>
      <c r="F2578" t="s">
        <v>10</v>
      </c>
      <c r="G2578" s="8" t="s">
        <v>18</v>
      </c>
      <c r="H2578" s="8" t="s">
        <v>420</v>
      </c>
      <c r="I2578" s="37" t="s">
        <v>6264</v>
      </c>
    </row>
    <row r="2579" spans="1:10" s="8" customFormat="1">
      <c r="A2579" s="5"/>
      <c r="B2579" t="s">
        <v>6535</v>
      </c>
      <c r="C2579" s="55">
        <v>20250011</v>
      </c>
      <c r="D2579" s="288">
        <v>0</v>
      </c>
      <c r="E2579" s="284">
        <f t="shared" si="40"/>
        <v>3681820</v>
      </c>
      <c r="F2579" t="s">
        <v>920</v>
      </c>
      <c r="G2579" s="8" t="s">
        <v>7858</v>
      </c>
      <c r="H2579" s="8" t="s">
        <v>7219</v>
      </c>
      <c r="I2579" s="37" t="s">
        <v>6264</v>
      </c>
      <c r="J2579" s="8" t="s">
        <v>274</v>
      </c>
    </row>
    <row r="2580" spans="1:10" s="8" customFormat="1">
      <c r="A2580" s="5"/>
      <c r="B2580" t="s">
        <v>6535</v>
      </c>
      <c r="C2580" s="55">
        <v>3681820</v>
      </c>
      <c r="D2580" s="288">
        <v>0</v>
      </c>
      <c r="E2580" s="284">
        <f t="shared" si="40"/>
        <v>0</v>
      </c>
      <c r="F2580" t="s">
        <v>10</v>
      </c>
      <c r="G2580" s="8" t="s">
        <v>94</v>
      </c>
      <c r="H2580" s="8" t="s">
        <v>5867</v>
      </c>
      <c r="I2580" s="37" t="s">
        <v>6264</v>
      </c>
    </row>
    <row r="2581" spans="1:10" s="8" customFormat="1">
      <c r="A2581" s="5">
        <v>46013</v>
      </c>
      <c r="B2581" t="s">
        <v>423</v>
      </c>
      <c r="C2581" s="55">
        <v>0</v>
      </c>
      <c r="D2581" s="288">
        <v>4520750</v>
      </c>
      <c r="E2581" s="284">
        <f t="shared" si="40"/>
        <v>4520750</v>
      </c>
      <c r="F2581" t="s">
        <v>10</v>
      </c>
      <c r="G2581" s="8" t="s">
        <v>18</v>
      </c>
      <c r="H2581" s="8" t="s">
        <v>439</v>
      </c>
      <c r="I2581" s="37" t="s">
        <v>6265</v>
      </c>
    </row>
    <row r="2582" spans="1:10" s="8" customFormat="1">
      <c r="A2582" s="5"/>
      <c r="B2582" t="s">
        <v>423</v>
      </c>
      <c r="C2582" s="55">
        <v>3825250</v>
      </c>
      <c r="D2582" s="288">
        <v>0</v>
      </c>
      <c r="E2582" s="284">
        <f t="shared" si="40"/>
        <v>695500</v>
      </c>
      <c r="F2582" t="s">
        <v>920</v>
      </c>
      <c r="G2582" s="8" t="s">
        <v>7858</v>
      </c>
      <c r="H2582" s="8" t="s">
        <v>7219</v>
      </c>
      <c r="I2582" s="37" t="s">
        <v>6265</v>
      </c>
      <c r="J2582" s="8" t="s">
        <v>274</v>
      </c>
    </row>
    <row r="2583" spans="1:10" s="8" customFormat="1">
      <c r="A2583" s="5"/>
      <c r="B2583" t="s">
        <v>423</v>
      </c>
      <c r="C2583" s="55">
        <v>695500</v>
      </c>
      <c r="D2583" s="288">
        <v>0</v>
      </c>
      <c r="E2583" s="284">
        <f t="shared" si="40"/>
        <v>0</v>
      </c>
      <c r="F2583" t="s">
        <v>10</v>
      </c>
      <c r="G2583" s="8" t="s">
        <v>94</v>
      </c>
      <c r="H2583" s="8" t="s">
        <v>5867</v>
      </c>
      <c r="I2583" s="37" t="s">
        <v>6265</v>
      </c>
    </row>
    <row r="2584" spans="1:10" s="8" customFormat="1">
      <c r="A2584" s="5">
        <v>46013</v>
      </c>
      <c r="B2584" t="s">
        <v>6536</v>
      </c>
      <c r="C2584" s="55">
        <v>0</v>
      </c>
      <c r="D2584" s="288">
        <v>20851226</v>
      </c>
      <c r="E2584" s="284">
        <f t="shared" si="40"/>
        <v>20851226</v>
      </c>
      <c r="F2584" t="s">
        <v>10</v>
      </c>
      <c r="G2584" s="8" t="s">
        <v>18</v>
      </c>
      <c r="H2584" s="8" t="s">
        <v>395</v>
      </c>
      <c r="I2584" s="37" t="s">
        <v>6267</v>
      </c>
    </row>
    <row r="2585" spans="1:10" s="8" customFormat="1">
      <c r="A2585" s="5"/>
      <c r="B2585" t="s">
        <v>6536</v>
      </c>
      <c r="C2585" s="55">
        <v>17643345</v>
      </c>
      <c r="D2585" s="288">
        <v>0</v>
      </c>
      <c r="E2585" s="284">
        <f t="shared" si="40"/>
        <v>3207881</v>
      </c>
      <c r="F2585" t="s">
        <v>920</v>
      </c>
      <c r="G2585" s="8" t="s">
        <v>7858</v>
      </c>
      <c r="H2585" s="8" t="s">
        <v>7219</v>
      </c>
      <c r="I2585" s="37" t="s">
        <v>6267</v>
      </c>
      <c r="J2585" s="8" t="s">
        <v>274</v>
      </c>
    </row>
    <row r="2586" spans="1:10" s="8" customFormat="1">
      <c r="A2586" s="5"/>
      <c r="B2586" t="s">
        <v>6536</v>
      </c>
      <c r="C2586" s="55">
        <v>3207881</v>
      </c>
      <c r="D2586" s="288">
        <v>0</v>
      </c>
      <c r="E2586" s="284">
        <f t="shared" si="40"/>
        <v>0</v>
      </c>
      <c r="F2586" t="s">
        <v>10</v>
      </c>
      <c r="G2586" s="8" t="s">
        <v>94</v>
      </c>
      <c r="H2586" s="8" t="s">
        <v>5867</v>
      </c>
      <c r="I2586" s="37" t="s">
        <v>6267</v>
      </c>
    </row>
    <row r="2587" spans="1:10" s="8" customFormat="1">
      <c r="A2587" s="5">
        <v>46013</v>
      </c>
      <c r="B2587" t="s">
        <v>6536</v>
      </c>
      <c r="C2587" s="55">
        <v>0</v>
      </c>
      <c r="D2587" s="288">
        <v>20790627</v>
      </c>
      <c r="E2587" s="284">
        <f t="shared" si="40"/>
        <v>20790627</v>
      </c>
      <c r="F2587" t="s">
        <v>10</v>
      </c>
      <c r="G2587" s="8" t="s">
        <v>18</v>
      </c>
      <c r="H2587" s="8" t="s">
        <v>2198</v>
      </c>
      <c r="I2587" s="37" t="s">
        <v>6268</v>
      </c>
    </row>
    <row r="2588" spans="1:10" s="8" customFormat="1">
      <c r="A2588" s="5"/>
      <c r="B2588" t="s">
        <v>6536</v>
      </c>
      <c r="C2588" s="55">
        <v>17592069</v>
      </c>
      <c r="D2588" s="288">
        <v>0</v>
      </c>
      <c r="E2588" s="284">
        <f t="shared" si="40"/>
        <v>3198558</v>
      </c>
      <c r="F2588" t="s">
        <v>920</v>
      </c>
      <c r="G2588" s="8" t="s">
        <v>7858</v>
      </c>
      <c r="H2588" s="8" t="s">
        <v>7219</v>
      </c>
      <c r="I2588" s="37" t="s">
        <v>6268</v>
      </c>
      <c r="J2588" s="8" t="s">
        <v>274</v>
      </c>
    </row>
    <row r="2589" spans="1:10" s="8" customFormat="1">
      <c r="A2589" s="5"/>
      <c r="B2589" t="s">
        <v>6536</v>
      </c>
      <c r="C2589" s="55">
        <v>3198558</v>
      </c>
      <c r="D2589" s="288">
        <v>0</v>
      </c>
      <c r="E2589" s="284">
        <f t="shared" si="40"/>
        <v>0</v>
      </c>
      <c r="F2589" t="s">
        <v>10</v>
      </c>
      <c r="G2589" s="8" t="s">
        <v>94</v>
      </c>
      <c r="H2589" s="8" t="s">
        <v>5867</v>
      </c>
      <c r="I2589" s="37" t="s">
        <v>6268</v>
      </c>
    </row>
    <row r="2590" spans="1:10" s="8" customFormat="1">
      <c r="A2590" s="5">
        <v>46013</v>
      </c>
      <c r="B2590" t="s">
        <v>6536</v>
      </c>
      <c r="C2590" s="55">
        <v>0</v>
      </c>
      <c r="D2590" s="288">
        <v>14707048</v>
      </c>
      <c r="E2590" s="284">
        <f t="shared" si="40"/>
        <v>14707048</v>
      </c>
      <c r="F2590" t="s">
        <v>10</v>
      </c>
      <c r="G2590" s="8" t="s">
        <v>18</v>
      </c>
      <c r="H2590" s="8" t="s">
        <v>435</v>
      </c>
      <c r="I2590" s="37" t="s">
        <v>6266</v>
      </c>
    </row>
    <row r="2591" spans="1:10" s="8" customFormat="1">
      <c r="A2591" s="5"/>
      <c r="B2591" t="s">
        <v>6536</v>
      </c>
      <c r="C2591" s="55">
        <v>12444425</v>
      </c>
      <c r="D2591" s="288">
        <v>0</v>
      </c>
      <c r="E2591" s="284">
        <f t="shared" si="40"/>
        <v>2262623</v>
      </c>
      <c r="F2591" t="s">
        <v>920</v>
      </c>
      <c r="G2591" s="8" t="s">
        <v>7858</v>
      </c>
      <c r="H2591" s="8" t="s">
        <v>7219</v>
      </c>
      <c r="I2591" s="37" t="s">
        <v>6266</v>
      </c>
      <c r="J2591" s="8" t="s">
        <v>274</v>
      </c>
    </row>
    <row r="2592" spans="1:10" s="8" customFormat="1">
      <c r="A2592" s="5"/>
      <c r="B2592" t="s">
        <v>6536</v>
      </c>
      <c r="C2592" s="55">
        <v>2262623</v>
      </c>
      <c r="D2592" s="288">
        <v>0</v>
      </c>
      <c r="E2592" s="284">
        <f t="shared" si="40"/>
        <v>0</v>
      </c>
      <c r="F2592" t="s">
        <v>10</v>
      </c>
      <c r="G2592" s="8" t="s">
        <v>94</v>
      </c>
      <c r="H2592" s="8" t="s">
        <v>5867</v>
      </c>
      <c r="I2592" s="37" t="s">
        <v>6266</v>
      </c>
    </row>
    <row r="2593" spans="1:9" s="8" customFormat="1">
      <c r="A2593" s="5">
        <v>46021</v>
      </c>
      <c r="B2593" t="s">
        <v>6423</v>
      </c>
      <c r="C2593" s="55">
        <v>0</v>
      </c>
      <c r="D2593" s="288">
        <v>896250</v>
      </c>
      <c r="E2593" s="284">
        <f t="shared" si="40"/>
        <v>896250</v>
      </c>
      <c r="F2593" t="s">
        <v>2140</v>
      </c>
      <c r="G2593" s="8" t="s">
        <v>2141</v>
      </c>
      <c r="H2593" s="8" t="s">
        <v>6363</v>
      </c>
      <c r="I2593" s="37" t="s">
        <v>6361</v>
      </c>
    </row>
    <row r="2594" spans="1:9" s="8" customFormat="1">
      <c r="A2594" s="5"/>
      <c r="B2594" t="s">
        <v>6423</v>
      </c>
      <c r="C2594" s="55">
        <v>896250</v>
      </c>
      <c r="D2594" s="288">
        <v>0</v>
      </c>
      <c r="E2594" s="284">
        <f t="shared" si="40"/>
        <v>0</v>
      </c>
      <c r="F2594" t="s">
        <v>10</v>
      </c>
      <c r="G2594" s="8" t="s">
        <v>94</v>
      </c>
      <c r="H2594" s="8" t="s">
        <v>5867</v>
      </c>
      <c r="I2594" s="37" t="s">
        <v>6361</v>
      </c>
    </row>
    <row r="2595" spans="1:9" s="8" customFormat="1">
      <c r="A2595" s="5">
        <v>45706</v>
      </c>
      <c r="B2595" s="40" t="s">
        <v>906</v>
      </c>
      <c r="C2595" s="288">
        <v>0</v>
      </c>
      <c r="D2595" s="288">
        <v>87837838</v>
      </c>
      <c r="E2595" s="284">
        <f t="shared" si="40"/>
        <v>87837838</v>
      </c>
      <c r="F2595" t="s">
        <v>2140</v>
      </c>
      <c r="G2595" s="8" t="s">
        <v>2141</v>
      </c>
      <c r="H2595" s="8" t="s">
        <v>1352</v>
      </c>
      <c r="I2595" s="37" t="s">
        <v>1468</v>
      </c>
    </row>
    <row r="2596" spans="1:9" s="8" customFormat="1">
      <c r="A2596" s="5"/>
      <c r="B2596" s="40" t="s">
        <v>906</v>
      </c>
      <c r="C2596" s="209">
        <v>74324324</v>
      </c>
      <c r="D2596" s="288">
        <v>0</v>
      </c>
      <c r="E2596" s="284">
        <f t="shared" si="40"/>
        <v>13513514</v>
      </c>
      <c r="F2596" t="s">
        <v>920</v>
      </c>
      <c r="G2596" s="8" t="s">
        <v>7858</v>
      </c>
      <c r="H2596" t="s">
        <v>7218</v>
      </c>
      <c r="I2596" s="37" t="s">
        <v>1468</v>
      </c>
    </row>
    <row r="2597" spans="1:9" s="8" customFormat="1">
      <c r="A2597" s="5"/>
      <c r="B2597" s="40" t="s">
        <v>906</v>
      </c>
      <c r="C2597" s="288">
        <v>13513514</v>
      </c>
      <c r="D2597" s="288">
        <v>0</v>
      </c>
      <c r="E2597" s="284">
        <f t="shared" si="40"/>
        <v>0</v>
      </c>
      <c r="F2597" t="s">
        <v>10</v>
      </c>
      <c r="G2597" s="8" t="s">
        <v>94</v>
      </c>
      <c r="H2597" s="8" t="s">
        <v>5867</v>
      </c>
      <c r="I2597" s="37" t="s">
        <v>1468</v>
      </c>
    </row>
    <row r="2598" spans="1:9" s="8" customFormat="1">
      <c r="A2598" s="5">
        <v>45708</v>
      </c>
      <c r="B2598" t="s">
        <v>910</v>
      </c>
      <c r="C2598" s="288">
        <v>0</v>
      </c>
      <c r="D2598" s="288">
        <v>100000</v>
      </c>
      <c r="E2598" s="284">
        <f t="shared" si="40"/>
        <v>100000</v>
      </c>
      <c r="F2598" s="8" t="s">
        <v>2140</v>
      </c>
      <c r="G2598" t="s">
        <v>2141</v>
      </c>
      <c r="H2598" t="s">
        <v>1352</v>
      </c>
      <c r="I2598" s="37" t="s">
        <v>1469</v>
      </c>
    </row>
    <row r="2599" spans="1:9" s="8" customFormat="1">
      <c r="A2599" s="5"/>
      <c r="B2599" t="s">
        <v>910</v>
      </c>
      <c r="C2599" s="288">
        <v>100000</v>
      </c>
      <c r="D2599" s="288">
        <v>0</v>
      </c>
      <c r="E2599" s="284">
        <f t="shared" si="40"/>
        <v>0</v>
      </c>
      <c r="F2599" t="s">
        <v>10</v>
      </c>
      <c r="G2599" s="8" t="s">
        <v>94</v>
      </c>
      <c r="H2599" s="8" t="s">
        <v>5867</v>
      </c>
      <c r="I2599" s="37" t="s">
        <v>1469</v>
      </c>
    </row>
    <row r="2600" spans="1:9" s="8" customFormat="1">
      <c r="A2600" s="5">
        <v>45772</v>
      </c>
      <c r="B2600" t="s">
        <v>1205</v>
      </c>
      <c r="C2600" s="288">
        <v>0</v>
      </c>
      <c r="D2600" s="288">
        <v>10660650</v>
      </c>
      <c r="E2600" s="284">
        <f t="shared" si="40"/>
        <v>10660650</v>
      </c>
      <c r="F2600" s="8" t="s">
        <v>2140</v>
      </c>
      <c r="G2600" s="8" t="s">
        <v>2141</v>
      </c>
      <c r="H2600" s="146" t="s">
        <v>1599</v>
      </c>
      <c r="I2600" s="37" t="s">
        <v>1536</v>
      </c>
    </row>
    <row r="2601" spans="1:9" s="8" customFormat="1">
      <c r="A2601" s="5"/>
      <c r="B2601" t="s">
        <v>1205</v>
      </c>
      <c r="C2601" s="296">
        <v>9020550</v>
      </c>
      <c r="D2601" s="288">
        <v>0</v>
      </c>
      <c r="E2601" s="284">
        <f t="shared" si="40"/>
        <v>1640100</v>
      </c>
      <c r="F2601" t="s">
        <v>920</v>
      </c>
      <c r="G2601" s="8" t="s">
        <v>7858</v>
      </c>
      <c r="H2601" t="s">
        <v>7218</v>
      </c>
      <c r="I2601" s="37" t="s">
        <v>1536</v>
      </c>
    </row>
    <row r="2602" spans="1:9" s="8" customFormat="1">
      <c r="A2602" s="5"/>
      <c r="B2602" t="s">
        <v>1205</v>
      </c>
      <c r="C2602" s="288">
        <v>1640100</v>
      </c>
      <c r="D2602" s="288">
        <v>0</v>
      </c>
      <c r="E2602" s="284">
        <f t="shared" si="40"/>
        <v>0</v>
      </c>
      <c r="F2602" t="s">
        <v>10</v>
      </c>
      <c r="G2602" s="8" t="s">
        <v>94</v>
      </c>
      <c r="H2602" s="8" t="s">
        <v>5867</v>
      </c>
      <c r="I2602" s="37" t="s">
        <v>1536</v>
      </c>
    </row>
    <row r="2603" spans="1:9" s="8" customFormat="1">
      <c r="A2603" s="5">
        <v>45791</v>
      </c>
      <c r="B2603" t="s">
        <v>1339</v>
      </c>
      <c r="C2603" s="288">
        <v>0</v>
      </c>
      <c r="D2603" s="288">
        <v>22573760</v>
      </c>
      <c r="E2603" s="284">
        <f t="shared" si="40"/>
        <v>22573760</v>
      </c>
      <c r="F2603" s="8" t="s">
        <v>2140</v>
      </c>
      <c r="G2603" t="s">
        <v>2141</v>
      </c>
      <c r="H2603" s="146" t="s">
        <v>1609</v>
      </c>
      <c r="I2603" s="37" t="s">
        <v>1547</v>
      </c>
    </row>
    <row r="2604" spans="1:9" s="8" customFormat="1">
      <c r="A2604" s="5"/>
      <c r="B2604" t="s">
        <v>1339</v>
      </c>
      <c r="C2604" s="210">
        <v>22573760</v>
      </c>
      <c r="D2604" s="288">
        <v>0</v>
      </c>
      <c r="E2604" s="284">
        <f t="shared" si="40"/>
        <v>0</v>
      </c>
      <c r="F2604" t="s">
        <v>920</v>
      </c>
      <c r="G2604" s="8" t="s">
        <v>7858</v>
      </c>
      <c r="H2604" t="s">
        <v>7218</v>
      </c>
      <c r="I2604" s="37" t="s">
        <v>1547</v>
      </c>
    </row>
    <row r="2605" spans="1:9" s="8" customFormat="1">
      <c r="A2605" s="5">
        <v>45804</v>
      </c>
      <c r="B2605" t="s">
        <v>1338</v>
      </c>
      <c r="C2605" s="288">
        <v>0</v>
      </c>
      <c r="D2605" s="288">
        <v>34480875</v>
      </c>
      <c r="E2605" s="284">
        <f t="shared" si="40"/>
        <v>34480875</v>
      </c>
      <c r="F2605" s="8" t="s">
        <v>2140</v>
      </c>
      <c r="G2605" t="s">
        <v>2141</v>
      </c>
      <c r="H2605" s="146" t="s">
        <v>1609</v>
      </c>
      <c r="I2605" s="37" t="s">
        <v>1548</v>
      </c>
    </row>
    <row r="2606" spans="1:9" s="8" customFormat="1">
      <c r="A2606" s="5"/>
      <c r="B2606" t="s">
        <v>1338</v>
      </c>
      <c r="C2606" s="210">
        <v>29176125</v>
      </c>
      <c r="D2606" s="288">
        <v>0</v>
      </c>
      <c r="E2606" s="284">
        <f t="shared" si="40"/>
        <v>5304750</v>
      </c>
      <c r="F2606" t="s">
        <v>920</v>
      </c>
      <c r="G2606" s="8" t="s">
        <v>7858</v>
      </c>
      <c r="H2606" t="s">
        <v>7218</v>
      </c>
      <c r="I2606" s="37" t="s">
        <v>1548</v>
      </c>
    </row>
    <row r="2607" spans="1:9" s="8" customFormat="1">
      <c r="A2607" s="5"/>
      <c r="B2607" t="s">
        <v>1338</v>
      </c>
      <c r="C2607" s="288">
        <v>5304750</v>
      </c>
      <c r="D2607" s="288">
        <v>0</v>
      </c>
      <c r="E2607" s="284">
        <f t="shared" si="40"/>
        <v>0</v>
      </c>
      <c r="F2607" t="s">
        <v>10</v>
      </c>
      <c r="G2607" s="8" t="s">
        <v>94</v>
      </c>
      <c r="H2607" s="8" t="s">
        <v>5867</v>
      </c>
      <c r="I2607" s="37" t="s">
        <v>1548</v>
      </c>
    </row>
    <row r="2608" spans="1:9" s="8" customFormat="1">
      <c r="A2608" s="5">
        <v>45841</v>
      </c>
      <c r="B2608" t="s">
        <v>2370</v>
      </c>
      <c r="C2608" s="288">
        <v>0</v>
      </c>
      <c r="D2608" s="283">
        <v>3513514</v>
      </c>
      <c r="E2608" s="284">
        <f t="shared" si="40"/>
        <v>3513514</v>
      </c>
      <c r="F2608" s="8" t="s">
        <v>2140</v>
      </c>
      <c r="G2608" t="s">
        <v>2141</v>
      </c>
      <c r="H2608" s="154" t="s">
        <v>2235</v>
      </c>
      <c r="I2608" s="37" t="s">
        <v>2234</v>
      </c>
    </row>
    <row r="2609" spans="1:9" s="8" customFormat="1">
      <c r="A2609" s="5"/>
      <c r="B2609" t="s">
        <v>2370</v>
      </c>
      <c r="C2609" s="210">
        <v>2972973</v>
      </c>
      <c r="D2609" s="288">
        <v>0</v>
      </c>
      <c r="E2609" s="284">
        <f t="shared" si="40"/>
        <v>540541</v>
      </c>
      <c r="F2609" t="s">
        <v>920</v>
      </c>
      <c r="G2609" s="8" t="s">
        <v>7858</v>
      </c>
      <c r="H2609" t="s">
        <v>7218</v>
      </c>
      <c r="I2609" s="37" t="s">
        <v>2234</v>
      </c>
    </row>
    <row r="2610" spans="1:9" s="8" customFormat="1">
      <c r="A2610" s="5"/>
      <c r="B2610" t="s">
        <v>2370</v>
      </c>
      <c r="C2610" s="288">
        <v>540541</v>
      </c>
      <c r="D2610" s="288">
        <v>0</v>
      </c>
      <c r="E2610" s="284">
        <f t="shared" si="40"/>
        <v>0</v>
      </c>
      <c r="F2610" t="s">
        <v>10</v>
      </c>
      <c r="G2610" s="8" t="s">
        <v>94</v>
      </c>
      <c r="H2610" s="8" t="s">
        <v>5867</v>
      </c>
      <c r="I2610" s="37" t="s">
        <v>2234</v>
      </c>
    </row>
    <row r="2611" spans="1:9" s="8" customFormat="1">
      <c r="A2611" s="5">
        <v>45844</v>
      </c>
      <c r="B2611" t="s">
        <v>2371</v>
      </c>
      <c r="C2611" s="288">
        <v>0</v>
      </c>
      <c r="D2611" s="283">
        <v>28459459</v>
      </c>
      <c r="E2611" s="284">
        <f t="shared" si="40"/>
        <v>28459459</v>
      </c>
      <c r="F2611" s="8" t="s">
        <v>2140</v>
      </c>
      <c r="G2611" t="s">
        <v>2141</v>
      </c>
      <c r="H2611" s="154" t="s">
        <v>2235</v>
      </c>
      <c r="I2611" s="37" t="s">
        <v>2242</v>
      </c>
    </row>
    <row r="2612" spans="1:9" s="8" customFormat="1">
      <c r="A2612" s="5"/>
      <c r="B2612" t="s">
        <v>2371</v>
      </c>
      <c r="C2612" s="296">
        <v>24081081</v>
      </c>
      <c r="D2612" s="288">
        <v>0</v>
      </c>
      <c r="E2612" s="284">
        <f t="shared" si="40"/>
        <v>4378378</v>
      </c>
      <c r="F2612" t="s">
        <v>920</v>
      </c>
      <c r="G2612" s="8" t="s">
        <v>7858</v>
      </c>
      <c r="H2612" t="s">
        <v>7218</v>
      </c>
      <c r="I2612" s="37" t="s">
        <v>2242</v>
      </c>
    </row>
    <row r="2613" spans="1:9" s="8" customFormat="1">
      <c r="A2613" s="5"/>
      <c r="B2613" t="s">
        <v>2371</v>
      </c>
      <c r="C2613" s="288">
        <v>4378378</v>
      </c>
      <c r="D2613" s="288">
        <v>0</v>
      </c>
      <c r="E2613" s="284">
        <f t="shared" si="40"/>
        <v>0</v>
      </c>
      <c r="F2613" t="s">
        <v>10</v>
      </c>
      <c r="G2613" s="8" t="s">
        <v>94</v>
      </c>
      <c r="H2613" s="8" t="s">
        <v>5867</v>
      </c>
      <c r="I2613" s="37" t="s">
        <v>2242</v>
      </c>
    </row>
    <row r="2614" spans="1:9" s="8" customFormat="1">
      <c r="A2614" s="5">
        <v>45919</v>
      </c>
      <c r="B2614" t="s">
        <v>4032</v>
      </c>
      <c r="C2614" s="288">
        <v>0</v>
      </c>
      <c r="D2614" s="288">
        <v>67927928</v>
      </c>
      <c r="E2614" s="284">
        <f t="shared" si="40"/>
        <v>67927928</v>
      </c>
      <c r="F2614" s="8" t="s">
        <v>2140</v>
      </c>
      <c r="G2614" t="s">
        <v>2141</v>
      </c>
      <c r="H2614" t="s">
        <v>2326</v>
      </c>
      <c r="I2614" t="s">
        <v>3455</v>
      </c>
    </row>
    <row r="2615" spans="1:9" s="8" customFormat="1">
      <c r="A2615" s="5"/>
      <c r="B2615" t="s">
        <v>4032</v>
      </c>
      <c r="C2615" s="210">
        <v>57477478</v>
      </c>
      <c r="D2615" s="288">
        <v>0</v>
      </c>
      <c r="E2615" s="284">
        <f t="shared" si="40"/>
        <v>10450450</v>
      </c>
      <c r="F2615" t="s">
        <v>920</v>
      </c>
      <c r="G2615" s="8" t="s">
        <v>7858</v>
      </c>
      <c r="H2615" t="s">
        <v>7218</v>
      </c>
      <c r="I2615" t="s">
        <v>3455</v>
      </c>
    </row>
    <row r="2616" spans="1:9" s="8" customFormat="1">
      <c r="A2616" s="5"/>
      <c r="B2616" t="s">
        <v>4032</v>
      </c>
      <c r="C2616" s="288">
        <v>10450450</v>
      </c>
      <c r="D2616" s="288">
        <v>0</v>
      </c>
      <c r="E2616" s="284">
        <f t="shared" si="40"/>
        <v>0</v>
      </c>
      <c r="F2616" t="s">
        <v>10</v>
      </c>
      <c r="G2616" s="8" t="s">
        <v>94</v>
      </c>
      <c r="H2616" s="8" t="s">
        <v>5867</v>
      </c>
      <c r="I2616" t="s">
        <v>3455</v>
      </c>
    </row>
    <row r="2617" spans="1:9" s="8" customFormat="1">
      <c r="A2617" s="5">
        <v>45923</v>
      </c>
      <c r="B2617" t="s">
        <v>4232</v>
      </c>
      <c r="C2617" s="288">
        <v>0</v>
      </c>
      <c r="D2617" s="288">
        <v>30184967</v>
      </c>
      <c r="E2617" s="284">
        <f t="shared" si="40"/>
        <v>30184967</v>
      </c>
      <c r="F2617" s="8" t="s">
        <v>2140</v>
      </c>
      <c r="G2617" t="s">
        <v>2141</v>
      </c>
      <c r="H2617" t="s">
        <v>3457</v>
      </c>
      <c r="I2617" t="s">
        <v>3456</v>
      </c>
    </row>
    <row r="2618" spans="1:9" s="8" customFormat="1">
      <c r="A2618" s="5"/>
      <c r="B2618" t="s">
        <v>4232</v>
      </c>
      <c r="C2618" s="210">
        <v>25541126</v>
      </c>
      <c r="D2618" s="288">
        <v>0</v>
      </c>
      <c r="E2618" s="284">
        <f t="shared" si="40"/>
        <v>4643841</v>
      </c>
      <c r="F2618" t="s">
        <v>920</v>
      </c>
      <c r="G2618" s="8" t="s">
        <v>7858</v>
      </c>
      <c r="H2618" t="s">
        <v>7218</v>
      </c>
      <c r="I2618" t="s">
        <v>3456</v>
      </c>
    </row>
    <row r="2619" spans="1:9" s="8" customFormat="1">
      <c r="A2619" s="5"/>
      <c r="B2619" s="80" t="s">
        <v>4232</v>
      </c>
      <c r="C2619" s="288">
        <v>4643841</v>
      </c>
      <c r="D2619" s="288">
        <v>0</v>
      </c>
      <c r="E2619" s="284">
        <f t="shared" si="40"/>
        <v>0</v>
      </c>
      <c r="F2619" t="s">
        <v>10</v>
      </c>
      <c r="G2619" s="8" t="s">
        <v>94</v>
      </c>
      <c r="H2619" s="8" t="s">
        <v>5867</v>
      </c>
      <c r="I2619" t="s">
        <v>3456</v>
      </c>
    </row>
    <row r="2620" spans="1:9" s="8" customFormat="1">
      <c r="A2620" s="5">
        <v>46017</v>
      </c>
      <c r="B2620" s="80" t="s">
        <v>6438</v>
      </c>
      <c r="C2620" s="288">
        <v>0</v>
      </c>
      <c r="D2620" s="288">
        <v>76126127</v>
      </c>
      <c r="E2620" s="284">
        <f t="shared" si="40"/>
        <v>76126127</v>
      </c>
      <c r="F2620" t="s">
        <v>2140</v>
      </c>
      <c r="G2620" s="8" t="s">
        <v>2141</v>
      </c>
      <c r="H2620" s="8" t="s">
        <v>5998</v>
      </c>
      <c r="I2620" t="s">
        <v>6365</v>
      </c>
    </row>
    <row r="2621" spans="1:9" s="8" customFormat="1">
      <c r="A2621" s="5" t="s">
        <v>26</v>
      </c>
      <c r="B2621" s="80" t="s">
        <v>6438</v>
      </c>
      <c r="C2621" s="296">
        <v>64414415</v>
      </c>
      <c r="D2621" s="288">
        <v>0</v>
      </c>
      <c r="E2621" s="284">
        <f t="shared" si="40"/>
        <v>11711712</v>
      </c>
      <c r="F2621" t="s">
        <v>920</v>
      </c>
      <c r="G2621" s="8" t="s">
        <v>7858</v>
      </c>
      <c r="H2621" t="s">
        <v>7218</v>
      </c>
      <c r="I2621" t="s">
        <v>6365</v>
      </c>
    </row>
    <row r="2622" spans="1:9" s="8" customFormat="1">
      <c r="A2622" s="5" t="s">
        <v>26</v>
      </c>
      <c r="B2622" s="80" t="s">
        <v>6438</v>
      </c>
      <c r="C2622" s="288">
        <v>11711712</v>
      </c>
      <c r="D2622" s="288">
        <v>0</v>
      </c>
      <c r="E2622" s="284">
        <f t="shared" si="40"/>
        <v>0</v>
      </c>
      <c r="F2622" t="s">
        <v>10</v>
      </c>
      <c r="G2622" s="8" t="s">
        <v>94</v>
      </c>
      <c r="H2622" s="8" t="s">
        <v>5867</v>
      </c>
      <c r="I2622" t="s">
        <v>6365</v>
      </c>
    </row>
    <row r="2623" spans="1:9" s="8" customFormat="1">
      <c r="A2623" s="5">
        <v>46017</v>
      </c>
      <c r="B2623" s="80" t="s">
        <v>6439</v>
      </c>
      <c r="C2623" s="288">
        <v>0</v>
      </c>
      <c r="D2623" s="288">
        <v>58558559</v>
      </c>
      <c r="E2623" s="284">
        <f t="shared" si="40"/>
        <v>58558559</v>
      </c>
      <c r="F2623" t="s">
        <v>2140</v>
      </c>
      <c r="G2623" s="8" t="s">
        <v>2141</v>
      </c>
      <c r="H2623" s="8" t="s">
        <v>5956</v>
      </c>
      <c r="I2623" t="s">
        <v>6367</v>
      </c>
    </row>
    <row r="2624" spans="1:9" s="8" customFormat="1">
      <c r="A2624" s="5"/>
      <c r="B2624" s="80" t="s">
        <v>6439</v>
      </c>
      <c r="C2624" s="290">
        <v>49549550</v>
      </c>
      <c r="D2624" s="288">
        <v>0</v>
      </c>
      <c r="E2624" s="284">
        <f t="shared" si="40"/>
        <v>9009009</v>
      </c>
      <c r="F2624" t="s">
        <v>920</v>
      </c>
      <c r="G2624" s="8" t="s">
        <v>7858</v>
      </c>
      <c r="H2624" t="s">
        <v>7218</v>
      </c>
      <c r="I2624" t="s">
        <v>6367</v>
      </c>
    </row>
    <row r="2625" spans="1:9" s="8" customFormat="1">
      <c r="A2625" s="5"/>
      <c r="B2625" s="80" t="s">
        <v>6439</v>
      </c>
      <c r="C2625" s="288">
        <v>9009009</v>
      </c>
      <c r="D2625" s="288">
        <v>0</v>
      </c>
      <c r="E2625" s="284">
        <f t="shared" si="40"/>
        <v>0</v>
      </c>
      <c r="F2625" t="s">
        <v>10</v>
      </c>
      <c r="G2625" s="8" t="s">
        <v>94</v>
      </c>
      <c r="H2625" s="8" t="s">
        <v>5867</v>
      </c>
      <c r="I2625" t="s">
        <v>6367</v>
      </c>
    </row>
    <row r="2626" spans="1:9" s="8" customFormat="1">
      <c r="A2626" s="5">
        <v>46017</v>
      </c>
      <c r="B2626" s="80" t="s">
        <v>6440</v>
      </c>
      <c r="C2626" s="288">
        <v>0</v>
      </c>
      <c r="D2626" s="288">
        <v>93693693</v>
      </c>
      <c r="E2626" s="284">
        <f t="shared" si="40"/>
        <v>93693693</v>
      </c>
      <c r="F2626" t="s">
        <v>2140</v>
      </c>
      <c r="G2626" s="8" t="s">
        <v>2141</v>
      </c>
      <c r="H2626" s="8" t="s">
        <v>4080</v>
      </c>
      <c r="I2626" t="s">
        <v>6369</v>
      </c>
    </row>
    <row r="2627" spans="1:9" s="8" customFormat="1">
      <c r="A2627" s="5"/>
      <c r="B2627" s="80" t="s">
        <v>6440</v>
      </c>
      <c r="C2627" s="296">
        <v>79279279</v>
      </c>
      <c r="D2627" s="288">
        <v>0</v>
      </c>
      <c r="E2627" s="284">
        <f t="shared" si="40"/>
        <v>14414414</v>
      </c>
      <c r="F2627" t="s">
        <v>920</v>
      </c>
      <c r="G2627" s="8" t="s">
        <v>7858</v>
      </c>
      <c r="H2627" t="s">
        <v>7218</v>
      </c>
      <c r="I2627" t="s">
        <v>6369</v>
      </c>
    </row>
    <row r="2628" spans="1:9" s="8" customFormat="1">
      <c r="A2628" s="5"/>
      <c r="B2628" s="80" t="s">
        <v>6440</v>
      </c>
      <c r="C2628" s="288">
        <v>14414414</v>
      </c>
      <c r="D2628" s="288">
        <v>0</v>
      </c>
      <c r="E2628" s="284">
        <f t="shared" si="40"/>
        <v>0</v>
      </c>
      <c r="F2628" t="s">
        <v>10</v>
      </c>
      <c r="G2628" s="8" t="s">
        <v>94</v>
      </c>
      <c r="H2628" s="8" t="s">
        <v>5867</v>
      </c>
      <c r="I2628" t="s">
        <v>6369</v>
      </c>
    </row>
    <row r="2629" spans="1:9" s="8" customFormat="1">
      <c r="A2629" s="5">
        <v>45701</v>
      </c>
      <c r="B2629" t="s">
        <v>782</v>
      </c>
      <c r="C2629" s="283">
        <v>0</v>
      </c>
      <c r="D2629" s="283">
        <v>1437800</v>
      </c>
      <c r="E2629" s="284">
        <f t="shared" si="40"/>
        <v>1437800</v>
      </c>
      <c r="F2629" t="s">
        <v>2140</v>
      </c>
      <c r="G2629" t="s">
        <v>2141</v>
      </c>
      <c r="H2629" s="154" t="s">
        <v>1352</v>
      </c>
      <c r="I2629" s="37" t="s">
        <v>1470</v>
      </c>
    </row>
    <row r="2630" spans="1:9" s="8" customFormat="1">
      <c r="A2630" s="5"/>
      <c r="B2630" t="s">
        <v>782</v>
      </c>
      <c r="C2630" s="209">
        <v>1216600</v>
      </c>
      <c r="D2630" s="288">
        <v>0</v>
      </c>
      <c r="E2630" s="284">
        <f t="shared" ref="E2630:E2694" si="41">E2629-C2630+D2630</f>
        <v>221200</v>
      </c>
      <c r="F2630" t="s">
        <v>920</v>
      </c>
      <c r="G2630" s="8" t="s">
        <v>7858</v>
      </c>
      <c r="H2630" t="s">
        <v>7218</v>
      </c>
      <c r="I2630" s="37" t="s">
        <v>1470</v>
      </c>
    </row>
    <row r="2631" spans="1:9" s="8" customFormat="1">
      <c r="A2631" s="5"/>
      <c r="B2631" t="s">
        <v>782</v>
      </c>
      <c r="C2631" s="288">
        <v>221200</v>
      </c>
      <c r="D2631" s="288">
        <v>0</v>
      </c>
      <c r="E2631" s="284">
        <f t="shared" si="41"/>
        <v>0</v>
      </c>
      <c r="F2631" t="s">
        <v>10</v>
      </c>
      <c r="G2631" s="8" t="s">
        <v>94</v>
      </c>
      <c r="H2631" s="8" t="s">
        <v>5867</v>
      </c>
      <c r="I2631" s="37" t="s">
        <v>1470</v>
      </c>
    </row>
    <row r="2632" spans="1:9" s="8" customFormat="1">
      <c r="A2632" s="5">
        <v>45705</v>
      </c>
      <c r="B2632" t="s">
        <v>783</v>
      </c>
      <c r="C2632" s="283">
        <v>0</v>
      </c>
      <c r="D2632" s="283">
        <v>29279280</v>
      </c>
      <c r="E2632" s="284">
        <f t="shared" si="41"/>
        <v>29279280</v>
      </c>
      <c r="F2632" t="s">
        <v>2140</v>
      </c>
      <c r="G2632" t="s">
        <v>2141</v>
      </c>
      <c r="H2632" s="154" t="s">
        <v>1352</v>
      </c>
      <c r="I2632" s="37" t="s">
        <v>1466</v>
      </c>
    </row>
    <row r="2633" spans="1:9" s="8" customFormat="1">
      <c r="A2633" s="5"/>
      <c r="B2633" t="s">
        <v>783</v>
      </c>
      <c r="C2633" s="296">
        <v>24774775</v>
      </c>
      <c r="D2633" s="288">
        <v>0</v>
      </c>
      <c r="E2633" s="284">
        <f t="shared" si="41"/>
        <v>4504505</v>
      </c>
      <c r="F2633" t="s">
        <v>920</v>
      </c>
      <c r="G2633" s="8" t="s">
        <v>7858</v>
      </c>
      <c r="H2633" s="80" t="s">
        <v>7218</v>
      </c>
      <c r="I2633" s="37" t="s">
        <v>1466</v>
      </c>
    </row>
    <row r="2634" spans="1:9" s="8" customFormat="1">
      <c r="A2634" s="5"/>
      <c r="B2634" t="s">
        <v>783</v>
      </c>
      <c r="C2634" s="288">
        <v>4504505</v>
      </c>
      <c r="D2634" s="288">
        <v>0</v>
      </c>
      <c r="E2634" s="284">
        <f t="shared" si="41"/>
        <v>0</v>
      </c>
      <c r="F2634" t="s">
        <v>10</v>
      </c>
      <c r="G2634" s="8" t="s">
        <v>94</v>
      </c>
      <c r="H2634" s="8" t="s">
        <v>5867</v>
      </c>
      <c r="I2634" s="37" t="s">
        <v>1466</v>
      </c>
    </row>
    <row r="2635" spans="1:9" s="8" customFormat="1">
      <c r="A2635" s="5">
        <v>45728</v>
      </c>
      <c r="B2635" t="s">
        <v>1206</v>
      </c>
      <c r="C2635" s="283">
        <v>0</v>
      </c>
      <c r="D2635" s="283">
        <v>22129250</v>
      </c>
      <c r="E2635" s="284">
        <f t="shared" si="41"/>
        <v>22129250</v>
      </c>
      <c r="F2635" t="s">
        <v>2140</v>
      </c>
      <c r="G2635" t="s">
        <v>2141</v>
      </c>
      <c r="H2635" s="154" t="s">
        <v>1583</v>
      </c>
      <c r="I2635" s="37" t="s">
        <v>1515</v>
      </c>
    </row>
    <row r="2636" spans="1:9" s="8" customFormat="1">
      <c r="A2636" s="5"/>
      <c r="B2636" t="s">
        <v>1206</v>
      </c>
      <c r="C2636" s="210">
        <v>18724750</v>
      </c>
      <c r="D2636" s="288">
        <v>0</v>
      </c>
      <c r="E2636" s="284">
        <f t="shared" si="41"/>
        <v>3404500</v>
      </c>
      <c r="F2636" t="s">
        <v>920</v>
      </c>
      <c r="G2636" s="8" t="s">
        <v>7858</v>
      </c>
      <c r="H2636" s="80" t="s">
        <v>7218</v>
      </c>
      <c r="I2636" s="37" t="s">
        <v>1515</v>
      </c>
    </row>
    <row r="2637" spans="1:9" s="8" customFormat="1">
      <c r="A2637" s="5"/>
      <c r="B2637" t="s">
        <v>1206</v>
      </c>
      <c r="C2637" s="288">
        <v>3404500</v>
      </c>
      <c r="D2637" s="288">
        <v>0</v>
      </c>
      <c r="E2637" s="284">
        <f t="shared" si="41"/>
        <v>0</v>
      </c>
      <c r="F2637" t="s">
        <v>10</v>
      </c>
      <c r="G2637" s="8" t="s">
        <v>94</v>
      </c>
      <c r="H2637" s="8" t="s">
        <v>5867</v>
      </c>
      <c r="I2637" s="37" t="s">
        <v>1515</v>
      </c>
    </row>
    <row r="2638" spans="1:9" s="8" customFormat="1">
      <c r="A2638" s="5">
        <v>45734</v>
      </c>
      <c r="B2638" t="s">
        <v>1207</v>
      </c>
      <c r="C2638" s="283">
        <v>0</v>
      </c>
      <c r="D2638" s="283">
        <v>26012610</v>
      </c>
      <c r="E2638" s="284">
        <f t="shared" si="41"/>
        <v>26012610</v>
      </c>
      <c r="F2638" t="s">
        <v>2140</v>
      </c>
      <c r="G2638" t="s">
        <v>2141</v>
      </c>
      <c r="H2638" s="154" t="s">
        <v>757</v>
      </c>
      <c r="I2638" s="37" t="s">
        <v>1520</v>
      </c>
    </row>
    <row r="2639" spans="1:9" s="8" customFormat="1">
      <c r="A2639" s="5"/>
      <c r="B2639" t="s">
        <v>1207</v>
      </c>
      <c r="C2639" s="210">
        <v>22010670</v>
      </c>
      <c r="D2639" s="288">
        <v>0</v>
      </c>
      <c r="E2639" s="284">
        <f t="shared" si="41"/>
        <v>4001940</v>
      </c>
      <c r="F2639" t="s">
        <v>920</v>
      </c>
      <c r="G2639" s="8" t="s">
        <v>7858</v>
      </c>
      <c r="H2639" s="80" t="s">
        <v>7218</v>
      </c>
      <c r="I2639" s="37" t="s">
        <v>1520</v>
      </c>
    </row>
    <row r="2640" spans="1:9" s="8" customFormat="1">
      <c r="A2640" s="5"/>
      <c r="B2640" t="s">
        <v>1207</v>
      </c>
      <c r="C2640" s="288">
        <v>4001940</v>
      </c>
      <c r="D2640" s="288">
        <v>0</v>
      </c>
      <c r="E2640" s="284">
        <f t="shared" si="41"/>
        <v>0</v>
      </c>
      <c r="F2640" t="s">
        <v>10</v>
      </c>
      <c r="G2640" s="8" t="s">
        <v>94</v>
      </c>
      <c r="H2640" s="8" t="s">
        <v>5867</v>
      </c>
      <c r="I2640" s="37" t="s">
        <v>1520</v>
      </c>
    </row>
    <row r="2641" spans="1:9" s="8" customFormat="1">
      <c r="A2641" s="5">
        <v>45734</v>
      </c>
      <c r="B2641" t="s">
        <v>1208</v>
      </c>
      <c r="C2641" s="283">
        <v>0</v>
      </c>
      <c r="D2641" s="283">
        <v>10515960</v>
      </c>
      <c r="E2641" s="284">
        <f t="shared" si="41"/>
        <v>10515960</v>
      </c>
      <c r="F2641" t="s">
        <v>2140</v>
      </c>
      <c r="G2641" t="s">
        <v>2141</v>
      </c>
      <c r="H2641" s="154" t="s">
        <v>1411</v>
      </c>
      <c r="I2641" s="37" t="s">
        <v>1519</v>
      </c>
    </row>
    <row r="2642" spans="1:9" s="8" customFormat="1">
      <c r="A2642" s="5"/>
      <c r="B2642" t="s">
        <v>1208</v>
      </c>
      <c r="C2642" s="210">
        <v>8898120</v>
      </c>
      <c r="D2642" s="288">
        <v>0</v>
      </c>
      <c r="E2642" s="284">
        <f t="shared" si="41"/>
        <v>1617840</v>
      </c>
      <c r="F2642" t="s">
        <v>920</v>
      </c>
      <c r="G2642" s="8" t="s">
        <v>7858</v>
      </c>
      <c r="H2642" s="80" t="s">
        <v>7218</v>
      </c>
      <c r="I2642" s="37" t="s">
        <v>1519</v>
      </c>
    </row>
    <row r="2643" spans="1:9" s="8" customFormat="1">
      <c r="A2643" s="5"/>
      <c r="B2643" t="s">
        <v>1208</v>
      </c>
      <c r="C2643" s="288">
        <v>1617840</v>
      </c>
      <c r="D2643" s="288">
        <v>0</v>
      </c>
      <c r="E2643" s="284">
        <f t="shared" si="41"/>
        <v>0</v>
      </c>
      <c r="F2643" t="s">
        <v>10</v>
      </c>
      <c r="G2643" s="8" t="s">
        <v>94</v>
      </c>
      <c r="H2643" s="8" t="s">
        <v>5867</v>
      </c>
      <c r="I2643" s="37" t="s">
        <v>1519</v>
      </c>
    </row>
    <row r="2644" spans="1:9" s="8" customFormat="1">
      <c r="A2644" s="5">
        <v>45805</v>
      </c>
      <c r="B2644" t="s">
        <v>1346</v>
      </c>
      <c r="C2644" s="283">
        <v>0</v>
      </c>
      <c r="D2644" s="283">
        <v>67342342</v>
      </c>
      <c r="E2644" s="284">
        <f t="shared" si="41"/>
        <v>67342342</v>
      </c>
      <c r="F2644" t="s">
        <v>2140</v>
      </c>
      <c r="G2644" t="s">
        <v>2141</v>
      </c>
      <c r="H2644" s="154" t="s">
        <v>1364</v>
      </c>
      <c r="I2644" s="37" t="s">
        <v>1552</v>
      </c>
    </row>
    <row r="2645" spans="1:9" s="8" customFormat="1">
      <c r="A2645" s="5"/>
      <c r="B2645" t="s">
        <v>1346</v>
      </c>
      <c r="C2645" s="210">
        <v>56981982</v>
      </c>
      <c r="D2645" s="288">
        <v>0</v>
      </c>
      <c r="E2645" s="284">
        <f t="shared" si="41"/>
        <v>10360360</v>
      </c>
      <c r="F2645" t="s">
        <v>920</v>
      </c>
      <c r="G2645" s="8" t="s">
        <v>7858</v>
      </c>
      <c r="H2645" s="80" t="s">
        <v>7218</v>
      </c>
      <c r="I2645" s="37" t="s">
        <v>1552</v>
      </c>
    </row>
    <row r="2646" spans="1:9" s="8" customFormat="1">
      <c r="A2646" s="5"/>
      <c r="B2646" t="s">
        <v>1346</v>
      </c>
      <c r="C2646" s="288">
        <v>10360360</v>
      </c>
      <c r="D2646" s="288">
        <v>0</v>
      </c>
      <c r="E2646" s="284">
        <f t="shared" si="41"/>
        <v>0</v>
      </c>
      <c r="F2646" t="s">
        <v>10</v>
      </c>
      <c r="G2646" s="8" t="s">
        <v>94</v>
      </c>
      <c r="H2646" s="8" t="s">
        <v>5867</v>
      </c>
      <c r="I2646" s="120" t="s">
        <v>1552</v>
      </c>
    </row>
    <row r="2647" spans="1:9" s="8" customFormat="1">
      <c r="A2647" s="5">
        <v>45810</v>
      </c>
      <c r="B2647" t="s">
        <v>2337</v>
      </c>
      <c r="C2647" s="283">
        <v>0</v>
      </c>
      <c r="D2647" s="283">
        <v>4099099</v>
      </c>
      <c r="E2647" s="284">
        <f t="shared" si="41"/>
        <v>4099099</v>
      </c>
      <c r="F2647" t="s">
        <v>2140</v>
      </c>
      <c r="G2647" t="s">
        <v>2141</v>
      </c>
      <c r="H2647" s="154" t="s">
        <v>1364</v>
      </c>
      <c r="I2647" s="37" t="s">
        <v>1553</v>
      </c>
    </row>
    <row r="2648" spans="1:9" s="8" customFormat="1">
      <c r="A2648" s="5"/>
      <c r="B2648" t="s">
        <v>2337</v>
      </c>
      <c r="C2648" s="210">
        <v>3468468</v>
      </c>
      <c r="D2648" s="288">
        <v>0</v>
      </c>
      <c r="E2648" s="284">
        <f t="shared" si="41"/>
        <v>630631</v>
      </c>
      <c r="F2648" t="s">
        <v>920</v>
      </c>
      <c r="G2648" s="8" t="s">
        <v>7858</v>
      </c>
      <c r="H2648" s="80" t="s">
        <v>7218</v>
      </c>
      <c r="I2648" s="37" t="s">
        <v>1553</v>
      </c>
    </row>
    <row r="2649" spans="1:9" s="8" customFormat="1">
      <c r="A2649" s="5"/>
      <c r="B2649" t="s">
        <v>2337</v>
      </c>
      <c r="C2649" s="288">
        <v>630631</v>
      </c>
      <c r="D2649" s="288">
        <v>0</v>
      </c>
      <c r="E2649" s="284">
        <f t="shared" si="41"/>
        <v>0</v>
      </c>
      <c r="F2649" t="s">
        <v>10</v>
      </c>
      <c r="G2649" s="8" t="s">
        <v>94</v>
      </c>
      <c r="H2649" s="8" t="s">
        <v>5867</v>
      </c>
      <c r="I2649" s="37" t="s">
        <v>1553</v>
      </c>
    </row>
    <row r="2650" spans="1:9" s="8" customFormat="1">
      <c r="A2650" s="5">
        <v>45903</v>
      </c>
      <c r="B2650" t="s">
        <v>2971</v>
      </c>
      <c r="C2650" s="283">
        <v>0</v>
      </c>
      <c r="D2650" s="283">
        <v>105405405</v>
      </c>
      <c r="E2650" s="284">
        <f t="shared" si="41"/>
        <v>105405405</v>
      </c>
      <c r="F2650" t="s">
        <v>2140</v>
      </c>
      <c r="G2650" t="s">
        <v>2141</v>
      </c>
      <c r="H2650" t="s">
        <v>2326</v>
      </c>
      <c r="I2650" t="s">
        <v>3406</v>
      </c>
    </row>
    <row r="2651" spans="1:9" s="8" customFormat="1">
      <c r="A2651" s="5"/>
      <c r="B2651" t="s">
        <v>2971</v>
      </c>
      <c r="C2651" s="210">
        <v>89189189</v>
      </c>
      <c r="D2651" s="288">
        <v>0</v>
      </c>
      <c r="E2651" s="284">
        <f t="shared" si="41"/>
        <v>16216216</v>
      </c>
      <c r="F2651" t="s">
        <v>920</v>
      </c>
      <c r="G2651" s="8" t="s">
        <v>7858</v>
      </c>
      <c r="H2651" s="80" t="s">
        <v>7218</v>
      </c>
      <c r="I2651" t="s">
        <v>3406</v>
      </c>
    </row>
    <row r="2652" spans="1:9" s="8" customFormat="1">
      <c r="A2652" s="5"/>
      <c r="B2652" t="s">
        <v>2971</v>
      </c>
      <c r="C2652" s="288">
        <v>16216216</v>
      </c>
      <c r="D2652" s="288">
        <v>0</v>
      </c>
      <c r="E2652" s="284">
        <f t="shared" si="41"/>
        <v>0</v>
      </c>
      <c r="F2652" t="s">
        <v>10</v>
      </c>
      <c r="G2652" s="8" t="s">
        <v>94</v>
      </c>
      <c r="H2652" s="8" t="s">
        <v>5867</v>
      </c>
      <c r="I2652" t="s">
        <v>3406</v>
      </c>
    </row>
    <row r="2653" spans="1:9" s="8" customFormat="1">
      <c r="A2653" s="5">
        <v>45915</v>
      </c>
      <c r="B2653" t="s">
        <v>3594</v>
      </c>
      <c r="C2653" s="283">
        <v>0</v>
      </c>
      <c r="D2653" s="283">
        <v>35135135</v>
      </c>
      <c r="E2653" s="284">
        <f t="shared" si="41"/>
        <v>35135135</v>
      </c>
      <c r="F2653" t="s">
        <v>2140</v>
      </c>
      <c r="G2653" t="s">
        <v>2141</v>
      </c>
      <c r="H2653" t="s">
        <v>3457</v>
      </c>
      <c r="I2653" t="s">
        <v>4058</v>
      </c>
    </row>
    <row r="2654" spans="1:9" s="8" customFormat="1">
      <c r="A2654" s="5"/>
      <c r="B2654" t="s">
        <v>3594</v>
      </c>
      <c r="C2654" s="209">
        <v>29729730</v>
      </c>
      <c r="D2654" s="288">
        <v>0</v>
      </c>
      <c r="E2654" s="284">
        <f t="shared" si="41"/>
        <v>5405405</v>
      </c>
      <c r="F2654" t="s">
        <v>920</v>
      </c>
      <c r="G2654" s="8" t="s">
        <v>7858</v>
      </c>
      <c r="H2654" s="80" t="s">
        <v>7218</v>
      </c>
      <c r="I2654" t="s">
        <v>4058</v>
      </c>
    </row>
    <row r="2655" spans="1:9" s="8" customFormat="1">
      <c r="A2655" s="5"/>
      <c r="B2655" t="s">
        <v>3594</v>
      </c>
      <c r="C2655" s="288">
        <v>5405405</v>
      </c>
      <c r="D2655" s="288">
        <v>0</v>
      </c>
      <c r="E2655" s="284">
        <f t="shared" si="41"/>
        <v>0</v>
      </c>
      <c r="F2655" t="s">
        <v>10</v>
      </c>
      <c r="G2655" s="8" t="s">
        <v>94</v>
      </c>
      <c r="H2655" s="8" t="s">
        <v>5867</v>
      </c>
      <c r="I2655" t="s">
        <v>4058</v>
      </c>
    </row>
    <row r="2656" spans="1:9" s="8" customFormat="1">
      <c r="A2656" s="5">
        <v>45975</v>
      </c>
      <c r="B2656" t="s">
        <v>4613</v>
      </c>
      <c r="C2656" s="283">
        <v>0</v>
      </c>
      <c r="D2656" s="283">
        <v>93693693</v>
      </c>
      <c r="E2656" s="284">
        <f t="shared" si="41"/>
        <v>93693693</v>
      </c>
      <c r="F2656" t="s">
        <v>2140</v>
      </c>
      <c r="G2656" t="s">
        <v>2141</v>
      </c>
      <c r="H2656" s="154" t="s">
        <v>4080</v>
      </c>
      <c r="I2656" s="37" t="s">
        <v>5843</v>
      </c>
    </row>
    <row r="2657" spans="1:9" s="8" customFormat="1">
      <c r="A2657" s="5"/>
      <c r="B2657" t="s">
        <v>4613</v>
      </c>
      <c r="C2657" s="209">
        <v>79279279</v>
      </c>
      <c r="D2657" s="288">
        <v>0</v>
      </c>
      <c r="E2657" s="284">
        <f t="shared" si="41"/>
        <v>14414414</v>
      </c>
      <c r="F2657" t="s">
        <v>920</v>
      </c>
      <c r="G2657" s="8" t="s">
        <v>7858</v>
      </c>
      <c r="H2657" s="80" t="s">
        <v>7218</v>
      </c>
      <c r="I2657" s="37" t="s">
        <v>5843</v>
      </c>
    </row>
    <row r="2658" spans="1:9" s="8" customFormat="1">
      <c r="A2658" s="5"/>
      <c r="B2658" t="s">
        <v>4613</v>
      </c>
      <c r="C2658" s="288">
        <v>14414414</v>
      </c>
      <c r="D2658" s="288">
        <v>0</v>
      </c>
      <c r="E2658" s="284">
        <f t="shared" si="41"/>
        <v>0</v>
      </c>
      <c r="F2658" t="s">
        <v>10</v>
      </c>
      <c r="G2658" s="8" t="s">
        <v>94</v>
      </c>
      <c r="H2658" s="8" t="s">
        <v>5867</v>
      </c>
      <c r="I2658" s="37" t="s">
        <v>5843</v>
      </c>
    </row>
    <row r="2659" spans="1:9" s="8" customFormat="1">
      <c r="A2659" s="201">
        <v>45702</v>
      </c>
      <c r="B2659" s="287" t="s">
        <v>1222</v>
      </c>
      <c r="C2659" s="287">
        <v>0</v>
      </c>
      <c r="D2659" s="287">
        <v>5855856</v>
      </c>
      <c r="E2659" s="284">
        <f t="shared" si="41"/>
        <v>5855856</v>
      </c>
      <c r="F2659" s="15" t="s">
        <v>2140</v>
      </c>
      <c r="G2659" t="s">
        <v>2141</v>
      </c>
      <c r="H2659" s="154" t="s">
        <v>1352</v>
      </c>
      <c r="I2659" s="37" t="s">
        <v>1491</v>
      </c>
    </row>
    <row r="2660" spans="1:9" s="8" customFormat="1">
      <c r="A2660" s="5"/>
      <c r="B2660" s="287" t="s">
        <v>1222</v>
      </c>
      <c r="C2660" s="209">
        <v>4954955</v>
      </c>
      <c r="D2660" s="288">
        <v>0</v>
      </c>
      <c r="E2660" s="284">
        <f t="shared" si="41"/>
        <v>900901</v>
      </c>
      <c r="F2660" t="s">
        <v>920</v>
      </c>
      <c r="G2660" s="8" t="s">
        <v>7858</v>
      </c>
      <c r="H2660" s="80" t="s">
        <v>7218</v>
      </c>
      <c r="I2660" s="37" t="s">
        <v>1491</v>
      </c>
    </row>
    <row r="2661" spans="1:9" s="8" customFormat="1">
      <c r="A2661" s="5"/>
      <c r="B2661" s="287" t="s">
        <v>1222</v>
      </c>
      <c r="C2661" s="288">
        <v>900901</v>
      </c>
      <c r="D2661" s="288">
        <v>0</v>
      </c>
      <c r="E2661" s="284">
        <f t="shared" si="41"/>
        <v>0</v>
      </c>
      <c r="F2661" t="s">
        <v>10</v>
      </c>
      <c r="G2661" s="8" t="s">
        <v>94</v>
      </c>
      <c r="H2661" s="8" t="s">
        <v>5867</v>
      </c>
      <c r="I2661" s="37" t="s">
        <v>1491</v>
      </c>
    </row>
    <row r="2662" spans="1:9" s="8" customFormat="1">
      <c r="A2662" s="201">
        <v>45705</v>
      </c>
      <c r="B2662" s="287" t="s">
        <v>1223</v>
      </c>
      <c r="C2662" s="287">
        <v>0</v>
      </c>
      <c r="D2662" s="287">
        <v>29279280</v>
      </c>
      <c r="E2662" s="284">
        <f t="shared" si="41"/>
        <v>29279280</v>
      </c>
      <c r="F2662" s="15" t="s">
        <v>2140</v>
      </c>
      <c r="G2662" t="s">
        <v>2141</v>
      </c>
      <c r="H2662" s="154" t="s">
        <v>1352</v>
      </c>
      <c r="I2662" s="37" t="s">
        <v>1483</v>
      </c>
    </row>
    <row r="2663" spans="1:9" s="8" customFormat="1">
      <c r="A2663" s="5"/>
      <c r="B2663" s="287" t="s">
        <v>1223</v>
      </c>
      <c r="C2663" s="296">
        <v>24774775</v>
      </c>
      <c r="D2663" s="288">
        <v>0</v>
      </c>
      <c r="E2663" s="284">
        <f t="shared" si="41"/>
        <v>4504505</v>
      </c>
      <c r="F2663" t="s">
        <v>920</v>
      </c>
      <c r="G2663" s="8" t="s">
        <v>7858</v>
      </c>
      <c r="H2663" s="80" t="s">
        <v>7218</v>
      </c>
      <c r="I2663" s="37" t="s">
        <v>1483</v>
      </c>
    </row>
    <row r="2664" spans="1:9" s="8" customFormat="1">
      <c r="A2664" s="5"/>
      <c r="B2664" s="287" t="s">
        <v>1223</v>
      </c>
      <c r="C2664" s="288">
        <v>4504505</v>
      </c>
      <c r="D2664" s="288">
        <v>0</v>
      </c>
      <c r="E2664" s="284">
        <f t="shared" si="41"/>
        <v>0</v>
      </c>
      <c r="F2664" t="s">
        <v>10</v>
      </c>
      <c r="G2664" s="8" t="s">
        <v>94</v>
      </c>
      <c r="H2664" s="8" t="s">
        <v>5867</v>
      </c>
      <c r="I2664" s="37" t="s">
        <v>1483</v>
      </c>
    </row>
    <row r="2665" spans="1:9" s="8" customFormat="1">
      <c r="A2665" s="201">
        <v>45706</v>
      </c>
      <c r="B2665" s="287" t="s">
        <v>1224</v>
      </c>
      <c r="C2665" s="287">
        <v>0</v>
      </c>
      <c r="D2665" s="287">
        <v>9909910</v>
      </c>
      <c r="E2665" s="284">
        <f t="shared" si="41"/>
        <v>9909910</v>
      </c>
      <c r="F2665" s="15" t="s">
        <v>2140</v>
      </c>
      <c r="G2665" t="s">
        <v>2141</v>
      </c>
      <c r="H2665" s="154" t="s">
        <v>1352</v>
      </c>
      <c r="I2665" s="37" t="s">
        <v>1474</v>
      </c>
    </row>
    <row r="2666" spans="1:9" s="8" customFormat="1">
      <c r="A2666" s="5"/>
      <c r="B2666" s="287" t="s">
        <v>1224</v>
      </c>
      <c r="C2666" s="296">
        <v>9909910</v>
      </c>
      <c r="D2666" s="288">
        <v>0</v>
      </c>
      <c r="E2666" s="284">
        <f t="shared" si="41"/>
        <v>0</v>
      </c>
      <c r="F2666" t="s">
        <v>920</v>
      </c>
      <c r="G2666" s="8" t="s">
        <v>7858</v>
      </c>
      <c r="H2666" s="80" t="s">
        <v>7218</v>
      </c>
      <c r="I2666" s="37" t="s">
        <v>1474</v>
      </c>
    </row>
    <row r="2667" spans="1:9" s="8" customFormat="1">
      <c r="A2667" s="201">
        <v>45707</v>
      </c>
      <c r="B2667" s="287" t="s">
        <v>1225</v>
      </c>
      <c r="C2667" s="287">
        <v>0</v>
      </c>
      <c r="D2667" s="287">
        <v>6500000</v>
      </c>
      <c r="E2667" s="284">
        <f t="shared" si="41"/>
        <v>6500000</v>
      </c>
      <c r="F2667" s="15" t="s">
        <v>2140</v>
      </c>
      <c r="G2667" t="s">
        <v>2141</v>
      </c>
      <c r="H2667" s="154" t="s">
        <v>1352</v>
      </c>
      <c r="I2667" s="37" t="s">
        <v>1490</v>
      </c>
    </row>
    <row r="2668" spans="1:9" s="8" customFormat="1">
      <c r="A2668" s="5"/>
      <c r="B2668" s="287" t="s">
        <v>1225</v>
      </c>
      <c r="C2668" s="290">
        <v>5500000</v>
      </c>
      <c r="D2668" s="288">
        <v>0</v>
      </c>
      <c r="E2668" s="284">
        <f t="shared" si="41"/>
        <v>1000000</v>
      </c>
      <c r="F2668" t="s">
        <v>920</v>
      </c>
      <c r="G2668" s="8" t="s">
        <v>7858</v>
      </c>
      <c r="H2668" s="80" t="s">
        <v>7218</v>
      </c>
      <c r="I2668" s="37" t="s">
        <v>1490</v>
      </c>
    </row>
    <row r="2669" spans="1:9" s="8" customFormat="1">
      <c r="A2669" s="5"/>
      <c r="B2669" s="287" t="s">
        <v>1225</v>
      </c>
      <c r="C2669" s="288">
        <v>1000000</v>
      </c>
      <c r="D2669" s="288">
        <v>0</v>
      </c>
      <c r="E2669" s="284">
        <f t="shared" si="41"/>
        <v>0</v>
      </c>
      <c r="F2669" t="s">
        <v>10</v>
      </c>
      <c r="G2669" s="8" t="s">
        <v>94</v>
      </c>
      <c r="H2669" s="8" t="s">
        <v>5867</v>
      </c>
      <c r="I2669" s="37" t="s">
        <v>1490</v>
      </c>
    </row>
    <row r="2670" spans="1:9" s="8" customFormat="1">
      <c r="A2670" s="201">
        <v>45707</v>
      </c>
      <c r="B2670" s="287" t="s">
        <v>1226</v>
      </c>
      <c r="C2670" s="287">
        <v>0</v>
      </c>
      <c r="D2670" s="287">
        <v>1000000</v>
      </c>
      <c r="E2670" s="284">
        <f t="shared" si="41"/>
        <v>1000000</v>
      </c>
      <c r="F2670" s="15" t="s">
        <v>2140</v>
      </c>
      <c r="G2670" t="s">
        <v>2141</v>
      </c>
      <c r="H2670" s="154" t="s">
        <v>1352</v>
      </c>
      <c r="I2670" s="37" t="s">
        <v>1475</v>
      </c>
    </row>
    <row r="2671" spans="1:9" s="8" customFormat="1">
      <c r="A2671" s="5"/>
      <c r="B2671" s="287" t="s">
        <v>1226</v>
      </c>
      <c r="C2671" s="287">
        <v>1000000</v>
      </c>
      <c r="D2671" s="288">
        <v>0</v>
      </c>
      <c r="E2671" s="284">
        <f t="shared" si="41"/>
        <v>0</v>
      </c>
      <c r="F2671" t="s">
        <v>10</v>
      </c>
      <c r="G2671" s="8" t="s">
        <v>94</v>
      </c>
      <c r="H2671" s="8" t="s">
        <v>5867</v>
      </c>
      <c r="I2671" s="37" t="s">
        <v>1475</v>
      </c>
    </row>
    <row r="2672" spans="1:9" s="8" customFormat="1">
      <c r="A2672" s="201">
        <v>45709</v>
      </c>
      <c r="B2672" s="287" t="s">
        <v>1228</v>
      </c>
      <c r="C2672" s="287">
        <v>0</v>
      </c>
      <c r="D2672" s="287">
        <v>11711712</v>
      </c>
      <c r="E2672" s="284">
        <f t="shared" si="41"/>
        <v>11711712</v>
      </c>
      <c r="F2672" s="15" t="s">
        <v>2140</v>
      </c>
      <c r="G2672" t="s">
        <v>2141</v>
      </c>
      <c r="H2672" s="154" t="s">
        <v>1352</v>
      </c>
      <c r="I2672" s="37" t="s">
        <v>1494</v>
      </c>
    </row>
    <row r="2673" spans="1:9" s="8" customFormat="1">
      <c r="A2673" s="5"/>
      <c r="B2673" s="287" t="s">
        <v>1228</v>
      </c>
      <c r="C2673" s="296">
        <v>9909910</v>
      </c>
      <c r="D2673" s="288">
        <v>0</v>
      </c>
      <c r="E2673" s="284">
        <f t="shared" si="41"/>
        <v>1801802</v>
      </c>
      <c r="F2673" t="s">
        <v>920</v>
      </c>
      <c r="G2673" s="8" t="s">
        <v>7858</v>
      </c>
      <c r="H2673" s="80" t="s">
        <v>7218</v>
      </c>
      <c r="I2673" s="37" t="s">
        <v>1494</v>
      </c>
    </row>
    <row r="2674" spans="1:9" s="8" customFormat="1">
      <c r="A2674" s="5"/>
      <c r="B2674" s="287" t="s">
        <v>1228</v>
      </c>
      <c r="C2674" s="288">
        <v>1801802</v>
      </c>
      <c r="D2674" s="288">
        <v>0</v>
      </c>
      <c r="E2674" s="284">
        <f t="shared" si="41"/>
        <v>0</v>
      </c>
      <c r="F2674" t="s">
        <v>10</v>
      </c>
      <c r="G2674" s="8" t="s">
        <v>94</v>
      </c>
      <c r="H2674" s="8" t="s">
        <v>5867</v>
      </c>
      <c r="I2674" s="37" t="s">
        <v>1494</v>
      </c>
    </row>
    <row r="2675" spans="1:9" s="8" customFormat="1">
      <c r="A2675" s="201">
        <v>45709</v>
      </c>
      <c r="B2675" s="287" t="s">
        <v>1229</v>
      </c>
      <c r="C2675" s="287">
        <v>0</v>
      </c>
      <c r="D2675" s="287">
        <v>126000</v>
      </c>
      <c r="E2675" s="284">
        <f t="shared" si="41"/>
        <v>126000</v>
      </c>
      <c r="F2675" s="15" t="s">
        <v>2140</v>
      </c>
      <c r="G2675" t="s">
        <v>2141</v>
      </c>
      <c r="H2675" s="154" t="s">
        <v>1352</v>
      </c>
      <c r="I2675" s="37" t="s">
        <v>1498</v>
      </c>
    </row>
    <row r="2676" spans="1:9" s="8" customFormat="1">
      <c r="A2676" s="5"/>
      <c r="B2676" s="287" t="s">
        <v>1229</v>
      </c>
      <c r="C2676" s="287">
        <v>126000</v>
      </c>
      <c r="D2676" s="288">
        <v>0</v>
      </c>
      <c r="E2676" s="284">
        <f t="shared" si="41"/>
        <v>0</v>
      </c>
      <c r="F2676" t="s">
        <v>10</v>
      </c>
      <c r="G2676" s="8" t="s">
        <v>94</v>
      </c>
      <c r="H2676" s="8" t="s">
        <v>5867</v>
      </c>
      <c r="I2676" s="37" t="s">
        <v>1498</v>
      </c>
    </row>
    <row r="2677" spans="1:9" s="8" customFormat="1">
      <c r="A2677" s="201">
        <v>45713</v>
      </c>
      <c r="B2677" s="287" t="s">
        <v>1230</v>
      </c>
      <c r="C2677" s="287">
        <v>0</v>
      </c>
      <c r="D2677" s="287">
        <v>9750000</v>
      </c>
      <c r="E2677" s="284">
        <f t="shared" si="41"/>
        <v>9750000</v>
      </c>
      <c r="F2677" s="15" t="s">
        <v>2140</v>
      </c>
      <c r="G2677" t="s">
        <v>2141</v>
      </c>
      <c r="H2677" s="154" t="s">
        <v>1352</v>
      </c>
      <c r="I2677" s="37" t="s">
        <v>1505</v>
      </c>
    </row>
    <row r="2678" spans="1:9" s="8" customFormat="1">
      <c r="A2678" s="5"/>
      <c r="B2678" s="287" t="s">
        <v>1230</v>
      </c>
      <c r="C2678" s="210">
        <v>8250000</v>
      </c>
      <c r="D2678" s="288">
        <v>0</v>
      </c>
      <c r="E2678" s="284">
        <f t="shared" si="41"/>
        <v>1500000</v>
      </c>
      <c r="F2678" t="s">
        <v>920</v>
      </c>
      <c r="G2678" s="8" t="s">
        <v>7858</v>
      </c>
      <c r="H2678" s="80" t="s">
        <v>7218</v>
      </c>
      <c r="I2678" s="37" t="s">
        <v>1505</v>
      </c>
    </row>
    <row r="2679" spans="1:9" s="8" customFormat="1">
      <c r="A2679" s="5"/>
      <c r="B2679" s="287" t="s">
        <v>1230</v>
      </c>
      <c r="C2679" s="288">
        <v>1500000</v>
      </c>
      <c r="D2679" s="288">
        <v>0</v>
      </c>
      <c r="E2679" s="284">
        <f t="shared" si="41"/>
        <v>0</v>
      </c>
      <c r="F2679" t="s">
        <v>10</v>
      </c>
      <c r="G2679" s="8" t="s">
        <v>94</v>
      </c>
      <c r="H2679" s="8" t="s">
        <v>5867</v>
      </c>
      <c r="I2679" s="37" t="s">
        <v>1505</v>
      </c>
    </row>
    <row r="2680" spans="1:9" s="8" customFormat="1">
      <c r="A2680" s="201">
        <v>45715</v>
      </c>
      <c r="B2680" s="287" t="s">
        <v>1231</v>
      </c>
      <c r="C2680" s="287">
        <v>0</v>
      </c>
      <c r="D2680" s="287">
        <v>1952900</v>
      </c>
      <c r="E2680" s="284">
        <f t="shared" si="41"/>
        <v>1952900</v>
      </c>
      <c r="F2680" s="15" t="s">
        <v>2140</v>
      </c>
      <c r="G2680" t="s">
        <v>2141</v>
      </c>
      <c r="H2680" s="154" t="s">
        <v>1352</v>
      </c>
      <c r="I2680" s="37" t="s">
        <v>1497</v>
      </c>
    </row>
    <row r="2681" spans="1:9" s="8" customFormat="1">
      <c r="A2681" s="5"/>
      <c r="B2681" s="287" t="s">
        <v>1231</v>
      </c>
      <c r="C2681" s="209">
        <v>1650000</v>
      </c>
      <c r="D2681" s="288">
        <v>0</v>
      </c>
      <c r="E2681" s="284">
        <f t="shared" si="41"/>
        <v>302900</v>
      </c>
      <c r="F2681" t="s">
        <v>920</v>
      </c>
      <c r="G2681" s="8" t="s">
        <v>7858</v>
      </c>
      <c r="H2681" s="80" t="s">
        <v>7218</v>
      </c>
      <c r="I2681" s="37" t="s">
        <v>1497</v>
      </c>
    </row>
    <row r="2682" spans="1:9" s="8" customFormat="1">
      <c r="A2682" s="5"/>
      <c r="B2682" s="287" t="s">
        <v>1231</v>
      </c>
      <c r="C2682" s="288">
        <v>300000</v>
      </c>
      <c r="D2682" s="288">
        <v>0</v>
      </c>
      <c r="E2682" s="284">
        <f t="shared" si="41"/>
        <v>2900</v>
      </c>
      <c r="F2682" t="s">
        <v>10</v>
      </c>
      <c r="G2682" s="8" t="s">
        <v>94</v>
      </c>
      <c r="H2682" s="8" t="s">
        <v>5867</v>
      </c>
      <c r="I2682" s="37" t="s">
        <v>1497</v>
      </c>
    </row>
    <row r="2683" spans="1:9" s="8" customFormat="1">
      <c r="A2683" s="5"/>
      <c r="B2683" s="287" t="s">
        <v>1231</v>
      </c>
      <c r="C2683" s="288">
        <v>2900</v>
      </c>
      <c r="D2683" s="288">
        <v>0</v>
      </c>
      <c r="E2683" s="284">
        <f t="shared" si="41"/>
        <v>0</v>
      </c>
      <c r="F2683" t="s">
        <v>19</v>
      </c>
      <c r="G2683" s="8" t="s">
        <v>189</v>
      </c>
      <c r="H2683" s="37"/>
      <c r="I2683" s="37"/>
    </row>
    <row r="2684" spans="1:9" s="8" customFormat="1">
      <c r="A2684" s="201">
        <v>45715</v>
      </c>
      <c r="B2684" s="287" t="s">
        <v>1232</v>
      </c>
      <c r="C2684" s="287">
        <v>0</v>
      </c>
      <c r="D2684" s="287">
        <v>5855855.8999999985</v>
      </c>
      <c r="E2684" s="284">
        <f t="shared" si="41"/>
        <v>5855855.8999999985</v>
      </c>
      <c r="F2684" s="15" t="s">
        <v>2140</v>
      </c>
      <c r="G2684" t="s">
        <v>2141</v>
      </c>
      <c r="H2684" s="154" t="s">
        <v>1352</v>
      </c>
      <c r="I2684" s="37" t="s">
        <v>1492</v>
      </c>
    </row>
    <row r="2685" spans="1:9" s="8" customFormat="1">
      <c r="A2685" s="5"/>
      <c r="B2685" s="287" t="s">
        <v>1232</v>
      </c>
      <c r="C2685" s="296">
        <v>4954955</v>
      </c>
      <c r="D2685" s="288">
        <v>0</v>
      </c>
      <c r="E2685" s="284">
        <f t="shared" si="41"/>
        <v>900900.89999999851</v>
      </c>
      <c r="F2685" t="s">
        <v>920</v>
      </c>
      <c r="G2685" s="8" t="s">
        <v>7858</v>
      </c>
      <c r="H2685" s="80" t="s">
        <v>7218</v>
      </c>
      <c r="I2685" s="37" t="s">
        <v>1492</v>
      </c>
    </row>
    <row r="2686" spans="1:9" s="8" customFormat="1">
      <c r="A2686" s="5"/>
      <c r="B2686" s="287" t="s">
        <v>1232</v>
      </c>
      <c r="C2686" s="288">
        <v>900900</v>
      </c>
      <c r="D2686" s="288">
        <v>0</v>
      </c>
      <c r="E2686" s="284">
        <f t="shared" si="41"/>
        <v>0.89999999850988388</v>
      </c>
      <c r="F2686" t="s">
        <v>10</v>
      </c>
      <c r="G2686" s="8" t="s">
        <v>94</v>
      </c>
      <c r="H2686" s="8" t="s">
        <v>5867</v>
      </c>
      <c r="I2686" s="37" t="s">
        <v>1492</v>
      </c>
    </row>
    <row r="2687" spans="1:9" s="8" customFormat="1">
      <c r="A2687" s="5"/>
      <c r="B2687" s="287" t="s">
        <v>1232</v>
      </c>
      <c r="C2687" s="288">
        <v>0.89999999850988388</v>
      </c>
      <c r="D2687" s="288">
        <v>0</v>
      </c>
      <c r="E2687" s="284">
        <f t="shared" si="41"/>
        <v>0</v>
      </c>
      <c r="F2687" t="s">
        <v>1209</v>
      </c>
      <c r="G2687" s="8" t="s">
        <v>69</v>
      </c>
      <c r="I2687" s="37"/>
    </row>
    <row r="2688" spans="1:9" s="8" customFormat="1">
      <c r="A2688" s="201">
        <v>45716</v>
      </c>
      <c r="B2688" s="287" t="s">
        <v>1233</v>
      </c>
      <c r="C2688" s="287">
        <v>0</v>
      </c>
      <c r="D2688" s="287">
        <v>5855855</v>
      </c>
      <c r="E2688" s="284">
        <f t="shared" si="41"/>
        <v>5855855</v>
      </c>
      <c r="F2688" s="15" t="s">
        <v>2140</v>
      </c>
      <c r="G2688" t="s">
        <v>2141</v>
      </c>
      <c r="H2688" s="154" t="s">
        <v>1352</v>
      </c>
      <c r="I2688" s="37" t="s">
        <v>1489</v>
      </c>
    </row>
    <row r="2689" spans="1:9" s="8" customFormat="1">
      <c r="A2689" s="5"/>
      <c r="B2689" s="287" t="s">
        <v>1233</v>
      </c>
      <c r="C2689" s="209">
        <v>4954955</v>
      </c>
      <c r="D2689" s="288">
        <v>0</v>
      </c>
      <c r="E2689" s="284">
        <f t="shared" si="41"/>
        <v>900900</v>
      </c>
      <c r="F2689" t="s">
        <v>920</v>
      </c>
      <c r="G2689" s="8" t="s">
        <v>7858</v>
      </c>
      <c r="H2689" s="80" t="s">
        <v>7218</v>
      </c>
      <c r="I2689" s="37" t="s">
        <v>1489</v>
      </c>
    </row>
    <row r="2690" spans="1:9" s="8" customFormat="1">
      <c r="A2690" s="5"/>
      <c r="B2690" s="287" t="s">
        <v>1233</v>
      </c>
      <c r="C2690" s="288">
        <v>900900</v>
      </c>
      <c r="D2690" s="288">
        <v>0</v>
      </c>
      <c r="E2690" s="284">
        <f t="shared" si="41"/>
        <v>0</v>
      </c>
      <c r="F2690" t="s">
        <v>10</v>
      </c>
      <c r="G2690" s="8" t="s">
        <v>94</v>
      </c>
      <c r="H2690" s="8" t="s">
        <v>5867</v>
      </c>
      <c r="I2690" s="37" t="s">
        <v>1489</v>
      </c>
    </row>
    <row r="2691" spans="1:9" s="8" customFormat="1">
      <c r="A2691" s="201">
        <v>45719</v>
      </c>
      <c r="B2691" s="287" t="s">
        <v>1234</v>
      </c>
      <c r="C2691" s="287">
        <v>0</v>
      </c>
      <c r="D2691" s="287">
        <v>29279279</v>
      </c>
      <c r="E2691" s="284">
        <f t="shared" si="41"/>
        <v>29279279</v>
      </c>
      <c r="F2691" s="15" t="s">
        <v>2140</v>
      </c>
      <c r="G2691" t="s">
        <v>2141</v>
      </c>
      <c r="H2691" s="154" t="s">
        <v>1352</v>
      </c>
      <c r="I2691" s="37" t="s">
        <v>1487</v>
      </c>
    </row>
    <row r="2692" spans="1:9" s="8" customFormat="1">
      <c r="A2692" s="5"/>
      <c r="B2692" s="287" t="s">
        <v>1234</v>
      </c>
      <c r="C2692" s="209">
        <v>24774775</v>
      </c>
      <c r="D2692" s="288">
        <v>0</v>
      </c>
      <c r="E2692" s="284">
        <f t="shared" si="41"/>
        <v>4504504</v>
      </c>
      <c r="F2692" t="s">
        <v>920</v>
      </c>
      <c r="G2692" s="8" t="s">
        <v>7858</v>
      </c>
      <c r="H2692" t="s">
        <v>7218</v>
      </c>
      <c r="I2692" s="37" t="s">
        <v>1487</v>
      </c>
    </row>
    <row r="2693" spans="1:9" s="8" customFormat="1">
      <c r="A2693" s="5"/>
      <c r="B2693" s="287" t="s">
        <v>1234</v>
      </c>
      <c r="C2693" s="288">
        <v>4504504</v>
      </c>
      <c r="D2693" s="288">
        <v>0</v>
      </c>
      <c r="E2693" s="284">
        <f t="shared" si="41"/>
        <v>0</v>
      </c>
      <c r="F2693" t="s">
        <v>10</v>
      </c>
      <c r="G2693" s="8" t="s">
        <v>94</v>
      </c>
      <c r="H2693" s="8" t="s">
        <v>5867</v>
      </c>
      <c r="I2693" s="37" t="s">
        <v>1487</v>
      </c>
    </row>
    <row r="2694" spans="1:9" s="8" customFormat="1">
      <c r="A2694" s="201">
        <v>45719</v>
      </c>
      <c r="B2694" s="287" t="s">
        <v>1235</v>
      </c>
      <c r="C2694" s="287">
        <v>0</v>
      </c>
      <c r="D2694" s="287">
        <v>11711712</v>
      </c>
      <c r="E2694" s="284">
        <f t="shared" si="41"/>
        <v>11711712</v>
      </c>
      <c r="F2694" s="15" t="s">
        <v>2140</v>
      </c>
      <c r="G2694" t="s">
        <v>2141</v>
      </c>
      <c r="H2694" s="154" t="s">
        <v>1352</v>
      </c>
      <c r="I2694" s="37" t="s">
        <v>1477</v>
      </c>
    </row>
    <row r="2695" spans="1:9" s="8" customFormat="1">
      <c r="A2695" s="201"/>
      <c r="B2695" s="287" t="s">
        <v>1235</v>
      </c>
      <c r="C2695" s="210">
        <v>9909910</v>
      </c>
      <c r="D2695" s="287">
        <v>0</v>
      </c>
      <c r="E2695" s="284">
        <f t="shared" ref="E2695:E2758" si="42">E2694-C2695+D2695</f>
        <v>1801802</v>
      </c>
      <c r="F2695" t="s">
        <v>920</v>
      </c>
      <c r="G2695" s="8" t="s">
        <v>7858</v>
      </c>
      <c r="H2695" s="80" t="s">
        <v>7218</v>
      </c>
      <c r="I2695" s="37" t="s">
        <v>1477</v>
      </c>
    </row>
    <row r="2696" spans="1:9" s="8" customFormat="1">
      <c r="A2696" s="201"/>
      <c r="B2696" s="287" t="s">
        <v>1235</v>
      </c>
      <c r="C2696" s="287">
        <v>1801802</v>
      </c>
      <c r="D2696" s="287">
        <v>0</v>
      </c>
      <c r="E2696" s="284">
        <f t="shared" si="42"/>
        <v>0</v>
      </c>
      <c r="F2696" t="s">
        <v>10</v>
      </c>
      <c r="G2696" s="8" t="s">
        <v>94</v>
      </c>
      <c r="H2696" s="8" t="s">
        <v>5867</v>
      </c>
      <c r="I2696" s="37" t="s">
        <v>1477</v>
      </c>
    </row>
    <row r="2697" spans="1:9" s="8" customFormat="1">
      <c r="A2697" s="201">
        <v>45720</v>
      </c>
      <c r="B2697" s="287" t="s">
        <v>1236</v>
      </c>
      <c r="C2697" s="287">
        <v>0</v>
      </c>
      <c r="D2697" s="287">
        <v>11711712</v>
      </c>
      <c r="E2697" s="284">
        <f t="shared" si="42"/>
        <v>11711712</v>
      </c>
      <c r="F2697" s="15" t="s">
        <v>2140</v>
      </c>
      <c r="G2697" t="s">
        <v>2141</v>
      </c>
      <c r="H2697" s="154" t="s">
        <v>1352</v>
      </c>
      <c r="I2697" s="37" t="s">
        <v>1484</v>
      </c>
    </row>
    <row r="2698" spans="1:9" s="8" customFormat="1">
      <c r="A2698" s="201"/>
      <c r="B2698" s="287" t="s">
        <v>1236</v>
      </c>
      <c r="C2698" s="284">
        <v>9909910</v>
      </c>
      <c r="D2698" s="287">
        <v>0</v>
      </c>
      <c r="E2698" s="284">
        <f t="shared" si="42"/>
        <v>1801802</v>
      </c>
      <c r="F2698" t="s">
        <v>920</v>
      </c>
      <c r="G2698" s="8" t="s">
        <v>7858</v>
      </c>
      <c r="H2698" s="80" t="s">
        <v>7218</v>
      </c>
      <c r="I2698" s="37" t="s">
        <v>1484</v>
      </c>
    </row>
    <row r="2699" spans="1:9" s="8" customFormat="1">
      <c r="A2699" s="201"/>
      <c r="B2699" s="287" t="s">
        <v>1236</v>
      </c>
      <c r="C2699" s="287">
        <v>1801802</v>
      </c>
      <c r="D2699" s="287">
        <v>0</v>
      </c>
      <c r="E2699" s="284">
        <f t="shared" si="42"/>
        <v>0</v>
      </c>
      <c r="F2699" t="s">
        <v>10</v>
      </c>
      <c r="G2699" s="8" t="s">
        <v>94</v>
      </c>
      <c r="H2699" s="8" t="s">
        <v>5867</v>
      </c>
      <c r="I2699" s="37" t="s">
        <v>1484</v>
      </c>
    </row>
    <row r="2700" spans="1:9" s="8" customFormat="1">
      <c r="A2700" s="201">
        <v>45720</v>
      </c>
      <c r="B2700" s="287" t="s">
        <v>1237</v>
      </c>
      <c r="C2700" s="287">
        <v>0</v>
      </c>
      <c r="D2700" s="287">
        <v>29279279</v>
      </c>
      <c r="E2700" s="284">
        <f t="shared" si="42"/>
        <v>29279279</v>
      </c>
      <c r="F2700" s="15" t="s">
        <v>2140</v>
      </c>
      <c r="G2700" t="s">
        <v>2141</v>
      </c>
      <c r="H2700" s="154" t="s">
        <v>1352</v>
      </c>
      <c r="I2700" s="37" t="s">
        <v>1479</v>
      </c>
    </row>
    <row r="2701" spans="1:9" s="8" customFormat="1">
      <c r="A2701" s="201"/>
      <c r="B2701" s="287" t="s">
        <v>1237</v>
      </c>
      <c r="C2701" s="209">
        <v>24774775</v>
      </c>
      <c r="D2701" s="287">
        <v>0</v>
      </c>
      <c r="E2701" s="284">
        <f t="shared" si="42"/>
        <v>4504504</v>
      </c>
      <c r="F2701" t="s">
        <v>920</v>
      </c>
      <c r="G2701" s="8" t="s">
        <v>7858</v>
      </c>
      <c r="H2701" s="80" t="s">
        <v>7218</v>
      </c>
      <c r="I2701" s="37" t="s">
        <v>1479</v>
      </c>
    </row>
    <row r="2702" spans="1:9" s="8" customFormat="1">
      <c r="A2702" s="201"/>
      <c r="B2702" s="287" t="s">
        <v>1237</v>
      </c>
      <c r="C2702" s="287">
        <v>4504504</v>
      </c>
      <c r="D2702" s="287">
        <v>0</v>
      </c>
      <c r="E2702" s="284">
        <f t="shared" si="42"/>
        <v>0</v>
      </c>
      <c r="F2702" t="s">
        <v>10</v>
      </c>
      <c r="G2702" s="8" t="s">
        <v>94</v>
      </c>
      <c r="H2702" s="8" t="s">
        <v>5867</v>
      </c>
      <c r="I2702" s="37" t="s">
        <v>1479</v>
      </c>
    </row>
    <row r="2703" spans="1:9" s="8" customFormat="1">
      <c r="A2703" s="201">
        <v>45720</v>
      </c>
      <c r="B2703" s="287" t="s">
        <v>1215</v>
      </c>
      <c r="C2703" s="287">
        <v>0</v>
      </c>
      <c r="D2703" s="287">
        <v>87837837</v>
      </c>
      <c r="E2703" s="284">
        <f t="shared" si="42"/>
        <v>87837837</v>
      </c>
      <c r="F2703" s="15" t="s">
        <v>2140</v>
      </c>
      <c r="G2703" t="s">
        <v>2141</v>
      </c>
      <c r="H2703" s="154" t="s">
        <v>1352</v>
      </c>
      <c r="I2703" s="37" t="s">
        <v>1471</v>
      </c>
    </row>
    <row r="2704" spans="1:9" s="8" customFormat="1">
      <c r="A2704" s="201"/>
      <c r="B2704" s="287" t="s">
        <v>1215</v>
      </c>
      <c r="C2704" s="284">
        <v>74324324</v>
      </c>
      <c r="D2704" s="287">
        <v>0</v>
      </c>
      <c r="E2704" s="284">
        <f t="shared" si="42"/>
        <v>13513513</v>
      </c>
      <c r="F2704" t="s">
        <v>920</v>
      </c>
      <c r="G2704" s="8" t="s">
        <v>7858</v>
      </c>
      <c r="H2704" s="80" t="s">
        <v>7218</v>
      </c>
      <c r="I2704" s="37" t="s">
        <v>1471</v>
      </c>
    </row>
    <row r="2705" spans="1:9" s="8" customFormat="1">
      <c r="A2705" s="201"/>
      <c r="B2705" s="287" t="s">
        <v>1215</v>
      </c>
      <c r="C2705" s="287">
        <v>13513513</v>
      </c>
      <c r="D2705" s="287">
        <v>0</v>
      </c>
      <c r="E2705" s="284">
        <f t="shared" si="42"/>
        <v>0</v>
      </c>
      <c r="F2705" t="s">
        <v>10</v>
      </c>
      <c r="G2705" s="8" t="s">
        <v>94</v>
      </c>
      <c r="H2705" s="8" t="s">
        <v>5867</v>
      </c>
      <c r="I2705" s="37" t="s">
        <v>1471</v>
      </c>
    </row>
    <row r="2706" spans="1:9" s="8" customFormat="1">
      <c r="A2706" s="201">
        <v>45721</v>
      </c>
      <c r="B2706" s="287" t="s">
        <v>1241</v>
      </c>
      <c r="C2706" s="287">
        <v>0</v>
      </c>
      <c r="D2706" s="287">
        <v>9750000</v>
      </c>
      <c r="E2706" s="284">
        <f t="shared" si="42"/>
        <v>9750000</v>
      </c>
      <c r="F2706" s="15" t="s">
        <v>2140</v>
      </c>
      <c r="G2706" t="s">
        <v>2141</v>
      </c>
      <c r="H2706" s="154" t="s">
        <v>1352</v>
      </c>
      <c r="I2706" s="37" t="s">
        <v>1464</v>
      </c>
    </row>
    <row r="2707" spans="1:9" s="8" customFormat="1">
      <c r="A2707" s="201"/>
      <c r="B2707" s="287" t="s">
        <v>1241</v>
      </c>
      <c r="C2707" s="284">
        <v>8250000</v>
      </c>
      <c r="D2707" s="287">
        <v>0</v>
      </c>
      <c r="E2707" s="284">
        <f t="shared" si="42"/>
        <v>1500000</v>
      </c>
      <c r="F2707" t="s">
        <v>920</v>
      </c>
      <c r="G2707" s="8" t="s">
        <v>7858</v>
      </c>
      <c r="H2707" s="80" t="s">
        <v>7218</v>
      </c>
      <c r="I2707" s="37" t="s">
        <v>1464</v>
      </c>
    </row>
    <row r="2708" spans="1:9" s="8" customFormat="1">
      <c r="A2708" s="201"/>
      <c r="B2708" s="287" t="s">
        <v>1241</v>
      </c>
      <c r="C2708" s="287">
        <v>1500000</v>
      </c>
      <c r="D2708" s="287">
        <v>0</v>
      </c>
      <c r="E2708" s="284">
        <f t="shared" si="42"/>
        <v>0</v>
      </c>
      <c r="F2708" t="s">
        <v>10</v>
      </c>
      <c r="G2708" s="8" t="s">
        <v>94</v>
      </c>
      <c r="H2708" s="8" t="s">
        <v>5867</v>
      </c>
      <c r="I2708" s="37" t="s">
        <v>1464</v>
      </c>
    </row>
    <row r="2709" spans="1:9" s="8" customFormat="1">
      <c r="A2709" s="201">
        <v>45722</v>
      </c>
      <c r="B2709" s="287" t="s">
        <v>1242</v>
      </c>
      <c r="C2709" s="287">
        <v>0</v>
      </c>
      <c r="D2709" s="287">
        <v>5855856</v>
      </c>
      <c r="E2709" s="284">
        <f t="shared" si="42"/>
        <v>5855856</v>
      </c>
      <c r="F2709" s="15" t="s">
        <v>2140</v>
      </c>
      <c r="G2709" t="s">
        <v>2141</v>
      </c>
      <c r="H2709" s="154" t="s">
        <v>1352</v>
      </c>
      <c r="I2709" s="37" t="s">
        <v>1493</v>
      </c>
    </row>
    <row r="2710" spans="1:9" s="8" customFormat="1">
      <c r="A2710" s="201"/>
      <c r="B2710" s="287" t="s">
        <v>1242</v>
      </c>
      <c r="C2710" s="209">
        <v>4954955</v>
      </c>
      <c r="D2710" s="287">
        <v>0</v>
      </c>
      <c r="E2710" s="284">
        <f t="shared" si="42"/>
        <v>900901</v>
      </c>
      <c r="F2710" t="s">
        <v>920</v>
      </c>
      <c r="G2710" s="8" t="s">
        <v>7858</v>
      </c>
      <c r="H2710" s="80" t="s">
        <v>7218</v>
      </c>
      <c r="I2710" s="37" t="s">
        <v>1493</v>
      </c>
    </row>
    <row r="2711" spans="1:9" s="8" customFormat="1">
      <c r="A2711" s="201"/>
      <c r="B2711" s="287" t="s">
        <v>1242</v>
      </c>
      <c r="C2711" s="287">
        <v>900901</v>
      </c>
      <c r="D2711" s="287">
        <v>0</v>
      </c>
      <c r="E2711" s="284">
        <f t="shared" si="42"/>
        <v>0</v>
      </c>
      <c r="F2711" t="s">
        <v>10</v>
      </c>
      <c r="G2711" s="8" t="s">
        <v>94</v>
      </c>
      <c r="H2711" s="8" t="s">
        <v>5867</v>
      </c>
      <c r="I2711" s="37" t="s">
        <v>1493</v>
      </c>
    </row>
    <row r="2712" spans="1:9" s="8" customFormat="1">
      <c r="A2712" s="201">
        <v>45723</v>
      </c>
      <c r="B2712" s="287" t="s">
        <v>1243</v>
      </c>
      <c r="C2712" s="287">
        <v>0</v>
      </c>
      <c r="D2712" s="287">
        <v>8783783</v>
      </c>
      <c r="E2712" s="284">
        <f t="shared" si="42"/>
        <v>8783783</v>
      </c>
      <c r="F2712" s="15" t="s">
        <v>2140</v>
      </c>
      <c r="G2712" t="s">
        <v>2141</v>
      </c>
      <c r="H2712" s="154" t="s">
        <v>1352</v>
      </c>
      <c r="I2712" s="37" t="s">
        <v>1507</v>
      </c>
    </row>
    <row r="2713" spans="1:9" s="8" customFormat="1">
      <c r="A2713" s="201"/>
      <c r="B2713" s="287" t="s">
        <v>1243</v>
      </c>
      <c r="C2713" s="284">
        <v>7432432</v>
      </c>
      <c r="D2713" s="287">
        <v>0</v>
      </c>
      <c r="E2713" s="284">
        <f t="shared" si="42"/>
        <v>1351351</v>
      </c>
      <c r="F2713" t="s">
        <v>920</v>
      </c>
      <c r="G2713" s="8" t="s">
        <v>7858</v>
      </c>
      <c r="H2713" s="80" t="s">
        <v>7218</v>
      </c>
      <c r="I2713" s="37" t="s">
        <v>1507</v>
      </c>
    </row>
    <row r="2714" spans="1:9" s="8" customFormat="1">
      <c r="A2714" s="201"/>
      <c r="B2714" s="287" t="s">
        <v>1243</v>
      </c>
      <c r="C2714" s="287">
        <v>1351351</v>
      </c>
      <c r="D2714" s="287">
        <v>0</v>
      </c>
      <c r="E2714" s="284">
        <f t="shared" si="42"/>
        <v>0</v>
      </c>
      <c r="F2714" t="s">
        <v>10</v>
      </c>
      <c r="G2714" s="8" t="s">
        <v>94</v>
      </c>
      <c r="H2714" s="8" t="s">
        <v>5867</v>
      </c>
      <c r="I2714" s="37" t="s">
        <v>1507</v>
      </c>
    </row>
    <row r="2715" spans="1:9" s="8" customFormat="1">
      <c r="A2715" s="201">
        <v>45723</v>
      </c>
      <c r="B2715" s="287" t="s">
        <v>1244</v>
      </c>
      <c r="C2715" s="287">
        <v>0</v>
      </c>
      <c r="D2715" s="287">
        <v>8783784</v>
      </c>
      <c r="E2715" s="284">
        <f t="shared" si="42"/>
        <v>8783784</v>
      </c>
      <c r="F2715" s="15" t="s">
        <v>2140</v>
      </c>
      <c r="G2715" t="s">
        <v>2141</v>
      </c>
      <c r="H2715" s="154" t="s">
        <v>1352</v>
      </c>
      <c r="I2715" s="37" t="s">
        <v>1506</v>
      </c>
    </row>
    <row r="2716" spans="1:9" s="8" customFormat="1">
      <c r="A2716" s="201"/>
      <c r="B2716" s="287" t="s">
        <v>1244</v>
      </c>
      <c r="C2716" s="210">
        <v>7432432</v>
      </c>
      <c r="D2716" s="287">
        <v>0</v>
      </c>
      <c r="E2716" s="284">
        <f t="shared" si="42"/>
        <v>1351352</v>
      </c>
      <c r="F2716" t="s">
        <v>920</v>
      </c>
      <c r="G2716" s="8" t="s">
        <v>7858</v>
      </c>
      <c r="H2716" s="80" t="s">
        <v>7218</v>
      </c>
      <c r="I2716" s="37" t="s">
        <v>1506</v>
      </c>
    </row>
    <row r="2717" spans="1:9" s="8" customFormat="1">
      <c r="A2717" s="201"/>
      <c r="B2717" s="287" t="s">
        <v>1244</v>
      </c>
      <c r="C2717" s="287">
        <v>1351352</v>
      </c>
      <c r="D2717" s="287">
        <v>0</v>
      </c>
      <c r="E2717" s="284">
        <f t="shared" si="42"/>
        <v>0</v>
      </c>
      <c r="F2717" t="s">
        <v>10</v>
      </c>
      <c r="G2717" s="8" t="s">
        <v>94</v>
      </c>
      <c r="H2717" s="8" t="s">
        <v>5867</v>
      </c>
      <c r="I2717" s="37" t="s">
        <v>1506</v>
      </c>
    </row>
    <row r="2718" spans="1:9" s="8" customFormat="1">
      <c r="A2718" s="201">
        <v>45727</v>
      </c>
      <c r="B2718" s="287" t="s">
        <v>1245</v>
      </c>
      <c r="C2718" s="287">
        <v>0</v>
      </c>
      <c r="D2718" s="287">
        <v>6500001</v>
      </c>
      <c r="E2718" s="284">
        <f t="shared" si="42"/>
        <v>6500001</v>
      </c>
      <c r="F2718" s="15" t="s">
        <v>2140</v>
      </c>
      <c r="G2718" t="s">
        <v>2141</v>
      </c>
      <c r="H2718" s="154" t="s">
        <v>1352</v>
      </c>
      <c r="I2718" s="37" t="s">
        <v>1503</v>
      </c>
    </row>
    <row r="2719" spans="1:9" s="8" customFormat="1">
      <c r="A2719" s="201"/>
      <c r="B2719" s="287" t="s">
        <v>1245</v>
      </c>
      <c r="C2719" s="284">
        <v>5500000</v>
      </c>
      <c r="D2719" s="287">
        <v>0</v>
      </c>
      <c r="E2719" s="284">
        <f t="shared" si="42"/>
        <v>1000001</v>
      </c>
      <c r="F2719" t="s">
        <v>920</v>
      </c>
      <c r="G2719" s="8" t="s">
        <v>7858</v>
      </c>
      <c r="H2719" s="80" t="s">
        <v>7218</v>
      </c>
      <c r="I2719" s="37" t="s">
        <v>1503</v>
      </c>
    </row>
    <row r="2720" spans="1:9" s="8" customFormat="1">
      <c r="A2720" s="201"/>
      <c r="B2720" s="287" t="s">
        <v>1245</v>
      </c>
      <c r="C2720" s="287">
        <v>1000000</v>
      </c>
      <c r="D2720" s="287">
        <v>0</v>
      </c>
      <c r="E2720" s="284">
        <f t="shared" si="42"/>
        <v>1</v>
      </c>
      <c r="F2720" t="s">
        <v>10</v>
      </c>
      <c r="G2720" s="8" t="s">
        <v>94</v>
      </c>
      <c r="H2720" s="8" t="s">
        <v>5867</v>
      </c>
      <c r="I2720" s="37" t="s">
        <v>1503</v>
      </c>
    </row>
    <row r="2721" spans="1:9" s="8" customFormat="1">
      <c r="A2721" s="201"/>
      <c r="B2721" s="287" t="s">
        <v>1245</v>
      </c>
      <c r="C2721" s="287">
        <v>1</v>
      </c>
      <c r="D2721" s="287">
        <v>0</v>
      </c>
      <c r="E2721" s="284">
        <f t="shared" si="42"/>
        <v>0</v>
      </c>
      <c r="F2721" s="15" t="s">
        <v>1209</v>
      </c>
      <c r="G2721" s="8" t="s">
        <v>69</v>
      </c>
      <c r="H2721" s="154"/>
      <c r="I2721" s="37"/>
    </row>
    <row r="2722" spans="1:9" s="8" customFormat="1">
      <c r="A2722" s="201">
        <v>45733</v>
      </c>
      <c r="B2722" s="287" t="s">
        <v>1250</v>
      </c>
      <c r="C2722" s="287">
        <v>0</v>
      </c>
      <c r="D2722" s="287">
        <v>32500000</v>
      </c>
      <c r="E2722" s="284">
        <f t="shared" si="42"/>
        <v>32500000</v>
      </c>
      <c r="F2722" s="15" t="s">
        <v>2140</v>
      </c>
      <c r="G2722" t="s">
        <v>2141</v>
      </c>
      <c r="H2722" t="s">
        <v>1352</v>
      </c>
      <c r="I2722" s="37" t="s">
        <v>1504</v>
      </c>
    </row>
    <row r="2723" spans="1:9" s="8" customFormat="1">
      <c r="A2723" s="201"/>
      <c r="B2723" s="287" t="s">
        <v>1250</v>
      </c>
      <c r="C2723" s="210">
        <v>27500000</v>
      </c>
      <c r="D2723" s="287">
        <v>0</v>
      </c>
      <c r="E2723" s="284">
        <f t="shared" si="42"/>
        <v>5000000</v>
      </c>
      <c r="F2723" t="s">
        <v>920</v>
      </c>
      <c r="G2723" s="8" t="s">
        <v>7858</v>
      </c>
      <c r="H2723" s="80" t="s">
        <v>7218</v>
      </c>
      <c r="I2723" s="37" t="s">
        <v>1504</v>
      </c>
    </row>
    <row r="2724" spans="1:9" s="8" customFormat="1">
      <c r="A2724" s="201"/>
      <c r="B2724" s="287" t="s">
        <v>1250</v>
      </c>
      <c r="C2724" s="287">
        <v>5000000</v>
      </c>
      <c r="D2724" s="287">
        <v>0</v>
      </c>
      <c r="E2724" s="284">
        <f t="shared" si="42"/>
        <v>0</v>
      </c>
      <c r="F2724" t="s">
        <v>10</v>
      </c>
      <c r="G2724" s="8" t="s">
        <v>94</v>
      </c>
      <c r="H2724" s="8" t="s">
        <v>5867</v>
      </c>
      <c r="I2724" s="37" t="s">
        <v>1504</v>
      </c>
    </row>
    <row r="2725" spans="1:9" s="8" customFormat="1">
      <c r="A2725" s="201">
        <v>45734</v>
      </c>
      <c r="B2725" s="287" t="s">
        <v>1251</v>
      </c>
      <c r="C2725" s="287">
        <v>0</v>
      </c>
      <c r="D2725" s="287">
        <v>29279279</v>
      </c>
      <c r="E2725" s="284">
        <f t="shared" si="42"/>
        <v>29279279</v>
      </c>
      <c r="F2725" s="15" t="s">
        <v>2140</v>
      </c>
      <c r="G2725" t="s">
        <v>2141</v>
      </c>
      <c r="H2725" s="154" t="s">
        <v>1352</v>
      </c>
      <c r="I2725" s="37" t="s">
        <v>1496</v>
      </c>
    </row>
    <row r="2726" spans="1:9" s="8" customFormat="1">
      <c r="A2726" s="201"/>
      <c r="B2726" s="287" t="s">
        <v>1251</v>
      </c>
      <c r="C2726" s="284">
        <v>24774775</v>
      </c>
      <c r="D2726" s="287">
        <v>0</v>
      </c>
      <c r="E2726" s="284">
        <f t="shared" si="42"/>
        <v>4504504</v>
      </c>
      <c r="F2726" t="s">
        <v>920</v>
      </c>
      <c r="G2726" s="8" t="s">
        <v>7858</v>
      </c>
      <c r="H2726" s="80" t="s">
        <v>7218</v>
      </c>
      <c r="I2726" s="37" t="s">
        <v>1496</v>
      </c>
    </row>
    <row r="2727" spans="1:9" s="8" customFormat="1">
      <c r="A2727" s="201"/>
      <c r="B2727" s="287" t="s">
        <v>1251</v>
      </c>
      <c r="C2727" s="287">
        <v>4504504</v>
      </c>
      <c r="D2727" s="287">
        <v>0</v>
      </c>
      <c r="E2727" s="284">
        <f t="shared" si="42"/>
        <v>0</v>
      </c>
      <c r="F2727" t="s">
        <v>10</v>
      </c>
      <c r="G2727" s="8" t="s">
        <v>94</v>
      </c>
      <c r="H2727" s="8" t="s">
        <v>5867</v>
      </c>
      <c r="I2727" s="37" t="s">
        <v>1496</v>
      </c>
    </row>
    <row r="2728" spans="1:9" s="8" customFormat="1">
      <c r="A2728" s="201">
        <v>45756</v>
      </c>
      <c r="B2728" s="202" t="s">
        <v>1253</v>
      </c>
      <c r="C2728" s="287">
        <v>0</v>
      </c>
      <c r="D2728" s="287">
        <v>9750000</v>
      </c>
      <c r="E2728" s="284">
        <f t="shared" si="42"/>
        <v>9750000</v>
      </c>
      <c r="F2728" s="15" t="s">
        <v>2140</v>
      </c>
      <c r="G2728" t="s">
        <v>2141</v>
      </c>
      <c r="H2728" s="154" t="s">
        <v>1352</v>
      </c>
      <c r="I2728" s="37" t="s">
        <v>1467</v>
      </c>
    </row>
    <row r="2729" spans="1:9" s="8" customFormat="1">
      <c r="A2729" s="201"/>
      <c r="B2729" s="202" t="s">
        <v>1253</v>
      </c>
      <c r="C2729" s="209">
        <v>8250000</v>
      </c>
      <c r="D2729" s="287">
        <v>0</v>
      </c>
      <c r="E2729" s="284">
        <f t="shared" si="42"/>
        <v>1500000</v>
      </c>
      <c r="F2729" t="s">
        <v>920</v>
      </c>
      <c r="G2729" s="8" t="s">
        <v>7858</v>
      </c>
      <c r="H2729" s="80" t="s">
        <v>7218</v>
      </c>
      <c r="I2729" s="37" t="s">
        <v>1467</v>
      </c>
    </row>
    <row r="2730" spans="1:9" s="8" customFormat="1">
      <c r="A2730" s="201"/>
      <c r="B2730" s="202" t="s">
        <v>1253</v>
      </c>
      <c r="C2730" s="287">
        <v>1500000</v>
      </c>
      <c r="D2730" s="287">
        <v>0</v>
      </c>
      <c r="E2730" s="284">
        <f t="shared" si="42"/>
        <v>0</v>
      </c>
      <c r="F2730" t="s">
        <v>10</v>
      </c>
      <c r="G2730" s="8" t="s">
        <v>94</v>
      </c>
      <c r="H2730" s="8" t="s">
        <v>5867</v>
      </c>
      <c r="I2730" s="37" t="s">
        <v>1467</v>
      </c>
    </row>
    <row r="2731" spans="1:9" s="8" customFormat="1">
      <c r="A2731" s="201">
        <v>45777</v>
      </c>
      <c r="B2731" s="202" t="s">
        <v>1254</v>
      </c>
      <c r="C2731" s="287">
        <v>0</v>
      </c>
      <c r="D2731" s="287">
        <v>8783783</v>
      </c>
      <c r="E2731" s="284">
        <f t="shared" si="42"/>
        <v>8783783</v>
      </c>
      <c r="F2731" s="15" t="s">
        <v>2140</v>
      </c>
      <c r="G2731" t="s">
        <v>2141</v>
      </c>
      <c r="H2731" s="154" t="s">
        <v>1352</v>
      </c>
      <c r="I2731" s="37" t="s">
        <v>1481</v>
      </c>
    </row>
    <row r="2732" spans="1:9" s="8" customFormat="1">
      <c r="A2732" s="201"/>
      <c r="B2732" s="202" t="s">
        <v>1254</v>
      </c>
      <c r="C2732" s="209">
        <v>7432432</v>
      </c>
      <c r="D2732" s="287">
        <v>0</v>
      </c>
      <c r="E2732" s="284">
        <f t="shared" si="42"/>
        <v>1351351</v>
      </c>
      <c r="F2732" t="s">
        <v>920</v>
      </c>
      <c r="G2732" s="8" t="s">
        <v>7858</v>
      </c>
      <c r="H2732" s="80" t="s">
        <v>7218</v>
      </c>
      <c r="I2732" s="37" t="s">
        <v>1481</v>
      </c>
    </row>
    <row r="2733" spans="1:9" s="8" customFormat="1">
      <c r="A2733" s="201"/>
      <c r="B2733" s="202" t="s">
        <v>1254</v>
      </c>
      <c r="C2733" s="287">
        <v>1351351</v>
      </c>
      <c r="D2733" s="287">
        <v>0</v>
      </c>
      <c r="E2733" s="284">
        <f t="shared" si="42"/>
        <v>0</v>
      </c>
      <c r="F2733" t="s">
        <v>10</v>
      </c>
      <c r="G2733" s="8" t="s">
        <v>94</v>
      </c>
      <c r="H2733" s="8" t="s">
        <v>5867</v>
      </c>
      <c r="I2733" s="37" t="s">
        <v>1481</v>
      </c>
    </row>
    <row r="2734" spans="1:9" s="8" customFormat="1">
      <c r="A2734" s="201">
        <v>45785</v>
      </c>
      <c r="B2734" s="287" t="s">
        <v>1348</v>
      </c>
      <c r="C2734" s="287">
        <v>0</v>
      </c>
      <c r="D2734" s="287">
        <v>2927928</v>
      </c>
      <c r="E2734" s="284">
        <f t="shared" si="42"/>
        <v>2927928</v>
      </c>
      <c r="F2734" s="15" t="s">
        <v>2140</v>
      </c>
      <c r="G2734" t="s">
        <v>2141</v>
      </c>
      <c r="H2734" s="154" t="s">
        <v>1352</v>
      </c>
      <c r="I2734" s="37" t="s">
        <v>1495</v>
      </c>
    </row>
    <row r="2735" spans="1:9" s="8" customFormat="1">
      <c r="A2735" s="201"/>
      <c r="B2735" s="287" t="s">
        <v>1348</v>
      </c>
      <c r="C2735" s="209">
        <v>2477478</v>
      </c>
      <c r="D2735" s="287">
        <v>0</v>
      </c>
      <c r="E2735" s="284">
        <f t="shared" si="42"/>
        <v>450450</v>
      </c>
      <c r="F2735" t="s">
        <v>920</v>
      </c>
      <c r="G2735" s="8" t="s">
        <v>7858</v>
      </c>
      <c r="H2735" s="80" t="s">
        <v>7218</v>
      </c>
      <c r="I2735" s="37" t="s">
        <v>1495</v>
      </c>
    </row>
    <row r="2736" spans="1:9" s="8" customFormat="1">
      <c r="A2736" s="201"/>
      <c r="B2736" s="287" t="s">
        <v>1348</v>
      </c>
      <c r="C2736" s="287">
        <v>450450</v>
      </c>
      <c r="D2736" s="287">
        <v>0</v>
      </c>
      <c r="E2736" s="284">
        <f t="shared" si="42"/>
        <v>0</v>
      </c>
      <c r="F2736" t="s">
        <v>10</v>
      </c>
      <c r="G2736" s="8" t="s">
        <v>94</v>
      </c>
      <c r="H2736" s="8" t="s">
        <v>5867</v>
      </c>
      <c r="I2736" s="37" t="s">
        <v>1495</v>
      </c>
    </row>
    <row r="2737" spans="1:9" s="8" customFormat="1">
      <c r="A2737" s="201">
        <v>45786</v>
      </c>
      <c r="B2737" s="287" t="s">
        <v>1349</v>
      </c>
      <c r="C2737" s="287">
        <v>0</v>
      </c>
      <c r="D2737" s="287">
        <v>3900000</v>
      </c>
      <c r="E2737" s="284">
        <f t="shared" si="42"/>
        <v>3900000</v>
      </c>
      <c r="F2737" s="15" t="s">
        <v>2140</v>
      </c>
      <c r="G2737" t="s">
        <v>2141</v>
      </c>
      <c r="H2737" s="154" t="s">
        <v>1352</v>
      </c>
      <c r="I2737" s="37" t="s">
        <v>1486</v>
      </c>
    </row>
    <row r="2738" spans="1:9" s="8" customFormat="1">
      <c r="A2738" s="201"/>
      <c r="B2738" s="287" t="s">
        <v>1349</v>
      </c>
      <c r="C2738" s="209">
        <v>3300000</v>
      </c>
      <c r="D2738" s="287">
        <v>0</v>
      </c>
      <c r="E2738" s="284">
        <f t="shared" si="42"/>
        <v>600000</v>
      </c>
      <c r="F2738" t="s">
        <v>920</v>
      </c>
      <c r="G2738" s="8" t="s">
        <v>7858</v>
      </c>
      <c r="H2738" s="80" t="s">
        <v>7218</v>
      </c>
      <c r="I2738" s="37" t="s">
        <v>1486</v>
      </c>
    </row>
    <row r="2739" spans="1:9" s="8" customFormat="1">
      <c r="A2739" s="201"/>
      <c r="B2739" s="287" t="s">
        <v>1349</v>
      </c>
      <c r="C2739" s="287">
        <v>600000</v>
      </c>
      <c r="D2739" s="287">
        <v>0</v>
      </c>
      <c r="E2739" s="284">
        <f t="shared" si="42"/>
        <v>0</v>
      </c>
      <c r="F2739" t="s">
        <v>10</v>
      </c>
      <c r="G2739" s="8" t="s">
        <v>94</v>
      </c>
      <c r="H2739" s="8" t="s">
        <v>5867</v>
      </c>
      <c r="I2739" s="37" t="s">
        <v>1486</v>
      </c>
    </row>
    <row r="2740" spans="1:9" s="8" customFormat="1">
      <c r="A2740" s="201">
        <v>45791</v>
      </c>
      <c r="B2740" s="287" t="s">
        <v>1350</v>
      </c>
      <c r="C2740" s="287">
        <v>0</v>
      </c>
      <c r="D2740" s="287">
        <v>81250000</v>
      </c>
      <c r="E2740" s="284">
        <f t="shared" si="42"/>
        <v>81250000</v>
      </c>
      <c r="F2740" s="15" t="s">
        <v>2140</v>
      </c>
      <c r="G2740" t="s">
        <v>2141</v>
      </c>
      <c r="H2740" s="154" t="s">
        <v>1352</v>
      </c>
      <c r="I2740" s="37" t="s">
        <v>1482</v>
      </c>
    </row>
    <row r="2741" spans="1:9" s="8" customFormat="1">
      <c r="A2741" s="201"/>
      <c r="B2741" s="287" t="s">
        <v>1350</v>
      </c>
      <c r="C2741" s="209">
        <v>68750000</v>
      </c>
      <c r="D2741" s="287">
        <v>0</v>
      </c>
      <c r="E2741" s="284">
        <f t="shared" si="42"/>
        <v>12500000</v>
      </c>
      <c r="F2741" t="s">
        <v>920</v>
      </c>
      <c r="G2741" s="8" t="s">
        <v>7858</v>
      </c>
      <c r="H2741" s="80" t="s">
        <v>7218</v>
      </c>
      <c r="I2741" s="37" t="s">
        <v>1482</v>
      </c>
    </row>
    <row r="2742" spans="1:9" s="8" customFormat="1">
      <c r="A2742" s="201"/>
      <c r="B2742" s="287" t="s">
        <v>1350</v>
      </c>
      <c r="C2742" s="287">
        <v>12500000</v>
      </c>
      <c r="D2742" s="287">
        <v>0</v>
      </c>
      <c r="E2742" s="284">
        <f t="shared" si="42"/>
        <v>0</v>
      </c>
      <c r="F2742" t="s">
        <v>10</v>
      </c>
      <c r="G2742" s="8" t="s">
        <v>94</v>
      </c>
      <c r="H2742" s="8" t="s">
        <v>5867</v>
      </c>
      <c r="I2742" s="37" t="s">
        <v>1482</v>
      </c>
    </row>
    <row r="2743" spans="1:9" s="8" customFormat="1">
      <c r="A2743" s="201">
        <v>45824</v>
      </c>
      <c r="B2743" s="287" t="s">
        <v>2369</v>
      </c>
      <c r="C2743" s="287">
        <v>0</v>
      </c>
      <c r="D2743" s="287">
        <v>4099100</v>
      </c>
      <c r="E2743" s="284">
        <f t="shared" si="42"/>
        <v>4099100</v>
      </c>
      <c r="F2743" s="15" t="s">
        <v>2140</v>
      </c>
      <c r="G2743" t="s">
        <v>2141</v>
      </c>
      <c r="H2743" s="154" t="s">
        <v>1352</v>
      </c>
      <c r="I2743" s="37" t="s">
        <v>2204</v>
      </c>
    </row>
    <row r="2744" spans="1:9" s="8" customFormat="1">
      <c r="A2744" s="201"/>
      <c r="B2744" s="287" t="s">
        <v>2369</v>
      </c>
      <c r="C2744" s="284">
        <v>3468469</v>
      </c>
      <c r="D2744" s="287">
        <v>0</v>
      </c>
      <c r="E2744" s="284">
        <f t="shared" si="42"/>
        <v>630631</v>
      </c>
      <c r="F2744" t="s">
        <v>920</v>
      </c>
      <c r="G2744" s="8" t="s">
        <v>7858</v>
      </c>
      <c r="H2744" s="80" t="s">
        <v>7218</v>
      </c>
      <c r="I2744" s="37" t="s">
        <v>2204</v>
      </c>
    </row>
    <row r="2745" spans="1:9" s="8" customFormat="1">
      <c r="A2745" s="201"/>
      <c r="B2745" s="287" t="s">
        <v>2369</v>
      </c>
      <c r="C2745" s="287">
        <v>630631</v>
      </c>
      <c r="D2745" s="287">
        <v>0</v>
      </c>
      <c r="E2745" s="284">
        <f t="shared" si="42"/>
        <v>0</v>
      </c>
      <c r="F2745" t="s">
        <v>10</v>
      </c>
      <c r="G2745" s="8" t="s">
        <v>94</v>
      </c>
      <c r="H2745" s="8" t="s">
        <v>5867</v>
      </c>
      <c r="I2745" s="37" t="s">
        <v>2204</v>
      </c>
    </row>
    <row r="2746" spans="1:9" s="8" customFormat="1">
      <c r="A2746" s="201">
        <v>45911</v>
      </c>
      <c r="B2746" s="287" t="s">
        <v>3590</v>
      </c>
      <c r="C2746" s="287">
        <v>0</v>
      </c>
      <c r="D2746" s="287">
        <v>11711711</v>
      </c>
      <c r="E2746" s="284">
        <f t="shared" si="42"/>
        <v>11711711</v>
      </c>
      <c r="F2746" s="15" t="s">
        <v>2140</v>
      </c>
      <c r="G2746" t="s">
        <v>2141</v>
      </c>
      <c r="H2746" s="154" t="s">
        <v>1352</v>
      </c>
      <c r="I2746" s="15" t="s">
        <v>1485</v>
      </c>
    </row>
    <row r="2747" spans="1:9" s="8" customFormat="1">
      <c r="A2747" s="201"/>
      <c r="B2747" s="287" t="s">
        <v>3590</v>
      </c>
      <c r="C2747" s="209">
        <v>9909910</v>
      </c>
      <c r="D2747" s="287">
        <v>0</v>
      </c>
      <c r="E2747" s="284">
        <f t="shared" si="42"/>
        <v>1801801</v>
      </c>
      <c r="F2747" t="s">
        <v>920</v>
      </c>
      <c r="G2747" s="8" t="s">
        <v>7858</v>
      </c>
      <c r="H2747" s="80" t="s">
        <v>7218</v>
      </c>
      <c r="I2747" s="15" t="s">
        <v>1485</v>
      </c>
    </row>
    <row r="2748" spans="1:9" s="8" customFormat="1">
      <c r="A2748" s="201"/>
      <c r="B2748" s="287" t="s">
        <v>3590</v>
      </c>
      <c r="C2748" s="287">
        <v>1801801</v>
      </c>
      <c r="D2748" s="287">
        <v>0</v>
      </c>
      <c r="E2748" s="284">
        <f t="shared" si="42"/>
        <v>0</v>
      </c>
      <c r="F2748" t="s">
        <v>10</v>
      </c>
      <c r="G2748" s="8" t="s">
        <v>94</v>
      </c>
      <c r="H2748" s="8" t="s">
        <v>5867</v>
      </c>
      <c r="I2748" s="15" t="s">
        <v>1485</v>
      </c>
    </row>
    <row r="2749" spans="1:9" s="8" customFormat="1">
      <c r="A2749" s="201">
        <v>45938</v>
      </c>
      <c r="B2749" s="287" t="s">
        <v>3597</v>
      </c>
      <c r="C2749" s="287">
        <v>0</v>
      </c>
      <c r="D2749" s="287">
        <v>62500</v>
      </c>
      <c r="E2749" s="284">
        <f t="shared" si="42"/>
        <v>62500</v>
      </c>
      <c r="F2749" s="15" t="s">
        <v>2140</v>
      </c>
      <c r="G2749" t="s">
        <v>2141</v>
      </c>
      <c r="H2749" s="15" t="s">
        <v>2327</v>
      </c>
      <c r="I2749" s="15" t="s">
        <v>3450</v>
      </c>
    </row>
    <row r="2750" spans="1:9" s="8" customFormat="1">
      <c r="A2750" s="201"/>
      <c r="B2750" s="287" t="s">
        <v>3597</v>
      </c>
      <c r="C2750" s="287">
        <v>62500</v>
      </c>
      <c r="D2750" s="287">
        <v>0</v>
      </c>
      <c r="E2750" s="284">
        <f t="shared" si="42"/>
        <v>0</v>
      </c>
      <c r="F2750" t="s">
        <v>10</v>
      </c>
      <c r="G2750" s="8" t="s">
        <v>94</v>
      </c>
      <c r="H2750" s="8" t="s">
        <v>5867</v>
      </c>
      <c r="I2750" s="15" t="s">
        <v>3450</v>
      </c>
    </row>
    <row r="2751" spans="1:9" s="8" customFormat="1">
      <c r="A2751" s="201">
        <v>45940</v>
      </c>
      <c r="B2751" s="287" t="s">
        <v>5811</v>
      </c>
      <c r="C2751" s="287">
        <v>0</v>
      </c>
      <c r="D2751" s="287">
        <v>1000000</v>
      </c>
      <c r="E2751" s="284">
        <f t="shared" si="42"/>
        <v>1000000</v>
      </c>
      <c r="F2751" s="15" t="s">
        <v>2140</v>
      </c>
      <c r="G2751" t="s">
        <v>2141</v>
      </c>
      <c r="H2751" s="154" t="s">
        <v>1352</v>
      </c>
      <c r="I2751" s="15" t="s">
        <v>1488</v>
      </c>
    </row>
    <row r="2752" spans="1:9" s="8" customFormat="1">
      <c r="A2752" s="201"/>
      <c r="B2752" s="287" t="s">
        <v>5811</v>
      </c>
      <c r="C2752" s="287">
        <v>1000000</v>
      </c>
      <c r="D2752" s="287">
        <v>0</v>
      </c>
      <c r="E2752" s="284">
        <f t="shared" si="42"/>
        <v>0</v>
      </c>
      <c r="F2752" t="s">
        <v>10</v>
      </c>
      <c r="G2752" s="8" t="s">
        <v>94</v>
      </c>
      <c r="H2752" s="8" t="s">
        <v>5867</v>
      </c>
      <c r="I2752" s="15" t="s">
        <v>1488</v>
      </c>
    </row>
    <row r="2753" spans="1:10" s="8" customFormat="1">
      <c r="A2753" s="201">
        <v>45894</v>
      </c>
      <c r="B2753" s="287" t="s">
        <v>2950</v>
      </c>
      <c r="C2753" s="287">
        <v>0</v>
      </c>
      <c r="D2753" s="287">
        <v>51796962</v>
      </c>
      <c r="E2753" s="284">
        <f t="shared" si="42"/>
        <v>51796962</v>
      </c>
      <c r="F2753" s="15" t="s">
        <v>2140</v>
      </c>
      <c r="G2753" t="s">
        <v>2141</v>
      </c>
      <c r="H2753" s="154" t="s">
        <v>2326</v>
      </c>
      <c r="I2753" s="37" t="s">
        <v>3404</v>
      </c>
    </row>
    <row r="2754" spans="1:10" s="8" customFormat="1">
      <c r="A2754" s="201"/>
      <c r="B2754" s="287" t="s">
        <v>2950</v>
      </c>
      <c r="C2754" s="284">
        <v>50954735</v>
      </c>
      <c r="D2754" s="287">
        <v>0</v>
      </c>
      <c r="E2754" s="284">
        <f t="shared" si="42"/>
        <v>842227</v>
      </c>
      <c r="F2754" t="s">
        <v>920</v>
      </c>
      <c r="G2754" s="8" t="s">
        <v>7858</v>
      </c>
      <c r="H2754" s="80" t="s">
        <v>7218</v>
      </c>
      <c r="I2754" s="37" t="s">
        <v>3404</v>
      </c>
    </row>
    <row r="2755" spans="1:10" s="8" customFormat="1">
      <c r="A2755" s="201"/>
      <c r="B2755" s="287" t="s">
        <v>2950</v>
      </c>
      <c r="C2755" s="287">
        <v>842227</v>
      </c>
      <c r="D2755" s="287">
        <v>0</v>
      </c>
      <c r="E2755" s="284">
        <f t="shared" si="42"/>
        <v>0</v>
      </c>
      <c r="F2755" t="s">
        <v>10</v>
      </c>
      <c r="G2755" s="8" t="s">
        <v>94</v>
      </c>
      <c r="H2755" s="8" t="s">
        <v>5867</v>
      </c>
      <c r="I2755" s="37" t="s">
        <v>3404</v>
      </c>
    </row>
    <row r="2756" spans="1:10" s="8" customFormat="1">
      <c r="A2756" s="201">
        <v>45911</v>
      </c>
      <c r="B2756" s="287" t="s">
        <v>2954</v>
      </c>
      <c r="C2756" s="287">
        <v>0</v>
      </c>
      <c r="D2756" s="287">
        <v>58558559</v>
      </c>
      <c r="E2756" s="284">
        <f t="shared" si="42"/>
        <v>58558559</v>
      </c>
      <c r="F2756" s="15" t="s">
        <v>2140</v>
      </c>
      <c r="G2756" t="s">
        <v>2141</v>
      </c>
      <c r="H2756" s="154" t="s">
        <v>1352</v>
      </c>
      <c r="I2756" s="37" t="s">
        <v>1473</v>
      </c>
    </row>
    <row r="2757" spans="1:10" s="8" customFormat="1">
      <c r="A2757" s="201"/>
      <c r="B2757" s="287" t="s">
        <v>2954</v>
      </c>
      <c r="C2757" s="284">
        <v>49549550</v>
      </c>
      <c r="D2757" s="287">
        <v>0</v>
      </c>
      <c r="E2757" s="284">
        <f t="shared" si="42"/>
        <v>9009009</v>
      </c>
      <c r="F2757" t="s">
        <v>920</v>
      </c>
      <c r="G2757" s="8" t="s">
        <v>7858</v>
      </c>
      <c r="H2757" s="80" t="s">
        <v>7218</v>
      </c>
      <c r="I2757" s="37" t="s">
        <v>1473</v>
      </c>
    </row>
    <row r="2758" spans="1:10" s="8" customFormat="1">
      <c r="A2758" s="201"/>
      <c r="B2758" s="287" t="s">
        <v>2954</v>
      </c>
      <c r="C2758" s="287">
        <v>9009009</v>
      </c>
      <c r="D2758" s="287">
        <v>0</v>
      </c>
      <c r="E2758" s="284">
        <f t="shared" si="42"/>
        <v>0</v>
      </c>
      <c r="F2758" t="s">
        <v>10</v>
      </c>
      <c r="G2758" s="8" t="s">
        <v>94</v>
      </c>
      <c r="H2758" s="8" t="s">
        <v>5867</v>
      </c>
      <c r="I2758" s="37" t="s">
        <v>1473</v>
      </c>
    </row>
    <row r="2759" spans="1:10" s="8" customFormat="1">
      <c r="A2759" s="201">
        <v>45933.644131944457</v>
      </c>
      <c r="B2759" s="287" t="s">
        <v>4025</v>
      </c>
      <c r="C2759" s="287">
        <v>0</v>
      </c>
      <c r="D2759" s="287">
        <v>32792793</v>
      </c>
      <c r="E2759" s="284">
        <f t="shared" ref="E2759:E2822" si="43">E2758-C2759+D2759</f>
        <v>32792793</v>
      </c>
      <c r="F2759" t="s">
        <v>2140</v>
      </c>
      <c r="G2759" s="8" t="s">
        <v>2141</v>
      </c>
      <c r="H2759" s="8" t="s">
        <v>3457</v>
      </c>
      <c r="I2759" s="37" t="s">
        <v>4061</v>
      </c>
    </row>
    <row r="2760" spans="1:10" s="8" customFormat="1">
      <c r="A2760" s="201"/>
      <c r="B2760" s="287" t="s">
        <v>4025</v>
      </c>
      <c r="C2760" s="209">
        <v>27747748</v>
      </c>
      <c r="D2760" s="287">
        <v>0</v>
      </c>
      <c r="E2760" s="284">
        <f t="shared" si="43"/>
        <v>5045045</v>
      </c>
      <c r="F2760" t="s">
        <v>920</v>
      </c>
      <c r="G2760" s="8" t="s">
        <v>7858</v>
      </c>
      <c r="H2760" s="80" t="s">
        <v>7218</v>
      </c>
      <c r="I2760" s="37" t="s">
        <v>4061</v>
      </c>
    </row>
    <row r="2761" spans="1:10" s="8" customFormat="1">
      <c r="A2761" s="201"/>
      <c r="B2761" s="287" t="s">
        <v>4025</v>
      </c>
      <c r="C2761" s="287">
        <v>5045045</v>
      </c>
      <c r="D2761" s="287">
        <v>0</v>
      </c>
      <c r="E2761" s="284">
        <f t="shared" si="43"/>
        <v>0</v>
      </c>
      <c r="F2761" t="s">
        <v>10</v>
      </c>
      <c r="G2761" s="8" t="s">
        <v>94</v>
      </c>
      <c r="H2761" s="8" t="s">
        <v>5867</v>
      </c>
      <c r="I2761" s="37" t="s">
        <v>4061</v>
      </c>
    </row>
    <row r="2762" spans="1:10" s="8" customFormat="1">
      <c r="A2762" s="201">
        <v>45722</v>
      </c>
      <c r="B2762" s="287" t="s">
        <v>1275</v>
      </c>
      <c r="C2762" s="287">
        <v>0</v>
      </c>
      <c r="D2762" s="287">
        <v>91000</v>
      </c>
      <c r="E2762" s="284">
        <f t="shared" si="43"/>
        <v>91000</v>
      </c>
      <c r="F2762" t="s">
        <v>10</v>
      </c>
      <c r="G2762" s="8" t="s">
        <v>18</v>
      </c>
      <c r="H2762" s="8" t="s">
        <v>433</v>
      </c>
      <c r="I2762" s="37" t="s">
        <v>2153</v>
      </c>
    </row>
    <row r="2763" spans="1:10" s="8" customFormat="1">
      <c r="A2763" s="201"/>
      <c r="B2763" s="287" t="s">
        <v>1275</v>
      </c>
      <c r="C2763" s="287">
        <v>91000</v>
      </c>
      <c r="D2763" s="287">
        <v>0</v>
      </c>
      <c r="E2763" s="284">
        <f t="shared" si="43"/>
        <v>0</v>
      </c>
      <c r="F2763" t="s">
        <v>19</v>
      </c>
      <c r="G2763" s="8" t="s">
        <v>189</v>
      </c>
      <c r="I2763" s="37"/>
    </row>
    <row r="2764" spans="1:10" s="8" customFormat="1">
      <c r="A2764" s="13">
        <v>45671</v>
      </c>
      <c r="B2764" s="8" t="s">
        <v>2445</v>
      </c>
      <c r="C2764" s="284">
        <v>0</v>
      </c>
      <c r="D2764" s="284">
        <v>3575000</v>
      </c>
      <c r="E2764" s="284">
        <f t="shared" si="43"/>
        <v>3575000</v>
      </c>
      <c r="F2764" s="8" t="s">
        <v>10</v>
      </c>
      <c r="G2764" s="8" t="s">
        <v>18</v>
      </c>
      <c r="H2764" s="154" t="s">
        <v>2434</v>
      </c>
      <c r="I2764" s="154" t="s">
        <v>2411</v>
      </c>
    </row>
    <row r="2765" spans="1:10" s="8" customFormat="1">
      <c r="A2765" s="201"/>
      <c r="B2765" s="8" t="s">
        <v>2445</v>
      </c>
      <c r="C2765" s="290">
        <v>3025000</v>
      </c>
      <c r="D2765" s="289">
        <v>0</v>
      </c>
      <c r="E2765" s="284">
        <f t="shared" si="43"/>
        <v>550000</v>
      </c>
      <c r="F2765" t="s">
        <v>920</v>
      </c>
      <c r="G2765" s="8" t="s">
        <v>7858</v>
      </c>
      <c r="H2765" s="8" t="s">
        <v>7219</v>
      </c>
      <c r="I2765" s="154" t="s">
        <v>2411</v>
      </c>
      <c r="J2765" s="8" t="s">
        <v>274</v>
      </c>
    </row>
    <row r="2766" spans="1:10" s="8" customFormat="1">
      <c r="A2766" s="201"/>
      <c r="B2766" s="8" t="s">
        <v>2445</v>
      </c>
      <c r="C2766" s="287">
        <v>550000</v>
      </c>
      <c r="D2766" s="287">
        <v>0</v>
      </c>
      <c r="E2766" s="284">
        <f t="shared" si="43"/>
        <v>0</v>
      </c>
      <c r="F2766" t="s">
        <v>10</v>
      </c>
      <c r="G2766" s="8" t="s">
        <v>94</v>
      </c>
      <c r="H2766" s="8" t="s">
        <v>5867</v>
      </c>
      <c r="I2766" s="154" t="s">
        <v>2411</v>
      </c>
    </row>
    <row r="2767" spans="1:10" s="8" customFormat="1">
      <c r="A2767" s="13">
        <v>45723</v>
      </c>
      <c r="B2767" s="8" t="s">
        <v>941</v>
      </c>
      <c r="C2767" s="284">
        <v>0</v>
      </c>
      <c r="D2767" s="284">
        <v>400000</v>
      </c>
      <c r="E2767" s="284">
        <f t="shared" si="43"/>
        <v>400000</v>
      </c>
      <c r="F2767" s="8" t="s">
        <v>10</v>
      </c>
      <c r="G2767" s="8" t="s">
        <v>18</v>
      </c>
      <c r="H2767" s="154" t="s">
        <v>437</v>
      </c>
      <c r="I2767" s="154" t="s">
        <v>2391</v>
      </c>
    </row>
    <row r="2768" spans="1:10" s="8" customFormat="1">
      <c r="A2768" s="201"/>
      <c r="B2768" s="8" t="s">
        <v>941</v>
      </c>
      <c r="C2768" s="284">
        <v>400000</v>
      </c>
      <c r="D2768" s="287">
        <v>0</v>
      </c>
      <c r="E2768" s="284">
        <f t="shared" si="43"/>
        <v>0</v>
      </c>
      <c r="F2768" t="s">
        <v>10</v>
      </c>
      <c r="G2768" s="8" t="s">
        <v>94</v>
      </c>
      <c r="H2768" s="8" t="s">
        <v>5867</v>
      </c>
      <c r="I2768" s="154" t="s">
        <v>2391</v>
      </c>
    </row>
    <row r="2769" spans="1:10" s="8" customFormat="1">
      <c r="A2769" s="13">
        <v>45741</v>
      </c>
      <c r="B2769" s="8" t="s">
        <v>2443</v>
      </c>
      <c r="C2769" s="284">
        <v>0</v>
      </c>
      <c r="D2769" s="284">
        <v>31925660</v>
      </c>
      <c r="E2769" s="284">
        <f t="shared" si="43"/>
        <v>31925660</v>
      </c>
      <c r="F2769" s="8" t="s">
        <v>10</v>
      </c>
      <c r="G2769" s="8" t="s">
        <v>18</v>
      </c>
      <c r="H2769" s="154" t="s">
        <v>2430</v>
      </c>
      <c r="I2769" s="154" t="s">
        <v>2395</v>
      </c>
    </row>
    <row r="2770" spans="1:10" s="8" customFormat="1">
      <c r="A2770" s="201"/>
      <c r="B2770" s="8" t="s">
        <v>2443</v>
      </c>
      <c r="C2770" s="290">
        <v>27014020</v>
      </c>
      <c r="D2770" s="289">
        <v>0</v>
      </c>
      <c r="E2770" s="284">
        <f t="shared" si="43"/>
        <v>4911640</v>
      </c>
      <c r="F2770" t="s">
        <v>920</v>
      </c>
      <c r="G2770" s="8" t="s">
        <v>7858</v>
      </c>
      <c r="H2770" s="8" t="s">
        <v>7219</v>
      </c>
      <c r="I2770" s="154" t="s">
        <v>2395</v>
      </c>
      <c r="J2770" s="8" t="s">
        <v>274</v>
      </c>
    </row>
    <row r="2771" spans="1:10" s="8" customFormat="1">
      <c r="A2771" s="201"/>
      <c r="B2771" s="8" t="s">
        <v>2443</v>
      </c>
      <c r="C2771" s="287">
        <v>4911640</v>
      </c>
      <c r="D2771" s="287">
        <v>0</v>
      </c>
      <c r="E2771" s="284">
        <f t="shared" si="43"/>
        <v>0</v>
      </c>
      <c r="F2771" t="s">
        <v>10</v>
      </c>
      <c r="G2771" s="8" t="s">
        <v>94</v>
      </c>
      <c r="H2771" s="8" t="s">
        <v>5867</v>
      </c>
      <c r="I2771" s="154" t="s">
        <v>2395</v>
      </c>
    </row>
    <row r="2772" spans="1:10" s="8" customFormat="1">
      <c r="A2772" s="13">
        <v>45743</v>
      </c>
      <c r="B2772" s="8" t="s">
        <v>2444</v>
      </c>
      <c r="C2772" s="284">
        <v>0</v>
      </c>
      <c r="D2772" s="284">
        <v>83338254</v>
      </c>
      <c r="E2772" s="284">
        <f t="shared" si="43"/>
        <v>83338254</v>
      </c>
      <c r="F2772" s="8" t="s">
        <v>10</v>
      </c>
      <c r="G2772" s="8" t="s">
        <v>18</v>
      </c>
      <c r="H2772" s="154" t="s">
        <v>2423</v>
      </c>
      <c r="I2772" s="153" t="s">
        <v>2381</v>
      </c>
    </row>
    <row r="2773" spans="1:10" s="8" customFormat="1">
      <c r="A2773" s="201"/>
      <c r="B2773" s="8" t="s">
        <v>2444</v>
      </c>
      <c r="C2773" s="290">
        <v>70516984</v>
      </c>
      <c r="D2773" s="289">
        <v>0</v>
      </c>
      <c r="E2773" s="284">
        <f t="shared" si="43"/>
        <v>12821270</v>
      </c>
      <c r="F2773" t="s">
        <v>920</v>
      </c>
      <c r="G2773" s="8" t="s">
        <v>7858</v>
      </c>
      <c r="H2773" s="8" t="s">
        <v>7219</v>
      </c>
      <c r="I2773" s="153" t="s">
        <v>2381</v>
      </c>
    </row>
    <row r="2774" spans="1:10" s="8" customFormat="1">
      <c r="A2774" s="201"/>
      <c r="B2774" s="8" t="s">
        <v>2444</v>
      </c>
      <c r="C2774" s="287">
        <v>12821270</v>
      </c>
      <c r="D2774" s="287">
        <v>0</v>
      </c>
      <c r="E2774" s="284">
        <f t="shared" si="43"/>
        <v>0</v>
      </c>
      <c r="F2774" t="s">
        <v>10</v>
      </c>
      <c r="G2774" s="8" t="s">
        <v>94</v>
      </c>
      <c r="H2774" s="8" t="s">
        <v>5867</v>
      </c>
      <c r="I2774" s="153" t="s">
        <v>2381</v>
      </c>
    </row>
    <row r="2775" spans="1:10" s="8" customFormat="1">
      <c r="A2775" s="201">
        <v>45771</v>
      </c>
      <c r="B2775" s="8" t="s">
        <v>2446</v>
      </c>
      <c r="C2775" s="287">
        <v>0</v>
      </c>
      <c r="D2775" s="287">
        <v>2371590</v>
      </c>
      <c r="E2775" s="284">
        <f t="shared" si="43"/>
        <v>2371590</v>
      </c>
      <c r="F2775" t="s">
        <v>10</v>
      </c>
      <c r="G2775" s="8" t="s">
        <v>18</v>
      </c>
      <c r="H2775" s="8" t="s">
        <v>2430</v>
      </c>
      <c r="I2775" s="153" t="s">
        <v>2397</v>
      </c>
    </row>
    <row r="2776" spans="1:10" s="8" customFormat="1">
      <c r="A2776" s="201"/>
      <c r="B2776" s="8" t="s">
        <v>2446</v>
      </c>
      <c r="C2776" s="290">
        <v>2006730</v>
      </c>
      <c r="D2776" s="289">
        <v>0</v>
      </c>
      <c r="E2776" s="284">
        <f t="shared" si="43"/>
        <v>364860</v>
      </c>
      <c r="F2776" t="s">
        <v>920</v>
      </c>
      <c r="G2776" s="8" t="s">
        <v>7858</v>
      </c>
      <c r="H2776" s="8" t="s">
        <v>7219</v>
      </c>
      <c r="I2776" s="153" t="s">
        <v>2397</v>
      </c>
      <c r="J2776" s="8" t="s">
        <v>274</v>
      </c>
    </row>
    <row r="2777" spans="1:10" s="8" customFormat="1">
      <c r="A2777" s="201"/>
      <c r="B2777" s="8" t="s">
        <v>2446</v>
      </c>
      <c r="C2777" s="287">
        <v>364860</v>
      </c>
      <c r="D2777" s="287">
        <v>0</v>
      </c>
      <c r="E2777" s="284">
        <f t="shared" si="43"/>
        <v>0</v>
      </c>
      <c r="F2777" t="s">
        <v>10</v>
      </c>
      <c r="G2777" s="8" t="s">
        <v>94</v>
      </c>
      <c r="H2777" s="8" t="s">
        <v>5867</v>
      </c>
      <c r="I2777" s="153" t="s">
        <v>2397</v>
      </c>
    </row>
    <row r="2778" spans="1:10" s="8" customFormat="1">
      <c r="A2778" s="13">
        <v>45659</v>
      </c>
      <c r="B2778" s="8" t="s">
        <v>338</v>
      </c>
      <c r="C2778" s="284">
        <v>0</v>
      </c>
      <c r="D2778" s="284">
        <v>2590315</v>
      </c>
      <c r="E2778" s="284">
        <f t="shared" si="43"/>
        <v>2590315</v>
      </c>
      <c r="F2778" s="40" t="s">
        <v>10</v>
      </c>
      <c r="G2778" s="8" t="s">
        <v>18</v>
      </c>
      <c r="H2778" s="8" t="s">
        <v>500</v>
      </c>
      <c r="I2778" s="153" t="s">
        <v>2408</v>
      </c>
    </row>
    <row r="2779" spans="1:10" s="8" customFormat="1">
      <c r="A2779" s="13"/>
      <c r="B2779" s="8" t="s">
        <v>338</v>
      </c>
      <c r="C2779" s="290">
        <v>2191805</v>
      </c>
      <c r="D2779" s="290">
        <v>0</v>
      </c>
      <c r="E2779" s="284">
        <f t="shared" si="43"/>
        <v>398510</v>
      </c>
      <c r="F2779" t="s">
        <v>920</v>
      </c>
      <c r="G2779" s="8" t="s">
        <v>7858</v>
      </c>
      <c r="H2779" s="8" t="s">
        <v>7219</v>
      </c>
      <c r="I2779" s="153" t="s">
        <v>2408</v>
      </c>
      <c r="J2779" s="8" t="s">
        <v>274</v>
      </c>
    </row>
    <row r="2780" spans="1:10" s="8" customFormat="1">
      <c r="A2780" s="13"/>
      <c r="B2780" s="8" t="s">
        <v>338</v>
      </c>
      <c r="C2780" s="284">
        <v>398510</v>
      </c>
      <c r="D2780" s="284">
        <v>0</v>
      </c>
      <c r="E2780" s="284">
        <f t="shared" si="43"/>
        <v>0</v>
      </c>
      <c r="F2780" t="s">
        <v>10</v>
      </c>
      <c r="G2780" s="8" t="s">
        <v>94</v>
      </c>
      <c r="H2780" s="8" t="s">
        <v>5867</v>
      </c>
      <c r="I2780" s="153" t="s">
        <v>2408</v>
      </c>
    </row>
    <row r="2781" spans="1:10" s="8" customFormat="1">
      <c r="A2781" s="13">
        <v>45664</v>
      </c>
      <c r="B2781" s="8" t="s">
        <v>4309</v>
      </c>
      <c r="C2781" s="284">
        <v>0</v>
      </c>
      <c r="D2781" s="284">
        <v>4288570</v>
      </c>
      <c r="E2781" s="284">
        <f t="shared" si="43"/>
        <v>4288570</v>
      </c>
      <c r="F2781" s="40" t="s">
        <v>10</v>
      </c>
      <c r="G2781" s="8" t="s">
        <v>18</v>
      </c>
      <c r="H2781" s="8" t="s">
        <v>440</v>
      </c>
      <c r="I2781" s="153" t="s">
        <v>2404</v>
      </c>
    </row>
    <row r="2782" spans="1:10" s="8" customFormat="1">
      <c r="A2782" s="13"/>
      <c r="B2782" s="8" t="s">
        <v>4309</v>
      </c>
      <c r="C2782" s="290">
        <v>3628790</v>
      </c>
      <c r="D2782" s="290">
        <v>0</v>
      </c>
      <c r="E2782" s="284">
        <f t="shared" si="43"/>
        <v>659780</v>
      </c>
      <c r="F2782" t="s">
        <v>920</v>
      </c>
      <c r="G2782" s="8" t="s">
        <v>7858</v>
      </c>
      <c r="H2782" s="8" t="s">
        <v>7219</v>
      </c>
      <c r="I2782" s="153" t="s">
        <v>2404</v>
      </c>
      <c r="J2782" s="8" t="s">
        <v>274</v>
      </c>
    </row>
    <row r="2783" spans="1:10" s="8" customFormat="1">
      <c r="A2783" s="13"/>
      <c r="B2783" s="8" t="s">
        <v>4309</v>
      </c>
      <c r="C2783" s="284">
        <v>659780</v>
      </c>
      <c r="D2783" s="284">
        <v>0</v>
      </c>
      <c r="E2783" s="284">
        <f t="shared" si="43"/>
        <v>0</v>
      </c>
      <c r="F2783" t="s">
        <v>10</v>
      </c>
      <c r="G2783" s="8" t="s">
        <v>94</v>
      </c>
      <c r="H2783" s="8" t="s">
        <v>5867</v>
      </c>
      <c r="I2783" s="153" t="s">
        <v>2404</v>
      </c>
    </row>
    <row r="2784" spans="1:10" s="8" customFormat="1">
      <c r="A2784" s="13">
        <v>45664</v>
      </c>
      <c r="B2784" s="8" t="s">
        <v>4309</v>
      </c>
      <c r="C2784" s="284">
        <v>0</v>
      </c>
      <c r="D2784" s="284">
        <v>3592057</v>
      </c>
      <c r="E2784" s="284">
        <f t="shared" si="43"/>
        <v>3592057</v>
      </c>
      <c r="F2784" s="40" t="s">
        <v>10</v>
      </c>
      <c r="G2784" s="8" t="s">
        <v>18</v>
      </c>
      <c r="H2784" s="8" t="s">
        <v>440</v>
      </c>
      <c r="I2784" s="153" t="s">
        <v>2412</v>
      </c>
    </row>
    <row r="2785" spans="1:10" s="8" customFormat="1">
      <c r="A2785" s="13"/>
      <c r="B2785" s="8" t="s">
        <v>4309</v>
      </c>
      <c r="C2785" s="290">
        <v>3036979</v>
      </c>
      <c r="D2785" s="290">
        <v>0</v>
      </c>
      <c r="E2785" s="284">
        <f t="shared" si="43"/>
        <v>555078</v>
      </c>
      <c r="F2785" t="s">
        <v>920</v>
      </c>
      <c r="G2785" s="8" t="s">
        <v>7858</v>
      </c>
      <c r="H2785" s="8" t="s">
        <v>7219</v>
      </c>
      <c r="I2785" s="153" t="s">
        <v>2412</v>
      </c>
      <c r="J2785" s="8" t="s">
        <v>274</v>
      </c>
    </row>
    <row r="2786" spans="1:10" s="8" customFormat="1">
      <c r="A2786" s="13"/>
      <c r="B2786" s="8" t="s">
        <v>4309</v>
      </c>
      <c r="C2786" s="284">
        <v>552178</v>
      </c>
      <c r="D2786" s="284">
        <v>0</v>
      </c>
      <c r="E2786" s="284">
        <f t="shared" si="43"/>
        <v>2900</v>
      </c>
      <c r="F2786" t="s">
        <v>10</v>
      </c>
      <c r="G2786" s="8" t="s">
        <v>94</v>
      </c>
      <c r="H2786" s="8" t="s">
        <v>5867</v>
      </c>
      <c r="I2786" s="153" t="s">
        <v>2412</v>
      </c>
    </row>
    <row r="2787" spans="1:10" s="8" customFormat="1">
      <c r="A2787" s="13"/>
      <c r="B2787" s="8" t="s">
        <v>4309</v>
      </c>
      <c r="C2787" s="284">
        <v>2900</v>
      </c>
      <c r="D2787" s="284">
        <v>0</v>
      </c>
      <c r="E2787" s="284">
        <f t="shared" si="43"/>
        <v>0</v>
      </c>
      <c r="F2787" s="40" t="s">
        <v>19</v>
      </c>
      <c r="G2787" s="8" t="s">
        <v>189</v>
      </c>
      <c r="I2787" s="153"/>
    </row>
    <row r="2788" spans="1:10" s="8" customFormat="1">
      <c r="A2788" s="13">
        <v>45667</v>
      </c>
      <c r="B2788" s="8" t="s">
        <v>660</v>
      </c>
      <c r="C2788" s="284">
        <v>0</v>
      </c>
      <c r="D2788" s="284">
        <v>201996775</v>
      </c>
      <c r="E2788" s="284">
        <f t="shared" si="43"/>
        <v>201996775</v>
      </c>
      <c r="F2788" s="40" t="s">
        <v>10</v>
      </c>
      <c r="G2788" s="8" t="s">
        <v>18</v>
      </c>
      <c r="H2788" s="8" t="s">
        <v>440</v>
      </c>
      <c r="I2788" s="153" t="s">
        <v>2384</v>
      </c>
    </row>
    <row r="2789" spans="1:10" s="8" customFormat="1">
      <c r="A2789" s="13"/>
      <c r="B2789" s="8" t="s">
        <v>660</v>
      </c>
      <c r="C2789" s="290">
        <v>170903425</v>
      </c>
      <c r="D2789" s="290">
        <v>0</v>
      </c>
      <c r="E2789" s="284">
        <f t="shared" si="43"/>
        <v>31093350</v>
      </c>
      <c r="F2789" t="s">
        <v>920</v>
      </c>
      <c r="G2789" s="8" t="s">
        <v>7858</v>
      </c>
      <c r="H2789" s="8" t="s">
        <v>7219</v>
      </c>
      <c r="I2789" s="153" t="s">
        <v>2384</v>
      </c>
      <c r="J2789" s="8" t="s">
        <v>274</v>
      </c>
    </row>
    <row r="2790" spans="1:10" s="8" customFormat="1">
      <c r="A2790" s="13"/>
      <c r="B2790" s="8" t="s">
        <v>660</v>
      </c>
      <c r="C2790" s="284">
        <v>31073350</v>
      </c>
      <c r="D2790" s="284">
        <v>0</v>
      </c>
      <c r="E2790" s="284">
        <f t="shared" si="43"/>
        <v>20000</v>
      </c>
      <c r="F2790" t="s">
        <v>10</v>
      </c>
      <c r="G2790" s="8" t="s">
        <v>94</v>
      </c>
      <c r="H2790" s="8" t="s">
        <v>5867</v>
      </c>
      <c r="I2790" s="153" t="s">
        <v>2384</v>
      </c>
    </row>
    <row r="2791" spans="1:10" s="8" customFormat="1">
      <c r="A2791" s="13"/>
      <c r="B2791" s="8" t="s">
        <v>660</v>
      </c>
      <c r="C2791" s="284">
        <v>20000</v>
      </c>
      <c r="D2791" s="284">
        <v>0</v>
      </c>
      <c r="E2791" s="284">
        <f t="shared" si="43"/>
        <v>0</v>
      </c>
      <c r="F2791" s="40" t="s">
        <v>19</v>
      </c>
      <c r="G2791" s="8" t="s">
        <v>189</v>
      </c>
      <c r="I2791" s="153"/>
    </row>
    <row r="2792" spans="1:10" s="8" customFormat="1">
      <c r="A2792" s="13">
        <v>45667</v>
      </c>
      <c r="B2792" s="8" t="s">
        <v>338</v>
      </c>
      <c r="C2792" s="284">
        <v>0</v>
      </c>
      <c r="D2792" s="284">
        <v>23595000</v>
      </c>
      <c r="E2792" s="284">
        <f t="shared" si="43"/>
        <v>23595000</v>
      </c>
      <c r="F2792" s="40" t="s">
        <v>10</v>
      </c>
      <c r="G2792" s="8" t="s">
        <v>18</v>
      </c>
      <c r="H2792" s="8" t="s">
        <v>428</v>
      </c>
      <c r="I2792" s="153" t="s">
        <v>2144</v>
      </c>
    </row>
    <row r="2793" spans="1:10" s="8" customFormat="1">
      <c r="A2793" s="13"/>
      <c r="B2793" s="8" t="s">
        <v>338</v>
      </c>
      <c r="C2793" s="290">
        <v>19965000</v>
      </c>
      <c r="D2793" s="290">
        <v>0</v>
      </c>
      <c r="E2793" s="284">
        <f t="shared" si="43"/>
        <v>3630000</v>
      </c>
      <c r="F2793" t="s">
        <v>920</v>
      </c>
      <c r="G2793" s="8" t="s">
        <v>7858</v>
      </c>
      <c r="H2793" s="8" t="s">
        <v>7219</v>
      </c>
      <c r="I2793" s="153" t="s">
        <v>2144</v>
      </c>
      <c r="J2793" s="8" t="s">
        <v>274</v>
      </c>
    </row>
    <row r="2794" spans="1:10" s="8" customFormat="1">
      <c r="A2794" s="13"/>
      <c r="B2794" s="8" t="s">
        <v>338</v>
      </c>
      <c r="C2794" s="284">
        <v>3630000</v>
      </c>
      <c r="D2794" s="284">
        <v>0</v>
      </c>
      <c r="E2794" s="284">
        <f t="shared" si="43"/>
        <v>0</v>
      </c>
      <c r="F2794" t="s">
        <v>10</v>
      </c>
      <c r="G2794" s="8" t="s">
        <v>94</v>
      </c>
      <c r="H2794" s="8" t="s">
        <v>5867</v>
      </c>
      <c r="I2794" s="153" t="s">
        <v>2144</v>
      </c>
    </row>
    <row r="2795" spans="1:10" s="8" customFormat="1">
      <c r="A2795" s="13">
        <v>45667</v>
      </c>
      <c r="B2795" s="8" t="s">
        <v>2437</v>
      </c>
      <c r="C2795" s="284">
        <v>0</v>
      </c>
      <c r="D2795" s="284">
        <v>56478121</v>
      </c>
      <c r="E2795" s="284">
        <f t="shared" si="43"/>
        <v>56478121</v>
      </c>
      <c r="F2795" s="40" t="s">
        <v>10</v>
      </c>
      <c r="G2795" s="8" t="s">
        <v>18</v>
      </c>
      <c r="H2795" s="8" t="s">
        <v>2422</v>
      </c>
      <c r="I2795" s="153" t="s">
        <v>2379</v>
      </c>
    </row>
    <row r="2796" spans="1:10" s="40" customFormat="1">
      <c r="A2796" s="218"/>
      <c r="B2796" s="8" t="s">
        <v>2437</v>
      </c>
      <c r="C2796" s="296">
        <v>47789180</v>
      </c>
      <c r="D2796" s="296">
        <v>0</v>
      </c>
      <c r="E2796" s="284">
        <f t="shared" si="43"/>
        <v>8688941</v>
      </c>
      <c r="F2796" t="s">
        <v>920</v>
      </c>
      <c r="G2796" s="8" t="s">
        <v>7858</v>
      </c>
      <c r="H2796" s="8" t="s">
        <v>7219</v>
      </c>
      <c r="I2796" s="153" t="s">
        <v>2379</v>
      </c>
      <c r="J2796" s="40" t="s">
        <v>274</v>
      </c>
    </row>
    <row r="2797" spans="1:10" s="40" customFormat="1">
      <c r="A2797" s="218"/>
      <c r="B2797" s="8" t="s">
        <v>2437</v>
      </c>
      <c r="C2797" s="297">
        <v>8688941</v>
      </c>
      <c r="D2797" s="297">
        <v>0</v>
      </c>
      <c r="E2797" s="284">
        <f t="shared" si="43"/>
        <v>0</v>
      </c>
      <c r="F2797" t="s">
        <v>10</v>
      </c>
      <c r="G2797" s="8" t="s">
        <v>94</v>
      </c>
      <c r="H2797" s="8" t="s">
        <v>5867</v>
      </c>
      <c r="I2797" s="153" t="s">
        <v>2379</v>
      </c>
    </row>
    <row r="2798" spans="1:10" s="8" customFormat="1">
      <c r="A2798" s="13">
        <v>45667</v>
      </c>
      <c r="B2798" s="8" t="s">
        <v>2437</v>
      </c>
      <c r="C2798" s="284">
        <v>0</v>
      </c>
      <c r="D2798" s="284">
        <v>11207609</v>
      </c>
      <c r="E2798" s="284">
        <f t="shared" si="43"/>
        <v>11207609</v>
      </c>
      <c r="F2798" s="40" t="s">
        <v>10</v>
      </c>
      <c r="G2798" s="8" t="s">
        <v>18</v>
      </c>
      <c r="H2798" s="8" t="s">
        <v>2432</v>
      </c>
      <c r="I2798" s="153" t="s">
        <v>2438</v>
      </c>
    </row>
    <row r="2799" spans="1:10" s="40" customFormat="1">
      <c r="A2799" s="218"/>
      <c r="B2799" s="8" t="s">
        <v>2437</v>
      </c>
      <c r="C2799" s="296">
        <v>9483362</v>
      </c>
      <c r="D2799" s="296">
        <v>0</v>
      </c>
      <c r="E2799" s="284">
        <f t="shared" si="43"/>
        <v>1724247</v>
      </c>
      <c r="F2799" t="s">
        <v>920</v>
      </c>
      <c r="G2799" s="8" t="s">
        <v>7858</v>
      </c>
      <c r="H2799" s="8" t="s">
        <v>7219</v>
      </c>
      <c r="I2799" s="153" t="s">
        <v>2438</v>
      </c>
      <c r="J2799" s="40" t="s">
        <v>274</v>
      </c>
    </row>
    <row r="2800" spans="1:10" s="40" customFormat="1">
      <c r="A2800" s="218"/>
      <c r="B2800" s="8" t="s">
        <v>2437</v>
      </c>
      <c r="C2800" s="297">
        <v>1724247</v>
      </c>
      <c r="D2800" s="297">
        <v>0</v>
      </c>
      <c r="E2800" s="284">
        <f t="shared" si="43"/>
        <v>0</v>
      </c>
      <c r="F2800" t="s">
        <v>10</v>
      </c>
      <c r="G2800" s="8" t="s">
        <v>94</v>
      </c>
      <c r="H2800" s="8" t="s">
        <v>5867</v>
      </c>
      <c r="I2800" s="153" t="s">
        <v>2438</v>
      </c>
    </row>
    <row r="2801" spans="1:10" s="8" customFormat="1">
      <c r="A2801" s="13">
        <v>45670</v>
      </c>
      <c r="B2801" s="8" t="s">
        <v>679</v>
      </c>
      <c r="C2801" s="284">
        <v>0</v>
      </c>
      <c r="D2801" s="284">
        <v>2100424</v>
      </c>
      <c r="E2801" s="284">
        <f t="shared" si="43"/>
        <v>2100424</v>
      </c>
      <c r="F2801" s="40" t="s">
        <v>10</v>
      </c>
      <c r="G2801" s="8" t="s">
        <v>18</v>
      </c>
      <c r="H2801" s="8" t="s">
        <v>440</v>
      </c>
      <c r="I2801" s="153" t="s">
        <v>2407</v>
      </c>
    </row>
    <row r="2802" spans="1:10" s="40" customFormat="1">
      <c r="A2802" s="218"/>
      <c r="B2802" s="8" t="s">
        <v>679</v>
      </c>
      <c r="C2802" s="296">
        <v>1774828</v>
      </c>
      <c r="D2802" s="296">
        <v>0</v>
      </c>
      <c r="E2802" s="284">
        <f t="shared" si="43"/>
        <v>325596</v>
      </c>
      <c r="F2802" t="s">
        <v>920</v>
      </c>
      <c r="G2802" s="8" t="s">
        <v>7858</v>
      </c>
      <c r="H2802" s="8" t="s">
        <v>7219</v>
      </c>
      <c r="I2802" s="153" t="s">
        <v>2407</v>
      </c>
      <c r="J2802" s="40" t="s">
        <v>274</v>
      </c>
    </row>
    <row r="2803" spans="1:10" s="40" customFormat="1">
      <c r="A2803" s="218"/>
      <c r="B2803" s="8" t="s">
        <v>679</v>
      </c>
      <c r="C2803" s="297">
        <v>322696</v>
      </c>
      <c r="D2803" s="297">
        <v>0</v>
      </c>
      <c r="E2803" s="284">
        <f t="shared" si="43"/>
        <v>2900</v>
      </c>
      <c r="F2803" t="s">
        <v>10</v>
      </c>
      <c r="G2803" s="8" t="s">
        <v>94</v>
      </c>
      <c r="H2803" s="8" t="s">
        <v>5867</v>
      </c>
      <c r="I2803" s="153" t="s">
        <v>2407</v>
      </c>
    </row>
    <row r="2804" spans="1:10" s="40" customFormat="1">
      <c r="A2804" s="218"/>
      <c r="B2804" s="8" t="s">
        <v>679</v>
      </c>
      <c r="C2804" s="297">
        <v>2900</v>
      </c>
      <c r="D2804" s="297">
        <v>0</v>
      </c>
      <c r="E2804" s="284">
        <f t="shared" si="43"/>
        <v>0</v>
      </c>
      <c r="F2804" s="40" t="s">
        <v>19</v>
      </c>
      <c r="G2804" s="8" t="s">
        <v>189</v>
      </c>
      <c r="H2804" s="8"/>
      <c r="I2804" s="153" t="s">
        <v>26</v>
      </c>
    </row>
    <row r="2805" spans="1:10" s="8" customFormat="1">
      <c r="A2805" s="13">
        <v>45674</v>
      </c>
      <c r="B2805" s="8" t="s">
        <v>423</v>
      </c>
      <c r="C2805" s="284">
        <v>0</v>
      </c>
      <c r="D2805" s="284">
        <v>1639404</v>
      </c>
      <c r="E2805" s="284">
        <f t="shared" si="43"/>
        <v>1639404</v>
      </c>
      <c r="F2805" s="40" t="s">
        <v>10</v>
      </c>
      <c r="G2805" s="8" t="s">
        <v>18</v>
      </c>
      <c r="H2805" s="8" t="s">
        <v>437</v>
      </c>
      <c r="I2805" s="153" t="s">
        <v>2410</v>
      </c>
    </row>
    <row r="2806" spans="1:10" s="40" customFormat="1">
      <c r="A2806" s="218"/>
      <c r="B2806" s="8" t="s">
        <v>423</v>
      </c>
      <c r="C2806" s="296">
        <v>1387188</v>
      </c>
      <c r="D2806" s="296">
        <v>0</v>
      </c>
      <c r="E2806" s="284">
        <f t="shared" si="43"/>
        <v>252216</v>
      </c>
      <c r="F2806" t="s">
        <v>920</v>
      </c>
      <c r="G2806" s="8" t="s">
        <v>7858</v>
      </c>
      <c r="H2806" s="8" t="s">
        <v>7219</v>
      </c>
      <c r="I2806" s="153" t="s">
        <v>2410</v>
      </c>
      <c r="J2806" s="40" t="s">
        <v>274</v>
      </c>
    </row>
    <row r="2807" spans="1:10" s="40" customFormat="1">
      <c r="A2807" s="218"/>
      <c r="B2807" s="8" t="s">
        <v>423</v>
      </c>
      <c r="C2807" s="297">
        <v>252216</v>
      </c>
      <c r="D2807" s="297">
        <v>0</v>
      </c>
      <c r="E2807" s="284">
        <f t="shared" si="43"/>
        <v>0</v>
      </c>
      <c r="F2807" t="s">
        <v>10</v>
      </c>
      <c r="G2807" s="8" t="s">
        <v>94</v>
      </c>
      <c r="H2807" s="8" t="s">
        <v>5867</v>
      </c>
      <c r="I2807" s="153" t="s">
        <v>2410</v>
      </c>
    </row>
    <row r="2808" spans="1:10" s="8" customFormat="1">
      <c r="A2808" s="13">
        <v>45674</v>
      </c>
      <c r="B2808" s="8" t="s">
        <v>2439</v>
      </c>
      <c r="C2808" s="284">
        <v>0</v>
      </c>
      <c r="D2808" s="284">
        <v>11865571</v>
      </c>
      <c r="E2808" s="284">
        <f t="shared" si="43"/>
        <v>11865571</v>
      </c>
      <c r="F2808" s="40" t="s">
        <v>10</v>
      </c>
      <c r="G2808" s="8" t="s">
        <v>18</v>
      </c>
      <c r="H2808" s="8" t="s">
        <v>2429</v>
      </c>
      <c r="I2808" s="153" t="s">
        <v>2440</v>
      </c>
    </row>
    <row r="2809" spans="1:10" s="40" customFormat="1">
      <c r="A2809" s="218"/>
      <c r="B2809" s="8" t="s">
        <v>2439</v>
      </c>
      <c r="C2809" s="296">
        <v>10040099</v>
      </c>
      <c r="D2809" s="296">
        <v>0</v>
      </c>
      <c r="E2809" s="284">
        <f t="shared" si="43"/>
        <v>1825472</v>
      </c>
      <c r="F2809" t="s">
        <v>920</v>
      </c>
      <c r="G2809" s="8" t="s">
        <v>7858</v>
      </c>
      <c r="H2809" s="8" t="s">
        <v>7219</v>
      </c>
      <c r="I2809" s="153" t="s">
        <v>2440</v>
      </c>
      <c r="J2809" s="40" t="s">
        <v>274</v>
      </c>
    </row>
    <row r="2810" spans="1:10" s="40" customFormat="1">
      <c r="A2810" s="218"/>
      <c r="B2810" s="8" t="s">
        <v>2439</v>
      </c>
      <c r="C2810" s="297">
        <v>1825472</v>
      </c>
      <c r="D2810" s="297">
        <v>0</v>
      </c>
      <c r="E2810" s="284">
        <f t="shared" si="43"/>
        <v>0</v>
      </c>
      <c r="F2810" t="s">
        <v>10</v>
      </c>
      <c r="G2810" s="8" t="s">
        <v>94</v>
      </c>
      <c r="H2810" s="8" t="s">
        <v>5867</v>
      </c>
      <c r="I2810" s="153" t="s">
        <v>2440</v>
      </c>
    </row>
    <row r="2811" spans="1:10" s="8" customFormat="1">
      <c r="A2811" s="13">
        <v>45674</v>
      </c>
      <c r="B2811" s="8" t="s">
        <v>2439</v>
      </c>
      <c r="C2811" s="284">
        <v>0</v>
      </c>
      <c r="D2811" s="284">
        <v>2309060</v>
      </c>
      <c r="E2811" s="284">
        <f t="shared" si="43"/>
        <v>2309060</v>
      </c>
      <c r="F2811" s="40" t="s">
        <v>10</v>
      </c>
      <c r="G2811" s="8" t="s">
        <v>18</v>
      </c>
      <c r="H2811" s="8" t="s">
        <v>506</v>
      </c>
      <c r="I2811" s="153" t="s">
        <v>2413</v>
      </c>
    </row>
    <row r="2812" spans="1:10" s="40" customFormat="1">
      <c r="A2812" s="218"/>
      <c r="B2812" s="8" t="s">
        <v>2439</v>
      </c>
      <c r="C2812" s="296">
        <v>1953820</v>
      </c>
      <c r="D2812" s="296">
        <v>0</v>
      </c>
      <c r="E2812" s="284">
        <f t="shared" si="43"/>
        <v>355240</v>
      </c>
      <c r="F2812" t="s">
        <v>920</v>
      </c>
      <c r="G2812" s="8" t="s">
        <v>7858</v>
      </c>
      <c r="H2812" s="8" t="s">
        <v>7219</v>
      </c>
      <c r="I2812" s="153" t="s">
        <v>2413</v>
      </c>
      <c r="J2812" s="40" t="s">
        <v>274</v>
      </c>
    </row>
    <row r="2813" spans="1:10" s="40" customFormat="1">
      <c r="A2813" s="218"/>
      <c r="B2813" s="8" t="s">
        <v>2439</v>
      </c>
      <c r="C2813" s="297">
        <v>355240</v>
      </c>
      <c r="D2813" s="297">
        <v>0</v>
      </c>
      <c r="E2813" s="284">
        <f t="shared" si="43"/>
        <v>0</v>
      </c>
      <c r="F2813" t="s">
        <v>10</v>
      </c>
      <c r="G2813" s="8" t="s">
        <v>94</v>
      </c>
      <c r="H2813" s="8" t="s">
        <v>5867</v>
      </c>
      <c r="I2813" s="153" t="s">
        <v>2413</v>
      </c>
    </row>
    <row r="2814" spans="1:10" s="8" customFormat="1">
      <c r="A2814" s="13">
        <v>45677</v>
      </c>
      <c r="B2814" s="8" t="s">
        <v>423</v>
      </c>
      <c r="C2814" s="284">
        <v>0</v>
      </c>
      <c r="D2814" s="284">
        <v>3187325</v>
      </c>
      <c r="E2814" s="284">
        <f t="shared" si="43"/>
        <v>3187325</v>
      </c>
      <c r="F2814" s="40" t="s">
        <v>10</v>
      </c>
      <c r="G2814" s="8" t="s">
        <v>18</v>
      </c>
      <c r="H2814" s="8" t="s">
        <v>429</v>
      </c>
      <c r="I2814" s="153" t="s">
        <v>2441</v>
      </c>
    </row>
    <row r="2815" spans="1:10" s="40" customFormat="1">
      <c r="A2815" s="218"/>
      <c r="B2815" s="8" t="s">
        <v>423</v>
      </c>
      <c r="C2815" s="296">
        <v>2696968</v>
      </c>
      <c r="D2815" s="296">
        <v>0</v>
      </c>
      <c r="E2815" s="284">
        <f t="shared" si="43"/>
        <v>490357</v>
      </c>
      <c r="F2815" t="s">
        <v>920</v>
      </c>
      <c r="G2815" s="8" t="s">
        <v>7858</v>
      </c>
      <c r="H2815" s="8" t="s">
        <v>7219</v>
      </c>
      <c r="I2815" s="153" t="s">
        <v>2441</v>
      </c>
      <c r="J2815" s="40" t="s">
        <v>274</v>
      </c>
    </row>
    <row r="2816" spans="1:10" s="40" customFormat="1">
      <c r="A2816" s="218"/>
      <c r="B2816" s="8" t="s">
        <v>423</v>
      </c>
      <c r="C2816" s="297">
        <v>490357</v>
      </c>
      <c r="D2816" s="297">
        <v>0</v>
      </c>
      <c r="E2816" s="284">
        <f t="shared" si="43"/>
        <v>0</v>
      </c>
      <c r="F2816" t="s">
        <v>10</v>
      </c>
      <c r="G2816" s="8" t="s">
        <v>94</v>
      </c>
      <c r="H2816" s="8" t="s">
        <v>5867</v>
      </c>
      <c r="I2816" s="153" t="s">
        <v>2441</v>
      </c>
    </row>
    <row r="2817" spans="1:10" s="8" customFormat="1">
      <c r="A2817" s="13">
        <v>45677</v>
      </c>
      <c r="B2817" s="8" t="s">
        <v>382</v>
      </c>
      <c r="C2817" s="284">
        <v>0</v>
      </c>
      <c r="D2817" s="284">
        <v>3686192</v>
      </c>
      <c r="E2817" s="284">
        <f t="shared" si="43"/>
        <v>3686192</v>
      </c>
      <c r="F2817" s="40" t="s">
        <v>10</v>
      </c>
      <c r="G2817" s="8" t="s">
        <v>18</v>
      </c>
      <c r="H2817" s="8" t="s">
        <v>421</v>
      </c>
      <c r="I2817" s="153" t="s">
        <v>2145</v>
      </c>
    </row>
    <row r="2818" spans="1:10" s="40" customFormat="1">
      <c r="A2818" s="218"/>
      <c r="B2818" s="8" t="s">
        <v>382</v>
      </c>
      <c r="C2818" s="296">
        <v>3119086</v>
      </c>
      <c r="D2818" s="296">
        <v>0</v>
      </c>
      <c r="E2818" s="284">
        <f t="shared" si="43"/>
        <v>567106</v>
      </c>
      <c r="F2818" t="s">
        <v>920</v>
      </c>
      <c r="G2818" s="8" t="s">
        <v>7858</v>
      </c>
      <c r="H2818" s="8" t="s">
        <v>7219</v>
      </c>
      <c r="I2818" s="153" t="s">
        <v>2145</v>
      </c>
      <c r="J2818" s="40" t="s">
        <v>274</v>
      </c>
    </row>
    <row r="2819" spans="1:10" s="40" customFormat="1">
      <c r="A2819" s="218"/>
      <c r="B2819" s="8" t="s">
        <v>382</v>
      </c>
      <c r="C2819" s="297">
        <v>567106</v>
      </c>
      <c r="D2819" s="297">
        <v>0</v>
      </c>
      <c r="E2819" s="284">
        <f t="shared" si="43"/>
        <v>0</v>
      </c>
      <c r="F2819" t="s">
        <v>10</v>
      </c>
      <c r="G2819" s="8" t="s">
        <v>94</v>
      </c>
      <c r="H2819" s="8" t="s">
        <v>5867</v>
      </c>
      <c r="I2819" s="153" t="s">
        <v>2145</v>
      </c>
    </row>
    <row r="2820" spans="1:10" s="8" customFormat="1">
      <c r="A2820" s="13">
        <v>45678</v>
      </c>
      <c r="B2820" s="8" t="s">
        <v>693</v>
      </c>
      <c r="C2820" s="284">
        <v>0</v>
      </c>
      <c r="D2820" s="284">
        <v>2086124</v>
      </c>
      <c r="E2820" s="284">
        <f t="shared" si="43"/>
        <v>2086124</v>
      </c>
      <c r="F2820" s="40" t="s">
        <v>10</v>
      </c>
      <c r="G2820" s="8" t="s">
        <v>18</v>
      </c>
      <c r="H2820" s="8" t="s">
        <v>440</v>
      </c>
      <c r="I2820" s="153" t="s">
        <v>2405</v>
      </c>
    </row>
    <row r="2821" spans="1:10" s="40" customFormat="1">
      <c r="A2821" s="218"/>
      <c r="B2821" s="8" t="s">
        <v>693</v>
      </c>
      <c r="C2821" s="296">
        <v>1762728</v>
      </c>
      <c r="D2821" s="296">
        <v>0</v>
      </c>
      <c r="E2821" s="284">
        <f t="shared" si="43"/>
        <v>323396</v>
      </c>
      <c r="F2821" t="s">
        <v>920</v>
      </c>
      <c r="G2821" s="8" t="s">
        <v>7858</v>
      </c>
      <c r="H2821" s="8" t="s">
        <v>7219</v>
      </c>
      <c r="I2821" s="153" t="s">
        <v>2405</v>
      </c>
      <c r="J2821" s="40" t="s">
        <v>274</v>
      </c>
    </row>
    <row r="2822" spans="1:10" s="40" customFormat="1">
      <c r="A2822" s="218"/>
      <c r="B2822" s="8" t="s">
        <v>693</v>
      </c>
      <c r="C2822" s="297">
        <v>320496</v>
      </c>
      <c r="D2822" s="297">
        <v>0</v>
      </c>
      <c r="E2822" s="284">
        <f t="shared" si="43"/>
        <v>2900</v>
      </c>
      <c r="F2822" t="s">
        <v>10</v>
      </c>
      <c r="G2822" s="8" t="s">
        <v>94</v>
      </c>
      <c r="H2822" s="8" t="s">
        <v>5867</v>
      </c>
      <c r="I2822" s="153" t="s">
        <v>2405</v>
      </c>
    </row>
    <row r="2823" spans="1:10" s="40" customFormat="1">
      <c r="A2823" s="218"/>
      <c r="B2823" s="8" t="s">
        <v>693</v>
      </c>
      <c r="C2823" s="297">
        <v>2900</v>
      </c>
      <c r="D2823" s="297">
        <v>0</v>
      </c>
      <c r="E2823" s="284">
        <f t="shared" ref="E2823:E2886" si="44">E2822-C2823+D2823</f>
        <v>0</v>
      </c>
      <c r="F2823" s="40" t="s">
        <v>19</v>
      </c>
      <c r="G2823" s="8" t="s">
        <v>189</v>
      </c>
      <c r="H2823" s="8"/>
      <c r="I2823" s="153"/>
    </row>
    <row r="2824" spans="1:10" s="8" customFormat="1">
      <c r="A2824" s="13">
        <v>45679</v>
      </c>
      <c r="B2824" s="8" t="s">
        <v>382</v>
      </c>
      <c r="C2824" s="284">
        <v>0</v>
      </c>
      <c r="D2824" s="284">
        <v>14744835</v>
      </c>
      <c r="E2824" s="284">
        <f t="shared" si="44"/>
        <v>14744835</v>
      </c>
      <c r="F2824" s="40" t="s">
        <v>10</v>
      </c>
      <c r="G2824" s="8" t="s">
        <v>18</v>
      </c>
      <c r="H2824" s="8" t="s">
        <v>2435</v>
      </c>
      <c r="I2824" s="153" t="s">
        <v>2146</v>
      </c>
    </row>
    <row r="2825" spans="1:10" s="40" customFormat="1">
      <c r="A2825" s="218"/>
      <c r="B2825" s="8" t="s">
        <v>382</v>
      </c>
      <c r="C2825" s="296">
        <v>12476399</v>
      </c>
      <c r="D2825" s="296">
        <v>0</v>
      </c>
      <c r="E2825" s="284">
        <f t="shared" si="44"/>
        <v>2268436</v>
      </c>
      <c r="F2825" t="s">
        <v>920</v>
      </c>
      <c r="G2825" s="8" t="s">
        <v>7858</v>
      </c>
      <c r="H2825" s="8" t="s">
        <v>7219</v>
      </c>
      <c r="I2825" s="153" t="s">
        <v>2146</v>
      </c>
      <c r="J2825" s="40" t="s">
        <v>274</v>
      </c>
    </row>
    <row r="2826" spans="1:10" s="40" customFormat="1">
      <c r="A2826" s="218"/>
      <c r="B2826" s="8" t="s">
        <v>382</v>
      </c>
      <c r="C2826" s="297">
        <v>2268436</v>
      </c>
      <c r="D2826" s="297">
        <v>0</v>
      </c>
      <c r="E2826" s="284">
        <f t="shared" si="44"/>
        <v>0</v>
      </c>
      <c r="F2826" t="s">
        <v>10</v>
      </c>
      <c r="G2826" s="8" t="s">
        <v>94</v>
      </c>
      <c r="H2826" s="8" t="s">
        <v>5867</v>
      </c>
      <c r="I2826" s="153" t="s">
        <v>2146</v>
      </c>
    </row>
    <row r="2827" spans="1:10" s="8" customFormat="1">
      <c r="A2827" s="13">
        <v>45728</v>
      </c>
      <c r="B2827" s="8" t="s">
        <v>1008</v>
      </c>
      <c r="C2827" s="284">
        <v>0</v>
      </c>
      <c r="D2827" s="284">
        <v>2200667</v>
      </c>
      <c r="E2827" s="284">
        <f t="shared" si="44"/>
        <v>2200667</v>
      </c>
      <c r="F2827" s="40" t="s">
        <v>10</v>
      </c>
      <c r="G2827" s="8" t="s">
        <v>18</v>
      </c>
      <c r="H2827" s="8" t="s">
        <v>440</v>
      </c>
      <c r="I2827" s="153" t="s">
        <v>2406</v>
      </c>
    </row>
    <row r="2828" spans="1:10" s="8" customFormat="1">
      <c r="A2828" s="13">
        <v>45735</v>
      </c>
      <c r="B2828" s="8" t="s">
        <v>1008</v>
      </c>
      <c r="C2828" s="290">
        <v>1859649</v>
      </c>
      <c r="D2828" s="290">
        <v>0</v>
      </c>
      <c r="E2828" s="284">
        <f t="shared" si="44"/>
        <v>341018</v>
      </c>
      <c r="F2828" t="s">
        <v>920</v>
      </c>
      <c r="G2828" s="8" t="s">
        <v>7858</v>
      </c>
      <c r="H2828" s="8" t="s">
        <v>7219</v>
      </c>
      <c r="I2828" s="153" t="s">
        <v>2406</v>
      </c>
      <c r="J2828" s="8" t="s">
        <v>274</v>
      </c>
    </row>
    <row r="2829" spans="1:10" s="40" customFormat="1">
      <c r="A2829" s="218"/>
      <c r="B2829" s="8" t="s">
        <v>1008</v>
      </c>
      <c r="C2829" s="297">
        <v>338118</v>
      </c>
      <c r="D2829" s="297">
        <v>0</v>
      </c>
      <c r="E2829" s="284">
        <f t="shared" si="44"/>
        <v>2900</v>
      </c>
      <c r="F2829" t="s">
        <v>10</v>
      </c>
      <c r="G2829" s="8" t="s">
        <v>94</v>
      </c>
      <c r="H2829" s="8" t="s">
        <v>5867</v>
      </c>
      <c r="I2829" s="153" t="s">
        <v>2406</v>
      </c>
    </row>
    <row r="2830" spans="1:10" s="40" customFormat="1">
      <c r="A2830" s="218"/>
      <c r="B2830" s="8" t="s">
        <v>1008</v>
      </c>
      <c r="C2830" s="297">
        <v>2900</v>
      </c>
      <c r="D2830" s="297">
        <v>0</v>
      </c>
      <c r="E2830" s="284">
        <f t="shared" si="44"/>
        <v>0</v>
      </c>
      <c r="F2830" s="40" t="s">
        <v>19</v>
      </c>
      <c r="G2830" s="8" t="s">
        <v>189</v>
      </c>
      <c r="H2830" s="8"/>
      <c r="I2830" s="153"/>
    </row>
    <row r="2831" spans="1:10" s="8" customFormat="1">
      <c r="A2831" s="13">
        <v>45756</v>
      </c>
      <c r="B2831" s="8" t="s">
        <v>382</v>
      </c>
      <c r="C2831" s="284">
        <v>0</v>
      </c>
      <c r="D2831" s="284">
        <v>27237600</v>
      </c>
      <c r="E2831" s="284">
        <f t="shared" si="44"/>
        <v>27237600</v>
      </c>
      <c r="F2831" s="40" t="s">
        <v>10</v>
      </c>
      <c r="G2831" s="8" t="s">
        <v>18</v>
      </c>
      <c r="H2831" s="8" t="s">
        <v>2425</v>
      </c>
      <c r="I2831" s="153" t="s">
        <v>2385</v>
      </c>
    </row>
    <row r="2832" spans="1:10" s="40" customFormat="1">
      <c r="A2832" s="218"/>
      <c r="B2832" s="8" t="s">
        <v>382</v>
      </c>
      <c r="C2832" s="296">
        <v>23047200</v>
      </c>
      <c r="D2832" s="296">
        <v>0</v>
      </c>
      <c r="E2832" s="284">
        <f t="shared" si="44"/>
        <v>4190400</v>
      </c>
      <c r="F2832" t="s">
        <v>920</v>
      </c>
      <c r="G2832" s="8" t="s">
        <v>7858</v>
      </c>
      <c r="H2832" s="8" t="s">
        <v>7219</v>
      </c>
      <c r="I2832" s="153" t="s">
        <v>2385</v>
      </c>
      <c r="J2832" s="40" t="s">
        <v>274</v>
      </c>
    </row>
    <row r="2833" spans="1:10" s="40" customFormat="1">
      <c r="A2833" s="218"/>
      <c r="B2833" s="8" t="s">
        <v>382</v>
      </c>
      <c r="C2833" s="297">
        <v>4190400</v>
      </c>
      <c r="D2833" s="297">
        <v>0</v>
      </c>
      <c r="E2833" s="284">
        <f t="shared" si="44"/>
        <v>0</v>
      </c>
      <c r="F2833" t="s">
        <v>10</v>
      </c>
      <c r="G2833" s="8" t="s">
        <v>94</v>
      </c>
      <c r="H2833" s="8" t="s">
        <v>5867</v>
      </c>
      <c r="I2833" s="153" t="s">
        <v>2385</v>
      </c>
    </row>
    <row r="2834" spans="1:10" s="8" customFormat="1">
      <c r="A2834" s="13">
        <v>45758</v>
      </c>
      <c r="B2834" s="8" t="s">
        <v>382</v>
      </c>
      <c r="C2834" s="284">
        <v>0</v>
      </c>
      <c r="D2834" s="284">
        <v>2588391</v>
      </c>
      <c r="E2834" s="284">
        <f t="shared" si="44"/>
        <v>2588391</v>
      </c>
      <c r="F2834" s="40" t="s">
        <v>10</v>
      </c>
      <c r="G2834" s="8" t="s">
        <v>18</v>
      </c>
      <c r="H2834" s="8" t="s">
        <v>2428</v>
      </c>
      <c r="I2834" s="153" t="s">
        <v>2393</v>
      </c>
    </row>
    <row r="2835" spans="1:10" s="40" customFormat="1">
      <c r="A2835" s="218"/>
      <c r="B2835" s="8" t="s">
        <v>382</v>
      </c>
      <c r="C2835" s="296">
        <v>2190177</v>
      </c>
      <c r="D2835" s="296">
        <v>0</v>
      </c>
      <c r="E2835" s="284">
        <f t="shared" si="44"/>
        <v>398214</v>
      </c>
      <c r="F2835" t="s">
        <v>920</v>
      </c>
      <c r="G2835" s="8" t="s">
        <v>7858</v>
      </c>
      <c r="H2835" s="8" t="s">
        <v>7219</v>
      </c>
      <c r="I2835" s="153" t="s">
        <v>2393</v>
      </c>
      <c r="J2835" s="40" t="s">
        <v>274</v>
      </c>
    </row>
    <row r="2836" spans="1:10" s="40" customFormat="1">
      <c r="A2836" s="218"/>
      <c r="B2836" s="8" t="s">
        <v>382</v>
      </c>
      <c r="C2836" s="297">
        <v>398214</v>
      </c>
      <c r="D2836" s="297">
        <v>0</v>
      </c>
      <c r="E2836" s="284">
        <f t="shared" si="44"/>
        <v>0</v>
      </c>
      <c r="F2836" t="s">
        <v>10</v>
      </c>
      <c r="G2836" s="8" t="s">
        <v>94</v>
      </c>
      <c r="H2836" s="8" t="s">
        <v>5867</v>
      </c>
      <c r="I2836" s="153" t="s">
        <v>2393</v>
      </c>
    </row>
    <row r="2837" spans="1:10" s="8" customFormat="1">
      <c r="A2837" s="13">
        <v>45758</v>
      </c>
      <c r="B2837" s="8" t="s">
        <v>1185</v>
      </c>
      <c r="C2837" s="284">
        <v>0</v>
      </c>
      <c r="D2837" s="284">
        <v>49841262</v>
      </c>
      <c r="E2837" s="284">
        <f t="shared" si="44"/>
        <v>49841262</v>
      </c>
      <c r="F2837" s="40" t="s">
        <v>10</v>
      </c>
      <c r="G2837" s="8" t="s">
        <v>18</v>
      </c>
      <c r="H2837" s="8" t="s">
        <v>434</v>
      </c>
      <c r="I2837" s="153" t="s">
        <v>2402</v>
      </c>
    </row>
    <row r="2838" spans="1:10" s="40" customFormat="1">
      <c r="A2838" s="218"/>
      <c r="B2838" s="8" t="s">
        <v>1185</v>
      </c>
      <c r="C2838" s="296">
        <v>42173376</v>
      </c>
      <c r="D2838" s="296">
        <v>0</v>
      </c>
      <c r="E2838" s="284">
        <f t="shared" si="44"/>
        <v>7667886</v>
      </c>
      <c r="F2838" t="s">
        <v>920</v>
      </c>
      <c r="G2838" s="8" t="s">
        <v>7858</v>
      </c>
      <c r="H2838" s="8" t="s">
        <v>7219</v>
      </c>
      <c r="I2838" s="153" t="s">
        <v>2402</v>
      </c>
      <c r="J2838" s="40" t="s">
        <v>274</v>
      </c>
    </row>
    <row r="2839" spans="1:10" s="40" customFormat="1">
      <c r="A2839" s="218"/>
      <c r="B2839" s="8" t="s">
        <v>1185</v>
      </c>
      <c r="C2839" s="297">
        <v>7667886</v>
      </c>
      <c r="D2839" s="297">
        <v>0</v>
      </c>
      <c r="E2839" s="284">
        <f t="shared" si="44"/>
        <v>0</v>
      </c>
      <c r="F2839" t="s">
        <v>10</v>
      </c>
      <c r="G2839" s="8" t="s">
        <v>94</v>
      </c>
      <c r="H2839" s="8" t="s">
        <v>5867</v>
      </c>
      <c r="I2839" s="153" t="s">
        <v>2402</v>
      </c>
    </row>
    <row r="2840" spans="1:10" s="8" customFormat="1">
      <c r="A2840" s="13">
        <v>45768</v>
      </c>
      <c r="B2840" s="8" t="s">
        <v>2442</v>
      </c>
      <c r="C2840" s="284">
        <v>0</v>
      </c>
      <c r="D2840" s="284">
        <v>80128604</v>
      </c>
      <c r="E2840" s="284">
        <f t="shared" si="44"/>
        <v>80128604</v>
      </c>
      <c r="F2840" s="40" t="s">
        <v>10</v>
      </c>
      <c r="G2840" s="8" t="s">
        <v>18</v>
      </c>
      <c r="H2840" s="8" t="s">
        <v>437</v>
      </c>
      <c r="I2840" s="153" t="s">
        <v>2389</v>
      </c>
    </row>
    <row r="2841" spans="1:10" s="40" customFormat="1">
      <c r="A2841" s="218"/>
      <c r="B2841" s="8" t="s">
        <v>2442</v>
      </c>
      <c r="C2841" s="296">
        <v>67801127</v>
      </c>
      <c r="D2841" s="296">
        <v>0</v>
      </c>
      <c r="E2841" s="284">
        <f t="shared" si="44"/>
        <v>12327477</v>
      </c>
      <c r="F2841" t="s">
        <v>920</v>
      </c>
      <c r="G2841" s="8" t="s">
        <v>7858</v>
      </c>
      <c r="H2841" s="8" t="s">
        <v>7219</v>
      </c>
      <c r="I2841" s="153" t="s">
        <v>2389</v>
      </c>
      <c r="J2841" s="40" t="s">
        <v>274</v>
      </c>
    </row>
    <row r="2842" spans="1:10" s="40" customFormat="1">
      <c r="A2842" s="218"/>
      <c r="B2842" s="8" t="s">
        <v>2442</v>
      </c>
      <c r="C2842" s="297">
        <v>12327477</v>
      </c>
      <c r="D2842" s="297">
        <v>0</v>
      </c>
      <c r="E2842" s="284">
        <f t="shared" si="44"/>
        <v>0</v>
      </c>
      <c r="F2842" t="s">
        <v>10</v>
      </c>
      <c r="G2842" s="8" t="s">
        <v>94</v>
      </c>
      <c r="H2842" s="8" t="s">
        <v>5867</v>
      </c>
      <c r="I2842" s="153" t="s">
        <v>2389</v>
      </c>
    </row>
    <row r="2843" spans="1:10" s="8" customFormat="1">
      <c r="A2843" s="13">
        <v>45768</v>
      </c>
      <c r="B2843" s="8" t="s">
        <v>2442</v>
      </c>
      <c r="C2843" s="284">
        <v>0</v>
      </c>
      <c r="D2843" s="284">
        <v>11828005</v>
      </c>
      <c r="E2843" s="284">
        <f t="shared" si="44"/>
        <v>11828005</v>
      </c>
      <c r="F2843" s="40" t="s">
        <v>10</v>
      </c>
      <c r="G2843" s="8" t="s">
        <v>18</v>
      </c>
      <c r="H2843" s="8" t="s">
        <v>2435</v>
      </c>
      <c r="I2843" s="153" t="s">
        <v>2417</v>
      </c>
    </row>
    <row r="2844" spans="1:10" s="40" customFormat="1">
      <c r="A2844" s="218"/>
      <c r="B2844" s="8" t="s">
        <v>2442</v>
      </c>
      <c r="C2844" s="296">
        <v>10008312</v>
      </c>
      <c r="D2844" s="296">
        <v>0</v>
      </c>
      <c r="E2844" s="284">
        <f t="shared" si="44"/>
        <v>1819693</v>
      </c>
      <c r="F2844" t="s">
        <v>920</v>
      </c>
      <c r="G2844" s="8" t="s">
        <v>7858</v>
      </c>
      <c r="H2844" s="8" t="s">
        <v>7219</v>
      </c>
      <c r="I2844" s="153" t="s">
        <v>2417</v>
      </c>
      <c r="J2844" s="40" t="s">
        <v>274</v>
      </c>
    </row>
    <row r="2845" spans="1:10" s="40" customFormat="1">
      <c r="A2845" s="218"/>
      <c r="B2845" s="8" t="s">
        <v>2442</v>
      </c>
      <c r="C2845" s="297">
        <v>1819693</v>
      </c>
      <c r="D2845" s="297">
        <v>0</v>
      </c>
      <c r="E2845" s="284">
        <f t="shared" si="44"/>
        <v>0</v>
      </c>
      <c r="F2845" t="s">
        <v>10</v>
      </c>
      <c r="G2845" s="8" t="s">
        <v>94</v>
      </c>
      <c r="H2845" s="8" t="s">
        <v>5867</v>
      </c>
      <c r="I2845" s="153" t="s">
        <v>2417</v>
      </c>
    </row>
    <row r="2846" spans="1:10" s="8" customFormat="1">
      <c r="A2846" s="13">
        <v>45791</v>
      </c>
      <c r="B2846" s="8" t="s">
        <v>2009</v>
      </c>
      <c r="C2846" s="284">
        <v>0</v>
      </c>
      <c r="D2846" s="284">
        <v>262045</v>
      </c>
      <c r="E2846" s="284">
        <f t="shared" si="44"/>
        <v>262045</v>
      </c>
      <c r="F2846" s="40" t="s">
        <v>10</v>
      </c>
      <c r="G2846" s="8" t="s">
        <v>18</v>
      </c>
      <c r="H2846" s="8" t="s">
        <v>2433</v>
      </c>
      <c r="I2846" s="153" t="s">
        <v>2409</v>
      </c>
    </row>
    <row r="2847" spans="1:10" s="8" customFormat="1">
      <c r="A2847" s="13" t="s">
        <v>26</v>
      </c>
      <c r="B2847" s="8" t="s">
        <v>2079</v>
      </c>
      <c r="C2847" s="284">
        <v>262045</v>
      </c>
      <c r="D2847" s="284">
        <v>0</v>
      </c>
      <c r="E2847" s="284">
        <f t="shared" si="44"/>
        <v>0</v>
      </c>
      <c r="F2847" t="s">
        <v>10</v>
      </c>
      <c r="G2847" s="8" t="s">
        <v>94</v>
      </c>
      <c r="H2847" s="8" t="s">
        <v>5867</v>
      </c>
      <c r="I2847" s="153" t="s">
        <v>2409</v>
      </c>
    </row>
    <row r="2848" spans="1:10" s="8" customFormat="1">
      <c r="A2848" s="13">
        <v>45812</v>
      </c>
      <c r="B2848" s="8" t="s">
        <v>2047</v>
      </c>
      <c r="C2848" s="284">
        <v>0</v>
      </c>
      <c r="D2848" s="284">
        <v>2729829</v>
      </c>
      <c r="E2848" s="284">
        <f t="shared" si="44"/>
        <v>2729829</v>
      </c>
      <c r="F2848" s="40" t="s">
        <v>10</v>
      </c>
      <c r="G2848" s="8" t="s">
        <v>18</v>
      </c>
      <c r="H2848" s="8" t="s">
        <v>426</v>
      </c>
      <c r="I2848" s="153" t="s">
        <v>2386</v>
      </c>
    </row>
    <row r="2849" spans="1:10" s="40" customFormat="1">
      <c r="A2849" s="218"/>
      <c r="B2849" s="8" t="s">
        <v>2047</v>
      </c>
      <c r="C2849" s="296">
        <v>2309855</v>
      </c>
      <c r="D2849" s="296">
        <v>0</v>
      </c>
      <c r="E2849" s="284">
        <f t="shared" si="44"/>
        <v>419974</v>
      </c>
      <c r="F2849" t="s">
        <v>920</v>
      </c>
      <c r="G2849" s="8" t="s">
        <v>7858</v>
      </c>
      <c r="H2849" s="8" t="s">
        <v>7219</v>
      </c>
      <c r="I2849" s="153" t="s">
        <v>2386</v>
      </c>
      <c r="J2849" s="40" t="s">
        <v>274</v>
      </c>
    </row>
    <row r="2850" spans="1:10" s="40" customFormat="1">
      <c r="A2850" s="218"/>
      <c r="B2850" s="8" t="s">
        <v>2047</v>
      </c>
      <c r="C2850" s="297">
        <v>419974</v>
      </c>
      <c r="D2850" s="297">
        <v>0</v>
      </c>
      <c r="E2850" s="284">
        <f t="shared" si="44"/>
        <v>0</v>
      </c>
      <c r="F2850" t="s">
        <v>10</v>
      </c>
      <c r="G2850" s="8" t="s">
        <v>94</v>
      </c>
      <c r="H2850" s="8" t="s">
        <v>5867</v>
      </c>
      <c r="I2850" s="153" t="s">
        <v>2386</v>
      </c>
    </row>
    <row r="2851" spans="1:10" s="8" customFormat="1">
      <c r="A2851" s="13">
        <v>45812</v>
      </c>
      <c r="B2851" s="8" t="s">
        <v>423</v>
      </c>
      <c r="C2851" s="284">
        <v>0</v>
      </c>
      <c r="D2851" s="284">
        <v>27374673</v>
      </c>
      <c r="E2851" s="284">
        <f t="shared" si="44"/>
        <v>27374673</v>
      </c>
      <c r="F2851" s="40" t="s">
        <v>10</v>
      </c>
      <c r="G2851" s="8" t="s">
        <v>18</v>
      </c>
      <c r="H2851" s="8" t="s">
        <v>4307</v>
      </c>
      <c r="I2851" s="153" t="s">
        <v>2416</v>
      </c>
    </row>
    <row r="2852" spans="1:10" s="40" customFormat="1">
      <c r="A2852" s="218"/>
      <c r="B2852" s="8" t="s">
        <v>423</v>
      </c>
      <c r="C2852" s="296">
        <v>23163185</v>
      </c>
      <c r="D2852" s="296">
        <v>0</v>
      </c>
      <c r="E2852" s="284">
        <f t="shared" si="44"/>
        <v>4211488</v>
      </c>
      <c r="F2852" t="s">
        <v>920</v>
      </c>
      <c r="G2852" s="8" t="s">
        <v>7858</v>
      </c>
      <c r="H2852" s="8" t="s">
        <v>7219</v>
      </c>
      <c r="I2852" s="153" t="s">
        <v>2416</v>
      </c>
      <c r="J2852" s="40" t="s">
        <v>274</v>
      </c>
    </row>
    <row r="2853" spans="1:10" s="40" customFormat="1">
      <c r="A2853" s="218"/>
      <c r="B2853" s="8" t="s">
        <v>423</v>
      </c>
      <c r="C2853" s="297">
        <v>4211488</v>
      </c>
      <c r="D2853" s="297">
        <v>0</v>
      </c>
      <c r="E2853" s="284">
        <f t="shared" si="44"/>
        <v>0</v>
      </c>
      <c r="F2853" t="s">
        <v>10</v>
      </c>
      <c r="G2853" s="8" t="s">
        <v>94</v>
      </c>
      <c r="H2853" s="8" t="s">
        <v>5867</v>
      </c>
      <c r="I2853" s="153" t="s">
        <v>2416</v>
      </c>
    </row>
    <row r="2854" spans="1:10" s="8" customFormat="1">
      <c r="A2854" s="13">
        <v>45813</v>
      </c>
      <c r="B2854" s="8" t="s">
        <v>2142</v>
      </c>
      <c r="C2854" s="284">
        <v>0</v>
      </c>
      <c r="D2854" s="284">
        <v>22758450</v>
      </c>
      <c r="E2854" s="284">
        <f t="shared" si="44"/>
        <v>22758450</v>
      </c>
      <c r="F2854" s="40" t="s">
        <v>10</v>
      </c>
      <c r="G2854" s="8" t="s">
        <v>18</v>
      </c>
      <c r="H2854" s="8" t="s">
        <v>452</v>
      </c>
      <c r="I2854" s="153" t="s">
        <v>2143</v>
      </c>
    </row>
    <row r="2855" spans="1:10" s="40" customFormat="1">
      <c r="A2855" s="218"/>
      <c r="B2855" s="8" t="s">
        <v>2142</v>
      </c>
      <c r="C2855" s="297">
        <v>19257150</v>
      </c>
      <c r="D2855" s="297">
        <v>0</v>
      </c>
      <c r="E2855" s="284">
        <f t="shared" si="44"/>
        <v>3501300</v>
      </c>
      <c r="F2855" s="40" t="s">
        <v>920</v>
      </c>
      <c r="G2855" s="8" t="s">
        <v>7858</v>
      </c>
      <c r="H2855" s="8" t="s">
        <v>7217</v>
      </c>
      <c r="I2855" s="153" t="s">
        <v>2143</v>
      </c>
      <c r="J2855" s="40" t="s">
        <v>274</v>
      </c>
    </row>
    <row r="2856" spans="1:10" s="40" customFormat="1">
      <c r="A2856" s="218"/>
      <c r="B2856" s="8" t="s">
        <v>2142</v>
      </c>
      <c r="C2856" s="297">
        <v>3501300</v>
      </c>
      <c r="D2856" s="297">
        <v>0</v>
      </c>
      <c r="E2856" s="284">
        <f t="shared" si="44"/>
        <v>0</v>
      </c>
      <c r="F2856" t="s">
        <v>10</v>
      </c>
      <c r="G2856" s="8" t="s">
        <v>94</v>
      </c>
      <c r="H2856" s="8" t="s">
        <v>5867</v>
      </c>
      <c r="I2856" s="153" t="s">
        <v>2143</v>
      </c>
    </row>
    <row r="2857" spans="1:10" s="8" customFormat="1">
      <c r="A2857" s="13">
        <v>45813</v>
      </c>
      <c r="B2857" s="8" t="s">
        <v>2142</v>
      </c>
      <c r="C2857" s="284">
        <v>0</v>
      </c>
      <c r="D2857" s="284">
        <v>9211145</v>
      </c>
      <c r="E2857" s="284">
        <f t="shared" si="44"/>
        <v>9211145</v>
      </c>
      <c r="F2857" s="40" t="s">
        <v>10</v>
      </c>
      <c r="G2857" s="8" t="s">
        <v>18</v>
      </c>
      <c r="H2857" s="8" t="s">
        <v>2426</v>
      </c>
      <c r="I2857" s="153" t="s">
        <v>2388</v>
      </c>
    </row>
    <row r="2858" spans="1:10" s="40" customFormat="1">
      <c r="A2858" s="218"/>
      <c r="B2858" s="8" t="s">
        <v>2142</v>
      </c>
      <c r="C2858" s="297">
        <v>7794046</v>
      </c>
      <c r="D2858" s="297">
        <v>0</v>
      </c>
      <c r="E2858" s="284">
        <f t="shared" si="44"/>
        <v>1417099</v>
      </c>
      <c r="F2858" t="s">
        <v>920</v>
      </c>
      <c r="G2858" s="8" t="s">
        <v>7858</v>
      </c>
      <c r="H2858" s="8" t="s">
        <v>7219</v>
      </c>
      <c r="I2858" s="153" t="s">
        <v>2388</v>
      </c>
      <c r="J2858" s="40" t="s">
        <v>274</v>
      </c>
    </row>
    <row r="2859" spans="1:10" s="40" customFormat="1">
      <c r="A2859" s="218"/>
      <c r="B2859" s="8" t="s">
        <v>2142</v>
      </c>
      <c r="C2859" s="297">
        <v>1417099</v>
      </c>
      <c r="D2859" s="297">
        <v>0</v>
      </c>
      <c r="E2859" s="284">
        <f t="shared" si="44"/>
        <v>0</v>
      </c>
      <c r="F2859" t="s">
        <v>10</v>
      </c>
      <c r="G2859" s="8" t="s">
        <v>94</v>
      </c>
      <c r="H2859" s="8" t="s">
        <v>5867</v>
      </c>
      <c r="I2859" s="153" t="s">
        <v>2388</v>
      </c>
    </row>
    <row r="2860" spans="1:10" s="8" customFormat="1">
      <c r="A2860" s="13">
        <v>45828</v>
      </c>
      <c r="B2860" s="8" t="s">
        <v>2106</v>
      </c>
      <c r="C2860" s="284">
        <v>0</v>
      </c>
      <c r="D2860" s="284">
        <v>11954930</v>
      </c>
      <c r="E2860" s="284">
        <f t="shared" si="44"/>
        <v>11954930</v>
      </c>
      <c r="F2860" s="40" t="s">
        <v>10</v>
      </c>
      <c r="G2860" s="8" t="s">
        <v>18</v>
      </c>
      <c r="H2860" s="8" t="s">
        <v>438</v>
      </c>
      <c r="I2860" s="153" t="s">
        <v>2414</v>
      </c>
    </row>
    <row r="2861" spans="1:10" s="40" customFormat="1">
      <c r="A2861" s="218"/>
      <c r="B2861" s="8" t="s">
        <v>2106</v>
      </c>
      <c r="C2861" s="297">
        <v>10115710</v>
      </c>
      <c r="D2861" s="297">
        <v>0</v>
      </c>
      <c r="E2861" s="284">
        <f t="shared" si="44"/>
        <v>1839220</v>
      </c>
      <c r="F2861" t="s">
        <v>920</v>
      </c>
      <c r="G2861" s="8" t="s">
        <v>7858</v>
      </c>
      <c r="H2861" s="8" t="s">
        <v>7219</v>
      </c>
      <c r="I2861" s="153" t="s">
        <v>2414</v>
      </c>
      <c r="J2861" s="40" t="s">
        <v>274</v>
      </c>
    </row>
    <row r="2862" spans="1:10" s="40" customFormat="1">
      <c r="A2862" s="218"/>
      <c r="B2862" s="8" t="s">
        <v>2106</v>
      </c>
      <c r="C2862" s="297">
        <v>1839220</v>
      </c>
      <c r="D2862" s="297">
        <v>0</v>
      </c>
      <c r="E2862" s="284">
        <f t="shared" si="44"/>
        <v>0</v>
      </c>
      <c r="F2862" t="s">
        <v>10</v>
      </c>
      <c r="G2862" s="8" t="s">
        <v>94</v>
      </c>
      <c r="H2862" s="8" t="s">
        <v>5867</v>
      </c>
      <c r="I2862" s="153" t="s">
        <v>2414</v>
      </c>
    </row>
    <row r="2863" spans="1:10" s="8" customFormat="1">
      <c r="A2863" s="13">
        <v>45856</v>
      </c>
      <c r="B2863" s="8" t="s">
        <v>1185</v>
      </c>
      <c r="C2863" s="284">
        <v>0</v>
      </c>
      <c r="D2863" s="284">
        <v>22292316</v>
      </c>
      <c r="E2863" s="284">
        <f t="shared" si="44"/>
        <v>22292316</v>
      </c>
      <c r="F2863" s="40" t="s">
        <v>10</v>
      </c>
      <c r="G2863" s="8" t="s">
        <v>18</v>
      </c>
      <c r="H2863" s="8" t="s">
        <v>425</v>
      </c>
      <c r="I2863" s="153" t="s">
        <v>2387</v>
      </c>
    </row>
    <row r="2864" spans="1:10" s="8" customFormat="1">
      <c r="A2864" s="13"/>
      <c r="B2864" s="8" t="s">
        <v>1185</v>
      </c>
      <c r="C2864" s="284">
        <v>18862729</v>
      </c>
      <c r="D2864" s="284">
        <v>0</v>
      </c>
      <c r="E2864" s="284">
        <f t="shared" si="44"/>
        <v>3429587</v>
      </c>
      <c r="F2864" t="s">
        <v>920</v>
      </c>
      <c r="G2864" s="8" t="s">
        <v>7858</v>
      </c>
      <c r="H2864" s="8" t="s">
        <v>7219</v>
      </c>
      <c r="I2864" s="153" t="s">
        <v>2387</v>
      </c>
      <c r="J2864" s="40" t="s">
        <v>274</v>
      </c>
    </row>
    <row r="2865" spans="1:10" s="8" customFormat="1">
      <c r="A2865" s="13"/>
      <c r="B2865" s="8" t="s">
        <v>1185</v>
      </c>
      <c r="C2865" s="284">
        <v>3429587</v>
      </c>
      <c r="D2865" s="284">
        <v>0</v>
      </c>
      <c r="E2865" s="284">
        <f t="shared" si="44"/>
        <v>0</v>
      </c>
      <c r="F2865" t="s">
        <v>10</v>
      </c>
      <c r="G2865" s="8" t="s">
        <v>94</v>
      </c>
      <c r="H2865" s="8" t="s">
        <v>5867</v>
      </c>
      <c r="I2865" s="153" t="s">
        <v>2387</v>
      </c>
    </row>
    <row r="2866" spans="1:10" s="8" customFormat="1">
      <c r="A2866" s="13">
        <v>45875</v>
      </c>
      <c r="B2866" s="8" t="s">
        <v>382</v>
      </c>
      <c r="C2866" s="284">
        <v>0</v>
      </c>
      <c r="D2866" s="284">
        <v>7964815</v>
      </c>
      <c r="E2866" s="284">
        <f t="shared" si="44"/>
        <v>7964815</v>
      </c>
      <c r="F2866" s="40" t="s">
        <v>10</v>
      </c>
      <c r="G2866" s="8" t="s">
        <v>18</v>
      </c>
      <c r="H2866" s="8" t="s">
        <v>2431</v>
      </c>
      <c r="I2866" s="153" t="s">
        <v>2398</v>
      </c>
    </row>
    <row r="2867" spans="1:10" s="8" customFormat="1">
      <c r="A2867" s="13"/>
      <c r="B2867" s="8" t="s">
        <v>382</v>
      </c>
      <c r="C2867" s="284">
        <v>6739459</v>
      </c>
      <c r="D2867" s="284">
        <v>0</v>
      </c>
      <c r="E2867" s="284">
        <f t="shared" si="44"/>
        <v>1225356</v>
      </c>
      <c r="F2867" t="s">
        <v>920</v>
      </c>
      <c r="G2867" s="8" t="s">
        <v>7858</v>
      </c>
      <c r="H2867" s="8" t="s">
        <v>7219</v>
      </c>
      <c r="I2867" s="153" t="s">
        <v>2398</v>
      </c>
      <c r="J2867" s="40" t="s">
        <v>274</v>
      </c>
    </row>
    <row r="2868" spans="1:10" s="8" customFormat="1">
      <c r="A2868" s="13"/>
      <c r="B2868" s="8" t="s">
        <v>382</v>
      </c>
      <c r="C2868" s="284">
        <v>1225356</v>
      </c>
      <c r="D2868" s="284">
        <v>0</v>
      </c>
      <c r="E2868" s="284">
        <f t="shared" si="44"/>
        <v>0</v>
      </c>
      <c r="F2868" t="s">
        <v>10</v>
      </c>
      <c r="G2868" s="8" t="s">
        <v>94</v>
      </c>
      <c r="H2868" s="8" t="s">
        <v>5867</v>
      </c>
      <c r="I2868" s="153" t="s">
        <v>2398</v>
      </c>
    </row>
    <row r="2869" spans="1:10" s="8" customFormat="1">
      <c r="A2869" s="13">
        <v>45922</v>
      </c>
      <c r="B2869" s="8" t="s">
        <v>382</v>
      </c>
      <c r="C2869" s="284">
        <v>0</v>
      </c>
      <c r="D2869" s="284">
        <v>16599224</v>
      </c>
      <c r="E2869" s="284">
        <f t="shared" si="44"/>
        <v>16599224</v>
      </c>
      <c r="F2869" s="40" t="s">
        <v>10</v>
      </c>
      <c r="G2869" s="8" t="s">
        <v>18</v>
      </c>
      <c r="H2869" s="8" t="s">
        <v>2424</v>
      </c>
      <c r="I2869" s="153" t="s">
        <v>2383</v>
      </c>
    </row>
    <row r="2870" spans="1:10" s="8" customFormat="1">
      <c r="A2870" s="13"/>
      <c r="B2870" s="8" t="s">
        <v>382</v>
      </c>
      <c r="C2870" s="284">
        <v>14045497</v>
      </c>
      <c r="D2870" s="284">
        <v>0</v>
      </c>
      <c r="E2870" s="284">
        <f t="shared" si="44"/>
        <v>2553727</v>
      </c>
      <c r="F2870" t="s">
        <v>920</v>
      </c>
      <c r="G2870" s="8" t="s">
        <v>7858</v>
      </c>
      <c r="H2870" s="8" t="s">
        <v>7219</v>
      </c>
      <c r="I2870" s="153" t="s">
        <v>2383</v>
      </c>
      <c r="J2870" s="40" t="s">
        <v>274</v>
      </c>
    </row>
    <row r="2871" spans="1:10" s="8" customFormat="1">
      <c r="A2871" s="13"/>
      <c r="B2871" s="8" t="s">
        <v>382</v>
      </c>
      <c r="C2871" s="284">
        <v>2553727</v>
      </c>
      <c r="D2871" s="284">
        <v>0</v>
      </c>
      <c r="E2871" s="284">
        <f t="shared" si="44"/>
        <v>0</v>
      </c>
      <c r="F2871" t="s">
        <v>10</v>
      </c>
      <c r="G2871" s="8" t="s">
        <v>94</v>
      </c>
      <c r="H2871" s="8" t="s">
        <v>5867</v>
      </c>
      <c r="I2871" s="153" t="s">
        <v>2383</v>
      </c>
    </row>
    <row r="2872" spans="1:10" s="8" customFormat="1">
      <c r="A2872" s="13">
        <v>45947</v>
      </c>
      <c r="B2872" s="8" t="s">
        <v>3685</v>
      </c>
      <c r="C2872" s="284">
        <v>0</v>
      </c>
      <c r="D2872" s="284">
        <v>10858653</v>
      </c>
      <c r="E2872" s="284">
        <f t="shared" si="44"/>
        <v>10858653</v>
      </c>
      <c r="F2872" s="40" t="s">
        <v>10</v>
      </c>
      <c r="G2872" s="8" t="s">
        <v>18</v>
      </c>
      <c r="H2872" s="8" t="s">
        <v>505</v>
      </c>
      <c r="I2872" s="153" t="s">
        <v>2415</v>
      </c>
    </row>
    <row r="2873" spans="1:10" s="8" customFormat="1">
      <c r="A2873" s="13"/>
      <c r="B2873" s="8" t="s">
        <v>3685</v>
      </c>
      <c r="C2873" s="284">
        <v>9188091</v>
      </c>
      <c r="D2873" s="284">
        <v>0</v>
      </c>
      <c r="E2873" s="284">
        <f t="shared" si="44"/>
        <v>1670562</v>
      </c>
      <c r="F2873" t="s">
        <v>920</v>
      </c>
      <c r="G2873" s="8" t="s">
        <v>7858</v>
      </c>
      <c r="H2873" s="8" t="s">
        <v>7219</v>
      </c>
      <c r="I2873" s="153" t="s">
        <v>2415</v>
      </c>
      <c r="J2873" s="40" t="s">
        <v>274</v>
      </c>
    </row>
    <row r="2874" spans="1:10" s="40" customFormat="1">
      <c r="A2874" s="218"/>
      <c r="B2874" s="8" t="s">
        <v>3685</v>
      </c>
      <c r="C2874" s="297">
        <v>1670562</v>
      </c>
      <c r="D2874" s="297">
        <v>0</v>
      </c>
      <c r="E2874" s="284">
        <f t="shared" si="44"/>
        <v>0</v>
      </c>
      <c r="F2874" t="s">
        <v>10</v>
      </c>
      <c r="G2874" s="8" t="s">
        <v>94</v>
      </c>
      <c r="H2874" s="8" t="s">
        <v>5867</v>
      </c>
      <c r="I2874" s="153" t="s">
        <v>2415</v>
      </c>
    </row>
    <row r="2875" spans="1:10" s="8" customFormat="1">
      <c r="A2875" s="13">
        <v>45954</v>
      </c>
      <c r="B2875" s="8" t="s">
        <v>3995</v>
      </c>
      <c r="C2875" s="284">
        <v>0</v>
      </c>
      <c r="D2875" s="284">
        <v>10933260</v>
      </c>
      <c r="E2875" s="284">
        <f t="shared" si="44"/>
        <v>10933260</v>
      </c>
      <c r="F2875" s="40" t="s">
        <v>10</v>
      </c>
      <c r="G2875" s="8" t="s">
        <v>18</v>
      </c>
      <c r="H2875" s="8" t="s">
        <v>436</v>
      </c>
      <c r="I2875" s="153" t="s">
        <v>2399</v>
      </c>
    </row>
    <row r="2876" spans="1:10" s="40" customFormat="1">
      <c r="A2876" s="218"/>
      <c r="B2876" s="8" t="s">
        <v>3995</v>
      </c>
      <c r="C2876" s="297">
        <v>9251220</v>
      </c>
      <c r="D2876" s="297">
        <v>0</v>
      </c>
      <c r="E2876" s="284">
        <f t="shared" si="44"/>
        <v>1682040</v>
      </c>
      <c r="F2876" t="s">
        <v>920</v>
      </c>
      <c r="G2876" s="8" t="s">
        <v>7858</v>
      </c>
      <c r="H2876" s="8" t="s">
        <v>7219</v>
      </c>
      <c r="I2876" s="153" t="s">
        <v>2399</v>
      </c>
      <c r="J2876" s="40" t="s">
        <v>274</v>
      </c>
    </row>
    <row r="2877" spans="1:10" s="40" customFormat="1">
      <c r="A2877" s="218"/>
      <c r="B2877" s="8" t="s">
        <v>3995</v>
      </c>
      <c r="C2877" s="297">
        <v>1682040</v>
      </c>
      <c r="D2877" s="297">
        <v>0</v>
      </c>
      <c r="E2877" s="284">
        <f t="shared" si="44"/>
        <v>0</v>
      </c>
      <c r="F2877" t="s">
        <v>10</v>
      </c>
      <c r="G2877" s="8" t="s">
        <v>94</v>
      </c>
      <c r="H2877" s="8" t="s">
        <v>5867</v>
      </c>
      <c r="I2877" s="153" t="s">
        <v>2399</v>
      </c>
    </row>
    <row r="2878" spans="1:10" s="8" customFormat="1">
      <c r="A2878" s="13">
        <v>45975</v>
      </c>
      <c r="B2878" s="8" t="s">
        <v>4306</v>
      </c>
      <c r="C2878" s="284">
        <v>0</v>
      </c>
      <c r="D2878" s="284">
        <v>5642000</v>
      </c>
      <c r="E2878" s="284">
        <f t="shared" si="44"/>
        <v>5642000</v>
      </c>
      <c r="F2878" s="40" t="s">
        <v>10</v>
      </c>
      <c r="G2878" s="8" t="s">
        <v>18</v>
      </c>
      <c r="H2878" s="8" t="s">
        <v>2427</v>
      </c>
      <c r="I2878" s="153" t="s">
        <v>2390</v>
      </c>
    </row>
    <row r="2879" spans="1:10" s="40" customFormat="1">
      <c r="A2879" s="218"/>
      <c r="B2879" s="8" t="s">
        <v>4306</v>
      </c>
      <c r="C2879" s="297">
        <v>4774000</v>
      </c>
      <c r="D2879" s="297">
        <v>0</v>
      </c>
      <c r="E2879" s="284">
        <f t="shared" si="44"/>
        <v>868000</v>
      </c>
      <c r="F2879" t="s">
        <v>920</v>
      </c>
      <c r="G2879" s="8" t="s">
        <v>7858</v>
      </c>
      <c r="H2879" s="8" t="s">
        <v>7219</v>
      </c>
      <c r="I2879" s="153" t="s">
        <v>2390</v>
      </c>
      <c r="J2879" s="40" t="s">
        <v>274</v>
      </c>
    </row>
    <row r="2880" spans="1:10" s="40" customFormat="1">
      <c r="A2880" s="218"/>
      <c r="B2880" s="8" t="s">
        <v>4306</v>
      </c>
      <c r="C2880" s="297">
        <v>868000</v>
      </c>
      <c r="D2880" s="297">
        <v>0</v>
      </c>
      <c r="E2880" s="284">
        <f t="shared" si="44"/>
        <v>0</v>
      </c>
      <c r="F2880" t="s">
        <v>10</v>
      </c>
      <c r="G2880" s="8" t="s">
        <v>94</v>
      </c>
      <c r="H2880" s="8" t="s">
        <v>5867</v>
      </c>
      <c r="I2880" s="153" t="s">
        <v>2390</v>
      </c>
    </row>
    <row r="2881" spans="1:10" s="8" customFormat="1">
      <c r="A2881" s="13">
        <v>45975</v>
      </c>
      <c r="B2881" s="8" t="s">
        <v>4306</v>
      </c>
      <c r="C2881" s="284">
        <v>0</v>
      </c>
      <c r="D2881" s="284">
        <v>5334396</v>
      </c>
      <c r="E2881" s="284">
        <f t="shared" si="44"/>
        <v>5334396</v>
      </c>
      <c r="F2881" s="40" t="s">
        <v>10</v>
      </c>
      <c r="G2881" s="8" t="s">
        <v>18</v>
      </c>
      <c r="H2881" s="8" t="s">
        <v>430</v>
      </c>
      <c r="I2881" s="153" t="s">
        <v>2392</v>
      </c>
    </row>
    <row r="2882" spans="1:10" s="8" customFormat="1">
      <c r="A2882" s="13"/>
      <c r="B2882" s="8" t="s">
        <v>4306</v>
      </c>
      <c r="C2882" s="284">
        <v>4513720</v>
      </c>
      <c r="D2882" s="284">
        <v>0</v>
      </c>
      <c r="E2882" s="284">
        <f t="shared" si="44"/>
        <v>820676</v>
      </c>
      <c r="F2882" t="s">
        <v>920</v>
      </c>
      <c r="G2882" s="8" t="s">
        <v>7858</v>
      </c>
      <c r="H2882" s="8" t="s">
        <v>7219</v>
      </c>
      <c r="I2882" s="153" t="s">
        <v>2392</v>
      </c>
      <c r="J2882" s="40" t="s">
        <v>274</v>
      </c>
    </row>
    <row r="2883" spans="1:10" s="8" customFormat="1">
      <c r="A2883" s="13"/>
      <c r="B2883" s="8" t="s">
        <v>4306</v>
      </c>
      <c r="C2883" s="284">
        <v>820676</v>
      </c>
      <c r="D2883" s="284">
        <v>0</v>
      </c>
      <c r="E2883" s="284">
        <f t="shared" si="44"/>
        <v>0</v>
      </c>
      <c r="F2883" t="s">
        <v>10</v>
      </c>
      <c r="G2883" s="8" t="s">
        <v>94</v>
      </c>
      <c r="H2883" s="8" t="s">
        <v>5867</v>
      </c>
      <c r="I2883" s="153" t="s">
        <v>2392</v>
      </c>
    </row>
    <row r="2884" spans="1:10" s="8" customFormat="1">
      <c r="A2884" s="13">
        <v>46009</v>
      </c>
      <c r="B2884" s="8" t="s">
        <v>6357</v>
      </c>
      <c r="C2884" s="284">
        <v>0</v>
      </c>
      <c r="D2884" s="284">
        <f>SUM(C2885:C2918)</f>
        <v>406260192</v>
      </c>
      <c r="E2884" s="284">
        <f t="shared" si="44"/>
        <v>406260192</v>
      </c>
      <c r="F2884" s="40" t="s">
        <v>1209</v>
      </c>
      <c r="G2884" s="8" t="s">
        <v>192</v>
      </c>
      <c r="I2884" s="153"/>
    </row>
    <row r="2885" spans="1:10" s="8" customFormat="1">
      <c r="A2885" s="13"/>
      <c r="B2885" s="17" t="s">
        <v>35</v>
      </c>
      <c r="C2885" s="284">
        <v>144630000</v>
      </c>
      <c r="D2885" s="284">
        <v>0</v>
      </c>
      <c r="E2885" s="284">
        <f t="shared" si="44"/>
        <v>261630192</v>
      </c>
      <c r="F2885" s="40" t="s">
        <v>6</v>
      </c>
      <c r="G2885" s="8" t="s">
        <v>7</v>
      </c>
      <c r="H2885" s="17" t="s">
        <v>36</v>
      </c>
      <c r="I2885" s="153" t="s">
        <v>34</v>
      </c>
    </row>
    <row r="2886" spans="1:10" s="8" customFormat="1">
      <c r="A2886" s="13"/>
      <c r="B2886" s="8" t="s">
        <v>34</v>
      </c>
      <c r="C2886" s="284">
        <v>5483800</v>
      </c>
      <c r="D2886" s="284">
        <v>0</v>
      </c>
      <c r="E2886" s="284">
        <f t="shared" si="44"/>
        <v>256146392</v>
      </c>
      <c r="F2886" s="40" t="s">
        <v>6</v>
      </c>
      <c r="G2886" s="8" t="s">
        <v>7</v>
      </c>
      <c r="H2886" s="8" t="s">
        <v>246</v>
      </c>
      <c r="I2886" s="153" t="s">
        <v>34</v>
      </c>
    </row>
    <row r="2887" spans="1:10" s="8" customFormat="1">
      <c r="A2887" s="13"/>
      <c r="B2887" s="8" t="s">
        <v>324</v>
      </c>
      <c r="C2887" s="284">
        <v>5672024</v>
      </c>
      <c r="D2887" s="284">
        <v>0</v>
      </c>
      <c r="E2887" s="284">
        <f t="shared" ref="E2887:E2950" si="45">E2886-C2887+D2887</f>
        <v>250474368</v>
      </c>
      <c r="F2887" s="40" t="s">
        <v>6</v>
      </c>
      <c r="G2887" s="8" t="s">
        <v>7</v>
      </c>
      <c r="H2887" s="8" t="s">
        <v>71</v>
      </c>
      <c r="I2887" s="153" t="s">
        <v>34</v>
      </c>
    </row>
    <row r="2888" spans="1:10" s="8" customFormat="1">
      <c r="A2888" s="13"/>
      <c r="B2888" s="8" t="s">
        <v>324</v>
      </c>
      <c r="C2888" s="284">
        <v>3111463</v>
      </c>
      <c r="D2888" s="284">
        <v>0</v>
      </c>
      <c r="E2888" s="284">
        <f t="shared" si="45"/>
        <v>247362905</v>
      </c>
      <c r="F2888" s="40" t="s">
        <v>6</v>
      </c>
      <c r="G2888" s="8" t="s">
        <v>7</v>
      </c>
      <c r="H2888" s="8" t="s">
        <v>20</v>
      </c>
      <c r="I2888" s="153" t="s">
        <v>34</v>
      </c>
    </row>
    <row r="2889" spans="1:10" s="8" customFormat="1">
      <c r="A2889" s="13"/>
      <c r="B2889" s="8" t="s">
        <v>34</v>
      </c>
      <c r="C2889" s="284">
        <v>27182168</v>
      </c>
      <c r="D2889" s="284">
        <v>0</v>
      </c>
      <c r="E2889" s="284">
        <f t="shared" si="45"/>
        <v>220180737</v>
      </c>
      <c r="F2889" s="40" t="s">
        <v>6</v>
      </c>
      <c r="G2889" s="8" t="s">
        <v>7</v>
      </c>
      <c r="H2889" s="8" t="s">
        <v>72</v>
      </c>
      <c r="I2889" s="153" t="s">
        <v>34</v>
      </c>
    </row>
    <row r="2890" spans="1:10" s="8" customFormat="1">
      <c r="A2890" s="13"/>
      <c r="B2890" s="8" t="s">
        <v>34</v>
      </c>
      <c r="C2890" s="284">
        <v>7539477</v>
      </c>
      <c r="D2890" s="284">
        <v>0</v>
      </c>
      <c r="E2890" s="284">
        <f t="shared" si="45"/>
        <v>212641260</v>
      </c>
      <c r="F2890" s="40" t="s">
        <v>6</v>
      </c>
      <c r="G2890" s="8" t="s">
        <v>7</v>
      </c>
      <c r="H2890" s="8" t="s">
        <v>242</v>
      </c>
      <c r="I2890" s="153" t="s">
        <v>34</v>
      </c>
    </row>
    <row r="2891" spans="1:10" s="8" customFormat="1">
      <c r="A2891" s="13"/>
      <c r="B2891" s="40" t="s">
        <v>317</v>
      </c>
      <c r="C2891" s="284">
        <v>4403000</v>
      </c>
      <c r="D2891" s="284">
        <v>0</v>
      </c>
      <c r="E2891" s="284">
        <f t="shared" si="45"/>
        <v>208238260</v>
      </c>
      <c r="F2891" s="40" t="s">
        <v>6</v>
      </c>
      <c r="G2891" s="8" t="s">
        <v>7</v>
      </c>
      <c r="H2891" s="8" t="s">
        <v>249</v>
      </c>
      <c r="I2891" s="153" t="s">
        <v>34</v>
      </c>
    </row>
    <row r="2892" spans="1:10" s="8" customFormat="1">
      <c r="A2892" s="13"/>
      <c r="B2892" s="8" t="s">
        <v>324</v>
      </c>
      <c r="C2892" s="284">
        <v>6230368</v>
      </c>
      <c r="D2892" s="284">
        <v>0</v>
      </c>
      <c r="E2892" s="284">
        <f t="shared" si="45"/>
        <v>202007892</v>
      </c>
      <c r="F2892" s="40" t="s">
        <v>6</v>
      </c>
      <c r="G2892" s="8" t="s">
        <v>7</v>
      </c>
      <c r="H2892" s="8" t="s">
        <v>243</v>
      </c>
      <c r="I2892" s="153" t="s">
        <v>34</v>
      </c>
    </row>
    <row r="2893" spans="1:10" s="8" customFormat="1">
      <c r="A2893" s="13"/>
      <c r="B2893" s="8" t="s">
        <v>321</v>
      </c>
      <c r="C2893" s="284">
        <v>2500</v>
      </c>
      <c r="D2893" s="284">
        <v>0</v>
      </c>
      <c r="E2893" s="284">
        <f t="shared" si="45"/>
        <v>202005392</v>
      </c>
      <c r="F2893" s="40" t="s">
        <v>6</v>
      </c>
      <c r="G2893" s="8" t="s">
        <v>7</v>
      </c>
      <c r="H2893" s="8" t="s">
        <v>268</v>
      </c>
      <c r="I2893" s="153" t="s">
        <v>34</v>
      </c>
    </row>
    <row r="2894" spans="1:10" s="8" customFormat="1">
      <c r="A2894" s="13"/>
      <c r="B2894" s="40" t="s">
        <v>321</v>
      </c>
      <c r="C2894" s="284">
        <v>176833</v>
      </c>
      <c r="D2894" s="284">
        <v>0</v>
      </c>
      <c r="E2894" s="284">
        <f t="shared" si="45"/>
        <v>201828559</v>
      </c>
      <c r="F2894" s="40" t="s">
        <v>6</v>
      </c>
      <c r="G2894" s="8" t="s">
        <v>7</v>
      </c>
      <c r="H2894" s="8" t="s">
        <v>282</v>
      </c>
      <c r="I2894" s="153" t="s">
        <v>34</v>
      </c>
    </row>
    <row r="2895" spans="1:10" s="8" customFormat="1">
      <c r="A2895" s="13"/>
      <c r="B2895" s="40" t="s">
        <v>321</v>
      </c>
      <c r="C2895" s="284">
        <v>2214975</v>
      </c>
      <c r="D2895" s="284">
        <v>0</v>
      </c>
      <c r="E2895" s="284">
        <f t="shared" si="45"/>
        <v>199613584</v>
      </c>
      <c r="F2895" s="40" t="s">
        <v>6</v>
      </c>
      <c r="G2895" s="8" t="s">
        <v>7</v>
      </c>
      <c r="H2895" s="8" t="s">
        <v>293</v>
      </c>
      <c r="I2895" s="153" t="s">
        <v>34</v>
      </c>
    </row>
    <row r="2896" spans="1:10" s="8" customFormat="1">
      <c r="A2896" s="13"/>
      <c r="B2896" s="8" t="s">
        <v>321</v>
      </c>
      <c r="C2896" s="284">
        <v>82432</v>
      </c>
      <c r="D2896" s="284">
        <v>0</v>
      </c>
      <c r="E2896" s="284">
        <f t="shared" si="45"/>
        <v>199531152</v>
      </c>
      <c r="F2896" s="40" t="s">
        <v>6</v>
      </c>
      <c r="G2896" s="8" t="s">
        <v>7</v>
      </c>
      <c r="H2896" s="8" t="s">
        <v>311</v>
      </c>
      <c r="I2896" s="153" t="s">
        <v>34</v>
      </c>
    </row>
    <row r="2897" spans="1:9" s="8" customFormat="1">
      <c r="A2897" s="13"/>
      <c r="B2897" s="8" t="s">
        <v>321</v>
      </c>
      <c r="C2897" s="284">
        <v>523080</v>
      </c>
      <c r="D2897" s="284">
        <v>0</v>
      </c>
      <c r="E2897" s="284">
        <f t="shared" si="45"/>
        <v>199008072</v>
      </c>
      <c r="F2897" s="40" t="s">
        <v>6</v>
      </c>
      <c r="G2897" s="8" t="s">
        <v>7</v>
      </c>
      <c r="H2897" s="8" t="s">
        <v>254</v>
      </c>
      <c r="I2897" s="153" t="s">
        <v>34</v>
      </c>
    </row>
    <row r="2898" spans="1:9" s="8" customFormat="1">
      <c r="A2898" s="13"/>
      <c r="B2898" s="8" t="s">
        <v>321</v>
      </c>
      <c r="C2898" s="284">
        <v>396234</v>
      </c>
      <c r="D2898" s="284">
        <v>0</v>
      </c>
      <c r="E2898" s="284">
        <f t="shared" si="45"/>
        <v>198611838</v>
      </c>
      <c r="F2898" s="40" t="s">
        <v>6</v>
      </c>
      <c r="G2898" s="8" t="s">
        <v>7</v>
      </c>
      <c r="H2898" s="8" t="s">
        <v>276</v>
      </c>
      <c r="I2898" s="153" t="s">
        <v>34</v>
      </c>
    </row>
    <row r="2899" spans="1:9" s="8" customFormat="1">
      <c r="A2899" s="13"/>
      <c r="B2899" s="8" t="s">
        <v>321</v>
      </c>
      <c r="C2899" s="284">
        <v>30000</v>
      </c>
      <c r="D2899" s="284">
        <v>0</v>
      </c>
      <c r="E2899" s="284">
        <f t="shared" si="45"/>
        <v>198581838</v>
      </c>
      <c r="F2899" s="40" t="s">
        <v>6</v>
      </c>
      <c r="G2899" s="8" t="s">
        <v>7</v>
      </c>
      <c r="H2899" s="8" t="s">
        <v>310</v>
      </c>
      <c r="I2899" s="153" t="s">
        <v>34</v>
      </c>
    </row>
    <row r="2900" spans="1:9" s="8" customFormat="1">
      <c r="A2900" s="13"/>
      <c r="B2900" s="8" t="s">
        <v>2195</v>
      </c>
      <c r="C2900" s="284">
        <v>7397530</v>
      </c>
      <c r="D2900" s="284">
        <v>0</v>
      </c>
      <c r="E2900" s="284">
        <f t="shared" si="45"/>
        <v>191184308</v>
      </c>
      <c r="F2900" s="40" t="s">
        <v>6</v>
      </c>
      <c r="G2900" s="8" t="s">
        <v>7</v>
      </c>
      <c r="H2900" s="8" t="s">
        <v>436</v>
      </c>
      <c r="I2900" s="153" t="s">
        <v>34</v>
      </c>
    </row>
    <row r="2901" spans="1:9" s="8" customFormat="1">
      <c r="A2901" s="13"/>
      <c r="B2901" s="8" t="s">
        <v>2195</v>
      </c>
      <c r="C2901" s="284">
        <v>1717810</v>
      </c>
      <c r="D2901" s="284">
        <v>0</v>
      </c>
      <c r="E2901" s="284">
        <f t="shared" si="45"/>
        <v>189466498</v>
      </c>
      <c r="F2901" s="40" t="s">
        <v>6</v>
      </c>
      <c r="G2901" s="8" t="s">
        <v>7</v>
      </c>
      <c r="H2901" s="8" t="s">
        <v>422</v>
      </c>
      <c r="I2901" s="153" t="s">
        <v>34</v>
      </c>
    </row>
    <row r="2902" spans="1:9" s="8" customFormat="1">
      <c r="A2902" s="13"/>
      <c r="B2902" s="8" t="s">
        <v>2195</v>
      </c>
      <c r="C2902" s="284">
        <v>946000</v>
      </c>
      <c r="D2902" s="284">
        <v>0</v>
      </c>
      <c r="E2902" s="284">
        <f t="shared" si="45"/>
        <v>188520498</v>
      </c>
      <c r="F2902" s="40" t="s">
        <v>6</v>
      </c>
      <c r="G2902" s="8" t="s">
        <v>7</v>
      </c>
      <c r="H2902" s="8" t="s">
        <v>418</v>
      </c>
      <c r="I2902" s="153" t="s">
        <v>34</v>
      </c>
    </row>
    <row r="2903" spans="1:9" s="8" customFormat="1">
      <c r="A2903" s="13"/>
      <c r="B2903" s="8" t="s">
        <v>2195</v>
      </c>
      <c r="C2903" s="284">
        <v>3975</v>
      </c>
      <c r="D2903" s="284">
        <v>0</v>
      </c>
      <c r="E2903" s="284">
        <f t="shared" si="45"/>
        <v>188516523</v>
      </c>
      <c r="F2903" s="40" t="s">
        <v>6</v>
      </c>
      <c r="G2903" s="8" t="s">
        <v>7</v>
      </c>
      <c r="H2903" s="8" t="s">
        <v>428</v>
      </c>
      <c r="I2903" s="153" t="s">
        <v>34</v>
      </c>
    </row>
    <row r="2904" spans="1:9" s="8" customFormat="1">
      <c r="A2904" s="13"/>
      <c r="B2904" s="8" t="s">
        <v>2195</v>
      </c>
      <c r="C2904" s="284">
        <v>44322</v>
      </c>
      <c r="D2904" s="284">
        <v>0</v>
      </c>
      <c r="E2904" s="284">
        <f t="shared" si="45"/>
        <v>188472201</v>
      </c>
      <c r="F2904" s="40" t="s">
        <v>6</v>
      </c>
      <c r="G2904" s="8" t="s">
        <v>7</v>
      </c>
      <c r="H2904" s="8" t="s">
        <v>426</v>
      </c>
      <c r="I2904" s="153" t="s">
        <v>34</v>
      </c>
    </row>
    <row r="2905" spans="1:9" s="8" customFormat="1">
      <c r="A2905" s="13"/>
      <c r="B2905" s="8" t="s">
        <v>2195</v>
      </c>
      <c r="C2905" s="284">
        <v>4448800</v>
      </c>
      <c r="D2905" s="284">
        <v>0</v>
      </c>
      <c r="E2905" s="284">
        <f t="shared" si="45"/>
        <v>184023401</v>
      </c>
      <c r="F2905" s="40" t="s">
        <v>6</v>
      </c>
      <c r="G2905" s="8" t="s">
        <v>7</v>
      </c>
      <c r="H2905" s="8" t="s">
        <v>435</v>
      </c>
      <c r="I2905" s="153" t="s">
        <v>34</v>
      </c>
    </row>
    <row r="2906" spans="1:9" s="8" customFormat="1">
      <c r="A2906" s="13"/>
      <c r="B2906" s="8" t="s">
        <v>2195</v>
      </c>
      <c r="C2906" s="284">
        <v>1965606</v>
      </c>
      <c r="D2906" s="284">
        <v>0</v>
      </c>
      <c r="E2906" s="284">
        <f t="shared" si="45"/>
        <v>182057795</v>
      </c>
      <c r="F2906" s="40" t="s">
        <v>6</v>
      </c>
      <c r="G2906" s="8" t="s">
        <v>7</v>
      </c>
      <c r="H2906" s="8" t="s">
        <v>409</v>
      </c>
      <c r="I2906" s="153" t="s">
        <v>34</v>
      </c>
    </row>
    <row r="2907" spans="1:9" s="8" customFormat="1">
      <c r="A2907" s="13"/>
      <c r="B2907" s="8" t="s">
        <v>2195</v>
      </c>
      <c r="C2907" s="284">
        <v>3466605</v>
      </c>
      <c r="D2907" s="284">
        <v>0</v>
      </c>
      <c r="E2907" s="284">
        <f t="shared" si="45"/>
        <v>178591190</v>
      </c>
      <c r="F2907" s="40" t="s">
        <v>6</v>
      </c>
      <c r="G2907" s="8" t="s">
        <v>7</v>
      </c>
      <c r="H2907" s="8" t="s">
        <v>417</v>
      </c>
      <c r="I2907" s="153" t="s">
        <v>34</v>
      </c>
    </row>
    <row r="2908" spans="1:9" s="8" customFormat="1">
      <c r="A2908" s="13"/>
      <c r="B2908" s="8" t="s">
        <v>2195</v>
      </c>
      <c r="C2908" s="284">
        <v>16823</v>
      </c>
      <c r="D2908" s="284">
        <v>0</v>
      </c>
      <c r="E2908" s="284">
        <f t="shared" si="45"/>
        <v>178574367</v>
      </c>
      <c r="F2908" s="40" t="s">
        <v>6</v>
      </c>
      <c r="G2908" s="8" t="s">
        <v>7</v>
      </c>
      <c r="H2908" s="8" t="s">
        <v>411</v>
      </c>
      <c r="I2908" s="153" t="s">
        <v>34</v>
      </c>
    </row>
    <row r="2909" spans="1:9" s="8" customFormat="1">
      <c r="A2909" s="13"/>
      <c r="B2909" s="8" t="s">
        <v>2195</v>
      </c>
      <c r="C2909" s="284">
        <v>634400</v>
      </c>
      <c r="D2909" s="284">
        <v>0</v>
      </c>
      <c r="E2909" s="284">
        <f t="shared" si="45"/>
        <v>177939967</v>
      </c>
      <c r="F2909" s="40" t="s">
        <v>6</v>
      </c>
      <c r="G2909" s="8" t="s">
        <v>7</v>
      </c>
      <c r="H2909" s="8" t="s">
        <v>394</v>
      </c>
      <c r="I2909" s="153" t="s">
        <v>34</v>
      </c>
    </row>
    <row r="2910" spans="1:9" s="8" customFormat="1">
      <c r="A2910" s="13"/>
      <c r="B2910" s="8" t="s">
        <v>2197</v>
      </c>
      <c r="C2910" s="284">
        <v>1330428</v>
      </c>
      <c r="D2910" s="284">
        <v>0</v>
      </c>
      <c r="E2910" s="284">
        <f t="shared" si="45"/>
        <v>176609539</v>
      </c>
      <c r="F2910" s="40" t="s">
        <v>6</v>
      </c>
      <c r="G2910" s="8" t="s">
        <v>7</v>
      </c>
      <c r="H2910" s="8" t="s">
        <v>427</v>
      </c>
      <c r="I2910" s="153" t="s">
        <v>34</v>
      </c>
    </row>
    <row r="2911" spans="1:9" s="8" customFormat="1">
      <c r="A2911" s="13"/>
      <c r="B2911" s="8" t="s">
        <v>2195</v>
      </c>
      <c r="C2911" s="284">
        <v>23821424</v>
      </c>
      <c r="D2911" s="284">
        <v>0</v>
      </c>
      <c r="E2911" s="284">
        <f t="shared" si="45"/>
        <v>152788115</v>
      </c>
      <c r="F2911" s="40" t="s">
        <v>6</v>
      </c>
      <c r="G2911" s="8" t="s">
        <v>7</v>
      </c>
      <c r="H2911" s="8" t="s">
        <v>420</v>
      </c>
      <c r="I2911" s="153" t="s">
        <v>34</v>
      </c>
    </row>
    <row r="2912" spans="1:9" s="8" customFormat="1">
      <c r="A2912" s="13"/>
      <c r="B2912" s="8" t="s">
        <v>2195</v>
      </c>
      <c r="C2912" s="284">
        <v>32037507</v>
      </c>
      <c r="D2912" s="284">
        <v>0</v>
      </c>
      <c r="E2912" s="284">
        <f t="shared" si="45"/>
        <v>120750608</v>
      </c>
      <c r="F2912" s="40" t="s">
        <v>6</v>
      </c>
      <c r="G2912" s="8" t="s">
        <v>7</v>
      </c>
      <c r="H2912" s="8" t="s">
        <v>395</v>
      </c>
      <c r="I2912" s="153" t="s">
        <v>34</v>
      </c>
    </row>
    <row r="2913" spans="1:9" s="8" customFormat="1">
      <c r="A2913" s="13"/>
      <c r="B2913" s="8" t="s">
        <v>2195</v>
      </c>
      <c r="C2913" s="284">
        <v>96693309</v>
      </c>
      <c r="D2913" s="284">
        <v>0</v>
      </c>
      <c r="E2913" s="284">
        <f t="shared" si="45"/>
        <v>24057299</v>
      </c>
      <c r="F2913" s="40" t="s">
        <v>6</v>
      </c>
      <c r="G2913" s="8" t="s">
        <v>7</v>
      </c>
      <c r="H2913" s="8" t="s">
        <v>2198</v>
      </c>
      <c r="I2913" s="153" t="s">
        <v>34</v>
      </c>
    </row>
    <row r="2914" spans="1:9" s="8" customFormat="1">
      <c r="A2914" s="13"/>
      <c r="B2914" s="8" t="s">
        <v>2195</v>
      </c>
      <c r="C2914" s="284">
        <v>15219778</v>
      </c>
      <c r="D2914" s="284">
        <v>0</v>
      </c>
      <c r="E2914" s="284">
        <f t="shared" si="45"/>
        <v>8837521</v>
      </c>
      <c r="F2914" s="40" t="s">
        <v>6</v>
      </c>
      <c r="G2914" s="8" t="s">
        <v>7</v>
      </c>
      <c r="H2914" s="8" t="s">
        <v>430</v>
      </c>
      <c r="I2914" s="153" t="s">
        <v>34</v>
      </c>
    </row>
    <row r="2915" spans="1:9" s="8" customFormat="1">
      <c r="A2915" s="13"/>
      <c r="B2915" s="8" t="s">
        <v>2195</v>
      </c>
      <c r="C2915" s="284">
        <v>1405635</v>
      </c>
      <c r="D2915" s="284">
        <v>0</v>
      </c>
      <c r="E2915" s="284">
        <f t="shared" si="45"/>
        <v>7431886</v>
      </c>
      <c r="F2915" s="40" t="s">
        <v>6</v>
      </c>
      <c r="G2915" s="8" t="s">
        <v>7</v>
      </c>
      <c r="H2915" s="8" t="s">
        <v>2199</v>
      </c>
      <c r="I2915" s="153" t="s">
        <v>34</v>
      </c>
    </row>
    <row r="2916" spans="1:9" s="8" customFormat="1">
      <c r="A2916" s="13"/>
      <c r="B2916" s="8" t="s">
        <v>2195</v>
      </c>
      <c r="C2916" s="284">
        <v>4937500</v>
      </c>
      <c r="D2916" s="284">
        <v>0</v>
      </c>
      <c r="E2916" s="284">
        <f t="shared" si="45"/>
        <v>2494386</v>
      </c>
      <c r="F2916" s="40" t="s">
        <v>6</v>
      </c>
      <c r="G2916" s="8" t="s">
        <v>7</v>
      </c>
      <c r="H2916" s="8" t="s">
        <v>439</v>
      </c>
      <c r="I2916" s="153" t="s">
        <v>34</v>
      </c>
    </row>
    <row r="2917" spans="1:9" s="8" customFormat="1">
      <c r="A2917" s="13"/>
      <c r="B2917" s="8" t="s">
        <v>2195</v>
      </c>
      <c r="C2917" s="284">
        <v>583049</v>
      </c>
      <c r="D2917" s="284">
        <v>0</v>
      </c>
      <c r="E2917" s="284">
        <f t="shared" si="45"/>
        <v>1911337</v>
      </c>
      <c r="F2917" s="40" t="s">
        <v>6</v>
      </c>
      <c r="G2917" s="8" t="s">
        <v>7</v>
      </c>
      <c r="H2917" s="8" t="s">
        <v>2200</v>
      </c>
      <c r="I2917" s="153" t="s">
        <v>34</v>
      </c>
    </row>
    <row r="2918" spans="1:9" s="8" customFormat="1">
      <c r="A2918" s="13"/>
      <c r="B2918" s="8" t="s">
        <v>2195</v>
      </c>
      <c r="C2918" s="284">
        <v>1911337</v>
      </c>
      <c r="D2918" s="284">
        <v>0</v>
      </c>
      <c r="E2918" s="284">
        <f t="shared" si="45"/>
        <v>0</v>
      </c>
      <c r="F2918" s="40" t="s">
        <v>6</v>
      </c>
      <c r="G2918" s="8" t="s">
        <v>7</v>
      </c>
      <c r="H2918" s="8" t="s">
        <v>2201</v>
      </c>
      <c r="I2918" s="153" t="s">
        <v>34</v>
      </c>
    </row>
    <row r="2919" spans="1:9" s="8" customFormat="1">
      <c r="A2919" s="13">
        <v>46026</v>
      </c>
      <c r="B2919" s="8" t="s">
        <v>6782</v>
      </c>
      <c r="C2919" s="284">
        <v>0</v>
      </c>
      <c r="D2919" s="284">
        <v>109792173</v>
      </c>
      <c r="E2919" s="284">
        <f t="shared" si="45"/>
        <v>109792173</v>
      </c>
      <c r="F2919" s="40" t="s">
        <v>6</v>
      </c>
      <c r="G2919" s="8" t="s">
        <v>50</v>
      </c>
      <c r="H2919" s="8" t="s">
        <v>4817</v>
      </c>
      <c r="I2919" s="153"/>
    </row>
    <row r="2920" spans="1:9" s="8" customFormat="1">
      <c r="A2920" s="13"/>
      <c r="B2920" s="8" t="s">
        <v>6811</v>
      </c>
      <c r="C2920" s="290">
        <v>1896800</v>
      </c>
      <c r="D2920" s="290">
        <v>0</v>
      </c>
      <c r="E2920" s="284">
        <f t="shared" si="45"/>
        <v>107895373</v>
      </c>
      <c r="F2920" s="8" t="s">
        <v>10</v>
      </c>
      <c r="G2920" s="8" t="s">
        <v>446</v>
      </c>
      <c r="H2920" s="40" t="s">
        <v>6532</v>
      </c>
      <c r="I2920" s="153"/>
    </row>
    <row r="2921" spans="1:9" s="8" customFormat="1">
      <c r="A2921" s="13"/>
      <c r="B2921" s="8" t="s">
        <v>6812</v>
      </c>
      <c r="C2921" s="290">
        <v>1998000</v>
      </c>
      <c r="D2921" s="290">
        <v>0</v>
      </c>
      <c r="E2921" s="284">
        <f t="shared" si="45"/>
        <v>105897373</v>
      </c>
      <c r="F2921" s="8" t="s">
        <v>10</v>
      </c>
      <c r="G2921" s="8" t="s">
        <v>446</v>
      </c>
      <c r="H2921" s="40" t="s">
        <v>6532</v>
      </c>
      <c r="I2921" s="153"/>
    </row>
    <row r="2922" spans="1:9" s="8" customFormat="1">
      <c r="A2922" s="13"/>
      <c r="B2922" s="8" t="s">
        <v>6813</v>
      </c>
      <c r="C2922" s="284">
        <v>1025814</v>
      </c>
      <c r="D2922" s="284">
        <v>0</v>
      </c>
      <c r="E2922" s="284">
        <f t="shared" si="45"/>
        <v>104871559</v>
      </c>
      <c r="F2922" s="40" t="s">
        <v>8</v>
      </c>
      <c r="G2922" s="8" t="s">
        <v>184</v>
      </c>
      <c r="H2922" s="8" t="s">
        <v>6889</v>
      </c>
      <c r="I2922" s="153"/>
    </row>
    <row r="2923" spans="1:9" s="8" customFormat="1">
      <c r="A2923" s="13"/>
      <c r="B2923" s="8" t="s">
        <v>6814</v>
      </c>
      <c r="C2923" s="290">
        <v>1300000</v>
      </c>
      <c r="D2923" s="290">
        <v>0</v>
      </c>
      <c r="E2923" s="284">
        <f t="shared" si="45"/>
        <v>103571559</v>
      </c>
      <c r="F2923" s="8" t="s">
        <v>10</v>
      </c>
      <c r="G2923" s="8" t="s">
        <v>446</v>
      </c>
      <c r="H2923" s="40" t="s">
        <v>4096</v>
      </c>
      <c r="I2923" s="153"/>
    </row>
    <row r="2924" spans="1:9" s="8" customFormat="1">
      <c r="A2924" s="13"/>
      <c r="B2924" s="8" t="s">
        <v>6815</v>
      </c>
      <c r="C2924" s="290">
        <v>1300000</v>
      </c>
      <c r="D2924" s="290">
        <v>0</v>
      </c>
      <c r="E2924" s="284">
        <f t="shared" si="45"/>
        <v>102271559</v>
      </c>
      <c r="F2924" s="8" t="s">
        <v>10</v>
      </c>
      <c r="G2924" s="8" t="s">
        <v>446</v>
      </c>
      <c r="H2924" s="40" t="s">
        <v>4096</v>
      </c>
      <c r="I2924" s="153"/>
    </row>
    <row r="2925" spans="1:9" s="8" customFormat="1">
      <c r="A2925" s="13"/>
      <c r="B2925" s="8" t="s">
        <v>6816</v>
      </c>
      <c r="C2925" s="290">
        <v>1002964</v>
      </c>
      <c r="D2925" s="290">
        <v>0</v>
      </c>
      <c r="E2925" s="284">
        <f t="shared" si="45"/>
        <v>101268595</v>
      </c>
      <c r="F2925" s="8" t="s">
        <v>10</v>
      </c>
      <c r="G2925" s="8" t="s">
        <v>446</v>
      </c>
      <c r="H2925" s="40" t="s">
        <v>4096</v>
      </c>
      <c r="I2925" s="153"/>
    </row>
    <row r="2926" spans="1:9" s="8" customFormat="1">
      <c r="A2926" s="13"/>
      <c r="B2926" s="8" t="s">
        <v>6817</v>
      </c>
      <c r="C2926" s="290">
        <v>1300000</v>
      </c>
      <c r="D2926" s="290">
        <v>0</v>
      </c>
      <c r="E2926" s="284">
        <f t="shared" si="45"/>
        <v>99968595</v>
      </c>
      <c r="F2926" s="8" t="s">
        <v>10</v>
      </c>
      <c r="G2926" s="8" t="s">
        <v>446</v>
      </c>
      <c r="H2926" s="40" t="s">
        <v>4096</v>
      </c>
      <c r="I2926" s="153"/>
    </row>
    <row r="2927" spans="1:9" s="8" customFormat="1">
      <c r="A2927" s="13"/>
      <c r="B2927" s="8" t="s">
        <v>6818</v>
      </c>
      <c r="C2927" s="290">
        <v>1795236</v>
      </c>
      <c r="D2927" s="290">
        <v>0</v>
      </c>
      <c r="E2927" s="284">
        <f t="shared" si="45"/>
        <v>98173359</v>
      </c>
      <c r="F2927" s="8" t="s">
        <v>10</v>
      </c>
      <c r="G2927" s="8" t="s">
        <v>446</v>
      </c>
      <c r="H2927" s="40" t="s">
        <v>4096</v>
      </c>
      <c r="I2927" s="153"/>
    </row>
    <row r="2928" spans="1:9" s="8" customFormat="1">
      <c r="A2928" s="13"/>
      <c r="B2928" s="8" t="s">
        <v>6819</v>
      </c>
      <c r="C2928" s="290">
        <v>2671000</v>
      </c>
      <c r="D2928" s="290">
        <v>0</v>
      </c>
      <c r="E2928" s="284">
        <f t="shared" si="45"/>
        <v>95502359</v>
      </c>
      <c r="F2928" s="8" t="s">
        <v>10</v>
      </c>
      <c r="G2928" s="8" t="s">
        <v>446</v>
      </c>
      <c r="H2928" s="40" t="s">
        <v>6101</v>
      </c>
      <c r="I2928" s="153"/>
    </row>
    <row r="2929" spans="1:9" s="8" customFormat="1">
      <c r="A2929" s="13"/>
      <c r="B2929" s="8" t="s">
        <v>6820</v>
      </c>
      <c r="C2929" s="290">
        <v>143609</v>
      </c>
      <c r="D2929" s="290">
        <v>0</v>
      </c>
      <c r="E2929" s="284">
        <f t="shared" si="45"/>
        <v>95358750</v>
      </c>
      <c r="F2929" s="8" t="s">
        <v>10</v>
      </c>
      <c r="G2929" s="8" t="s">
        <v>446</v>
      </c>
      <c r="H2929" s="40" t="s">
        <v>4096</v>
      </c>
      <c r="I2929" s="153"/>
    </row>
    <row r="2930" spans="1:9" s="8" customFormat="1">
      <c r="A2930" s="13"/>
      <c r="B2930" s="282" t="s">
        <v>6821</v>
      </c>
      <c r="C2930" s="290">
        <v>1203033</v>
      </c>
      <c r="D2930" s="290">
        <v>0</v>
      </c>
      <c r="E2930" s="284">
        <f t="shared" si="45"/>
        <v>94155717</v>
      </c>
      <c r="F2930" s="8" t="s">
        <v>10</v>
      </c>
      <c r="G2930" s="8" t="s">
        <v>446</v>
      </c>
      <c r="H2930" s="40" t="s">
        <v>4096</v>
      </c>
      <c r="I2930" s="153"/>
    </row>
    <row r="2931" spans="1:9" s="8" customFormat="1">
      <c r="A2931" s="13"/>
      <c r="B2931" s="8" t="s">
        <v>6822</v>
      </c>
      <c r="C2931" s="290">
        <v>984500</v>
      </c>
      <c r="D2931" s="290">
        <v>0</v>
      </c>
      <c r="E2931" s="284">
        <f t="shared" si="45"/>
        <v>93171217</v>
      </c>
      <c r="F2931" s="8" t="s">
        <v>10</v>
      </c>
      <c r="G2931" s="8" t="s">
        <v>446</v>
      </c>
      <c r="H2931" s="40" t="s">
        <v>5752</v>
      </c>
      <c r="I2931" s="153"/>
    </row>
    <row r="2932" spans="1:9" s="8" customFormat="1">
      <c r="A2932" s="13"/>
      <c r="B2932" s="8" t="s">
        <v>6823</v>
      </c>
      <c r="C2932" s="290">
        <v>608400</v>
      </c>
      <c r="D2932" s="290">
        <v>0</v>
      </c>
      <c r="E2932" s="284">
        <f t="shared" si="45"/>
        <v>92562817</v>
      </c>
      <c r="F2932" s="8" t="s">
        <v>10</v>
      </c>
      <c r="G2932" s="8" t="s">
        <v>446</v>
      </c>
      <c r="H2932" s="40" t="s">
        <v>5752</v>
      </c>
      <c r="I2932" s="153"/>
    </row>
    <row r="2933" spans="1:9" s="8" customFormat="1">
      <c r="A2933" s="13"/>
      <c r="B2933" s="8" t="s">
        <v>6824</v>
      </c>
      <c r="C2933" s="284">
        <v>1664360</v>
      </c>
      <c r="D2933" s="284">
        <v>0</v>
      </c>
      <c r="E2933" s="284">
        <f t="shared" si="45"/>
        <v>90898457</v>
      </c>
      <c r="F2933" s="40" t="s">
        <v>8</v>
      </c>
      <c r="G2933" s="8" t="s">
        <v>180</v>
      </c>
      <c r="H2933" s="8" t="s">
        <v>6666</v>
      </c>
      <c r="I2933" s="153"/>
    </row>
    <row r="2934" spans="1:9" s="8" customFormat="1">
      <c r="A2934" s="13"/>
      <c r="B2934" s="8" t="s">
        <v>6825</v>
      </c>
      <c r="C2934" s="290">
        <v>1203033</v>
      </c>
      <c r="D2934" s="290">
        <v>0</v>
      </c>
      <c r="E2934" s="284">
        <f t="shared" si="45"/>
        <v>89695424</v>
      </c>
      <c r="F2934" s="8" t="s">
        <v>10</v>
      </c>
      <c r="G2934" s="8" t="s">
        <v>446</v>
      </c>
      <c r="H2934" s="40" t="s">
        <v>4096</v>
      </c>
      <c r="I2934" s="153"/>
    </row>
    <row r="2935" spans="1:9" s="8" customFormat="1">
      <c r="A2935" s="13"/>
      <c r="B2935" s="8" t="s">
        <v>6826</v>
      </c>
      <c r="C2935" s="290">
        <v>995001</v>
      </c>
      <c r="D2935" s="290">
        <v>0</v>
      </c>
      <c r="E2935" s="284">
        <f t="shared" si="45"/>
        <v>88700423</v>
      </c>
      <c r="F2935" s="8" t="s">
        <v>10</v>
      </c>
      <c r="G2935" s="8" t="s">
        <v>446</v>
      </c>
      <c r="H2935" s="40" t="s">
        <v>5751</v>
      </c>
      <c r="I2935" s="153"/>
    </row>
    <row r="2936" spans="1:9" s="8" customFormat="1">
      <c r="A2936" s="13"/>
      <c r="B2936" s="8" t="s">
        <v>6827</v>
      </c>
      <c r="C2936" s="284">
        <v>14817703</v>
      </c>
      <c r="D2936" s="284">
        <v>0</v>
      </c>
      <c r="E2936" s="284">
        <f t="shared" si="45"/>
        <v>73882720</v>
      </c>
      <c r="F2936" s="8" t="s">
        <v>1643</v>
      </c>
      <c r="G2936" s="8" t="s">
        <v>5</v>
      </c>
      <c r="H2936" s="8" t="s">
        <v>1627</v>
      </c>
      <c r="I2936" s="153"/>
    </row>
    <row r="2937" spans="1:9" s="8" customFormat="1">
      <c r="A2937" s="13"/>
      <c r="B2937" s="8" t="s">
        <v>6828</v>
      </c>
      <c r="C2937" s="290">
        <v>3600000</v>
      </c>
      <c r="D2937" s="290">
        <v>0</v>
      </c>
      <c r="E2937" s="284">
        <f t="shared" si="45"/>
        <v>70282720</v>
      </c>
      <c r="F2937" s="8" t="s">
        <v>10</v>
      </c>
      <c r="G2937" s="8" t="s">
        <v>446</v>
      </c>
      <c r="H2937" s="40" t="s">
        <v>4096</v>
      </c>
      <c r="I2937" s="153"/>
    </row>
    <row r="2938" spans="1:9" s="8" customFormat="1">
      <c r="A2938" s="13"/>
      <c r="B2938" s="8" t="s">
        <v>6829</v>
      </c>
      <c r="C2938" s="290">
        <v>413400</v>
      </c>
      <c r="D2938" s="290">
        <v>0</v>
      </c>
      <c r="E2938" s="284">
        <f t="shared" si="45"/>
        <v>69869320</v>
      </c>
      <c r="F2938" s="8" t="s">
        <v>10</v>
      </c>
      <c r="G2938" s="8" t="s">
        <v>446</v>
      </c>
      <c r="H2938" s="40" t="s">
        <v>5752</v>
      </c>
      <c r="I2938" s="153"/>
    </row>
    <row r="2939" spans="1:9" s="8" customFormat="1">
      <c r="A2939" s="13"/>
      <c r="B2939" s="8" t="s">
        <v>6830</v>
      </c>
      <c r="C2939" s="284">
        <v>323900</v>
      </c>
      <c r="D2939" s="284">
        <v>0</v>
      </c>
      <c r="E2939" s="284">
        <f t="shared" si="45"/>
        <v>69545420</v>
      </c>
      <c r="F2939" s="8" t="s">
        <v>8</v>
      </c>
      <c r="G2939" s="8" t="s">
        <v>14</v>
      </c>
      <c r="H2939" s="8" t="s">
        <v>314</v>
      </c>
      <c r="I2939" s="153"/>
    </row>
    <row r="2940" spans="1:9" s="8" customFormat="1">
      <c r="A2940" s="13"/>
      <c r="B2940" s="8" t="s">
        <v>6831</v>
      </c>
      <c r="C2940" s="290">
        <v>1350233</v>
      </c>
      <c r="D2940" s="290">
        <v>0</v>
      </c>
      <c r="E2940" s="284">
        <f t="shared" si="45"/>
        <v>68195187</v>
      </c>
      <c r="F2940" s="8" t="s">
        <v>10</v>
      </c>
      <c r="G2940" s="8" t="s">
        <v>446</v>
      </c>
      <c r="H2940" s="40" t="s">
        <v>4096</v>
      </c>
      <c r="I2940" s="153"/>
    </row>
    <row r="2941" spans="1:9" s="8" customFormat="1">
      <c r="A2941" s="13"/>
      <c r="B2941" s="8" t="s">
        <v>6832</v>
      </c>
      <c r="C2941" s="290">
        <v>483702</v>
      </c>
      <c r="D2941" s="290">
        <v>0</v>
      </c>
      <c r="E2941" s="284">
        <f t="shared" si="45"/>
        <v>67711485</v>
      </c>
      <c r="F2941" s="8" t="s">
        <v>10</v>
      </c>
      <c r="G2941" s="8" t="s">
        <v>446</v>
      </c>
      <c r="H2941" s="40" t="s">
        <v>4096</v>
      </c>
      <c r="I2941" s="153"/>
    </row>
    <row r="2942" spans="1:9" s="8" customFormat="1">
      <c r="A2942" s="13"/>
      <c r="B2942" s="8" t="s">
        <v>6833</v>
      </c>
      <c r="C2942" s="290">
        <v>1250000</v>
      </c>
      <c r="D2942" s="290">
        <v>0</v>
      </c>
      <c r="E2942" s="284">
        <f t="shared" si="45"/>
        <v>66461485</v>
      </c>
      <c r="F2942" s="8" t="s">
        <v>10</v>
      </c>
      <c r="G2942" s="8" t="s">
        <v>446</v>
      </c>
      <c r="H2942" s="40" t="s">
        <v>4096</v>
      </c>
      <c r="I2942" s="153"/>
    </row>
    <row r="2943" spans="1:9" s="8" customFormat="1">
      <c r="A2943" s="13"/>
      <c r="B2943" s="8" t="s">
        <v>6834</v>
      </c>
      <c r="C2943" s="284">
        <v>670014</v>
      </c>
      <c r="D2943" s="284">
        <v>0</v>
      </c>
      <c r="E2943" s="284">
        <f t="shared" si="45"/>
        <v>65791471</v>
      </c>
      <c r="F2943" s="8" t="s">
        <v>1643</v>
      </c>
      <c r="G2943" s="8" t="s">
        <v>5</v>
      </c>
      <c r="H2943" s="40" t="s">
        <v>6123</v>
      </c>
      <c r="I2943" s="153"/>
    </row>
    <row r="2944" spans="1:9" s="8" customFormat="1">
      <c r="A2944" s="13"/>
      <c r="B2944" s="8" t="s">
        <v>6835</v>
      </c>
      <c r="C2944" s="284">
        <v>477901</v>
      </c>
      <c r="D2944" s="284">
        <v>0</v>
      </c>
      <c r="E2944" s="284">
        <f t="shared" si="45"/>
        <v>65313570</v>
      </c>
      <c r="F2944" s="8" t="s">
        <v>1643</v>
      </c>
      <c r="G2944" s="8" t="s">
        <v>5</v>
      </c>
      <c r="H2944" s="40" t="s">
        <v>6123</v>
      </c>
      <c r="I2944" s="153"/>
    </row>
    <row r="2945" spans="1:9" s="8" customFormat="1">
      <c r="A2945" s="13"/>
      <c r="B2945" s="8" t="s">
        <v>6836</v>
      </c>
      <c r="C2945" s="284">
        <v>286741</v>
      </c>
      <c r="D2945" s="284">
        <v>0</v>
      </c>
      <c r="E2945" s="284">
        <f t="shared" si="45"/>
        <v>65026829</v>
      </c>
      <c r="F2945" s="8" t="s">
        <v>1643</v>
      </c>
      <c r="G2945" s="8" t="s">
        <v>5</v>
      </c>
      <c r="H2945" s="40" t="s">
        <v>6123</v>
      </c>
      <c r="I2945" s="153"/>
    </row>
    <row r="2946" spans="1:9" s="8" customFormat="1">
      <c r="A2946" s="13"/>
      <c r="B2946" s="8" t="s">
        <v>6837</v>
      </c>
      <c r="C2946" s="284">
        <v>553320</v>
      </c>
      <c r="D2946" s="284">
        <v>0</v>
      </c>
      <c r="E2946" s="284">
        <f t="shared" si="45"/>
        <v>64473509</v>
      </c>
      <c r="F2946" s="8" t="s">
        <v>1643</v>
      </c>
      <c r="G2946" s="8" t="s">
        <v>5</v>
      </c>
      <c r="H2946" s="40" t="s">
        <v>6123</v>
      </c>
      <c r="I2946" s="153"/>
    </row>
    <row r="2947" spans="1:9" s="8" customFormat="1">
      <c r="A2947" s="13"/>
      <c r="B2947" s="8" t="s">
        <v>6838</v>
      </c>
      <c r="C2947" s="284">
        <v>1601000</v>
      </c>
      <c r="D2947" s="284">
        <v>0</v>
      </c>
      <c r="E2947" s="284">
        <f t="shared" si="45"/>
        <v>62872509</v>
      </c>
      <c r="F2947" s="8" t="s">
        <v>1643</v>
      </c>
      <c r="G2947" s="8" t="s">
        <v>5</v>
      </c>
      <c r="H2947" s="40" t="s">
        <v>6123</v>
      </c>
      <c r="I2947" s="153"/>
    </row>
    <row r="2948" spans="1:9" s="8" customFormat="1">
      <c r="A2948" s="13"/>
      <c r="B2948" s="8" t="s">
        <v>6614</v>
      </c>
      <c r="C2948" s="284">
        <v>1991400</v>
      </c>
      <c r="D2948" s="284">
        <v>0</v>
      </c>
      <c r="E2948" s="284">
        <f t="shared" si="45"/>
        <v>60881109</v>
      </c>
      <c r="F2948" s="40" t="s">
        <v>1400</v>
      </c>
      <c r="G2948" s="40" t="s">
        <v>1400</v>
      </c>
      <c r="I2948" s="153"/>
    </row>
    <row r="2949" spans="1:9" s="8" customFormat="1">
      <c r="A2949" s="13"/>
      <c r="B2949" s="8" t="s">
        <v>6839</v>
      </c>
      <c r="C2949" s="290">
        <v>50000</v>
      </c>
      <c r="D2949" s="290">
        <v>0</v>
      </c>
      <c r="E2949" s="284">
        <f t="shared" si="45"/>
        <v>60831109</v>
      </c>
      <c r="F2949" s="8" t="s">
        <v>10</v>
      </c>
      <c r="G2949" s="8" t="s">
        <v>446</v>
      </c>
      <c r="H2949" s="40" t="s">
        <v>6472</v>
      </c>
      <c r="I2949" s="153"/>
    </row>
    <row r="2950" spans="1:9" s="8" customFormat="1">
      <c r="A2950" s="13"/>
      <c r="B2950" s="8" t="s">
        <v>6840</v>
      </c>
      <c r="C2950" s="290">
        <v>20000</v>
      </c>
      <c r="D2950" s="290">
        <v>0</v>
      </c>
      <c r="E2950" s="284">
        <f t="shared" si="45"/>
        <v>60811109</v>
      </c>
      <c r="F2950" s="8" t="s">
        <v>10</v>
      </c>
      <c r="G2950" s="8" t="s">
        <v>446</v>
      </c>
      <c r="H2950" s="40" t="s">
        <v>6472</v>
      </c>
      <c r="I2950" s="153"/>
    </row>
    <row r="2951" spans="1:9" s="8" customFormat="1">
      <c r="A2951" s="13"/>
      <c r="B2951" s="8" t="s">
        <v>6841</v>
      </c>
      <c r="C2951" s="284">
        <v>2136500</v>
      </c>
      <c r="D2951" s="284">
        <v>0</v>
      </c>
      <c r="E2951" s="284">
        <f t="shared" ref="E2951:E3014" si="46">E2950-C2951+D2951</f>
        <v>58674609</v>
      </c>
      <c r="F2951" s="8" t="s">
        <v>1643</v>
      </c>
      <c r="G2951" s="8" t="s">
        <v>5</v>
      </c>
      <c r="H2951" s="40" t="s">
        <v>6123</v>
      </c>
      <c r="I2951" s="153"/>
    </row>
    <row r="2952" spans="1:9" s="8" customFormat="1">
      <c r="A2952" s="13"/>
      <c r="B2952" s="8" t="s">
        <v>6842</v>
      </c>
      <c r="C2952" s="290">
        <v>4100000</v>
      </c>
      <c r="D2952" s="290">
        <v>0</v>
      </c>
      <c r="E2952" s="284">
        <f t="shared" si="46"/>
        <v>54574609</v>
      </c>
      <c r="F2952" s="8" t="s">
        <v>10</v>
      </c>
      <c r="G2952" s="8" t="s">
        <v>446</v>
      </c>
      <c r="H2952" s="40" t="s">
        <v>6001</v>
      </c>
      <c r="I2952" s="153"/>
    </row>
    <row r="2953" spans="1:9" s="8" customFormat="1">
      <c r="A2953" s="13"/>
      <c r="B2953" s="8" t="s">
        <v>6614</v>
      </c>
      <c r="C2953" s="284">
        <v>-1991400</v>
      </c>
      <c r="D2953" s="284">
        <v>0</v>
      </c>
      <c r="E2953" s="284">
        <f t="shared" si="46"/>
        <v>56566009</v>
      </c>
      <c r="F2953" s="40" t="s">
        <v>1400</v>
      </c>
      <c r="G2953" s="40" t="s">
        <v>1400</v>
      </c>
      <c r="I2953" s="153"/>
    </row>
    <row r="2954" spans="1:9" s="8" customFormat="1">
      <c r="A2954" s="13"/>
      <c r="B2954" s="8" t="s">
        <v>6843</v>
      </c>
      <c r="C2954" s="290">
        <v>4032000</v>
      </c>
      <c r="D2954" s="290">
        <v>0</v>
      </c>
      <c r="E2954" s="284">
        <f t="shared" si="46"/>
        <v>52534009</v>
      </c>
      <c r="F2954" s="8" t="s">
        <v>10</v>
      </c>
      <c r="G2954" s="8" t="s">
        <v>446</v>
      </c>
      <c r="H2954" s="40" t="s">
        <v>6101</v>
      </c>
      <c r="I2954" s="153"/>
    </row>
    <row r="2955" spans="1:9" s="8" customFormat="1">
      <c r="A2955" s="13"/>
      <c r="B2955" s="8" t="s">
        <v>6844</v>
      </c>
      <c r="C2955" s="284">
        <v>2042000</v>
      </c>
      <c r="D2955" s="284">
        <v>0</v>
      </c>
      <c r="E2955" s="284">
        <f t="shared" si="46"/>
        <v>50492009</v>
      </c>
      <c r="F2955" s="8" t="s">
        <v>1643</v>
      </c>
      <c r="G2955" s="8" t="s">
        <v>5</v>
      </c>
      <c r="H2955" s="40" t="s">
        <v>6123</v>
      </c>
      <c r="I2955" s="153"/>
    </row>
    <row r="2956" spans="1:9" s="8" customFormat="1">
      <c r="A2956" s="13"/>
      <c r="B2956" s="8" t="s">
        <v>6845</v>
      </c>
      <c r="C2956" s="290">
        <v>1583484</v>
      </c>
      <c r="D2956" s="290">
        <v>0</v>
      </c>
      <c r="E2956" s="284">
        <f t="shared" si="46"/>
        <v>48908525</v>
      </c>
      <c r="F2956" s="8" t="s">
        <v>10</v>
      </c>
      <c r="G2956" s="8" t="s">
        <v>446</v>
      </c>
      <c r="H2956" s="40" t="s">
        <v>6472</v>
      </c>
      <c r="I2956" s="153"/>
    </row>
    <row r="2957" spans="1:9" s="8" customFormat="1">
      <c r="A2957" s="13"/>
      <c r="B2957" s="8" t="s">
        <v>6846</v>
      </c>
      <c r="C2957" s="290">
        <v>2531200</v>
      </c>
      <c r="D2957" s="290">
        <v>0</v>
      </c>
      <c r="E2957" s="284">
        <f t="shared" si="46"/>
        <v>46377325</v>
      </c>
      <c r="F2957" s="8" t="s">
        <v>10</v>
      </c>
      <c r="G2957" s="8" t="s">
        <v>446</v>
      </c>
      <c r="H2957" s="40" t="s">
        <v>6101</v>
      </c>
      <c r="I2957" s="153"/>
    </row>
    <row r="2958" spans="1:9" s="8" customFormat="1">
      <c r="A2958" s="13"/>
      <c r="B2958" s="8" t="s">
        <v>6847</v>
      </c>
      <c r="C2958" s="290">
        <v>2662000</v>
      </c>
      <c r="D2958" s="290">
        <v>0</v>
      </c>
      <c r="E2958" s="284">
        <f t="shared" si="46"/>
        <v>43715325</v>
      </c>
      <c r="F2958" s="8" t="s">
        <v>10</v>
      </c>
      <c r="G2958" s="8" t="s">
        <v>446</v>
      </c>
      <c r="H2958" s="40" t="s">
        <v>6472</v>
      </c>
      <c r="I2958" s="153"/>
    </row>
    <row r="2959" spans="1:9" s="8" customFormat="1">
      <c r="A2959" s="13"/>
      <c r="B2959" s="8" t="s">
        <v>6848</v>
      </c>
      <c r="C2959" s="290">
        <v>18000000</v>
      </c>
      <c r="D2959" s="290">
        <v>0</v>
      </c>
      <c r="E2959" s="284">
        <f t="shared" si="46"/>
        <v>25715325</v>
      </c>
      <c r="F2959" s="8" t="s">
        <v>10</v>
      </c>
      <c r="G2959" s="8" t="s">
        <v>446</v>
      </c>
      <c r="H2959" s="40" t="s">
        <v>6472</v>
      </c>
      <c r="I2959" s="153"/>
    </row>
    <row r="2960" spans="1:9" s="8" customFormat="1">
      <c r="A2960" s="13"/>
      <c r="B2960" s="8" t="s">
        <v>6849</v>
      </c>
      <c r="C2960" s="290">
        <v>12000000</v>
      </c>
      <c r="D2960" s="290">
        <v>0</v>
      </c>
      <c r="E2960" s="284">
        <f t="shared" si="46"/>
        <v>13715325</v>
      </c>
      <c r="F2960" s="8" t="s">
        <v>10</v>
      </c>
      <c r="G2960" s="8" t="s">
        <v>446</v>
      </c>
      <c r="H2960" s="40" t="s">
        <v>6472</v>
      </c>
      <c r="I2960" s="153"/>
    </row>
    <row r="2961" spans="1:9" s="8" customFormat="1">
      <c r="A2961" s="13"/>
      <c r="B2961" s="8" t="s">
        <v>6606</v>
      </c>
      <c r="C2961" s="284">
        <v>1722109</v>
      </c>
      <c r="D2961" s="284">
        <v>0</v>
      </c>
      <c r="E2961" s="284">
        <f t="shared" si="46"/>
        <v>11993216</v>
      </c>
      <c r="F2961" s="40" t="s">
        <v>1400</v>
      </c>
      <c r="G2961" s="40" t="s">
        <v>1400</v>
      </c>
      <c r="I2961" s="153"/>
    </row>
    <row r="2962" spans="1:9" s="8" customFormat="1">
      <c r="A2962" s="13"/>
      <c r="B2962" s="8" t="s">
        <v>6606</v>
      </c>
      <c r="C2962" s="284">
        <v>1858843</v>
      </c>
      <c r="D2962" s="284">
        <v>0</v>
      </c>
      <c r="E2962" s="284">
        <f t="shared" si="46"/>
        <v>10134373</v>
      </c>
      <c r="F2962" s="40" t="s">
        <v>1400</v>
      </c>
      <c r="G2962" s="40" t="s">
        <v>1400</v>
      </c>
      <c r="I2962" s="153"/>
    </row>
    <row r="2963" spans="1:9" s="8" customFormat="1">
      <c r="A2963" s="13"/>
      <c r="B2963" s="8" t="s">
        <v>6850</v>
      </c>
      <c r="C2963" s="290">
        <v>1400000</v>
      </c>
      <c r="D2963" s="290">
        <v>0</v>
      </c>
      <c r="E2963" s="284">
        <f t="shared" si="46"/>
        <v>8734373</v>
      </c>
      <c r="F2963" s="8" t="s">
        <v>10</v>
      </c>
      <c r="G2963" s="8" t="s">
        <v>446</v>
      </c>
      <c r="H2963" s="40" t="s">
        <v>6472</v>
      </c>
      <c r="I2963" s="153"/>
    </row>
    <row r="2964" spans="1:9" s="8" customFormat="1">
      <c r="A2964" s="13"/>
      <c r="B2964" s="8" t="s">
        <v>6606</v>
      </c>
      <c r="C2964" s="284">
        <v>-1722109</v>
      </c>
      <c r="D2964" s="284">
        <v>0</v>
      </c>
      <c r="E2964" s="284">
        <f t="shared" si="46"/>
        <v>10456482</v>
      </c>
      <c r="F2964" s="40" t="s">
        <v>1400</v>
      </c>
      <c r="G2964" s="40" t="s">
        <v>1400</v>
      </c>
      <c r="I2964" s="153"/>
    </row>
    <row r="2965" spans="1:9" s="8" customFormat="1">
      <c r="A2965" s="13"/>
      <c r="B2965" s="8" t="s">
        <v>6605</v>
      </c>
      <c r="C2965" s="284">
        <v>-1858843</v>
      </c>
      <c r="D2965" s="284">
        <v>0</v>
      </c>
      <c r="E2965" s="284">
        <f t="shared" si="46"/>
        <v>12315325</v>
      </c>
      <c r="F2965" s="40" t="s">
        <v>1400</v>
      </c>
      <c r="G2965" s="40" t="s">
        <v>1400</v>
      </c>
      <c r="I2965" s="153"/>
    </row>
    <row r="2966" spans="1:9" s="8" customFormat="1">
      <c r="A2966" s="13"/>
      <c r="B2966" s="8" t="s">
        <v>6851</v>
      </c>
      <c r="C2966" s="290">
        <v>1393991</v>
      </c>
      <c r="D2966" s="290">
        <v>0</v>
      </c>
      <c r="E2966" s="284">
        <f t="shared" si="46"/>
        <v>10921334</v>
      </c>
      <c r="F2966" s="8" t="s">
        <v>10</v>
      </c>
      <c r="G2966" s="8" t="s">
        <v>446</v>
      </c>
      <c r="H2966" s="40" t="s">
        <v>4089</v>
      </c>
      <c r="I2966" s="153"/>
    </row>
    <row r="2967" spans="1:9" s="8" customFormat="1">
      <c r="A2967" s="13"/>
      <c r="B2967" s="8" t="s">
        <v>6852</v>
      </c>
      <c r="C2967" s="290">
        <v>1086337</v>
      </c>
      <c r="D2967" s="290">
        <v>0</v>
      </c>
      <c r="E2967" s="284">
        <f t="shared" si="46"/>
        <v>9834997</v>
      </c>
      <c r="F2967" s="8" t="s">
        <v>10</v>
      </c>
      <c r="G2967" s="8" t="s">
        <v>446</v>
      </c>
      <c r="H2967" s="40" t="s">
        <v>4089</v>
      </c>
      <c r="I2967" s="153"/>
    </row>
    <row r="2968" spans="1:9" s="8" customFormat="1">
      <c r="A2968" s="13"/>
      <c r="B2968" s="8" t="s">
        <v>6853</v>
      </c>
      <c r="C2968" s="290">
        <v>1630178</v>
      </c>
      <c r="D2968" s="290">
        <v>0</v>
      </c>
      <c r="E2968" s="284">
        <f t="shared" si="46"/>
        <v>8204819</v>
      </c>
      <c r="F2968" s="8" t="s">
        <v>10</v>
      </c>
      <c r="G2968" s="8" t="s">
        <v>446</v>
      </c>
      <c r="H2968" s="40" t="s">
        <v>6472</v>
      </c>
      <c r="I2968" s="153"/>
    </row>
    <row r="2969" spans="1:9" s="8" customFormat="1">
      <c r="A2969" s="13"/>
      <c r="B2969" s="8" t="s">
        <v>6854</v>
      </c>
      <c r="C2969" s="290">
        <v>1397717</v>
      </c>
      <c r="D2969" s="290">
        <v>0</v>
      </c>
      <c r="E2969" s="284">
        <f t="shared" si="46"/>
        <v>6807102</v>
      </c>
      <c r="F2969" s="8" t="s">
        <v>10</v>
      </c>
      <c r="G2969" s="8" t="s">
        <v>446</v>
      </c>
      <c r="H2969" s="40" t="s">
        <v>4089</v>
      </c>
      <c r="I2969" s="153"/>
    </row>
    <row r="2970" spans="1:9" s="8" customFormat="1">
      <c r="A2970" s="13"/>
      <c r="B2970" s="8" t="s">
        <v>6856</v>
      </c>
      <c r="C2970" s="290">
        <v>374535</v>
      </c>
      <c r="D2970" s="290">
        <v>0</v>
      </c>
      <c r="E2970" s="284">
        <f t="shared" si="46"/>
        <v>6432567</v>
      </c>
      <c r="F2970" s="40" t="s">
        <v>1643</v>
      </c>
      <c r="G2970" s="8" t="s">
        <v>5</v>
      </c>
      <c r="H2970" s="8" t="s">
        <v>5985</v>
      </c>
      <c r="I2970" s="153"/>
    </row>
    <row r="2971" spans="1:9" s="8" customFormat="1">
      <c r="A2971" s="13"/>
      <c r="B2971" s="8" t="s">
        <v>6855</v>
      </c>
      <c r="C2971" s="284">
        <v>1821255</v>
      </c>
      <c r="D2971" s="284">
        <v>0</v>
      </c>
      <c r="E2971" s="284">
        <f t="shared" si="46"/>
        <v>4611312</v>
      </c>
      <c r="F2971" s="8" t="s">
        <v>1643</v>
      </c>
      <c r="G2971" s="8" t="s">
        <v>5</v>
      </c>
      <c r="H2971" s="8" t="s">
        <v>6541</v>
      </c>
      <c r="I2971" s="153"/>
    </row>
    <row r="2972" spans="1:9" s="8" customFormat="1">
      <c r="A2972" s="13"/>
      <c r="B2972" s="8" t="s">
        <v>7026</v>
      </c>
      <c r="C2972" s="290">
        <v>-1615225</v>
      </c>
      <c r="D2972" s="290">
        <v>0</v>
      </c>
      <c r="E2972" s="284">
        <f t="shared" si="46"/>
        <v>6226537</v>
      </c>
      <c r="F2972" s="40" t="s">
        <v>1643</v>
      </c>
      <c r="G2972" s="40" t="s">
        <v>5</v>
      </c>
      <c r="H2972" s="8" t="s">
        <v>6541</v>
      </c>
      <c r="I2972" s="153"/>
    </row>
    <row r="2973" spans="1:9" s="8" customFormat="1">
      <c r="A2973" s="13"/>
      <c r="B2973" s="8" t="s">
        <v>6857</v>
      </c>
      <c r="C2973" s="284">
        <v>1729000</v>
      </c>
      <c r="D2973" s="284">
        <v>0</v>
      </c>
      <c r="E2973" s="284">
        <f t="shared" si="46"/>
        <v>4497537</v>
      </c>
      <c r="F2973" s="8" t="s">
        <v>1643</v>
      </c>
      <c r="G2973" s="8" t="s">
        <v>5</v>
      </c>
      <c r="H2973" s="8" t="s">
        <v>6541</v>
      </c>
      <c r="I2973" s="153"/>
    </row>
    <row r="2974" spans="1:9" s="8" customFormat="1">
      <c r="A2974" s="13"/>
      <c r="B2974" s="8" t="s">
        <v>6858</v>
      </c>
      <c r="C2974" s="290">
        <v>300000</v>
      </c>
      <c r="D2974" s="290">
        <v>0</v>
      </c>
      <c r="E2974" s="284">
        <f t="shared" si="46"/>
        <v>4197537</v>
      </c>
      <c r="F2974" s="8" t="s">
        <v>10</v>
      </c>
      <c r="G2974" s="8" t="s">
        <v>446</v>
      </c>
      <c r="H2974" s="40" t="s">
        <v>6472</v>
      </c>
      <c r="I2974" s="153"/>
    </row>
    <row r="2975" spans="1:9" s="8" customFormat="1">
      <c r="A2975" s="13"/>
      <c r="B2975" s="8" t="s">
        <v>6859</v>
      </c>
      <c r="C2975" s="290">
        <v>1496257</v>
      </c>
      <c r="D2975" s="290">
        <v>0</v>
      </c>
      <c r="E2975" s="284">
        <f t="shared" si="46"/>
        <v>2701280</v>
      </c>
      <c r="F2975" s="8" t="s">
        <v>10</v>
      </c>
      <c r="G2975" s="8" t="s">
        <v>446</v>
      </c>
      <c r="H2975" s="40" t="s">
        <v>3473</v>
      </c>
      <c r="I2975" s="153"/>
    </row>
    <row r="2976" spans="1:9" s="8" customFormat="1">
      <c r="A2976" s="13"/>
      <c r="B2976" s="8" t="s">
        <v>6860</v>
      </c>
      <c r="C2976" s="284">
        <v>509600</v>
      </c>
      <c r="D2976" s="284">
        <v>0</v>
      </c>
      <c r="E2976" s="284">
        <f t="shared" si="46"/>
        <v>2191680</v>
      </c>
      <c r="F2976" s="8" t="s">
        <v>62</v>
      </c>
      <c r="G2976" s="8" t="s">
        <v>70</v>
      </c>
      <c r="H2976" s="8" t="s">
        <v>308</v>
      </c>
      <c r="I2976" s="153"/>
    </row>
    <row r="2977" spans="1:9" s="8" customFormat="1">
      <c r="A2977" s="13"/>
      <c r="B2977" s="8" t="s">
        <v>6861</v>
      </c>
      <c r="C2977" s="284">
        <v>562287</v>
      </c>
      <c r="D2977" s="284">
        <v>0</v>
      </c>
      <c r="E2977" s="284">
        <f t="shared" si="46"/>
        <v>1629393</v>
      </c>
      <c r="F2977" s="8" t="s">
        <v>62</v>
      </c>
      <c r="G2977" s="8" t="s">
        <v>63</v>
      </c>
      <c r="H2977" s="8" t="s">
        <v>308</v>
      </c>
      <c r="I2977" s="153"/>
    </row>
    <row r="2978" spans="1:9" s="8" customFormat="1">
      <c r="A2978" s="13"/>
      <c r="B2978" s="8" t="s">
        <v>6862</v>
      </c>
      <c r="C2978" s="284">
        <v>90160</v>
      </c>
      <c r="D2978" s="284">
        <v>0</v>
      </c>
      <c r="E2978" s="284">
        <f t="shared" si="46"/>
        <v>1539233</v>
      </c>
      <c r="F2978" s="8" t="s">
        <v>62</v>
      </c>
      <c r="G2978" s="8" t="s">
        <v>70</v>
      </c>
      <c r="H2978" s="8" t="s">
        <v>308</v>
      </c>
      <c r="I2978" s="153"/>
    </row>
    <row r="2979" spans="1:9" s="8" customFormat="1">
      <c r="A2979" s="13"/>
      <c r="B2979" s="8" t="s">
        <v>6863</v>
      </c>
      <c r="C2979" s="284">
        <v>544700</v>
      </c>
      <c r="D2979" s="284">
        <v>0</v>
      </c>
      <c r="E2979" s="284">
        <f t="shared" si="46"/>
        <v>994533</v>
      </c>
      <c r="F2979" s="8" t="s">
        <v>62</v>
      </c>
      <c r="G2979" s="8" t="s">
        <v>70</v>
      </c>
      <c r="H2979" s="8" t="s">
        <v>308</v>
      </c>
      <c r="I2979" s="153"/>
    </row>
    <row r="2980" spans="1:9" s="8" customFormat="1">
      <c r="A2980" s="13"/>
      <c r="B2980" s="8" t="s">
        <v>6864</v>
      </c>
      <c r="C2980" s="284">
        <v>169433</v>
      </c>
      <c r="D2980" s="284">
        <v>0</v>
      </c>
      <c r="E2980" s="284">
        <f t="shared" si="46"/>
        <v>825100</v>
      </c>
      <c r="F2980" s="8" t="s">
        <v>62</v>
      </c>
      <c r="G2980" s="8" t="s">
        <v>63</v>
      </c>
      <c r="H2980" s="8" t="s">
        <v>308</v>
      </c>
      <c r="I2980" s="153"/>
    </row>
    <row r="2981" spans="1:9" s="8" customFormat="1">
      <c r="A2981" s="13"/>
      <c r="B2981" s="8" t="s">
        <v>6865</v>
      </c>
      <c r="C2981" s="284">
        <v>800000</v>
      </c>
      <c r="D2981" s="284">
        <v>0</v>
      </c>
      <c r="E2981" s="284">
        <f t="shared" si="46"/>
        <v>25100</v>
      </c>
      <c r="F2981" s="8" t="s">
        <v>62</v>
      </c>
      <c r="G2981" s="8" t="s">
        <v>70</v>
      </c>
      <c r="H2981" s="8" t="s">
        <v>308</v>
      </c>
      <c r="I2981" s="153"/>
    </row>
    <row r="2982" spans="1:9" s="8" customFormat="1">
      <c r="A2982" s="13"/>
      <c r="B2982" s="8" t="s">
        <v>6615</v>
      </c>
      <c r="C2982" s="284">
        <v>100</v>
      </c>
      <c r="D2982" s="284">
        <v>0</v>
      </c>
      <c r="E2982" s="284">
        <f t="shared" si="46"/>
        <v>25000</v>
      </c>
      <c r="F2982" s="40" t="s">
        <v>1209</v>
      </c>
      <c r="G2982" s="8" t="s">
        <v>69</v>
      </c>
      <c r="I2982" s="153"/>
    </row>
    <row r="2983" spans="1:9" s="8" customFormat="1">
      <c r="A2983" s="13"/>
      <c r="B2983" s="8" t="s">
        <v>6616</v>
      </c>
      <c r="C2983" s="284">
        <v>5000</v>
      </c>
      <c r="D2983" s="284">
        <v>0</v>
      </c>
      <c r="E2983" s="284">
        <f t="shared" si="46"/>
        <v>20000</v>
      </c>
      <c r="F2983" s="40" t="s">
        <v>19</v>
      </c>
      <c r="G2983" s="8" t="s">
        <v>189</v>
      </c>
      <c r="I2983" s="153"/>
    </row>
    <row r="2984" spans="1:9" s="8" customFormat="1">
      <c r="A2984" s="13"/>
      <c r="B2984" s="8" t="s">
        <v>6617</v>
      </c>
      <c r="C2984" s="284">
        <v>10000</v>
      </c>
      <c r="D2984" s="284">
        <v>0</v>
      </c>
      <c r="E2984" s="284">
        <f t="shared" si="46"/>
        <v>10000</v>
      </c>
      <c r="F2984" s="40" t="s">
        <v>19</v>
      </c>
      <c r="G2984" s="8" t="s">
        <v>189</v>
      </c>
      <c r="I2984" s="153"/>
    </row>
    <row r="2985" spans="1:9" s="8" customFormat="1">
      <c r="A2985" s="13"/>
      <c r="B2985" s="8" t="s">
        <v>6618</v>
      </c>
      <c r="C2985" s="284">
        <v>10000</v>
      </c>
      <c r="D2985" s="284">
        <v>0</v>
      </c>
      <c r="E2985" s="284">
        <f t="shared" si="46"/>
        <v>0</v>
      </c>
      <c r="F2985" s="40" t="s">
        <v>19</v>
      </c>
      <c r="G2985" s="8" t="s">
        <v>189</v>
      </c>
      <c r="I2985" s="153"/>
    </row>
    <row r="2986" spans="1:9" s="8" customFormat="1">
      <c r="A2986" s="13">
        <v>46027</v>
      </c>
      <c r="B2986" s="8" t="s">
        <v>6783</v>
      </c>
      <c r="C2986" s="284">
        <v>0</v>
      </c>
      <c r="D2986" s="284">
        <v>180036770</v>
      </c>
      <c r="E2986" s="284">
        <f t="shared" si="46"/>
        <v>180036770</v>
      </c>
      <c r="F2986" s="40" t="s">
        <v>6</v>
      </c>
      <c r="G2986" s="8" t="s">
        <v>50</v>
      </c>
      <c r="H2986" s="8" t="s">
        <v>368</v>
      </c>
      <c r="I2986" s="153"/>
    </row>
    <row r="2987" spans="1:9" s="8" customFormat="1">
      <c r="A2987" s="13"/>
      <c r="B2987" s="8" t="s">
        <v>6875</v>
      </c>
      <c r="C2987" s="290">
        <v>5324000</v>
      </c>
      <c r="D2987" s="290">
        <v>0</v>
      </c>
      <c r="E2987" s="284">
        <f t="shared" si="46"/>
        <v>174712770</v>
      </c>
      <c r="F2987" s="8" t="s">
        <v>10</v>
      </c>
      <c r="G2987" s="8" t="s">
        <v>446</v>
      </c>
      <c r="H2987" s="40" t="s">
        <v>5751</v>
      </c>
      <c r="I2987" s="153"/>
    </row>
    <row r="2988" spans="1:9" s="8" customFormat="1">
      <c r="A2988" s="13"/>
      <c r="B2988" s="8" t="s">
        <v>6876</v>
      </c>
      <c r="C2988" s="290">
        <v>18495000</v>
      </c>
      <c r="D2988" s="290">
        <v>0</v>
      </c>
      <c r="E2988" s="284">
        <f t="shared" si="46"/>
        <v>156217770</v>
      </c>
      <c r="F2988" s="8" t="s">
        <v>10</v>
      </c>
      <c r="G2988" s="8" t="s">
        <v>446</v>
      </c>
      <c r="H2988" s="40" t="s">
        <v>5751</v>
      </c>
      <c r="I2988" s="153"/>
    </row>
    <row r="2989" spans="1:9" s="8" customFormat="1">
      <c r="A2989" s="13"/>
      <c r="B2989" s="8" t="s">
        <v>6876</v>
      </c>
      <c r="C2989" s="290">
        <v>18495000</v>
      </c>
      <c r="D2989" s="290">
        <v>0</v>
      </c>
      <c r="E2989" s="284">
        <f t="shared" si="46"/>
        <v>137722770</v>
      </c>
      <c r="F2989" s="8" t="s">
        <v>10</v>
      </c>
      <c r="G2989" s="8" t="s">
        <v>446</v>
      </c>
      <c r="H2989" s="40" t="s">
        <v>5751</v>
      </c>
      <c r="I2989" s="153"/>
    </row>
    <row r="2990" spans="1:9" s="8" customFormat="1">
      <c r="A2990" s="13"/>
      <c r="B2990" s="8" t="s">
        <v>6876</v>
      </c>
      <c r="C2990" s="290">
        <v>18495000</v>
      </c>
      <c r="D2990" s="290">
        <v>0</v>
      </c>
      <c r="E2990" s="284">
        <f t="shared" si="46"/>
        <v>119227770</v>
      </c>
      <c r="F2990" s="8" t="s">
        <v>10</v>
      </c>
      <c r="G2990" s="8" t="s">
        <v>446</v>
      </c>
      <c r="H2990" s="40" t="s">
        <v>5751</v>
      </c>
      <c r="I2990" s="153"/>
    </row>
    <row r="2991" spans="1:9" s="8" customFormat="1">
      <c r="A2991" s="13"/>
      <c r="B2991" s="8" t="s">
        <v>6876</v>
      </c>
      <c r="C2991" s="290">
        <v>18495000</v>
      </c>
      <c r="D2991" s="290">
        <v>0</v>
      </c>
      <c r="E2991" s="284">
        <f t="shared" si="46"/>
        <v>100732770</v>
      </c>
      <c r="F2991" s="8" t="s">
        <v>10</v>
      </c>
      <c r="G2991" s="8" t="s">
        <v>446</v>
      </c>
      <c r="H2991" s="40" t="s">
        <v>5751</v>
      </c>
      <c r="I2991" s="153"/>
    </row>
    <row r="2992" spans="1:9" s="8" customFormat="1">
      <c r="A2992" s="13"/>
      <c r="B2992" s="8" t="s">
        <v>6877</v>
      </c>
      <c r="C2992" s="290">
        <v>2000000</v>
      </c>
      <c r="D2992" s="290">
        <v>0</v>
      </c>
      <c r="E2992" s="284">
        <f t="shared" si="46"/>
        <v>98732770</v>
      </c>
      <c r="F2992" s="8" t="s">
        <v>10</v>
      </c>
      <c r="G2992" s="8" t="s">
        <v>446</v>
      </c>
      <c r="H2992" s="40" t="s">
        <v>5751</v>
      </c>
      <c r="I2992" s="153"/>
    </row>
    <row r="2993" spans="1:9" s="8" customFormat="1">
      <c r="A2993" s="13"/>
      <c r="B2993" s="8" t="s">
        <v>6878</v>
      </c>
      <c r="C2993" s="290">
        <v>62750000</v>
      </c>
      <c r="D2993" s="290">
        <v>0</v>
      </c>
      <c r="E2993" s="284">
        <f t="shared" si="46"/>
        <v>35982770</v>
      </c>
      <c r="F2993" s="8" t="s">
        <v>10</v>
      </c>
      <c r="G2993" s="8" t="s">
        <v>446</v>
      </c>
      <c r="H2993" s="40" t="s">
        <v>6001</v>
      </c>
      <c r="I2993" s="153"/>
    </row>
    <row r="2994" spans="1:9" s="8" customFormat="1">
      <c r="A2994" s="13"/>
      <c r="B2994" s="8" t="s">
        <v>6879</v>
      </c>
      <c r="C2994" s="290">
        <v>6872500</v>
      </c>
      <c r="D2994" s="290">
        <v>0</v>
      </c>
      <c r="E2994" s="284">
        <f t="shared" si="46"/>
        <v>29110270</v>
      </c>
      <c r="F2994" s="8" t="s">
        <v>10</v>
      </c>
      <c r="G2994" s="8" t="s">
        <v>446</v>
      </c>
      <c r="H2994" s="40" t="s">
        <v>6001</v>
      </c>
      <c r="I2994" s="153"/>
    </row>
    <row r="2995" spans="1:9" s="8" customFormat="1">
      <c r="A2995" s="13"/>
      <c r="B2995" s="8" t="s">
        <v>6880</v>
      </c>
      <c r="C2995" s="284">
        <v>1475000</v>
      </c>
      <c r="D2995" s="284">
        <v>0</v>
      </c>
      <c r="E2995" s="284">
        <f t="shared" si="46"/>
        <v>27635270</v>
      </c>
      <c r="F2995" s="40" t="s">
        <v>21</v>
      </c>
      <c r="G2995" s="8" t="s">
        <v>22</v>
      </c>
      <c r="H2995" s="8" t="s">
        <v>26</v>
      </c>
      <c r="I2995" s="153"/>
    </row>
    <row r="2996" spans="1:9" s="8" customFormat="1">
      <c r="A2996" s="13"/>
      <c r="B2996" s="8" t="s">
        <v>6881</v>
      </c>
      <c r="C2996" s="290">
        <v>628500</v>
      </c>
      <c r="D2996" s="290">
        <v>0</v>
      </c>
      <c r="E2996" s="284">
        <f t="shared" si="46"/>
        <v>27006770</v>
      </c>
      <c r="F2996" s="8" t="s">
        <v>10</v>
      </c>
      <c r="G2996" s="8" t="s">
        <v>446</v>
      </c>
      <c r="H2996" s="40" t="s">
        <v>6001</v>
      </c>
      <c r="I2996" s="153"/>
    </row>
    <row r="2997" spans="1:9" s="8" customFormat="1">
      <c r="A2997" s="13"/>
      <c r="B2997" s="8" t="s">
        <v>6882</v>
      </c>
      <c r="C2997" s="284">
        <v>589270</v>
      </c>
      <c r="D2997" s="284">
        <v>0</v>
      </c>
      <c r="E2997" s="284">
        <f t="shared" si="46"/>
        <v>26417500</v>
      </c>
      <c r="F2997" s="40" t="s">
        <v>21</v>
      </c>
      <c r="G2997" s="8" t="s">
        <v>22</v>
      </c>
      <c r="H2997" s="8" t="s">
        <v>26</v>
      </c>
      <c r="I2997" s="153"/>
    </row>
    <row r="2998" spans="1:9" s="8" customFormat="1">
      <c r="A2998" s="13"/>
      <c r="B2998" s="8" t="s">
        <v>6878</v>
      </c>
      <c r="C2998" s="290">
        <v>26400000</v>
      </c>
      <c r="D2998" s="290">
        <v>0</v>
      </c>
      <c r="E2998" s="284">
        <f t="shared" si="46"/>
        <v>17500</v>
      </c>
      <c r="F2998" s="8" t="s">
        <v>10</v>
      </c>
      <c r="G2998" s="8" t="s">
        <v>446</v>
      </c>
      <c r="H2998" s="40" t="s">
        <v>6001</v>
      </c>
      <c r="I2998" s="153"/>
    </row>
    <row r="2999" spans="1:9" s="8" customFormat="1">
      <c r="A2999" s="13"/>
      <c r="B2999" s="8" t="s">
        <v>6617</v>
      </c>
      <c r="C2999" s="284">
        <v>7500</v>
      </c>
      <c r="D2999" s="284">
        <v>0</v>
      </c>
      <c r="E2999" s="284">
        <f t="shared" si="46"/>
        <v>10000</v>
      </c>
      <c r="F2999" s="40" t="s">
        <v>19</v>
      </c>
      <c r="G2999" s="8" t="s">
        <v>189</v>
      </c>
      <c r="I2999" s="153"/>
    </row>
    <row r="3000" spans="1:9" s="8" customFormat="1">
      <c r="A3000" s="13"/>
      <c r="B3000" s="8" t="s">
        <v>6602</v>
      </c>
      <c r="C3000" s="284">
        <v>10000</v>
      </c>
      <c r="D3000" s="284">
        <v>0</v>
      </c>
      <c r="E3000" s="284">
        <f t="shared" si="46"/>
        <v>0</v>
      </c>
      <c r="F3000" s="40" t="s">
        <v>19</v>
      </c>
      <c r="G3000" s="8" t="s">
        <v>189</v>
      </c>
      <c r="I3000" s="153"/>
    </row>
    <row r="3001" spans="1:9" s="8" customFormat="1">
      <c r="A3001" s="13">
        <v>46027</v>
      </c>
      <c r="B3001" s="8" t="s">
        <v>6886</v>
      </c>
      <c r="C3001" s="284">
        <v>0</v>
      </c>
      <c r="D3001" s="284">
        <v>25221305</v>
      </c>
      <c r="E3001" s="284">
        <f t="shared" si="46"/>
        <v>25221305</v>
      </c>
      <c r="F3001" s="40" t="s">
        <v>6</v>
      </c>
      <c r="G3001" s="8" t="s">
        <v>50</v>
      </c>
      <c r="H3001" s="8" t="s">
        <v>100</v>
      </c>
      <c r="I3001" s="153"/>
    </row>
    <row r="3002" spans="1:9" s="8" customFormat="1">
      <c r="A3002" s="13"/>
      <c r="B3002" s="8" t="s">
        <v>6784</v>
      </c>
      <c r="C3002" s="284">
        <v>7500</v>
      </c>
      <c r="D3002" s="284">
        <v>0</v>
      </c>
      <c r="E3002" s="284">
        <f t="shared" si="46"/>
        <v>25213805</v>
      </c>
      <c r="F3002" s="40" t="s">
        <v>19</v>
      </c>
      <c r="G3002" s="8" t="s">
        <v>189</v>
      </c>
      <c r="I3002" s="153"/>
    </row>
    <row r="3003" spans="1:9" s="8" customFormat="1">
      <c r="A3003" s="13"/>
      <c r="B3003" s="8" t="s">
        <v>6866</v>
      </c>
      <c r="C3003" s="290">
        <v>1995500</v>
      </c>
      <c r="D3003" s="290">
        <v>0</v>
      </c>
      <c r="E3003" s="284">
        <f t="shared" si="46"/>
        <v>23218305</v>
      </c>
      <c r="F3003" s="8" t="s">
        <v>10</v>
      </c>
      <c r="G3003" s="8" t="s">
        <v>446</v>
      </c>
      <c r="H3003" s="40" t="s">
        <v>5999</v>
      </c>
      <c r="I3003" s="153"/>
    </row>
    <row r="3004" spans="1:9" s="8" customFormat="1">
      <c r="A3004" s="13"/>
      <c r="B3004" s="8" t="s">
        <v>6867</v>
      </c>
      <c r="C3004" s="290">
        <v>17880000</v>
      </c>
      <c r="D3004" s="290">
        <v>0</v>
      </c>
      <c r="E3004" s="284">
        <f t="shared" si="46"/>
        <v>5338305</v>
      </c>
      <c r="F3004" s="8" t="s">
        <v>10</v>
      </c>
      <c r="G3004" s="8" t="s">
        <v>446</v>
      </c>
      <c r="H3004" s="40" t="s">
        <v>5999</v>
      </c>
      <c r="I3004" s="153"/>
    </row>
    <row r="3005" spans="1:9" s="8" customFormat="1">
      <c r="A3005" s="13"/>
      <c r="B3005" s="8" t="s">
        <v>6868</v>
      </c>
      <c r="C3005" s="284">
        <v>3078000</v>
      </c>
      <c r="D3005" s="284">
        <v>0</v>
      </c>
      <c r="E3005" s="284">
        <f t="shared" si="46"/>
        <v>2260305</v>
      </c>
      <c r="F3005" s="40" t="s">
        <v>21</v>
      </c>
      <c r="G3005" s="8" t="s">
        <v>22</v>
      </c>
      <c r="H3005" s="8" t="s">
        <v>26</v>
      </c>
      <c r="I3005" s="153"/>
    </row>
    <row r="3006" spans="1:9" s="8" customFormat="1">
      <c r="A3006" s="13"/>
      <c r="B3006" s="282" t="s">
        <v>6869</v>
      </c>
      <c r="C3006" s="284">
        <v>340500</v>
      </c>
      <c r="D3006" s="284">
        <v>0</v>
      </c>
      <c r="E3006" s="284">
        <f t="shared" si="46"/>
        <v>1919805</v>
      </c>
      <c r="F3006" s="8" t="s">
        <v>8</v>
      </c>
      <c r="G3006" s="8" t="s">
        <v>14</v>
      </c>
      <c r="H3006" s="8" t="s">
        <v>314</v>
      </c>
      <c r="I3006" s="153"/>
    </row>
    <row r="3007" spans="1:9" s="8" customFormat="1">
      <c r="A3007" s="13"/>
      <c r="B3007" s="8" t="s">
        <v>6870</v>
      </c>
      <c r="C3007" s="284">
        <v>352600</v>
      </c>
      <c r="D3007" s="284">
        <v>0</v>
      </c>
      <c r="E3007" s="284">
        <f t="shared" si="46"/>
        <v>1567205</v>
      </c>
      <c r="F3007" s="8" t="s">
        <v>8</v>
      </c>
      <c r="G3007" s="8" t="s">
        <v>14</v>
      </c>
      <c r="H3007" s="8" t="s">
        <v>314</v>
      </c>
      <c r="I3007" s="153"/>
    </row>
    <row r="3008" spans="1:9" s="8" customFormat="1">
      <c r="A3008" s="13"/>
      <c r="B3008" s="8" t="s">
        <v>6871</v>
      </c>
      <c r="C3008" s="284">
        <v>111000</v>
      </c>
      <c r="D3008" s="284">
        <v>0</v>
      </c>
      <c r="E3008" s="284">
        <f t="shared" si="46"/>
        <v>1456205</v>
      </c>
      <c r="F3008" s="8" t="s">
        <v>1643</v>
      </c>
      <c r="G3008" s="8" t="s">
        <v>5</v>
      </c>
      <c r="H3008" s="40" t="s">
        <v>6123</v>
      </c>
      <c r="I3008" s="153"/>
    </row>
    <row r="3009" spans="1:9" s="8" customFormat="1">
      <c r="A3009" s="13"/>
      <c r="B3009" s="8" t="s">
        <v>6872</v>
      </c>
      <c r="C3009" s="284">
        <v>562000</v>
      </c>
      <c r="D3009" s="284">
        <v>0</v>
      </c>
      <c r="E3009" s="284">
        <f t="shared" si="46"/>
        <v>894205</v>
      </c>
      <c r="F3009" s="8" t="s">
        <v>1643</v>
      </c>
      <c r="G3009" s="8" t="s">
        <v>5</v>
      </c>
      <c r="H3009" s="40" t="s">
        <v>6123</v>
      </c>
      <c r="I3009" s="153"/>
    </row>
    <row r="3010" spans="1:9" s="8" customFormat="1">
      <c r="A3010" s="13"/>
      <c r="B3010" s="8" t="s">
        <v>6872</v>
      </c>
      <c r="C3010" s="284">
        <v>15000</v>
      </c>
      <c r="D3010" s="284">
        <v>0</v>
      </c>
      <c r="E3010" s="284">
        <f t="shared" si="46"/>
        <v>879205</v>
      </c>
      <c r="F3010" s="8" t="s">
        <v>1643</v>
      </c>
      <c r="G3010" s="8" t="s">
        <v>5</v>
      </c>
      <c r="H3010" s="40" t="s">
        <v>6123</v>
      </c>
      <c r="I3010" s="153"/>
    </row>
    <row r="3011" spans="1:9" s="8" customFormat="1">
      <c r="A3011" s="13"/>
      <c r="B3011" s="8" t="s">
        <v>6873</v>
      </c>
      <c r="C3011" s="284">
        <v>301220</v>
      </c>
      <c r="D3011" s="284">
        <v>0</v>
      </c>
      <c r="E3011" s="284">
        <f t="shared" si="46"/>
        <v>577985</v>
      </c>
      <c r="F3011" s="8" t="s">
        <v>8</v>
      </c>
      <c r="G3011" s="8" t="s">
        <v>14</v>
      </c>
      <c r="H3011" s="8" t="s">
        <v>314</v>
      </c>
      <c r="I3011" s="153"/>
    </row>
    <row r="3012" spans="1:9" s="8" customFormat="1">
      <c r="A3012" s="13"/>
      <c r="B3012" s="8" t="s">
        <v>6874</v>
      </c>
      <c r="C3012" s="284">
        <v>567985</v>
      </c>
      <c r="D3012" s="284">
        <v>0</v>
      </c>
      <c r="E3012" s="284">
        <f t="shared" si="46"/>
        <v>10000</v>
      </c>
      <c r="F3012" s="8" t="s">
        <v>1643</v>
      </c>
      <c r="G3012" s="8" t="s">
        <v>5</v>
      </c>
      <c r="H3012" s="8" t="s">
        <v>6541</v>
      </c>
      <c r="I3012" s="153"/>
    </row>
    <row r="3013" spans="1:9" s="8" customFormat="1">
      <c r="A3013" s="13"/>
      <c r="B3013" s="8" t="s">
        <v>6603</v>
      </c>
      <c r="C3013" s="284">
        <v>10000</v>
      </c>
      <c r="D3013" s="284">
        <v>0</v>
      </c>
      <c r="E3013" s="284">
        <f t="shared" si="46"/>
        <v>0</v>
      </c>
      <c r="F3013" s="40" t="s">
        <v>19</v>
      </c>
      <c r="G3013" s="8" t="s">
        <v>189</v>
      </c>
      <c r="H3013" s="8" t="s">
        <v>26</v>
      </c>
      <c r="I3013" s="153"/>
    </row>
    <row r="3014" spans="1:9" s="8" customFormat="1">
      <c r="A3014" s="13"/>
      <c r="B3014" s="8" t="s">
        <v>6885</v>
      </c>
      <c r="C3014" s="284">
        <v>0</v>
      </c>
      <c r="D3014" s="284">
        <v>48200000</v>
      </c>
      <c r="E3014" s="284">
        <f t="shared" si="46"/>
        <v>48200000</v>
      </c>
      <c r="F3014" s="40" t="s">
        <v>6</v>
      </c>
      <c r="G3014" s="8" t="s">
        <v>50</v>
      </c>
      <c r="H3014" s="8" t="s">
        <v>51</v>
      </c>
      <c r="I3014" s="153"/>
    </row>
    <row r="3015" spans="1:9" s="8" customFormat="1">
      <c r="A3015" s="13"/>
      <c r="B3015" s="8" t="s">
        <v>6887</v>
      </c>
      <c r="C3015" s="290">
        <v>34630000</v>
      </c>
      <c r="D3015" s="290">
        <v>0</v>
      </c>
      <c r="E3015" s="284">
        <f t="shared" ref="E3015:E3078" si="47">E3014-C3015+D3015</f>
        <v>13570000</v>
      </c>
      <c r="F3015" s="8" t="s">
        <v>10</v>
      </c>
      <c r="G3015" s="8" t="s">
        <v>446</v>
      </c>
      <c r="H3015" s="40" t="s">
        <v>5752</v>
      </c>
      <c r="I3015" s="153"/>
    </row>
    <row r="3016" spans="1:9" s="8" customFormat="1">
      <c r="A3016" s="13"/>
      <c r="B3016" s="8" t="s">
        <v>6883</v>
      </c>
      <c r="C3016" s="284">
        <v>5000</v>
      </c>
      <c r="D3016" s="284">
        <v>0</v>
      </c>
      <c r="E3016" s="284">
        <f t="shared" si="47"/>
        <v>13565000</v>
      </c>
      <c r="F3016" s="40" t="s">
        <v>19</v>
      </c>
      <c r="G3016" s="8" t="s">
        <v>189</v>
      </c>
      <c r="H3016" s="8" t="s">
        <v>26</v>
      </c>
      <c r="I3016" s="153"/>
    </row>
    <row r="3017" spans="1:9" s="8" customFormat="1">
      <c r="A3017" s="13"/>
      <c r="B3017" s="8" t="s">
        <v>6888</v>
      </c>
      <c r="C3017" s="290">
        <v>13555000</v>
      </c>
      <c r="D3017" s="290">
        <v>0</v>
      </c>
      <c r="E3017" s="284">
        <f t="shared" si="47"/>
        <v>10000</v>
      </c>
      <c r="F3017" s="8" t="s">
        <v>10</v>
      </c>
      <c r="G3017" s="8" t="s">
        <v>446</v>
      </c>
      <c r="H3017" s="40" t="s">
        <v>5752</v>
      </c>
      <c r="I3017" s="153"/>
    </row>
    <row r="3018" spans="1:9" s="8" customFormat="1">
      <c r="A3018" s="13"/>
      <c r="B3018" s="8" t="s">
        <v>6884</v>
      </c>
      <c r="C3018" s="284">
        <v>10000</v>
      </c>
      <c r="D3018" s="284">
        <v>0</v>
      </c>
      <c r="E3018" s="284">
        <f t="shared" si="47"/>
        <v>0</v>
      </c>
      <c r="F3018" s="40" t="s">
        <v>19</v>
      </c>
      <c r="G3018" s="8" t="s">
        <v>189</v>
      </c>
      <c r="H3018" s="8" t="s">
        <v>26</v>
      </c>
      <c r="I3018" s="153"/>
    </row>
    <row r="3019" spans="1:9" s="8" customFormat="1">
      <c r="A3019" s="13">
        <v>46030</v>
      </c>
      <c r="B3019" s="8" t="s">
        <v>6890</v>
      </c>
      <c r="C3019" s="290">
        <v>0</v>
      </c>
      <c r="D3019" s="290">
        <v>3079269</v>
      </c>
      <c r="E3019" s="284">
        <f t="shared" si="47"/>
        <v>3079269</v>
      </c>
      <c r="F3019" s="40" t="s">
        <v>21</v>
      </c>
      <c r="G3019" s="8" t="s">
        <v>187</v>
      </c>
      <c r="H3019" s="8" t="s">
        <v>26</v>
      </c>
      <c r="I3019" s="153"/>
    </row>
    <row r="3020" spans="1:9" s="8" customFormat="1">
      <c r="A3020" s="13"/>
      <c r="B3020" s="8" t="s">
        <v>6891</v>
      </c>
      <c r="C3020" s="290">
        <v>0</v>
      </c>
      <c r="D3020" s="290">
        <v>637480</v>
      </c>
      <c r="E3020" s="284">
        <f t="shared" si="47"/>
        <v>3716749</v>
      </c>
      <c r="F3020" s="40" t="s">
        <v>1643</v>
      </c>
      <c r="G3020" s="8" t="s">
        <v>5</v>
      </c>
      <c r="H3020" s="8" t="s">
        <v>6598</v>
      </c>
      <c r="I3020" s="153"/>
    </row>
    <row r="3021" spans="1:9" s="8" customFormat="1">
      <c r="A3021" s="13"/>
      <c r="B3021" s="8" t="s">
        <v>6892</v>
      </c>
      <c r="C3021" s="290">
        <v>0</v>
      </c>
      <c r="D3021" s="290">
        <v>1414008</v>
      </c>
      <c r="E3021" s="284">
        <f t="shared" si="47"/>
        <v>5130757</v>
      </c>
      <c r="F3021" s="40" t="s">
        <v>1643</v>
      </c>
      <c r="G3021" s="8" t="s">
        <v>5</v>
      </c>
      <c r="H3021" s="8" t="s">
        <v>1445</v>
      </c>
      <c r="I3021" s="153"/>
    </row>
    <row r="3022" spans="1:9" s="8" customFormat="1">
      <c r="A3022" s="13"/>
      <c r="B3022" s="8" t="s">
        <v>6893</v>
      </c>
      <c r="C3022" s="290">
        <v>0</v>
      </c>
      <c r="D3022" s="290">
        <v>1147700</v>
      </c>
      <c r="E3022" s="284">
        <f t="shared" si="47"/>
        <v>6278457</v>
      </c>
      <c r="F3022" s="40" t="s">
        <v>1643</v>
      </c>
      <c r="G3022" s="8" t="s">
        <v>5</v>
      </c>
      <c r="H3022" s="8" t="s">
        <v>1445</v>
      </c>
      <c r="I3022" s="153"/>
    </row>
    <row r="3023" spans="1:9" s="8" customFormat="1">
      <c r="A3023" s="13"/>
      <c r="B3023" s="8" t="s">
        <v>6894</v>
      </c>
      <c r="C3023" s="290">
        <v>0</v>
      </c>
      <c r="D3023" s="290">
        <v>995700</v>
      </c>
      <c r="E3023" s="284">
        <f t="shared" si="47"/>
        <v>7274157</v>
      </c>
      <c r="F3023" s="40" t="s">
        <v>1643</v>
      </c>
      <c r="G3023" s="8" t="s">
        <v>5</v>
      </c>
      <c r="H3023" s="8" t="s">
        <v>6598</v>
      </c>
      <c r="I3023" s="153"/>
    </row>
    <row r="3024" spans="1:9" s="8" customFormat="1">
      <c r="A3024" s="13"/>
      <c r="B3024" s="8" t="s">
        <v>6895</v>
      </c>
      <c r="C3024" s="290">
        <v>0</v>
      </c>
      <c r="D3024" s="290">
        <v>852011</v>
      </c>
      <c r="E3024" s="284">
        <f t="shared" si="47"/>
        <v>8126168</v>
      </c>
      <c r="F3024" s="40" t="s">
        <v>1643</v>
      </c>
      <c r="G3024" s="8" t="s">
        <v>5</v>
      </c>
      <c r="H3024" s="8" t="s">
        <v>6598</v>
      </c>
      <c r="I3024" s="153"/>
    </row>
    <row r="3025" spans="1:9" s="8" customFormat="1">
      <c r="A3025" s="13"/>
      <c r="B3025" s="8" t="s">
        <v>6896</v>
      </c>
      <c r="C3025" s="290">
        <v>0</v>
      </c>
      <c r="D3025" s="290">
        <v>810731</v>
      </c>
      <c r="E3025" s="284">
        <f t="shared" si="47"/>
        <v>8936899</v>
      </c>
      <c r="F3025" s="40" t="s">
        <v>1643</v>
      </c>
      <c r="G3025" s="8" t="s">
        <v>5</v>
      </c>
      <c r="H3025" s="8" t="s">
        <v>6598</v>
      </c>
      <c r="I3025" s="153"/>
    </row>
    <row r="3026" spans="1:9" s="8" customFormat="1">
      <c r="A3026" s="13"/>
      <c r="B3026" s="8" t="s">
        <v>6897</v>
      </c>
      <c r="C3026" s="290">
        <v>0</v>
      </c>
      <c r="D3026" s="290">
        <v>608050</v>
      </c>
      <c r="E3026" s="284">
        <f t="shared" si="47"/>
        <v>9544949</v>
      </c>
      <c r="F3026" s="40" t="s">
        <v>1643</v>
      </c>
      <c r="G3026" s="8" t="s">
        <v>5</v>
      </c>
      <c r="H3026" s="8" t="s">
        <v>6598</v>
      </c>
      <c r="I3026" s="153"/>
    </row>
    <row r="3027" spans="1:9" s="8" customFormat="1">
      <c r="A3027" s="13"/>
      <c r="B3027" s="8" t="s">
        <v>6898</v>
      </c>
      <c r="C3027" s="290">
        <v>0</v>
      </c>
      <c r="D3027" s="290">
        <v>608050</v>
      </c>
      <c r="E3027" s="284">
        <f t="shared" si="47"/>
        <v>10152999</v>
      </c>
      <c r="F3027" s="40" t="s">
        <v>1643</v>
      </c>
      <c r="G3027" s="8" t="s">
        <v>5</v>
      </c>
      <c r="H3027" s="8" t="s">
        <v>6598</v>
      </c>
      <c r="I3027" s="153"/>
    </row>
    <row r="3028" spans="1:9" s="8" customFormat="1">
      <c r="A3028" s="13"/>
      <c r="B3028" s="8" t="s">
        <v>6899</v>
      </c>
      <c r="C3028" s="290">
        <v>0</v>
      </c>
      <c r="D3028" s="290">
        <v>728200</v>
      </c>
      <c r="E3028" s="284">
        <f t="shared" si="47"/>
        <v>10881199</v>
      </c>
      <c r="F3028" s="40" t="s">
        <v>1643</v>
      </c>
      <c r="G3028" s="8" t="s">
        <v>5</v>
      </c>
      <c r="H3028" s="8" t="s">
        <v>6598</v>
      </c>
      <c r="I3028" s="153"/>
    </row>
    <row r="3029" spans="1:9" s="8" customFormat="1">
      <c r="A3029" s="13"/>
      <c r="B3029" s="8" t="s">
        <v>6900</v>
      </c>
      <c r="C3029" s="290">
        <v>0</v>
      </c>
      <c r="D3029" s="290">
        <v>2024877</v>
      </c>
      <c r="E3029" s="284">
        <f t="shared" si="47"/>
        <v>12906076</v>
      </c>
      <c r="F3029" s="40" t="s">
        <v>1643</v>
      </c>
      <c r="G3029" s="8" t="s">
        <v>5</v>
      </c>
      <c r="H3029" s="8" t="s">
        <v>1376</v>
      </c>
      <c r="I3029" s="153"/>
    </row>
    <row r="3030" spans="1:9" s="8" customFormat="1">
      <c r="A3030" s="13"/>
      <c r="B3030" s="8" t="s">
        <v>6901</v>
      </c>
      <c r="C3030" s="290">
        <v>0</v>
      </c>
      <c r="D3030" s="290">
        <v>2710154</v>
      </c>
      <c r="E3030" s="284">
        <f t="shared" si="47"/>
        <v>15616230</v>
      </c>
      <c r="F3030" s="40" t="s">
        <v>1643</v>
      </c>
      <c r="G3030" s="8" t="s">
        <v>5</v>
      </c>
      <c r="H3030" s="8" t="s">
        <v>1376</v>
      </c>
      <c r="I3030" s="153"/>
    </row>
    <row r="3031" spans="1:9" s="8" customFormat="1">
      <c r="A3031" s="13"/>
      <c r="B3031" s="8" t="s">
        <v>6902</v>
      </c>
      <c r="C3031" s="290">
        <v>0</v>
      </c>
      <c r="D3031" s="290">
        <v>1635658</v>
      </c>
      <c r="E3031" s="284">
        <f t="shared" si="47"/>
        <v>17251888</v>
      </c>
      <c r="F3031" s="40" t="s">
        <v>1643</v>
      </c>
      <c r="G3031" s="8" t="s">
        <v>5</v>
      </c>
      <c r="H3031" s="8" t="s">
        <v>3092</v>
      </c>
      <c r="I3031" s="153"/>
    </row>
    <row r="3032" spans="1:9" s="8" customFormat="1">
      <c r="A3032" s="13"/>
      <c r="B3032" s="8" t="s">
        <v>6903</v>
      </c>
      <c r="C3032" s="290">
        <v>0</v>
      </c>
      <c r="D3032" s="290">
        <v>1635658</v>
      </c>
      <c r="E3032" s="284">
        <f t="shared" si="47"/>
        <v>18887546</v>
      </c>
      <c r="F3032" s="40" t="s">
        <v>1643</v>
      </c>
      <c r="G3032" s="8" t="s">
        <v>5</v>
      </c>
      <c r="H3032" s="8" t="s">
        <v>3092</v>
      </c>
      <c r="I3032" s="153"/>
    </row>
    <row r="3033" spans="1:9" s="8" customFormat="1">
      <c r="A3033" s="13"/>
      <c r="B3033" s="8" t="s">
        <v>6904</v>
      </c>
      <c r="C3033" s="290">
        <v>0</v>
      </c>
      <c r="D3033" s="290">
        <v>1379430</v>
      </c>
      <c r="E3033" s="284">
        <f t="shared" si="47"/>
        <v>20266976</v>
      </c>
      <c r="F3033" s="40" t="s">
        <v>1643</v>
      </c>
      <c r="G3033" s="8" t="s">
        <v>5</v>
      </c>
      <c r="H3033" s="8" t="s">
        <v>3135</v>
      </c>
      <c r="I3033" s="153"/>
    </row>
    <row r="3034" spans="1:9" s="8" customFormat="1">
      <c r="A3034" s="13"/>
      <c r="B3034" s="8" t="s">
        <v>6905</v>
      </c>
      <c r="C3034" s="290">
        <v>0</v>
      </c>
      <c r="D3034" s="290">
        <v>1102505</v>
      </c>
      <c r="E3034" s="284">
        <f t="shared" si="47"/>
        <v>21369481</v>
      </c>
      <c r="F3034" s="40" t="s">
        <v>10</v>
      </c>
      <c r="G3034" s="8" t="s">
        <v>446</v>
      </c>
      <c r="H3034" s="8" t="s">
        <v>2325</v>
      </c>
      <c r="I3034" s="153"/>
    </row>
    <row r="3035" spans="1:9" s="8" customFormat="1">
      <c r="A3035" s="13"/>
      <c r="B3035" s="8" t="s">
        <v>6906</v>
      </c>
      <c r="C3035" s="290">
        <v>0</v>
      </c>
      <c r="D3035" s="290">
        <v>1198950</v>
      </c>
      <c r="E3035" s="284">
        <f t="shared" si="47"/>
        <v>22568431</v>
      </c>
      <c r="F3035" s="40" t="s">
        <v>1643</v>
      </c>
      <c r="G3035" s="8" t="s">
        <v>5</v>
      </c>
      <c r="H3035" s="8" t="s">
        <v>3135</v>
      </c>
      <c r="I3035" s="153"/>
    </row>
    <row r="3036" spans="1:9" s="8" customFormat="1">
      <c r="A3036" s="13"/>
      <c r="B3036" s="8" t="s">
        <v>6907</v>
      </c>
      <c r="C3036" s="290">
        <v>0</v>
      </c>
      <c r="D3036" s="290">
        <v>560205</v>
      </c>
      <c r="E3036" s="284">
        <f t="shared" si="47"/>
        <v>23128636</v>
      </c>
      <c r="F3036" s="40" t="s">
        <v>10</v>
      </c>
      <c r="G3036" s="8" t="s">
        <v>446</v>
      </c>
      <c r="H3036" s="8" t="s">
        <v>2323</v>
      </c>
      <c r="I3036" s="153"/>
    </row>
    <row r="3037" spans="1:9" s="8" customFormat="1">
      <c r="A3037" s="13"/>
      <c r="B3037" s="8" t="s">
        <v>6908</v>
      </c>
      <c r="C3037" s="290">
        <v>0</v>
      </c>
      <c r="D3037" s="290">
        <v>560205</v>
      </c>
      <c r="E3037" s="284">
        <f t="shared" si="47"/>
        <v>23688841</v>
      </c>
      <c r="F3037" s="40" t="s">
        <v>10</v>
      </c>
      <c r="G3037" s="8" t="s">
        <v>446</v>
      </c>
      <c r="H3037" s="8" t="s">
        <v>2323</v>
      </c>
      <c r="I3037" s="153"/>
    </row>
    <row r="3038" spans="1:9" s="8" customFormat="1">
      <c r="A3038" s="13"/>
      <c r="B3038" s="8" t="s">
        <v>6909</v>
      </c>
      <c r="C3038" s="290">
        <v>0</v>
      </c>
      <c r="D3038" s="290">
        <v>560205</v>
      </c>
      <c r="E3038" s="284">
        <f t="shared" si="47"/>
        <v>24249046</v>
      </c>
      <c r="F3038" s="40" t="s">
        <v>10</v>
      </c>
      <c r="G3038" s="8" t="s">
        <v>446</v>
      </c>
      <c r="H3038" s="8" t="s">
        <v>2323</v>
      </c>
      <c r="I3038" s="153"/>
    </row>
    <row r="3039" spans="1:9" s="8" customFormat="1">
      <c r="A3039" s="13"/>
      <c r="B3039" s="8" t="s">
        <v>6910</v>
      </c>
      <c r="C3039" s="290">
        <v>0</v>
      </c>
      <c r="D3039" s="290">
        <v>560205</v>
      </c>
      <c r="E3039" s="284">
        <f t="shared" si="47"/>
        <v>24809251</v>
      </c>
      <c r="F3039" s="40" t="s">
        <v>10</v>
      </c>
      <c r="G3039" s="8" t="s">
        <v>446</v>
      </c>
      <c r="H3039" s="8" t="s">
        <v>2323</v>
      </c>
      <c r="I3039" s="153"/>
    </row>
    <row r="3040" spans="1:9" s="8" customFormat="1">
      <c r="A3040" s="13"/>
      <c r="B3040" s="8" t="s">
        <v>6911</v>
      </c>
      <c r="C3040" s="290">
        <v>0</v>
      </c>
      <c r="D3040" s="290">
        <v>1031280</v>
      </c>
      <c r="E3040" s="284">
        <f t="shared" si="47"/>
        <v>25840531</v>
      </c>
      <c r="F3040" s="40" t="s">
        <v>1643</v>
      </c>
      <c r="G3040" s="8" t="s">
        <v>5</v>
      </c>
      <c r="H3040" s="8" t="s">
        <v>3092</v>
      </c>
      <c r="I3040" s="153"/>
    </row>
    <row r="3041" spans="1:9" s="8" customFormat="1">
      <c r="A3041" s="13"/>
      <c r="B3041" s="8" t="s">
        <v>6912</v>
      </c>
      <c r="C3041" s="290">
        <v>0</v>
      </c>
      <c r="D3041" s="290">
        <v>1069100</v>
      </c>
      <c r="E3041" s="284">
        <f t="shared" si="47"/>
        <v>26909631</v>
      </c>
      <c r="F3041" s="40" t="s">
        <v>10</v>
      </c>
      <c r="G3041" s="8" t="s">
        <v>446</v>
      </c>
      <c r="H3041" s="8" t="s">
        <v>2323</v>
      </c>
      <c r="I3041" s="153"/>
    </row>
    <row r="3042" spans="1:9" s="8" customFormat="1">
      <c r="A3042" s="13"/>
      <c r="B3042" s="8" t="s">
        <v>6913</v>
      </c>
      <c r="C3042" s="290">
        <v>0</v>
      </c>
      <c r="D3042" s="290">
        <v>6663080</v>
      </c>
      <c r="E3042" s="284">
        <f t="shared" si="47"/>
        <v>33572711</v>
      </c>
      <c r="F3042" s="40" t="s">
        <v>1643</v>
      </c>
      <c r="G3042" s="8" t="s">
        <v>5</v>
      </c>
      <c r="H3042" s="8" t="s">
        <v>1622</v>
      </c>
      <c r="I3042" s="153"/>
    </row>
    <row r="3043" spans="1:9" s="8" customFormat="1">
      <c r="A3043" s="13"/>
      <c r="B3043" s="8" t="s">
        <v>6914</v>
      </c>
      <c r="C3043" s="290">
        <v>0</v>
      </c>
      <c r="D3043" s="290">
        <v>6663080</v>
      </c>
      <c r="E3043" s="284">
        <f t="shared" si="47"/>
        <v>40235791</v>
      </c>
      <c r="F3043" s="40" t="s">
        <v>1643</v>
      </c>
      <c r="G3043" s="8" t="s">
        <v>5</v>
      </c>
      <c r="H3043" s="8" t="s">
        <v>1622</v>
      </c>
      <c r="I3043" s="153"/>
    </row>
    <row r="3044" spans="1:9" s="8" customFormat="1">
      <c r="A3044" s="13"/>
      <c r="B3044" s="8" t="s">
        <v>6915</v>
      </c>
      <c r="C3044" s="290">
        <v>0</v>
      </c>
      <c r="D3044" s="290">
        <v>6970370</v>
      </c>
      <c r="E3044" s="284">
        <f t="shared" si="47"/>
        <v>47206161</v>
      </c>
      <c r="F3044" s="40" t="s">
        <v>1643</v>
      </c>
      <c r="G3044" s="8" t="s">
        <v>5</v>
      </c>
      <c r="H3044" s="8" t="s">
        <v>1622</v>
      </c>
      <c r="I3044" s="153"/>
    </row>
    <row r="3045" spans="1:9" s="8" customFormat="1">
      <c r="A3045" s="13"/>
      <c r="B3045" s="8" t="s">
        <v>6916</v>
      </c>
      <c r="C3045" s="290">
        <v>0</v>
      </c>
      <c r="D3045" s="290">
        <v>6970370</v>
      </c>
      <c r="E3045" s="284">
        <f t="shared" si="47"/>
        <v>54176531</v>
      </c>
      <c r="F3045" s="40" t="s">
        <v>1643</v>
      </c>
      <c r="G3045" s="8" t="s">
        <v>5</v>
      </c>
      <c r="H3045" s="8" t="s">
        <v>1622</v>
      </c>
      <c r="I3045" s="153"/>
    </row>
    <row r="3046" spans="1:9" s="8" customFormat="1">
      <c r="A3046" s="13"/>
      <c r="B3046" s="8" t="s">
        <v>6917</v>
      </c>
      <c r="C3046" s="290">
        <v>0</v>
      </c>
      <c r="D3046" s="290">
        <v>845485</v>
      </c>
      <c r="E3046" s="284">
        <f t="shared" si="47"/>
        <v>55022016</v>
      </c>
      <c r="F3046" s="40" t="s">
        <v>10</v>
      </c>
      <c r="G3046" s="8" t="s">
        <v>446</v>
      </c>
      <c r="H3046" s="8" t="s">
        <v>1461</v>
      </c>
      <c r="I3046" s="153"/>
    </row>
    <row r="3047" spans="1:9" s="8" customFormat="1">
      <c r="A3047" s="13"/>
      <c r="B3047" s="8" t="s">
        <v>6918</v>
      </c>
      <c r="C3047" s="290">
        <v>0</v>
      </c>
      <c r="D3047" s="290">
        <v>1325590</v>
      </c>
      <c r="E3047" s="284">
        <f t="shared" si="47"/>
        <v>56347606</v>
      </c>
      <c r="F3047" s="40" t="s">
        <v>1643</v>
      </c>
      <c r="G3047" s="8" t="s">
        <v>5</v>
      </c>
      <c r="H3047" s="8" t="s">
        <v>1622</v>
      </c>
      <c r="I3047" s="153"/>
    </row>
    <row r="3048" spans="1:9" s="8" customFormat="1">
      <c r="A3048" s="13"/>
      <c r="B3048" s="8" t="s">
        <v>6919</v>
      </c>
      <c r="C3048" s="290">
        <v>0</v>
      </c>
      <c r="D3048" s="290">
        <v>1325590</v>
      </c>
      <c r="E3048" s="284">
        <f t="shared" si="47"/>
        <v>57673196</v>
      </c>
      <c r="F3048" s="40" t="s">
        <v>1643</v>
      </c>
      <c r="G3048" s="8" t="s">
        <v>5</v>
      </c>
      <c r="H3048" s="8" t="s">
        <v>1622</v>
      </c>
      <c r="I3048" s="153"/>
    </row>
    <row r="3049" spans="1:9" s="8" customFormat="1">
      <c r="A3049" s="13"/>
      <c r="B3049" s="8" t="s">
        <v>6920</v>
      </c>
      <c r="C3049" s="290">
        <v>0</v>
      </c>
      <c r="D3049" s="290">
        <v>1325590</v>
      </c>
      <c r="E3049" s="284">
        <f t="shared" si="47"/>
        <v>58998786</v>
      </c>
      <c r="F3049" s="40" t="s">
        <v>1643</v>
      </c>
      <c r="G3049" s="8" t="s">
        <v>5</v>
      </c>
      <c r="H3049" s="8" t="s">
        <v>1622</v>
      </c>
      <c r="I3049" s="153"/>
    </row>
    <row r="3050" spans="1:9" s="8" customFormat="1">
      <c r="A3050" s="13"/>
      <c r="B3050" s="8" t="s">
        <v>6921</v>
      </c>
      <c r="C3050" s="290">
        <v>0</v>
      </c>
      <c r="D3050" s="290">
        <v>1325590</v>
      </c>
      <c r="E3050" s="284">
        <f t="shared" si="47"/>
        <v>60324376</v>
      </c>
      <c r="F3050" s="40" t="s">
        <v>1643</v>
      </c>
      <c r="G3050" s="8" t="s">
        <v>5</v>
      </c>
      <c r="H3050" s="8" t="s">
        <v>1622</v>
      </c>
      <c r="I3050" s="153"/>
    </row>
    <row r="3051" spans="1:9" s="8" customFormat="1">
      <c r="A3051" s="13"/>
      <c r="B3051" s="8" t="s">
        <v>6922</v>
      </c>
      <c r="C3051" s="290">
        <v>0</v>
      </c>
      <c r="D3051" s="290">
        <v>1325590</v>
      </c>
      <c r="E3051" s="284">
        <f t="shared" si="47"/>
        <v>61649966</v>
      </c>
      <c r="F3051" s="40" t="s">
        <v>1643</v>
      </c>
      <c r="G3051" s="8" t="s">
        <v>5</v>
      </c>
      <c r="H3051" s="8" t="s">
        <v>1622</v>
      </c>
      <c r="I3051" s="153"/>
    </row>
    <row r="3052" spans="1:9" s="8" customFormat="1">
      <c r="A3052" s="13"/>
      <c r="B3052" s="8" t="s">
        <v>6923</v>
      </c>
      <c r="C3052" s="290">
        <v>0</v>
      </c>
      <c r="D3052" s="290">
        <v>1325590</v>
      </c>
      <c r="E3052" s="284">
        <f t="shared" si="47"/>
        <v>62975556</v>
      </c>
      <c r="F3052" s="40" t="s">
        <v>1643</v>
      </c>
      <c r="G3052" s="8" t="s">
        <v>5</v>
      </c>
      <c r="H3052" s="8" t="s">
        <v>1622</v>
      </c>
      <c r="I3052" s="153"/>
    </row>
    <row r="3053" spans="1:9" s="8" customFormat="1">
      <c r="A3053" s="13"/>
      <c r="B3053" s="8" t="s">
        <v>6924</v>
      </c>
      <c r="C3053" s="290">
        <v>0</v>
      </c>
      <c r="D3053" s="290">
        <v>1325590</v>
      </c>
      <c r="E3053" s="284">
        <f t="shared" si="47"/>
        <v>64301146</v>
      </c>
      <c r="F3053" s="40" t="s">
        <v>1643</v>
      </c>
      <c r="G3053" s="8" t="s">
        <v>5</v>
      </c>
      <c r="H3053" s="8" t="s">
        <v>1622</v>
      </c>
      <c r="I3053" s="153"/>
    </row>
    <row r="3054" spans="1:9" s="8" customFormat="1">
      <c r="A3054" s="13"/>
      <c r="B3054" s="8" t="s">
        <v>6925</v>
      </c>
      <c r="C3054" s="290">
        <v>0</v>
      </c>
      <c r="D3054" s="290">
        <v>1325590</v>
      </c>
      <c r="E3054" s="284">
        <f t="shared" si="47"/>
        <v>65626736</v>
      </c>
      <c r="F3054" s="40" t="s">
        <v>1643</v>
      </c>
      <c r="G3054" s="8" t="s">
        <v>5</v>
      </c>
      <c r="H3054" s="8" t="s">
        <v>1622</v>
      </c>
      <c r="I3054" s="153"/>
    </row>
    <row r="3055" spans="1:9" s="8" customFormat="1">
      <c r="A3055" s="13"/>
      <c r="B3055" s="8" t="s">
        <v>6926</v>
      </c>
      <c r="C3055" s="290">
        <v>0</v>
      </c>
      <c r="D3055" s="290">
        <v>1325590</v>
      </c>
      <c r="E3055" s="284">
        <f t="shared" si="47"/>
        <v>66952326</v>
      </c>
      <c r="F3055" s="40" t="s">
        <v>1643</v>
      </c>
      <c r="G3055" s="8" t="s">
        <v>5</v>
      </c>
      <c r="H3055" s="8" t="s">
        <v>1622</v>
      </c>
      <c r="I3055" s="153"/>
    </row>
    <row r="3056" spans="1:9" s="8" customFormat="1">
      <c r="A3056" s="13"/>
      <c r="B3056" s="8" t="s">
        <v>6927</v>
      </c>
      <c r="C3056" s="290">
        <v>0</v>
      </c>
      <c r="D3056" s="290">
        <v>1325590</v>
      </c>
      <c r="E3056" s="284">
        <f t="shared" si="47"/>
        <v>68277916</v>
      </c>
      <c r="F3056" s="40" t="s">
        <v>1643</v>
      </c>
      <c r="G3056" s="8" t="s">
        <v>5</v>
      </c>
      <c r="H3056" s="8" t="s">
        <v>1622</v>
      </c>
      <c r="I3056" s="153"/>
    </row>
    <row r="3057" spans="1:9" s="8" customFormat="1">
      <c r="A3057" s="13"/>
      <c r="B3057" s="8" t="s">
        <v>6928</v>
      </c>
      <c r="C3057" s="290">
        <v>0</v>
      </c>
      <c r="D3057" s="290">
        <v>1325590</v>
      </c>
      <c r="E3057" s="284">
        <f t="shared" si="47"/>
        <v>69603506</v>
      </c>
      <c r="F3057" s="40" t="s">
        <v>1643</v>
      </c>
      <c r="G3057" s="8" t="s">
        <v>5</v>
      </c>
      <c r="H3057" s="8" t="s">
        <v>1622</v>
      </c>
      <c r="I3057" s="153"/>
    </row>
    <row r="3058" spans="1:9" s="8" customFormat="1">
      <c r="A3058" s="13"/>
      <c r="B3058" s="8" t="s">
        <v>6929</v>
      </c>
      <c r="C3058" s="290">
        <v>0</v>
      </c>
      <c r="D3058" s="290">
        <v>1325590</v>
      </c>
      <c r="E3058" s="284">
        <f t="shared" si="47"/>
        <v>70929096</v>
      </c>
      <c r="F3058" s="40" t="s">
        <v>1643</v>
      </c>
      <c r="G3058" s="8" t="s">
        <v>5</v>
      </c>
      <c r="H3058" s="8" t="s">
        <v>1622</v>
      </c>
      <c r="I3058" s="153"/>
    </row>
    <row r="3059" spans="1:9" s="8" customFormat="1">
      <c r="A3059" s="13"/>
      <c r="B3059" s="8" t="s">
        <v>6930</v>
      </c>
      <c r="C3059" s="290">
        <v>0</v>
      </c>
      <c r="D3059" s="290">
        <v>1325590</v>
      </c>
      <c r="E3059" s="284">
        <f t="shared" si="47"/>
        <v>72254686</v>
      </c>
      <c r="F3059" s="40" t="s">
        <v>1643</v>
      </c>
      <c r="G3059" s="8" t="s">
        <v>5</v>
      </c>
      <c r="H3059" s="8" t="s">
        <v>1622</v>
      </c>
      <c r="I3059" s="153"/>
    </row>
    <row r="3060" spans="1:9" s="8" customFormat="1">
      <c r="A3060" s="13"/>
      <c r="B3060" s="8" t="s">
        <v>6931</v>
      </c>
      <c r="C3060" s="290">
        <v>0</v>
      </c>
      <c r="D3060" s="290">
        <v>1325590</v>
      </c>
      <c r="E3060" s="284">
        <f t="shared" si="47"/>
        <v>73580276</v>
      </c>
      <c r="F3060" s="40" t="s">
        <v>1643</v>
      </c>
      <c r="G3060" s="8" t="s">
        <v>5</v>
      </c>
      <c r="H3060" s="8" t="s">
        <v>1622</v>
      </c>
      <c r="I3060" s="153"/>
    </row>
    <row r="3061" spans="1:9" s="8" customFormat="1">
      <c r="A3061" s="13"/>
      <c r="B3061" s="8" t="s">
        <v>6932</v>
      </c>
      <c r="C3061" s="290">
        <v>0</v>
      </c>
      <c r="D3061" s="290">
        <v>1325590</v>
      </c>
      <c r="E3061" s="284">
        <f t="shared" si="47"/>
        <v>74905866</v>
      </c>
      <c r="F3061" s="40" t="s">
        <v>1643</v>
      </c>
      <c r="G3061" s="8" t="s">
        <v>5</v>
      </c>
      <c r="H3061" s="8" t="s">
        <v>1622</v>
      </c>
      <c r="I3061" s="153"/>
    </row>
    <row r="3062" spans="1:9" s="8" customFormat="1">
      <c r="A3062" s="13"/>
      <c r="B3062" s="8" t="s">
        <v>6933</v>
      </c>
      <c r="C3062" s="290">
        <v>0</v>
      </c>
      <c r="D3062" s="290">
        <v>1325590</v>
      </c>
      <c r="E3062" s="284">
        <f t="shared" si="47"/>
        <v>76231456</v>
      </c>
      <c r="F3062" s="40" t="s">
        <v>1643</v>
      </c>
      <c r="G3062" s="8" t="s">
        <v>5</v>
      </c>
      <c r="H3062" s="8" t="s">
        <v>1622</v>
      </c>
      <c r="I3062" s="153"/>
    </row>
    <row r="3063" spans="1:9" s="8" customFormat="1">
      <c r="A3063" s="13"/>
      <c r="B3063" s="8" t="s">
        <v>6934</v>
      </c>
      <c r="C3063" s="290">
        <v>0</v>
      </c>
      <c r="D3063" s="290">
        <v>1325590</v>
      </c>
      <c r="E3063" s="284">
        <f t="shared" si="47"/>
        <v>77557046</v>
      </c>
      <c r="F3063" s="40" t="s">
        <v>1643</v>
      </c>
      <c r="G3063" s="8" t="s">
        <v>5</v>
      </c>
      <c r="H3063" s="8" t="s">
        <v>1622</v>
      </c>
      <c r="I3063" s="153"/>
    </row>
    <row r="3064" spans="1:9" s="8" customFormat="1">
      <c r="A3064" s="13"/>
      <c r="B3064" s="8" t="s">
        <v>6935</v>
      </c>
      <c r="C3064" s="290">
        <v>0</v>
      </c>
      <c r="D3064" s="290">
        <v>1325590</v>
      </c>
      <c r="E3064" s="284">
        <f t="shared" si="47"/>
        <v>78882636</v>
      </c>
      <c r="F3064" s="40" t="s">
        <v>1643</v>
      </c>
      <c r="G3064" s="8" t="s">
        <v>5</v>
      </c>
      <c r="H3064" s="8" t="s">
        <v>1622</v>
      </c>
      <c r="I3064" s="153"/>
    </row>
    <row r="3065" spans="1:9" s="8" customFormat="1">
      <c r="A3065" s="13"/>
      <c r="B3065" s="8" t="s">
        <v>6936</v>
      </c>
      <c r="C3065" s="290">
        <v>0</v>
      </c>
      <c r="D3065" s="290">
        <v>1325590</v>
      </c>
      <c r="E3065" s="284">
        <f t="shared" si="47"/>
        <v>80208226</v>
      </c>
      <c r="F3065" s="40" t="s">
        <v>1643</v>
      </c>
      <c r="G3065" s="8" t="s">
        <v>5</v>
      </c>
      <c r="H3065" s="8" t="s">
        <v>1622</v>
      </c>
      <c r="I3065" s="153"/>
    </row>
    <row r="3066" spans="1:9" s="8" customFormat="1">
      <c r="A3066" s="13"/>
      <c r="B3066" s="8" t="s">
        <v>6937</v>
      </c>
      <c r="C3066" s="290">
        <v>0</v>
      </c>
      <c r="D3066" s="290">
        <v>1325590</v>
      </c>
      <c r="E3066" s="284">
        <f t="shared" si="47"/>
        <v>81533816</v>
      </c>
      <c r="F3066" s="40" t="s">
        <v>1643</v>
      </c>
      <c r="G3066" s="8" t="s">
        <v>5</v>
      </c>
      <c r="H3066" s="8" t="s">
        <v>1622</v>
      </c>
      <c r="I3066" s="153"/>
    </row>
    <row r="3067" spans="1:9" s="8" customFormat="1">
      <c r="A3067" s="13"/>
      <c r="B3067" s="8" t="s">
        <v>6938</v>
      </c>
      <c r="C3067" s="290">
        <v>0</v>
      </c>
      <c r="D3067" s="290">
        <v>1325590</v>
      </c>
      <c r="E3067" s="284">
        <f t="shared" si="47"/>
        <v>82859406</v>
      </c>
      <c r="F3067" s="40" t="s">
        <v>1643</v>
      </c>
      <c r="G3067" s="8" t="s">
        <v>5</v>
      </c>
      <c r="H3067" s="8" t="s">
        <v>1622</v>
      </c>
      <c r="I3067" s="153"/>
    </row>
    <row r="3068" spans="1:9" s="8" customFormat="1">
      <c r="A3068" s="13"/>
      <c r="B3068" s="8" t="s">
        <v>6939</v>
      </c>
      <c r="C3068" s="290">
        <v>0</v>
      </c>
      <c r="D3068" s="290">
        <v>1325590</v>
      </c>
      <c r="E3068" s="284">
        <f t="shared" si="47"/>
        <v>84184996</v>
      </c>
      <c r="F3068" s="40" t="s">
        <v>1643</v>
      </c>
      <c r="G3068" s="8" t="s">
        <v>5</v>
      </c>
      <c r="H3068" s="8" t="s">
        <v>1622</v>
      </c>
      <c r="I3068" s="153"/>
    </row>
    <row r="3069" spans="1:9" s="8" customFormat="1">
      <c r="A3069" s="13"/>
      <c r="B3069" s="8" t="s">
        <v>6940</v>
      </c>
      <c r="C3069" s="290">
        <v>0</v>
      </c>
      <c r="D3069" s="290">
        <v>1325590</v>
      </c>
      <c r="E3069" s="284">
        <f t="shared" si="47"/>
        <v>85510586</v>
      </c>
      <c r="F3069" s="40" t="s">
        <v>1643</v>
      </c>
      <c r="G3069" s="8" t="s">
        <v>5</v>
      </c>
      <c r="H3069" s="8" t="s">
        <v>1622</v>
      </c>
      <c r="I3069" s="153"/>
    </row>
    <row r="3070" spans="1:9" s="8" customFormat="1">
      <c r="A3070" s="13"/>
      <c r="B3070" s="8" t="s">
        <v>6941</v>
      </c>
      <c r="C3070" s="290">
        <v>0</v>
      </c>
      <c r="D3070" s="290">
        <v>1325590</v>
      </c>
      <c r="E3070" s="284">
        <f t="shared" si="47"/>
        <v>86836176</v>
      </c>
      <c r="F3070" s="40" t="s">
        <v>1643</v>
      </c>
      <c r="G3070" s="8" t="s">
        <v>5</v>
      </c>
      <c r="H3070" s="8" t="s">
        <v>1622</v>
      </c>
      <c r="I3070" s="153"/>
    </row>
    <row r="3071" spans="1:9" s="8" customFormat="1">
      <c r="A3071" s="13"/>
      <c r="B3071" s="8" t="s">
        <v>6942</v>
      </c>
      <c r="C3071" s="290">
        <v>0</v>
      </c>
      <c r="D3071" s="290">
        <v>1325590</v>
      </c>
      <c r="E3071" s="284">
        <f t="shared" si="47"/>
        <v>88161766</v>
      </c>
      <c r="F3071" s="40" t="s">
        <v>1643</v>
      </c>
      <c r="G3071" s="8" t="s">
        <v>5</v>
      </c>
      <c r="H3071" s="8" t="s">
        <v>1622</v>
      </c>
      <c r="I3071" s="153"/>
    </row>
    <row r="3072" spans="1:9" s="8" customFormat="1">
      <c r="A3072" s="13"/>
      <c r="B3072" s="8" t="s">
        <v>6943</v>
      </c>
      <c r="C3072" s="290">
        <v>0</v>
      </c>
      <c r="D3072" s="290">
        <v>1325590</v>
      </c>
      <c r="E3072" s="284">
        <f t="shared" si="47"/>
        <v>89487356</v>
      </c>
      <c r="F3072" s="40" t="s">
        <v>1643</v>
      </c>
      <c r="G3072" s="8" t="s">
        <v>5</v>
      </c>
      <c r="H3072" s="8" t="s">
        <v>1622</v>
      </c>
      <c r="I3072" s="153"/>
    </row>
    <row r="3073" spans="1:9" s="8" customFormat="1">
      <c r="A3073" s="13"/>
      <c r="B3073" s="8" t="s">
        <v>6944</v>
      </c>
      <c r="C3073" s="290">
        <v>0</v>
      </c>
      <c r="D3073" s="290">
        <v>1325590</v>
      </c>
      <c r="E3073" s="284">
        <f t="shared" si="47"/>
        <v>90812946</v>
      </c>
      <c r="F3073" s="40" t="s">
        <v>1643</v>
      </c>
      <c r="G3073" s="8" t="s">
        <v>5</v>
      </c>
      <c r="H3073" s="8" t="s">
        <v>1622</v>
      </c>
      <c r="I3073" s="153"/>
    </row>
    <row r="3074" spans="1:9" s="8" customFormat="1">
      <c r="A3074" s="13"/>
      <c r="B3074" s="8" t="s">
        <v>6945</v>
      </c>
      <c r="C3074" s="290">
        <v>0</v>
      </c>
      <c r="D3074" s="290">
        <v>1325590</v>
      </c>
      <c r="E3074" s="284">
        <f t="shared" si="47"/>
        <v>92138536</v>
      </c>
      <c r="F3074" s="40" t="s">
        <v>1643</v>
      </c>
      <c r="G3074" s="8" t="s">
        <v>5</v>
      </c>
      <c r="H3074" s="8" t="s">
        <v>1622</v>
      </c>
      <c r="I3074" s="153"/>
    </row>
    <row r="3075" spans="1:9" s="8" customFormat="1">
      <c r="A3075" s="13"/>
      <c r="B3075" s="8" t="s">
        <v>6946</v>
      </c>
      <c r="C3075" s="290">
        <v>0</v>
      </c>
      <c r="D3075" s="290">
        <v>1325590</v>
      </c>
      <c r="E3075" s="284">
        <f t="shared" si="47"/>
        <v>93464126</v>
      </c>
      <c r="F3075" s="40" t="s">
        <v>1643</v>
      </c>
      <c r="G3075" s="8" t="s">
        <v>5</v>
      </c>
      <c r="H3075" s="8" t="s">
        <v>1622</v>
      </c>
      <c r="I3075" s="153"/>
    </row>
    <row r="3076" spans="1:9" s="8" customFormat="1">
      <c r="A3076" s="13"/>
      <c r="B3076" s="8" t="s">
        <v>6947</v>
      </c>
      <c r="C3076" s="290">
        <v>0</v>
      </c>
      <c r="D3076" s="290">
        <v>1325590</v>
      </c>
      <c r="E3076" s="284">
        <f t="shared" si="47"/>
        <v>94789716</v>
      </c>
      <c r="F3076" s="40" t="s">
        <v>1643</v>
      </c>
      <c r="G3076" s="8" t="s">
        <v>5</v>
      </c>
      <c r="H3076" s="8" t="s">
        <v>1622</v>
      </c>
      <c r="I3076" s="153"/>
    </row>
    <row r="3077" spans="1:9" s="8" customFormat="1">
      <c r="A3077" s="13"/>
      <c r="B3077" s="8" t="s">
        <v>6948</v>
      </c>
      <c r="C3077" s="290">
        <v>0</v>
      </c>
      <c r="D3077" s="290">
        <v>1325590</v>
      </c>
      <c r="E3077" s="284">
        <f t="shared" si="47"/>
        <v>96115306</v>
      </c>
      <c r="F3077" s="40" t="s">
        <v>1643</v>
      </c>
      <c r="G3077" s="8" t="s">
        <v>5</v>
      </c>
      <c r="H3077" s="8" t="s">
        <v>1622</v>
      </c>
      <c r="I3077" s="153"/>
    </row>
    <row r="3078" spans="1:9" s="8" customFormat="1">
      <c r="A3078" s="13"/>
      <c r="B3078" s="8" t="s">
        <v>6949</v>
      </c>
      <c r="C3078" s="290">
        <v>0</v>
      </c>
      <c r="D3078" s="290">
        <v>1325590</v>
      </c>
      <c r="E3078" s="284">
        <f t="shared" si="47"/>
        <v>97440896</v>
      </c>
      <c r="F3078" s="40" t="s">
        <v>1643</v>
      </c>
      <c r="G3078" s="8" t="s">
        <v>5</v>
      </c>
      <c r="H3078" s="8" t="s">
        <v>1622</v>
      </c>
      <c r="I3078" s="153"/>
    </row>
    <row r="3079" spans="1:9" s="8" customFormat="1">
      <c r="A3079" s="13"/>
      <c r="B3079" s="8" t="s">
        <v>6950</v>
      </c>
      <c r="C3079" s="290">
        <v>0</v>
      </c>
      <c r="D3079" s="290">
        <v>7717180</v>
      </c>
      <c r="E3079" s="284">
        <f t="shared" ref="E3079:E3142" si="48">E3078-C3079+D3079</f>
        <v>105158076</v>
      </c>
      <c r="F3079" s="40" t="s">
        <v>1643</v>
      </c>
      <c r="G3079" s="8" t="s">
        <v>5</v>
      </c>
      <c r="H3079" s="8" t="s">
        <v>1622</v>
      </c>
      <c r="I3079" s="153"/>
    </row>
    <row r="3080" spans="1:9" s="8" customFormat="1">
      <c r="A3080" s="13"/>
      <c r="B3080" s="8" t="s">
        <v>6951</v>
      </c>
      <c r="C3080" s="290">
        <v>0</v>
      </c>
      <c r="D3080" s="290">
        <v>696680</v>
      </c>
      <c r="E3080" s="284">
        <f t="shared" si="48"/>
        <v>105854756</v>
      </c>
      <c r="F3080" s="40" t="s">
        <v>1643</v>
      </c>
      <c r="G3080" s="8" t="s">
        <v>5</v>
      </c>
      <c r="H3080" s="8" t="s">
        <v>1622</v>
      </c>
      <c r="I3080" s="153"/>
    </row>
    <row r="3081" spans="1:9" s="8" customFormat="1">
      <c r="A3081" s="13"/>
      <c r="B3081" s="8" t="s">
        <v>6952</v>
      </c>
      <c r="C3081" s="290">
        <v>0</v>
      </c>
      <c r="D3081" s="290">
        <v>2265900</v>
      </c>
      <c r="E3081" s="284">
        <f t="shared" si="48"/>
        <v>108120656</v>
      </c>
      <c r="F3081" s="40" t="s">
        <v>1643</v>
      </c>
      <c r="G3081" s="8" t="s">
        <v>5</v>
      </c>
      <c r="H3081" s="8" t="s">
        <v>1622</v>
      </c>
      <c r="I3081" s="153"/>
    </row>
    <row r="3082" spans="1:9" s="8" customFormat="1">
      <c r="A3082" s="13"/>
      <c r="B3082" s="8" t="s">
        <v>6953</v>
      </c>
      <c r="C3082" s="290">
        <v>0</v>
      </c>
      <c r="D3082" s="290">
        <v>1191450</v>
      </c>
      <c r="E3082" s="284">
        <f t="shared" si="48"/>
        <v>109312106</v>
      </c>
      <c r="F3082" s="40" t="s">
        <v>10</v>
      </c>
      <c r="G3082" s="8" t="s">
        <v>446</v>
      </c>
      <c r="H3082" s="8" t="s">
        <v>3283</v>
      </c>
      <c r="I3082" s="153"/>
    </row>
    <row r="3083" spans="1:9" s="8" customFormat="1">
      <c r="A3083" s="13"/>
      <c r="B3083" s="8" t="s">
        <v>6954</v>
      </c>
      <c r="C3083" s="290">
        <v>0</v>
      </c>
      <c r="D3083" s="290">
        <v>791900</v>
      </c>
      <c r="E3083" s="284">
        <f t="shared" si="48"/>
        <v>110104006</v>
      </c>
      <c r="F3083" s="40" t="s">
        <v>10</v>
      </c>
      <c r="G3083" s="8" t="s">
        <v>446</v>
      </c>
      <c r="H3083" s="8" t="s">
        <v>3474</v>
      </c>
      <c r="I3083" s="153"/>
    </row>
    <row r="3084" spans="1:9" s="8" customFormat="1">
      <c r="A3084" s="13"/>
      <c r="B3084" s="8" t="s">
        <v>6955</v>
      </c>
      <c r="C3084" s="290">
        <v>0</v>
      </c>
      <c r="D3084" s="290">
        <v>1776200</v>
      </c>
      <c r="E3084" s="284">
        <f t="shared" si="48"/>
        <v>111880206</v>
      </c>
      <c r="F3084" s="40" t="s">
        <v>10</v>
      </c>
      <c r="G3084" s="8" t="s">
        <v>446</v>
      </c>
      <c r="H3084" s="8" t="s">
        <v>3283</v>
      </c>
      <c r="I3084" s="153"/>
    </row>
    <row r="3085" spans="1:9" s="8" customFormat="1">
      <c r="A3085" s="13"/>
      <c r="B3085" s="8" t="s">
        <v>6956</v>
      </c>
      <c r="C3085" s="290">
        <v>0</v>
      </c>
      <c r="D3085" s="290">
        <v>1354250</v>
      </c>
      <c r="E3085" s="284">
        <f t="shared" si="48"/>
        <v>113234456</v>
      </c>
      <c r="F3085" s="40" t="s">
        <v>10</v>
      </c>
      <c r="G3085" s="8" t="s">
        <v>446</v>
      </c>
      <c r="H3085" s="8" t="s">
        <v>3283</v>
      </c>
      <c r="I3085" s="153"/>
    </row>
    <row r="3086" spans="1:9" s="8" customFormat="1">
      <c r="A3086" s="13"/>
      <c r="B3086" s="8" t="s">
        <v>6957</v>
      </c>
      <c r="C3086" s="290">
        <v>0</v>
      </c>
      <c r="D3086" s="290">
        <v>1004509</v>
      </c>
      <c r="E3086" s="284">
        <f t="shared" si="48"/>
        <v>114238965</v>
      </c>
      <c r="F3086" s="40" t="s">
        <v>10</v>
      </c>
      <c r="G3086" s="8" t="s">
        <v>446</v>
      </c>
      <c r="H3086" s="8" t="s">
        <v>3283</v>
      </c>
      <c r="I3086" s="153"/>
    </row>
    <row r="3087" spans="1:9" s="8" customFormat="1">
      <c r="A3087" s="13"/>
      <c r="B3087" s="8" t="s">
        <v>6958</v>
      </c>
      <c r="C3087" s="290">
        <v>0</v>
      </c>
      <c r="D3087" s="290">
        <v>664005</v>
      </c>
      <c r="E3087" s="284">
        <f t="shared" si="48"/>
        <v>114902970</v>
      </c>
      <c r="F3087" s="40" t="s">
        <v>10</v>
      </c>
      <c r="G3087" s="8" t="s">
        <v>446</v>
      </c>
      <c r="H3087" s="8" t="s">
        <v>3283</v>
      </c>
      <c r="I3087" s="153"/>
    </row>
    <row r="3088" spans="1:9" s="8" customFormat="1">
      <c r="A3088" s="13"/>
      <c r="B3088" s="8" t="s">
        <v>6959</v>
      </c>
      <c r="C3088" s="290">
        <v>0</v>
      </c>
      <c r="D3088" s="290">
        <v>976600</v>
      </c>
      <c r="E3088" s="284">
        <f t="shared" si="48"/>
        <v>115879570</v>
      </c>
      <c r="F3088" s="40" t="s">
        <v>10</v>
      </c>
      <c r="G3088" s="8" t="s">
        <v>446</v>
      </c>
      <c r="H3088" s="8" t="s">
        <v>3283</v>
      </c>
      <c r="I3088" s="153"/>
    </row>
    <row r="3089" spans="1:9" s="8" customFormat="1">
      <c r="A3089" s="13"/>
      <c r="B3089" s="8" t="s">
        <v>6960</v>
      </c>
      <c r="C3089" s="290">
        <v>0</v>
      </c>
      <c r="D3089" s="290">
        <v>590100</v>
      </c>
      <c r="E3089" s="284">
        <f t="shared" si="48"/>
        <v>116469670</v>
      </c>
      <c r="F3089" s="40" t="s">
        <v>10</v>
      </c>
      <c r="G3089" s="8" t="s">
        <v>446</v>
      </c>
      <c r="H3089" s="8" t="s">
        <v>3283</v>
      </c>
      <c r="I3089" s="153"/>
    </row>
    <row r="3090" spans="1:9" s="8" customFormat="1">
      <c r="A3090" s="13"/>
      <c r="B3090" s="8" t="s">
        <v>6961</v>
      </c>
      <c r="C3090" s="290">
        <v>0</v>
      </c>
      <c r="D3090" s="290">
        <v>1015781</v>
      </c>
      <c r="E3090" s="284">
        <f t="shared" si="48"/>
        <v>117485451</v>
      </c>
      <c r="F3090" s="40" t="s">
        <v>10</v>
      </c>
      <c r="G3090" s="8" t="s">
        <v>446</v>
      </c>
      <c r="H3090" s="8" t="s">
        <v>3283</v>
      </c>
      <c r="I3090" s="153"/>
    </row>
    <row r="3091" spans="1:9" s="8" customFormat="1">
      <c r="A3091" s="13"/>
      <c r="B3091" s="8" t="s">
        <v>6962</v>
      </c>
      <c r="C3091" s="290">
        <v>0</v>
      </c>
      <c r="D3091" s="290">
        <v>1525850</v>
      </c>
      <c r="E3091" s="284">
        <f t="shared" si="48"/>
        <v>119011301</v>
      </c>
      <c r="F3091" s="40" t="s">
        <v>10</v>
      </c>
      <c r="G3091" s="8" t="s">
        <v>446</v>
      </c>
      <c r="H3091" s="8" t="s">
        <v>3283</v>
      </c>
      <c r="I3091" s="153"/>
    </row>
    <row r="3092" spans="1:9" s="8" customFormat="1">
      <c r="A3092" s="13"/>
      <c r="B3092" s="8" t="s">
        <v>6963</v>
      </c>
      <c r="C3092" s="290">
        <v>0</v>
      </c>
      <c r="D3092" s="290">
        <v>1267980</v>
      </c>
      <c r="E3092" s="284">
        <f t="shared" si="48"/>
        <v>120279281</v>
      </c>
      <c r="F3092" s="40" t="s">
        <v>10</v>
      </c>
      <c r="G3092" s="8" t="s">
        <v>446</v>
      </c>
      <c r="H3092" s="8" t="s">
        <v>3283</v>
      </c>
      <c r="I3092" s="153"/>
    </row>
    <row r="3093" spans="1:9" s="8" customFormat="1">
      <c r="A3093" s="13"/>
      <c r="B3093" s="8" t="s">
        <v>6964</v>
      </c>
      <c r="C3093" s="290">
        <v>0</v>
      </c>
      <c r="D3093" s="290">
        <v>590100</v>
      </c>
      <c r="E3093" s="284">
        <f t="shared" si="48"/>
        <v>120869381</v>
      </c>
      <c r="F3093" s="40" t="s">
        <v>10</v>
      </c>
      <c r="G3093" s="8" t="s">
        <v>446</v>
      </c>
      <c r="H3093" s="8" t="s">
        <v>3283</v>
      </c>
      <c r="I3093" s="153"/>
    </row>
    <row r="3094" spans="1:9" s="8" customFormat="1">
      <c r="A3094" s="13"/>
      <c r="B3094" s="8" t="s">
        <v>6965</v>
      </c>
      <c r="C3094" s="290">
        <v>0</v>
      </c>
      <c r="D3094" s="290">
        <v>146300</v>
      </c>
      <c r="E3094" s="284">
        <f t="shared" si="48"/>
        <v>121015681</v>
      </c>
      <c r="F3094" s="40" t="s">
        <v>10</v>
      </c>
      <c r="G3094" s="8" t="s">
        <v>446</v>
      </c>
      <c r="H3094" s="8" t="s">
        <v>3283</v>
      </c>
      <c r="I3094" s="153"/>
    </row>
    <row r="3095" spans="1:9" s="8" customFormat="1">
      <c r="A3095" s="13"/>
      <c r="B3095" s="8" t="s">
        <v>6966</v>
      </c>
      <c r="C3095" s="290">
        <v>0</v>
      </c>
      <c r="D3095" s="290">
        <v>2214620</v>
      </c>
      <c r="E3095" s="284">
        <f t="shared" si="48"/>
        <v>123230301</v>
      </c>
      <c r="F3095" s="40" t="s">
        <v>10</v>
      </c>
      <c r="G3095" s="8" t="s">
        <v>446</v>
      </c>
      <c r="H3095" s="8" t="s">
        <v>3283</v>
      </c>
      <c r="I3095" s="153"/>
    </row>
    <row r="3096" spans="1:9" s="8" customFormat="1">
      <c r="A3096" s="13"/>
      <c r="B3096" s="8" t="s">
        <v>6967</v>
      </c>
      <c r="C3096" s="290">
        <v>0</v>
      </c>
      <c r="D3096" s="290">
        <v>2214620</v>
      </c>
      <c r="E3096" s="284">
        <f t="shared" si="48"/>
        <v>125444921</v>
      </c>
      <c r="F3096" s="40" t="s">
        <v>10</v>
      </c>
      <c r="G3096" s="8" t="s">
        <v>446</v>
      </c>
      <c r="H3096" s="8" t="s">
        <v>3283</v>
      </c>
      <c r="I3096" s="153"/>
    </row>
    <row r="3097" spans="1:9" s="8" customFormat="1">
      <c r="A3097" s="13"/>
      <c r="B3097" s="8" t="s">
        <v>6968</v>
      </c>
      <c r="C3097" s="290">
        <v>0</v>
      </c>
      <c r="D3097" s="290">
        <v>2621818</v>
      </c>
      <c r="E3097" s="284">
        <f t="shared" si="48"/>
        <v>128066739</v>
      </c>
      <c r="F3097" s="40" t="s">
        <v>10</v>
      </c>
      <c r="G3097" s="8" t="s">
        <v>446</v>
      </c>
      <c r="H3097" s="8" t="s">
        <v>3283</v>
      </c>
      <c r="I3097" s="153"/>
    </row>
    <row r="3098" spans="1:9" s="8" customFormat="1">
      <c r="A3098" s="13"/>
      <c r="B3098" s="8" t="s">
        <v>6969</v>
      </c>
      <c r="C3098" s="290">
        <v>0</v>
      </c>
      <c r="D3098" s="290">
        <v>4036650</v>
      </c>
      <c r="E3098" s="284">
        <f t="shared" si="48"/>
        <v>132103389</v>
      </c>
      <c r="F3098" s="40" t="s">
        <v>10</v>
      </c>
      <c r="G3098" s="8" t="s">
        <v>446</v>
      </c>
      <c r="H3098" s="8" t="s">
        <v>3283</v>
      </c>
      <c r="I3098" s="153"/>
    </row>
    <row r="3099" spans="1:9" s="8" customFormat="1">
      <c r="A3099" s="13"/>
      <c r="B3099" s="8" t="s">
        <v>6970</v>
      </c>
      <c r="C3099" s="290">
        <v>0</v>
      </c>
      <c r="D3099" s="290">
        <v>1776200</v>
      </c>
      <c r="E3099" s="284">
        <f t="shared" si="48"/>
        <v>133879589</v>
      </c>
      <c r="F3099" s="40" t="s">
        <v>10</v>
      </c>
      <c r="G3099" s="8" t="s">
        <v>446</v>
      </c>
      <c r="H3099" s="8" t="s">
        <v>3283</v>
      </c>
      <c r="I3099" s="153"/>
    </row>
    <row r="3100" spans="1:9" s="8" customFormat="1">
      <c r="A3100" s="13"/>
      <c r="B3100" s="8" t="s">
        <v>6971</v>
      </c>
      <c r="C3100" s="290">
        <v>0</v>
      </c>
      <c r="D3100" s="290">
        <v>1004509</v>
      </c>
      <c r="E3100" s="284">
        <f t="shared" si="48"/>
        <v>134884098</v>
      </c>
      <c r="F3100" s="40" t="s">
        <v>10</v>
      </c>
      <c r="G3100" s="8" t="s">
        <v>446</v>
      </c>
      <c r="H3100" s="8" t="s">
        <v>3283</v>
      </c>
      <c r="I3100" s="153"/>
    </row>
    <row r="3101" spans="1:9" s="8" customFormat="1">
      <c r="A3101" s="13"/>
      <c r="B3101" s="8" t="s">
        <v>6972</v>
      </c>
      <c r="C3101" s="290">
        <v>0</v>
      </c>
      <c r="D3101" s="290">
        <v>2214620</v>
      </c>
      <c r="E3101" s="284">
        <f t="shared" si="48"/>
        <v>137098718</v>
      </c>
      <c r="F3101" s="40" t="s">
        <v>10</v>
      </c>
      <c r="G3101" s="8" t="s">
        <v>446</v>
      </c>
      <c r="H3101" s="8" t="s">
        <v>3283</v>
      </c>
      <c r="I3101" s="153"/>
    </row>
    <row r="3102" spans="1:9" s="8" customFormat="1">
      <c r="A3102" s="13"/>
      <c r="B3102" s="8" t="s">
        <v>6973</v>
      </c>
      <c r="C3102" s="290">
        <v>0</v>
      </c>
      <c r="D3102" s="290">
        <v>2492798</v>
      </c>
      <c r="E3102" s="284">
        <f t="shared" si="48"/>
        <v>139591516</v>
      </c>
      <c r="F3102" s="40" t="s">
        <v>10</v>
      </c>
      <c r="G3102" s="8" t="s">
        <v>446</v>
      </c>
      <c r="H3102" s="8" t="s">
        <v>3470</v>
      </c>
      <c r="I3102" s="153"/>
    </row>
    <row r="3103" spans="1:9" s="8" customFormat="1">
      <c r="A3103" s="13"/>
      <c r="B3103" s="8" t="s">
        <v>6974</v>
      </c>
      <c r="C3103" s="290">
        <v>0</v>
      </c>
      <c r="D3103" s="290">
        <v>2492798</v>
      </c>
      <c r="E3103" s="284">
        <f t="shared" si="48"/>
        <v>142084314</v>
      </c>
      <c r="F3103" s="40" t="s">
        <v>10</v>
      </c>
      <c r="G3103" s="8" t="s">
        <v>446</v>
      </c>
      <c r="H3103" s="8" t="s">
        <v>3470</v>
      </c>
      <c r="I3103" s="153"/>
    </row>
    <row r="3104" spans="1:9" s="8" customFormat="1">
      <c r="A3104" s="13"/>
      <c r="B3104" s="8" t="s">
        <v>7020</v>
      </c>
      <c r="C3104" s="290">
        <v>0</v>
      </c>
      <c r="D3104" s="290">
        <v>762769</v>
      </c>
      <c r="E3104" s="284">
        <f t="shared" si="48"/>
        <v>142847083</v>
      </c>
      <c r="F3104" s="40" t="s">
        <v>10</v>
      </c>
      <c r="G3104" s="8" t="s">
        <v>446</v>
      </c>
      <c r="H3104" s="8" t="s">
        <v>3470</v>
      </c>
      <c r="I3104" s="153"/>
    </row>
    <row r="3105" spans="1:9" s="8" customFormat="1">
      <c r="A3105" s="13"/>
      <c r="B3105" s="8" t="s">
        <v>6975</v>
      </c>
      <c r="C3105" s="290">
        <v>0</v>
      </c>
      <c r="D3105" s="290">
        <v>594517</v>
      </c>
      <c r="E3105" s="284">
        <f t="shared" si="48"/>
        <v>143441600</v>
      </c>
      <c r="F3105" s="40" t="s">
        <v>10</v>
      </c>
      <c r="G3105" s="8" t="s">
        <v>446</v>
      </c>
      <c r="H3105" s="8" t="s">
        <v>3283</v>
      </c>
      <c r="I3105" s="153"/>
    </row>
    <row r="3106" spans="1:9" s="8" customFormat="1">
      <c r="A3106" s="13"/>
      <c r="B3106" s="8" t="s">
        <v>6970</v>
      </c>
      <c r="C3106" s="290">
        <v>0</v>
      </c>
      <c r="D3106" s="290">
        <v>1185059</v>
      </c>
      <c r="E3106" s="284">
        <f t="shared" si="48"/>
        <v>144626659</v>
      </c>
      <c r="F3106" s="40" t="s">
        <v>10</v>
      </c>
      <c r="G3106" s="8" t="s">
        <v>446</v>
      </c>
      <c r="H3106" s="8" t="s">
        <v>3470</v>
      </c>
      <c r="I3106" s="153"/>
    </row>
    <row r="3107" spans="1:9" s="8" customFormat="1">
      <c r="A3107" s="13"/>
      <c r="B3107" s="8" t="s">
        <v>6976</v>
      </c>
      <c r="C3107" s="290">
        <v>0</v>
      </c>
      <c r="D3107" s="290">
        <v>837025</v>
      </c>
      <c r="E3107" s="284">
        <f t="shared" si="48"/>
        <v>145463684</v>
      </c>
      <c r="F3107" s="40" t="s">
        <v>10</v>
      </c>
      <c r="G3107" s="8" t="s">
        <v>446</v>
      </c>
      <c r="H3107" s="8" t="s">
        <v>4086</v>
      </c>
      <c r="I3107" s="153"/>
    </row>
    <row r="3108" spans="1:9" s="8" customFormat="1">
      <c r="A3108" s="13"/>
      <c r="B3108" s="8" t="s">
        <v>6977</v>
      </c>
      <c r="C3108" s="290">
        <v>0</v>
      </c>
      <c r="D3108" s="290">
        <v>1297195</v>
      </c>
      <c r="E3108" s="284">
        <f t="shared" si="48"/>
        <v>146760879</v>
      </c>
      <c r="F3108" s="40" t="s">
        <v>10</v>
      </c>
      <c r="G3108" s="8" t="s">
        <v>446</v>
      </c>
      <c r="H3108" s="8" t="s">
        <v>4095</v>
      </c>
      <c r="I3108" s="153"/>
    </row>
    <row r="3109" spans="1:9" s="8" customFormat="1">
      <c r="A3109" s="13"/>
      <c r="B3109" s="8" t="s">
        <v>6978</v>
      </c>
      <c r="C3109" s="290">
        <v>0</v>
      </c>
      <c r="D3109" s="290">
        <v>1236580</v>
      </c>
      <c r="E3109" s="284">
        <f t="shared" si="48"/>
        <v>147997459</v>
      </c>
      <c r="F3109" s="40" t="s">
        <v>10</v>
      </c>
      <c r="G3109" s="8" t="s">
        <v>446</v>
      </c>
      <c r="H3109" s="8" t="s">
        <v>4095</v>
      </c>
      <c r="I3109" s="153"/>
    </row>
    <row r="3110" spans="1:9" s="8" customFormat="1">
      <c r="A3110" s="13"/>
      <c r="B3110" s="8" t="s">
        <v>6979</v>
      </c>
      <c r="C3110" s="290">
        <v>0</v>
      </c>
      <c r="D3110" s="290">
        <v>1307172</v>
      </c>
      <c r="E3110" s="284">
        <f t="shared" si="48"/>
        <v>149304631</v>
      </c>
      <c r="F3110" s="40" t="s">
        <v>10</v>
      </c>
      <c r="G3110" s="8" t="s">
        <v>446</v>
      </c>
      <c r="H3110" s="8" t="s">
        <v>4095</v>
      </c>
      <c r="I3110" s="153"/>
    </row>
    <row r="3111" spans="1:9" s="8" customFormat="1">
      <c r="A3111" s="13"/>
      <c r="B3111" s="8" t="s">
        <v>6980</v>
      </c>
      <c r="C3111" s="290">
        <v>0</v>
      </c>
      <c r="D3111" s="290">
        <v>1554514</v>
      </c>
      <c r="E3111" s="284">
        <f t="shared" si="48"/>
        <v>150859145</v>
      </c>
      <c r="F3111" s="40" t="s">
        <v>10</v>
      </c>
      <c r="G3111" s="8" t="s">
        <v>446</v>
      </c>
      <c r="H3111" s="8" t="s">
        <v>4095</v>
      </c>
      <c r="I3111" s="153"/>
    </row>
    <row r="3112" spans="1:9" s="8" customFormat="1">
      <c r="A3112" s="13"/>
      <c r="B3112" s="8" t="s">
        <v>6981</v>
      </c>
      <c r="C3112" s="290">
        <v>0</v>
      </c>
      <c r="D3112" s="290">
        <v>1567309</v>
      </c>
      <c r="E3112" s="284">
        <f t="shared" si="48"/>
        <v>152426454</v>
      </c>
      <c r="F3112" s="40" t="s">
        <v>10</v>
      </c>
      <c r="G3112" s="8" t="s">
        <v>446</v>
      </c>
      <c r="H3112" s="8" t="s">
        <v>4095</v>
      </c>
      <c r="I3112" s="153"/>
    </row>
    <row r="3113" spans="1:9" s="8" customFormat="1">
      <c r="A3113" s="13"/>
      <c r="B3113" s="8" t="s">
        <v>6982</v>
      </c>
      <c r="C3113" s="290">
        <v>0</v>
      </c>
      <c r="D3113" s="290">
        <v>1567309</v>
      </c>
      <c r="E3113" s="284">
        <f t="shared" si="48"/>
        <v>153993763</v>
      </c>
      <c r="F3113" s="40" t="s">
        <v>10</v>
      </c>
      <c r="G3113" s="8" t="s">
        <v>446</v>
      </c>
      <c r="H3113" s="8" t="s">
        <v>4095</v>
      </c>
      <c r="I3113" s="153"/>
    </row>
    <row r="3114" spans="1:9" s="8" customFormat="1">
      <c r="A3114" s="13"/>
      <c r="B3114" s="8" t="s">
        <v>6983</v>
      </c>
      <c r="C3114" s="290">
        <v>0</v>
      </c>
      <c r="D3114" s="290">
        <v>756551</v>
      </c>
      <c r="E3114" s="284">
        <f t="shared" si="48"/>
        <v>154750314</v>
      </c>
      <c r="F3114" s="40" t="s">
        <v>10</v>
      </c>
      <c r="G3114" s="8" t="s">
        <v>446</v>
      </c>
      <c r="H3114" s="8" t="s">
        <v>4095</v>
      </c>
      <c r="I3114" s="153"/>
    </row>
    <row r="3115" spans="1:9" s="8" customFormat="1">
      <c r="A3115" s="13"/>
      <c r="B3115" s="8" t="s">
        <v>6984</v>
      </c>
      <c r="C3115" s="290">
        <v>0</v>
      </c>
      <c r="D3115" s="290">
        <v>756551</v>
      </c>
      <c r="E3115" s="284">
        <f t="shared" si="48"/>
        <v>155506865</v>
      </c>
      <c r="F3115" s="40" t="s">
        <v>10</v>
      </c>
      <c r="G3115" s="8" t="s">
        <v>446</v>
      </c>
      <c r="H3115" s="8" t="s">
        <v>4095</v>
      </c>
      <c r="I3115" s="153"/>
    </row>
    <row r="3116" spans="1:9" s="8" customFormat="1">
      <c r="A3116" s="13"/>
      <c r="B3116" s="8" t="s">
        <v>6985</v>
      </c>
      <c r="C3116" s="290">
        <v>0</v>
      </c>
      <c r="D3116" s="290">
        <v>711611</v>
      </c>
      <c r="E3116" s="284">
        <f t="shared" si="48"/>
        <v>156218476</v>
      </c>
      <c r="F3116" s="40" t="s">
        <v>10</v>
      </c>
      <c r="G3116" s="8" t="s">
        <v>446</v>
      </c>
      <c r="H3116" s="8" t="s">
        <v>4095</v>
      </c>
      <c r="I3116" s="153"/>
    </row>
    <row r="3117" spans="1:9" s="8" customFormat="1">
      <c r="A3117" s="13"/>
      <c r="B3117" s="8" t="s">
        <v>6986</v>
      </c>
      <c r="C3117" s="290">
        <v>0</v>
      </c>
      <c r="D3117" s="290">
        <v>1853050</v>
      </c>
      <c r="E3117" s="284">
        <f t="shared" si="48"/>
        <v>158071526</v>
      </c>
      <c r="F3117" s="40" t="s">
        <v>10</v>
      </c>
      <c r="G3117" s="8" t="s">
        <v>446</v>
      </c>
      <c r="H3117" s="8" t="s">
        <v>4095</v>
      </c>
      <c r="I3117" s="153"/>
    </row>
    <row r="3118" spans="1:9" s="8" customFormat="1">
      <c r="A3118" s="13"/>
      <c r="B3118" s="8" t="s">
        <v>6987</v>
      </c>
      <c r="C3118" s="290">
        <v>0</v>
      </c>
      <c r="D3118" s="290">
        <v>1916050</v>
      </c>
      <c r="E3118" s="284">
        <f t="shared" si="48"/>
        <v>159987576</v>
      </c>
      <c r="F3118" s="40" t="s">
        <v>10</v>
      </c>
      <c r="G3118" s="8" t="s">
        <v>446</v>
      </c>
      <c r="H3118" s="8" t="s">
        <v>4095</v>
      </c>
      <c r="I3118" s="153"/>
    </row>
    <row r="3119" spans="1:9" s="8" customFormat="1">
      <c r="A3119" s="13"/>
      <c r="B3119" s="8" t="s">
        <v>6988</v>
      </c>
      <c r="C3119" s="290">
        <v>0</v>
      </c>
      <c r="D3119" s="290">
        <v>575500</v>
      </c>
      <c r="E3119" s="284">
        <f t="shared" si="48"/>
        <v>160563076</v>
      </c>
      <c r="F3119" s="40" t="s">
        <v>10</v>
      </c>
      <c r="G3119" s="8" t="s">
        <v>446</v>
      </c>
      <c r="H3119" s="8" t="s">
        <v>4095</v>
      </c>
      <c r="I3119" s="153"/>
    </row>
    <row r="3120" spans="1:9" s="8" customFormat="1">
      <c r="A3120" s="13"/>
      <c r="B3120" s="8" t="s">
        <v>6989</v>
      </c>
      <c r="C3120" s="290">
        <v>0</v>
      </c>
      <c r="D3120" s="290">
        <v>680781</v>
      </c>
      <c r="E3120" s="284">
        <f t="shared" si="48"/>
        <v>161243857</v>
      </c>
      <c r="F3120" s="40" t="s">
        <v>10</v>
      </c>
      <c r="G3120" s="8" t="s">
        <v>446</v>
      </c>
      <c r="H3120" s="8" t="s">
        <v>4095</v>
      </c>
      <c r="I3120" s="153"/>
    </row>
    <row r="3121" spans="1:9" s="8" customFormat="1">
      <c r="A3121" s="13"/>
      <c r="B3121" s="8" t="s">
        <v>6990</v>
      </c>
      <c r="C3121" s="290">
        <v>0</v>
      </c>
      <c r="D3121" s="290">
        <v>303524</v>
      </c>
      <c r="E3121" s="284">
        <f t="shared" si="48"/>
        <v>161547381</v>
      </c>
      <c r="F3121" s="40" t="s">
        <v>1643</v>
      </c>
      <c r="G3121" s="8" t="s">
        <v>5</v>
      </c>
      <c r="H3121" s="8" t="s">
        <v>1634</v>
      </c>
      <c r="I3121" s="153"/>
    </row>
    <row r="3122" spans="1:9" s="8" customFormat="1">
      <c r="A3122" s="13"/>
      <c r="B3122" s="8" t="s">
        <v>6991</v>
      </c>
      <c r="C3122" s="290">
        <v>0</v>
      </c>
      <c r="D3122" s="290">
        <v>713999</v>
      </c>
      <c r="E3122" s="284">
        <f t="shared" si="48"/>
        <v>162261380</v>
      </c>
      <c r="F3122" s="40" t="s">
        <v>10</v>
      </c>
      <c r="G3122" s="8" t="s">
        <v>446</v>
      </c>
      <c r="H3122" s="8" t="s">
        <v>4096</v>
      </c>
      <c r="I3122" s="153"/>
    </row>
    <row r="3123" spans="1:9" s="8" customFormat="1">
      <c r="A3123" s="13"/>
      <c r="B3123" s="8" t="s">
        <v>6992</v>
      </c>
      <c r="C3123" s="290">
        <v>0</v>
      </c>
      <c r="D3123" s="290">
        <v>713999</v>
      </c>
      <c r="E3123" s="284">
        <f t="shared" si="48"/>
        <v>162975379</v>
      </c>
      <c r="F3123" s="40" t="s">
        <v>10</v>
      </c>
      <c r="G3123" s="8" t="s">
        <v>446</v>
      </c>
      <c r="H3123" s="8" t="s">
        <v>4096</v>
      </c>
      <c r="I3123" s="153"/>
    </row>
    <row r="3124" spans="1:9" s="8" customFormat="1">
      <c r="A3124" s="13"/>
      <c r="B3124" s="8" t="s">
        <v>6993</v>
      </c>
      <c r="C3124" s="290">
        <v>0</v>
      </c>
      <c r="D3124" s="290">
        <v>609400</v>
      </c>
      <c r="E3124" s="284">
        <f t="shared" si="48"/>
        <v>163584779</v>
      </c>
      <c r="F3124" s="40" t="s">
        <v>10</v>
      </c>
      <c r="G3124" s="8" t="s">
        <v>446</v>
      </c>
      <c r="H3124" s="8" t="s">
        <v>4092</v>
      </c>
      <c r="I3124" s="153"/>
    </row>
    <row r="3125" spans="1:9" s="8" customFormat="1">
      <c r="A3125" s="13"/>
      <c r="B3125" s="8" t="s">
        <v>6994</v>
      </c>
      <c r="C3125" s="290">
        <v>0</v>
      </c>
      <c r="D3125" s="290">
        <v>816529</v>
      </c>
      <c r="E3125" s="284">
        <f t="shared" si="48"/>
        <v>164401308</v>
      </c>
      <c r="F3125" s="40" t="s">
        <v>10</v>
      </c>
      <c r="G3125" s="8" t="s">
        <v>446</v>
      </c>
      <c r="H3125" s="8" t="s">
        <v>4096</v>
      </c>
      <c r="I3125" s="153"/>
    </row>
    <row r="3126" spans="1:9" s="8" customFormat="1">
      <c r="A3126" s="13"/>
      <c r="B3126" s="8" t="s">
        <v>6995</v>
      </c>
      <c r="C3126" s="290">
        <v>0</v>
      </c>
      <c r="D3126" s="290">
        <v>1177500</v>
      </c>
      <c r="E3126" s="284">
        <f t="shared" si="48"/>
        <v>165578808</v>
      </c>
      <c r="F3126" s="40" t="s">
        <v>10</v>
      </c>
      <c r="G3126" s="8" t="s">
        <v>446</v>
      </c>
      <c r="H3126" s="8" t="s">
        <v>6101</v>
      </c>
      <c r="I3126" s="153"/>
    </row>
    <row r="3127" spans="1:9" s="8" customFormat="1">
      <c r="A3127" s="13"/>
      <c r="B3127" s="8" t="s">
        <v>6996</v>
      </c>
      <c r="C3127" s="290">
        <v>0</v>
      </c>
      <c r="D3127" s="290">
        <v>554160</v>
      </c>
      <c r="E3127" s="284">
        <f t="shared" si="48"/>
        <v>166132968</v>
      </c>
      <c r="F3127" s="40" t="s">
        <v>10</v>
      </c>
      <c r="G3127" s="8" t="s">
        <v>446</v>
      </c>
      <c r="H3127" s="8" t="s">
        <v>6101</v>
      </c>
      <c r="I3127" s="153"/>
    </row>
    <row r="3128" spans="1:9" s="8" customFormat="1">
      <c r="A3128" s="13"/>
      <c r="B3128" s="8" t="s">
        <v>6997</v>
      </c>
      <c r="C3128" s="290">
        <v>0</v>
      </c>
      <c r="D3128" s="290">
        <v>554160</v>
      </c>
      <c r="E3128" s="284">
        <f t="shared" si="48"/>
        <v>166687128</v>
      </c>
      <c r="F3128" s="40" t="s">
        <v>10</v>
      </c>
      <c r="G3128" s="8" t="s">
        <v>446</v>
      </c>
      <c r="H3128" s="8" t="s">
        <v>6101</v>
      </c>
      <c r="I3128" s="153"/>
    </row>
    <row r="3129" spans="1:9" s="8" customFormat="1">
      <c r="A3129" s="13"/>
      <c r="B3129" s="8" t="s">
        <v>6998</v>
      </c>
      <c r="C3129" s="290">
        <v>0</v>
      </c>
      <c r="D3129" s="290">
        <v>554160</v>
      </c>
      <c r="E3129" s="284">
        <f t="shared" si="48"/>
        <v>167241288</v>
      </c>
      <c r="F3129" s="40" t="s">
        <v>10</v>
      </c>
      <c r="G3129" s="8" t="s">
        <v>446</v>
      </c>
      <c r="H3129" s="8" t="s">
        <v>6101</v>
      </c>
      <c r="I3129" s="153"/>
    </row>
    <row r="3130" spans="1:9" s="8" customFormat="1">
      <c r="A3130" s="13"/>
      <c r="B3130" s="8" t="s">
        <v>6999</v>
      </c>
      <c r="C3130" s="290">
        <v>0</v>
      </c>
      <c r="D3130" s="290">
        <v>554160</v>
      </c>
      <c r="E3130" s="284">
        <f t="shared" si="48"/>
        <v>167795448</v>
      </c>
      <c r="F3130" s="40" t="s">
        <v>10</v>
      </c>
      <c r="G3130" s="8" t="s">
        <v>446</v>
      </c>
      <c r="H3130" s="8" t="s">
        <v>6101</v>
      </c>
      <c r="I3130" s="153"/>
    </row>
    <row r="3131" spans="1:9" s="8" customFormat="1">
      <c r="A3131" s="13"/>
      <c r="B3131" s="8" t="s">
        <v>7000</v>
      </c>
      <c r="C3131" s="290">
        <v>0</v>
      </c>
      <c r="D3131" s="290">
        <v>554160</v>
      </c>
      <c r="E3131" s="284">
        <f t="shared" si="48"/>
        <v>168349608</v>
      </c>
      <c r="F3131" s="40" t="s">
        <v>10</v>
      </c>
      <c r="G3131" s="8" t="s">
        <v>446</v>
      </c>
      <c r="H3131" s="8" t="s">
        <v>6101</v>
      </c>
      <c r="I3131" s="153"/>
    </row>
    <row r="3132" spans="1:9" s="8" customFormat="1">
      <c r="A3132" s="13"/>
      <c r="B3132" s="8" t="s">
        <v>7001</v>
      </c>
      <c r="C3132" s="290">
        <v>0</v>
      </c>
      <c r="D3132" s="290">
        <v>632575</v>
      </c>
      <c r="E3132" s="284">
        <f t="shared" si="48"/>
        <v>168982183</v>
      </c>
      <c r="F3132" s="40" t="s">
        <v>10</v>
      </c>
      <c r="G3132" s="8" t="s">
        <v>446</v>
      </c>
      <c r="H3132" s="8" t="s">
        <v>6472</v>
      </c>
      <c r="I3132" s="153"/>
    </row>
    <row r="3133" spans="1:9" s="8" customFormat="1">
      <c r="A3133" s="13"/>
      <c r="B3133" s="8" t="s">
        <v>7021</v>
      </c>
      <c r="C3133" s="290">
        <v>0</v>
      </c>
      <c r="D3133" s="290">
        <v>3213248</v>
      </c>
      <c r="E3133" s="284">
        <f t="shared" si="48"/>
        <v>172195431</v>
      </c>
      <c r="F3133" s="40" t="s">
        <v>1643</v>
      </c>
      <c r="G3133" s="8" t="s">
        <v>5</v>
      </c>
      <c r="H3133" s="8" t="s">
        <v>433</v>
      </c>
      <c r="I3133" s="153"/>
    </row>
    <row r="3134" spans="1:9" s="8" customFormat="1">
      <c r="A3134" s="13"/>
      <c r="B3134" s="8" t="s">
        <v>7022</v>
      </c>
      <c r="C3134" s="290">
        <v>0</v>
      </c>
      <c r="D3134" s="290">
        <v>3213248</v>
      </c>
      <c r="E3134" s="284">
        <f t="shared" si="48"/>
        <v>175408679</v>
      </c>
      <c r="F3134" s="40" t="s">
        <v>1643</v>
      </c>
      <c r="G3134" s="8" t="s">
        <v>5</v>
      </c>
      <c r="H3134" s="8" t="s">
        <v>433</v>
      </c>
      <c r="I3134" s="153"/>
    </row>
    <row r="3135" spans="1:9" s="8" customFormat="1">
      <c r="A3135" s="13"/>
      <c r="B3135" s="8" t="s">
        <v>7002</v>
      </c>
      <c r="C3135" s="290">
        <v>0</v>
      </c>
      <c r="D3135" s="290">
        <v>291433</v>
      </c>
      <c r="E3135" s="284">
        <f t="shared" si="48"/>
        <v>175700112</v>
      </c>
      <c r="F3135" s="40" t="s">
        <v>10</v>
      </c>
      <c r="G3135" s="8" t="s">
        <v>446</v>
      </c>
      <c r="H3135" s="8" t="s">
        <v>4096</v>
      </c>
      <c r="I3135" s="153"/>
    </row>
    <row r="3136" spans="1:9" s="8" customFormat="1">
      <c r="A3136" s="13"/>
      <c r="B3136" s="8" t="s">
        <v>7003</v>
      </c>
      <c r="C3136" s="290">
        <v>0</v>
      </c>
      <c r="D3136" s="290">
        <v>669675</v>
      </c>
      <c r="E3136" s="284">
        <f t="shared" si="48"/>
        <v>176369787</v>
      </c>
      <c r="F3136" s="40" t="s">
        <v>10</v>
      </c>
      <c r="G3136" s="8" t="s">
        <v>446</v>
      </c>
      <c r="H3136" s="8" t="s">
        <v>4096</v>
      </c>
      <c r="I3136" s="153"/>
    </row>
    <row r="3137" spans="1:9" s="8" customFormat="1">
      <c r="A3137" s="13"/>
      <c r="B3137" s="8" t="s">
        <v>7004</v>
      </c>
      <c r="C3137" s="290">
        <v>0</v>
      </c>
      <c r="D3137" s="290">
        <v>669675</v>
      </c>
      <c r="E3137" s="284">
        <f t="shared" si="48"/>
        <v>177039462</v>
      </c>
      <c r="F3137" s="40" t="s">
        <v>10</v>
      </c>
      <c r="G3137" s="8" t="s">
        <v>446</v>
      </c>
      <c r="H3137" s="8" t="s">
        <v>4096</v>
      </c>
      <c r="I3137" s="153"/>
    </row>
    <row r="3138" spans="1:9" s="8" customFormat="1">
      <c r="A3138" s="13"/>
      <c r="B3138" s="8" t="s">
        <v>7005</v>
      </c>
      <c r="C3138" s="290">
        <v>0</v>
      </c>
      <c r="D3138" s="290">
        <v>1539659</v>
      </c>
      <c r="E3138" s="284">
        <f t="shared" si="48"/>
        <v>178579121</v>
      </c>
      <c r="F3138" s="40" t="s">
        <v>10</v>
      </c>
      <c r="G3138" s="8" t="s">
        <v>446</v>
      </c>
      <c r="H3138" s="8" t="s">
        <v>4096</v>
      </c>
      <c r="I3138" s="153"/>
    </row>
    <row r="3139" spans="1:9" s="8" customFormat="1">
      <c r="A3139" s="13"/>
      <c r="B3139" s="8" t="s">
        <v>7006</v>
      </c>
      <c r="C3139" s="290">
        <v>0</v>
      </c>
      <c r="D3139" s="290">
        <v>1746814</v>
      </c>
      <c r="E3139" s="284">
        <f t="shared" si="48"/>
        <v>180325935</v>
      </c>
      <c r="F3139" s="40" t="s">
        <v>10</v>
      </c>
      <c r="G3139" s="8" t="s">
        <v>446</v>
      </c>
      <c r="H3139" s="8" t="s">
        <v>4096</v>
      </c>
      <c r="I3139" s="153"/>
    </row>
    <row r="3140" spans="1:9" s="8" customFormat="1">
      <c r="A3140" s="13"/>
      <c r="B3140" s="8" t="s">
        <v>7007</v>
      </c>
      <c r="C3140" s="290">
        <v>0</v>
      </c>
      <c r="D3140" s="290">
        <v>959687</v>
      </c>
      <c r="E3140" s="284">
        <f t="shared" si="48"/>
        <v>181285622</v>
      </c>
      <c r="F3140" s="40" t="s">
        <v>10</v>
      </c>
      <c r="G3140" s="8" t="s">
        <v>446</v>
      </c>
      <c r="H3140" s="8" t="s">
        <v>4096</v>
      </c>
      <c r="I3140" s="153"/>
    </row>
    <row r="3141" spans="1:9" s="8" customFormat="1">
      <c r="A3141" s="13"/>
      <c r="B3141" s="8" t="s">
        <v>7008</v>
      </c>
      <c r="C3141" s="290">
        <v>0</v>
      </c>
      <c r="D3141" s="290">
        <v>1177500</v>
      </c>
      <c r="E3141" s="284">
        <f t="shared" si="48"/>
        <v>182463122</v>
      </c>
      <c r="F3141" s="40" t="s">
        <v>10</v>
      </c>
      <c r="G3141" s="8" t="s">
        <v>446</v>
      </c>
      <c r="H3141" s="8" t="s">
        <v>6101</v>
      </c>
      <c r="I3141" s="153"/>
    </row>
    <row r="3142" spans="1:9" s="8" customFormat="1">
      <c r="A3142" s="13"/>
      <c r="B3142" s="8" t="s">
        <v>7009</v>
      </c>
      <c r="C3142" s="290">
        <v>0</v>
      </c>
      <c r="D3142" s="290">
        <v>1177500</v>
      </c>
      <c r="E3142" s="284">
        <f t="shared" si="48"/>
        <v>183640622</v>
      </c>
      <c r="F3142" s="40" t="s">
        <v>10</v>
      </c>
      <c r="G3142" s="8" t="s">
        <v>446</v>
      </c>
      <c r="H3142" s="8" t="s">
        <v>6101</v>
      </c>
      <c r="I3142" s="153"/>
    </row>
    <row r="3143" spans="1:9" s="8" customFormat="1">
      <c r="A3143" s="13"/>
      <c r="B3143" s="8" t="s">
        <v>7010</v>
      </c>
      <c r="C3143" s="290">
        <v>0</v>
      </c>
      <c r="D3143" s="290">
        <v>1177500</v>
      </c>
      <c r="E3143" s="284">
        <f t="shared" ref="E3143:E3226" si="49">E3142-C3143+D3143</f>
        <v>184818122</v>
      </c>
      <c r="F3143" s="40" t="s">
        <v>10</v>
      </c>
      <c r="G3143" s="8" t="s">
        <v>446</v>
      </c>
      <c r="H3143" s="8" t="s">
        <v>6101</v>
      </c>
      <c r="I3143" s="153"/>
    </row>
    <row r="3144" spans="1:9" s="8" customFormat="1">
      <c r="A3144" s="13"/>
      <c r="B3144" s="8" t="s">
        <v>7011</v>
      </c>
      <c r="C3144" s="290">
        <v>0</v>
      </c>
      <c r="D3144" s="290">
        <v>1418400</v>
      </c>
      <c r="E3144" s="284">
        <f t="shared" si="49"/>
        <v>186236522</v>
      </c>
      <c r="F3144" s="40" t="s">
        <v>1643</v>
      </c>
      <c r="G3144" s="8" t="s">
        <v>5</v>
      </c>
      <c r="H3144" s="8" t="s">
        <v>1634</v>
      </c>
      <c r="I3144" s="153"/>
    </row>
    <row r="3145" spans="1:9" s="8" customFormat="1">
      <c r="A3145" s="13"/>
      <c r="B3145" s="8" t="s">
        <v>7023</v>
      </c>
      <c r="C3145" s="290">
        <v>0</v>
      </c>
      <c r="D3145" s="290">
        <v>723800</v>
      </c>
      <c r="E3145" s="284">
        <f t="shared" si="49"/>
        <v>186960322</v>
      </c>
      <c r="F3145" s="40" t="s">
        <v>10</v>
      </c>
      <c r="G3145" s="8" t="s">
        <v>446</v>
      </c>
      <c r="H3145" s="40" t="s">
        <v>4093</v>
      </c>
      <c r="I3145" s="153"/>
    </row>
    <row r="3146" spans="1:9" s="8" customFormat="1">
      <c r="A3146" s="13"/>
      <c r="B3146" s="8" t="s">
        <v>7012</v>
      </c>
      <c r="C3146" s="290">
        <v>0</v>
      </c>
      <c r="D3146" s="290">
        <v>1384880</v>
      </c>
      <c r="E3146" s="284">
        <f t="shared" si="49"/>
        <v>188345202</v>
      </c>
      <c r="F3146" s="40" t="s">
        <v>10</v>
      </c>
      <c r="G3146" s="8" t="s">
        <v>446</v>
      </c>
      <c r="H3146" s="8" t="s">
        <v>3475</v>
      </c>
      <c r="I3146" s="153"/>
    </row>
    <row r="3147" spans="1:9" s="8" customFormat="1">
      <c r="A3147" s="13"/>
      <c r="B3147" s="8" t="s">
        <v>7013</v>
      </c>
      <c r="C3147" s="290">
        <v>0</v>
      </c>
      <c r="D3147" s="290">
        <v>959687</v>
      </c>
      <c r="E3147" s="284">
        <f t="shared" si="49"/>
        <v>189304889</v>
      </c>
      <c r="F3147" s="40" t="s">
        <v>10</v>
      </c>
      <c r="G3147" s="8" t="s">
        <v>446</v>
      </c>
      <c r="H3147" s="8" t="s">
        <v>6472</v>
      </c>
      <c r="I3147" s="153"/>
    </row>
    <row r="3148" spans="1:9" s="8" customFormat="1">
      <c r="A3148" s="13"/>
      <c r="B3148" s="8" t="s">
        <v>7014</v>
      </c>
      <c r="C3148" s="290">
        <v>0</v>
      </c>
      <c r="D3148" s="290">
        <v>339718</v>
      </c>
      <c r="E3148" s="284">
        <f t="shared" si="49"/>
        <v>189644607</v>
      </c>
      <c r="F3148" s="40" t="s">
        <v>10</v>
      </c>
      <c r="G3148" s="8" t="s">
        <v>446</v>
      </c>
      <c r="H3148" s="8" t="s">
        <v>6472</v>
      </c>
      <c r="I3148" s="153"/>
    </row>
    <row r="3149" spans="1:9" s="8" customFormat="1">
      <c r="A3149" s="13"/>
      <c r="B3149" s="8" t="s">
        <v>7015</v>
      </c>
      <c r="C3149" s="290">
        <v>0</v>
      </c>
      <c r="D3149" s="290">
        <v>291433</v>
      </c>
      <c r="E3149" s="284">
        <f t="shared" si="49"/>
        <v>189936040</v>
      </c>
      <c r="F3149" s="40" t="s">
        <v>10</v>
      </c>
      <c r="G3149" s="8" t="s">
        <v>446</v>
      </c>
      <c r="H3149" s="8" t="s">
        <v>6472</v>
      </c>
      <c r="I3149" s="153"/>
    </row>
    <row r="3150" spans="1:9" s="8" customFormat="1">
      <c r="A3150" s="13"/>
      <c r="B3150" s="8" t="s">
        <v>7016</v>
      </c>
      <c r="C3150" s="290">
        <v>0</v>
      </c>
      <c r="D3150" s="290">
        <v>959687</v>
      </c>
      <c r="E3150" s="284">
        <f t="shared" si="49"/>
        <v>190895727</v>
      </c>
      <c r="F3150" s="40" t="s">
        <v>10</v>
      </c>
      <c r="G3150" s="8" t="s">
        <v>446</v>
      </c>
      <c r="H3150" s="8" t="s">
        <v>6472</v>
      </c>
      <c r="I3150" s="153"/>
    </row>
    <row r="3151" spans="1:9" s="8" customFormat="1">
      <c r="A3151" s="13"/>
      <c r="B3151" s="8" t="s">
        <v>7017</v>
      </c>
      <c r="C3151" s="290">
        <v>0</v>
      </c>
      <c r="D3151" s="290">
        <v>339718</v>
      </c>
      <c r="E3151" s="284">
        <f t="shared" si="49"/>
        <v>191235445</v>
      </c>
      <c r="F3151" s="40" t="s">
        <v>10</v>
      </c>
      <c r="G3151" s="8" t="s">
        <v>446</v>
      </c>
      <c r="H3151" s="8" t="s">
        <v>6472</v>
      </c>
      <c r="I3151" s="153"/>
    </row>
    <row r="3152" spans="1:9" s="8" customFormat="1">
      <c r="A3152" s="13"/>
      <c r="B3152" s="8" t="s">
        <v>7018</v>
      </c>
      <c r="C3152" s="290">
        <v>0</v>
      </c>
      <c r="D3152" s="290">
        <v>291433</v>
      </c>
      <c r="E3152" s="284">
        <f t="shared" si="49"/>
        <v>191526878</v>
      </c>
      <c r="F3152" s="40" t="s">
        <v>10</v>
      </c>
      <c r="G3152" s="8" t="s">
        <v>446</v>
      </c>
      <c r="H3152" s="8" t="s">
        <v>6472</v>
      </c>
      <c r="I3152" s="153"/>
    </row>
    <row r="3153" spans="1:9" s="8" customFormat="1">
      <c r="A3153" s="13"/>
      <c r="B3153" s="8" t="s">
        <v>7019</v>
      </c>
      <c r="C3153" s="290">
        <v>191526878</v>
      </c>
      <c r="D3153" s="290">
        <v>0</v>
      </c>
      <c r="E3153" s="284">
        <f t="shared" si="49"/>
        <v>0</v>
      </c>
      <c r="F3153" s="40" t="s">
        <v>10</v>
      </c>
      <c r="G3153" s="8" t="s">
        <v>99</v>
      </c>
      <c r="H3153" s="8" t="s">
        <v>2179</v>
      </c>
      <c r="I3153" s="153"/>
    </row>
    <row r="3154" spans="1:9" s="8" customFormat="1">
      <c r="A3154" s="13">
        <v>46036</v>
      </c>
      <c r="B3154" s="8" t="s">
        <v>7783</v>
      </c>
      <c r="C3154" s="290">
        <v>0</v>
      </c>
      <c r="D3154" s="290">
        <v>3595000</v>
      </c>
      <c r="E3154" s="290">
        <f t="shared" si="49"/>
        <v>3595000</v>
      </c>
      <c r="F3154" s="40" t="s">
        <v>6</v>
      </c>
      <c r="G3154" s="8" t="s">
        <v>13</v>
      </c>
      <c r="H3154" s="8" t="s">
        <v>30</v>
      </c>
      <c r="I3154" s="153"/>
    </row>
    <row r="3155" spans="1:9" s="8" customFormat="1">
      <c r="A3155" s="13">
        <v>46036</v>
      </c>
      <c r="B3155" s="8" t="s">
        <v>7785</v>
      </c>
      <c r="C3155" s="290">
        <v>660000</v>
      </c>
      <c r="D3155" s="290">
        <v>0</v>
      </c>
      <c r="E3155" s="290">
        <f t="shared" si="49"/>
        <v>2935000</v>
      </c>
      <c r="F3155" s="40" t="s">
        <v>62</v>
      </c>
      <c r="G3155" s="8" t="s">
        <v>30</v>
      </c>
      <c r="H3155" s="8" t="s">
        <v>26</v>
      </c>
      <c r="I3155" s="153"/>
    </row>
    <row r="3156" spans="1:9" s="8" customFormat="1">
      <c r="A3156" s="13">
        <v>46036</v>
      </c>
      <c r="B3156" s="8" t="s">
        <v>7786</v>
      </c>
      <c r="C3156" s="290">
        <v>1485000</v>
      </c>
      <c r="D3156" s="290">
        <v>0</v>
      </c>
      <c r="E3156" s="290">
        <f t="shared" si="49"/>
        <v>1450000</v>
      </c>
      <c r="F3156" s="40" t="s">
        <v>62</v>
      </c>
      <c r="G3156" s="8" t="s">
        <v>30</v>
      </c>
      <c r="H3156" s="8" t="s">
        <v>26</v>
      </c>
      <c r="I3156" s="153"/>
    </row>
    <row r="3157" spans="1:9" s="8" customFormat="1">
      <c r="A3157" s="13">
        <v>46036</v>
      </c>
      <c r="B3157" s="8" t="s">
        <v>7787</v>
      </c>
      <c r="C3157" s="290">
        <v>990000</v>
      </c>
      <c r="D3157" s="290">
        <v>0</v>
      </c>
      <c r="E3157" s="290">
        <f t="shared" si="49"/>
        <v>460000</v>
      </c>
      <c r="F3157" s="40" t="s">
        <v>62</v>
      </c>
      <c r="G3157" s="8" t="s">
        <v>30</v>
      </c>
      <c r="H3157" s="8" t="s">
        <v>26</v>
      </c>
      <c r="I3157" s="153"/>
    </row>
    <row r="3158" spans="1:9" s="8" customFormat="1">
      <c r="A3158" s="13">
        <v>46036</v>
      </c>
      <c r="B3158" s="8" t="s">
        <v>7788</v>
      </c>
      <c r="C3158" s="290">
        <v>460000</v>
      </c>
      <c r="D3158" s="290">
        <v>0</v>
      </c>
      <c r="E3158" s="290">
        <f t="shared" si="49"/>
        <v>0</v>
      </c>
      <c r="F3158" s="40" t="s">
        <v>62</v>
      </c>
      <c r="G3158" s="8" t="s">
        <v>30</v>
      </c>
      <c r="H3158" s="8" t="s">
        <v>26</v>
      </c>
      <c r="I3158" s="153"/>
    </row>
    <row r="3159" spans="1:9" s="8" customFormat="1">
      <c r="A3159" s="13">
        <v>46036</v>
      </c>
      <c r="B3159" s="8" t="s">
        <v>7784</v>
      </c>
      <c r="C3159" s="290">
        <v>0</v>
      </c>
      <c r="D3159" s="290">
        <v>7000000</v>
      </c>
      <c r="E3159" s="290">
        <f t="shared" si="49"/>
        <v>7000000</v>
      </c>
      <c r="F3159" s="40" t="s">
        <v>6</v>
      </c>
      <c r="G3159" s="8" t="s">
        <v>13</v>
      </c>
      <c r="H3159" s="8" t="s">
        <v>7772</v>
      </c>
      <c r="I3159" s="153"/>
    </row>
    <row r="3160" spans="1:9" s="8" customFormat="1">
      <c r="A3160" s="13">
        <v>46036</v>
      </c>
      <c r="B3160" s="8" t="s">
        <v>7771</v>
      </c>
      <c r="C3160" s="290">
        <v>3500000</v>
      </c>
      <c r="D3160" s="290">
        <v>0</v>
      </c>
      <c r="E3160" s="290">
        <f t="shared" si="49"/>
        <v>3500000</v>
      </c>
      <c r="F3160" s="40" t="s">
        <v>8</v>
      </c>
      <c r="G3160" s="8" t="s">
        <v>32</v>
      </c>
      <c r="H3160" s="8" t="s">
        <v>26</v>
      </c>
      <c r="I3160" s="153"/>
    </row>
    <row r="3161" spans="1:9" s="8" customFormat="1">
      <c r="A3161" s="13">
        <v>46036</v>
      </c>
      <c r="B3161" s="8" t="s">
        <v>7773</v>
      </c>
      <c r="C3161" s="290">
        <v>3500000</v>
      </c>
      <c r="D3161" s="290">
        <v>0</v>
      </c>
      <c r="E3161" s="290">
        <f t="shared" si="49"/>
        <v>0</v>
      </c>
      <c r="F3161" s="40" t="s">
        <v>8</v>
      </c>
      <c r="G3161" s="8" t="s">
        <v>32</v>
      </c>
      <c r="H3161" s="8" t="s">
        <v>26</v>
      </c>
      <c r="I3161" s="153"/>
    </row>
    <row r="3162" spans="1:9" s="8" customFormat="1">
      <c r="A3162" s="13">
        <v>46045</v>
      </c>
      <c r="B3162" s="8" t="s">
        <v>7789</v>
      </c>
      <c r="C3162" s="290">
        <v>0</v>
      </c>
      <c r="D3162" s="290">
        <f>C3163+C3164</f>
        <v>1678046</v>
      </c>
      <c r="E3162" s="290">
        <f t="shared" si="49"/>
        <v>1678046</v>
      </c>
      <c r="F3162" s="40" t="s">
        <v>6</v>
      </c>
      <c r="G3162" s="8" t="s">
        <v>13</v>
      </c>
      <c r="H3162" s="8" t="s">
        <v>69</v>
      </c>
      <c r="I3162" s="153"/>
    </row>
    <row r="3163" spans="1:9" s="8" customFormat="1">
      <c r="A3163" s="13">
        <v>46045</v>
      </c>
      <c r="B3163" s="8" t="s">
        <v>7780</v>
      </c>
      <c r="C3163" s="290">
        <v>500000</v>
      </c>
      <c r="D3163" s="290">
        <v>0</v>
      </c>
      <c r="E3163" s="290">
        <f t="shared" si="49"/>
        <v>1178046</v>
      </c>
      <c r="F3163" s="40" t="s">
        <v>1209</v>
      </c>
      <c r="G3163" s="8" t="s">
        <v>69</v>
      </c>
      <c r="H3163" s="8" t="s">
        <v>26</v>
      </c>
      <c r="I3163" s="153"/>
    </row>
    <row r="3164" spans="1:9" s="8" customFormat="1">
      <c r="A3164" s="13">
        <v>46050</v>
      </c>
      <c r="B3164" s="8" t="s">
        <v>7781</v>
      </c>
      <c r="C3164" s="290">
        <v>1178046</v>
      </c>
      <c r="D3164" s="290">
        <v>0</v>
      </c>
      <c r="E3164" s="290">
        <f t="shared" si="49"/>
        <v>0</v>
      </c>
      <c r="F3164" s="40" t="s">
        <v>1209</v>
      </c>
      <c r="G3164" s="8" t="s">
        <v>69</v>
      </c>
      <c r="H3164" s="8" t="s">
        <v>26</v>
      </c>
      <c r="I3164" s="153"/>
    </row>
    <row r="3165" spans="1:9">
      <c r="A3165" s="5">
        <v>46059</v>
      </c>
      <c r="B3165" t="s">
        <v>7782</v>
      </c>
      <c r="C3165" s="288">
        <v>0</v>
      </c>
      <c r="D3165" s="288">
        <f>C3166</f>
        <v>1231050</v>
      </c>
      <c r="E3165" s="290">
        <f t="shared" si="49"/>
        <v>1231050</v>
      </c>
      <c r="F3165" t="s">
        <v>6</v>
      </c>
      <c r="G3165" t="s">
        <v>13</v>
      </c>
      <c r="H3165" t="s">
        <v>23</v>
      </c>
    </row>
    <row r="3166" spans="1:9">
      <c r="A3166" s="5">
        <v>46059</v>
      </c>
      <c r="B3166" t="s">
        <v>7782</v>
      </c>
      <c r="C3166" s="288">
        <v>1231050</v>
      </c>
      <c r="D3166" s="288">
        <v>0</v>
      </c>
      <c r="E3166" s="290">
        <f t="shared" si="49"/>
        <v>0</v>
      </c>
      <c r="F3166" t="s">
        <v>62</v>
      </c>
      <c r="G3166" t="s">
        <v>23</v>
      </c>
      <c r="H3166" t="s">
        <v>26</v>
      </c>
    </row>
    <row r="3167" spans="1:9">
      <c r="A3167" s="13">
        <v>46146</v>
      </c>
      <c r="B3167" t="s">
        <v>7843</v>
      </c>
      <c r="C3167" s="55">
        <v>0</v>
      </c>
      <c r="D3167" s="55">
        <v>50318850</v>
      </c>
      <c r="E3167" s="290">
        <f t="shared" si="49"/>
        <v>50318850</v>
      </c>
      <c r="F3167" s="8" t="s">
        <v>6</v>
      </c>
      <c r="G3167" s="8" t="s">
        <v>13</v>
      </c>
      <c r="H3167" s="154" t="s">
        <v>23</v>
      </c>
    </row>
    <row r="3168" spans="1:9">
      <c r="A3168" s="13">
        <v>46146</v>
      </c>
      <c r="B3168" t="s">
        <v>7843</v>
      </c>
      <c r="C3168" s="55">
        <v>50318850</v>
      </c>
      <c r="D3168" s="54">
        <v>0</v>
      </c>
      <c r="E3168" s="290">
        <f t="shared" si="49"/>
        <v>0</v>
      </c>
      <c r="F3168" s="8" t="s">
        <v>62</v>
      </c>
      <c r="G3168" s="8" t="s">
        <v>23</v>
      </c>
    </row>
    <row r="3169" spans="1:9">
      <c r="A3169" s="5">
        <v>46149</v>
      </c>
      <c r="B3169" t="s">
        <v>7835</v>
      </c>
      <c r="C3169" s="288">
        <v>0</v>
      </c>
      <c r="D3169" s="288">
        <v>155814</v>
      </c>
      <c r="E3169" s="290">
        <f t="shared" si="49"/>
        <v>155814</v>
      </c>
      <c r="F3169" t="s">
        <v>6</v>
      </c>
      <c r="G3169" t="s">
        <v>13</v>
      </c>
      <c r="H3169" t="s">
        <v>69</v>
      </c>
    </row>
    <row r="3170" spans="1:9">
      <c r="A3170" s="5">
        <v>46149</v>
      </c>
      <c r="B3170" t="s">
        <v>7835</v>
      </c>
      <c r="C3170" s="288">
        <v>155814</v>
      </c>
      <c r="D3170" s="288">
        <v>0</v>
      </c>
      <c r="E3170" s="290">
        <f t="shared" si="49"/>
        <v>0</v>
      </c>
      <c r="F3170" s="40" t="s">
        <v>1209</v>
      </c>
      <c r="G3170" s="8" t="s">
        <v>69</v>
      </c>
    </row>
    <row r="3171" spans="1:9" s="8" customFormat="1">
      <c r="A3171" s="13">
        <v>46030</v>
      </c>
      <c r="B3171" s="8" t="s">
        <v>7761</v>
      </c>
      <c r="C3171" s="290">
        <v>0</v>
      </c>
      <c r="D3171" s="290">
        <f>C3172</f>
        <v>14279600</v>
      </c>
      <c r="E3171" s="290">
        <f t="shared" si="49"/>
        <v>14279600</v>
      </c>
      <c r="F3171" s="40" t="s">
        <v>6</v>
      </c>
      <c r="G3171" s="8" t="s">
        <v>7</v>
      </c>
      <c r="H3171" s="8" t="s">
        <v>5998</v>
      </c>
      <c r="I3171" s="153"/>
    </row>
    <row r="3172" spans="1:9" s="8" customFormat="1">
      <c r="A3172" s="13">
        <v>46030</v>
      </c>
      <c r="B3172" s="8" t="s">
        <v>7761</v>
      </c>
      <c r="C3172" s="290">
        <v>14279600</v>
      </c>
      <c r="D3172" s="290">
        <v>0</v>
      </c>
      <c r="E3172" s="290">
        <f t="shared" si="49"/>
        <v>0</v>
      </c>
      <c r="F3172" s="40" t="s">
        <v>1643</v>
      </c>
      <c r="G3172" s="8" t="s">
        <v>5</v>
      </c>
      <c r="H3172" s="8" t="s">
        <v>5985</v>
      </c>
      <c r="I3172" s="153"/>
    </row>
    <row r="3173" spans="1:9" s="8" customFormat="1">
      <c r="A3173" s="13">
        <v>46030</v>
      </c>
      <c r="B3173" s="8" t="s">
        <v>7762</v>
      </c>
      <c r="C3173" s="290">
        <v>0</v>
      </c>
      <c r="D3173" s="290">
        <f>C3174</f>
        <v>7280000</v>
      </c>
      <c r="E3173" s="290">
        <f t="shared" si="49"/>
        <v>7280000</v>
      </c>
      <c r="F3173" s="40" t="s">
        <v>6</v>
      </c>
      <c r="G3173" s="8" t="s">
        <v>7</v>
      </c>
      <c r="H3173" s="8" t="s">
        <v>5956</v>
      </c>
      <c r="I3173" s="153"/>
    </row>
    <row r="3174" spans="1:9" s="8" customFormat="1">
      <c r="A3174" s="13">
        <v>46030</v>
      </c>
      <c r="B3174" s="8" t="s">
        <v>7762</v>
      </c>
      <c r="C3174" s="290">
        <v>7280000</v>
      </c>
      <c r="D3174" s="290">
        <v>0</v>
      </c>
      <c r="E3174" s="290">
        <f t="shared" si="49"/>
        <v>0</v>
      </c>
      <c r="F3174" s="40" t="s">
        <v>1643</v>
      </c>
      <c r="G3174" s="8" t="s">
        <v>5</v>
      </c>
      <c r="H3174" s="8" t="s">
        <v>5956</v>
      </c>
      <c r="I3174" s="153"/>
    </row>
    <row r="3175" spans="1:9" s="8" customFormat="1">
      <c r="A3175" s="13">
        <v>46030</v>
      </c>
      <c r="B3175" s="8" t="s">
        <v>7763</v>
      </c>
      <c r="C3175" s="290">
        <v>0</v>
      </c>
      <c r="D3175" s="290">
        <f>C3176</f>
        <v>1477475</v>
      </c>
      <c r="E3175" s="290">
        <f t="shared" si="49"/>
        <v>1477475</v>
      </c>
      <c r="F3175" s="40" t="s">
        <v>6</v>
      </c>
      <c r="G3175" s="8" t="s">
        <v>7</v>
      </c>
      <c r="H3175" s="8" t="s">
        <v>6003</v>
      </c>
      <c r="I3175" s="153"/>
    </row>
    <row r="3176" spans="1:9" s="8" customFormat="1">
      <c r="A3176" s="13">
        <v>46030</v>
      </c>
      <c r="B3176" s="8" t="s">
        <v>7763</v>
      </c>
      <c r="C3176" s="290">
        <v>1477475</v>
      </c>
      <c r="D3176" s="290">
        <v>0</v>
      </c>
      <c r="E3176" s="290">
        <f t="shared" si="49"/>
        <v>0</v>
      </c>
      <c r="F3176" s="40" t="s">
        <v>1643</v>
      </c>
      <c r="G3176" s="8" t="s">
        <v>5</v>
      </c>
      <c r="H3176" s="8" t="s">
        <v>4080</v>
      </c>
      <c r="I3176" s="153"/>
    </row>
    <row r="3177" spans="1:9" s="8" customFormat="1">
      <c r="A3177" s="13">
        <v>46030</v>
      </c>
      <c r="B3177" s="8" t="s">
        <v>7764</v>
      </c>
      <c r="C3177" s="290">
        <v>0</v>
      </c>
      <c r="D3177" s="290">
        <f>C3178</f>
        <v>1500000</v>
      </c>
      <c r="E3177" s="290">
        <f t="shared" si="49"/>
        <v>1500000</v>
      </c>
      <c r="F3177" s="40" t="s">
        <v>6</v>
      </c>
      <c r="G3177" s="8" t="s">
        <v>7</v>
      </c>
      <c r="H3177" s="8" t="s">
        <v>7765</v>
      </c>
      <c r="I3177" s="153"/>
    </row>
    <row r="3178" spans="1:9" s="8" customFormat="1">
      <c r="A3178" s="13">
        <v>46030</v>
      </c>
      <c r="B3178" s="8" t="s">
        <v>7764</v>
      </c>
      <c r="C3178" s="290">
        <v>1500000</v>
      </c>
      <c r="D3178" s="290">
        <v>0</v>
      </c>
      <c r="E3178" s="290">
        <f t="shared" si="49"/>
        <v>0</v>
      </c>
      <c r="F3178" s="40" t="s">
        <v>1643</v>
      </c>
      <c r="G3178" s="8" t="s">
        <v>5</v>
      </c>
      <c r="H3178" s="8" t="s">
        <v>6576</v>
      </c>
      <c r="I3178" s="153"/>
    </row>
    <row r="3179" spans="1:9" s="8" customFormat="1">
      <c r="A3179" s="13">
        <v>46030</v>
      </c>
      <c r="B3179" s="8" t="s">
        <v>7766</v>
      </c>
      <c r="C3179" s="290">
        <v>0</v>
      </c>
      <c r="D3179" s="290">
        <f>C3180</f>
        <v>3500000</v>
      </c>
      <c r="E3179" s="290">
        <f t="shared" si="49"/>
        <v>3500000</v>
      </c>
      <c r="F3179" s="40" t="s">
        <v>6</v>
      </c>
      <c r="G3179" s="8" t="s">
        <v>7</v>
      </c>
      <c r="H3179" s="8" t="s">
        <v>6583</v>
      </c>
      <c r="I3179" s="153"/>
    </row>
    <row r="3180" spans="1:9" s="8" customFormat="1">
      <c r="A3180" s="13">
        <v>46030</v>
      </c>
      <c r="B3180" s="8" t="s">
        <v>7766</v>
      </c>
      <c r="C3180" s="290">
        <v>3500000</v>
      </c>
      <c r="D3180" s="290">
        <v>0</v>
      </c>
      <c r="E3180" s="290">
        <f t="shared" si="49"/>
        <v>0</v>
      </c>
      <c r="F3180" s="40" t="s">
        <v>1643</v>
      </c>
      <c r="G3180" s="8" t="s">
        <v>5</v>
      </c>
      <c r="H3180" s="40" t="s">
        <v>3334</v>
      </c>
      <c r="I3180" s="153"/>
    </row>
    <row r="3181" spans="1:9" s="8" customFormat="1">
      <c r="A3181" s="13">
        <v>46030</v>
      </c>
      <c r="B3181" s="8" t="s">
        <v>7767</v>
      </c>
      <c r="C3181" s="290">
        <v>0</v>
      </c>
      <c r="D3181" s="290">
        <f>C3182</f>
        <v>2500000</v>
      </c>
      <c r="E3181" s="290">
        <f t="shared" si="49"/>
        <v>2500000</v>
      </c>
      <c r="F3181" s="40" t="s">
        <v>6</v>
      </c>
      <c r="G3181" s="8" t="s">
        <v>7</v>
      </c>
      <c r="H3181" s="8" t="s">
        <v>6585</v>
      </c>
      <c r="I3181" s="153"/>
    </row>
    <row r="3182" spans="1:9" s="8" customFormat="1">
      <c r="A3182" s="13">
        <v>46030</v>
      </c>
      <c r="B3182" s="8" t="s">
        <v>7767</v>
      </c>
      <c r="C3182" s="290">
        <v>2500000</v>
      </c>
      <c r="D3182" s="290">
        <v>0</v>
      </c>
      <c r="E3182" s="290">
        <f t="shared" si="49"/>
        <v>0</v>
      </c>
      <c r="F3182" s="40" t="s">
        <v>1643</v>
      </c>
      <c r="G3182" s="8" t="s">
        <v>5</v>
      </c>
      <c r="H3182" s="8" t="s">
        <v>3232</v>
      </c>
      <c r="I3182" s="153"/>
    </row>
    <row r="3183" spans="1:9" s="8" customFormat="1">
      <c r="A3183" s="13">
        <v>46030</v>
      </c>
      <c r="B3183" s="8" t="s">
        <v>7768</v>
      </c>
      <c r="C3183" s="290">
        <v>0</v>
      </c>
      <c r="D3183" s="290">
        <f>C3184</f>
        <v>1500000</v>
      </c>
      <c r="E3183" s="290">
        <f t="shared" si="49"/>
        <v>1500000</v>
      </c>
      <c r="F3183" s="40" t="s">
        <v>6</v>
      </c>
      <c r="G3183" s="8" t="s">
        <v>7</v>
      </c>
      <c r="H3183" s="8" t="s">
        <v>6584</v>
      </c>
      <c r="I3183" s="153"/>
    </row>
    <row r="3184" spans="1:9" s="8" customFormat="1">
      <c r="A3184" s="13">
        <v>46030</v>
      </c>
      <c r="B3184" s="8" t="s">
        <v>7768</v>
      </c>
      <c r="C3184" s="290">
        <v>1500000</v>
      </c>
      <c r="D3184" s="290">
        <v>0</v>
      </c>
      <c r="E3184" s="290">
        <f t="shared" si="49"/>
        <v>0</v>
      </c>
      <c r="F3184" s="40" t="s">
        <v>1643</v>
      </c>
      <c r="G3184" s="8" t="s">
        <v>5</v>
      </c>
      <c r="H3184" s="40" t="s">
        <v>1364</v>
      </c>
      <c r="I3184" s="153"/>
    </row>
    <row r="3185" spans="1:9" s="8" customFormat="1">
      <c r="A3185" s="13">
        <v>46030</v>
      </c>
      <c r="B3185" s="8" t="s">
        <v>7769</v>
      </c>
      <c r="C3185" s="290">
        <v>0</v>
      </c>
      <c r="D3185" s="290">
        <f>C3186</f>
        <v>3500000</v>
      </c>
      <c r="E3185" s="290">
        <f t="shared" si="49"/>
        <v>3500000</v>
      </c>
      <c r="F3185" s="40" t="s">
        <v>6</v>
      </c>
      <c r="G3185" s="8" t="s">
        <v>7</v>
      </c>
      <c r="H3185" s="8" t="s">
        <v>2473</v>
      </c>
      <c r="I3185" s="153"/>
    </row>
    <row r="3186" spans="1:9" s="8" customFormat="1">
      <c r="A3186" s="13">
        <v>46030</v>
      </c>
      <c r="B3186" s="8" t="s">
        <v>7769</v>
      </c>
      <c r="C3186" s="290">
        <v>3500000</v>
      </c>
      <c r="D3186" s="290">
        <v>0</v>
      </c>
      <c r="E3186" s="290">
        <f t="shared" si="49"/>
        <v>0</v>
      </c>
      <c r="F3186" s="40" t="s">
        <v>1643</v>
      </c>
      <c r="G3186" s="8" t="s">
        <v>5</v>
      </c>
      <c r="H3186" s="8" t="s">
        <v>757</v>
      </c>
      <c r="I3186" s="153"/>
    </row>
    <row r="3187" spans="1:9" s="8" customFormat="1">
      <c r="A3187" s="13">
        <v>46030</v>
      </c>
      <c r="B3187" s="8" t="s">
        <v>7770</v>
      </c>
      <c r="C3187" s="290">
        <v>0</v>
      </c>
      <c r="D3187" s="290">
        <f>C3188</f>
        <v>3500000</v>
      </c>
      <c r="E3187" s="290">
        <f t="shared" si="49"/>
        <v>3500000</v>
      </c>
      <c r="F3187" s="40" t="s">
        <v>6</v>
      </c>
      <c r="G3187" s="8" t="s">
        <v>7</v>
      </c>
      <c r="H3187" s="8" t="s">
        <v>6582</v>
      </c>
      <c r="I3187" s="153"/>
    </row>
    <row r="3188" spans="1:9" s="8" customFormat="1">
      <c r="A3188" s="13">
        <v>46030</v>
      </c>
      <c r="B3188" s="8" t="s">
        <v>7770</v>
      </c>
      <c r="C3188" s="290">
        <v>3500000</v>
      </c>
      <c r="D3188" s="290">
        <v>0</v>
      </c>
      <c r="E3188" s="290">
        <f t="shared" si="49"/>
        <v>0</v>
      </c>
      <c r="F3188" s="40" t="s">
        <v>1643</v>
      </c>
      <c r="G3188" s="8" t="s">
        <v>5</v>
      </c>
      <c r="H3188" s="40" t="s">
        <v>2235</v>
      </c>
      <c r="I3188" s="153"/>
    </row>
    <row r="3189" spans="1:9" s="8" customFormat="1">
      <c r="A3189" s="13">
        <v>46044</v>
      </c>
      <c r="B3189" s="8" t="s">
        <v>7774</v>
      </c>
      <c r="C3189" s="290">
        <v>0</v>
      </c>
      <c r="D3189" s="290">
        <f>C3190</f>
        <v>2700000</v>
      </c>
      <c r="E3189" s="290">
        <f t="shared" si="49"/>
        <v>2700000</v>
      </c>
      <c r="F3189" s="40" t="s">
        <v>6</v>
      </c>
      <c r="G3189" s="8" t="s">
        <v>7</v>
      </c>
      <c r="H3189" s="8" t="s">
        <v>2238</v>
      </c>
      <c r="I3189" s="153"/>
    </row>
    <row r="3190" spans="1:9" s="8" customFormat="1">
      <c r="A3190" s="13">
        <v>46044</v>
      </c>
      <c r="B3190" s="8" t="s">
        <v>7774</v>
      </c>
      <c r="C3190" s="290">
        <v>2700000</v>
      </c>
      <c r="D3190" s="290">
        <v>0</v>
      </c>
      <c r="E3190" s="290">
        <f t="shared" si="49"/>
        <v>0</v>
      </c>
      <c r="F3190" s="40" t="s">
        <v>1643</v>
      </c>
      <c r="G3190" s="8" t="s">
        <v>5</v>
      </c>
      <c r="H3190" s="8" t="s">
        <v>2238</v>
      </c>
      <c r="I3190" s="153"/>
    </row>
    <row r="3191" spans="1:9" s="8" customFormat="1">
      <c r="A3191" s="13">
        <v>46050</v>
      </c>
      <c r="B3191" s="8" t="s">
        <v>7775</v>
      </c>
      <c r="C3191" s="290">
        <v>0</v>
      </c>
      <c r="D3191" s="290">
        <f>C3192</f>
        <v>8980000</v>
      </c>
      <c r="E3191" s="290">
        <f t="shared" si="49"/>
        <v>8980000</v>
      </c>
      <c r="F3191" s="40" t="s">
        <v>6</v>
      </c>
      <c r="G3191" s="8" t="s">
        <v>7</v>
      </c>
      <c r="H3191" s="8" t="s">
        <v>2238</v>
      </c>
      <c r="I3191" s="153"/>
    </row>
    <row r="3192" spans="1:9" s="8" customFormat="1">
      <c r="A3192" s="13">
        <v>46050</v>
      </c>
      <c r="B3192" s="8" t="s">
        <v>7775</v>
      </c>
      <c r="C3192" s="290">
        <v>8980000</v>
      </c>
      <c r="D3192" s="290">
        <v>0</v>
      </c>
      <c r="E3192" s="290">
        <f t="shared" si="49"/>
        <v>0</v>
      </c>
      <c r="F3192" s="40" t="s">
        <v>1643</v>
      </c>
      <c r="G3192" s="8" t="s">
        <v>5</v>
      </c>
      <c r="H3192" s="8" t="s">
        <v>2238</v>
      </c>
      <c r="I3192" s="153"/>
    </row>
    <row r="3193" spans="1:9" s="8" customFormat="1">
      <c r="A3193" s="13">
        <v>46050</v>
      </c>
      <c r="B3193" s="8" t="s">
        <v>7776</v>
      </c>
      <c r="C3193" s="290">
        <v>0</v>
      </c>
      <c r="D3193" s="290">
        <f>C3194</f>
        <v>3100000</v>
      </c>
      <c r="E3193" s="290">
        <f t="shared" si="49"/>
        <v>3100000</v>
      </c>
      <c r="F3193" s="40" t="s">
        <v>6</v>
      </c>
      <c r="G3193" s="8" t="s">
        <v>7</v>
      </c>
      <c r="H3193" s="8" t="s">
        <v>2238</v>
      </c>
      <c r="I3193" s="153"/>
    </row>
    <row r="3194" spans="1:9" s="8" customFormat="1">
      <c r="A3194" s="13">
        <v>46050</v>
      </c>
      <c r="B3194" s="8" t="s">
        <v>7776</v>
      </c>
      <c r="C3194" s="290">
        <v>3100000</v>
      </c>
      <c r="D3194" s="290">
        <v>0</v>
      </c>
      <c r="E3194" s="290">
        <f t="shared" si="49"/>
        <v>0</v>
      </c>
      <c r="F3194" s="40" t="s">
        <v>1643</v>
      </c>
      <c r="G3194" s="8" t="s">
        <v>5</v>
      </c>
      <c r="H3194" s="8" t="s">
        <v>2238</v>
      </c>
      <c r="I3194" s="153"/>
    </row>
    <row r="3195" spans="1:9" s="8" customFormat="1">
      <c r="A3195" s="13">
        <v>46050</v>
      </c>
      <c r="B3195" s="8" t="s">
        <v>7777</v>
      </c>
      <c r="C3195" s="290">
        <v>0</v>
      </c>
      <c r="D3195" s="290">
        <f>C3196</f>
        <v>12942000</v>
      </c>
      <c r="E3195" s="290">
        <f t="shared" si="49"/>
        <v>12942000</v>
      </c>
      <c r="F3195" s="40" t="s">
        <v>6</v>
      </c>
      <c r="G3195" s="8" t="s">
        <v>7</v>
      </c>
      <c r="H3195" s="8" t="s">
        <v>2238</v>
      </c>
      <c r="I3195" s="153"/>
    </row>
    <row r="3196" spans="1:9" s="8" customFormat="1">
      <c r="A3196" s="13">
        <v>46050</v>
      </c>
      <c r="B3196" s="8" t="s">
        <v>7777</v>
      </c>
      <c r="C3196" s="290">
        <v>12942000</v>
      </c>
      <c r="D3196" s="290">
        <v>0</v>
      </c>
      <c r="E3196" s="290">
        <f t="shared" si="49"/>
        <v>0</v>
      </c>
      <c r="F3196" s="40" t="s">
        <v>1643</v>
      </c>
      <c r="G3196" s="8" t="s">
        <v>5</v>
      </c>
      <c r="H3196" s="8" t="s">
        <v>2238</v>
      </c>
      <c r="I3196" s="153"/>
    </row>
    <row r="3197" spans="1:9" s="8" customFormat="1">
      <c r="A3197" s="13">
        <v>46133</v>
      </c>
      <c r="B3197" s="8" t="s">
        <v>7833</v>
      </c>
      <c r="C3197" s="290">
        <v>0</v>
      </c>
      <c r="D3197" s="290">
        <v>331100</v>
      </c>
      <c r="E3197" s="290">
        <f t="shared" si="49"/>
        <v>331100</v>
      </c>
      <c r="F3197" s="40" t="s">
        <v>6</v>
      </c>
      <c r="G3197" s="8" t="s">
        <v>7</v>
      </c>
      <c r="H3197" s="8" t="s">
        <v>2238</v>
      </c>
      <c r="I3197" s="153"/>
    </row>
    <row r="3198" spans="1:9" s="8" customFormat="1">
      <c r="A3198" s="13">
        <v>46133</v>
      </c>
      <c r="B3198" s="8" t="s">
        <v>7833</v>
      </c>
      <c r="C3198" s="290">
        <v>331100</v>
      </c>
      <c r="D3198" s="290">
        <v>0</v>
      </c>
      <c r="E3198" s="290">
        <f t="shared" si="49"/>
        <v>0</v>
      </c>
      <c r="F3198" s="40" t="s">
        <v>1643</v>
      </c>
      <c r="G3198" s="8" t="s">
        <v>5</v>
      </c>
      <c r="H3198" s="8" t="s">
        <v>2238</v>
      </c>
      <c r="I3198" s="153"/>
    </row>
    <row r="3199" spans="1:9" s="8" customFormat="1">
      <c r="A3199" s="13">
        <v>46150</v>
      </c>
      <c r="B3199" s="8" t="s">
        <v>7834</v>
      </c>
      <c r="C3199" s="290">
        <v>0</v>
      </c>
      <c r="D3199" s="290">
        <v>1387155</v>
      </c>
      <c r="E3199" s="290">
        <f t="shared" si="49"/>
        <v>1387155</v>
      </c>
      <c r="F3199" s="40" t="s">
        <v>6</v>
      </c>
      <c r="G3199" s="8" t="s">
        <v>7</v>
      </c>
      <c r="H3199" s="8" t="s">
        <v>2238</v>
      </c>
      <c r="I3199" s="153"/>
    </row>
    <row r="3200" spans="1:9" s="8" customFormat="1">
      <c r="A3200" s="13">
        <v>46150</v>
      </c>
      <c r="B3200" s="8" t="s">
        <v>7834</v>
      </c>
      <c r="C3200" s="290">
        <v>1387155</v>
      </c>
      <c r="D3200" s="290">
        <v>0</v>
      </c>
      <c r="E3200" s="290">
        <f t="shared" si="49"/>
        <v>0</v>
      </c>
      <c r="F3200" s="40" t="s">
        <v>1643</v>
      </c>
      <c r="G3200" s="8" t="s">
        <v>5</v>
      </c>
      <c r="H3200" s="8" t="s">
        <v>2238</v>
      </c>
      <c r="I3200" s="153"/>
    </row>
    <row r="3201" spans="1:9" s="8" customFormat="1">
      <c r="A3201" s="13">
        <v>46036</v>
      </c>
      <c r="B3201" s="8" t="s">
        <v>7778</v>
      </c>
      <c r="C3201" s="290">
        <v>0</v>
      </c>
      <c r="D3201" s="290">
        <f>C3202</f>
        <v>2350000</v>
      </c>
      <c r="E3201" s="290">
        <f t="shared" si="49"/>
        <v>2350000</v>
      </c>
      <c r="F3201" s="40" t="s">
        <v>6</v>
      </c>
      <c r="G3201" s="8" t="s">
        <v>7</v>
      </c>
      <c r="H3201" s="8" t="s">
        <v>5956</v>
      </c>
      <c r="I3201" s="153"/>
    </row>
    <row r="3202" spans="1:9" s="8" customFormat="1">
      <c r="A3202" s="13">
        <v>46036</v>
      </c>
      <c r="B3202" s="8" t="s">
        <v>7778</v>
      </c>
      <c r="C3202" s="290">
        <v>2350000</v>
      </c>
      <c r="D3202" s="290">
        <v>0</v>
      </c>
      <c r="E3202" s="290">
        <f t="shared" si="49"/>
        <v>0</v>
      </c>
      <c r="F3202" s="40" t="s">
        <v>1643</v>
      </c>
      <c r="G3202" s="8" t="s">
        <v>5</v>
      </c>
      <c r="H3202" s="8" t="s">
        <v>5956</v>
      </c>
      <c r="I3202" s="153"/>
    </row>
    <row r="3203" spans="1:9" s="8" customFormat="1">
      <c r="A3203" s="13">
        <v>46037</v>
      </c>
      <c r="B3203" s="8" t="s">
        <v>7836</v>
      </c>
      <c r="C3203" s="290">
        <v>0</v>
      </c>
      <c r="D3203" s="290">
        <v>50053500</v>
      </c>
      <c r="E3203" s="290">
        <f t="shared" si="49"/>
        <v>50053500</v>
      </c>
      <c r="F3203" s="40" t="s">
        <v>6</v>
      </c>
      <c r="G3203" s="8" t="s">
        <v>7</v>
      </c>
      <c r="H3203" s="8" t="s">
        <v>5956</v>
      </c>
      <c r="I3203" s="153"/>
    </row>
    <row r="3204" spans="1:9" s="8" customFormat="1">
      <c r="A3204" s="13">
        <v>46037</v>
      </c>
      <c r="B3204" s="8" t="s">
        <v>7836</v>
      </c>
      <c r="C3204" s="290">
        <v>50053500</v>
      </c>
      <c r="D3204" s="290">
        <v>0</v>
      </c>
      <c r="E3204" s="290">
        <f t="shared" si="49"/>
        <v>0</v>
      </c>
      <c r="F3204" s="40" t="s">
        <v>1643</v>
      </c>
      <c r="G3204" s="8" t="s">
        <v>5</v>
      </c>
      <c r="H3204" s="8" t="s">
        <v>5956</v>
      </c>
      <c r="I3204" s="153"/>
    </row>
    <row r="3205" spans="1:9" s="8" customFormat="1">
      <c r="A3205" s="13">
        <v>46045</v>
      </c>
      <c r="B3205" s="8" t="s">
        <v>7837</v>
      </c>
      <c r="C3205" s="290">
        <v>0</v>
      </c>
      <c r="D3205" s="290">
        <v>5000000</v>
      </c>
      <c r="E3205" s="290">
        <f t="shared" si="49"/>
        <v>5000000</v>
      </c>
      <c r="F3205" s="40" t="s">
        <v>6</v>
      </c>
      <c r="G3205" s="8" t="s">
        <v>7</v>
      </c>
      <c r="H3205" s="8" t="s">
        <v>6541</v>
      </c>
      <c r="I3205" s="153"/>
    </row>
    <row r="3206" spans="1:9" s="8" customFormat="1">
      <c r="A3206" s="13">
        <v>46045</v>
      </c>
      <c r="B3206" s="8" t="s">
        <v>7837</v>
      </c>
      <c r="C3206" s="290">
        <v>5000000</v>
      </c>
      <c r="D3206" s="290">
        <v>0</v>
      </c>
      <c r="E3206" s="290">
        <f t="shared" si="49"/>
        <v>0</v>
      </c>
      <c r="F3206" s="8" t="s">
        <v>1643</v>
      </c>
      <c r="G3206" s="8" t="s">
        <v>5</v>
      </c>
      <c r="H3206" s="8" t="s">
        <v>6541</v>
      </c>
      <c r="I3206" s="153"/>
    </row>
    <row r="3207" spans="1:9" s="8" customFormat="1">
      <c r="A3207" s="13">
        <v>46050</v>
      </c>
      <c r="B3207" s="8" t="s">
        <v>7779</v>
      </c>
      <c r="C3207" s="290">
        <v>0</v>
      </c>
      <c r="D3207" s="290">
        <f>C3208</f>
        <v>3345000</v>
      </c>
      <c r="E3207" s="290">
        <f t="shared" si="49"/>
        <v>3345000</v>
      </c>
      <c r="F3207" s="40" t="s">
        <v>6</v>
      </c>
      <c r="G3207" s="8" t="s">
        <v>7</v>
      </c>
      <c r="H3207" s="8" t="s">
        <v>2238</v>
      </c>
      <c r="I3207" s="153"/>
    </row>
    <row r="3208" spans="1:9" s="8" customFormat="1">
      <c r="A3208" s="13">
        <v>46050</v>
      </c>
      <c r="B3208" s="8" t="s">
        <v>7779</v>
      </c>
      <c r="C3208" s="290">
        <v>3345000</v>
      </c>
      <c r="D3208" s="290">
        <v>0</v>
      </c>
      <c r="E3208" s="290">
        <f t="shared" si="49"/>
        <v>0</v>
      </c>
      <c r="F3208" s="40" t="s">
        <v>1643</v>
      </c>
      <c r="G3208" s="8" t="s">
        <v>5</v>
      </c>
      <c r="H3208" s="8" t="s">
        <v>2238</v>
      </c>
      <c r="I3208" s="153"/>
    </row>
    <row r="3209" spans="1:9" s="8" customFormat="1">
      <c r="A3209" s="13">
        <v>46098</v>
      </c>
      <c r="B3209" s="8" t="s">
        <v>7838</v>
      </c>
      <c r="C3209" s="290">
        <v>0</v>
      </c>
      <c r="D3209" s="290">
        <v>119000</v>
      </c>
      <c r="E3209" s="290">
        <f t="shared" si="49"/>
        <v>119000</v>
      </c>
      <c r="F3209" s="40" t="s">
        <v>6</v>
      </c>
      <c r="G3209" s="8" t="s">
        <v>7</v>
      </c>
      <c r="H3209" s="8" t="s">
        <v>6576</v>
      </c>
      <c r="I3209" s="153"/>
    </row>
    <row r="3210" spans="1:9" s="8" customFormat="1">
      <c r="A3210" s="13">
        <v>46098</v>
      </c>
      <c r="B3210" s="8" t="s">
        <v>7838</v>
      </c>
      <c r="C3210" s="290">
        <v>119000</v>
      </c>
      <c r="D3210" s="290">
        <v>0</v>
      </c>
      <c r="E3210" s="290">
        <f t="shared" si="49"/>
        <v>0</v>
      </c>
      <c r="F3210" s="40" t="s">
        <v>1643</v>
      </c>
      <c r="G3210" s="8" t="s">
        <v>5</v>
      </c>
      <c r="H3210" s="8" t="s">
        <v>6576</v>
      </c>
      <c r="I3210" s="153"/>
    </row>
    <row r="3211" spans="1:9" s="8" customFormat="1">
      <c r="A3211" s="13">
        <v>46113</v>
      </c>
      <c r="B3211" s="8" t="s">
        <v>7839</v>
      </c>
      <c r="C3211" s="290">
        <v>0</v>
      </c>
      <c r="D3211" s="290">
        <v>18000000</v>
      </c>
      <c r="E3211" s="290">
        <f t="shared" si="49"/>
        <v>18000000</v>
      </c>
      <c r="F3211" s="40" t="s">
        <v>6</v>
      </c>
      <c r="G3211" s="8" t="s">
        <v>7</v>
      </c>
      <c r="H3211" s="8" t="s">
        <v>6123</v>
      </c>
      <c r="I3211" s="153"/>
    </row>
    <row r="3212" spans="1:9" s="8" customFormat="1">
      <c r="A3212" s="13">
        <v>46113</v>
      </c>
      <c r="B3212" s="8" t="s">
        <v>7839</v>
      </c>
      <c r="C3212" s="290">
        <v>18000000</v>
      </c>
      <c r="D3212" s="290">
        <v>0</v>
      </c>
      <c r="E3212" s="290">
        <f t="shared" si="49"/>
        <v>0</v>
      </c>
      <c r="F3212" s="40" t="s">
        <v>1643</v>
      </c>
      <c r="G3212" s="8" t="s">
        <v>5</v>
      </c>
      <c r="H3212" s="8" t="s">
        <v>6123</v>
      </c>
      <c r="I3212" s="153"/>
    </row>
    <row r="3213" spans="1:9" s="8" customFormat="1">
      <c r="A3213" s="5">
        <v>46062</v>
      </c>
      <c r="B3213" t="s">
        <v>7841</v>
      </c>
      <c r="C3213" s="1">
        <v>0</v>
      </c>
      <c r="D3213" s="1">
        <v>183500</v>
      </c>
      <c r="E3213" s="290">
        <f t="shared" si="49"/>
        <v>183500</v>
      </c>
      <c r="F3213" s="80" t="s">
        <v>6</v>
      </c>
      <c r="G3213" s="80" t="s">
        <v>7</v>
      </c>
      <c r="H3213" s="40" t="s">
        <v>2238</v>
      </c>
      <c r="I3213" s="153"/>
    </row>
    <row r="3214" spans="1:9" s="8" customFormat="1">
      <c r="A3214" s="5">
        <v>46062</v>
      </c>
      <c r="B3214" t="s">
        <v>7841</v>
      </c>
      <c r="C3214" s="1">
        <v>183500</v>
      </c>
      <c r="D3214" s="1">
        <v>0</v>
      </c>
      <c r="E3214" s="290">
        <f t="shared" si="49"/>
        <v>0</v>
      </c>
      <c r="F3214" s="40" t="s">
        <v>1643</v>
      </c>
      <c r="G3214" s="8" t="s">
        <v>5</v>
      </c>
      <c r="H3214" s="40" t="s">
        <v>2238</v>
      </c>
      <c r="I3214" s="153"/>
    </row>
    <row r="3215" spans="1:9" s="8" customFormat="1">
      <c r="A3215" s="5">
        <v>46072</v>
      </c>
      <c r="B3215" t="s">
        <v>7842</v>
      </c>
      <c r="C3215" s="11">
        <v>0</v>
      </c>
      <c r="D3215" s="11">
        <v>21000</v>
      </c>
      <c r="E3215" s="290">
        <f t="shared" si="49"/>
        <v>21000</v>
      </c>
      <c r="F3215" t="s">
        <v>6</v>
      </c>
      <c r="G3215" t="s">
        <v>7</v>
      </c>
      <c r="H3215" s="40" t="s">
        <v>2238</v>
      </c>
      <c r="I3215" s="153"/>
    </row>
    <row r="3216" spans="1:9" s="8" customFormat="1">
      <c r="A3216" s="5">
        <v>46072</v>
      </c>
      <c r="B3216" t="s">
        <v>7842</v>
      </c>
      <c r="C3216" s="1">
        <v>21000</v>
      </c>
      <c r="D3216" s="1">
        <v>0</v>
      </c>
      <c r="E3216" s="290">
        <f t="shared" si="49"/>
        <v>0</v>
      </c>
      <c r="F3216" s="40" t="s">
        <v>1643</v>
      </c>
      <c r="G3216" s="8" t="s">
        <v>5</v>
      </c>
      <c r="H3216" s="40" t="s">
        <v>2238</v>
      </c>
      <c r="I3216" s="153"/>
    </row>
    <row r="3217" spans="1:9" s="8" customFormat="1">
      <c r="A3217" s="13">
        <v>46037</v>
      </c>
      <c r="B3217" s="8" t="s">
        <v>7797</v>
      </c>
      <c r="C3217" s="290">
        <v>0</v>
      </c>
      <c r="D3217" s="290">
        <v>26924174</v>
      </c>
      <c r="E3217" s="290">
        <f t="shared" si="49"/>
        <v>26924174</v>
      </c>
      <c r="F3217" s="40" t="s">
        <v>6</v>
      </c>
      <c r="G3217" s="8" t="s">
        <v>50</v>
      </c>
      <c r="H3217" s="8" t="s">
        <v>6471</v>
      </c>
      <c r="I3217" s="153"/>
    </row>
    <row r="3218" spans="1:9" s="8" customFormat="1">
      <c r="A3218" s="13">
        <v>46024</v>
      </c>
      <c r="B3218" s="8" t="s">
        <v>7798</v>
      </c>
      <c r="C3218" s="290">
        <v>1021100</v>
      </c>
      <c r="D3218" s="290">
        <v>0</v>
      </c>
      <c r="E3218" s="290">
        <f t="shared" si="49"/>
        <v>25903074</v>
      </c>
      <c r="F3218" s="40" t="s">
        <v>62</v>
      </c>
      <c r="G3218" s="8" t="s">
        <v>70</v>
      </c>
      <c r="H3218" s="8" t="s">
        <v>308</v>
      </c>
      <c r="I3218" s="153"/>
    </row>
    <row r="3219" spans="1:9" s="8" customFormat="1">
      <c r="A3219" s="13">
        <v>46013</v>
      </c>
      <c r="B3219" s="8" t="s">
        <v>7799</v>
      </c>
      <c r="C3219" s="290">
        <v>100000</v>
      </c>
      <c r="D3219" s="290">
        <v>0</v>
      </c>
      <c r="E3219" s="290">
        <f t="shared" si="49"/>
        <v>25803074</v>
      </c>
      <c r="F3219" s="40" t="s">
        <v>19</v>
      </c>
      <c r="G3219" s="8" t="s">
        <v>65</v>
      </c>
      <c r="I3219" s="153"/>
    </row>
    <row r="3220" spans="1:9" s="8" customFormat="1">
      <c r="A3220" s="13">
        <v>45992</v>
      </c>
      <c r="B3220" s="8" t="s">
        <v>7800</v>
      </c>
      <c r="C3220" s="290">
        <v>363500</v>
      </c>
      <c r="D3220" s="290">
        <v>0</v>
      </c>
      <c r="E3220" s="290">
        <f t="shared" si="49"/>
        <v>25439574</v>
      </c>
      <c r="F3220" s="40" t="s">
        <v>8</v>
      </c>
      <c r="G3220" s="8" t="s">
        <v>14</v>
      </c>
      <c r="I3220" s="153"/>
    </row>
    <row r="3221" spans="1:9" s="8" customFormat="1">
      <c r="A3221" s="13">
        <v>45995</v>
      </c>
      <c r="B3221" s="8" t="s">
        <v>7801</v>
      </c>
      <c r="C3221" s="290">
        <v>363940</v>
      </c>
      <c r="D3221" s="290">
        <v>0</v>
      </c>
      <c r="E3221" s="290">
        <f t="shared" si="49"/>
        <v>25075634</v>
      </c>
      <c r="F3221" s="40" t="s">
        <v>8</v>
      </c>
      <c r="G3221" s="8" t="s">
        <v>14</v>
      </c>
      <c r="H3221" s="8" t="s">
        <v>3137</v>
      </c>
      <c r="I3221" s="153"/>
    </row>
    <row r="3222" spans="1:9" s="8" customFormat="1">
      <c r="A3222" s="13">
        <v>45999</v>
      </c>
      <c r="B3222" s="8" t="s">
        <v>7816</v>
      </c>
      <c r="C3222" s="290">
        <v>234500</v>
      </c>
      <c r="D3222" s="290">
        <v>0</v>
      </c>
      <c r="E3222" s="290">
        <f t="shared" si="49"/>
        <v>24841134</v>
      </c>
      <c r="F3222" s="40" t="s">
        <v>62</v>
      </c>
      <c r="G3222" s="8" t="s">
        <v>63</v>
      </c>
      <c r="H3222" s="8" t="s">
        <v>7817</v>
      </c>
      <c r="I3222" s="153"/>
    </row>
    <row r="3223" spans="1:9" s="8" customFormat="1">
      <c r="A3223" s="13">
        <v>46000</v>
      </c>
      <c r="B3223" s="8" t="s">
        <v>7818</v>
      </c>
      <c r="C3223" s="290">
        <v>550900</v>
      </c>
      <c r="D3223" s="290">
        <v>0</v>
      </c>
      <c r="E3223" s="290">
        <f t="shared" si="49"/>
        <v>24290234</v>
      </c>
      <c r="F3223" s="40" t="s">
        <v>1643</v>
      </c>
      <c r="G3223" s="8" t="s">
        <v>5</v>
      </c>
      <c r="H3223" s="8" t="s">
        <v>6123</v>
      </c>
      <c r="I3223" s="153"/>
    </row>
    <row r="3224" spans="1:9" s="8" customFormat="1">
      <c r="A3224" s="13">
        <v>46000</v>
      </c>
      <c r="B3224" s="8" t="s">
        <v>7800</v>
      </c>
      <c r="C3224" s="290">
        <v>387000</v>
      </c>
      <c r="D3224" s="290">
        <v>0</v>
      </c>
      <c r="E3224" s="290">
        <f t="shared" si="49"/>
        <v>23903234</v>
      </c>
      <c r="F3224" s="40" t="s">
        <v>8</v>
      </c>
      <c r="G3224" s="8" t="s">
        <v>14</v>
      </c>
      <c r="H3224" s="8" t="s">
        <v>3137</v>
      </c>
      <c r="I3224" s="153"/>
    </row>
    <row r="3225" spans="1:9" s="8" customFormat="1">
      <c r="A3225" s="13">
        <v>46002</v>
      </c>
      <c r="B3225" s="8" t="s">
        <v>7800</v>
      </c>
      <c r="C3225" s="290">
        <v>362800</v>
      </c>
      <c r="D3225" s="290">
        <v>0</v>
      </c>
      <c r="E3225" s="290">
        <f t="shared" si="49"/>
        <v>23540434</v>
      </c>
      <c r="F3225" s="40" t="s">
        <v>8</v>
      </c>
      <c r="G3225" s="8" t="s">
        <v>14</v>
      </c>
      <c r="H3225" s="8" t="s">
        <v>3137</v>
      </c>
      <c r="I3225" s="153"/>
    </row>
    <row r="3226" spans="1:9" s="8" customFormat="1">
      <c r="A3226" s="13">
        <v>46006</v>
      </c>
      <c r="B3226" s="8" t="s">
        <v>7801</v>
      </c>
      <c r="C3226" s="290">
        <v>351020</v>
      </c>
      <c r="D3226" s="290">
        <v>0</v>
      </c>
      <c r="E3226" s="290">
        <f t="shared" si="49"/>
        <v>23189414</v>
      </c>
      <c r="F3226" s="40" t="s">
        <v>8</v>
      </c>
      <c r="G3226" s="8" t="s">
        <v>14</v>
      </c>
      <c r="H3226" s="8" t="s">
        <v>3137</v>
      </c>
      <c r="I3226" s="153"/>
    </row>
    <row r="3227" spans="1:9" s="8" customFormat="1">
      <c r="A3227" s="13">
        <v>46010</v>
      </c>
      <c r="B3227" s="8" t="s">
        <v>7802</v>
      </c>
      <c r="C3227" s="290">
        <v>159600</v>
      </c>
      <c r="D3227" s="290">
        <v>0</v>
      </c>
      <c r="E3227" s="290">
        <f t="shared" ref="E3227:E3229" si="50">E3226-C3227+D3227</f>
        <v>23029814</v>
      </c>
      <c r="F3227" s="40" t="s">
        <v>8</v>
      </c>
      <c r="G3227" s="8" t="s">
        <v>14</v>
      </c>
      <c r="H3227" s="8" t="s">
        <v>26</v>
      </c>
      <c r="I3227" s="153"/>
    </row>
    <row r="3228" spans="1:9" s="8" customFormat="1">
      <c r="A3228" s="13">
        <v>46013</v>
      </c>
      <c r="B3228" s="8" t="s">
        <v>7799</v>
      </c>
      <c r="C3228" s="290">
        <v>96956</v>
      </c>
      <c r="D3228" s="290">
        <v>0</v>
      </c>
      <c r="E3228" s="290">
        <f t="shared" si="50"/>
        <v>22932858</v>
      </c>
      <c r="F3228" s="40" t="s">
        <v>19</v>
      </c>
      <c r="G3228" s="8" t="s">
        <v>65</v>
      </c>
      <c r="I3228" s="153"/>
    </row>
    <row r="3229" spans="1:9" s="8" customFormat="1">
      <c r="A3229" s="13">
        <v>46013</v>
      </c>
      <c r="B3229" s="8" t="s">
        <v>7819</v>
      </c>
      <c r="C3229" s="290">
        <v>324724</v>
      </c>
      <c r="D3229" s="290">
        <v>0</v>
      </c>
      <c r="E3229" s="290">
        <f t="shared" si="50"/>
        <v>22608134</v>
      </c>
      <c r="F3229" s="40" t="s">
        <v>8</v>
      </c>
      <c r="G3229" s="8" t="s">
        <v>184</v>
      </c>
      <c r="I3229" s="153"/>
    </row>
    <row r="3230" spans="1:9" s="8" customFormat="1">
      <c r="A3230" s="13">
        <v>46013</v>
      </c>
      <c r="B3230" s="8" t="s">
        <v>7803</v>
      </c>
      <c r="C3230" s="290">
        <v>371280</v>
      </c>
      <c r="D3230" s="290">
        <v>0</v>
      </c>
      <c r="E3230" s="290">
        <f t="shared" ref="E3230:E3292" si="51">E3229-C3230+D3230</f>
        <v>22236854</v>
      </c>
      <c r="F3230" s="40" t="s">
        <v>8</v>
      </c>
      <c r="G3230" s="8" t="s">
        <v>14</v>
      </c>
      <c r="H3230" s="8" t="s">
        <v>3137</v>
      </c>
      <c r="I3230" s="153"/>
    </row>
    <row r="3231" spans="1:9" s="8" customFormat="1">
      <c r="A3231" s="13">
        <v>46017</v>
      </c>
      <c r="B3231" s="8" t="s">
        <v>7820</v>
      </c>
      <c r="C3231" s="290">
        <v>17423286</v>
      </c>
      <c r="D3231" s="290">
        <v>0</v>
      </c>
      <c r="E3231" s="290">
        <f t="shared" si="51"/>
        <v>4813568</v>
      </c>
      <c r="F3231" s="40" t="s">
        <v>10</v>
      </c>
      <c r="G3231" s="8" t="s">
        <v>446</v>
      </c>
      <c r="H3231" s="8" t="s">
        <v>7821</v>
      </c>
      <c r="I3231" s="153"/>
    </row>
    <row r="3232" spans="1:9" s="8" customFormat="1">
      <c r="A3232" s="13">
        <v>46018</v>
      </c>
      <c r="B3232" s="8" t="s">
        <v>7822</v>
      </c>
      <c r="C3232" s="290">
        <v>2857143</v>
      </c>
      <c r="D3232" s="290">
        <v>0</v>
      </c>
      <c r="E3232" s="290">
        <f t="shared" si="51"/>
        <v>1956425</v>
      </c>
      <c r="F3232" s="40" t="s">
        <v>10</v>
      </c>
      <c r="G3232" s="8" t="s">
        <v>446</v>
      </c>
      <c r="H3232" s="8" t="s">
        <v>7821</v>
      </c>
      <c r="I3232" s="153"/>
    </row>
    <row r="3233" spans="1:9" s="8" customFormat="1">
      <c r="A3233" s="13">
        <v>46020</v>
      </c>
      <c r="B3233" s="8" t="s">
        <v>7800</v>
      </c>
      <c r="C3233" s="290">
        <v>403700</v>
      </c>
      <c r="D3233" s="290">
        <v>0</v>
      </c>
      <c r="E3233" s="290">
        <f t="shared" si="51"/>
        <v>1552725</v>
      </c>
      <c r="F3233" s="40" t="s">
        <v>8</v>
      </c>
      <c r="G3233" s="8" t="s">
        <v>14</v>
      </c>
      <c r="H3233" s="8" t="s">
        <v>3137</v>
      </c>
      <c r="I3233" s="153"/>
    </row>
    <row r="3234" spans="1:9" s="8" customFormat="1">
      <c r="A3234" s="13">
        <v>46020</v>
      </c>
      <c r="B3234" s="8" t="s">
        <v>7823</v>
      </c>
      <c r="C3234" s="290">
        <v>592557</v>
      </c>
      <c r="D3234" s="290">
        <v>0</v>
      </c>
      <c r="E3234" s="290">
        <f t="shared" si="51"/>
        <v>960168</v>
      </c>
      <c r="F3234" s="40" t="s">
        <v>21</v>
      </c>
      <c r="G3234" s="8" t="s">
        <v>187</v>
      </c>
      <c r="I3234" s="153"/>
    </row>
    <row r="3235" spans="1:9" s="8" customFormat="1">
      <c r="A3235" s="13">
        <v>46024</v>
      </c>
      <c r="B3235" s="8" t="s">
        <v>7804</v>
      </c>
      <c r="C3235" s="290">
        <v>10000</v>
      </c>
      <c r="D3235" s="290">
        <v>0</v>
      </c>
      <c r="E3235" s="290">
        <f t="shared" si="51"/>
        <v>950168</v>
      </c>
      <c r="F3235" s="40" t="s">
        <v>19</v>
      </c>
      <c r="G3235" s="8" t="s">
        <v>189</v>
      </c>
      <c r="I3235" s="153"/>
    </row>
    <row r="3236" spans="1:9" s="8" customFormat="1">
      <c r="A3236" s="13"/>
      <c r="B3236" s="8" t="s">
        <v>7805</v>
      </c>
      <c r="C3236" s="290">
        <v>695547</v>
      </c>
      <c r="D3236" s="290">
        <v>0</v>
      </c>
      <c r="E3236" s="290">
        <f t="shared" si="51"/>
        <v>254621</v>
      </c>
      <c r="F3236" s="40" t="s">
        <v>19</v>
      </c>
      <c r="G3236" s="8" t="s">
        <v>65</v>
      </c>
      <c r="I3236" s="153"/>
    </row>
    <row r="3237" spans="1:9" s="8" customFormat="1">
      <c r="A3237" s="13"/>
      <c r="B3237" s="8" t="s">
        <v>7805</v>
      </c>
      <c r="C3237" s="290">
        <v>254621</v>
      </c>
      <c r="D3237" s="290">
        <v>0</v>
      </c>
      <c r="E3237" s="290">
        <f t="shared" si="51"/>
        <v>0</v>
      </c>
      <c r="F3237" s="40" t="s">
        <v>19</v>
      </c>
      <c r="G3237" s="8" t="s">
        <v>65</v>
      </c>
      <c r="I3237" s="153"/>
    </row>
    <row r="3238" spans="1:9" s="8" customFormat="1">
      <c r="A3238" s="13">
        <v>46094</v>
      </c>
      <c r="B3238" s="8" t="s">
        <v>7829</v>
      </c>
      <c r="C3238" s="290">
        <v>0</v>
      </c>
      <c r="D3238" s="290">
        <v>327642222</v>
      </c>
      <c r="E3238" s="290">
        <f t="shared" si="51"/>
        <v>327642222</v>
      </c>
      <c r="F3238" s="40" t="s">
        <v>6</v>
      </c>
      <c r="G3238" s="8" t="s">
        <v>7</v>
      </c>
      <c r="H3238" s="8" t="s">
        <v>1352</v>
      </c>
      <c r="I3238" s="153"/>
    </row>
    <row r="3239" spans="1:9" s="8" customFormat="1">
      <c r="A3239" s="13"/>
      <c r="B3239" s="8" t="s">
        <v>7829</v>
      </c>
      <c r="C3239" s="290">
        <v>327642222</v>
      </c>
      <c r="D3239" s="290">
        <v>0</v>
      </c>
      <c r="E3239" s="290">
        <f t="shared" si="51"/>
        <v>0</v>
      </c>
      <c r="F3239" s="40" t="s">
        <v>1643</v>
      </c>
      <c r="G3239" s="8" t="s">
        <v>5</v>
      </c>
      <c r="H3239" s="8" t="s">
        <v>1352</v>
      </c>
      <c r="I3239" s="153"/>
    </row>
    <row r="3240" spans="1:9" s="8" customFormat="1">
      <c r="A3240" s="13">
        <v>46104</v>
      </c>
      <c r="B3240" s="8" t="s">
        <v>7830</v>
      </c>
      <c r="C3240" s="290">
        <v>0</v>
      </c>
      <c r="D3240" s="290">
        <v>58074757.840000004</v>
      </c>
      <c r="E3240" s="290">
        <f t="shared" si="51"/>
        <v>58074757.840000004</v>
      </c>
      <c r="F3240" s="40" t="s">
        <v>1209</v>
      </c>
      <c r="G3240" s="8" t="s">
        <v>192</v>
      </c>
      <c r="I3240" s="153"/>
    </row>
    <row r="3241" spans="1:9" s="8" customFormat="1">
      <c r="A3241" s="13"/>
      <c r="B3241" s="8" t="s">
        <v>54</v>
      </c>
      <c r="C3241" s="290">
        <v>14450000</v>
      </c>
      <c r="D3241" s="290">
        <v>0</v>
      </c>
      <c r="E3241" s="290">
        <f t="shared" si="51"/>
        <v>43624757.840000004</v>
      </c>
      <c r="F3241" s="40" t="s">
        <v>6</v>
      </c>
      <c r="G3241" s="8" t="s">
        <v>49</v>
      </c>
      <c r="H3241" s="8" t="s">
        <v>54</v>
      </c>
      <c r="I3241" s="153"/>
    </row>
    <row r="3242" spans="1:9" s="8" customFormat="1">
      <c r="A3242" s="13"/>
      <c r="B3242" s="8" t="s">
        <v>55</v>
      </c>
      <c r="C3242" s="290">
        <v>6338300</v>
      </c>
      <c r="D3242" s="290">
        <v>0</v>
      </c>
      <c r="E3242" s="290">
        <f t="shared" si="51"/>
        <v>37286457.840000004</v>
      </c>
      <c r="F3242" s="40" t="s">
        <v>6</v>
      </c>
      <c r="G3242" s="8" t="s">
        <v>49</v>
      </c>
      <c r="H3242" s="8" t="s">
        <v>55</v>
      </c>
      <c r="I3242" s="153"/>
    </row>
    <row r="3243" spans="1:9" s="8" customFormat="1">
      <c r="A3243" s="13"/>
      <c r="B3243" s="8" t="s">
        <v>56</v>
      </c>
      <c r="C3243" s="290">
        <v>39100</v>
      </c>
      <c r="D3243" s="290">
        <v>0</v>
      </c>
      <c r="E3243" s="290">
        <f t="shared" si="51"/>
        <v>37247357.840000004</v>
      </c>
      <c r="F3243" s="40" t="s">
        <v>6</v>
      </c>
      <c r="G3243" s="8" t="s">
        <v>49</v>
      </c>
      <c r="H3243" s="8" t="s">
        <v>56</v>
      </c>
      <c r="I3243" s="153"/>
    </row>
    <row r="3244" spans="1:9" s="8" customFormat="1">
      <c r="A3244" s="13"/>
      <c r="B3244" s="8" t="s">
        <v>57</v>
      </c>
      <c r="C3244" s="290">
        <v>15550</v>
      </c>
      <c r="D3244" s="290">
        <v>0</v>
      </c>
      <c r="E3244" s="290">
        <f t="shared" si="51"/>
        <v>37231807.840000004</v>
      </c>
      <c r="F3244" s="40" t="s">
        <v>6</v>
      </c>
      <c r="G3244" s="8" t="s">
        <v>49</v>
      </c>
      <c r="H3244" s="8" t="s">
        <v>57</v>
      </c>
      <c r="I3244" s="153"/>
    </row>
    <row r="3245" spans="1:9" s="8" customFormat="1">
      <c r="A3245" s="13"/>
      <c r="B3245" s="8" t="s">
        <v>256</v>
      </c>
      <c r="C3245" s="290">
        <v>778500</v>
      </c>
      <c r="D3245" s="290">
        <v>0</v>
      </c>
      <c r="E3245" s="290">
        <f t="shared" si="51"/>
        <v>36453307.840000004</v>
      </c>
      <c r="F3245" s="40" t="s">
        <v>6</v>
      </c>
      <c r="G3245" s="8" t="s">
        <v>49</v>
      </c>
      <c r="H3245" s="8" t="s">
        <v>256</v>
      </c>
      <c r="I3245" s="153"/>
    </row>
    <row r="3246" spans="1:9" s="8" customFormat="1">
      <c r="A3246" s="13"/>
      <c r="B3246" s="8" t="s">
        <v>12</v>
      </c>
      <c r="C3246" s="290">
        <v>352765</v>
      </c>
      <c r="D3246" s="290">
        <v>0</v>
      </c>
      <c r="E3246" s="290">
        <f t="shared" si="51"/>
        <v>36100542.840000004</v>
      </c>
      <c r="F3246" s="40" t="s">
        <v>6</v>
      </c>
      <c r="G3246" s="8" t="s">
        <v>49</v>
      </c>
      <c r="H3246" s="8" t="s">
        <v>12</v>
      </c>
      <c r="I3246" s="153"/>
    </row>
    <row r="3247" spans="1:9" s="8" customFormat="1">
      <c r="A3247" s="13"/>
      <c r="B3247" s="8" t="s">
        <v>58</v>
      </c>
      <c r="C3247" s="290">
        <v>146401</v>
      </c>
      <c r="D3247" s="290">
        <v>0</v>
      </c>
      <c r="E3247" s="290">
        <f t="shared" si="51"/>
        <v>35954141.840000004</v>
      </c>
      <c r="F3247" s="40" t="s">
        <v>6</v>
      </c>
      <c r="G3247" s="8" t="s">
        <v>49</v>
      </c>
      <c r="H3247" s="8" t="s">
        <v>58</v>
      </c>
      <c r="I3247" s="153"/>
    </row>
    <row r="3248" spans="1:9" s="8" customFormat="1">
      <c r="A3248" s="13"/>
      <c r="B3248" s="8" t="s">
        <v>270</v>
      </c>
      <c r="C3248" s="290">
        <v>398000</v>
      </c>
      <c r="D3248" s="290">
        <v>0</v>
      </c>
      <c r="E3248" s="290">
        <f t="shared" si="51"/>
        <v>35556141.840000004</v>
      </c>
      <c r="F3248" s="40" t="s">
        <v>6</v>
      </c>
      <c r="G3248" s="8" t="s">
        <v>49</v>
      </c>
      <c r="H3248" s="8" t="s">
        <v>270</v>
      </c>
      <c r="I3248" s="153"/>
    </row>
    <row r="3249" spans="1:9" s="8" customFormat="1">
      <c r="A3249" s="13"/>
      <c r="B3249" s="8" t="s">
        <v>255</v>
      </c>
      <c r="C3249" s="290">
        <v>2893700</v>
      </c>
      <c r="D3249" s="290">
        <v>0</v>
      </c>
      <c r="E3249" s="290">
        <f t="shared" si="51"/>
        <v>32662441.840000004</v>
      </c>
      <c r="F3249" s="40" t="s">
        <v>6</v>
      </c>
      <c r="G3249" s="8" t="s">
        <v>49</v>
      </c>
      <c r="H3249" s="8" t="s">
        <v>255</v>
      </c>
      <c r="I3249" s="153"/>
    </row>
    <row r="3250" spans="1:9" s="8" customFormat="1">
      <c r="A3250" s="13"/>
      <c r="B3250" s="8" t="s">
        <v>64</v>
      </c>
      <c r="C3250" s="290">
        <v>32662441.840000004</v>
      </c>
      <c r="D3250" s="290">
        <v>0</v>
      </c>
      <c r="E3250" s="290">
        <f t="shared" si="51"/>
        <v>0</v>
      </c>
      <c r="F3250" s="40" t="s">
        <v>6</v>
      </c>
      <c r="G3250" s="8" t="s">
        <v>49</v>
      </c>
      <c r="H3250" s="8" t="s">
        <v>64</v>
      </c>
      <c r="I3250" s="153"/>
    </row>
    <row r="3251" spans="1:9" s="8" customFormat="1">
      <c r="A3251" s="13">
        <v>46172</v>
      </c>
      <c r="B3251" s="8" t="s">
        <v>7825</v>
      </c>
      <c r="C3251" s="290">
        <v>0</v>
      </c>
      <c r="D3251" s="290">
        <v>2200000</v>
      </c>
      <c r="E3251" s="290">
        <f t="shared" si="51"/>
        <v>2200000</v>
      </c>
      <c r="F3251" s="40" t="s">
        <v>920</v>
      </c>
      <c r="G3251" s="8" t="s">
        <v>7857</v>
      </c>
      <c r="H3251" s="8" t="s">
        <v>7846</v>
      </c>
      <c r="I3251" s="153"/>
    </row>
    <row r="3252" spans="1:9" s="8" customFormat="1">
      <c r="A3252" s="13"/>
      <c r="B3252" s="8" t="s">
        <v>7825</v>
      </c>
      <c r="C3252" s="290">
        <v>2200000</v>
      </c>
      <c r="D3252" s="290">
        <v>0</v>
      </c>
      <c r="E3252" s="290">
        <f t="shared" si="51"/>
        <v>0</v>
      </c>
      <c r="F3252" s="40" t="s">
        <v>1209</v>
      </c>
      <c r="G3252" s="8" t="s">
        <v>69</v>
      </c>
      <c r="H3252" s="8" t="s">
        <v>7846</v>
      </c>
      <c r="I3252" s="153"/>
    </row>
    <row r="3253" spans="1:9" s="8" customFormat="1">
      <c r="A3253" s="13">
        <v>46172</v>
      </c>
      <c r="B3253" s="8" t="s">
        <v>7824</v>
      </c>
      <c r="C3253" s="290">
        <v>0</v>
      </c>
      <c r="D3253" s="290">
        <v>261800</v>
      </c>
      <c r="E3253" s="290">
        <f t="shared" si="51"/>
        <v>261800</v>
      </c>
      <c r="F3253" s="40" t="s">
        <v>10</v>
      </c>
      <c r="G3253" s="8" t="s">
        <v>94</v>
      </c>
      <c r="I3253" s="153"/>
    </row>
    <row r="3254" spans="1:9" s="8" customFormat="1">
      <c r="A3254" s="13"/>
      <c r="B3254" s="8" t="s">
        <v>7824</v>
      </c>
      <c r="C3254" s="290">
        <v>261800</v>
      </c>
      <c r="D3254" s="290">
        <v>0</v>
      </c>
      <c r="E3254" s="290">
        <f t="shared" si="51"/>
        <v>0</v>
      </c>
      <c r="F3254" s="40" t="s">
        <v>920</v>
      </c>
      <c r="G3254" s="8" t="s">
        <v>7858</v>
      </c>
      <c r="I3254" s="153"/>
    </row>
    <row r="3255" spans="1:9" s="8" customFormat="1">
      <c r="A3255" s="13">
        <v>46172</v>
      </c>
      <c r="B3255" s="8" t="s">
        <v>7883</v>
      </c>
      <c r="C3255" s="290">
        <v>0</v>
      </c>
      <c r="D3255" s="290">
        <f>49595169-38375697</f>
        <v>11219472</v>
      </c>
      <c r="E3255" s="290">
        <f t="shared" si="51"/>
        <v>11219472</v>
      </c>
      <c r="F3255" s="40" t="s">
        <v>920</v>
      </c>
      <c r="G3255" s="8" t="s">
        <v>7857</v>
      </c>
      <c r="H3255" s="8" t="s">
        <v>7884</v>
      </c>
      <c r="I3255" s="153"/>
    </row>
    <row r="3256" spans="1:9" s="8" customFormat="1">
      <c r="A3256" s="13"/>
      <c r="B3256" s="8" t="s">
        <v>7806</v>
      </c>
      <c r="C3256" s="290">
        <v>9285948</v>
      </c>
      <c r="D3256" s="290">
        <v>0</v>
      </c>
      <c r="E3256" s="290">
        <f t="shared" si="51"/>
        <v>1933524</v>
      </c>
      <c r="F3256" s="40" t="s">
        <v>920</v>
      </c>
      <c r="G3256" s="8" t="s">
        <v>7858</v>
      </c>
      <c r="H3256" s="8" t="s">
        <v>7806</v>
      </c>
      <c r="I3256" s="153"/>
    </row>
    <row r="3257" spans="1:9" s="8" customFormat="1">
      <c r="A3257" s="13"/>
      <c r="B3257" s="8" t="s">
        <v>7885</v>
      </c>
      <c r="C3257" s="290">
        <v>1933524</v>
      </c>
      <c r="D3257" s="290">
        <v>0</v>
      </c>
      <c r="E3257" s="290">
        <f t="shared" si="51"/>
        <v>0</v>
      </c>
      <c r="F3257" s="40" t="s">
        <v>1209</v>
      </c>
      <c r="G3257" s="8" t="s">
        <v>69</v>
      </c>
      <c r="I3257" s="153"/>
    </row>
    <row r="3258" spans="1:9" s="8" customFormat="1">
      <c r="A3258" s="13">
        <v>46185</v>
      </c>
      <c r="B3258" s="8" t="s">
        <v>7927</v>
      </c>
      <c r="C3258" s="290">
        <v>0</v>
      </c>
      <c r="D3258" s="290">
        <v>19404938</v>
      </c>
      <c r="E3258" s="290">
        <f t="shared" si="51"/>
        <v>19404938</v>
      </c>
      <c r="F3258" s="40" t="s">
        <v>6</v>
      </c>
      <c r="G3258" s="8" t="s">
        <v>7</v>
      </c>
      <c r="I3258" s="153"/>
    </row>
    <row r="3259" spans="1:9" s="8" customFormat="1">
      <c r="A3259" s="13"/>
      <c r="B3259" s="8" t="s">
        <v>7891</v>
      </c>
      <c r="C3259" s="290">
        <v>163415</v>
      </c>
      <c r="D3259" s="290">
        <v>0</v>
      </c>
      <c r="E3259" s="290">
        <f t="shared" si="51"/>
        <v>19241523</v>
      </c>
      <c r="F3259" s="40" t="s">
        <v>1643</v>
      </c>
      <c r="G3259" s="8" t="s">
        <v>5</v>
      </c>
      <c r="H3259" s="8" t="s">
        <v>6123</v>
      </c>
      <c r="I3259" s="153"/>
    </row>
    <row r="3260" spans="1:9" s="8" customFormat="1">
      <c r="A3260" s="13"/>
      <c r="B3260" s="8" t="s">
        <v>7892</v>
      </c>
      <c r="C3260" s="290">
        <v>6806591</v>
      </c>
      <c r="D3260" s="290">
        <v>0</v>
      </c>
      <c r="E3260" s="290">
        <f t="shared" si="51"/>
        <v>12434932</v>
      </c>
      <c r="F3260" s="40" t="s">
        <v>1643</v>
      </c>
      <c r="G3260" s="8" t="s">
        <v>5</v>
      </c>
      <c r="H3260" s="8" t="s">
        <v>2238</v>
      </c>
      <c r="I3260" s="153"/>
    </row>
    <row r="3261" spans="1:9" s="8" customFormat="1">
      <c r="A3261" s="13"/>
      <c r="B3261" s="8" t="s">
        <v>7893</v>
      </c>
      <c r="C3261" s="290">
        <v>1360325</v>
      </c>
      <c r="D3261" s="290">
        <v>0</v>
      </c>
      <c r="E3261" s="290">
        <f t="shared" si="51"/>
        <v>11074607</v>
      </c>
      <c r="F3261" s="40" t="s">
        <v>1643</v>
      </c>
      <c r="G3261" s="8" t="s">
        <v>5</v>
      </c>
      <c r="H3261" s="8" t="s">
        <v>2238</v>
      </c>
      <c r="I3261" s="153"/>
    </row>
    <row r="3262" spans="1:9" s="8" customFormat="1">
      <c r="A3262" s="13"/>
      <c r="B3262" s="8" t="s">
        <v>7894</v>
      </c>
      <c r="C3262" s="290">
        <v>307701</v>
      </c>
      <c r="D3262" s="290">
        <v>0</v>
      </c>
      <c r="E3262" s="290">
        <f t="shared" si="51"/>
        <v>10766906</v>
      </c>
      <c r="F3262" s="40" t="s">
        <v>1643</v>
      </c>
      <c r="G3262" s="8" t="s">
        <v>5</v>
      </c>
      <c r="H3262" s="8" t="s">
        <v>2238</v>
      </c>
      <c r="I3262" s="153"/>
    </row>
    <row r="3263" spans="1:9" s="8" customFormat="1">
      <c r="A3263" s="13"/>
      <c r="B3263" s="8" t="s">
        <v>7895</v>
      </c>
      <c r="C3263" s="290">
        <v>309000</v>
      </c>
      <c r="D3263" s="290">
        <v>0</v>
      </c>
      <c r="E3263" s="290">
        <f t="shared" si="51"/>
        <v>10457906</v>
      </c>
      <c r="F3263" s="40" t="s">
        <v>1643</v>
      </c>
      <c r="G3263" s="8" t="s">
        <v>5</v>
      </c>
      <c r="H3263" s="8" t="s">
        <v>2238</v>
      </c>
      <c r="I3263" s="153"/>
    </row>
    <row r="3264" spans="1:9" s="8" customFormat="1">
      <c r="A3264" s="13"/>
      <c r="B3264" s="8" t="s">
        <v>7896</v>
      </c>
      <c r="C3264" s="290">
        <v>2371450</v>
      </c>
      <c r="D3264" s="290">
        <v>0</v>
      </c>
      <c r="E3264" s="290">
        <f t="shared" si="51"/>
        <v>8086456</v>
      </c>
      <c r="F3264" s="40" t="s">
        <v>1643</v>
      </c>
      <c r="G3264" s="8" t="s">
        <v>5</v>
      </c>
      <c r="H3264" s="8" t="s">
        <v>2238</v>
      </c>
      <c r="I3264" s="153"/>
    </row>
    <row r="3265" spans="1:9" s="8" customFormat="1">
      <c r="A3265" s="13"/>
      <c r="B3265" s="8" t="s">
        <v>7897</v>
      </c>
      <c r="C3265" s="290">
        <v>137300</v>
      </c>
      <c r="D3265" s="290">
        <v>0</v>
      </c>
      <c r="E3265" s="290">
        <f t="shared" si="51"/>
        <v>7949156</v>
      </c>
      <c r="F3265" s="40" t="s">
        <v>1643</v>
      </c>
      <c r="G3265" s="8" t="s">
        <v>5</v>
      </c>
      <c r="H3265" s="8" t="s">
        <v>2238</v>
      </c>
      <c r="I3265" s="153"/>
    </row>
    <row r="3266" spans="1:9" s="8" customFormat="1">
      <c r="A3266" s="13"/>
      <c r="B3266" s="8" t="s">
        <v>7898</v>
      </c>
      <c r="C3266" s="290">
        <v>80400</v>
      </c>
      <c r="D3266" s="290">
        <v>0</v>
      </c>
      <c r="E3266" s="290">
        <f t="shared" si="51"/>
        <v>7868756</v>
      </c>
      <c r="F3266" s="40" t="s">
        <v>1643</v>
      </c>
      <c r="G3266" s="8" t="s">
        <v>5</v>
      </c>
      <c r="H3266" s="8" t="s">
        <v>5748</v>
      </c>
      <c r="I3266" s="153"/>
    </row>
    <row r="3267" spans="1:9" s="8" customFormat="1">
      <c r="A3267" s="13"/>
      <c r="B3267" s="8" t="s">
        <v>7899</v>
      </c>
      <c r="C3267" s="290">
        <v>35959</v>
      </c>
      <c r="D3267" s="290">
        <v>0</v>
      </c>
      <c r="E3267" s="290">
        <f t="shared" si="51"/>
        <v>7832797</v>
      </c>
      <c r="F3267" s="40" t="s">
        <v>1643</v>
      </c>
      <c r="G3267" s="8" t="s">
        <v>5</v>
      </c>
      <c r="H3267" s="8" t="s">
        <v>5748</v>
      </c>
      <c r="I3267" s="153"/>
    </row>
    <row r="3268" spans="1:9" s="8" customFormat="1">
      <c r="A3268" s="13"/>
      <c r="B3268" s="8" t="s">
        <v>7900</v>
      </c>
      <c r="C3268" s="290">
        <v>76297</v>
      </c>
      <c r="D3268" s="290">
        <v>0</v>
      </c>
      <c r="E3268" s="290">
        <f t="shared" si="51"/>
        <v>7756500</v>
      </c>
      <c r="F3268" s="40" t="s">
        <v>1643</v>
      </c>
      <c r="G3268" s="8" t="s">
        <v>5</v>
      </c>
      <c r="H3268" s="8" t="s">
        <v>5748</v>
      </c>
      <c r="I3268" s="153"/>
    </row>
    <row r="3269" spans="1:9" s="8" customFormat="1">
      <c r="A3269" s="13"/>
      <c r="B3269" s="8" t="s">
        <v>7901</v>
      </c>
      <c r="C3269" s="290">
        <v>120000</v>
      </c>
      <c r="D3269" s="290">
        <v>0</v>
      </c>
      <c r="E3269" s="290">
        <f t="shared" si="51"/>
        <v>7636500</v>
      </c>
      <c r="F3269" s="40" t="s">
        <v>1643</v>
      </c>
      <c r="G3269" s="8" t="s">
        <v>5</v>
      </c>
      <c r="H3269" s="8" t="s">
        <v>5748</v>
      </c>
      <c r="I3269" s="153"/>
    </row>
    <row r="3270" spans="1:9" s="8" customFormat="1">
      <c r="A3270" s="13"/>
      <c r="B3270" s="8" t="s">
        <v>7902</v>
      </c>
      <c r="C3270" s="290">
        <v>10000</v>
      </c>
      <c r="D3270" s="290">
        <v>0</v>
      </c>
      <c r="E3270" s="290">
        <f t="shared" si="51"/>
        <v>7626500</v>
      </c>
      <c r="F3270" s="40" t="s">
        <v>1643</v>
      </c>
      <c r="G3270" s="8" t="s">
        <v>5</v>
      </c>
      <c r="H3270" s="8" t="s">
        <v>5748</v>
      </c>
      <c r="I3270" s="153"/>
    </row>
    <row r="3271" spans="1:9" s="8" customFormat="1">
      <c r="A3271" s="13"/>
      <c r="B3271" s="8" t="s">
        <v>7903</v>
      </c>
      <c r="C3271" s="290">
        <v>54000</v>
      </c>
      <c r="D3271" s="290">
        <v>0</v>
      </c>
      <c r="E3271" s="290">
        <f t="shared" si="51"/>
        <v>7572500</v>
      </c>
      <c r="F3271" s="40" t="s">
        <v>1643</v>
      </c>
      <c r="G3271" s="8" t="s">
        <v>5</v>
      </c>
      <c r="H3271" s="8" t="s">
        <v>5748</v>
      </c>
      <c r="I3271" s="153"/>
    </row>
    <row r="3272" spans="1:9" s="8" customFormat="1">
      <c r="A3272" s="13"/>
      <c r="B3272" s="8" t="s">
        <v>7904</v>
      </c>
      <c r="C3272" s="290">
        <v>30000</v>
      </c>
      <c r="D3272" s="290">
        <v>0</v>
      </c>
      <c r="E3272" s="290">
        <f t="shared" si="51"/>
        <v>7542500</v>
      </c>
      <c r="F3272" s="40" t="s">
        <v>1643</v>
      </c>
      <c r="G3272" s="8" t="s">
        <v>5</v>
      </c>
      <c r="H3272" s="8" t="s">
        <v>5748</v>
      </c>
      <c r="I3272" s="153"/>
    </row>
    <row r="3273" spans="1:9" s="8" customFormat="1">
      <c r="A3273" s="13"/>
      <c r="B3273" s="8" t="s">
        <v>7905</v>
      </c>
      <c r="C3273" s="290">
        <v>25000</v>
      </c>
      <c r="D3273" s="290">
        <v>0</v>
      </c>
      <c r="E3273" s="290">
        <f t="shared" si="51"/>
        <v>7517500</v>
      </c>
      <c r="F3273" s="40" t="s">
        <v>1643</v>
      </c>
      <c r="G3273" s="8" t="s">
        <v>5</v>
      </c>
      <c r="H3273" s="8" t="s">
        <v>5748</v>
      </c>
      <c r="I3273" s="153"/>
    </row>
    <row r="3274" spans="1:9" s="8" customFormat="1">
      <c r="A3274" s="13"/>
      <c r="B3274" s="8" t="s">
        <v>5663</v>
      </c>
      <c r="C3274" s="290">
        <v>88000</v>
      </c>
      <c r="D3274" s="290">
        <v>0</v>
      </c>
      <c r="E3274" s="290">
        <f t="shared" si="51"/>
        <v>7429500</v>
      </c>
      <c r="F3274" s="40" t="s">
        <v>1643</v>
      </c>
      <c r="G3274" s="8" t="s">
        <v>5</v>
      </c>
      <c r="H3274" s="8" t="s">
        <v>5748</v>
      </c>
      <c r="I3274" s="153"/>
    </row>
    <row r="3275" spans="1:9" s="8" customFormat="1">
      <c r="A3275" s="13"/>
      <c r="B3275" s="8" t="s">
        <v>5676</v>
      </c>
      <c r="C3275" s="290">
        <v>150000</v>
      </c>
      <c r="D3275" s="290">
        <v>0</v>
      </c>
      <c r="E3275" s="290">
        <f t="shared" si="51"/>
        <v>7279500</v>
      </c>
      <c r="F3275" s="40" t="s">
        <v>1643</v>
      </c>
      <c r="G3275" s="8" t="s">
        <v>5</v>
      </c>
      <c r="H3275" s="8" t="s">
        <v>5748</v>
      </c>
      <c r="I3275" s="153"/>
    </row>
    <row r="3276" spans="1:9" s="8" customFormat="1">
      <c r="A3276" s="13"/>
      <c r="B3276" s="8" t="s">
        <v>7906</v>
      </c>
      <c r="C3276" s="290">
        <v>96000</v>
      </c>
      <c r="D3276" s="290">
        <v>0</v>
      </c>
      <c r="E3276" s="290">
        <f t="shared" si="51"/>
        <v>7183500</v>
      </c>
      <c r="F3276" s="40" t="s">
        <v>1643</v>
      </c>
      <c r="G3276" s="8" t="s">
        <v>5</v>
      </c>
      <c r="H3276" s="8" t="s">
        <v>5748</v>
      </c>
      <c r="I3276" s="153"/>
    </row>
    <row r="3277" spans="1:9" s="8" customFormat="1">
      <c r="A3277" s="13"/>
      <c r="B3277" s="8" t="s">
        <v>7907</v>
      </c>
      <c r="C3277" s="290">
        <v>315000</v>
      </c>
      <c r="D3277" s="290">
        <v>0</v>
      </c>
      <c r="E3277" s="290">
        <f t="shared" si="51"/>
        <v>6868500</v>
      </c>
      <c r="F3277" s="40" t="s">
        <v>1643</v>
      </c>
      <c r="G3277" s="8" t="s">
        <v>5</v>
      </c>
      <c r="H3277" s="8" t="s">
        <v>5748</v>
      </c>
      <c r="I3277" s="153"/>
    </row>
    <row r="3278" spans="1:9" s="8" customFormat="1">
      <c r="A3278" s="13"/>
      <c r="B3278" s="8" t="s">
        <v>7908</v>
      </c>
      <c r="C3278" s="290">
        <v>55500</v>
      </c>
      <c r="D3278" s="290">
        <v>0</v>
      </c>
      <c r="E3278" s="290">
        <f t="shared" si="51"/>
        <v>6813000</v>
      </c>
      <c r="F3278" s="40" t="s">
        <v>1643</v>
      </c>
      <c r="G3278" s="8" t="s">
        <v>5</v>
      </c>
      <c r="H3278" s="8" t="s">
        <v>5748</v>
      </c>
      <c r="I3278" s="153"/>
    </row>
    <row r="3279" spans="1:9" s="8" customFormat="1">
      <c r="A3279" s="13"/>
      <c r="B3279" s="8" t="s">
        <v>7909</v>
      </c>
      <c r="C3279" s="290">
        <v>60000</v>
      </c>
      <c r="D3279" s="290">
        <v>0</v>
      </c>
      <c r="E3279" s="290">
        <f t="shared" si="51"/>
        <v>6753000</v>
      </c>
      <c r="F3279" s="40" t="s">
        <v>1643</v>
      </c>
      <c r="G3279" s="8" t="s">
        <v>5</v>
      </c>
      <c r="H3279" s="8" t="s">
        <v>5748</v>
      </c>
      <c r="I3279" s="153"/>
    </row>
    <row r="3280" spans="1:9" s="8" customFormat="1">
      <c r="A3280" s="13"/>
      <c r="B3280" s="8" t="s">
        <v>7910</v>
      </c>
      <c r="C3280" s="290">
        <v>12000</v>
      </c>
      <c r="D3280" s="290">
        <v>0</v>
      </c>
      <c r="E3280" s="290">
        <f t="shared" si="51"/>
        <v>6741000</v>
      </c>
      <c r="F3280" s="40" t="s">
        <v>1643</v>
      </c>
      <c r="G3280" s="8" t="s">
        <v>5</v>
      </c>
      <c r="H3280" s="8" t="s">
        <v>5748</v>
      </c>
      <c r="I3280" s="153"/>
    </row>
    <row r="3281" spans="1:9" s="8" customFormat="1">
      <c r="A3281" s="13"/>
      <c r="B3281" s="8" t="s">
        <v>7911</v>
      </c>
      <c r="C3281" s="290">
        <v>184000</v>
      </c>
      <c r="D3281" s="290">
        <v>0</v>
      </c>
      <c r="E3281" s="290">
        <f t="shared" si="51"/>
        <v>6557000</v>
      </c>
      <c r="F3281" s="40" t="s">
        <v>1643</v>
      </c>
      <c r="G3281" s="8" t="s">
        <v>5</v>
      </c>
      <c r="H3281" s="8" t="s">
        <v>6123</v>
      </c>
      <c r="I3281" s="153"/>
    </row>
    <row r="3282" spans="1:9" s="8" customFormat="1">
      <c r="A3282" s="13"/>
      <c r="B3282" s="8" t="s">
        <v>7912</v>
      </c>
      <c r="C3282" s="290">
        <v>66000</v>
      </c>
      <c r="D3282" s="290">
        <v>0</v>
      </c>
      <c r="E3282" s="290">
        <f t="shared" si="51"/>
        <v>6491000</v>
      </c>
      <c r="F3282" s="40" t="s">
        <v>1643</v>
      </c>
      <c r="G3282" s="8" t="s">
        <v>5</v>
      </c>
      <c r="H3282" s="8" t="s">
        <v>6123</v>
      </c>
      <c r="I3282" s="153"/>
    </row>
    <row r="3283" spans="1:9" s="8" customFormat="1">
      <c r="A3283" s="13"/>
      <c r="B3283" s="8" t="s">
        <v>7913</v>
      </c>
      <c r="C3283" s="290">
        <v>50000</v>
      </c>
      <c r="D3283" s="290">
        <v>0</v>
      </c>
      <c r="E3283" s="290">
        <f t="shared" si="51"/>
        <v>6441000</v>
      </c>
      <c r="F3283" s="40" t="s">
        <v>1643</v>
      </c>
      <c r="G3283" s="8" t="s">
        <v>5</v>
      </c>
      <c r="H3283" s="8" t="s">
        <v>6123</v>
      </c>
      <c r="I3283" s="153"/>
    </row>
    <row r="3284" spans="1:9" s="8" customFormat="1">
      <c r="A3284" s="13"/>
      <c r="B3284" s="8" t="s">
        <v>7914</v>
      </c>
      <c r="C3284" s="290">
        <v>50000</v>
      </c>
      <c r="D3284" s="290">
        <v>0</v>
      </c>
      <c r="E3284" s="290">
        <f t="shared" si="51"/>
        <v>6391000</v>
      </c>
      <c r="F3284" s="40" t="s">
        <v>1643</v>
      </c>
      <c r="G3284" s="8" t="s">
        <v>5</v>
      </c>
      <c r="H3284" s="8" t="s">
        <v>6123</v>
      </c>
      <c r="I3284" s="153"/>
    </row>
    <row r="3285" spans="1:9" s="8" customFormat="1">
      <c r="A3285" s="13"/>
      <c r="B3285" s="8" t="s">
        <v>7915</v>
      </c>
      <c r="C3285" s="290">
        <v>650000</v>
      </c>
      <c r="D3285" s="290">
        <v>0</v>
      </c>
      <c r="E3285" s="290">
        <f t="shared" si="51"/>
        <v>5741000</v>
      </c>
      <c r="F3285" s="40" t="s">
        <v>1643</v>
      </c>
      <c r="G3285" s="8" t="s">
        <v>5</v>
      </c>
      <c r="H3285" s="8" t="s">
        <v>6123</v>
      </c>
      <c r="I3285" s="153"/>
    </row>
    <row r="3286" spans="1:9" s="8" customFormat="1">
      <c r="A3286" s="13"/>
      <c r="B3286" s="8" t="s">
        <v>7916</v>
      </c>
      <c r="C3286" s="290">
        <v>19500</v>
      </c>
      <c r="D3286" s="290">
        <v>0</v>
      </c>
      <c r="E3286" s="290">
        <f t="shared" si="51"/>
        <v>5721500</v>
      </c>
      <c r="F3286" s="40" t="s">
        <v>1643</v>
      </c>
      <c r="G3286" s="8" t="s">
        <v>5</v>
      </c>
      <c r="H3286" s="8" t="s">
        <v>6123</v>
      </c>
      <c r="I3286" s="153"/>
    </row>
    <row r="3287" spans="1:9" s="8" customFormat="1">
      <c r="A3287" s="13"/>
      <c r="B3287" s="8" t="s">
        <v>7917</v>
      </c>
      <c r="C3287" s="290">
        <v>19500</v>
      </c>
      <c r="D3287" s="290">
        <v>0</v>
      </c>
      <c r="E3287" s="290">
        <f t="shared" si="51"/>
        <v>5702000</v>
      </c>
      <c r="F3287" s="40" t="s">
        <v>1643</v>
      </c>
      <c r="G3287" s="8" t="s">
        <v>5</v>
      </c>
      <c r="H3287" s="8" t="s">
        <v>6123</v>
      </c>
      <c r="I3287" s="153"/>
    </row>
    <row r="3288" spans="1:9" s="8" customFormat="1">
      <c r="A3288" s="13"/>
      <c r="B3288" s="8" t="s">
        <v>7918</v>
      </c>
      <c r="C3288" s="290">
        <v>270000</v>
      </c>
      <c r="D3288" s="290">
        <v>0</v>
      </c>
      <c r="E3288" s="290">
        <f t="shared" si="51"/>
        <v>5432000</v>
      </c>
      <c r="F3288" s="40" t="s">
        <v>1643</v>
      </c>
      <c r="G3288" s="8" t="s">
        <v>5</v>
      </c>
      <c r="H3288" s="8" t="s">
        <v>6123</v>
      </c>
      <c r="I3288" s="153"/>
    </row>
    <row r="3289" spans="1:9" s="8" customFormat="1">
      <c r="A3289" s="13"/>
      <c r="B3289" s="8" t="s">
        <v>7919</v>
      </c>
      <c r="C3289" s="290">
        <v>200000</v>
      </c>
      <c r="D3289" s="290">
        <v>0</v>
      </c>
      <c r="E3289" s="290">
        <f t="shared" si="51"/>
        <v>5232000</v>
      </c>
      <c r="F3289" s="40" t="s">
        <v>1643</v>
      </c>
      <c r="G3289" s="8" t="s">
        <v>5</v>
      </c>
      <c r="H3289" s="8" t="s">
        <v>6123</v>
      </c>
      <c r="I3289" s="153"/>
    </row>
    <row r="3290" spans="1:9" s="8" customFormat="1">
      <c r="A3290" s="13"/>
      <c r="B3290" s="8" t="s">
        <v>7920</v>
      </c>
      <c r="C3290" s="290">
        <v>134000</v>
      </c>
      <c r="D3290" s="290">
        <v>0</v>
      </c>
      <c r="E3290" s="290">
        <f t="shared" si="51"/>
        <v>5098000</v>
      </c>
      <c r="F3290" s="40" t="s">
        <v>1643</v>
      </c>
      <c r="G3290" s="8" t="s">
        <v>5</v>
      </c>
      <c r="H3290" s="8" t="s">
        <v>6123</v>
      </c>
      <c r="I3290" s="153"/>
    </row>
    <row r="3291" spans="1:9" s="8" customFormat="1">
      <c r="A3291" s="13"/>
      <c r="B3291" s="8" t="s">
        <v>7921</v>
      </c>
      <c r="C3291" s="290">
        <v>150000</v>
      </c>
      <c r="D3291" s="290">
        <v>0</v>
      </c>
      <c r="E3291" s="290">
        <f t="shared" si="51"/>
        <v>4948000</v>
      </c>
      <c r="F3291" s="40" t="s">
        <v>1643</v>
      </c>
      <c r="G3291" s="8" t="s">
        <v>5</v>
      </c>
      <c r="H3291" s="8" t="s">
        <v>6123</v>
      </c>
      <c r="I3291" s="153"/>
    </row>
    <row r="3292" spans="1:9" s="8" customFormat="1">
      <c r="A3292" s="13"/>
      <c r="B3292" s="8" t="s">
        <v>7922</v>
      </c>
      <c r="C3292" s="290">
        <v>7000</v>
      </c>
      <c r="D3292" s="290">
        <v>0</v>
      </c>
      <c r="E3292" s="290">
        <f t="shared" si="51"/>
        <v>4941000</v>
      </c>
      <c r="F3292" s="40" t="s">
        <v>1643</v>
      </c>
      <c r="G3292" s="8" t="s">
        <v>5</v>
      </c>
      <c r="H3292" s="8" t="s">
        <v>6123</v>
      </c>
      <c r="I3292" s="153"/>
    </row>
    <row r="3293" spans="1:9" s="8" customFormat="1">
      <c r="A3293" s="13"/>
      <c r="B3293" s="8" t="s">
        <v>7923</v>
      </c>
      <c r="C3293" s="290">
        <v>27000</v>
      </c>
      <c r="D3293" s="290">
        <v>0</v>
      </c>
      <c r="E3293" s="290">
        <f t="shared" ref="E3293:E3301" si="52">E3292-C3293+D3293</f>
        <v>4914000</v>
      </c>
      <c r="F3293" s="40" t="s">
        <v>1643</v>
      </c>
      <c r="G3293" s="8" t="s">
        <v>5</v>
      </c>
      <c r="H3293" s="8" t="s">
        <v>6123</v>
      </c>
      <c r="I3293" s="153"/>
    </row>
    <row r="3294" spans="1:9" s="8" customFormat="1">
      <c r="A3294" s="13"/>
      <c r="B3294" s="8" t="s">
        <v>7924</v>
      </c>
      <c r="C3294" s="290">
        <v>27000</v>
      </c>
      <c r="D3294" s="290">
        <v>0</v>
      </c>
      <c r="E3294" s="290">
        <f t="shared" si="52"/>
        <v>4887000</v>
      </c>
      <c r="F3294" s="40" t="s">
        <v>1643</v>
      </c>
      <c r="G3294" s="8" t="s">
        <v>5</v>
      </c>
      <c r="H3294" s="8" t="s">
        <v>6123</v>
      </c>
      <c r="I3294" s="153"/>
    </row>
    <row r="3295" spans="1:9" s="8" customFormat="1">
      <c r="A3295" s="13"/>
      <c r="B3295" s="8" t="s">
        <v>7925</v>
      </c>
      <c r="C3295" s="290">
        <v>4717000</v>
      </c>
      <c r="D3295" s="290">
        <v>0</v>
      </c>
      <c r="E3295" s="290">
        <f t="shared" si="52"/>
        <v>170000</v>
      </c>
      <c r="F3295" s="40" t="s">
        <v>1643</v>
      </c>
      <c r="G3295" s="8" t="s">
        <v>5</v>
      </c>
      <c r="H3295" s="8" t="s">
        <v>2238</v>
      </c>
      <c r="I3295" s="153"/>
    </row>
    <row r="3296" spans="1:9" s="8" customFormat="1">
      <c r="A3296" s="13"/>
      <c r="B3296" s="8" t="s">
        <v>7926</v>
      </c>
      <c r="C3296" s="290">
        <v>170000</v>
      </c>
      <c r="D3296" s="290">
        <v>0</v>
      </c>
      <c r="E3296" s="290">
        <f t="shared" si="52"/>
        <v>0</v>
      </c>
      <c r="F3296" s="40" t="s">
        <v>1643</v>
      </c>
      <c r="G3296" s="8" t="s">
        <v>5</v>
      </c>
      <c r="H3296" s="8" t="s">
        <v>2238</v>
      </c>
      <c r="I3296" s="153"/>
    </row>
    <row r="3297" spans="1:9" s="8" customFormat="1">
      <c r="A3297" s="13">
        <v>46190</v>
      </c>
      <c r="B3297" s="8" t="s">
        <v>7936</v>
      </c>
      <c r="C3297" s="290">
        <v>0</v>
      </c>
      <c r="D3297" s="290">
        <v>1249350000</v>
      </c>
      <c r="E3297" s="290">
        <f t="shared" si="52"/>
        <v>1249350000</v>
      </c>
      <c r="F3297" s="40" t="s">
        <v>6</v>
      </c>
      <c r="G3297" s="8" t="s">
        <v>24</v>
      </c>
      <c r="H3297" t="s">
        <v>45</v>
      </c>
      <c r="I3297" s="153"/>
    </row>
    <row r="3298" spans="1:9" s="8" customFormat="1">
      <c r="A3298" s="13"/>
      <c r="B3298" s="8" t="s">
        <v>7939</v>
      </c>
      <c r="C3298" s="290">
        <v>0</v>
      </c>
      <c r="D3298" s="290">
        <f>D3297*80%</f>
        <v>999480000</v>
      </c>
      <c r="E3298" s="290">
        <f t="shared" si="52"/>
        <v>2248830000</v>
      </c>
      <c r="F3298" s="40" t="s">
        <v>6</v>
      </c>
      <c r="G3298" s="8" t="s">
        <v>24</v>
      </c>
      <c r="H3298" t="s">
        <v>25</v>
      </c>
      <c r="I3298" s="153"/>
    </row>
    <row r="3299" spans="1:9" s="8" customFormat="1">
      <c r="A3299" s="13"/>
      <c r="B3299" s="8" t="s">
        <v>7937</v>
      </c>
      <c r="C3299" s="290">
        <f>D3297+D3298</f>
        <v>2248830000</v>
      </c>
      <c r="D3299" s="290"/>
      <c r="E3299" s="290">
        <f t="shared" si="52"/>
        <v>0</v>
      </c>
      <c r="F3299" s="40" t="s">
        <v>1297</v>
      </c>
      <c r="G3299" s="8" t="s">
        <v>1211</v>
      </c>
      <c r="H3299" s="8" t="s">
        <v>5983</v>
      </c>
      <c r="I3299" s="153"/>
    </row>
    <row r="3300" spans="1:9" s="8" customFormat="1">
      <c r="A3300" s="13"/>
      <c r="B3300" s="8" t="s">
        <v>7938</v>
      </c>
      <c r="C3300" s="290">
        <v>0</v>
      </c>
      <c r="D3300" s="290">
        <v>190650000</v>
      </c>
      <c r="E3300" s="290">
        <f t="shared" si="52"/>
        <v>190650000</v>
      </c>
      <c r="F3300" s="40" t="s">
        <v>6</v>
      </c>
      <c r="G3300" s="8" t="s">
        <v>13</v>
      </c>
      <c r="H3300" t="s">
        <v>7935</v>
      </c>
      <c r="I3300" s="153"/>
    </row>
    <row r="3301" spans="1:9" s="8" customFormat="1">
      <c r="A3301" s="13"/>
      <c r="B3301" s="8" t="s">
        <v>7938</v>
      </c>
      <c r="C3301" s="290">
        <f>D3300</f>
        <v>190650000</v>
      </c>
      <c r="D3301" s="290">
        <v>0</v>
      </c>
      <c r="E3301" s="290">
        <f t="shared" si="52"/>
        <v>0</v>
      </c>
      <c r="F3301" s="40" t="s">
        <v>62</v>
      </c>
      <c r="G3301" s="8" t="s">
        <v>66</v>
      </c>
      <c r="H3301"/>
      <c r="I3301" s="153"/>
    </row>
    <row r="3302" spans="1:9" s="8" customFormat="1">
      <c r="A3302" s="13"/>
      <c r="C3302" s="290"/>
      <c r="D3302" s="290"/>
      <c r="E3302" s="290"/>
      <c r="F3302" s="40"/>
      <c r="I3302" s="153"/>
    </row>
    <row r="3303" spans="1:9">
      <c r="C3303" s="297">
        <f>SUBTOTAL(9,C5:C3302)</f>
        <v>17395978652.400002</v>
      </c>
      <c r="D3303" s="283">
        <f>SUBTOTAL(9,D5:D3302)</f>
        <v>17395978652.400002</v>
      </c>
    </row>
    <row r="3304" spans="1:9">
      <c r="D3304" s="283">
        <f>D3303-C3303</f>
        <v>0</v>
      </c>
    </row>
  </sheetData>
  <autoFilter ref="A4:J3301"/>
  <phoneticPr fontId="27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0"/>
  <sheetViews>
    <sheetView topLeftCell="R171" zoomScale="91" zoomScaleNormal="93" workbookViewId="0">
      <selection activeCell="M22" sqref="M22"/>
    </sheetView>
  </sheetViews>
  <sheetFormatPr defaultColWidth="4.33203125" defaultRowHeight="15.75"/>
  <cols>
    <col min="1" max="1" width="8" style="147" customWidth="1"/>
    <col min="2" max="2" width="23.77734375" style="146" customWidth="1"/>
    <col min="3" max="3" width="12.109375" style="275" customWidth="1"/>
    <col min="4" max="4" width="7.109375" style="147" customWidth="1"/>
    <col min="5" max="5" width="54.33203125" style="146" customWidth="1"/>
    <col min="6" max="6" width="61" style="146" customWidth="1"/>
    <col min="7" max="7" width="62.109375" style="146" customWidth="1"/>
    <col min="8" max="8" width="21" style="227" customWidth="1"/>
    <col min="9" max="9" width="20.44140625" style="227" customWidth="1"/>
    <col min="10" max="10" width="22.44140625" style="227" customWidth="1"/>
    <col min="11" max="11" width="24" style="227" bestFit="1" customWidth="1"/>
    <col min="12" max="12" width="5.44140625" style="258" customWidth="1"/>
    <col min="13" max="14" width="19" style="227" customWidth="1"/>
    <col min="15" max="15" width="24.109375" style="227" customWidth="1"/>
    <col min="16" max="16" width="25" style="227" customWidth="1"/>
    <col min="17" max="18" width="19.33203125" style="227" customWidth="1"/>
    <col min="19" max="19" width="18.6640625" style="227" customWidth="1"/>
    <col min="20" max="20" width="14.44140625" style="227" customWidth="1"/>
    <col min="21" max="21" width="18.44140625" style="227" customWidth="1"/>
    <col min="22" max="22" width="18.77734375" style="227" customWidth="1"/>
    <col min="23" max="23" width="20" style="227" customWidth="1"/>
    <col min="24" max="24" width="21.6640625" style="227" customWidth="1"/>
    <col min="25" max="25" width="6" style="234" customWidth="1"/>
    <col min="26" max="26" width="20.77734375" style="234" customWidth="1"/>
    <col min="27" max="27" width="19" style="227" customWidth="1"/>
    <col min="28" max="29" width="21.109375" style="227" customWidth="1"/>
    <col min="30" max="30" width="72.6640625" style="146" customWidth="1"/>
    <col min="31" max="16384" width="4.33203125" style="146"/>
  </cols>
  <sheetData>
    <row r="1" spans="1:38">
      <c r="A1" s="145" t="s">
        <v>2203</v>
      </c>
      <c r="B1" s="154"/>
      <c r="C1" s="35"/>
      <c r="D1" s="152"/>
      <c r="F1" s="156"/>
      <c r="I1" s="227" t="s">
        <v>26</v>
      </c>
      <c r="J1" s="227" t="s">
        <v>26</v>
      </c>
      <c r="K1" s="227" t="s">
        <v>26</v>
      </c>
      <c r="L1" s="348"/>
    </row>
    <row r="2" spans="1:38" ht="16.5" thickBot="1">
      <c r="B2" s="37" t="s">
        <v>26</v>
      </c>
      <c r="C2" s="70" t="s">
        <v>26</v>
      </c>
      <c r="D2" s="152" t="s">
        <v>26</v>
      </c>
      <c r="E2" s="154" t="s">
        <v>26</v>
      </c>
      <c r="F2" s="146" t="s">
        <v>26</v>
      </c>
      <c r="H2" s="246" t="s">
        <v>26</v>
      </c>
      <c r="I2" s="246">
        <v>0</v>
      </c>
      <c r="J2" s="231" t="s">
        <v>26</v>
      </c>
      <c r="L2" s="221"/>
      <c r="P2" s="253" t="s">
        <v>26</v>
      </c>
      <c r="Z2" s="235"/>
    </row>
    <row r="3" spans="1:38" ht="16.5" thickBot="1">
      <c r="A3" s="135" t="s">
        <v>401</v>
      </c>
      <c r="B3" s="123" t="s">
        <v>402</v>
      </c>
      <c r="C3" s="148" t="s">
        <v>82</v>
      </c>
      <c r="D3" s="123" t="s">
        <v>83</v>
      </c>
      <c r="E3" s="123" t="s">
        <v>259</v>
      </c>
      <c r="F3" s="123" t="s">
        <v>260</v>
      </c>
      <c r="G3" s="149" t="s">
        <v>84</v>
      </c>
      <c r="H3" s="350" t="s">
        <v>261</v>
      </c>
      <c r="I3" s="351"/>
      <c r="J3" s="352"/>
      <c r="K3" s="353" t="s">
        <v>10</v>
      </c>
      <c r="L3" s="221"/>
      <c r="M3" s="250" t="s">
        <v>262</v>
      </c>
      <c r="N3" s="251"/>
      <c r="O3" s="251"/>
      <c r="P3" s="251"/>
      <c r="Q3" s="251"/>
      <c r="R3" s="252"/>
      <c r="S3" s="251"/>
      <c r="T3" s="251"/>
      <c r="U3" s="251"/>
      <c r="V3" s="251"/>
      <c r="W3" s="228"/>
      <c r="X3" s="236" t="s">
        <v>92</v>
      </c>
      <c r="Y3" s="133"/>
      <c r="Z3" s="237" t="s">
        <v>263</v>
      </c>
      <c r="AA3" s="238" t="s">
        <v>88</v>
      </c>
      <c r="AB3" s="239"/>
      <c r="AC3" s="240"/>
      <c r="AD3" s="150" t="s">
        <v>264</v>
      </c>
    </row>
    <row r="4" spans="1:38" s="147" customFormat="1" ht="16.5" thickBot="1">
      <c r="A4" s="23" t="s">
        <v>26</v>
      </c>
      <c r="B4" s="23"/>
      <c r="C4" s="220"/>
      <c r="D4" s="23"/>
      <c r="E4" s="23"/>
      <c r="F4" s="23"/>
      <c r="G4" s="23"/>
      <c r="H4" s="354" t="s">
        <v>85</v>
      </c>
      <c r="I4" s="355" t="s">
        <v>86</v>
      </c>
      <c r="J4" s="356" t="s">
        <v>87</v>
      </c>
      <c r="K4" s="357" t="s">
        <v>265</v>
      </c>
      <c r="L4" s="221"/>
      <c r="M4" s="243" t="s">
        <v>486</v>
      </c>
      <c r="N4" s="229" t="s">
        <v>457</v>
      </c>
      <c r="O4" s="229" t="s">
        <v>4235</v>
      </c>
      <c r="P4" s="229" t="s">
        <v>4236</v>
      </c>
      <c r="Q4" s="229" t="s">
        <v>455</v>
      </c>
      <c r="R4" s="229" t="s">
        <v>456</v>
      </c>
      <c r="S4" s="229" t="s">
        <v>42</v>
      </c>
      <c r="T4" s="229" t="s">
        <v>241</v>
      </c>
      <c r="U4" s="229" t="s">
        <v>90</v>
      </c>
      <c r="V4" s="229" t="s">
        <v>239</v>
      </c>
      <c r="W4" s="229" t="s">
        <v>267</v>
      </c>
      <c r="X4" s="241" t="s">
        <v>41</v>
      </c>
      <c r="Y4" s="133"/>
      <c r="Z4" s="242"/>
      <c r="AA4" s="229"/>
      <c r="AB4" s="243" t="s">
        <v>274</v>
      </c>
      <c r="AC4" s="244" t="s">
        <v>275</v>
      </c>
      <c r="AD4" s="151"/>
    </row>
    <row r="5" spans="1:38" s="155" customFormat="1">
      <c r="A5" s="152">
        <v>1</v>
      </c>
      <c r="B5" s="37" t="s">
        <v>1464</v>
      </c>
      <c r="C5" s="70">
        <v>45674</v>
      </c>
      <c r="D5" s="35">
        <v>2025</v>
      </c>
      <c r="E5" s="154" t="s">
        <v>364</v>
      </c>
      <c r="F5" s="154" t="s">
        <v>1352</v>
      </c>
      <c r="G5" s="154" t="s">
        <v>1564</v>
      </c>
      <c r="H5" s="231">
        <v>75000000</v>
      </c>
      <c r="I5" s="231">
        <v>0</v>
      </c>
      <c r="J5" s="231">
        <f>H5*11%</f>
        <v>8250000</v>
      </c>
      <c r="K5" s="231">
        <f t="shared" ref="K5:K68" si="0">SUM(H5:J5)</f>
        <v>83250000</v>
      </c>
      <c r="L5" s="221"/>
      <c r="M5" s="231">
        <v>0</v>
      </c>
      <c r="N5" s="230">
        <v>0</v>
      </c>
      <c r="O5" s="230">
        <v>0</v>
      </c>
      <c r="P5" s="230">
        <v>73500000</v>
      </c>
      <c r="Q5" s="230">
        <v>0</v>
      </c>
      <c r="R5" s="230">
        <v>0</v>
      </c>
      <c r="S5" s="230">
        <v>0</v>
      </c>
      <c r="T5" s="230">
        <v>0</v>
      </c>
      <c r="U5" s="230">
        <v>0</v>
      </c>
      <c r="V5" s="230">
        <v>0</v>
      </c>
      <c r="W5" s="230">
        <v>9750000</v>
      </c>
      <c r="X5" s="230">
        <f t="shared" ref="X5:X68" si="1">K5-SUM(M5:W5)</f>
        <v>0</v>
      </c>
      <c r="Y5" s="230"/>
      <c r="Z5" s="158">
        <f t="shared" ref="Z5:Z68" si="2">-J5</f>
        <v>-8250000</v>
      </c>
      <c r="AA5" s="245">
        <f t="shared" ref="AA5:AA29" si="3">-(H5+I5)*2%</f>
        <v>-1500000</v>
      </c>
      <c r="AB5" s="230">
        <f t="shared" ref="AB5:AB41" si="4">K5+Z5+AA5</f>
        <v>73500000</v>
      </c>
      <c r="AC5" s="246">
        <v>0</v>
      </c>
      <c r="AD5" s="37"/>
    </row>
    <row r="6" spans="1:38" s="211" customFormat="1">
      <c r="A6" s="152">
        <f t="shared" ref="A6:A69" si="5">A5+1</f>
        <v>2</v>
      </c>
      <c r="B6" s="37" t="s">
        <v>1465</v>
      </c>
      <c r="C6" s="70">
        <v>45689</v>
      </c>
      <c r="D6" s="35">
        <v>2025</v>
      </c>
      <c r="E6" s="154" t="s">
        <v>304</v>
      </c>
      <c r="F6" s="154" t="s">
        <v>1352</v>
      </c>
      <c r="G6" s="211" t="s">
        <v>1564</v>
      </c>
      <c r="H6" s="246">
        <v>675675676</v>
      </c>
      <c r="I6" s="246">
        <v>0</v>
      </c>
      <c r="J6" s="231">
        <v>74324324</v>
      </c>
      <c r="K6" s="231">
        <f t="shared" si="0"/>
        <v>750000000</v>
      </c>
      <c r="L6" s="221"/>
      <c r="M6" s="231">
        <v>0</v>
      </c>
      <c r="N6" s="231">
        <v>0</v>
      </c>
      <c r="O6" s="230">
        <v>0</v>
      </c>
      <c r="P6" s="230">
        <v>662162163</v>
      </c>
      <c r="Q6" s="231">
        <v>0</v>
      </c>
      <c r="R6" s="231">
        <v>0</v>
      </c>
      <c r="S6" s="231">
        <v>0</v>
      </c>
      <c r="T6" s="231">
        <v>0</v>
      </c>
      <c r="U6" s="230">
        <v>0</v>
      </c>
      <c r="V6" s="231">
        <v>0</v>
      </c>
      <c r="W6" s="230">
        <v>87837837</v>
      </c>
      <c r="X6" s="230">
        <f t="shared" si="1"/>
        <v>0</v>
      </c>
      <c r="Y6" s="158"/>
      <c r="Z6" s="158">
        <f t="shared" si="2"/>
        <v>-74324324</v>
      </c>
      <c r="AA6" s="245">
        <f t="shared" si="3"/>
        <v>-13513513.52</v>
      </c>
      <c r="AB6" s="230">
        <f t="shared" si="4"/>
        <v>662162162.48000002</v>
      </c>
      <c r="AC6" s="246">
        <v>0</v>
      </c>
      <c r="AD6" s="154"/>
      <c r="AE6" s="78" t="s">
        <v>26</v>
      </c>
      <c r="AF6"/>
      <c r="AG6"/>
      <c r="AH6"/>
      <c r="AI6"/>
      <c r="AJ6"/>
      <c r="AK6"/>
      <c r="AL6"/>
    </row>
    <row r="7" spans="1:38" s="155" customFormat="1">
      <c r="A7" s="152">
        <f t="shared" si="5"/>
        <v>3</v>
      </c>
      <c r="B7" s="37" t="s">
        <v>1466</v>
      </c>
      <c r="C7" s="70">
        <v>45689</v>
      </c>
      <c r="D7" s="35">
        <v>2025</v>
      </c>
      <c r="E7" s="154" t="s">
        <v>393</v>
      </c>
      <c r="F7" s="154" t="s">
        <v>1352</v>
      </c>
      <c r="G7" s="154" t="s">
        <v>1564</v>
      </c>
      <c r="H7" s="231">
        <v>225225225</v>
      </c>
      <c r="I7" s="231">
        <v>0</v>
      </c>
      <c r="J7" s="231">
        <v>24774775</v>
      </c>
      <c r="K7" s="231">
        <f t="shared" si="0"/>
        <v>250000000</v>
      </c>
      <c r="L7" s="221"/>
      <c r="M7" s="231">
        <v>0</v>
      </c>
      <c r="N7" s="230">
        <v>0</v>
      </c>
      <c r="O7" s="230">
        <v>0</v>
      </c>
      <c r="P7" s="230">
        <v>0</v>
      </c>
      <c r="Q7" s="230">
        <v>0</v>
      </c>
      <c r="R7" s="230">
        <v>0</v>
      </c>
      <c r="S7" s="230">
        <v>220720720</v>
      </c>
      <c r="T7" s="230">
        <v>0</v>
      </c>
      <c r="U7" s="230">
        <v>0</v>
      </c>
      <c r="V7" s="230">
        <v>0</v>
      </c>
      <c r="W7" s="230">
        <v>29279280</v>
      </c>
      <c r="X7" s="230">
        <f t="shared" si="1"/>
        <v>0</v>
      </c>
      <c r="Y7" s="230"/>
      <c r="Z7" s="158">
        <f t="shared" si="2"/>
        <v>-24774775</v>
      </c>
      <c r="AA7" s="245">
        <f t="shared" si="3"/>
        <v>-4504504.5</v>
      </c>
      <c r="AB7" s="230">
        <f t="shared" si="4"/>
        <v>220720720.5</v>
      </c>
      <c r="AC7" s="231">
        <v>0</v>
      </c>
      <c r="AD7" s="37"/>
    </row>
    <row r="8" spans="1:38" s="155" customFormat="1">
      <c r="A8" s="152">
        <f t="shared" si="5"/>
        <v>4</v>
      </c>
      <c r="B8" s="37" t="s">
        <v>1467</v>
      </c>
      <c r="C8" s="70">
        <v>45689</v>
      </c>
      <c r="D8" s="35">
        <v>2025</v>
      </c>
      <c r="E8" s="154" t="s">
        <v>405</v>
      </c>
      <c r="F8" s="154" t="s">
        <v>1352</v>
      </c>
      <c r="G8" s="154" t="s">
        <v>1564</v>
      </c>
      <c r="H8" s="231">
        <v>75000000</v>
      </c>
      <c r="I8" s="231">
        <v>0</v>
      </c>
      <c r="J8" s="231">
        <v>8250000</v>
      </c>
      <c r="K8" s="231">
        <f t="shared" si="0"/>
        <v>83250000</v>
      </c>
      <c r="L8" s="221"/>
      <c r="M8" s="231">
        <v>0</v>
      </c>
      <c r="N8" s="230">
        <v>0</v>
      </c>
      <c r="O8" s="230">
        <v>0</v>
      </c>
      <c r="P8" s="230">
        <v>73500000</v>
      </c>
      <c r="Q8" s="230">
        <v>0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9750000</v>
      </c>
      <c r="X8" s="230">
        <f t="shared" si="1"/>
        <v>0</v>
      </c>
      <c r="Y8" s="230"/>
      <c r="Z8" s="158">
        <f t="shared" si="2"/>
        <v>-8250000</v>
      </c>
      <c r="AA8" s="245">
        <f t="shared" si="3"/>
        <v>-1500000</v>
      </c>
      <c r="AB8" s="230">
        <f t="shared" si="4"/>
        <v>73500000</v>
      </c>
      <c r="AC8" s="231">
        <v>0</v>
      </c>
      <c r="AD8" s="37"/>
    </row>
    <row r="9" spans="1:38" s="211" customFormat="1">
      <c r="A9" s="152">
        <f t="shared" si="5"/>
        <v>5</v>
      </c>
      <c r="B9" s="37" t="s">
        <v>1468</v>
      </c>
      <c r="C9" s="70">
        <v>45687</v>
      </c>
      <c r="D9" s="35">
        <v>2025</v>
      </c>
      <c r="E9" s="211" t="s">
        <v>307</v>
      </c>
      <c r="F9" s="154" t="s">
        <v>1352</v>
      </c>
      <c r="G9" s="154" t="s">
        <v>1564</v>
      </c>
      <c r="H9" s="119">
        <v>675675676</v>
      </c>
      <c r="I9" s="119">
        <v>0</v>
      </c>
      <c r="J9" s="119">
        <v>74324324</v>
      </c>
      <c r="K9" s="231">
        <f t="shared" si="0"/>
        <v>750000000</v>
      </c>
      <c r="L9" s="221"/>
      <c r="M9" s="231">
        <v>0</v>
      </c>
      <c r="N9" s="231">
        <v>0</v>
      </c>
      <c r="O9" s="231">
        <v>0</v>
      </c>
      <c r="P9" s="231">
        <v>0</v>
      </c>
      <c r="Q9" s="231">
        <v>0</v>
      </c>
      <c r="R9" s="231">
        <v>662162162</v>
      </c>
      <c r="S9" s="231">
        <v>0</v>
      </c>
      <c r="T9" s="231">
        <v>0</v>
      </c>
      <c r="U9" s="230">
        <v>0</v>
      </c>
      <c r="V9" s="231">
        <v>0</v>
      </c>
      <c r="W9" s="231">
        <v>87837838</v>
      </c>
      <c r="X9" s="230">
        <f t="shared" si="1"/>
        <v>0</v>
      </c>
      <c r="Y9" s="158"/>
      <c r="Z9" s="158">
        <f t="shared" si="2"/>
        <v>-74324324</v>
      </c>
      <c r="AA9" s="245">
        <f t="shared" si="3"/>
        <v>-13513513.52</v>
      </c>
      <c r="AB9" s="230">
        <f t="shared" si="4"/>
        <v>662162162.48000002</v>
      </c>
      <c r="AC9" s="231">
        <v>0</v>
      </c>
      <c r="AD9" s="154"/>
    </row>
    <row r="10" spans="1:38" s="211" customFormat="1">
      <c r="A10" s="152">
        <f t="shared" si="5"/>
        <v>6</v>
      </c>
      <c r="B10" s="37" t="s">
        <v>1470</v>
      </c>
      <c r="C10" s="70">
        <v>45692</v>
      </c>
      <c r="D10" s="35">
        <v>2025</v>
      </c>
      <c r="E10" s="154" t="s">
        <v>393</v>
      </c>
      <c r="F10" s="154" t="s">
        <v>1352</v>
      </c>
      <c r="G10" s="154" t="s">
        <v>1565</v>
      </c>
      <c r="H10" s="231">
        <v>11060000</v>
      </c>
      <c r="I10" s="231">
        <v>0</v>
      </c>
      <c r="J10" s="231">
        <v>1216600</v>
      </c>
      <c r="K10" s="231">
        <f t="shared" si="0"/>
        <v>12276600</v>
      </c>
      <c r="L10" s="221"/>
      <c r="M10" s="231">
        <v>0</v>
      </c>
      <c r="N10" s="231">
        <v>0</v>
      </c>
      <c r="O10" s="231">
        <v>0</v>
      </c>
      <c r="P10" s="231">
        <v>0</v>
      </c>
      <c r="Q10" s="231">
        <v>0</v>
      </c>
      <c r="R10" s="231">
        <v>0</v>
      </c>
      <c r="S10" s="231">
        <v>10838800</v>
      </c>
      <c r="T10" s="231">
        <v>0</v>
      </c>
      <c r="U10" s="230">
        <v>0</v>
      </c>
      <c r="V10" s="231">
        <v>0</v>
      </c>
      <c r="W10" s="231">
        <v>1437800</v>
      </c>
      <c r="X10" s="230">
        <f t="shared" si="1"/>
        <v>0</v>
      </c>
      <c r="Y10" s="158"/>
      <c r="Z10" s="158">
        <f t="shared" si="2"/>
        <v>-1216600</v>
      </c>
      <c r="AA10" s="245">
        <f t="shared" si="3"/>
        <v>-221200</v>
      </c>
      <c r="AB10" s="230">
        <f t="shared" si="4"/>
        <v>10838800</v>
      </c>
      <c r="AC10" s="231">
        <v>0</v>
      </c>
      <c r="AD10" s="154"/>
    </row>
    <row r="11" spans="1:38" s="211" customFormat="1">
      <c r="A11" s="152">
        <f t="shared" si="5"/>
        <v>7</v>
      </c>
      <c r="B11" s="37" t="s">
        <v>1473</v>
      </c>
      <c r="C11" s="221">
        <v>45763</v>
      </c>
      <c r="D11" s="35">
        <v>2025</v>
      </c>
      <c r="E11" s="154" t="s">
        <v>390</v>
      </c>
      <c r="F11" s="154" t="s">
        <v>1352</v>
      </c>
      <c r="G11" s="154" t="s">
        <v>1564</v>
      </c>
      <c r="H11" s="246">
        <v>450450450</v>
      </c>
      <c r="I11" s="246">
        <v>0</v>
      </c>
      <c r="J11" s="246">
        <v>49549550</v>
      </c>
      <c r="K11" s="231">
        <f t="shared" si="0"/>
        <v>500000000</v>
      </c>
      <c r="L11" s="221"/>
      <c r="M11" s="231">
        <v>0</v>
      </c>
      <c r="N11" s="231">
        <v>0</v>
      </c>
      <c r="O11" s="231">
        <v>0</v>
      </c>
      <c r="P11" s="231">
        <v>0</v>
      </c>
      <c r="Q11" s="231">
        <v>0</v>
      </c>
      <c r="R11" s="231">
        <v>0</v>
      </c>
      <c r="S11" s="231">
        <v>0</v>
      </c>
      <c r="T11" s="231">
        <v>0</v>
      </c>
      <c r="U11" s="230">
        <v>441441441</v>
      </c>
      <c r="V11" s="231">
        <v>0</v>
      </c>
      <c r="W11" s="231">
        <v>58558559</v>
      </c>
      <c r="X11" s="230">
        <f t="shared" si="1"/>
        <v>0</v>
      </c>
      <c r="Y11" s="158"/>
      <c r="Z11" s="158">
        <f t="shared" si="2"/>
        <v>-49549550</v>
      </c>
      <c r="AA11" s="245">
        <f t="shared" si="3"/>
        <v>-9009009</v>
      </c>
      <c r="AB11" s="230">
        <f t="shared" si="4"/>
        <v>441441441</v>
      </c>
      <c r="AC11" s="231">
        <v>0</v>
      </c>
      <c r="AD11" s="154"/>
    </row>
    <row r="12" spans="1:38" s="155" customFormat="1">
      <c r="A12" s="152">
        <f t="shared" si="5"/>
        <v>8</v>
      </c>
      <c r="B12" s="37" t="s">
        <v>1474</v>
      </c>
      <c r="C12" s="70">
        <v>45689</v>
      </c>
      <c r="D12" s="35">
        <v>2025</v>
      </c>
      <c r="E12" s="154" t="s">
        <v>362</v>
      </c>
      <c r="F12" s="154" t="s">
        <v>1352</v>
      </c>
      <c r="G12" s="154" t="s">
        <v>1564</v>
      </c>
      <c r="H12" s="246">
        <v>90090090</v>
      </c>
      <c r="I12" s="246">
        <v>0</v>
      </c>
      <c r="J12" s="246">
        <v>9909910</v>
      </c>
      <c r="K12" s="231">
        <f t="shared" si="0"/>
        <v>100000000</v>
      </c>
      <c r="L12" s="221"/>
      <c r="M12" s="231">
        <v>0</v>
      </c>
      <c r="N12" s="231">
        <v>0</v>
      </c>
      <c r="O12" s="231">
        <v>0</v>
      </c>
      <c r="P12" s="231">
        <v>90090090</v>
      </c>
      <c r="Q12" s="231">
        <v>0</v>
      </c>
      <c r="R12" s="231">
        <v>0</v>
      </c>
      <c r="S12" s="231">
        <v>0</v>
      </c>
      <c r="T12" s="231">
        <v>0</v>
      </c>
      <c r="U12" s="230">
        <v>0</v>
      </c>
      <c r="V12" s="231">
        <v>0</v>
      </c>
      <c r="W12" s="231">
        <v>9909910</v>
      </c>
      <c r="X12" s="230">
        <f t="shared" si="1"/>
        <v>0</v>
      </c>
      <c r="Y12" s="158"/>
      <c r="Z12" s="158">
        <f t="shared" si="2"/>
        <v>-9909910</v>
      </c>
      <c r="AA12" s="245">
        <f t="shared" si="3"/>
        <v>-1801801.8</v>
      </c>
      <c r="AB12" s="230">
        <f t="shared" si="4"/>
        <v>88288288.200000003</v>
      </c>
      <c r="AC12" s="231">
        <v>0</v>
      </c>
      <c r="AD12" s="154"/>
      <c r="AE12" s="155" t="s">
        <v>26</v>
      </c>
      <c r="AG12" s="155" t="s">
        <v>26</v>
      </c>
    </row>
    <row r="13" spans="1:38" s="211" customFormat="1">
      <c r="A13" s="152">
        <f t="shared" si="5"/>
        <v>9</v>
      </c>
      <c r="B13" s="37" t="s">
        <v>1475</v>
      </c>
      <c r="C13" s="70">
        <v>45689</v>
      </c>
      <c r="D13" s="35">
        <v>2025</v>
      </c>
      <c r="E13" s="154" t="s">
        <v>1566</v>
      </c>
      <c r="F13" s="154" t="s">
        <v>1352</v>
      </c>
      <c r="G13" s="154" t="s">
        <v>1564</v>
      </c>
      <c r="H13" s="246">
        <v>50000000</v>
      </c>
      <c r="I13" s="246">
        <v>0</v>
      </c>
      <c r="J13" s="246">
        <v>5500000</v>
      </c>
      <c r="K13" s="231">
        <f t="shared" si="0"/>
        <v>55500000</v>
      </c>
      <c r="L13" s="221"/>
      <c r="M13" s="231">
        <v>0</v>
      </c>
      <c r="N13" s="231">
        <v>0</v>
      </c>
      <c r="O13" s="231">
        <v>0</v>
      </c>
      <c r="P13" s="231">
        <v>54500000</v>
      </c>
      <c r="Q13" s="231">
        <v>0</v>
      </c>
      <c r="R13" s="231">
        <v>0</v>
      </c>
      <c r="S13" s="231">
        <v>0</v>
      </c>
      <c r="T13" s="231">
        <v>0</v>
      </c>
      <c r="U13" s="230">
        <v>0</v>
      </c>
      <c r="V13" s="231">
        <v>0</v>
      </c>
      <c r="W13" s="231">
        <v>1000000</v>
      </c>
      <c r="X13" s="230">
        <f t="shared" si="1"/>
        <v>0</v>
      </c>
      <c r="Y13" s="158"/>
      <c r="Z13" s="158">
        <f t="shared" si="2"/>
        <v>-5500000</v>
      </c>
      <c r="AA13" s="245">
        <f t="shared" si="3"/>
        <v>-1000000</v>
      </c>
      <c r="AB13" s="230">
        <f t="shared" si="4"/>
        <v>49000000</v>
      </c>
      <c r="AC13" s="231">
        <v>0</v>
      </c>
      <c r="AD13" s="154"/>
    </row>
    <row r="14" spans="1:38" s="211" customFormat="1">
      <c r="A14" s="152">
        <f t="shared" si="5"/>
        <v>10</v>
      </c>
      <c r="B14" s="37" t="s">
        <v>1476</v>
      </c>
      <c r="C14" s="70">
        <v>45701</v>
      </c>
      <c r="D14" s="35">
        <v>2025</v>
      </c>
      <c r="E14" s="154" t="s">
        <v>388</v>
      </c>
      <c r="F14" s="154" t="s">
        <v>6005</v>
      </c>
      <c r="G14" s="154" t="s">
        <v>6006</v>
      </c>
      <c r="H14" s="246">
        <v>10825000</v>
      </c>
      <c r="I14" s="246">
        <v>0</v>
      </c>
      <c r="J14" s="246">
        <v>1190750</v>
      </c>
      <c r="K14" s="231">
        <f t="shared" si="0"/>
        <v>12015750</v>
      </c>
      <c r="L14" s="221"/>
      <c r="M14" s="231">
        <v>0</v>
      </c>
      <c r="N14" s="231">
        <v>0</v>
      </c>
      <c r="O14" s="231">
        <v>10608500</v>
      </c>
      <c r="P14" s="231">
        <v>0</v>
      </c>
      <c r="Q14" s="231">
        <v>0</v>
      </c>
      <c r="R14" s="231">
        <v>0</v>
      </c>
      <c r="S14" s="231">
        <v>0</v>
      </c>
      <c r="T14" s="231">
        <v>0</v>
      </c>
      <c r="U14" s="230">
        <v>0</v>
      </c>
      <c r="V14" s="231">
        <v>0</v>
      </c>
      <c r="W14" s="231">
        <v>1407250</v>
      </c>
      <c r="X14" s="230">
        <f t="shared" si="1"/>
        <v>0</v>
      </c>
      <c r="Y14" s="158"/>
      <c r="Z14" s="158">
        <f t="shared" si="2"/>
        <v>-1190750</v>
      </c>
      <c r="AA14" s="245">
        <f t="shared" si="3"/>
        <v>-216500</v>
      </c>
      <c r="AB14" s="230">
        <f t="shared" si="4"/>
        <v>10608500</v>
      </c>
      <c r="AC14" s="231">
        <v>0</v>
      </c>
      <c r="AD14" s="154"/>
    </row>
    <row r="15" spans="1:38" s="211" customFormat="1">
      <c r="A15" s="152">
        <f t="shared" si="5"/>
        <v>11</v>
      </c>
      <c r="B15" s="37" t="s">
        <v>1477</v>
      </c>
      <c r="C15" s="70">
        <v>45692</v>
      </c>
      <c r="D15" s="35">
        <v>2025</v>
      </c>
      <c r="E15" s="154" t="s">
        <v>404</v>
      </c>
      <c r="F15" s="154" t="s">
        <v>1352</v>
      </c>
      <c r="G15" s="154" t="s">
        <v>1564</v>
      </c>
      <c r="H15" s="246">
        <v>90090090</v>
      </c>
      <c r="I15" s="246">
        <v>0</v>
      </c>
      <c r="J15" s="246">
        <v>9909910</v>
      </c>
      <c r="K15" s="231">
        <f t="shared" si="0"/>
        <v>100000000</v>
      </c>
      <c r="L15" s="221"/>
      <c r="M15" s="231">
        <v>0</v>
      </c>
      <c r="N15" s="231">
        <v>0</v>
      </c>
      <c r="O15" s="231">
        <v>0</v>
      </c>
      <c r="P15" s="231">
        <v>88288288</v>
      </c>
      <c r="Q15" s="231">
        <v>0</v>
      </c>
      <c r="R15" s="231">
        <v>0</v>
      </c>
      <c r="S15" s="231">
        <v>0</v>
      </c>
      <c r="T15" s="231">
        <v>0</v>
      </c>
      <c r="U15" s="230">
        <v>0</v>
      </c>
      <c r="V15" s="231">
        <v>0</v>
      </c>
      <c r="W15" s="231">
        <v>11711712</v>
      </c>
      <c r="X15" s="230">
        <f t="shared" si="1"/>
        <v>0</v>
      </c>
      <c r="Y15" s="158"/>
      <c r="Z15" s="158">
        <f t="shared" si="2"/>
        <v>-9909910</v>
      </c>
      <c r="AA15" s="245">
        <f t="shared" si="3"/>
        <v>-1801801.8</v>
      </c>
      <c r="AB15" s="230">
        <f t="shared" si="4"/>
        <v>88288288.200000003</v>
      </c>
      <c r="AC15" s="231">
        <v>0</v>
      </c>
      <c r="AD15" s="154"/>
    </row>
    <row r="16" spans="1:38" s="211" customFormat="1">
      <c r="A16" s="152">
        <f t="shared" si="5"/>
        <v>12</v>
      </c>
      <c r="B16" s="37" t="s">
        <v>1478</v>
      </c>
      <c r="C16" s="70">
        <v>45692</v>
      </c>
      <c r="D16" s="35">
        <v>2025</v>
      </c>
      <c r="E16" s="154" t="s">
        <v>26</v>
      </c>
      <c r="F16" s="154" t="s">
        <v>26</v>
      </c>
      <c r="G16" s="154" t="s">
        <v>5812</v>
      </c>
      <c r="H16" s="246">
        <v>0</v>
      </c>
      <c r="I16" s="246">
        <v>0</v>
      </c>
      <c r="J16" s="246">
        <v>0</v>
      </c>
      <c r="K16" s="231">
        <f t="shared" si="0"/>
        <v>0</v>
      </c>
      <c r="L16" s="221"/>
      <c r="M16" s="231">
        <v>0</v>
      </c>
      <c r="N16" s="231">
        <v>0</v>
      </c>
      <c r="O16" s="231">
        <v>0</v>
      </c>
      <c r="P16" s="231">
        <v>0</v>
      </c>
      <c r="Q16" s="231">
        <v>0</v>
      </c>
      <c r="R16" s="231">
        <v>0</v>
      </c>
      <c r="S16" s="231">
        <v>0</v>
      </c>
      <c r="T16" s="231">
        <v>0</v>
      </c>
      <c r="U16" s="230">
        <v>0</v>
      </c>
      <c r="V16" s="231">
        <v>0</v>
      </c>
      <c r="W16" s="231">
        <v>0</v>
      </c>
      <c r="X16" s="230">
        <f t="shared" si="1"/>
        <v>0</v>
      </c>
      <c r="Y16" s="158"/>
      <c r="Z16" s="158">
        <f t="shared" si="2"/>
        <v>0</v>
      </c>
      <c r="AA16" s="245">
        <f t="shared" si="3"/>
        <v>0</v>
      </c>
      <c r="AB16" s="230">
        <f t="shared" si="4"/>
        <v>0</v>
      </c>
      <c r="AC16" s="231">
        <v>0</v>
      </c>
      <c r="AD16" s="154"/>
    </row>
    <row r="17" spans="1:31" s="211" customFormat="1">
      <c r="A17" s="152">
        <f t="shared" si="5"/>
        <v>13</v>
      </c>
      <c r="B17" s="37" t="s">
        <v>1479</v>
      </c>
      <c r="C17" s="70">
        <v>45692</v>
      </c>
      <c r="D17" s="35">
        <v>2025</v>
      </c>
      <c r="E17" s="154" t="s">
        <v>408</v>
      </c>
      <c r="F17" s="154" t="s">
        <v>1352</v>
      </c>
      <c r="G17" s="154" t="s">
        <v>1564</v>
      </c>
      <c r="H17" s="231">
        <v>225225225</v>
      </c>
      <c r="I17" s="231">
        <v>0</v>
      </c>
      <c r="J17" s="231">
        <v>24774775</v>
      </c>
      <c r="K17" s="231">
        <f t="shared" si="0"/>
        <v>250000000</v>
      </c>
      <c r="L17" s="221"/>
      <c r="M17" s="231">
        <v>0</v>
      </c>
      <c r="N17" s="230">
        <v>0</v>
      </c>
      <c r="O17" s="230">
        <v>0</v>
      </c>
      <c r="P17" s="230">
        <v>220720721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29279279</v>
      </c>
      <c r="X17" s="230">
        <f t="shared" si="1"/>
        <v>0</v>
      </c>
      <c r="Y17" s="230"/>
      <c r="Z17" s="158">
        <f t="shared" si="2"/>
        <v>-24774775</v>
      </c>
      <c r="AA17" s="245">
        <f t="shared" si="3"/>
        <v>-4504504.5</v>
      </c>
      <c r="AB17" s="230">
        <f t="shared" si="4"/>
        <v>220720720.5</v>
      </c>
      <c r="AC17" s="246">
        <v>0</v>
      </c>
      <c r="AD17" s="37"/>
    </row>
    <row r="18" spans="1:31" s="211" customFormat="1">
      <c r="A18" s="152">
        <f t="shared" si="5"/>
        <v>14</v>
      </c>
      <c r="B18" s="37" t="s">
        <v>1480</v>
      </c>
      <c r="C18" s="70">
        <v>45692</v>
      </c>
      <c r="D18" s="35">
        <v>2025</v>
      </c>
      <c r="E18" s="154" t="s">
        <v>406</v>
      </c>
      <c r="F18" s="154" t="s">
        <v>1352</v>
      </c>
      <c r="G18" s="154" t="s">
        <v>1564</v>
      </c>
      <c r="H18" s="231">
        <v>225225225</v>
      </c>
      <c r="I18" s="231">
        <v>0</v>
      </c>
      <c r="J18" s="231">
        <v>24774775</v>
      </c>
      <c r="K18" s="231">
        <f t="shared" si="0"/>
        <v>250000000</v>
      </c>
      <c r="L18" s="221"/>
      <c r="M18" s="231">
        <v>0</v>
      </c>
      <c r="N18" s="230">
        <v>0</v>
      </c>
      <c r="O18" s="230">
        <v>220720721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29279279</v>
      </c>
      <c r="X18" s="230">
        <f t="shared" si="1"/>
        <v>0</v>
      </c>
      <c r="Y18" s="230"/>
      <c r="Z18" s="158">
        <f t="shared" si="2"/>
        <v>-24774775</v>
      </c>
      <c r="AA18" s="245">
        <f t="shared" si="3"/>
        <v>-4504504.5</v>
      </c>
      <c r="AB18" s="230">
        <f t="shared" si="4"/>
        <v>220720720.5</v>
      </c>
      <c r="AC18" s="246">
        <v>0</v>
      </c>
      <c r="AD18" s="37"/>
    </row>
    <row r="19" spans="1:31" s="211" customFormat="1">
      <c r="A19" s="152">
        <f t="shared" si="5"/>
        <v>15</v>
      </c>
      <c r="B19" s="37" t="s">
        <v>1481</v>
      </c>
      <c r="C19" s="70">
        <v>45692</v>
      </c>
      <c r="D19" s="35">
        <v>2025</v>
      </c>
      <c r="E19" s="154" t="s">
        <v>1567</v>
      </c>
      <c r="F19" s="154" t="s">
        <v>1352</v>
      </c>
      <c r="G19" s="154" t="s">
        <v>1564</v>
      </c>
      <c r="H19" s="231">
        <v>67567568</v>
      </c>
      <c r="I19" s="231">
        <v>0</v>
      </c>
      <c r="J19" s="231">
        <v>7432432</v>
      </c>
      <c r="K19" s="231">
        <f t="shared" si="0"/>
        <v>75000000</v>
      </c>
      <c r="L19" s="221"/>
      <c r="M19" s="231">
        <v>0</v>
      </c>
      <c r="N19" s="230">
        <v>0</v>
      </c>
      <c r="O19" s="230">
        <v>0</v>
      </c>
      <c r="P19" s="230">
        <v>66216217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8783783</v>
      </c>
      <c r="X19" s="230">
        <f t="shared" si="1"/>
        <v>0</v>
      </c>
      <c r="Y19" s="230"/>
      <c r="Z19" s="158">
        <f t="shared" si="2"/>
        <v>-7432432</v>
      </c>
      <c r="AA19" s="245">
        <f t="shared" si="3"/>
        <v>-1351351.36</v>
      </c>
      <c r="AB19" s="230">
        <f t="shared" si="4"/>
        <v>66216216.640000001</v>
      </c>
      <c r="AC19" s="246">
        <v>0</v>
      </c>
      <c r="AD19" s="37"/>
      <c r="AE19" s="211" t="s">
        <v>26</v>
      </c>
    </row>
    <row r="20" spans="1:31" s="155" customFormat="1">
      <c r="A20" s="152">
        <f t="shared" si="5"/>
        <v>16</v>
      </c>
      <c r="B20" s="37" t="s">
        <v>1482</v>
      </c>
      <c r="C20" s="70">
        <v>45699</v>
      </c>
      <c r="D20" s="35">
        <v>2025</v>
      </c>
      <c r="E20" s="154" t="s">
        <v>359</v>
      </c>
      <c r="F20" s="154" t="s">
        <v>1352</v>
      </c>
      <c r="G20" s="154" t="s">
        <v>1564</v>
      </c>
      <c r="H20" s="231">
        <v>625000000</v>
      </c>
      <c r="I20" s="231">
        <v>0</v>
      </c>
      <c r="J20" s="231">
        <v>68750000</v>
      </c>
      <c r="K20" s="231">
        <f t="shared" si="0"/>
        <v>693750000</v>
      </c>
      <c r="L20" s="221"/>
      <c r="M20" s="231">
        <v>0</v>
      </c>
      <c r="N20" s="230">
        <v>0</v>
      </c>
      <c r="O20" s="230">
        <v>0</v>
      </c>
      <c r="P20" s="231">
        <v>612500000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81250000</v>
      </c>
      <c r="X20" s="230">
        <f t="shared" si="1"/>
        <v>0</v>
      </c>
      <c r="Y20" s="230"/>
      <c r="Z20" s="158">
        <f t="shared" si="2"/>
        <v>-68750000</v>
      </c>
      <c r="AA20" s="245">
        <f t="shared" si="3"/>
        <v>-12500000</v>
      </c>
      <c r="AB20" s="230">
        <f t="shared" si="4"/>
        <v>612500000</v>
      </c>
      <c r="AC20" s="246">
        <v>0</v>
      </c>
      <c r="AD20" s="37"/>
    </row>
    <row r="21" spans="1:31" s="155" customFormat="1">
      <c r="A21" s="152">
        <f t="shared" si="5"/>
        <v>17</v>
      </c>
      <c r="B21" s="37" t="s">
        <v>1483</v>
      </c>
      <c r="C21" s="70">
        <v>45692</v>
      </c>
      <c r="D21" s="35">
        <v>2025</v>
      </c>
      <c r="E21" s="154" t="s">
        <v>357</v>
      </c>
      <c r="F21" s="154" t="s">
        <v>1352</v>
      </c>
      <c r="G21" s="154" t="s">
        <v>1564</v>
      </c>
      <c r="H21" s="231">
        <v>225225225</v>
      </c>
      <c r="I21" s="231">
        <v>0</v>
      </c>
      <c r="J21" s="231">
        <v>24774775</v>
      </c>
      <c r="K21" s="231">
        <f t="shared" si="0"/>
        <v>250000000</v>
      </c>
      <c r="L21" s="221"/>
      <c r="M21" s="231">
        <v>0</v>
      </c>
      <c r="N21" s="230">
        <v>0</v>
      </c>
      <c r="O21" s="230">
        <v>0</v>
      </c>
      <c r="P21" s="230">
        <v>220720720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29279280</v>
      </c>
      <c r="X21" s="230">
        <f t="shared" si="1"/>
        <v>0</v>
      </c>
      <c r="Y21" s="230"/>
      <c r="Z21" s="158">
        <f t="shared" si="2"/>
        <v>-24774775</v>
      </c>
      <c r="AA21" s="245">
        <f t="shared" si="3"/>
        <v>-4504504.5</v>
      </c>
      <c r="AB21" s="230">
        <f t="shared" si="4"/>
        <v>220720720.5</v>
      </c>
      <c r="AC21" s="246">
        <v>0</v>
      </c>
      <c r="AD21" s="37"/>
    </row>
    <row r="22" spans="1:31" s="155" customFormat="1">
      <c r="A22" s="152">
        <f t="shared" si="5"/>
        <v>18</v>
      </c>
      <c r="B22" s="37" t="s">
        <v>1484</v>
      </c>
      <c r="C22" s="70">
        <v>45692</v>
      </c>
      <c r="D22" s="35">
        <v>2025</v>
      </c>
      <c r="E22" s="154" t="s">
        <v>305</v>
      </c>
      <c r="F22" s="154" t="s">
        <v>1352</v>
      </c>
      <c r="G22" s="154" t="s">
        <v>1564</v>
      </c>
      <c r="H22" s="231">
        <v>90090090</v>
      </c>
      <c r="I22" s="231">
        <v>0</v>
      </c>
      <c r="J22" s="231">
        <v>9909910</v>
      </c>
      <c r="K22" s="231">
        <f t="shared" si="0"/>
        <v>100000000</v>
      </c>
      <c r="L22" s="221"/>
      <c r="M22" s="231">
        <v>0</v>
      </c>
      <c r="N22" s="230">
        <v>0</v>
      </c>
      <c r="O22" s="230">
        <v>0</v>
      </c>
      <c r="P22" s="230">
        <v>88288288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11711712</v>
      </c>
      <c r="X22" s="230">
        <f t="shared" si="1"/>
        <v>0</v>
      </c>
      <c r="Y22" s="230"/>
      <c r="Z22" s="158">
        <f t="shared" si="2"/>
        <v>-9909910</v>
      </c>
      <c r="AA22" s="245">
        <f t="shared" si="3"/>
        <v>-1801801.8</v>
      </c>
      <c r="AB22" s="230">
        <f t="shared" si="4"/>
        <v>88288288.200000003</v>
      </c>
      <c r="AC22" s="246">
        <v>0</v>
      </c>
      <c r="AD22" s="37"/>
    </row>
    <row r="23" spans="1:31" s="155" customFormat="1">
      <c r="A23" s="152">
        <f t="shared" si="5"/>
        <v>19</v>
      </c>
      <c r="B23" s="37" t="s">
        <v>1485</v>
      </c>
      <c r="C23" s="70">
        <v>45692</v>
      </c>
      <c r="D23" s="35">
        <v>2025</v>
      </c>
      <c r="E23" s="154" t="s">
        <v>366</v>
      </c>
      <c r="F23" s="154" t="s">
        <v>1352</v>
      </c>
      <c r="G23" s="154" t="s">
        <v>1564</v>
      </c>
      <c r="H23" s="231">
        <v>90090090</v>
      </c>
      <c r="I23" s="231">
        <v>0</v>
      </c>
      <c r="J23" s="231">
        <v>9909910</v>
      </c>
      <c r="K23" s="231">
        <f t="shared" si="0"/>
        <v>100000000</v>
      </c>
      <c r="L23" s="221"/>
      <c r="M23" s="231">
        <v>0</v>
      </c>
      <c r="N23" s="230">
        <v>0</v>
      </c>
      <c r="O23" s="230">
        <v>0</v>
      </c>
      <c r="P23" s="230">
        <v>88288289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11711711</v>
      </c>
      <c r="X23" s="230">
        <f t="shared" si="1"/>
        <v>0</v>
      </c>
      <c r="Y23" s="230"/>
      <c r="Z23" s="119">
        <f t="shared" si="2"/>
        <v>-9909910</v>
      </c>
      <c r="AA23" s="245">
        <f t="shared" si="3"/>
        <v>-1801801.8</v>
      </c>
      <c r="AB23" s="230">
        <f t="shared" si="4"/>
        <v>88288288.200000003</v>
      </c>
      <c r="AC23" s="246">
        <v>0</v>
      </c>
      <c r="AD23" s="37"/>
    </row>
    <row r="24" spans="1:31" s="155" customFormat="1">
      <c r="A24" s="152">
        <f t="shared" si="5"/>
        <v>20</v>
      </c>
      <c r="B24" s="37" t="s">
        <v>1486</v>
      </c>
      <c r="C24" s="70">
        <v>45699</v>
      </c>
      <c r="D24" s="35">
        <v>2025</v>
      </c>
      <c r="E24" s="154" t="s">
        <v>1568</v>
      </c>
      <c r="F24" s="154" t="s">
        <v>1352</v>
      </c>
      <c r="G24" s="154" t="s">
        <v>1564</v>
      </c>
      <c r="H24" s="231">
        <v>30000000</v>
      </c>
      <c r="I24" s="231">
        <v>0</v>
      </c>
      <c r="J24" s="231">
        <v>3300000</v>
      </c>
      <c r="K24" s="231">
        <f t="shared" si="0"/>
        <v>33300000</v>
      </c>
      <c r="L24" s="221"/>
      <c r="M24" s="231">
        <v>0</v>
      </c>
      <c r="N24" s="230">
        <v>0</v>
      </c>
      <c r="O24" s="230">
        <v>0</v>
      </c>
      <c r="P24" s="230">
        <v>29400000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3900000</v>
      </c>
      <c r="X24" s="230">
        <f t="shared" si="1"/>
        <v>0</v>
      </c>
      <c r="Y24" s="230"/>
      <c r="Z24" s="158">
        <f t="shared" si="2"/>
        <v>-3300000</v>
      </c>
      <c r="AA24" s="245">
        <f t="shared" si="3"/>
        <v>-600000</v>
      </c>
      <c r="AB24" s="230">
        <f t="shared" si="4"/>
        <v>29400000</v>
      </c>
      <c r="AC24" s="246">
        <v>0</v>
      </c>
      <c r="AD24" s="37"/>
    </row>
    <row r="25" spans="1:31" s="155" customFormat="1">
      <c r="A25" s="152">
        <f t="shared" si="5"/>
        <v>21</v>
      </c>
      <c r="B25" s="37" t="s">
        <v>1487</v>
      </c>
      <c r="C25" s="70">
        <v>45699</v>
      </c>
      <c r="D25" s="35">
        <v>2025</v>
      </c>
      <c r="E25" s="154" t="s">
        <v>360</v>
      </c>
      <c r="F25" s="154" t="s">
        <v>1352</v>
      </c>
      <c r="G25" s="154" t="s">
        <v>1564</v>
      </c>
      <c r="H25" s="231">
        <v>225225225</v>
      </c>
      <c r="I25" s="231">
        <v>0</v>
      </c>
      <c r="J25" s="231">
        <v>24774775</v>
      </c>
      <c r="K25" s="231">
        <f t="shared" si="0"/>
        <v>250000000</v>
      </c>
      <c r="L25" s="221"/>
      <c r="M25" s="231">
        <v>0</v>
      </c>
      <c r="N25" s="230">
        <v>0</v>
      </c>
      <c r="O25" s="230">
        <v>0</v>
      </c>
      <c r="P25" s="230">
        <v>220720721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29279279</v>
      </c>
      <c r="X25" s="230">
        <f t="shared" si="1"/>
        <v>0</v>
      </c>
      <c r="Y25" s="230"/>
      <c r="Z25" s="158">
        <f t="shared" si="2"/>
        <v>-24774775</v>
      </c>
      <c r="AA25" s="245">
        <f t="shared" si="3"/>
        <v>-4504504.5</v>
      </c>
      <c r="AB25" s="230">
        <f t="shared" si="4"/>
        <v>220720720.5</v>
      </c>
      <c r="AC25" s="246">
        <v>0</v>
      </c>
      <c r="AD25" s="37"/>
    </row>
    <row r="26" spans="1:31" s="155" customFormat="1">
      <c r="A26" s="152">
        <f t="shared" si="5"/>
        <v>22</v>
      </c>
      <c r="B26" s="37" t="s">
        <v>1488</v>
      </c>
      <c r="C26" s="70">
        <v>45699</v>
      </c>
      <c r="D26" s="35">
        <v>2025</v>
      </c>
      <c r="E26" s="154" t="s">
        <v>1569</v>
      </c>
      <c r="F26" s="154" t="s">
        <v>1352</v>
      </c>
      <c r="G26" s="154" t="s">
        <v>1564</v>
      </c>
      <c r="H26" s="246">
        <v>45045045</v>
      </c>
      <c r="I26" s="246">
        <v>0</v>
      </c>
      <c r="J26" s="246">
        <v>4954955</v>
      </c>
      <c r="K26" s="231">
        <f t="shared" si="0"/>
        <v>50000000</v>
      </c>
      <c r="L26" s="221"/>
      <c r="M26" s="231">
        <v>0</v>
      </c>
      <c r="N26" s="230">
        <v>0</v>
      </c>
      <c r="O26" s="230">
        <v>0</v>
      </c>
      <c r="P26" s="230">
        <v>49000000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1000000</v>
      </c>
      <c r="X26" s="230">
        <f t="shared" si="1"/>
        <v>0</v>
      </c>
      <c r="Y26" s="230"/>
      <c r="Z26" s="119">
        <f t="shared" si="2"/>
        <v>-4954955</v>
      </c>
      <c r="AA26" s="245">
        <f t="shared" si="3"/>
        <v>-900900.9</v>
      </c>
      <c r="AB26" s="230">
        <f t="shared" si="4"/>
        <v>44144144.100000001</v>
      </c>
      <c r="AC26" s="246">
        <v>0</v>
      </c>
      <c r="AD26" s="37"/>
    </row>
    <row r="27" spans="1:31" s="155" customFormat="1">
      <c r="A27" s="152">
        <f t="shared" si="5"/>
        <v>23</v>
      </c>
      <c r="B27" s="37" t="s">
        <v>1489</v>
      </c>
      <c r="C27" s="70">
        <v>45692</v>
      </c>
      <c r="D27" s="35">
        <v>2025</v>
      </c>
      <c r="E27" s="155" t="s">
        <v>1570</v>
      </c>
      <c r="F27" s="154" t="s">
        <v>1352</v>
      </c>
      <c r="G27" s="154" t="s">
        <v>1564</v>
      </c>
      <c r="H27" s="231">
        <v>45045045</v>
      </c>
      <c r="I27" s="231">
        <v>0</v>
      </c>
      <c r="J27" s="231">
        <v>4954955</v>
      </c>
      <c r="K27" s="231">
        <f t="shared" si="0"/>
        <v>50000000</v>
      </c>
      <c r="L27" s="221"/>
      <c r="M27" s="231">
        <v>0</v>
      </c>
      <c r="N27" s="230">
        <v>0</v>
      </c>
      <c r="O27" s="230">
        <v>0</v>
      </c>
      <c r="P27" s="230">
        <v>44144145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5855855</v>
      </c>
      <c r="X27" s="230">
        <f t="shared" si="1"/>
        <v>0</v>
      </c>
      <c r="Y27" s="230"/>
      <c r="Z27" s="158">
        <f t="shared" si="2"/>
        <v>-4954955</v>
      </c>
      <c r="AA27" s="245">
        <f t="shared" si="3"/>
        <v>-900900.9</v>
      </c>
      <c r="AB27" s="230">
        <f t="shared" si="4"/>
        <v>44144144.100000001</v>
      </c>
      <c r="AC27" s="246">
        <v>0</v>
      </c>
      <c r="AD27" s="37"/>
    </row>
    <row r="28" spans="1:31" s="155" customFormat="1">
      <c r="A28" s="152">
        <f t="shared" si="5"/>
        <v>24</v>
      </c>
      <c r="B28" s="37" t="s">
        <v>1490</v>
      </c>
      <c r="C28" s="70">
        <v>45699</v>
      </c>
      <c r="D28" s="35">
        <v>2025</v>
      </c>
      <c r="E28" s="155" t="s">
        <v>1571</v>
      </c>
      <c r="F28" s="154" t="s">
        <v>1352</v>
      </c>
      <c r="G28" s="154" t="s">
        <v>1564</v>
      </c>
      <c r="H28" s="231">
        <v>50000000</v>
      </c>
      <c r="I28" s="231">
        <v>0</v>
      </c>
      <c r="J28" s="231">
        <f>H28*11%</f>
        <v>5500000</v>
      </c>
      <c r="K28" s="231">
        <f t="shared" si="0"/>
        <v>55500000</v>
      </c>
      <c r="L28" s="221"/>
      <c r="M28" s="231">
        <v>0</v>
      </c>
      <c r="N28" s="230">
        <v>0</v>
      </c>
      <c r="O28" s="230">
        <v>0</v>
      </c>
      <c r="P28" s="230">
        <v>49000000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6500000</v>
      </c>
      <c r="X28" s="230">
        <f t="shared" si="1"/>
        <v>0</v>
      </c>
      <c r="Y28" s="230"/>
      <c r="Z28" s="158">
        <f t="shared" si="2"/>
        <v>-5500000</v>
      </c>
      <c r="AA28" s="245">
        <f t="shared" si="3"/>
        <v>-1000000</v>
      </c>
      <c r="AB28" s="230">
        <f t="shared" si="4"/>
        <v>49000000</v>
      </c>
      <c r="AC28" s="246">
        <v>0</v>
      </c>
      <c r="AD28" s="37"/>
    </row>
    <row r="29" spans="1:31" s="155" customFormat="1">
      <c r="A29" s="152">
        <f t="shared" si="5"/>
        <v>25</v>
      </c>
      <c r="B29" s="37" t="s">
        <v>1491</v>
      </c>
      <c r="C29" s="70">
        <v>45692</v>
      </c>
      <c r="D29" s="35">
        <v>2025</v>
      </c>
      <c r="E29" s="155" t="s">
        <v>1572</v>
      </c>
      <c r="F29" s="154" t="s">
        <v>1352</v>
      </c>
      <c r="G29" s="154" t="s">
        <v>1564</v>
      </c>
      <c r="H29" s="231">
        <v>45045045</v>
      </c>
      <c r="I29" s="231">
        <v>0</v>
      </c>
      <c r="J29" s="231">
        <v>4954955</v>
      </c>
      <c r="K29" s="231">
        <f t="shared" si="0"/>
        <v>50000000</v>
      </c>
      <c r="L29" s="221"/>
      <c r="M29" s="231">
        <v>0</v>
      </c>
      <c r="N29" s="230">
        <v>0</v>
      </c>
      <c r="O29" s="230">
        <v>0</v>
      </c>
      <c r="P29" s="230">
        <v>44144144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5855856</v>
      </c>
      <c r="X29" s="230">
        <f t="shared" si="1"/>
        <v>0</v>
      </c>
      <c r="Y29" s="230"/>
      <c r="Z29" s="158">
        <f t="shared" si="2"/>
        <v>-4954955</v>
      </c>
      <c r="AA29" s="245">
        <f t="shared" si="3"/>
        <v>-900900.9</v>
      </c>
      <c r="AB29" s="230">
        <f t="shared" si="4"/>
        <v>44144144.100000001</v>
      </c>
      <c r="AC29" s="246">
        <v>0</v>
      </c>
      <c r="AD29" s="37"/>
    </row>
    <row r="30" spans="1:31" s="155" customFormat="1">
      <c r="A30" s="152">
        <f t="shared" si="5"/>
        <v>26</v>
      </c>
      <c r="B30" s="37" t="s">
        <v>1492</v>
      </c>
      <c r="C30" s="70">
        <v>45699</v>
      </c>
      <c r="D30" s="35">
        <v>2025</v>
      </c>
      <c r="E30" s="155" t="s">
        <v>1573</v>
      </c>
      <c r="F30" s="154" t="s">
        <v>1352</v>
      </c>
      <c r="G30" s="154" t="s">
        <v>1564</v>
      </c>
      <c r="H30" s="231">
        <v>45045045</v>
      </c>
      <c r="I30" s="231">
        <v>0</v>
      </c>
      <c r="J30" s="231">
        <v>4954955</v>
      </c>
      <c r="K30" s="231">
        <f t="shared" si="0"/>
        <v>50000000</v>
      </c>
      <c r="L30" s="221"/>
      <c r="M30" s="231">
        <v>0</v>
      </c>
      <c r="N30" s="230">
        <v>0</v>
      </c>
      <c r="O30" s="230">
        <v>0</v>
      </c>
      <c r="P30" s="230">
        <v>44144144.100000001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5855855.8999999985</v>
      </c>
      <c r="X30" s="230">
        <f t="shared" si="1"/>
        <v>0</v>
      </c>
      <c r="Y30" s="230"/>
      <c r="Z30" s="158">
        <f t="shared" si="2"/>
        <v>-4954955</v>
      </c>
      <c r="AA30" s="245">
        <f>-(H30+I30)*2%+0.9</f>
        <v>-900900</v>
      </c>
      <c r="AB30" s="230">
        <f t="shared" si="4"/>
        <v>44144145</v>
      </c>
      <c r="AC30" s="246">
        <v>0</v>
      </c>
      <c r="AD30" s="37"/>
    </row>
    <row r="31" spans="1:31" s="155" customFormat="1">
      <c r="A31" s="152">
        <f t="shared" si="5"/>
        <v>27</v>
      </c>
      <c r="B31" s="37" t="s">
        <v>1493</v>
      </c>
      <c r="C31" s="70">
        <v>45692</v>
      </c>
      <c r="D31" s="35">
        <v>2025</v>
      </c>
      <c r="E31" s="154" t="s">
        <v>1574</v>
      </c>
      <c r="F31" s="154" t="s">
        <v>1352</v>
      </c>
      <c r="G31" s="154" t="s">
        <v>1564</v>
      </c>
      <c r="H31" s="231">
        <v>45045045</v>
      </c>
      <c r="I31" s="231">
        <v>0</v>
      </c>
      <c r="J31" s="231">
        <v>4954955</v>
      </c>
      <c r="K31" s="231">
        <f t="shared" si="0"/>
        <v>50000000</v>
      </c>
      <c r="L31" s="221"/>
      <c r="M31" s="231">
        <v>0</v>
      </c>
      <c r="N31" s="230">
        <v>0</v>
      </c>
      <c r="O31" s="230">
        <v>0</v>
      </c>
      <c r="P31" s="230">
        <v>44144144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5855856</v>
      </c>
      <c r="X31" s="230">
        <f t="shared" si="1"/>
        <v>0</v>
      </c>
      <c r="Y31" s="230"/>
      <c r="Z31" s="158">
        <f t="shared" si="2"/>
        <v>-4954955</v>
      </c>
      <c r="AA31" s="245">
        <f t="shared" ref="AA31:AA41" si="6">-(H31+I31)*2%</f>
        <v>-900900.9</v>
      </c>
      <c r="AB31" s="230">
        <f t="shared" si="4"/>
        <v>44144144.100000001</v>
      </c>
      <c r="AC31" s="246">
        <v>0</v>
      </c>
      <c r="AD31" s="37"/>
    </row>
    <row r="32" spans="1:31" s="155" customFormat="1">
      <c r="A32" s="152">
        <f t="shared" si="5"/>
        <v>28</v>
      </c>
      <c r="B32" s="37" t="s">
        <v>2204</v>
      </c>
      <c r="C32" s="70">
        <v>45811</v>
      </c>
      <c r="D32" s="35">
        <v>2025</v>
      </c>
      <c r="E32" s="154" t="s">
        <v>356</v>
      </c>
      <c r="F32" s="154" t="s">
        <v>1352</v>
      </c>
      <c r="G32" s="154" t="s">
        <v>1564</v>
      </c>
      <c r="H32" s="231">
        <v>31531531</v>
      </c>
      <c r="I32" s="231">
        <v>0</v>
      </c>
      <c r="J32" s="231">
        <v>3468469</v>
      </c>
      <c r="K32" s="231">
        <f t="shared" si="0"/>
        <v>35000000</v>
      </c>
      <c r="L32" s="221"/>
      <c r="M32" s="231">
        <v>0</v>
      </c>
      <c r="N32" s="230">
        <v>0</v>
      </c>
      <c r="O32" s="230">
        <v>0</v>
      </c>
      <c r="P32" s="230">
        <v>30900900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4099100</v>
      </c>
      <c r="X32" s="230">
        <f t="shared" si="1"/>
        <v>0</v>
      </c>
      <c r="Y32" s="230"/>
      <c r="Z32" s="158">
        <f t="shared" si="2"/>
        <v>-3468469</v>
      </c>
      <c r="AA32" s="245">
        <f t="shared" si="6"/>
        <v>-630630.62</v>
      </c>
      <c r="AB32" s="230">
        <f t="shared" si="4"/>
        <v>30900900.379999999</v>
      </c>
      <c r="AC32" s="246">
        <v>0</v>
      </c>
      <c r="AD32" s="37"/>
    </row>
    <row r="33" spans="1:30" s="155" customFormat="1">
      <c r="A33" s="152">
        <f t="shared" si="5"/>
        <v>29</v>
      </c>
      <c r="B33" s="37" t="s">
        <v>1494</v>
      </c>
      <c r="C33" s="70">
        <v>45692</v>
      </c>
      <c r="D33" s="35">
        <v>2025</v>
      </c>
      <c r="E33" s="154" t="s">
        <v>354</v>
      </c>
      <c r="F33" s="154" t="s">
        <v>1352</v>
      </c>
      <c r="G33" s="154" t="s">
        <v>1564</v>
      </c>
      <c r="H33" s="231">
        <v>90090090</v>
      </c>
      <c r="I33" s="231">
        <v>0</v>
      </c>
      <c r="J33" s="231">
        <v>9909910</v>
      </c>
      <c r="K33" s="231">
        <f t="shared" si="0"/>
        <v>100000000</v>
      </c>
      <c r="L33" s="221"/>
      <c r="M33" s="231">
        <v>0</v>
      </c>
      <c r="N33" s="230">
        <v>0</v>
      </c>
      <c r="O33" s="230">
        <v>0</v>
      </c>
      <c r="P33" s="230">
        <v>88288288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11711712</v>
      </c>
      <c r="X33" s="230">
        <f t="shared" si="1"/>
        <v>0</v>
      </c>
      <c r="Y33" s="230"/>
      <c r="Z33" s="158">
        <f t="shared" si="2"/>
        <v>-9909910</v>
      </c>
      <c r="AA33" s="245">
        <f t="shared" si="6"/>
        <v>-1801801.8</v>
      </c>
      <c r="AB33" s="230">
        <f t="shared" si="4"/>
        <v>88288288.200000003</v>
      </c>
      <c r="AC33" s="246">
        <v>0</v>
      </c>
      <c r="AD33" s="37"/>
    </row>
    <row r="34" spans="1:30" s="155" customFormat="1">
      <c r="A34" s="152">
        <f t="shared" si="5"/>
        <v>30</v>
      </c>
      <c r="B34" s="37" t="s">
        <v>1495</v>
      </c>
      <c r="C34" s="70">
        <v>45692</v>
      </c>
      <c r="D34" s="35">
        <v>2025</v>
      </c>
      <c r="E34" s="154" t="s">
        <v>410</v>
      </c>
      <c r="F34" s="154" t="s">
        <v>1352</v>
      </c>
      <c r="G34" s="154" t="s">
        <v>1564</v>
      </c>
      <c r="H34" s="231">
        <v>22522523</v>
      </c>
      <c r="I34" s="231">
        <v>0</v>
      </c>
      <c r="J34" s="231">
        <v>2477478</v>
      </c>
      <c r="K34" s="231">
        <f t="shared" si="0"/>
        <v>25000001</v>
      </c>
      <c r="L34" s="221"/>
      <c r="M34" s="231">
        <v>0</v>
      </c>
      <c r="N34" s="230">
        <v>0</v>
      </c>
      <c r="O34" s="230">
        <v>0</v>
      </c>
      <c r="P34" s="230">
        <v>22072073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2927928</v>
      </c>
      <c r="X34" s="230">
        <f t="shared" si="1"/>
        <v>0</v>
      </c>
      <c r="Y34" s="230"/>
      <c r="Z34" s="158">
        <f t="shared" si="2"/>
        <v>-2477478</v>
      </c>
      <c r="AA34" s="245">
        <f t="shared" si="6"/>
        <v>-450450.46</v>
      </c>
      <c r="AB34" s="230">
        <f t="shared" si="4"/>
        <v>22072072.539999999</v>
      </c>
      <c r="AC34" s="246">
        <v>0</v>
      </c>
      <c r="AD34" s="37"/>
    </row>
    <row r="35" spans="1:30" s="155" customFormat="1">
      <c r="A35" s="152">
        <f t="shared" si="5"/>
        <v>31</v>
      </c>
      <c r="B35" s="37" t="s">
        <v>1496</v>
      </c>
      <c r="C35" s="70">
        <v>45692</v>
      </c>
      <c r="D35" s="35">
        <v>2025</v>
      </c>
      <c r="E35" s="154" t="s">
        <v>358</v>
      </c>
      <c r="F35" s="154" t="s">
        <v>1352</v>
      </c>
      <c r="G35" s="154" t="s">
        <v>1564</v>
      </c>
      <c r="H35" s="231">
        <v>225225225</v>
      </c>
      <c r="I35" s="231">
        <v>0</v>
      </c>
      <c r="J35" s="231">
        <v>24774775</v>
      </c>
      <c r="K35" s="231">
        <f t="shared" si="0"/>
        <v>250000000</v>
      </c>
      <c r="L35" s="221"/>
      <c r="M35" s="231">
        <v>0</v>
      </c>
      <c r="N35" s="230">
        <v>0</v>
      </c>
      <c r="O35" s="230">
        <v>0</v>
      </c>
      <c r="P35" s="230">
        <v>220720721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29279279</v>
      </c>
      <c r="X35" s="230">
        <f t="shared" si="1"/>
        <v>0</v>
      </c>
      <c r="Y35" s="230"/>
      <c r="Z35" s="158">
        <f t="shared" si="2"/>
        <v>-24774775</v>
      </c>
      <c r="AA35" s="245">
        <f t="shared" si="6"/>
        <v>-4504504.5</v>
      </c>
      <c r="AB35" s="230">
        <f t="shared" si="4"/>
        <v>220720720.5</v>
      </c>
      <c r="AC35" s="246">
        <v>0</v>
      </c>
      <c r="AD35" s="37"/>
    </row>
    <row r="36" spans="1:30" s="155" customFormat="1">
      <c r="A36" s="152">
        <f t="shared" si="5"/>
        <v>32</v>
      </c>
      <c r="B36" s="37" t="s">
        <v>1497</v>
      </c>
      <c r="C36" s="70">
        <v>45692</v>
      </c>
      <c r="D36" s="35">
        <v>2025</v>
      </c>
      <c r="E36" s="154" t="s">
        <v>365</v>
      </c>
      <c r="F36" s="154" t="s">
        <v>1352</v>
      </c>
      <c r="G36" s="154" t="s">
        <v>1564</v>
      </c>
      <c r="H36" s="231">
        <v>15000000</v>
      </c>
      <c r="I36" s="231">
        <v>0</v>
      </c>
      <c r="J36" s="231">
        <v>1650000</v>
      </c>
      <c r="K36" s="231">
        <f t="shared" si="0"/>
        <v>16650000</v>
      </c>
      <c r="L36" s="221"/>
      <c r="M36" s="231">
        <v>0</v>
      </c>
      <c r="N36" s="230">
        <v>0</v>
      </c>
      <c r="O36" s="230">
        <v>0</v>
      </c>
      <c r="P36" s="230">
        <v>14697100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1952900</v>
      </c>
      <c r="X36" s="230">
        <f t="shared" si="1"/>
        <v>0</v>
      </c>
      <c r="Y36" s="230"/>
      <c r="Z36" s="158">
        <f t="shared" si="2"/>
        <v>-1650000</v>
      </c>
      <c r="AA36" s="245">
        <f t="shared" si="6"/>
        <v>-300000</v>
      </c>
      <c r="AB36" s="230">
        <f t="shared" si="4"/>
        <v>14700000</v>
      </c>
      <c r="AC36" s="246">
        <v>0</v>
      </c>
      <c r="AD36" s="37"/>
    </row>
    <row r="37" spans="1:30" s="155" customFormat="1">
      <c r="A37" s="152">
        <f t="shared" si="5"/>
        <v>33</v>
      </c>
      <c r="B37" s="37" t="s">
        <v>1503</v>
      </c>
      <c r="C37" s="70">
        <v>45692</v>
      </c>
      <c r="D37" s="35">
        <v>2025</v>
      </c>
      <c r="E37" s="154" t="s">
        <v>1575</v>
      </c>
      <c r="F37" s="154" t="s">
        <v>1352</v>
      </c>
      <c r="G37" s="154" t="s">
        <v>1564</v>
      </c>
      <c r="H37" s="246">
        <v>50000000</v>
      </c>
      <c r="I37" s="246">
        <v>0</v>
      </c>
      <c r="J37" s="246">
        <v>5500000</v>
      </c>
      <c r="K37" s="231">
        <f t="shared" si="0"/>
        <v>55500000</v>
      </c>
      <c r="L37" s="221"/>
      <c r="M37" s="231">
        <v>0</v>
      </c>
      <c r="N37" s="231">
        <v>0</v>
      </c>
      <c r="O37" s="231">
        <v>0</v>
      </c>
      <c r="P37" s="231">
        <v>48999999</v>
      </c>
      <c r="Q37" s="231">
        <v>0</v>
      </c>
      <c r="R37" s="231">
        <v>0</v>
      </c>
      <c r="S37" s="231">
        <v>0</v>
      </c>
      <c r="T37" s="231">
        <v>0</v>
      </c>
      <c r="U37" s="230">
        <v>0</v>
      </c>
      <c r="V37" s="231">
        <v>0</v>
      </c>
      <c r="W37" s="231">
        <v>6500001</v>
      </c>
      <c r="X37" s="230">
        <f t="shared" si="1"/>
        <v>0</v>
      </c>
      <c r="Y37" s="158"/>
      <c r="Z37" s="158">
        <f t="shared" si="2"/>
        <v>-5500000</v>
      </c>
      <c r="AA37" s="245">
        <f t="shared" si="6"/>
        <v>-1000000</v>
      </c>
      <c r="AB37" s="230">
        <f t="shared" si="4"/>
        <v>49000000</v>
      </c>
      <c r="AC37" s="231">
        <v>0</v>
      </c>
      <c r="AD37" s="154"/>
    </row>
    <row r="38" spans="1:30" s="155" customFormat="1">
      <c r="A38" s="152">
        <f t="shared" si="5"/>
        <v>34</v>
      </c>
      <c r="B38" s="37" t="s">
        <v>1504</v>
      </c>
      <c r="C38" s="70">
        <v>45699</v>
      </c>
      <c r="D38" s="35">
        <v>2025</v>
      </c>
      <c r="E38" s="154" t="s">
        <v>403</v>
      </c>
      <c r="F38" s="154" t="s">
        <v>1352</v>
      </c>
      <c r="G38" s="154" t="s">
        <v>1564</v>
      </c>
      <c r="H38" s="246">
        <v>250000000</v>
      </c>
      <c r="I38" s="246">
        <v>0</v>
      </c>
      <c r="J38" s="246">
        <v>27500000</v>
      </c>
      <c r="K38" s="231">
        <f t="shared" si="0"/>
        <v>277500000</v>
      </c>
      <c r="L38" s="221"/>
      <c r="M38" s="231">
        <v>0</v>
      </c>
      <c r="N38" s="231">
        <v>0</v>
      </c>
      <c r="O38" s="231">
        <v>0</v>
      </c>
      <c r="P38" s="231">
        <v>245000000</v>
      </c>
      <c r="Q38" s="231">
        <v>0</v>
      </c>
      <c r="R38" s="231">
        <v>0</v>
      </c>
      <c r="S38" s="231">
        <v>0</v>
      </c>
      <c r="T38" s="231">
        <v>0</v>
      </c>
      <c r="U38" s="230">
        <v>0</v>
      </c>
      <c r="V38" s="231">
        <v>0</v>
      </c>
      <c r="W38" s="231">
        <v>32500000</v>
      </c>
      <c r="X38" s="230">
        <f t="shared" si="1"/>
        <v>0</v>
      </c>
      <c r="Y38" s="158"/>
      <c r="Z38" s="158">
        <f t="shared" si="2"/>
        <v>-27500000</v>
      </c>
      <c r="AA38" s="245">
        <f t="shared" si="6"/>
        <v>-5000000</v>
      </c>
      <c r="AB38" s="230">
        <f t="shared" si="4"/>
        <v>245000000</v>
      </c>
      <c r="AC38" s="231">
        <v>0</v>
      </c>
      <c r="AD38" s="154"/>
    </row>
    <row r="39" spans="1:30" s="155" customFormat="1">
      <c r="A39" s="152">
        <f t="shared" si="5"/>
        <v>35</v>
      </c>
      <c r="B39" s="37" t="s">
        <v>1505</v>
      </c>
      <c r="C39" s="70">
        <v>45699</v>
      </c>
      <c r="D39" s="35">
        <v>2025</v>
      </c>
      <c r="E39" s="146" t="s">
        <v>361</v>
      </c>
      <c r="F39" s="154" t="s">
        <v>1352</v>
      </c>
      <c r="G39" s="154" t="s">
        <v>1564</v>
      </c>
      <c r="H39" s="246">
        <v>75000000</v>
      </c>
      <c r="I39" s="246">
        <v>0</v>
      </c>
      <c r="J39" s="246">
        <v>8250000</v>
      </c>
      <c r="K39" s="231">
        <f t="shared" si="0"/>
        <v>83250000</v>
      </c>
      <c r="L39" s="221"/>
      <c r="M39" s="231">
        <v>0</v>
      </c>
      <c r="N39" s="230">
        <v>0</v>
      </c>
      <c r="O39" s="230">
        <v>0</v>
      </c>
      <c r="P39" s="230">
        <v>73500000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9750000</v>
      </c>
      <c r="X39" s="230">
        <f t="shared" si="1"/>
        <v>0</v>
      </c>
      <c r="Y39" s="230"/>
      <c r="Z39" s="158">
        <f t="shared" si="2"/>
        <v>-8250000</v>
      </c>
      <c r="AA39" s="245">
        <f t="shared" si="6"/>
        <v>-1500000</v>
      </c>
      <c r="AB39" s="230">
        <f t="shared" si="4"/>
        <v>73500000</v>
      </c>
      <c r="AC39" s="246">
        <v>0</v>
      </c>
      <c r="AD39" s="37"/>
    </row>
    <row r="40" spans="1:30" s="155" customFormat="1">
      <c r="A40" s="152">
        <f t="shared" si="5"/>
        <v>36</v>
      </c>
      <c r="B40" s="37" t="s">
        <v>1506</v>
      </c>
      <c r="C40" s="70">
        <v>45699</v>
      </c>
      <c r="D40" s="35">
        <v>2025</v>
      </c>
      <c r="E40" s="146" t="s">
        <v>407</v>
      </c>
      <c r="F40" s="154" t="s">
        <v>1352</v>
      </c>
      <c r="G40" s="154" t="s">
        <v>1564</v>
      </c>
      <c r="H40" s="246">
        <v>67567568</v>
      </c>
      <c r="I40" s="246">
        <v>0</v>
      </c>
      <c r="J40" s="246">
        <v>7432432</v>
      </c>
      <c r="K40" s="231">
        <f t="shared" si="0"/>
        <v>75000000</v>
      </c>
      <c r="L40" s="221"/>
      <c r="M40" s="231">
        <v>0</v>
      </c>
      <c r="N40" s="230">
        <v>0</v>
      </c>
      <c r="O40" s="230">
        <v>0</v>
      </c>
      <c r="P40" s="230">
        <v>66216216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8783784</v>
      </c>
      <c r="X40" s="230">
        <f t="shared" si="1"/>
        <v>0</v>
      </c>
      <c r="Y40" s="230"/>
      <c r="Z40" s="158">
        <f t="shared" si="2"/>
        <v>-7432432</v>
      </c>
      <c r="AA40" s="245">
        <f t="shared" si="6"/>
        <v>-1351351.36</v>
      </c>
      <c r="AB40" s="230">
        <f t="shared" si="4"/>
        <v>66216216.640000001</v>
      </c>
      <c r="AC40" s="246">
        <v>0</v>
      </c>
      <c r="AD40" s="37"/>
    </row>
    <row r="41" spans="1:30" s="155" customFormat="1">
      <c r="A41" s="152">
        <f t="shared" si="5"/>
        <v>37</v>
      </c>
      <c r="B41" s="37" t="s">
        <v>1507</v>
      </c>
      <c r="C41" s="70">
        <v>45699</v>
      </c>
      <c r="D41" s="35">
        <v>2025</v>
      </c>
      <c r="E41" s="154" t="s">
        <v>363</v>
      </c>
      <c r="F41" s="154" t="s">
        <v>1352</v>
      </c>
      <c r="G41" s="154" t="s">
        <v>1564</v>
      </c>
      <c r="H41" s="246">
        <v>67567568</v>
      </c>
      <c r="I41" s="246">
        <v>0</v>
      </c>
      <c r="J41" s="246">
        <v>7432432</v>
      </c>
      <c r="K41" s="231">
        <f t="shared" si="0"/>
        <v>75000000</v>
      </c>
      <c r="L41" s="221"/>
      <c r="M41" s="231">
        <v>0</v>
      </c>
      <c r="N41" s="230">
        <v>0</v>
      </c>
      <c r="O41" s="230">
        <v>0</v>
      </c>
      <c r="P41" s="230">
        <v>66216217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8783783</v>
      </c>
      <c r="X41" s="230">
        <f t="shared" si="1"/>
        <v>0</v>
      </c>
      <c r="Y41" s="230"/>
      <c r="Z41" s="158">
        <f t="shared" si="2"/>
        <v>-7432432</v>
      </c>
      <c r="AA41" s="245">
        <f t="shared" si="6"/>
        <v>-1351351.36</v>
      </c>
      <c r="AB41" s="230">
        <f t="shared" si="4"/>
        <v>66216216.640000001</v>
      </c>
      <c r="AC41" s="246">
        <v>0</v>
      </c>
      <c r="AD41" s="37"/>
    </row>
    <row r="42" spans="1:30" s="155" customFormat="1">
      <c r="A42" s="152">
        <f t="shared" si="5"/>
        <v>38</v>
      </c>
      <c r="B42" s="37" t="s">
        <v>1509</v>
      </c>
      <c r="C42" s="70">
        <v>45709</v>
      </c>
      <c r="D42" s="35">
        <v>2025</v>
      </c>
      <c r="E42" s="154" t="s">
        <v>499</v>
      </c>
      <c r="F42" s="154" t="s">
        <v>1445</v>
      </c>
      <c r="G42" s="154" t="s">
        <v>1576</v>
      </c>
      <c r="H42" s="246">
        <v>60000000</v>
      </c>
      <c r="I42" s="246">
        <v>0</v>
      </c>
      <c r="J42" s="246">
        <v>0</v>
      </c>
      <c r="K42" s="231">
        <f t="shared" si="0"/>
        <v>60000000</v>
      </c>
      <c r="L42" s="221"/>
      <c r="M42" s="231">
        <v>60000000</v>
      </c>
      <c r="N42" s="230">
        <v>0</v>
      </c>
      <c r="O42" s="230">
        <v>0</v>
      </c>
      <c r="P42" s="230">
        <v>0</v>
      </c>
      <c r="Q42" s="230">
        <v>0</v>
      </c>
      <c r="R42" s="230">
        <v>0</v>
      </c>
      <c r="S42" s="230">
        <v>0</v>
      </c>
      <c r="T42" s="230">
        <v>0</v>
      </c>
      <c r="U42" s="230">
        <v>0</v>
      </c>
      <c r="V42" s="230">
        <v>0</v>
      </c>
      <c r="W42" s="230">
        <v>0</v>
      </c>
      <c r="X42" s="230">
        <f t="shared" si="1"/>
        <v>0</v>
      </c>
      <c r="Y42" s="230"/>
      <c r="Z42" s="158">
        <f t="shared" si="2"/>
        <v>0</v>
      </c>
      <c r="AA42" s="245">
        <v>0</v>
      </c>
      <c r="AB42" s="230">
        <v>0</v>
      </c>
      <c r="AC42" s="246">
        <f>K42+AA42</f>
        <v>60000000</v>
      </c>
      <c r="AD42" s="37"/>
    </row>
    <row r="43" spans="1:30" s="155" customFormat="1">
      <c r="A43" s="152">
        <f t="shared" si="5"/>
        <v>39</v>
      </c>
      <c r="B43" s="37" t="s">
        <v>1510</v>
      </c>
      <c r="C43" s="70">
        <v>45701</v>
      </c>
      <c r="D43" s="35">
        <v>2025</v>
      </c>
      <c r="E43" s="154" t="s">
        <v>388</v>
      </c>
      <c r="F43" s="154" t="s">
        <v>6005</v>
      </c>
      <c r="G43" s="154" t="s">
        <v>6006</v>
      </c>
      <c r="H43" s="246">
        <v>10825000</v>
      </c>
      <c r="I43" s="246">
        <v>0</v>
      </c>
      <c r="J43" s="246">
        <v>1190750</v>
      </c>
      <c r="K43" s="231">
        <f t="shared" si="0"/>
        <v>12015750</v>
      </c>
      <c r="L43" s="221"/>
      <c r="M43" s="231">
        <v>0</v>
      </c>
      <c r="N43" s="230">
        <v>0</v>
      </c>
      <c r="O43" s="231">
        <v>10608500</v>
      </c>
      <c r="P43" s="230">
        <v>0</v>
      </c>
      <c r="Q43" s="230">
        <v>0</v>
      </c>
      <c r="R43" s="230">
        <v>0</v>
      </c>
      <c r="S43" s="230">
        <v>0</v>
      </c>
      <c r="T43" s="230">
        <v>0</v>
      </c>
      <c r="U43" s="230">
        <v>0</v>
      </c>
      <c r="V43" s="230">
        <v>0</v>
      </c>
      <c r="W43" s="230">
        <v>1407250</v>
      </c>
      <c r="X43" s="230">
        <f t="shared" si="1"/>
        <v>0</v>
      </c>
      <c r="Y43" s="230"/>
      <c r="Z43" s="158">
        <f t="shared" si="2"/>
        <v>-1190750</v>
      </c>
      <c r="AA43" s="245">
        <f>-(H43+I43)*2%</f>
        <v>-216500</v>
      </c>
      <c r="AB43" s="230">
        <f>K43+Z43+AA43</f>
        <v>10608500</v>
      </c>
      <c r="AC43" s="246">
        <v>0</v>
      </c>
      <c r="AD43" s="37"/>
    </row>
    <row r="44" spans="1:30" s="155" customFormat="1">
      <c r="A44" s="152">
        <f t="shared" si="5"/>
        <v>40</v>
      </c>
      <c r="B44" s="37" t="s">
        <v>1511</v>
      </c>
      <c r="C44" s="70">
        <v>45737</v>
      </c>
      <c r="D44" s="35">
        <v>2025</v>
      </c>
      <c r="E44" s="154" t="s">
        <v>388</v>
      </c>
      <c r="F44" s="154" t="s">
        <v>6005</v>
      </c>
      <c r="G44" s="154" t="s">
        <v>6006</v>
      </c>
      <c r="H44" s="246">
        <v>10750000</v>
      </c>
      <c r="I44" s="246">
        <v>0</v>
      </c>
      <c r="J44" s="246">
        <v>1182500</v>
      </c>
      <c r="K44" s="231">
        <f t="shared" si="0"/>
        <v>11932500</v>
      </c>
      <c r="L44" s="221"/>
      <c r="M44" s="231">
        <v>0</v>
      </c>
      <c r="N44" s="230">
        <v>0</v>
      </c>
      <c r="O44" s="230">
        <v>10535000</v>
      </c>
      <c r="P44" s="230">
        <v>0</v>
      </c>
      <c r="Q44" s="230">
        <v>0</v>
      </c>
      <c r="R44" s="230">
        <v>0</v>
      </c>
      <c r="S44" s="230">
        <v>0</v>
      </c>
      <c r="T44" s="230">
        <v>0</v>
      </c>
      <c r="U44" s="230">
        <v>0</v>
      </c>
      <c r="V44" s="230">
        <v>0</v>
      </c>
      <c r="W44" s="230">
        <v>1397500</v>
      </c>
      <c r="X44" s="230">
        <f t="shared" si="1"/>
        <v>0</v>
      </c>
      <c r="Y44" s="230"/>
      <c r="Z44" s="158">
        <f t="shared" si="2"/>
        <v>-1182500</v>
      </c>
      <c r="AA44" s="245">
        <f>-(H44+I44)*2%</f>
        <v>-215000</v>
      </c>
      <c r="AB44" s="230">
        <f>K44+Z44+AA44</f>
        <v>10535000</v>
      </c>
      <c r="AC44" s="246">
        <v>0</v>
      </c>
      <c r="AD44" s="37"/>
    </row>
    <row r="45" spans="1:30" s="211" customFormat="1">
      <c r="A45" s="152">
        <f t="shared" si="5"/>
        <v>41</v>
      </c>
      <c r="B45" s="37" t="s">
        <v>1512</v>
      </c>
      <c r="C45" s="70">
        <v>45708</v>
      </c>
      <c r="D45" s="35">
        <v>2025</v>
      </c>
      <c r="E45" s="154" t="s">
        <v>1577</v>
      </c>
      <c r="F45" s="154" t="s">
        <v>1368</v>
      </c>
      <c r="G45" s="154" t="s">
        <v>1578</v>
      </c>
      <c r="H45" s="246">
        <v>2030000</v>
      </c>
      <c r="I45" s="246">
        <v>0</v>
      </c>
      <c r="J45" s="246">
        <v>0</v>
      </c>
      <c r="K45" s="231">
        <f t="shared" si="0"/>
        <v>2030000</v>
      </c>
      <c r="L45" s="221"/>
      <c r="M45" s="231">
        <v>2030000</v>
      </c>
      <c r="N45" s="230">
        <v>0</v>
      </c>
      <c r="O45" s="230">
        <v>0</v>
      </c>
      <c r="P45" s="230">
        <v>0</v>
      </c>
      <c r="Q45" s="230">
        <v>0</v>
      </c>
      <c r="R45" s="230">
        <v>0</v>
      </c>
      <c r="S45" s="230">
        <v>0</v>
      </c>
      <c r="T45" s="230">
        <v>0</v>
      </c>
      <c r="U45" s="230">
        <v>0</v>
      </c>
      <c r="V45" s="230">
        <v>0</v>
      </c>
      <c r="W45" s="230">
        <v>0</v>
      </c>
      <c r="X45" s="230">
        <f t="shared" si="1"/>
        <v>0</v>
      </c>
      <c r="Y45" s="230"/>
      <c r="Z45" s="158">
        <f t="shared" si="2"/>
        <v>0</v>
      </c>
      <c r="AA45" s="245">
        <v>0</v>
      </c>
      <c r="AB45" s="230">
        <v>0</v>
      </c>
      <c r="AC45" s="246">
        <v>0</v>
      </c>
      <c r="AD45" s="37"/>
    </row>
    <row r="46" spans="1:30" s="211" customFormat="1">
      <c r="A46" s="152">
        <f t="shared" si="5"/>
        <v>42</v>
      </c>
      <c r="B46" s="37" t="s">
        <v>1513</v>
      </c>
      <c r="C46" s="70">
        <v>45708</v>
      </c>
      <c r="D46" s="35">
        <v>2025</v>
      </c>
      <c r="E46" s="154" t="s">
        <v>1579</v>
      </c>
      <c r="F46" s="154" t="s">
        <v>1368</v>
      </c>
      <c r="G46" s="154" t="s">
        <v>1580</v>
      </c>
      <c r="H46" s="246">
        <v>3043010</v>
      </c>
      <c r="I46" s="246">
        <v>0</v>
      </c>
      <c r="J46" s="246">
        <v>0</v>
      </c>
      <c r="K46" s="231">
        <f t="shared" si="0"/>
        <v>3043010</v>
      </c>
      <c r="L46" s="221"/>
      <c r="M46" s="231">
        <v>3043010</v>
      </c>
      <c r="N46" s="230">
        <v>0</v>
      </c>
      <c r="O46" s="230">
        <v>0</v>
      </c>
      <c r="P46" s="230">
        <v>0</v>
      </c>
      <c r="Q46" s="230">
        <v>0</v>
      </c>
      <c r="R46" s="230">
        <v>0</v>
      </c>
      <c r="S46" s="230">
        <v>0</v>
      </c>
      <c r="T46" s="230">
        <v>0</v>
      </c>
      <c r="U46" s="230">
        <v>0</v>
      </c>
      <c r="V46" s="230">
        <v>0</v>
      </c>
      <c r="W46" s="230">
        <v>0</v>
      </c>
      <c r="X46" s="230">
        <f t="shared" si="1"/>
        <v>0</v>
      </c>
      <c r="Y46" s="230"/>
      <c r="Z46" s="158">
        <f t="shared" si="2"/>
        <v>0</v>
      </c>
      <c r="AA46" s="245">
        <v>0</v>
      </c>
      <c r="AB46" s="230">
        <v>0</v>
      </c>
      <c r="AC46" s="246">
        <v>0</v>
      </c>
      <c r="AD46" s="37"/>
    </row>
    <row r="47" spans="1:30" s="155" customFormat="1">
      <c r="A47" s="152">
        <f t="shared" si="5"/>
        <v>43</v>
      </c>
      <c r="B47" s="37" t="s">
        <v>1515</v>
      </c>
      <c r="C47" s="70">
        <v>45719</v>
      </c>
      <c r="D47" s="35">
        <v>2025</v>
      </c>
      <c r="E47" s="154" t="s">
        <v>393</v>
      </c>
      <c r="F47" s="154" t="s">
        <v>1583</v>
      </c>
      <c r="G47" s="154" t="s">
        <v>1584</v>
      </c>
      <c r="H47" s="246">
        <v>154750000</v>
      </c>
      <c r="I47" s="246">
        <v>15475000</v>
      </c>
      <c r="J47" s="246">
        <v>18724750</v>
      </c>
      <c r="K47" s="231">
        <f t="shared" si="0"/>
        <v>188949750</v>
      </c>
      <c r="L47" s="221"/>
      <c r="M47" s="231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166820500</v>
      </c>
      <c r="T47" s="230">
        <v>0</v>
      </c>
      <c r="U47" s="230">
        <v>0</v>
      </c>
      <c r="V47" s="230">
        <v>0</v>
      </c>
      <c r="W47" s="230">
        <v>22129250</v>
      </c>
      <c r="X47" s="230">
        <f t="shared" si="1"/>
        <v>0</v>
      </c>
      <c r="Y47" s="230"/>
      <c r="Z47" s="158">
        <f t="shared" si="2"/>
        <v>-18724750</v>
      </c>
      <c r="AA47" s="245">
        <f>-(H47+I47)*2%</f>
        <v>-3404500</v>
      </c>
      <c r="AB47" s="230">
        <f>K47+Z47+AA47</f>
        <v>166820500</v>
      </c>
      <c r="AC47" s="246">
        <v>0</v>
      </c>
      <c r="AD47" s="37"/>
    </row>
    <row r="48" spans="1:30" s="155" customFormat="1">
      <c r="A48" s="152">
        <f t="shared" si="5"/>
        <v>44</v>
      </c>
      <c r="B48" s="37" t="s">
        <v>1516</v>
      </c>
      <c r="C48" s="70">
        <v>45723</v>
      </c>
      <c r="D48" s="35">
        <v>2025</v>
      </c>
      <c r="E48" s="154" t="s">
        <v>1585</v>
      </c>
      <c r="F48" s="154" t="s">
        <v>1445</v>
      </c>
      <c r="G48" s="154" t="s">
        <v>1586</v>
      </c>
      <c r="H48" s="246">
        <v>68100000</v>
      </c>
      <c r="I48" s="246">
        <v>0</v>
      </c>
      <c r="J48" s="246">
        <v>0</v>
      </c>
      <c r="K48" s="231">
        <f t="shared" si="0"/>
        <v>68100000</v>
      </c>
      <c r="L48" s="221"/>
      <c r="M48" s="231">
        <v>68100000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f t="shared" si="1"/>
        <v>0</v>
      </c>
      <c r="Y48" s="230"/>
      <c r="Z48" s="158">
        <f t="shared" si="2"/>
        <v>0</v>
      </c>
      <c r="AA48" s="245">
        <v>0</v>
      </c>
      <c r="AB48" s="230">
        <v>0</v>
      </c>
      <c r="AC48" s="246">
        <f>K48+AA48</f>
        <v>68100000</v>
      </c>
      <c r="AD48" s="37"/>
    </row>
    <row r="49" spans="1:30" s="155" customFormat="1">
      <c r="A49" s="152">
        <f t="shared" si="5"/>
        <v>45</v>
      </c>
      <c r="B49" s="37" t="s">
        <v>1519</v>
      </c>
      <c r="C49" s="70">
        <v>45719</v>
      </c>
      <c r="D49" s="35">
        <v>2025</v>
      </c>
      <c r="E49" s="154" t="s">
        <v>393</v>
      </c>
      <c r="F49" s="154" t="s">
        <v>1411</v>
      </c>
      <c r="G49" s="154" t="s">
        <v>1589</v>
      </c>
      <c r="H49" s="246">
        <v>74900000</v>
      </c>
      <c r="I49" s="246">
        <v>5992000</v>
      </c>
      <c r="J49" s="246">
        <v>8898120</v>
      </c>
      <c r="K49" s="231">
        <f t="shared" si="0"/>
        <v>89790120</v>
      </c>
      <c r="L49" s="221"/>
      <c r="M49" s="231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230">
        <v>79274160</v>
      </c>
      <c r="T49" s="230">
        <v>0</v>
      </c>
      <c r="U49" s="230">
        <v>0</v>
      </c>
      <c r="V49" s="230">
        <v>0</v>
      </c>
      <c r="W49" s="230">
        <v>10515960</v>
      </c>
      <c r="X49" s="230">
        <f t="shared" si="1"/>
        <v>0</v>
      </c>
      <c r="Y49" s="230"/>
      <c r="Z49" s="158">
        <f t="shared" si="2"/>
        <v>-8898120</v>
      </c>
      <c r="AA49" s="245">
        <f>-(H49+I49)*2%</f>
        <v>-1617840</v>
      </c>
      <c r="AB49" s="230">
        <f>K49+Z49+AA49</f>
        <v>79274160</v>
      </c>
      <c r="AC49" s="246">
        <v>0</v>
      </c>
      <c r="AD49" s="37"/>
    </row>
    <row r="50" spans="1:30" s="267" customFormat="1">
      <c r="A50" s="152">
        <f t="shared" si="5"/>
        <v>46</v>
      </c>
      <c r="B50" s="37" t="s">
        <v>1520</v>
      </c>
      <c r="C50" s="70">
        <v>45719</v>
      </c>
      <c r="D50" s="35">
        <v>2025</v>
      </c>
      <c r="E50" s="154" t="s">
        <v>393</v>
      </c>
      <c r="F50" s="154" t="s">
        <v>757</v>
      </c>
      <c r="G50" s="154" t="s">
        <v>757</v>
      </c>
      <c r="H50" s="246">
        <v>185275000</v>
      </c>
      <c r="I50" s="246">
        <v>14822000</v>
      </c>
      <c r="J50" s="246">
        <v>22010670</v>
      </c>
      <c r="K50" s="231">
        <f t="shared" si="0"/>
        <v>222107670</v>
      </c>
      <c r="L50" s="221"/>
      <c r="M50" s="231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196095060</v>
      </c>
      <c r="T50" s="230">
        <v>0</v>
      </c>
      <c r="U50" s="230">
        <v>0</v>
      </c>
      <c r="V50" s="230">
        <v>0</v>
      </c>
      <c r="W50" s="230">
        <v>26012610</v>
      </c>
      <c r="X50" s="230">
        <f t="shared" si="1"/>
        <v>0</v>
      </c>
      <c r="Y50" s="230"/>
      <c r="Z50" s="158">
        <f t="shared" si="2"/>
        <v>-22010670</v>
      </c>
      <c r="AA50" s="245">
        <f>-(H50+I50)*2%</f>
        <v>-4001940</v>
      </c>
      <c r="AB50" s="230">
        <f>K50+Z50+AA50</f>
        <v>196095060</v>
      </c>
      <c r="AC50" s="246">
        <v>0</v>
      </c>
      <c r="AD50" s="37"/>
    </row>
    <row r="51" spans="1:30" s="155" customFormat="1">
      <c r="A51" s="152">
        <f t="shared" si="5"/>
        <v>47</v>
      </c>
      <c r="B51" s="37" t="s">
        <v>1524</v>
      </c>
      <c r="C51" s="70">
        <v>45730</v>
      </c>
      <c r="D51" s="35">
        <v>2025</v>
      </c>
      <c r="E51" s="154" t="s">
        <v>1591</v>
      </c>
      <c r="F51" s="146" t="s">
        <v>433</v>
      </c>
      <c r="G51" s="154" t="s">
        <v>1592</v>
      </c>
      <c r="H51" s="246">
        <v>1550000</v>
      </c>
      <c r="I51" s="246">
        <v>0</v>
      </c>
      <c r="J51" s="246">
        <v>0</v>
      </c>
      <c r="K51" s="231">
        <f t="shared" si="0"/>
        <v>1550000</v>
      </c>
      <c r="L51" s="221"/>
      <c r="M51" s="231">
        <v>1550000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f t="shared" si="1"/>
        <v>0</v>
      </c>
      <c r="Y51" s="230"/>
      <c r="Z51" s="158">
        <f t="shared" si="2"/>
        <v>0</v>
      </c>
      <c r="AA51" s="245">
        <v>0</v>
      </c>
      <c r="AB51" s="230">
        <v>0</v>
      </c>
      <c r="AC51" s="246">
        <v>0</v>
      </c>
      <c r="AD51" s="37"/>
    </row>
    <row r="52" spans="1:30" s="155" customFormat="1">
      <c r="A52" s="152">
        <f t="shared" si="5"/>
        <v>48</v>
      </c>
      <c r="B52" s="37" t="s">
        <v>1525</v>
      </c>
      <c r="C52" s="70">
        <v>45730</v>
      </c>
      <c r="D52" s="35">
        <v>2025</v>
      </c>
      <c r="E52" s="154" t="s">
        <v>388</v>
      </c>
      <c r="F52" s="146" t="s">
        <v>1593</v>
      </c>
      <c r="G52" s="154" t="s">
        <v>1594</v>
      </c>
      <c r="H52" s="246">
        <v>11538217</v>
      </c>
      <c r="I52" s="246">
        <v>0</v>
      </c>
      <c r="J52" s="246">
        <v>1269204</v>
      </c>
      <c r="K52" s="231">
        <f t="shared" si="0"/>
        <v>12807421</v>
      </c>
      <c r="L52" s="221"/>
      <c r="M52" s="231">
        <v>0</v>
      </c>
      <c r="N52" s="230">
        <v>0</v>
      </c>
      <c r="O52" s="230">
        <v>11307453</v>
      </c>
      <c r="P52" s="230">
        <v>0</v>
      </c>
      <c r="Q52" s="230">
        <v>0</v>
      </c>
      <c r="R52" s="230">
        <v>0</v>
      </c>
      <c r="S52" s="230">
        <v>0</v>
      </c>
      <c r="T52" s="230">
        <v>0</v>
      </c>
      <c r="U52" s="230">
        <v>0</v>
      </c>
      <c r="V52" s="230">
        <v>0</v>
      </c>
      <c r="W52" s="230">
        <v>1499968</v>
      </c>
      <c r="X52" s="230">
        <f t="shared" si="1"/>
        <v>0</v>
      </c>
      <c r="Y52" s="230"/>
      <c r="Z52" s="158">
        <f t="shared" si="2"/>
        <v>-1269204</v>
      </c>
      <c r="AA52" s="245">
        <f t="shared" ref="AA52:AA62" si="7">-(H52+I52)*2%</f>
        <v>-230764.34</v>
      </c>
      <c r="AB52" s="230">
        <f t="shared" ref="AB52:AB62" si="8">K52+Z52+AA52</f>
        <v>11307452.66</v>
      </c>
      <c r="AC52" s="246">
        <v>0</v>
      </c>
      <c r="AD52" s="37"/>
    </row>
    <row r="53" spans="1:30" s="155" customFormat="1">
      <c r="A53" s="152">
        <f t="shared" si="5"/>
        <v>49</v>
      </c>
      <c r="B53" s="37" t="s">
        <v>1526</v>
      </c>
      <c r="C53" s="70">
        <v>45730</v>
      </c>
      <c r="D53" s="35">
        <v>2025</v>
      </c>
      <c r="E53" s="146" t="s">
        <v>414</v>
      </c>
      <c r="F53" s="146" t="s">
        <v>1445</v>
      </c>
      <c r="G53" s="154" t="s">
        <v>1595</v>
      </c>
      <c r="H53" s="246">
        <v>42980500</v>
      </c>
      <c r="I53" s="246">
        <v>4298050</v>
      </c>
      <c r="J53" s="246">
        <v>5200641</v>
      </c>
      <c r="K53" s="231">
        <f t="shared" si="0"/>
        <v>52479191</v>
      </c>
      <c r="L53" s="221"/>
      <c r="M53" s="231">
        <v>0</v>
      </c>
      <c r="N53" s="230">
        <v>46332979</v>
      </c>
      <c r="O53" s="230">
        <v>0</v>
      </c>
      <c r="P53" s="230">
        <v>0</v>
      </c>
      <c r="Q53" s="230">
        <v>0</v>
      </c>
      <c r="R53" s="230">
        <v>0</v>
      </c>
      <c r="S53" s="230">
        <v>0</v>
      </c>
      <c r="T53" s="230">
        <v>0</v>
      </c>
      <c r="U53" s="230">
        <v>0</v>
      </c>
      <c r="V53" s="230">
        <v>0</v>
      </c>
      <c r="W53" s="230">
        <v>6146212</v>
      </c>
      <c r="X53" s="230">
        <f t="shared" si="1"/>
        <v>0</v>
      </c>
      <c r="Y53" s="230"/>
      <c r="Z53" s="158">
        <f t="shared" si="2"/>
        <v>-5200641</v>
      </c>
      <c r="AA53" s="245">
        <f t="shared" si="7"/>
        <v>-945571</v>
      </c>
      <c r="AB53" s="230">
        <f t="shared" si="8"/>
        <v>46332979</v>
      </c>
      <c r="AC53" s="246">
        <v>0</v>
      </c>
      <c r="AD53" s="37"/>
    </row>
    <row r="54" spans="1:30" s="155" customFormat="1">
      <c r="A54" s="152">
        <f t="shared" si="5"/>
        <v>50</v>
      </c>
      <c r="B54" s="37" t="s">
        <v>1536</v>
      </c>
      <c r="C54" s="70">
        <v>45763</v>
      </c>
      <c r="D54" s="35">
        <v>2025</v>
      </c>
      <c r="E54" s="154" t="s">
        <v>307</v>
      </c>
      <c r="F54" s="146" t="s">
        <v>1599</v>
      </c>
      <c r="G54" s="146" t="s">
        <v>1600</v>
      </c>
      <c r="H54" s="246">
        <v>74550000</v>
      </c>
      <c r="I54" s="246">
        <v>7455000</v>
      </c>
      <c r="J54" s="246">
        <v>9020550</v>
      </c>
      <c r="K54" s="231">
        <f t="shared" si="0"/>
        <v>91025550</v>
      </c>
      <c r="L54" s="221"/>
      <c r="M54" s="231">
        <v>0</v>
      </c>
      <c r="N54" s="230">
        <v>0</v>
      </c>
      <c r="O54" s="230">
        <v>0</v>
      </c>
      <c r="P54" s="230">
        <v>0</v>
      </c>
      <c r="Q54" s="230">
        <v>0</v>
      </c>
      <c r="R54" s="230">
        <v>80364900</v>
      </c>
      <c r="S54" s="230">
        <v>0</v>
      </c>
      <c r="T54" s="230">
        <v>0</v>
      </c>
      <c r="U54" s="230">
        <v>0</v>
      </c>
      <c r="V54" s="230">
        <v>0</v>
      </c>
      <c r="W54" s="230">
        <v>10660650</v>
      </c>
      <c r="X54" s="230">
        <f t="shared" si="1"/>
        <v>0</v>
      </c>
      <c r="Y54" s="230"/>
      <c r="Z54" s="158">
        <f t="shared" si="2"/>
        <v>-9020550</v>
      </c>
      <c r="AA54" s="245">
        <f t="shared" si="7"/>
        <v>-1640100</v>
      </c>
      <c r="AB54" s="230">
        <f t="shared" si="8"/>
        <v>80364900</v>
      </c>
      <c r="AC54" s="246">
        <v>0</v>
      </c>
      <c r="AD54" s="37"/>
    </row>
    <row r="55" spans="1:30" s="155" customFormat="1">
      <c r="A55" s="152">
        <f t="shared" si="5"/>
        <v>51</v>
      </c>
      <c r="B55" s="37" t="s">
        <v>1547</v>
      </c>
      <c r="C55" s="70">
        <v>45782</v>
      </c>
      <c r="D55" s="35">
        <v>2025</v>
      </c>
      <c r="E55" s="154" t="s">
        <v>307</v>
      </c>
      <c r="F55" s="146" t="s">
        <v>1609</v>
      </c>
      <c r="G55" s="154" t="s">
        <v>1610</v>
      </c>
      <c r="H55" s="246">
        <v>186560000</v>
      </c>
      <c r="I55" s="246">
        <v>18656000</v>
      </c>
      <c r="J55" s="246">
        <v>22573760</v>
      </c>
      <c r="K55" s="231">
        <f t="shared" si="0"/>
        <v>227789760</v>
      </c>
      <c r="L55" s="221"/>
      <c r="M55" s="231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205216000</v>
      </c>
      <c r="S55" s="230">
        <v>0</v>
      </c>
      <c r="T55" s="230">
        <v>0</v>
      </c>
      <c r="U55" s="230">
        <v>0</v>
      </c>
      <c r="V55" s="230">
        <v>0</v>
      </c>
      <c r="W55" s="230">
        <v>22573760</v>
      </c>
      <c r="X55" s="230">
        <f t="shared" si="1"/>
        <v>0</v>
      </c>
      <c r="Y55" s="230"/>
      <c r="Z55" s="158">
        <f t="shared" si="2"/>
        <v>-22573760</v>
      </c>
      <c r="AA55" s="245">
        <f t="shared" si="7"/>
        <v>-4104320</v>
      </c>
      <c r="AB55" s="230">
        <f t="shared" si="8"/>
        <v>201111680</v>
      </c>
      <c r="AC55" s="246">
        <v>0</v>
      </c>
      <c r="AD55" s="37"/>
    </row>
    <row r="56" spans="1:30" s="155" customFormat="1">
      <c r="A56" s="152">
        <f t="shared" si="5"/>
        <v>52</v>
      </c>
      <c r="B56" s="37" t="s">
        <v>1548</v>
      </c>
      <c r="C56" s="70">
        <v>45782</v>
      </c>
      <c r="D56" s="35">
        <v>2025</v>
      </c>
      <c r="E56" s="154" t="s">
        <v>307</v>
      </c>
      <c r="F56" s="146" t="s">
        <v>1609</v>
      </c>
      <c r="G56" s="154" t="s">
        <v>1611</v>
      </c>
      <c r="H56" s="246">
        <v>241125000</v>
      </c>
      <c r="I56" s="246">
        <v>24112500</v>
      </c>
      <c r="J56" s="246">
        <v>29176125</v>
      </c>
      <c r="K56" s="231">
        <f t="shared" si="0"/>
        <v>294413625</v>
      </c>
      <c r="L56" s="221"/>
      <c r="M56" s="231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259932750</v>
      </c>
      <c r="S56" s="230">
        <v>0</v>
      </c>
      <c r="T56" s="230">
        <v>0</v>
      </c>
      <c r="U56" s="230">
        <v>0</v>
      </c>
      <c r="V56" s="230">
        <v>0</v>
      </c>
      <c r="W56" s="230">
        <v>34480875</v>
      </c>
      <c r="X56" s="230">
        <f t="shared" si="1"/>
        <v>0</v>
      </c>
      <c r="Y56" s="230"/>
      <c r="Z56" s="158">
        <f t="shared" si="2"/>
        <v>-29176125</v>
      </c>
      <c r="AA56" s="245">
        <f t="shared" si="7"/>
        <v>-5304750</v>
      </c>
      <c r="AB56" s="230">
        <f t="shared" si="8"/>
        <v>259932750</v>
      </c>
      <c r="AC56" s="246">
        <v>0</v>
      </c>
      <c r="AD56" s="37"/>
    </row>
    <row r="57" spans="1:30" s="155" customFormat="1">
      <c r="A57" s="152">
        <f t="shared" si="5"/>
        <v>53</v>
      </c>
      <c r="B57" s="37" t="s">
        <v>1552</v>
      </c>
      <c r="C57" s="70">
        <v>45785</v>
      </c>
      <c r="D57" s="35">
        <v>2025</v>
      </c>
      <c r="E57" s="154" t="s">
        <v>393</v>
      </c>
      <c r="F57" s="154" t="s">
        <v>1364</v>
      </c>
      <c r="G57" s="154" t="s">
        <v>1613</v>
      </c>
      <c r="H57" s="246">
        <v>479646313</v>
      </c>
      <c r="I57" s="246">
        <v>38371705</v>
      </c>
      <c r="J57" s="246">
        <v>56981982</v>
      </c>
      <c r="K57" s="231">
        <f t="shared" si="0"/>
        <v>575000000</v>
      </c>
      <c r="L57" s="221"/>
      <c r="M57" s="231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507657658</v>
      </c>
      <c r="T57" s="230">
        <v>0</v>
      </c>
      <c r="U57" s="230">
        <v>0</v>
      </c>
      <c r="V57" s="230">
        <v>0</v>
      </c>
      <c r="W57" s="230">
        <v>67342342</v>
      </c>
      <c r="X57" s="230">
        <f t="shared" si="1"/>
        <v>0</v>
      </c>
      <c r="Y57" s="230"/>
      <c r="Z57" s="158">
        <f t="shared" si="2"/>
        <v>-56981982</v>
      </c>
      <c r="AA57" s="245">
        <f t="shared" si="7"/>
        <v>-10360360.359999999</v>
      </c>
      <c r="AB57" s="230">
        <f t="shared" si="8"/>
        <v>507657657.63999999</v>
      </c>
      <c r="AC57" s="246">
        <v>0</v>
      </c>
      <c r="AD57" s="37"/>
    </row>
    <row r="58" spans="1:30" s="155" customFormat="1">
      <c r="A58" s="152">
        <f t="shared" si="5"/>
        <v>54</v>
      </c>
      <c r="B58" s="37" t="s">
        <v>1553</v>
      </c>
      <c r="C58" s="70">
        <v>45785</v>
      </c>
      <c r="D58" s="35">
        <v>2025</v>
      </c>
      <c r="E58" s="154" t="s">
        <v>393</v>
      </c>
      <c r="F58" s="154" t="s">
        <v>1364</v>
      </c>
      <c r="G58" s="154" t="s">
        <v>1614</v>
      </c>
      <c r="H58" s="246">
        <v>29195863</v>
      </c>
      <c r="I58" s="246">
        <v>2335669</v>
      </c>
      <c r="J58" s="246">
        <v>3468468</v>
      </c>
      <c r="K58" s="231">
        <f t="shared" si="0"/>
        <v>35000000</v>
      </c>
      <c r="L58" s="221"/>
      <c r="M58" s="231">
        <v>0</v>
      </c>
      <c r="N58" s="230">
        <v>0</v>
      </c>
      <c r="O58" s="230">
        <v>0</v>
      </c>
      <c r="P58" s="230">
        <v>0</v>
      </c>
      <c r="Q58" s="230">
        <v>0</v>
      </c>
      <c r="R58" s="230">
        <v>0</v>
      </c>
      <c r="S58" s="246">
        <v>30900901</v>
      </c>
      <c r="T58" s="230">
        <v>0</v>
      </c>
      <c r="U58" s="230">
        <v>0</v>
      </c>
      <c r="V58" s="230">
        <v>0</v>
      </c>
      <c r="W58" s="230">
        <v>4099099</v>
      </c>
      <c r="X58" s="230">
        <f t="shared" si="1"/>
        <v>0</v>
      </c>
      <c r="Y58" s="230"/>
      <c r="Z58" s="158">
        <f t="shared" si="2"/>
        <v>-3468468</v>
      </c>
      <c r="AA58" s="245">
        <f t="shared" si="7"/>
        <v>-630630.64</v>
      </c>
      <c r="AB58" s="230">
        <f t="shared" si="8"/>
        <v>30900901.359999999</v>
      </c>
      <c r="AC58" s="246">
        <v>0</v>
      </c>
      <c r="AD58" s="37"/>
    </row>
    <row r="59" spans="1:30" s="155" customFormat="1">
      <c r="A59" s="152">
        <f t="shared" si="5"/>
        <v>55</v>
      </c>
      <c r="B59" s="37" t="s">
        <v>1554</v>
      </c>
      <c r="C59" s="70">
        <v>45786</v>
      </c>
      <c r="D59" s="35">
        <v>2025</v>
      </c>
      <c r="E59" s="154" t="s">
        <v>388</v>
      </c>
      <c r="F59" s="154" t="s">
        <v>1615</v>
      </c>
      <c r="G59" s="154" t="s">
        <v>1616</v>
      </c>
      <c r="H59" s="246">
        <v>16773550</v>
      </c>
      <c r="I59" s="246">
        <v>0</v>
      </c>
      <c r="J59" s="246">
        <v>1845091</v>
      </c>
      <c r="K59" s="231">
        <f t="shared" si="0"/>
        <v>18618641</v>
      </c>
      <c r="L59" s="221"/>
      <c r="M59" s="231">
        <v>0</v>
      </c>
      <c r="N59" s="230">
        <v>0</v>
      </c>
      <c r="O59" s="230">
        <v>16438079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2180562</v>
      </c>
      <c r="X59" s="230">
        <f t="shared" si="1"/>
        <v>0</v>
      </c>
      <c r="Y59" s="230"/>
      <c r="Z59" s="158">
        <f t="shared" si="2"/>
        <v>-1845091</v>
      </c>
      <c r="AA59" s="245">
        <f t="shared" si="7"/>
        <v>-335471</v>
      </c>
      <c r="AB59" s="230">
        <f t="shared" si="8"/>
        <v>16438079</v>
      </c>
      <c r="AC59" s="246">
        <v>0</v>
      </c>
      <c r="AD59" s="146" t="s">
        <v>2209</v>
      </c>
    </row>
    <row r="60" spans="1:30" s="267" customFormat="1">
      <c r="A60" s="152">
        <f t="shared" si="5"/>
        <v>56</v>
      </c>
      <c r="B60" s="37" t="s">
        <v>1555</v>
      </c>
      <c r="C60" s="70">
        <v>45786</v>
      </c>
      <c r="D60" s="35">
        <v>2025</v>
      </c>
      <c r="E60" s="154" t="s">
        <v>388</v>
      </c>
      <c r="F60" s="154" t="s">
        <v>1615</v>
      </c>
      <c r="G60" s="154" t="s">
        <v>1617</v>
      </c>
      <c r="H60" s="246">
        <v>19301697</v>
      </c>
      <c r="I60" s="246">
        <v>0</v>
      </c>
      <c r="J60" s="246">
        <v>2123187</v>
      </c>
      <c r="K60" s="231">
        <f t="shared" si="0"/>
        <v>21424884</v>
      </c>
      <c r="L60" s="221"/>
      <c r="M60" s="231">
        <v>0</v>
      </c>
      <c r="N60" s="230">
        <v>0</v>
      </c>
      <c r="O60" s="230">
        <v>18915663</v>
      </c>
      <c r="P60" s="230">
        <v>0</v>
      </c>
      <c r="Q60" s="230">
        <v>0</v>
      </c>
      <c r="R60" s="230">
        <v>0</v>
      </c>
      <c r="S60" s="230">
        <v>0</v>
      </c>
      <c r="T60" s="230">
        <v>0</v>
      </c>
      <c r="U60" s="230">
        <v>0</v>
      </c>
      <c r="V60" s="230">
        <v>0</v>
      </c>
      <c r="W60" s="230">
        <v>2509221</v>
      </c>
      <c r="X60" s="230">
        <f t="shared" si="1"/>
        <v>0</v>
      </c>
      <c r="Y60" s="230"/>
      <c r="Z60" s="158">
        <f t="shared" si="2"/>
        <v>-2123187</v>
      </c>
      <c r="AA60" s="245">
        <f t="shared" si="7"/>
        <v>-386033.94</v>
      </c>
      <c r="AB60" s="230">
        <f t="shared" si="8"/>
        <v>18915663.059999999</v>
      </c>
      <c r="AC60" s="246">
        <v>0</v>
      </c>
      <c r="AD60" s="146" t="s">
        <v>2209</v>
      </c>
    </row>
    <row r="61" spans="1:30" s="155" customFormat="1">
      <c r="A61" s="152">
        <f t="shared" si="5"/>
        <v>57</v>
      </c>
      <c r="B61" s="37" t="s">
        <v>1556</v>
      </c>
      <c r="C61" s="70">
        <v>45786</v>
      </c>
      <c r="D61" s="35">
        <v>2025</v>
      </c>
      <c r="E61" s="154" t="s">
        <v>388</v>
      </c>
      <c r="F61" s="154" t="s">
        <v>1615</v>
      </c>
      <c r="G61" s="154" t="s">
        <v>1618</v>
      </c>
      <c r="H61" s="246">
        <v>18674296</v>
      </c>
      <c r="I61" s="246">
        <v>0</v>
      </c>
      <c r="J61" s="246">
        <v>2054173</v>
      </c>
      <c r="K61" s="231">
        <f t="shared" si="0"/>
        <v>20728469</v>
      </c>
      <c r="L61" s="221"/>
      <c r="M61" s="231">
        <v>0</v>
      </c>
      <c r="N61" s="230">
        <v>0</v>
      </c>
      <c r="O61" s="230">
        <v>18300810</v>
      </c>
      <c r="P61" s="230">
        <v>0</v>
      </c>
      <c r="Q61" s="230">
        <v>0</v>
      </c>
      <c r="R61" s="230">
        <v>0</v>
      </c>
      <c r="S61" s="230">
        <v>0</v>
      </c>
      <c r="T61" s="230">
        <v>0</v>
      </c>
      <c r="U61" s="230">
        <v>0</v>
      </c>
      <c r="V61" s="230">
        <v>0</v>
      </c>
      <c r="W61" s="230">
        <v>2427659</v>
      </c>
      <c r="X61" s="230">
        <f t="shared" si="1"/>
        <v>0</v>
      </c>
      <c r="Y61" s="230"/>
      <c r="Z61" s="158">
        <f t="shared" si="2"/>
        <v>-2054173</v>
      </c>
      <c r="AA61" s="245">
        <f t="shared" si="7"/>
        <v>-373485.92</v>
      </c>
      <c r="AB61" s="230">
        <f t="shared" si="8"/>
        <v>18300810.079999998</v>
      </c>
      <c r="AC61" s="246">
        <v>0</v>
      </c>
      <c r="AD61" s="146" t="s">
        <v>2209</v>
      </c>
    </row>
    <row r="62" spans="1:30" s="155" customFormat="1">
      <c r="A62" s="152">
        <f t="shared" si="5"/>
        <v>58</v>
      </c>
      <c r="B62" s="37" t="s">
        <v>2215</v>
      </c>
      <c r="C62" s="70">
        <v>45799</v>
      </c>
      <c r="D62" s="35">
        <v>2025</v>
      </c>
      <c r="E62" s="154" t="s">
        <v>388</v>
      </c>
      <c r="F62" s="146" t="s">
        <v>2216</v>
      </c>
      <c r="G62" s="154" t="s">
        <v>2217</v>
      </c>
      <c r="H62" s="246">
        <v>55000474</v>
      </c>
      <c r="I62" s="246">
        <v>0</v>
      </c>
      <c r="J62" s="246">
        <v>6050052</v>
      </c>
      <c r="K62" s="231">
        <f t="shared" si="0"/>
        <v>61050526</v>
      </c>
      <c r="L62" s="221"/>
      <c r="M62" s="231">
        <v>0</v>
      </c>
      <c r="N62" s="230">
        <v>0</v>
      </c>
      <c r="O62" s="230">
        <v>53900465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7150061</v>
      </c>
      <c r="X62" s="230">
        <f t="shared" si="1"/>
        <v>0</v>
      </c>
      <c r="Y62" s="230"/>
      <c r="Z62" s="158">
        <f t="shared" si="2"/>
        <v>-6050052</v>
      </c>
      <c r="AA62" s="245">
        <f t="shared" si="7"/>
        <v>-1100009.48</v>
      </c>
      <c r="AB62" s="230">
        <f t="shared" si="8"/>
        <v>53900464.520000003</v>
      </c>
      <c r="AC62" s="246">
        <v>0</v>
      </c>
      <c r="AD62" s="37"/>
    </row>
    <row r="63" spans="1:30" s="267" customFormat="1">
      <c r="A63" s="152">
        <f t="shared" si="5"/>
        <v>59</v>
      </c>
      <c r="B63" s="37" t="s">
        <v>2220</v>
      </c>
      <c r="C63" s="70">
        <v>45810</v>
      </c>
      <c r="D63" s="35">
        <v>2025</v>
      </c>
      <c r="E63" s="154" t="s">
        <v>2221</v>
      </c>
      <c r="F63" s="146" t="s">
        <v>433</v>
      </c>
      <c r="G63" s="154" t="s">
        <v>2222</v>
      </c>
      <c r="H63" s="246">
        <v>28750953</v>
      </c>
      <c r="I63" s="246">
        <v>0</v>
      </c>
      <c r="J63" s="246">
        <v>0</v>
      </c>
      <c r="K63" s="231">
        <f t="shared" si="0"/>
        <v>28750953</v>
      </c>
      <c r="L63" s="221"/>
      <c r="M63" s="231">
        <v>28750953</v>
      </c>
      <c r="N63" s="230">
        <v>0</v>
      </c>
      <c r="O63" s="230">
        <v>0</v>
      </c>
      <c r="P63" s="230">
        <v>0</v>
      </c>
      <c r="Q63" s="230">
        <v>0</v>
      </c>
      <c r="R63" s="230">
        <v>0</v>
      </c>
      <c r="S63" s="230">
        <v>0</v>
      </c>
      <c r="T63" s="230">
        <v>0</v>
      </c>
      <c r="U63" s="230">
        <v>0</v>
      </c>
      <c r="V63" s="230">
        <v>0</v>
      </c>
      <c r="W63" s="230">
        <v>0</v>
      </c>
      <c r="X63" s="230">
        <f t="shared" si="1"/>
        <v>0</v>
      </c>
      <c r="Y63" s="230"/>
      <c r="Z63" s="158">
        <f t="shared" si="2"/>
        <v>0</v>
      </c>
      <c r="AA63" s="245">
        <v>0</v>
      </c>
      <c r="AB63" s="230">
        <v>0</v>
      </c>
      <c r="AC63" s="246">
        <v>0</v>
      </c>
      <c r="AD63" s="37"/>
    </row>
    <row r="64" spans="1:30" s="267" customFormat="1">
      <c r="A64" s="152">
        <f t="shared" si="5"/>
        <v>60</v>
      </c>
      <c r="B64" s="37" t="s">
        <v>2234</v>
      </c>
      <c r="C64" s="70">
        <v>45827</v>
      </c>
      <c r="D64" s="35">
        <v>2025</v>
      </c>
      <c r="E64" s="154" t="s">
        <v>307</v>
      </c>
      <c r="F64" s="154" t="s">
        <v>2235</v>
      </c>
      <c r="G64" s="146" t="s">
        <v>2236</v>
      </c>
      <c r="H64" s="246">
        <v>24570024</v>
      </c>
      <c r="I64" s="246">
        <v>2457003</v>
      </c>
      <c r="J64" s="246">
        <v>2972973</v>
      </c>
      <c r="K64" s="231">
        <f t="shared" si="0"/>
        <v>30000000</v>
      </c>
      <c r="L64" s="221"/>
      <c r="M64" s="231">
        <v>0</v>
      </c>
      <c r="N64" s="230">
        <v>0</v>
      </c>
      <c r="O64" s="230">
        <v>0</v>
      </c>
      <c r="P64" s="230">
        <v>0</v>
      </c>
      <c r="Q64" s="230">
        <v>0</v>
      </c>
      <c r="R64" s="230">
        <v>26486486</v>
      </c>
      <c r="S64" s="230">
        <v>0</v>
      </c>
      <c r="T64" s="230">
        <v>0</v>
      </c>
      <c r="U64" s="230">
        <v>0</v>
      </c>
      <c r="V64" s="230">
        <v>0</v>
      </c>
      <c r="W64" s="230">
        <v>3513514</v>
      </c>
      <c r="X64" s="230">
        <f t="shared" si="1"/>
        <v>0</v>
      </c>
      <c r="Y64" s="230"/>
      <c r="Z64" s="158">
        <f t="shared" si="2"/>
        <v>-2972973</v>
      </c>
      <c r="AA64" s="245">
        <f>-(H64+I64)*2%</f>
        <v>-540540.54</v>
      </c>
      <c r="AB64" s="230">
        <f>K64+Z64+AA64</f>
        <v>26486486.460000001</v>
      </c>
      <c r="AC64" s="246">
        <v>0</v>
      </c>
      <c r="AD64" s="37"/>
    </row>
    <row r="65" spans="1:30" s="267" customFormat="1">
      <c r="A65" s="152">
        <f t="shared" si="5"/>
        <v>61</v>
      </c>
      <c r="B65" s="37" t="s">
        <v>2237</v>
      </c>
      <c r="C65" s="70">
        <v>45827</v>
      </c>
      <c r="D65" s="35">
        <v>2025</v>
      </c>
      <c r="E65" s="154" t="s">
        <v>388</v>
      </c>
      <c r="F65" s="146" t="s">
        <v>2238</v>
      </c>
      <c r="G65" s="146" t="s">
        <v>2239</v>
      </c>
      <c r="H65" s="246">
        <v>281640000</v>
      </c>
      <c r="I65" s="246">
        <v>0</v>
      </c>
      <c r="J65" s="246">
        <v>30980400</v>
      </c>
      <c r="K65" s="231">
        <f t="shared" si="0"/>
        <v>312620400</v>
      </c>
      <c r="L65" s="221"/>
      <c r="M65" s="231">
        <v>0</v>
      </c>
      <c r="N65" s="230">
        <v>0</v>
      </c>
      <c r="O65" s="230">
        <v>276007200</v>
      </c>
      <c r="P65" s="230">
        <v>0</v>
      </c>
      <c r="Q65" s="230">
        <v>0</v>
      </c>
      <c r="R65" s="230">
        <v>0</v>
      </c>
      <c r="S65" s="230">
        <v>0</v>
      </c>
      <c r="T65" s="230">
        <v>0</v>
      </c>
      <c r="U65" s="230">
        <v>0</v>
      </c>
      <c r="V65" s="230">
        <v>0</v>
      </c>
      <c r="W65" s="230">
        <v>36613200</v>
      </c>
      <c r="X65" s="230">
        <f t="shared" si="1"/>
        <v>0</v>
      </c>
      <c r="Y65" s="230"/>
      <c r="Z65" s="158">
        <f t="shared" si="2"/>
        <v>-30980400</v>
      </c>
      <c r="AA65" s="245">
        <f>-(H65+I65)*2%</f>
        <v>-5632800</v>
      </c>
      <c r="AB65" s="230">
        <f>K65+Z65+AA65</f>
        <v>276007200</v>
      </c>
      <c r="AC65" s="246">
        <v>0</v>
      </c>
      <c r="AD65" s="37"/>
    </row>
    <row r="66" spans="1:30" s="155" customFormat="1">
      <c r="A66" s="152">
        <f t="shared" si="5"/>
        <v>62</v>
      </c>
      <c r="B66" s="37" t="s">
        <v>2240</v>
      </c>
      <c r="C66" s="70">
        <v>45828</v>
      </c>
      <c r="D66" s="35">
        <v>2025</v>
      </c>
      <c r="E66" s="154" t="s">
        <v>388</v>
      </c>
      <c r="F66" s="146" t="s">
        <v>1633</v>
      </c>
      <c r="G66" s="146" t="s">
        <v>2241</v>
      </c>
      <c r="H66" s="246">
        <v>49904186</v>
      </c>
      <c r="I66" s="246">
        <v>0</v>
      </c>
      <c r="J66" s="246">
        <v>5489460</v>
      </c>
      <c r="K66" s="231">
        <f t="shared" si="0"/>
        <v>55393646</v>
      </c>
      <c r="L66" s="221"/>
      <c r="M66" s="231">
        <v>0</v>
      </c>
      <c r="N66" s="230">
        <v>0</v>
      </c>
      <c r="O66" s="230">
        <v>48906102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6487544</v>
      </c>
      <c r="X66" s="230">
        <f t="shared" si="1"/>
        <v>0</v>
      </c>
      <c r="Y66" s="230"/>
      <c r="Z66" s="158">
        <f t="shared" si="2"/>
        <v>-5489460</v>
      </c>
      <c r="AA66" s="245">
        <f>-(H66+I66)*2%</f>
        <v>-998083.72</v>
      </c>
      <c r="AB66" s="230">
        <f>K66+Z66+AA66</f>
        <v>48906102.280000001</v>
      </c>
      <c r="AC66" s="246">
        <v>0</v>
      </c>
      <c r="AD66" s="37"/>
    </row>
    <row r="67" spans="1:30" s="155" customFormat="1">
      <c r="A67" s="152">
        <f t="shared" si="5"/>
        <v>63</v>
      </c>
      <c r="B67" s="37" t="s">
        <v>2242</v>
      </c>
      <c r="C67" s="70">
        <v>45833</v>
      </c>
      <c r="D67" s="35">
        <v>2025</v>
      </c>
      <c r="E67" s="154" t="s">
        <v>307</v>
      </c>
      <c r="F67" s="154" t="s">
        <v>2235</v>
      </c>
      <c r="G67" s="146" t="s">
        <v>2243</v>
      </c>
      <c r="H67" s="246">
        <v>199017200</v>
      </c>
      <c r="I67" s="246">
        <v>19901719</v>
      </c>
      <c r="J67" s="246">
        <v>24081081</v>
      </c>
      <c r="K67" s="231">
        <f t="shared" si="0"/>
        <v>243000000</v>
      </c>
      <c r="L67" s="221"/>
      <c r="M67" s="231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214540541</v>
      </c>
      <c r="S67" s="230">
        <v>0</v>
      </c>
      <c r="T67" s="230">
        <v>0</v>
      </c>
      <c r="U67" s="230">
        <v>0</v>
      </c>
      <c r="V67" s="230">
        <v>0</v>
      </c>
      <c r="W67" s="230">
        <v>28459459</v>
      </c>
      <c r="X67" s="230">
        <f t="shared" si="1"/>
        <v>0</v>
      </c>
      <c r="Y67" s="230"/>
      <c r="Z67" s="158">
        <f t="shared" si="2"/>
        <v>-24081081</v>
      </c>
      <c r="AA67" s="245">
        <f>-(H67+I67)*2%</f>
        <v>-4378378.38</v>
      </c>
      <c r="AB67" s="230">
        <f>K67+Z67+AA67</f>
        <v>214540540.62</v>
      </c>
      <c r="AC67" s="246">
        <v>0</v>
      </c>
      <c r="AD67" s="37"/>
    </row>
    <row r="68" spans="1:30" s="155" customFormat="1">
      <c r="A68" s="152">
        <f t="shared" si="5"/>
        <v>64</v>
      </c>
      <c r="B68" s="37" t="s">
        <v>2298</v>
      </c>
      <c r="C68" s="70">
        <v>45845</v>
      </c>
      <c r="D68" s="177">
        <v>2025</v>
      </c>
      <c r="E68" s="154" t="s">
        <v>2299</v>
      </c>
      <c r="F68" s="146" t="s">
        <v>1622</v>
      </c>
      <c r="G68" s="154" t="s">
        <v>2300</v>
      </c>
      <c r="H68" s="246">
        <v>12158989</v>
      </c>
      <c r="I68" s="246">
        <v>0</v>
      </c>
      <c r="J68" s="246">
        <v>0</v>
      </c>
      <c r="K68" s="231">
        <f t="shared" si="0"/>
        <v>12158989</v>
      </c>
      <c r="L68" s="221"/>
      <c r="M68" s="231">
        <v>12158989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f t="shared" si="1"/>
        <v>0</v>
      </c>
      <c r="Y68" s="230"/>
      <c r="Z68" s="158">
        <f t="shared" si="2"/>
        <v>0</v>
      </c>
      <c r="AA68" s="245">
        <v>0</v>
      </c>
      <c r="AB68" s="230">
        <v>0</v>
      </c>
      <c r="AC68" s="246">
        <v>0</v>
      </c>
      <c r="AD68" s="37"/>
    </row>
    <row r="69" spans="1:30" s="155" customFormat="1">
      <c r="A69" s="152">
        <f t="shared" si="5"/>
        <v>65</v>
      </c>
      <c r="B69" s="37" t="s">
        <v>2301</v>
      </c>
      <c r="C69" s="70">
        <v>45845</v>
      </c>
      <c r="D69" s="177">
        <v>2025</v>
      </c>
      <c r="E69" s="154" t="s">
        <v>2302</v>
      </c>
      <c r="F69" s="146" t="s">
        <v>1622</v>
      </c>
      <c r="G69" s="154" t="s">
        <v>2300</v>
      </c>
      <c r="H69" s="246">
        <v>5349022</v>
      </c>
      <c r="I69" s="246">
        <v>0</v>
      </c>
      <c r="J69" s="246">
        <v>0</v>
      </c>
      <c r="K69" s="231">
        <f t="shared" ref="K69:K132" si="9">SUM(H69:J69)</f>
        <v>5349022</v>
      </c>
      <c r="L69" s="221"/>
      <c r="M69" s="231">
        <v>5349022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f t="shared" ref="X69:X132" si="10">K69-SUM(M69:W69)</f>
        <v>0</v>
      </c>
      <c r="Y69" s="230"/>
      <c r="Z69" s="158">
        <f t="shared" ref="Z69:Z132" si="11">-J69</f>
        <v>0</v>
      </c>
      <c r="AA69" s="245">
        <v>0</v>
      </c>
      <c r="AB69" s="230">
        <v>0</v>
      </c>
      <c r="AC69" s="246">
        <v>0</v>
      </c>
      <c r="AD69" s="37"/>
    </row>
    <row r="70" spans="1:30" s="155" customFormat="1">
      <c r="A70" s="152">
        <f t="shared" ref="A70:A133" si="12">A69+1</f>
        <v>66</v>
      </c>
      <c r="B70" s="37" t="s">
        <v>2303</v>
      </c>
      <c r="C70" s="70">
        <v>45845</v>
      </c>
      <c r="D70" s="177">
        <v>2025</v>
      </c>
      <c r="E70" s="154" t="s">
        <v>2304</v>
      </c>
      <c r="F70" s="146" t="s">
        <v>1622</v>
      </c>
      <c r="G70" s="154" t="s">
        <v>2300</v>
      </c>
      <c r="H70" s="246">
        <v>5349022</v>
      </c>
      <c r="I70" s="246">
        <v>0</v>
      </c>
      <c r="J70" s="246">
        <v>0</v>
      </c>
      <c r="K70" s="231">
        <f t="shared" si="9"/>
        <v>5349022</v>
      </c>
      <c r="L70" s="221"/>
      <c r="M70" s="231">
        <v>5349022</v>
      </c>
      <c r="N70" s="230">
        <v>0</v>
      </c>
      <c r="O70" s="230">
        <v>0</v>
      </c>
      <c r="P70" s="230">
        <v>0</v>
      </c>
      <c r="Q70" s="230">
        <v>0</v>
      </c>
      <c r="R70" s="230">
        <v>0</v>
      </c>
      <c r="S70" s="230">
        <v>0</v>
      </c>
      <c r="T70" s="230">
        <v>0</v>
      </c>
      <c r="U70" s="230">
        <v>0</v>
      </c>
      <c r="V70" s="230">
        <v>0</v>
      </c>
      <c r="W70" s="230">
        <v>0</v>
      </c>
      <c r="X70" s="230">
        <f t="shared" si="10"/>
        <v>0</v>
      </c>
      <c r="Y70" s="230"/>
      <c r="Z70" s="158">
        <f t="shared" si="11"/>
        <v>0</v>
      </c>
      <c r="AA70" s="245">
        <v>0</v>
      </c>
      <c r="AB70" s="230">
        <v>0</v>
      </c>
      <c r="AC70" s="246">
        <v>0</v>
      </c>
      <c r="AD70" s="37"/>
    </row>
    <row r="71" spans="1:30" s="267" customFormat="1">
      <c r="A71" s="152">
        <f t="shared" si="12"/>
        <v>67</v>
      </c>
      <c r="B71" s="37" t="s">
        <v>2306</v>
      </c>
      <c r="C71" s="70">
        <v>45845</v>
      </c>
      <c r="D71" s="177">
        <v>2025</v>
      </c>
      <c r="E71" s="154" t="s">
        <v>2307</v>
      </c>
      <c r="F71" s="146" t="s">
        <v>1622</v>
      </c>
      <c r="G71" s="154" t="s">
        <v>2300</v>
      </c>
      <c r="H71" s="246">
        <v>10698044</v>
      </c>
      <c r="I71" s="246">
        <v>0</v>
      </c>
      <c r="J71" s="246">
        <v>0</v>
      </c>
      <c r="K71" s="231">
        <f t="shared" si="9"/>
        <v>10698044</v>
      </c>
      <c r="L71" s="221"/>
      <c r="M71" s="231">
        <v>10698044</v>
      </c>
      <c r="N71" s="230">
        <v>0</v>
      </c>
      <c r="O71" s="230">
        <v>0</v>
      </c>
      <c r="P71" s="230">
        <v>0</v>
      </c>
      <c r="Q71" s="230">
        <v>0</v>
      </c>
      <c r="R71" s="230">
        <v>0</v>
      </c>
      <c r="S71" s="230">
        <v>0</v>
      </c>
      <c r="T71" s="230">
        <v>0</v>
      </c>
      <c r="U71" s="230">
        <v>0</v>
      </c>
      <c r="V71" s="230">
        <v>0</v>
      </c>
      <c r="W71" s="230">
        <v>0</v>
      </c>
      <c r="X71" s="230">
        <f t="shared" si="10"/>
        <v>0</v>
      </c>
      <c r="Y71" s="230"/>
      <c r="Z71" s="158">
        <f t="shared" si="11"/>
        <v>0</v>
      </c>
      <c r="AA71" s="245">
        <v>0</v>
      </c>
      <c r="AB71" s="230">
        <v>0</v>
      </c>
      <c r="AC71" s="246">
        <v>0</v>
      </c>
      <c r="AD71" s="37"/>
    </row>
    <row r="72" spans="1:30" s="267" customFormat="1">
      <c r="A72" s="152">
        <f t="shared" si="12"/>
        <v>68</v>
      </c>
      <c r="B72" s="37" t="s">
        <v>2308</v>
      </c>
      <c r="C72" s="70">
        <v>45845</v>
      </c>
      <c r="D72" s="177">
        <v>2025</v>
      </c>
      <c r="E72" s="154" t="s">
        <v>2309</v>
      </c>
      <c r="F72" s="146" t="s">
        <v>1622</v>
      </c>
      <c r="G72" s="154" t="s">
        <v>2300</v>
      </c>
      <c r="H72" s="246">
        <v>7775522</v>
      </c>
      <c r="I72" s="246">
        <v>0</v>
      </c>
      <c r="J72" s="246">
        <v>0</v>
      </c>
      <c r="K72" s="231">
        <f t="shared" si="9"/>
        <v>7775522</v>
      </c>
      <c r="L72" s="221"/>
      <c r="M72" s="231">
        <v>7775522</v>
      </c>
      <c r="N72" s="230">
        <v>0</v>
      </c>
      <c r="O72" s="230">
        <v>0</v>
      </c>
      <c r="P72" s="230">
        <v>0</v>
      </c>
      <c r="Q72" s="230">
        <v>0</v>
      </c>
      <c r="R72" s="230">
        <v>0</v>
      </c>
      <c r="S72" s="230">
        <v>0</v>
      </c>
      <c r="T72" s="230">
        <v>0</v>
      </c>
      <c r="U72" s="230">
        <v>0</v>
      </c>
      <c r="V72" s="230">
        <v>0</v>
      </c>
      <c r="W72" s="230">
        <v>0</v>
      </c>
      <c r="X72" s="230">
        <f t="shared" si="10"/>
        <v>0</v>
      </c>
      <c r="Y72" s="230"/>
      <c r="Z72" s="158">
        <f t="shared" si="11"/>
        <v>0</v>
      </c>
      <c r="AA72" s="245">
        <v>0</v>
      </c>
      <c r="AB72" s="230">
        <v>0</v>
      </c>
      <c r="AC72" s="246">
        <v>0</v>
      </c>
      <c r="AD72" s="37"/>
    </row>
    <row r="73" spans="1:30" s="267" customFormat="1">
      <c r="A73" s="152">
        <f t="shared" si="12"/>
        <v>69</v>
      </c>
      <c r="B73" s="37" t="s">
        <v>2310</v>
      </c>
      <c r="C73" s="70">
        <v>45845</v>
      </c>
      <c r="D73" s="177">
        <v>2025</v>
      </c>
      <c r="E73" s="154" t="s">
        <v>2311</v>
      </c>
      <c r="F73" s="146" t="s">
        <v>1622</v>
      </c>
      <c r="G73" s="154" t="s">
        <v>2300</v>
      </c>
      <c r="H73" s="246">
        <v>7775522</v>
      </c>
      <c r="I73" s="246">
        <v>0</v>
      </c>
      <c r="J73" s="246">
        <v>0</v>
      </c>
      <c r="K73" s="231">
        <f t="shared" si="9"/>
        <v>7775522</v>
      </c>
      <c r="L73" s="221"/>
      <c r="M73" s="231">
        <v>7775522</v>
      </c>
      <c r="N73" s="230">
        <v>0</v>
      </c>
      <c r="O73" s="230">
        <v>0</v>
      </c>
      <c r="P73" s="230">
        <v>0</v>
      </c>
      <c r="Q73" s="230">
        <v>0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f t="shared" si="10"/>
        <v>0</v>
      </c>
      <c r="Y73" s="230"/>
      <c r="Z73" s="158">
        <f t="shared" si="11"/>
        <v>0</v>
      </c>
      <c r="AA73" s="245">
        <v>0</v>
      </c>
      <c r="AB73" s="230">
        <v>0</v>
      </c>
      <c r="AC73" s="246">
        <v>0</v>
      </c>
      <c r="AD73" s="37"/>
    </row>
    <row r="74" spans="1:30" s="267" customFormat="1">
      <c r="A74" s="152">
        <f t="shared" si="12"/>
        <v>70</v>
      </c>
      <c r="B74" s="37" t="s">
        <v>3382</v>
      </c>
      <c r="C74" s="70">
        <v>45859</v>
      </c>
      <c r="D74" s="177">
        <v>2025</v>
      </c>
      <c r="E74" s="154" t="s">
        <v>388</v>
      </c>
      <c r="F74" s="146" t="s">
        <v>2322</v>
      </c>
      <c r="G74" s="154" t="s">
        <v>3383</v>
      </c>
      <c r="H74" s="246">
        <v>30064660</v>
      </c>
      <c r="I74" s="246">
        <v>0</v>
      </c>
      <c r="J74" s="246">
        <v>3307113</v>
      </c>
      <c r="K74" s="231">
        <f t="shared" si="9"/>
        <v>33371773</v>
      </c>
      <c r="L74" s="221"/>
      <c r="M74" s="231">
        <v>0</v>
      </c>
      <c r="N74" s="230">
        <v>0</v>
      </c>
      <c r="O74" s="230">
        <v>29463367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3908406</v>
      </c>
      <c r="X74" s="230">
        <f t="shared" si="10"/>
        <v>0</v>
      </c>
      <c r="Y74" s="230"/>
      <c r="Z74" s="158">
        <f t="shared" si="11"/>
        <v>-3307113</v>
      </c>
      <c r="AA74" s="245">
        <f>-(H74+I74)*2%</f>
        <v>-601293.20000000007</v>
      </c>
      <c r="AB74" s="230">
        <f>K74+Z74+AA74</f>
        <v>29463366.800000001</v>
      </c>
      <c r="AC74" s="246">
        <v>0</v>
      </c>
      <c r="AD74" s="37"/>
    </row>
    <row r="75" spans="1:30" s="267" customFormat="1">
      <c r="A75" s="152">
        <f t="shared" si="12"/>
        <v>71</v>
      </c>
      <c r="B75" s="37" t="s">
        <v>3387</v>
      </c>
      <c r="C75" s="70">
        <v>45860</v>
      </c>
      <c r="D75" s="177">
        <v>2025</v>
      </c>
      <c r="E75" s="154" t="s">
        <v>3388</v>
      </c>
      <c r="F75" s="146" t="s">
        <v>1622</v>
      </c>
      <c r="G75" s="154" t="s">
        <v>3389</v>
      </c>
      <c r="H75" s="246">
        <v>4500000</v>
      </c>
      <c r="I75" s="246">
        <v>0</v>
      </c>
      <c r="J75" s="246">
        <v>0</v>
      </c>
      <c r="K75" s="231">
        <f t="shared" si="9"/>
        <v>4500000</v>
      </c>
      <c r="L75" s="221"/>
      <c r="M75" s="231">
        <v>4500000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f t="shared" si="10"/>
        <v>0</v>
      </c>
      <c r="Y75" s="230"/>
      <c r="Z75" s="158">
        <f t="shared" si="11"/>
        <v>0</v>
      </c>
      <c r="AA75" s="245">
        <v>0</v>
      </c>
      <c r="AB75" s="230">
        <v>0</v>
      </c>
      <c r="AC75" s="246">
        <v>0</v>
      </c>
      <c r="AD75" s="37"/>
    </row>
    <row r="76" spans="1:30" s="267" customFormat="1">
      <c r="A76" s="152">
        <f t="shared" si="12"/>
        <v>72</v>
      </c>
      <c r="B76" s="37" t="s">
        <v>3394</v>
      </c>
      <c r="C76" s="70">
        <v>45862</v>
      </c>
      <c r="D76" s="177">
        <v>2025</v>
      </c>
      <c r="E76" s="154" t="s">
        <v>3395</v>
      </c>
      <c r="F76" s="146" t="s">
        <v>1622</v>
      </c>
      <c r="G76" s="154" t="s">
        <v>3396</v>
      </c>
      <c r="H76" s="246">
        <v>5568158</v>
      </c>
      <c r="I76" s="246">
        <v>0</v>
      </c>
      <c r="J76" s="246">
        <v>0</v>
      </c>
      <c r="K76" s="231">
        <f t="shared" si="9"/>
        <v>5568158</v>
      </c>
      <c r="L76" s="221"/>
      <c r="M76" s="231">
        <v>5568158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f t="shared" si="10"/>
        <v>0</v>
      </c>
      <c r="Y76" s="230"/>
      <c r="Z76" s="158">
        <f t="shared" si="11"/>
        <v>0</v>
      </c>
      <c r="AA76" s="245">
        <v>0</v>
      </c>
      <c r="AB76" s="230">
        <v>0</v>
      </c>
      <c r="AC76" s="246">
        <v>0</v>
      </c>
      <c r="AD76" s="37"/>
    </row>
    <row r="77" spans="1:30" s="267" customFormat="1">
      <c r="A77" s="152">
        <f t="shared" si="12"/>
        <v>73</v>
      </c>
      <c r="B77" s="37" t="s">
        <v>3404</v>
      </c>
      <c r="C77" s="70">
        <v>45870</v>
      </c>
      <c r="D77" s="177">
        <v>2025</v>
      </c>
      <c r="E77" s="154" t="s">
        <v>390</v>
      </c>
      <c r="F77" s="146" t="s">
        <v>6000</v>
      </c>
      <c r="G77" s="154" t="s">
        <v>3405</v>
      </c>
      <c r="H77" s="246">
        <v>421113514</v>
      </c>
      <c r="I77" s="246">
        <v>42111352</v>
      </c>
      <c r="J77" s="246">
        <v>50954735</v>
      </c>
      <c r="K77" s="231">
        <f t="shared" si="9"/>
        <v>514179601</v>
      </c>
      <c r="L77" s="221"/>
      <c r="M77" s="231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462382639</v>
      </c>
      <c r="V77" s="230">
        <v>0</v>
      </c>
      <c r="W77" s="230">
        <v>51796962</v>
      </c>
      <c r="X77" s="230">
        <f t="shared" si="10"/>
        <v>0</v>
      </c>
      <c r="Y77" s="230"/>
      <c r="Z77" s="158">
        <f t="shared" si="11"/>
        <v>-50954735</v>
      </c>
      <c r="AA77" s="245">
        <f>-(I77)*2%</f>
        <v>-842227.04</v>
      </c>
      <c r="AB77" s="230">
        <f t="shared" ref="AB77:AB90" si="13">K77+Z77+AA77</f>
        <v>462382638.95999998</v>
      </c>
      <c r="AC77" s="246">
        <v>0</v>
      </c>
      <c r="AD77" s="37"/>
    </row>
    <row r="78" spans="1:30" s="155" customFormat="1">
      <c r="A78" s="152">
        <f t="shared" si="12"/>
        <v>74</v>
      </c>
      <c r="B78" s="37" t="s">
        <v>3406</v>
      </c>
      <c r="C78" s="70">
        <v>45870</v>
      </c>
      <c r="D78" s="177">
        <v>2025</v>
      </c>
      <c r="E78" s="154" t="s">
        <v>393</v>
      </c>
      <c r="F78" s="146" t="s">
        <v>6000</v>
      </c>
      <c r="G78" s="154" t="s">
        <v>3407</v>
      </c>
      <c r="H78" s="246">
        <v>737100737</v>
      </c>
      <c r="I78" s="246">
        <v>73710074</v>
      </c>
      <c r="J78" s="246">
        <v>89189189</v>
      </c>
      <c r="K78" s="231">
        <f t="shared" si="9"/>
        <v>900000000</v>
      </c>
      <c r="L78" s="221"/>
      <c r="M78" s="231">
        <v>0</v>
      </c>
      <c r="N78" s="230">
        <v>0</v>
      </c>
      <c r="O78" s="230">
        <v>0</v>
      </c>
      <c r="P78" s="230">
        <v>0</v>
      </c>
      <c r="Q78" s="230">
        <v>0</v>
      </c>
      <c r="R78" s="230">
        <v>0</v>
      </c>
      <c r="S78" s="230">
        <v>794594595</v>
      </c>
      <c r="T78" s="230">
        <v>0</v>
      </c>
      <c r="U78" s="230">
        <v>0</v>
      </c>
      <c r="V78" s="230">
        <v>0</v>
      </c>
      <c r="W78" s="230">
        <v>105405405</v>
      </c>
      <c r="X78" s="230">
        <f t="shared" si="10"/>
        <v>0</v>
      </c>
      <c r="Y78" s="230"/>
      <c r="Z78" s="119">
        <f t="shared" si="11"/>
        <v>-89189189</v>
      </c>
      <c r="AA78" s="245">
        <f>-(H78+I78)*2%</f>
        <v>-16216216.220000001</v>
      </c>
      <c r="AB78" s="230">
        <f t="shared" si="13"/>
        <v>794594594.77999997</v>
      </c>
      <c r="AC78" s="246">
        <v>0</v>
      </c>
      <c r="AD78" s="37"/>
    </row>
    <row r="79" spans="1:30" s="155" customFormat="1">
      <c r="A79" s="152">
        <f t="shared" si="12"/>
        <v>75</v>
      </c>
      <c r="B79" s="37" t="s">
        <v>3408</v>
      </c>
      <c r="C79" s="70">
        <v>45870</v>
      </c>
      <c r="D79" s="177">
        <v>2025</v>
      </c>
      <c r="E79" s="146" t="s">
        <v>3409</v>
      </c>
      <c r="F79" s="146" t="s">
        <v>6000</v>
      </c>
      <c r="G79" s="154" t="s">
        <v>3407</v>
      </c>
      <c r="H79" s="246">
        <v>619885941</v>
      </c>
      <c r="I79" s="246">
        <v>55789735</v>
      </c>
      <c r="J79" s="246">
        <v>74324324</v>
      </c>
      <c r="K79" s="231">
        <f t="shared" si="9"/>
        <v>750000000</v>
      </c>
      <c r="L79" s="221"/>
      <c r="M79" s="231">
        <v>0</v>
      </c>
      <c r="N79" s="230">
        <v>0</v>
      </c>
      <c r="O79" s="230">
        <v>674559880.89999998</v>
      </c>
      <c r="P79" s="230">
        <v>0</v>
      </c>
      <c r="Q79" s="230">
        <v>0</v>
      </c>
      <c r="R79" s="230">
        <v>0</v>
      </c>
      <c r="S79" s="230">
        <v>0</v>
      </c>
      <c r="T79" s="230">
        <v>0</v>
      </c>
      <c r="U79" s="230">
        <v>0</v>
      </c>
      <c r="V79" s="230">
        <v>0</v>
      </c>
      <c r="W79" s="230">
        <v>75440119.100000024</v>
      </c>
      <c r="X79" s="230">
        <f t="shared" si="10"/>
        <v>0</v>
      </c>
      <c r="Y79" s="230"/>
      <c r="Z79" s="158">
        <f t="shared" si="11"/>
        <v>-74324324</v>
      </c>
      <c r="AA79" s="245">
        <f>-(I79)*2%</f>
        <v>-1115794.7</v>
      </c>
      <c r="AB79" s="230">
        <f t="shared" si="13"/>
        <v>674559881.29999995</v>
      </c>
      <c r="AC79" s="246">
        <v>0</v>
      </c>
      <c r="AD79" s="37"/>
    </row>
    <row r="80" spans="1:30" s="155" customFormat="1">
      <c r="A80" s="152">
        <f t="shared" si="12"/>
        <v>76</v>
      </c>
      <c r="B80" s="37" t="s">
        <v>3442</v>
      </c>
      <c r="C80" s="70">
        <v>45887</v>
      </c>
      <c r="D80" s="177">
        <v>2025</v>
      </c>
      <c r="E80" s="154" t="s">
        <v>388</v>
      </c>
      <c r="F80" s="154" t="s">
        <v>2321</v>
      </c>
      <c r="G80" s="154" t="s">
        <v>3443</v>
      </c>
      <c r="H80" s="246">
        <v>63346343</v>
      </c>
      <c r="I80" s="246">
        <v>0</v>
      </c>
      <c r="J80" s="246">
        <v>6968098</v>
      </c>
      <c r="K80" s="231">
        <f t="shared" si="9"/>
        <v>70314441</v>
      </c>
      <c r="L80" s="221"/>
      <c r="M80" s="231">
        <v>0</v>
      </c>
      <c r="N80" s="230">
        <v>0</v>
      </c>
      <c r="O80" s="230">
        <v>62079416</v>
      </c>
      <c r="P80" s="230">
        <v>0</v>
      </c>
      <c r="Q80" s="230">
        <v>0</v>
      </c>
      <c r="R80" s="230">
        <v>0</v>
      </c>
      <c r="S80" s="230">
        <v>0</v>
      </c>
      <c r="T80" s="230">
        <v>0</v>
      </c>
      <c r="U80" s="230">
        <v>0</v>
      </c>
      <c r="V80" s="230">
        <v>0</v>
      </c>
      <c r="W80" s="230">
        <v>8235025</v>
      </c>
      <c r="X80" s="230">
        <f t="shared" si="10"/>
        <v>0</v>
      </c>
      <c r="Y80" s="230"/>
      <c r="Z80" s="119">
        <f t="shared" si="11"/>
        <v>-6968098</v>
      </c>
      <c r="AA80" s="245">
        <f t="shared" ref="AA80:AA90" si="14">-(H80+I80)*2%</f>
        <v>-1266926.8600000001</v>
      </c>
      <c r="AB80" s="230">
        <f t="shared" si="13"/>
        <v>62079416.140000001</v>
      </c>
      <c r="AC80" s="246">
        <v>0</v>
      </c>
      <c r="AD80" s="146"/>
    </row>
    <row r="81" spans="1:31" s="155" customFormat="1">
      <c r="A81" s="152">
        <f t="shared" si="12"/>
        <v>77</v>
      </c>
      <c r="B81" s="37" t="s">
        <v>4040</v>
      </c>
      <c r="C81" s="70">
        <v>45936</v>
      </c>
      <c r="D81" s="177">
        <v>2025</v>
      </c>
      <c r="E81" s="154" t="s">
        <v>304</v>
      </c>
      <c r="F81" s="146" t="s">
        <v>6000</v>
      </c>
      <c r="G81" s="154" t="s">
        <v>3405</v>
      </c>
      <c r="H81" s="246">
        <v>727203036</v>
      </c>
      <c r="I81" s="246">
        <v>58176243</v>
      </c>
      <c r="J81" s="246">
        <v>86391721</v>
      </c>
      <c r="K81" s="231">
        <f t="shared" si="9"/>
        <v>871771000</v>
      </c>
      <c r="L81" s="221"/>
      <c r="M81" s="231">
        <v>0</v>
      </c>
      <c r="N81" s="230">
        <v>0</v>
      </c>
      <c r="O81" s="230">
        <v>769671695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102099305</v>
      </c>
      <c r="X81" s="230">
        <f t="shared" si="10"/>
        <v>0</v>
      </c>
      <c r="Y81" s="230"/>
      <c r="Z81" s="158">
        <f t="shared" si="11"/>
        <v>-86391721</v>
      </c>
      <c r="AA81" s="245">
        <f t="shared" si="14"/>
        <v>-15707585.58</v>
      </c>
      <c r="AB81" s="230">
        <f t="shared" si="13"/>
        <v>769671693.41999996</v>
      </c>
      <c r="AC81" s="246">
        <v>0</v>
      </c>
      <c r="AD81" s="37"/>
    </row>
    <row r="82" spans="1:31" s="155" customFormat="1">
      <c r="A82" s="152">
        <f t="shared" si="12"/>
        <v>78</v>
      </c>
      <c r="B82" s="37" t="s">
        <v>3455</v>
      </c>
      <c r="C82" s="70">
        <v>45901</v>
      </c>
      <c r="D82" s="177">
        <v>2025</v>
      </c>
      <c r="E82" s="154" t="s">
        <v>307</v>
      </c>
      <c r="F82" s="146" t="s">
        <v>6000</v>
      </c>
      <c r="G82" s="154" t="s">
        <v>3405</v>
      </c>
      <c r="H82" s="246">
        <v>475020475</v>
      </c>
      <c r="I82" s="246">
        <v>47502047</v>
      </c>
      <c r="J82" s="246">
        <v>57477478</v>
      </c>
      <c r="K82" s="231">
        <f t="shared" si="9"/>
        <v>580000000</v>
      </c>
      <c r="L82" s="221"/>
      <c r="M82" s="231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512072072</v>
      </c>
      <c r="S82" s="230">
        <v>0</v>
      </c>
      <c r="T82" s="230">
        <v>0</v>
      </c>
      <c r="U82" s="230">
        <v>0</v>
      </c>
      <c r="V82" s="230">
        <v>0</v>
      </c>
      <c r="W82" s="230">
        <v>67927928</v>
      </c>
      <c r="X82" s="230">
        <f t="shared" si="10"/>
        <v>0</v>
      </c>
      <c r="Y82" s="230"/>
      <c r="Z82" s="158">
        <f t="shared" si="11"/>
        <v>-57477478</v>
      </c>
      <c r="AA82" s="245">
        <f t="shared" si="14"/>
        <v>-10450450.439999999</v>
      </c>
      <c r="AB82" s="230">
        <f t="shared" si="13"/>
        <v>512072071.56</v>
      </c>
      <c r="AC82" s="246">
        <v>0</v>
      </c>
      <c r="AD82" s="37"/>
    </row>
    <row r="83" spans="1:31" s="155" customFormat="1">
      <c r="A83" s="152">
        <f t="shared" si="12"/>
        <v>79</v>
      </c>
      <c r="B83" s="37" t="s">
        <v>3456</v>
      </c>
      <c r="C83" s="70">
        <v>45902</v>
      </c>
      <c r="D83" s="177">
        <v>2025</v>
      </c>
      <c r="E83" s="154" t="s">
        <v>307</v>
      </c>
      <c r="F83" s="154" t="s">
        <v>3457</v>
      </c>
      <c r="G83" s="154" t="s">
        <v>3458</v>
      </c>
      <c r="H83" s="246">
        <v>211083682</v>
      </c>
      <c r="I83" s="246">
        <v>21108368</v>
      </c>
      <c r="J83" s="246">
        <v>25541126</v>
      </c>
      <c r="K83" s="231">
        <f t="shared" si="9"/>
        <v>257733176</v>
      </c>
      <c r="L83" s="221"/>
      <c r="M83" s="231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227548209</v>
      </c>
      <c r="S83" s="230">
        <v>0</v>
      </c>
      <c r="T83" s="230">
        <v>0</v>
      </c>
      <c r="U83" s="230">
        <v>0</v>
      </c>
      <c r="V83" s="230">
        <v>0</v>
      </c>
      <c r="W83" s="230">
        <v>30184967</v>
      </c>
      <c r="X83" s="230">
        <f t="shared" si="10"/>
        <v>0</v>
      </c>
      <c r="Y83" s="230"/>
      <c r="Z83" s="158">
        <f t="shared" si="11"/>
        <v>-25541126</v>
      </c>
      <c r="AA83" s="245">
        <f t="shared" si="14"/>
        <v>-4643841</v>
      </c>
      <c r="AB83" s="230">
        <f t="shared" si="13"/>
        <v>227548209</v>
      </c>
      <c r="AC83" s="246">
        <v>0</v>
      </c>
      <c r="AD83" s="37"/>
    </row>
    <row r="84" spans="1:31" s="155" customFormat="1">
      <c r="A84" s="152">
        <f t="shared" si="12"/>
        <v>80</v>
      </c>
      <c r="B84" s="37" t="s">
        <v>3459</v>
      </c>
      <c r="C84" s="70">
        <v>45902</v>
      </c>
      <c r="D84" s="177">
        <v>2025</v>
      </c>
      <c r="E84" s="154" t="s">
        <v>388</v>
      </c>
      <c r="F84" s="154" t="s">
        <v>3460</v>
      </c>
      <c r="G84" s="154" t="s">
        <v>3461</v>
      </c>
      <c r="H84" s="246">
        <v>37957708</v>
      </c>
      <c r="I84" s="246">
        <v>2846828</v>
      </c>
      <c r="J84" s="246">
        <v>4488499</v>
      </c>
      <c r="K84" s="231">
        <f t="shared" si="9"/>
        <v>45293035</v>
      </c>
      <c r="L84" s="221"/>
      <c r="M84" s="231">
        <v>0</v>
      </c>
      <c r="N84" s="230">
        <v>0</v>
      </c>
      <c r="O84" s="230">
        <v>39988445</v>
      </c>
      <c r="P84" s="230">
        <v>0</v>
      </c>
      <c r="Q84" s="230">
        <v>0</v>
      </c>
      <c r="R84" s="230">
        <v>0</v>
      </c>
      <c r="S84" s="230">
        <v>0</v>
      </c>
      <c r="T84" s="230">
        <v>0</v>
      </c>
      <c r="U84" s="230">
        <v>0</v>
      </c>
      <c r="V84" s="230">
        <v>0</v>
      </c>
      <c r="W84" s="230">
        <v>5304590</v>
      </c>
      <c r="X84" s="230">
        <f t="shared" si="10"/>
        <v>0</v>
      </c>
      <c r="Y84" s="230"/>
      <c r="Z84" s="119">
        <f t="shared" si="11"/>
        <v>-4488499</v>
      </c>
      <c r="AA84" s="245">
        <f t="shared" si="14"/>
        <v>-816090.72</v>
      </c>
      <c r="AB84" s="230">
        <f t="shared" si="13"/>
        <v>39988445.280000001</v>
      </c>
      <c r="AC84" s="246">
        <v>0</v>
      </c>
      <c r="AD84" s="37"/>
    </row>
    <row r="85" spans="1:31" s="267" customFormat="1">
      <c r="A85" s="152">
        <f t="shared" si="12"/>
        <v>81</v>
      </c>
      <c r="B85" s="37" t="s">
        <v>4058</v>
      </c>
      <c r="C85" s="70">
        <v>45911</v>
      </c>
      <c r="D85" s="177">
        <v>2025</v>
      </c>
      <c r="E85" s="146" t="s">
        <v>393</v>
      </c>
      <c r="F85" s="146" t="s">
        <v>3457</v>
      </c>
      <c r="G85" s="154" t="s">
        <v>4059</v>
      </c>
      <c r="H85" s="246">
        <v>245700246</v>
      </c>
      <c r="I85" s="246">
        <v>24570024</v>
      </c>
      <c r="J85" s="231">
        <v>29729730</v>
      </c>
      <c r="K85" s="231">
        <f t="shared" si="9"/>
        <v>300000000</v>
      </c>
      <c r="L85" s="221"/>
      <c r="M85" s="231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264864865</v>
      </c>
      <c r="T85" s="230">
        <v>0</v>
      </c>
      <c r="U85" s="230">
        <v>0</v>
      </c>
      <c r="V85" s="230">
        <v>0</v>
      </c>
      <c r="W85" s="230">
        <v>35135135</v>
      </c>
      <c r="X85" s="230">
        <f t="shared" si="10"/>
        <v>0</v>
      </c>
      <c r="Y85" s="230"/>
      <c r="Z85" s="119">
        <f t="shared" si="11"/>
        <v>-29729730</v>
      </c>
      <c r="AA85" s="245">
        <f t="shared" si="14"/>
        <v>-5405405.4000000004</v>
      </c>
      <c r="AB85" s="230">
        <f t="shared" si="13"/>
        <v>264864864.59999999</v>
      </c>
      <c r="AC85" s="246">
        <v>0</v>
      </c>
      <c r="AD85" s="37"/>
      <c r="AE85" s="225" t="s">
        <v>26</v>
      </c>
    </row>
    <row r="86" spans="1:31" s="155" customFormat="1">
      <c r="A86" s="152">
        <f t="shared" si="12"/>
        <v>82</v>
      </c>
      <c r="B86" s="37" t="s">
        <v>4060</v>
      </c>
      <c r="C86" s="70">
        <v>45911</v>
      </c>
      <c r="D86" s="177">
        <v>2025</v>
      </c>
      <c r="E86" s="146" t="s">
        <v>304</v>
      </c>
      <c r="F86" s="146" t="s">
        <v>3457</v>
      </c>
      <c r="G86" s="154" t="s">
        <v>4059</v>
      </c>
      <c r="H86" s="246">
        <v>186321738</v>
      </c>
      <c r="I86" s="246">
        <v>14905739</v>
      </c>
      <c r="J86" s="231">
        <v>22135023</v>
      </c>
      <c r="K86" s="231">
        <f t="shared" si="9"/>
        <v>223362500</v>
      </c>
      <c r="L86" s="221"/>
      <c r="M86" s="231">
        <v>0</v>
      </c>
      <c r="N86" s="230">
        <v>0</v>
      </c>
      <c r="O86" s="230">
        <v>197202929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26159571</v>
      </c>
      <c r="X86" s="230">
        <f t="shared" si="10"/>
        <v>0</v>
      </c>
      <c r="Y86" s="230"/>
      <c r="Z86" s="119">
        <f t="shared" si="11"/>
        <v>-22135023</v>
      </c>
      <c r="AA86" s="245">
        <f t="shared" si="14"/>
        <v>-4024549.54</v>
      </c>
      <c r="AB86" s="230">
        <f t="shared" si="13"/>
        <v>197202927.46000001</v>
      </c>
      <c r="AC86" s="246">
        <v>0</v>
      </c>
      <c r="AD86" s="37"/>
    </row>
    <row r="87" spans="1:31" s="155" customFormat="1">
      <c r="A87" s="152">
        <f t="shared" si="12"/>
        <v>83</v>
      </c>
      <c r="B87" s="37" t="s">
        <v>4061</v>
      </c>
      <c r="C87" s="70">
        <v>45916</v>
      </c>
      <c r="D87" s="177">
        <v>2025</v>
      </c>
      <c r="E87" s="146" t="s">
        <v>390</v>
      </c>
      <c r="F87" s="146" t="s">
        <v>3457</v>
      </c>
      <c r="G87" s="154" t="s">
        <v>4062</v>
      </c>
      <c r="H87" s="246">
        <v>252252252</v>
      </c>
      <c r="I87" s="246">
        <v>0</v>
      </c>
      <c r="J87" s="231">
        <v>27747748</v>
      </c>
      <c r="K87" s="231">
        <f t="shared" si="9"/>
        <v>280000000</v>
      </c>
      <c r="L87" s="221"/>
      <c r="M87" s="231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247207207</v>
      </c>
      <c r="V87" s="230">
        <v>0</v>
      </c>
      <c r="W87" s="230">
        <v>32792793</v>
      </c>
      <c r="X87" s="230">
        <f t="shared" si="10"/>
        <v>0</v>
      </c>
      <c r="Y87" s="230"/>
      <c r="Z87" s="119">
        <f t="shared" si="11"/>
        <v>-27747748</v>
      </c>
      <c r="AA87" s="245">
        <f t="shared" si="14"/>
        <v>-5045045.04</v>
      </c>
      <c r="AB87" s="230">
        <f t="shared" si="13"/>
        <v>247207206.96000001</v>
      </c>
      <c r="AC87" s="246">
        <v>0</v>
      </c>
      <c r="AD87" s="37"/>
    </row>
    <row r="88" spans="1:31" s="267" customFormat="1">
      <c r="A88" s="152">
        <f t="shared" si="12"/>
        <v>84</v>
      </c>
      <c r="B88" s="37" t="s">
        <v>4065</v>
      </c>
      <c r="C88" s="70">
        <v>45918</v>
      </c>
      <c r="D88" s="177">
        <v>2025</v>
      </c>
      <c r="E88" s="154" t="s">
        <v>388</v>
      </c>
      <c r="F88" s="154" t="s">
        <v>3280</v>
      </c>
      <c r="G88" s="154" t="s">
        <v>4067</v>
      </c>
      <c r="H88" s="246">
        <v>58859523</v>
      </c>
      <c r="I88" s="246">
        <v>0</v>
      </c>
      <c r="J88" s="246">
        <v>6474548</v>
      </c>
      <c r="K88" s="231">
        <f t="shared" si="9"/>
        <v>65334071</v>
      </c>
      <c r="L88" s="221"/>
      <c r="M88" s="231">
        <v>0</v>
      </c>
      <c r="N88" s="230">
        <v>0</v>
      </c>
      <c r="O88" s="230">
        <v>57682333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7651738</v>
      </c>
      <c r="X88" s="230">
        <f t="shared" si="10"/>
        <v>0</v>
      </c>
      <c r="Y88" s="230"/>
      <c r="Z88" s="119">
        <f t="shared" si="11"/>
        <v>-6474548</v>
      </c>
      <c r="AA88" s="245">
        <f t="shared" si="14"/>
        <v>-1177190.46</v>
      </c>
      <c r="AB88" s="230">
        <f t="shared" si="13"/>
        <v>57682332.539999999</v>
      </c>
      <c r="AC88" s="246">
        <v>0</v>
      </c>
      <c r="AD88" s="37" t="s">
        <v>4064</v>
      </c>
    </row>
    <row r="89" spans="1:31" s="155" customFormat="1">
      <c r="A89" s="152">
        <f t="shared" si="12"/>
        <v>85</v>
      </c>
      <c r="B89" s="37" t="s">
        <v>4075</v>
      </c>
      <c r="C89" s="70">
        <v>45945</v>
      </c>
      <c r="D89" s="177">
        <v>2025</v>
      </c>
      <c r="E89" s="154" t="s">
        <v>388</v>
      </c>
      <c r="F89" s="154" t="s">
        <v>3135</v>
      </c>
      <c r="G89" s="154" t="s">
        <v>4076</v>
      </c>
      <c r="H89" s="246">
        <v>26270047</v>
      </c>
      <c r="I89" s="246">
        <v>1370871</v>
      </c>
      <c r="J89" s="246">
        <v>3040501</v>
      </c>
      <c r="K89" s="231">
        <f t="shared" si="9"/>
        <v>30681419</v>
      </c>
      <c r="L89" s="221"/>
      <c r="M89" s="231">
        <v>0</v>
      </c>
      <c r="N89" s="230">
        <v>0</v>
      </c>
      <c r="O89" s="230">
        <v>27088100</v>
      </c>
      <c r="P89" s="230">
        <v>0</v>
      </c>
      <c r="Q89" s="230">
        <v>0</v>
      </c>
      <c r="R89" s="230">
        <v>0</v>
      </c>
      <c r="S89" s="230">
        <v>0</v>
      </c>
      <c r="T89" s="230">
        <v>0</v>
      </c>
      <c r="U89" s="230">
        <v>0</v>
      </c>
      <c r="V89" s="230">
        <v>0</v>
      </c>
      <c r="W89" s="230">
        <v>3593319</v>
      </c>
      <c r="X89" s="230">
        <f t="shared" si="10"/>
        <v>0</v>
      </c>
      <c r="Y89" s="230"/>
      <c r="Z89" s="119">
        <f t="shared" si="11"/>
        <v>-3040501</v>
      </c>
      <c r="AA89" s="245">
        <f t="shared" si="14"/>
        <v>-552818.36</v>
      </c>
      <c r="AB89" s="230">
        <f t="shared" si="13"/>
        <v>27088099.640000001</v>
      </c>
      <c r="AC89" s="246">
        <v>0</v>
      </c>
      <c r="AD89" s="37"/>
    </row>
    <row r="90" spans="1:31" s="267" customFormat="1">
      <c r="A90" s="152">
        <f t="shared" si="12"/>
        <v>86</v>
      </c>
      <c r="B90" s="37" t="s">
        <v>4079</v>
      </c>
      <c r="C90" s="70">
        <v>45964</v>
      </c>
      <c r="D90" s="177">
        <v>2025</v>
      </c>
      <c r="E90" s="154" t="s">
        <v>304</v>
      </c>
      <c r="F90" s="154" t="s">
        <v>4080</v>
      </c>
      <c r="G90" s="154" t="s">
        <v>4081</v>
      </c>
      <c r="H90" s="246">
        <v>700996750</v>
      </c>
      <c r="I90" s="246">
        <v>70099675</v>
      </c>
      <c r="J90" s="231">
        <v>84820607</v>
      </c>
      <c r="K90" s="231">
        <f t="shared" si="9"/>
        <v>855917032</v>
      </c>
      <c r="L90" s="221"/>
      <c r="M90" s="231">
        <v>0</v>
      </c>
      <c r="N90" s="230">
        <v>0</v>
      </c>
      <c r="O90" s="230">
        <v>755674498</v>
      </c>
      <c r="P90" s="230">
        <v>0</v>
      </c>
      <c r="Q90" s="230">
        <v>0</v>
      </c>
      <c r="R90" s="230">
        <v>0</v>
      </c>
      <c r="S90" s="230">
        <v>0</v>
      </c>
      <c r="T90" s="230">
        <v>0</v>
      </c>
      <c r="U90" s="230">
        <v>0</v>
      </c>
      <c r="V90" s="230">
        <v>0</v>
      </c>
      <c r="W90" s="230">
        <v>100242534</v>
      </c>
      <c r="X90" s="230">
        <f t="shared" si="10"/>
        <v>0</v>
      </c>
      <c r="Y90" s="230"/>
      <c r="Z90" s="119">
        <f t="shared" si="11"/>
        <v>-84820607</v>
      </c>
      <c r="AA90" s="245">
        <f t="shared" si="14"/>
        <v>-15421928.5</v>
      </c>
      <c r="AB90" s="230">
        <f t="shared" si="13"/>
        <v>755674496.5</v>
      </c>
      <c r="AC90" s="246">
        <v>0</v>
      </c>
      <c r="AD90" s="37"/>
    </row>
    <row r="91" spans="1:31" s="155" customFormat="1">
      <c r="A91" s="152">
        <f t="shared" si="12"/>
        <v>87</v>
      </c>
      <c r="B91" s="37" t="s">
        <v>4082</v>
      </c>
      <c r="C91" s="258">
        <v>45960</v>
      </c>
      <c r="D91" s="177">
        <v>2025</v>
      </c>
      <c r="E91" s="154" t="s">
        <v>2221</v>
      </c>
      <c r="F91" s="154" t="s">
        <v>433</v>
      </c>
      <c r="G91" s="154" t="s">
        <v>4083</v>
      </c>
      <c r="H91" s="119">
        <v>7586640</v>
      </c>
      <c r="I91" s="119">
        <v>0</v>
      </c>
      <c r="J91" s="231">
        <v>0</v>
      </c>
      <c r="K91" s="231">
        <f t="shared" si="9"/>
        <v>7586640</v>
      </c>
      <c r="L91" s="258"/>
      <c r="M91" s="231">
        <v>7586640</v>
      </c>
      <c r="N91" s="230">
        <v>0</v>
      </c>
      <c r="O91" s="230">
        <v>0</v>
      </c>
      <c r="P91" s="230">
        <v>0</v>
      </c>
      <c r="Q91" s="230">
        <v>0</v>
      </c>
      <c r="R91" s="230">
        <v>0</v>
      </c>
      <c r="S91" s="230">
        <v>0</v>
      </c>
      <c r="T91" s="230">
        <v>0</v>
      </c>
      <c r="U91" s="230">
        <v>0</v>
      </c>
      <c r="V91" s="230">
        <v>0</v>
      </c>
      <c r="W91" s="230">
        <v>0</v>
      </c>
      <c r="X91" s="230">
        <f t="shared" si="10"/>
        <v>0</v>
      </c>
      <c r="Y91" s="230"/>
      <c r="Z91" s="119">
        <f t="shared" si="11"/>
        <v>0</v>
      </c>
      <c r="AA91" s="230">
        <v>0</v>
      </c>
      <c r="AB91" s="230">
        <v>0</v>
      </c>
      <c r="AC91" s="246">
        <v>0</v>
      </c>
      <c r="AD91" s="37"/>
    </row>
    <row r="92" spans="1:31" s="155" customFormat="1">
      <c r="A92" s="152">
        <f t="shared" si="12"/>
        <v>88</v>
      </c>
      <c r="B92" s="37" t="s">
        <v>7886</v>
      </c>
      <c r="C92" s="70">
        <v>45953</v>
      </c>
      <c r="D92" s="177">
        <v>2025</v>
      </c>
      <c r="E92" s="154" t="s">
        <v>3464</v>
      </c>
      <c r="F92" s="154" t="s">
        <v>1352</v>
      </c>
      <c r="G92" s="154" t="s">
        <v>3465</v>
      </c>
      <c r="H92" s="246">
        <v>2985000000</v>
      </c>
      <c r="I92" s="246">
        <v>0</v>
      </c>
      <c r="J92" s="246">
        <v>0</v>
      </c>
      <c r="K92" s="231">
        <f t="shared" si="9"/>
        <v>2985000000</v>
      </c>
      <c r="L92" s="221"/>
      <c r="M92" s="231">
        <v>2985000000</v>
      </c>
      <c r="N92" s="230">
        <v>0</v>
      </c>
      <c r="O92" s="230">
        <v>0</v>
      </c>
      <c r="P92" s="230">
        <v>0</v>
      </c>
      <c r="Q92" s="230">
        <v>0</v>
      </c>
      <c r="R92" s="230">
        <v>0</v>
      </c>
      <c r="S92" s="230">
        <v>0</v>
      </c>
      <c r="T92" s="230">
        <v>0</v>
      </c>
      <c r="U92" s="230">
        <v>0</v>
      </c>
      <c r="V92" s="230">
        <v>0</v>
      </c>
      <c r="W92" s="230">
        <v>0</v>
      </c>
      <c r="X92" s="230">
        <f t="shared" si="10"/>
        <v>0</v>
      </c>
      <c r="Y92" s="230"/>
      <c r="Z92" s="119">
        <f t="shared" si="11"/>
        <v>0</v>
      </c>
      <c r="AA92" s="230">
        <v>0</v>
      </c>
      <c r="AB92" s="230">
        <v>0</v>
      </c>
      <c r="AC92" s="246">
        <v>0</v>
      </c>
      <c r="AD92" s="37"/>
    </row>
    <row r="93" spans="1:31" s="155" customFormat="1">
      <c r="A93" s="152">
        <f t="shared" si="12"/>
        <v>89</v>
      </c>
      <c r="B93" s="37" t="s">
        <v>7812</v>
      </c>
      <c r="C93" s="70">
        <v>46057</v>
      </c>
      <c r="D93" s="35">
        <v>2025</v>
      </c>
      <c r="E93" s="154" t="s">
        <v>7813</v>
      </c>
      <c r="F93" s="154" t="s">
        <v>7814</v>
      </c>
      <c r="G93" s="154" t="s">
        <v>7815</v>
      </c>
      <c r="H93" s="246">
        <v>84355056</v>
      </c>
      <c r="I93" s="246">
        <v>8435506</v>
      </c>
      <c r="J93" s="246">
        <v>0</v>
      </c>
      <c r="K93" s="231">
        <f t="shared" si="9"/>
        <v>92790562</v>
      </c>
      <c r="L93" s="221"/>
      <c r="M93" s="231">
        <v>0</v>
      </c>
      <c r="N93" s="230">
        <v>0</v>
      </c>
      <c r="O93" s="230">
        <v>0</v>
      </c>
      <c r="P93" s="230">
        <v>0</v>
      </c>
      <c r="Q93" s="230">
        <v>0</v>
      </c>
      <c r="R93" s="230">
        <v>0</v>
      </c>
      <c r="S93" s="230">
        <v>0</v>
      </c>
      <c r="T93" s="230">
        <v>0</v>
      </c>
      <c r="U93" s="230">
        <v>0</v>
      </c>
      <c r="V93" s="230">
        <v>0</v>
      </c>
      <c r="W93" s="230">
        <v>0</v>
      </c>
      <c r="X93" s="230">
        <f t="shared" si="10"/>
        <v>92790562</v>
      </c>
      <c r="Y93" s="230"/>
      <c r="Z93" s="119">
        <f t="shared" si="11"/>
        <v>0</v>
      </c>
      <c r="AA93" s="230">
        <v>0</v>
      </c>
      <c r="AB93" s="230">
        <v>0</v>
      </c>
      <c r="AC93" s="246">
        <f>K93+AA93</f>
        <v>92790562</v>
      </c>
      <c r="AD93" s="37"/>
    </row>
    <row r="94" spans="1:31" s="155" customFormat="1">
      <c r="A94" s="152">
        <f t="shared" si="12"/>
        <v>90</v>
      </c>
      <c r="B94" s="37" t="s">
        <v>6578</v>
      </c>
      <c r="C94" s="70">
        <v>46013</v>
      </c>
      <c r="D94" s="177">
        <v>2025</v>
      </c>
      <c r="E94" s="154" t="s">
        <v>388</v>
      </c>
      <c r="F94" s="154" t="s">
        <v>1631</v>
      </c>
      <c r="G94" s="154" t="s">
        <v>6577</v>
      </c>
      <c r="H94" s="246">
        <v>128247024</v>
      </c>
      <c r="I94" s="246">
        <v>2819018</v>
      </c>
      <c r="J94" s="246">
        <v>14417265</v>
      </c>
      <c r="K94" s="231">
        <f t="shared" si="9"/>
        <v>145483307</v>
      </c>
      <c r="L94" s="221"/>
      <c r="M94" s="231">
        <v>0</v>
      </c>
      <c r="N94" s="230">
        <v>0</v>
      </c>
      <c r="O94" s="230">
        <v>0</v>
      </c>
      <c r="P94" s="230">
        <v>0</v>
      </c>
      <c r="Q94" s="230">
        <v>0</v>
      </c>
      <c r="R94" s="230">
        <v>0</v>
      </c>
      <c r="S94" s="230">
        <v>0</v>
      </c>
      <c r="T94" s="230">
        <v>0</v>
      </c>
      <c r="U94" s="230">
        <v>0</v>
      </c>
      <c r="V94" s="230">
        <v>0</v>
      </c>
      <c r="W94" s="230">
        <v>0</v>
      </c>
      <c r="X94" s="230">
        <f t="shared" si="10"/>
        <v>145483307</v>
      </c>
      <c r="Y94" s="230"/>
      <c r="Z94" s="119">
        <f t="shared" si="11"/>
        <v>-14417265</v>
      </c>
      <c r="AA94" s="230">
        <f t="shared" ref="AA94:AA100" si="15">-(H94+I94)*2%</f>
        <v>-2621320.84</v>
      </c>
      <c r="AB94" s="230">
        <f t="shared" ref="AB94:AB100" si="16">K94+Z94+AA94</f>
        <v>128444721.16</v>
      </c>
      <c r="AC94" s="246">
        <v>0</v>
      </c>
      <c r="AD94" s="347" t="s">
        <v>26</v>
      </c>
    </row>
    <row r="95" spans="1:31" s="267" customFormat="1">
      <c r="A95" s="152">
        <f t="shared" si="12"/>
        <v>91</v>
      </c>
      <c r="B95" s="37" t="s">
        <v>6255</v>
      </c>
      <c r="C95" s="70">
        <v>46006</v>
      </c>
      <c r="D95" s="35">
        <v>2025</v>
      </c>
      <c r="E95" s="154" t="s">
        <v>307</v>
      </c>
      <c r="F95" s="154" t="s">
        <v>6541</v>
      </c>
      <c r="G95" s="154" t="s">
        <v>6256</v>
      </c>
      <c r="H95" s="231">
        <v>140700000</v>
      </c>
      <c r="I95" s="231">
        <v>14070000</v>
      </c>
      <c r="J95" s="231">
        <v>17024700</v>
      </c>
      <c r="K95" s="231">
        <f t="shared" si="9"/>
        <v>171794700</v>
      </c>
      <c r="L95" s="221"/>
      <c r="M95" s="231">
        <v>0</v>
      </c>
      <c r="N95" s="230">
        <v>0</v>
      </c>
      <c r="O95" s="230">
        <v>0</v>
      </c>
      <c r="P95" s="230">
        <v>0</v>
      </c>
      <c r="Q95" s="230">
        <v>0</v>
      </c>
      <c r="R95" s="230">
        <v>0</v>
      </c>
      <c r="S95" s="230">
        <v>0</v>
      </c>
      <c r="T95" s="230">
        <v>0</v>
      </c>
      <c r="U95" s="230">
        <v>0</v>
      </c>
      <c r="V95" s="230">
        <v>0</v>
      </c>
      <c r="W95" s="230">
        <v>0</v>
      </c>
      <c r="X95" s="230">
        <f t="shared" si="10"/>
        <v>171794700</v>
      </c>
      <c r="Y95" s="230"/>
      <c r="Z95" s="119">
        <f t="shared" si="11"/>
        <v>-17024700</v>
      </c>
      <c r="AA95" s="230">
        <f t="shared" si="15"/>
        <v>-3095400</v>
      </c>
      <c r="AB95" s="230">
        <f t="shared" si="16"/>
        <v>151674600</v>
      </c>
      <c r="AC95" s="246">
        <v>0</v>
      </c>
      <c r="AD95" s="37"/>
    </row>
    <row r="96" spans="1:31" s="267" customFormat="1">
      <c r="A96" s="152">
        <f t="shared" si="12"/>
        <v>92</v>
      </c>
      <c r="B96" s="37" t="s">
        <v>6259</v>
      </c>
      <c r="C96" s="70">
        <v>46002</v>
      </c>
      <c r="D96" s="35">
        <v>2025</v>
      </c>
      <c r="E96" s="154" t="s">
        <v>388</v>
      </c>
      <c r="F96" s="154" t="s">
        <v>6261</v>
      </c>
      <c r="G96" s="154" t="s">
        <v>6260</v>
      </c>
      <c r="H96" s="246">
        <v>40236000</v>
      </c>
      <c r="I96" s="246">
        <v>2816520</v>
      </c>
      <c r="J96" s="246">
        <v>4735777</v>
      </c>
      <c r="K96" s="231">
        <f t="shared" si="9"/>
        <v>47788297</v>
      </c>
      <c r="L96" s="221"/>
      <c r="M96" s="231">
        <v>0</v>
      </c>
      <c r="N96" s="230">
        <v>0</v>
      </c>
      <c r="O96" s="230">
        <v>0</v>
      </c>
      <c r="P96" s="230">
        <v>0</v>
      </c>
      <c r="Q96" s="230">
        <v>0</v>
      </c>
      <c r="R96" s="230">
        <v>0</v>
      </c>
      <c r="S96" s="230">
        <v>0</v>
      </c>
      <c r="T96" s="230">
        <v>0</v>
      </c>
      <c r="U96" s="230">
        <v>0</v>
      </c>
      <c r="V96" s="230">
        <v>0</v>
      </c>
      <c r="W96" s="230">
        <v>0</v>
      </c>
      <c r="X96" s="230">
        <f t="shared" si="10"/>
        <v>47788297</v>
      </c>
      <c r="Y96" s="230"/>
      <c r="Z96" s="119">
        <f t="shared" si="11"/>
        <v>-4735777</v>
      </c>
      <c r="AA96" s="230">
        <f t="shared" si="15"/>
        <v>-861050.4</v>
      </c>
      <c r="AB96" s="230">
        <f t="shared" si="16"/>
        <v>42191469.600000001</v>
      </c>
      <c r="AC96" s="246">
        <v>0</v>
      </c>
      <c r="AD96" s="37"/>
    </row>
    <row r="97" spans="1:30" s="155" customFormat="1">
      <c r="A97" s="152">
        <f t="shared" si="12"/>
        <v>93</v>
      </c>
      <c r="B97" s="37" t="s">
        <v>6365</v>
      </c>
      <c r="C97" s="70">
        <v>46009</v>
      </c>
      <c r="D97" s="177">
        <v>2025</v>
      </c>
      <c r="E97" s="154" t="s">
        <v>307</v>
      </c>
      <c r="F97" s="154" t="s">
        <v>5998</v>
      </c>
      <c r="G97" s="154" t="s">
        <v>6366</v>
      </c>
      <c r="H97" s="246">
        <v>532350532</v>
      </c>
      <c r="I97" s="246">
        <v>53235053</v>
      </c>
      <c r="J97" s="246">
        <v>64414415</v>
      </c>
      <c r="K97" s="231">
        <f t="shared" si="9"/>
        <v>650000000</v>
      </c>
      <c r="L97" s="221"/>
      <c r="M97" s="231">
        <v>0</v>
      </c>
      <c r="N97" s="230">
        <v>0</v>
      </c>
      <c r="O97" s="230">
        <v>0</v>
      </c>
      <c r="P97" s="230">
        <v>0</v>
      </c>
      <c r="Q97" s="230">
        <v>0</v>
      </c>
      <c r="R97" s="230">
        <v>573873873</v>
      </c>
      <c r="S97" s="230">
        <v>0</v>
      </c>
      <c r="T97" s="230">
        <v>0</v>
      </c>
      <c r="U97" s="230">
        <v>0</v>
      </c>
      <c r="V97" s="230">
        <v>0</v>
      </c>
      <c r="W97" s="230">
        <v>76126127</v>
      </c>
      <c r="X97" s="230">
        <f t="shared" si="10"/>
        <v>0</v>
      </c>
      <c r="Y97" s="230"/>
      <c r="Z97" s="119">
        <f t="shared" si="11"/>
        <v>-64414415</v>
      </c>
      <c r="AA97" s="230">
        <f t="shared" si="15"/>
        <v>-11711711.700000001</v>
      </c>
      <c r="AB97" s="230">
        <f t="shared" si="16"/>
        <v>573873873.29999995</v>
      </c>
      <c r="AC97" s="246">
        <v>0</v>
      </c>
      <c r="AD97" s="37"/>
    </row>
    <row r="98" spans="1:30" s="155" customFormat="1">
      <c r="A98" s="152">
        <f t="shared" si="12"/>
        <v>94</v>
      </c>
      <c r="B98" s="37" t="s">
        <v>6367</v>
      </c>
      <c r="C98" s="70">
        <v>46009</v>
      </c>
      <c r="D98" s="177">
        <v>2025</v>
      </c>
      <c r="E98" s="154" t="s">
        <v>307</v>
      </c>
      <c r="F98" s="154" t="s">
        <v>5956</v>
      </c>
      <c r="G98" s="154" t="s">
        <v>6368</v>
      </c>
      <c r="H98" s="246">
        <v>409500410</v>
      </c>
      <c r="I98" s="246">
        <v>40950040</v>
      </c>
      <c r="J98" s="246">
        <v>49549550</v>
      </c>
      <c r="K98" s="231">
        <f t="shared" si="9"/>
        <v>500000000</v>
      </c>
      <c r="L98" s="221"/>
      <c r="M98" s="231">
        <v>0</v>
      </c>
      <c r="N98" s="230">
        <v>0</v>
      </c>
      <c r="O98" s="230">
        <v>0</v>
      </c>
      <c r="P98" s="230">
        <v>0</v>
      </c>
      <c r="Q98" s="230">
        <v>0</v>
      </c>
      <c r="R98" s="230">
        <v>441441441</v>
      </c>
      <c r="S98" s="230">
        <v>0</v>
      </c>
      <c r="T98" s="230">
        <v>0</v>
      </c>
      <c r="U98" s="230">
        <v>0</v>
      </c>
      <c r="V98" s="230">
        <v>0</v>
      </c>
      <c r="W98" s="230">
        <v>58558559</v>
      </c>
      <c r="X98" s="230">
        <f t="shared" si="10"/>
        <v>0</v>
      </c>
      <c r="Y98" s="230"/>
      <c r="Z98" s="119">
        <f t="shared" si="11"/>
        <v>-49549550</v>
      </c>
      <c r="AA98" s="230">
        <f t="shared" si="15"/>
        <v>-9009009</v>
      </c>
      <c r="AB98" s="230">
        <f t="shared" si="16"/>
        <v>441441441</v>
      </c>
      <c r="AC98" s="246">
        <v>0</v>
      </c>
      <c r="AD98" s="37"/>
    </row>
    <row r="99" spans="1:30" s="155" customFormat="1">
      <c r="A99" s="152">
        <f t="shared" si="12"/>
        <v>95</v>
      </c>
      <c r="B99" s="37" t="s">
        <v>6369</v>
      </c>
      <c r="C99" s="70">
        <v>46009</v>
      </c>
      <c r="D99" s="177">
        <v>2025</v>
      </c>
      <c r="E99" s="154" t="s">
        <v>307</v>
      </c>
      <c r="F99" s="154" t="s">
        <v>4080</v>
      </c>
      <c r="G99" s="154" t="s">
        <v>6370</v>
      </c>
      <c r="H99" s="246">
        <v>655200655</v>
      </c>
      <c r="I99" s="246">
        <v>65520066</v>
      </c>
      <c r="J99" s="246">
        <v>79279279</v>
      </c>
      <c r="K99" s="231">
        <f t="shared" si="9"/>
        <v>800000000</v>
      </c>
      <c r="L99" s="221"/>
      <c r="M99" s="231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706306307</v>
      </c>
      <c r="S99" s="230">
        <v>0</v>
      </c>
      <c r="T99" s="230">
        <v>0</v>
      </c>
      <c r="U99" s="230">
        <v>0</v>
      </c>
      <c r="V99" s="230">
        <v>0</v>
      </c>
      <c r="W99" s="230">
        <v>93693693</v>
      </c>
      <c r="X99" s="230">
        <f t="shared" si="10"/>
        <v>0</v>
      </c>
      <c r="Y99" s="230"/>
      <c r="Z99" s="119">
        <f t="shared" si="11"/>
        <v>-79279279</v>
      </c>
      <c r="AA99" s="230">
        <f t="shared" si="15"/>
        <v>-14414414.42</v>
      </c>
      <c r="AB99" s="230">
        <f t="shared" si="16"/>
        <v>706306306.58000004</v>
      </c>
      <c r="AC99" s="246">
        <v>0</v>
      </c>
      <c r="AD99" s="37"/>
    </row>
    <row r="100" spans="1:30" s="155" customFormat="1">
      <c r="A100" s="152">
        <f t="shared" si="12"/>
        <v>96</v>
      </c>
      <c r="B100" s="37" t="s">
        <v>5898</v>
      </c>
      <c r="C100" s="70">
        <v>45996</v>
      </c>
      <c r="D100" s="177">
        <v>2025</v>
      </c>
      <c r="E100" s="154" t="s">
        <v>5900</v>
      </c>
      <c r="F100" s="154" t="s">
        <v>3263</v>
      </c>
      <c r="G100" s="154" t="s">
        <v>5901</v>
      </c>
      <c r="H100" s="246">
        <v>910000</v>
      </c>
      <c r="I100" s="246">
        <v>0</v>
      </c>
      <c r="J100" s="246">
        <v>0</v>
      </c>
      <c r="K100" s="231">
        <f t="shared" si="9"/>
        <v>910000</v>
      </c>
      <c r="L100" s="221"/>
      <c r="M100" s="231">
        <v>910000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f t="shared" si="10"/>
        <v>0</v>
      </c>
      <c r="Y100" s="230"/>
      <c r="Z100" s="158">
        <f t="shared" si="11"/>
        <v>0</v>
      </c>
      <c r="AA100" s="230">
        <f t="shared" si="15"/>
        <v>-18200</v>
      </c>
      <c r="AB100" s="230">
        <f t="shared" si="16"/>
        <v>891800</v>
      </c>
      <c r="AC100" s="246">
        <v>0</v>
      </c>
      <c r="AD100" s="37"/>
    </row>
    <row r="101" spans="1:30" s="155" customFormat="1">
      <c r="A101" s="152">
        <f t="shared" si="12"/>
        <v>97</v>
      </c>
      <c r="B101" s="37" t="s">
        <v>7888</v>
      </c>
      <c r="C101" s="70">
        <v>46097</v>
      </c>
      <c r="D101" s="177">
        <v>2026</v>
      </c>
      <c r="E101" s="154" t="s">
        <v>388</v>
      </c>
      <c r="F101" s="146" t="s">
        <v>1445</v>
      </c>
      <c r="G101" s="154" t="s">
        <v>7887</v>
      </c>
      <c r="H101" s="245">
        <v>196018396</v>
      </c>
      <c r="I101" s="231">
        <v>3339160</v>
      </c>
      <c r="J101" s="231">
        <v>21929331</v>
      </c>
      <c r="K101" s="231">
        <f t="shared" si="9"/>
        <v>221286887</v>
      </c>
      <c r="L101" s="221"/>
      <c r="M101" s="231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f t="shared" si="10"/>
        <v>221286887</v>
      </c>
      <c r="Y101" s="230"/>
      <c r="Z101" s="158">
        <f t="shared" si="11"/>
        <v>-21929331</v>
      </c>
      <c r="AA101" s="230">
        <v>0</v>
      </c>
      <c r="AB101" s="230">
        <v>0</v>
      </c>
      <c r="AC101" s="246">
        <v>0</v>
      </c>
      <c r="AD101" s="37"/>
    </row>
    <row r="102" spans="1:30" s="155" customFormat="1">
      <c r="A102" s="152">
        <f t="shared" si="12"/>
        <v>98</v>
      </c>
      <c r="B102" s="37" t="s">
        <v>6262</v>
      </c>
      <c r="C102" s="70">
        <v>46013</v>
      </c>
      <c r="D102" s="35">
        <v>2025</v>
      </c>
      <c r="E102" s="154" t="s">
        <v>388</v>
      </c>
      <c r="F102" s="155" t="s">
        <v>4088</v>
      </c>
      <c r="G102" s="154" t="s">
        <v>26</v>
      </c>
      <c r="H102" s="246">
        <v>70552968</v>
      </c>
      <c r="I102" s="246">
        <v>3607691</v>
      </c>
      <c r="J102" s="246">
        <v>8157672</v>
      </c>
      <c r="K102" s="231">
        <f t="shared" si="9"/>
        <v>82318331</v>
      </c>
      <c r="L102" s="258"/>
      <c r="M102" s="231">
        <v>0</v>
      </c>
      <c r="N102" s="230">
        <v>0</v>
      </c>
      <c r="O102" s="230">
        <v>0</v>
      </c>
      <c r="P102" s="230">
        <v>0</v>
      </c>
      <c r="Q102" s="230">
        <v>0</v>
      </c>
      <c r="R102" s="230">
        <v>0</v>
      </c>
      <c r="S102" s="230">
        <v>0</v>
      </c>
      <c r="T102" s="230">
        <v>0</v>
      </c>
      <c r="U102" s="230">
        <v>0</v>
      </c>
      <c r="V102" s="230">
        <v>0</v>
      </c>
      <c r="W102" s="230">
        <v>0</v>
      </c>
      <c r="X102" s="230">
        <f t="shared" si="10"/>
        <v>82318331</v>
      </c>
      <c r="Y102" s="230"/>
      <c r="Z102" s="119">
        <f t="shared" si="11"/>
        <v>-8157672</v>
      </c>
      <c r="AA102" s="230">
        <f t="shared" ref="AA102:AA111" si="17">-(H102+I102)*2%</f>
        <v>-1483213.18</v>
      </c>
      <c r="AB102" s="230">
        <f t="shared" ref="AB102:AB120" si="18">K102+Z102+AA102</f>
        <v>72677445.819999993</v>
      </c>
      <c r="AC102" s="246">
        <v>0</v>
      </c>
      <c r="AD102" s="37"/>
    </row>
    <row r="103" spans="1:30" s="155" customFormat="1">
      <c r="A103" s="152">
        <f t="shared" si="12"/>
        <v>99</v>
      </c>
      <c r="B103" s="37" t="s">
        <v>6579</v>
      </c>
      <c r="C103" s="70">
        <v>46013</v>
      </c>
      <c r="D103" s="35">
        <v>2025</v>
      </c>
      <c r="E103" s="154" t="s">
        <v>388</v>
      </c>
      <c r="F103" s="154" t="s">
        <v>4696</v>
      </c>
      <c r="G103" s="154" t="s">
        <v>26</v>
      </c>
      <c r="H103" s="246">
        <v>11109554</v>
      </c>
      <c r="I103" s="246">
        <v>150000</v>
      </c>
      <c r="J103" s="246">
        <v>1238551</v>
      </c>
      <c r="K103" s="231">
        <f t="shared" si="9"/>
        <v>12498105</v>
      </c>
      <c r="L103" s="258"/>
      <c r="M103" s="231">
        <v>0</v>
      </c>
      <c r="N103" s="230">
        <v>0</v>
      </c>
      <c r="O103" s="230">
        <v>0</v>
      </c>
      <c r="P103" s="230">
        <v>0</v>
      </c>
      <c r="Q103" s="230">
        <v>0</v>
      </c>
      <c r="R103" s="230">
        <v>0</v>
      </c>
      <c r="S103" s="230">
        <v>0</v>
      </c>
      <c r="T103" s="230">
        <v>0</v>
      </c>
      <c r="U103" s="230">
        <v>0</v>
      </c>
      <c r="V103" s="230">
        <v>0</v>
      </c>
      <c r="W103" s="230">
        <v>0</v>
      </c>
      <c r="X103" s="230">
        <f t="shared" si="10"/>
        <v>12498105</v>
      </c>
      <c r="Y103" s="230"/>
      <c r="Z103" s="119">
        <f t="shared" si="11"/>
        <v>-1238551</v>
      </c>
      <c r="AA103" s="230">
        <f t="shared" si="17"/>
        <v>-225191.08000000002</v>
      </c>
      <c r="AB103" s="230">
        <f t="shared" si="18"/>
        <v>11034362.92</v>
      </c>
      <c r="AC103" s="246">
        <v>0</v>
      </c>
      <c r="AD103" s="37"/>
    </row>
    <row r="104" spans="1:30" s="155" customFormat="1">
      <c r="A104" s="152">
        <f t="shared" si="12"/>
        <v>100</v>
      </c>
      <c r="B104" s="37" t="s">
        <v>7149</v>
      </c>
      <c r="C104" s="70">
        <v>46013</v>
      </c>
      <c r="D104" s="35">
        <v>2025</v>
      </c>
      <c r="E104" s="154" t="s">
        <v>388</v>
      </c>
      <c r="F104" s="154" t="s">
        <v>7150</v>
      </c>
      <c r="G104" s="154" t="s">
        <v>26</v>
      </c>
      <c r="H104" s="246">
        <v>21836850</v>
      </c>
      <c r="I104" s="246">
        <v>478726</v>
      </c>
      <c r="J104" s="246">
        <v>2454713</v>
      </c>
      <c r="K104" s="231">
        <f t="shared" si="9"/>
        <v>24770289</v>
      </c>
      <c r="L104" s="221"/>
      <c r="M104" s="231">
        <v>0</v>
      </c>
      <c r="N104" s="230">
        <v>0</v>
      </c>
      <c r="O104" s="230">
        <v>0</v>
      </c>
      <c r="P104" s="230">
        <v>0</v>
      </c>
      <c r="Q104" s="230">
        <v>0</v>
      </c>
      <c r="R104" s="230">
        <v>0</v>
      </c>
      <c r="S104" s="230">
        <v>0</v>
      </c>
      <c r="T104" s="230">
        <v>0</v>
      </c>
      <c r="U104" s="230">
        <v>0</v>
      </c>
      <c r="V104" s="230">
        <v>0</v>
      </c>
      <c r="W104" s="230">
        <v>0</v>
      </c>
      <c r="X104" s="230">
        <f t="shared" si="10"/>
        <v>24770289</v>
      </c>
      <c r="Y104" s="230"/>
      <c r="Z104" s="119">
        <f t="shared" si="11"/>
        <v>-2454713</v>
      </c>
      <c r="AA104" s="230">
        <f t="shared" si="17"/>
        <v>-446311.52</v>
      </c>
      <c r="AB104" s="230">
        <f t="shared" si="18"/>
        <v>21869264.48</v>
      </c>
      <c r="AC104" s="246">
        <v>0</v>
      </c>
      <c r="AD104" s="37"/>
    </row>
    <row r="105" spans="1:30" s="155" customFormat="1">
      <c r="A105" s="152">
        <f t="shared" si="12"/>
        <v>101</v>
      </c>
      <c r="B105" s="37" t="s">
        <v>6257</v>
      </c>
      <c r="C105" s="70">
        <v>46001</v>
      </c>
      <c r="D105" s="35">
        <v>2025</v>
      </c>
      <c r="E105" s="154" t="s">
        <v>388</v>
      </c>
      <c r="F105" s="154" t="s">
        <v>4099</v>
      </c>
      <c r="G105" s="154" t="s">
        <v>6258</v>
      </c>
      <c r="H105" s="246">
        <v>57889046</v>
      </c>
      <c r="I105" s="246">
        <v>3011259</v>
      </c>
      <c r="J105" s="246">
        <v>6699034</v>
      </c>
      <c r="K105" s="231">
        <f t="shared" si="9"/>
        <v>67599339</v>
      </c>
      <c r="L105" s="221"/>
      <c r="M105" s="231">
        <v>0</v>
      </c>
      <c r="N105" s="230">
        <v>0</v>
      </c>
      <c r="O105" s="230">
        <v>0</v>
      </c>
      <c r="P105" s="230">
        <v>0</v>
      </c>
      <c r="Q105" s="230">
        <v>0</v>
      </c>
      <c r="R105" s="230">
        <v>0</v>
      </c>
      <c r="S105" s="230">
        <v>0</v>
      </c>
      <c r="T105" s="230">
        <v>0</v>
      </c>
      <c r="U105" s="230">
        <v>0</v>
      </c>
      <c r="V105" s="230">
        <v>0</v>
      </c>
      <c r="W105" s="230">
        <v>0</v>
      </c>
      <c r="X105" s="230">
        <f t="shared" si="10"/>
        <v>67599339</v>
      </c>
      <c r="Y105" s="230"/>
      <c r="Z105" s="119">
        <f t="shared" si="11"/>
        <v>-6699034</v>
      </c>
      <c r="AA105" s="230">
        <f t="shared" si="17"/>
        <v>-1218006.1000000001</v>
      </c>
      <c r="AB105" s="230">
        <f t="shared" si="18"/>
        <v>59682298.899999999</v>
      </c>
      <c r="AC105" s="246">
        <v>0</v>
      </c>
      <c r="AD105" s="37"/>
    </row>
    <row r="106" spans="1:30" s="155" customFormat="1">
      <c r="A106" s="152">
        <f t="shared" si="12"/>
        <v>102</v>
      </c>
      <c r="B106" s="37" t="s">
        <v>5969</v>
      </c>
      <c r="C106" s="70">
        <v>45994</v>
      </c>
      <c r="D106" s="35">
        <v>2025</v>
      </c>
      <c r="E106" s="154" t="s">
        <v>388</v>
      </c>
      <c r="F106" s="154" t="s">
        <v>4100</v>
      </c>
      <c r="G106" s="154" t="s">
        <v>5970</v>
      </c>
      <c r="H106" s="246">
        <v>25500000</v>
      </c>
      <c r="I106" s="246">
        <v>2550000</v>
      </c>
      <c r="J106" s="246">
        <v>3085500</v>
      </c>
      <c r="K106" s="231">
        <f t="shared" si="9"/>
        <v>31135500</v>
      </c>
      <c r="L106" s="221"/>
      <c r="M106" s="231">
        <v>0</v>
      </c>
      <c r="N106" s="230">
        <v>0</v>
      </c>
      <c r="O106" s="230">
        <v>0</v>
      </c>
      <c r="P106" s="230">
        <v>0</v>
      </c>
      <c r="Q106" s="230">
        <v>0</v>
      </c>
      <c r="R106" s="230">
        <v>0</v>
      </c>
      <c r="S106" s="230">
        <v>0</v>
      </c>
      <c r="T106" s="230">
        <v>0</v>
      </c>
      <c r="U106" s="230">
        <v>0</v>
      </c>
      <c r="V106" s="230">
        <v>0</v>
      </c>
      <c r="W106" s="230">
        <v>0</v>
      </c>
      <c r="X106" s="230">
        <f t="shared" si="10"/>
        <v>31135500</v>
      </c>
      <c r="Y106" s="230"/>
      <c r="Z106" s="119">
        <f t="shared" si="11"/>
        <v>-3085500</v>
      </c>
      <c r="AA106" s="230">
        <f t="shared" si="17"/>
        <v>-561000</v>
      </c>
      <c r="AB106" s="230">
        <f t="shared" si="18"/>
        <v>27489000</v>
      </c>
      <c r="AC106" s="246">
        <v>0</v>
      </c>
      <c r="AD106" s="37"/>
    </row>
    <row r="107" spans="1:30" s="155" customFormat="1">
      <c r="A107" s="152">
        <f t="shared" si="12"/>
        <v>103</v>
      </c>
      <c r="B107" s="37" t="s">
        <v>6580</v>
      </c>
      <c r="C107" s="70">
        <v>46022</v>
      </c>
      <c r="D107" s="35">
        <v>2025</v>
      </c>
      <c r="E107" s="154" t="s">
        <v>1591</v>
      </c>
      <c r="F107" s="154" t="s">
        <v>1631</v>
      </c>
      <c r="G107" s="154" t="s">
        <v>3469</v>
      </c>
      <c r="H107" s="245">
        <v>3465049</v>
      </c>
      <c r="I107" s="231">
        <v>0</v>
      </c>
      <c r="J107" s="231">
        <v>0</v>
      </c>
      <c r="K107" s="231">
        <f t="shared" si="9"/>
        <v>3465049</v>
      </c>
      <c r="L107" s="221"/>
      <c r="M107" s="231">
        <v>3465049</v>
      </c>
      <c r="N107" s="230">
        <v>0</v>
      </c>
      <c r="O107" s="230">
        <v>0</v>
      </c>
      <c r="P107" s="230">
        <v>0</v>
      </c>
      <c r="Q107" s="230">
        <v>0</v>
      </c>
      <c r="R107" s="230">
        <v>0</v>
      </c>
      <c r="S107" s="230">
        <v>0</v>
      </c>
      <c r="T107" s="230">
        <v>0</v>
      </c>
      <c r="U107" s="230">
        <v>0</v>
      </c>
      <c r="V107" s="230">
        <v>0</v>
      </c>
      <c r="W107" s="230">
        <v>0</v>
      </c>
      <c r="X107" s="230">
        <f t="shared" si="10"/>
        <v>0</v>
      </c>
      <c r="Y107" s="230"/>
      <c r="Z107" s="119">
        <f t="shared" si="11"/>
        <v>0</v>
      </c>
      <c r="AA107" s="230">
        <f t="shared" si="17"/>
        <v>-69300.98</v>
      </c>
      <c r="AB107" s="230">
        <f t="shared" si="18"/>
        <v>3395748.02</v>
      </c>
      <c r="AC107" s="246">
        <v>0</v>
      </c>
      <c r="AD107" s="37"/>
    </row>
    <row r="108" spans="1:30" s="155" customFormat="1">
      <c r="A108" s="152">
        <f t="shared" si="12"/>
        <v>104</v>
      </c>
      <c r="B108" s="37" t="s">
        <v>5839</v>
      </c>
      <c r="C108" s="70">
        <v>45968</v>
      </c>
      <c r="D108" s="177">
        <v>2025</v>
      </c>
      <c r="E108" s="154" t="s">
        <v>355</v>
      </c>
      <c r="F108" s="154" t="s">
        <v>1352</v>
      </c>
      <c r="G108" s="155" t="s">
        <v>1564</v>
      </c>
      <c r="H108" s="246">
        <v>1000000000</v>
      </c>
      <c r="I108" s="231">
        <v>0</v>
      </c>
      <c r="J108" s="231">
        <v>110000000</v>
      </c>
      <c r="K108" s="231">
        <f t="shared" si="9"/>
        <v>1110000000</v>
      </c>
      <c r="L108" s="221"/>
      <c r="M108" s="231">
        <v>0</v>
      </c>
      <c r="N108" s="230">
        <v>0</v>
      </c>
      <c r="O108" s="230">
        <v>980000000</v>
      </c>
      <c r="P108" s="230">
        <v>0</v>
      </c>
      <c r="Q108" s="230">
        <v>0</v>
      </c>
      <c r="R108" s="230">
        <v>0</v>
      </c>
      <c r="S108" s="230">
        <v>0</v>
      </c>
      <c r="T108" s="230">
        <v>0</v>
      </c>
      <c r="U108" s="230">
        <v>0</v>
      </c>
      <c r="V108" s="230">
        <v>0</v>
      </c>
      <c r="W108" s="230">
        <v>130000000</v>
      </c>
      <c r="X108" s="230">
        <f t="shared" si="10"/>
        <v>0</v>
      </c>
      <c r="Y108" s="230"/>
      <c r="Z108" s="119">
        <f t="shared" si="11"/>
        <v>-110000000</v>
      </c>
      <c r="AA108" s="230">
        <f t="shared" si="17"/>
        <v>-20000000</v>
      </c>
      <c r="AB108" s="230">
        <f t="shared" si="18"/>
        <v>980000000</v>
      </c>
      <c r="AC108" s="246">
        <v>0</v>
      </c>
      <c r="AD108" s="37"/>
    </row>
    <row r="109" spans="1:30" s="155" customFormat="1">
      <c r="A109" s="152">
        <f t="shared" si="12"/>
        <v>105</v>
      </c>
      <c r="B109" s="37" t="s">
        <v>5842</v>
      </c>
      <c r="C109" s="70">
        <v>46007</v>
      </c>
      <c r="D109" s="35">
        <v>2025</v>
      </c>
      <c r="E109" s="154" t="s">
        <v>360</v>
      </c>
      <c r="F109" s="154" t="s">
        <v>4097</v>
      </c>
      <c r="G109" s="155" t="s">
        <v>26</v>
      </c>
      <c r="H109" s="246">
        <v>315727100</v>
      </c>
      <c r="I109" s="231">
        <v>0</v>
      </c>
      <c r="J109" s="231">
        <v>34729981</v>
      </c>
      <c r="K109" s="231">
        <f t="shared" si="9"/>
        <v>350457081</v>
      </c>
      <c r="L109" s="221"/>
      <c r="M109" s="231">
        <v>0</v>
      </c>
      <c r="N109" s="230">
        <v>0</v>
      </c>
      <c r="O109" s="230">
        <v>0</v>
      </c>
      <c r="P109" s="230">
        <v>0</v>
      </c>
      <c r="Q109" s="230">
        <v>0</v>
      </c>
      <c r="R109" s="230">
        <v>0</v>
      </c>
      <c r="S109" s="230">
        <v>0</v>
      </c>
      <c r="T109" s="230">
        <v>0</v>
      </c>
      <c r="U109" s="230">
        <v>0</v>
      </c>
      <c r="V109" s="230">
        <v>0</v>
      </c>
      <c r="W109" s="230">
        <v>0</v>
      </c>
      <c r="X109" s="230">
        <f t="shared" si="10"/>
        <v>350457081</v>
      </c>
      <c r="Y109" s="230"/>
      <c r="Z109" s="119">
        <f t="shared" si="11"/>
        <v>-34729981</v>
      </c>
      <c r="AA109" s="230">
        <f t="shared" si="17"/>
        <v>-6314542</v>
      </c>
      <c r="AB109" s="230">
        <f t="shared" si="18"/>
        <v>309412558</v>
      </c>
      <c r="AC109" s="246">
        <v>0</v>
      </c>
      <c r="AD109" s="37"/>
    </row>
    <row r="110" spans="1:30" s="267" customFormat="1">
      <c r="A110" s="152">
        <f t="shared" si="12"/>
        <v>106</v>
      </c>
      <c r="B110" s="37" t="s">
        <v>5843</v>
      </c>
      <c r="C110" s="70">
        <v>45972</v>
      </c>
      <c r="D110" s="177">
        <v>2025</v>
      </c>
      <c r="E110" s="154" t="s">
        <v>5844</v>
      </c>
      <c r="F110" s="154" t="s">
        <v>4080</v>
      </c>
      <c r="G110" s="155" t="s">
        <v>5845</v>
      </c>
      <c r="H110" s="246">
        <v>655200655</v>
      </c>
      <c r="I110" s="231">
        <v>65520066</v>
      </c>
      <c r="J110" s="231">
        <v>79279279</v>
      </c>
      <c r="K110" s="231">
        <f t="shared" si="9"/>
        <v>800000000</v>
      </c>
      <c r="L110" s="221"/>
      <c r="M110" s="231">
        <v>0</v>
      </c>
      <c r="N110" s="230">
        <v>0</v>
      </c>
      <c r="O110" s="230">
        <v>0</v>
      </c>
      <c r="P110" s="230">
        <v>0</v>
      </c>
      <c r="Q110" s="230">
        <v>0</v>
      </c>
      <c r="R110" s="230">
        <v>0</v>
      </c>
      <c r="S110" s="230">
        <v>706306307</v>
      </c>
      <c r="T110" s="230">
        <v>0</v>
      </c>
      <c r="U110" s="230">
        <v>0</v>
      </c>
      <c r="V110" s="230">
        <v>0</v>
      </c>
      <c r="W110" s="230">
        <v>93693693</v>
      </c>
      <c r="X110" s="230">
        <f t="shared" si="10"/>
        <v>0</v>
      </c>
      <c r="Y110" s="230"/>
      <c r="Z110" s="119">
        <f t="shared" si="11"/>
        <v>-79279279</v>
      </c>
      <c r="AA110" s="230">
        <f t="shared" si="17"/>
        <v>-14414414.42</v>
      </c>
      <c r="AB110" s="230">
        <f t="shared" si="18"/>
        <v>706306306.58000004</v>
      </c>
      <c r="AC110" s="246">
        <v>0</v>
      </c>
      <c r="AD110" s="37"/>
    </row>
    <row r="111" spans="1:30" s="155" customFormat="1">
      <c r="A111" s="152">
        <f t="shared" si="12"/>
        <v>107</v>
      </c>
      <c r="B111" s="37" t="s">
        <v>5805</v>
      </c>
      <c r="C111" s="70">
        <v>45972</v>
      </c>
      <c r="D111" s="177">
        <v>2025</v>
      </c>
      <c r="E111" s="154" t="s">
        <v>388</v>
      </c>
      <c r="F111" s="154" t="s">
        <v>3092</v>
      </c>
      <c r="G111" s="155" t="s">
        <v>1637</v>
      </c>
      <c r="H111" s="246">
        <v>40000000</v>
      </c>
      <c r="I111" s="231">
        <v>4000000</v>
      </c>
      <c r="J111" s="231">
        <v>4840000</v>
      </c>
      <c r="K111" s="231">
        <f t="shared" si="9"/>
        <v>48840000</v>
      </c>
      <c r="L111" s="221"/>
      <c r="M111" s="231">
        <v>0</v>
      </c>
      <c r="N111" s="230">
        <v>0</v>
      </c>
      <c r="O111" s="230">
        <v>43120000</v>
      </c>
      <c r="P111" s="230">
        <v>0</v>
      </c>
      <c r="Q111" s="230">
        <v>0</v>
      </c>
      <c r="R111" s="230">
        <v>0</v>
      </c>
      <c r="S111" s="230">
        <v>0</v>
      </c>
      <c r="T111" s="230">
        <v>0</v>
      </c>
      <c r="U111" s="230">
        <v>0</v>
      </c>
      <c r="V111" s="230">
        <v>0</v>
      </c>
      <c r="W111" s="230">
        <v>5720000</v>
      </c>
      <c r="X111" s="230">
        <f t="shared" si="10"/>
        <v>0</v>
      </c>
      <c r="Y111" s="230"/>
      <c r="Z111" s="119">
        <f t="shared" si="11"/>
        <v>-4840000</v>
      </c>
      <c r="AA111" s="230">
        <f t="shared" si="17"/>
        <v>-880000</v>
      </c>
      <c r="AB111" s="230">
        <f t="shared" si="18"/>
        <v>43120000</v>
      </c>
      <c r="AC111" s="246">
        <v>0</v>
      </c>
      <c r="AD111" s="37"/>
    </row>
    <row r="112" spans="1:30" s="267" customFormat="1">
      <c r="A112" s="152">
        <f t="shared" si="12"/>
        <v>108</v>
      </c>
      <c r="B112" s="37" t="s">
        <v>5846</v>
      </c>
      <c r="C112" s="70">
        <v>45972</v>
      </c>
      <c r="D112" s="35">
        <v>2025</v>
      </c>
      <c r="E112" s="154" t="s">
        <v>5847</v>
      </c>
      <c r="F112" s="154" t="s">
        <v>4080</v>
      </c>
      <c r="G112" s="155" t="s">
        <v>5848</v>
      </c>
      <c r="H112" s="246">
        <v>675675676</v>
      </c>
      <c r="I112" s="231">
        <v>54054054</v>
      </c>
      <c r="J112" s="231">
        <v>80270270</v>
      </c>
      <c r="K112" s="231">
        <f t="shared" si="9"/>
        <v>810000000</v>
      </c>
      <c r="L112" s="221"/>
      <c r="M112" s="231">
        <v>0</v>
      </c>
      <c r="N112" s="230">
        <v>0</v>
      </c>
      <c r="O112" s="230">
        <v>0</v>
      </c>
      <c r="P112" s="230">
        <v>0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f t="shared" si="10"/>
        <v>810000000</v>
      </c>
      <c r="Y112" s="230"/>
      <c r="Z112" s="119">
        <f t="shared" si="11"/>
        <v>-80270270</v>
      </c>
      <c r="AA112" s="230">
        <f>-(I112)*2%+0.08</f>
        <v>-1081081</v>
      </c>
      <c r="AB112" s="230">
        <f t="shared" si="18"/>
        <v>728648649</v>
      </c>
      <c r="AC112" s="246">
        <v>0</v>
      </c>
      <c r="AD112" s="37"/>
    </row>
    <row r="113" spans="1:30" s="267" customFormat="1">
      <c r="A113" s="152">
        <f t="shared" si="12"/>
        <v>109</v>
      </c>
      <c r="B113" s="37" t="s">
        <v>5803</v>
      </c>
      <c r="C113" s="70">
        <v>45974</v>
      </c>
      <c r="D113" s="177">
        <v>2025</v>
      </c>
      <c r="E113" s="154" t="s">
        <v>388</v>
      </c>
      <c r="F113" s="154" t="s">
        <v>1627</v>
      </c>
      <c r="G113" s="154" t="s">
        <v>1628</v>
      </c>
      <c r="H113" s="231">
        <v>90750000</v>
      </c>
      <c r="I113" s="231">
        <v>6300000</v>
      </c>
      <c r="J113" s="231">
        <v>10675500</v>
      </c>
      <c r="K113" s="231">
        <f t="shared" si="9"/>
        <v>107725500</v>
      </c>
      <c r="L113" s="221"/>
      <c r="M113" s="231">
        <v>0</v>
      </c>
      <c r="N113" s="230">
        <v>0</v>
      </c>
      <c r="O113" s="230">
        <v>95109000</v>
      </c>
      <c r="P113" s="230">
        <v>0</v>
      </c>
      <c r="Q113" s="230">
        <v>0</v>
      </c>
      <c r="R113" s="230">
        <v>0</v>
      </c>
      <c r="S113" s="230">
        <v>0</v>
      </c>
      <c r="T113" s="230">
        <v>0</v>
      </c>
      <c r="U113" s="230">
        <v>0</v>
      </c>
      <c r="V113" s="230">
        <v>0</v>
      </c>
      <c r="W113" s="230">
        <v>12616500</v>
      </c>
      <c r="X113" s="230">
        <f t="shared" si="10"/>
        <v>0</v>
      </c>
      <c r="Y113" s="230"/>
      <c r="Z113" s="119">
        <f t="shared" si="11"/>
        <v>-10675500</v>
      </c>
      <c r="AA113" s="230">
        <f t="shared" ref="AA113:AA121" si="19">-(H113+I113)*2%</f>
        <v>-1941000</v>
      </c>
      <c r="AB113" s="230">
        <f t="shared" si="18"/>
        <v>95109000</v>
      </c>
      <c r="AC113" s="246">
        <v>0</v>
      </c>
      <c r="AD113" s="37"/>
    </row>
    <row r="114" spans="1:30" s="155" customFormat="1">
      <c r="A114" s="152">
        <f t="shared" si="12"/>
        <v>110</v>
      </c>
      <c r="B114" s="37" t="s">
        <v>5849</v>
      </c>
      <c r="C114" s="70">
        <v>45975</v>
      </c>
      <c r="D114" s="177">
        <v>2025</v>
      </c>
      <c r="E114" s="154" t="s">
        <v>304</v>
      </c>
      <c r="F114" s="154" t="s">
        <v>4098</v>
      </c>
      <c r="G114" s="155" t="s">
        <v>26</v>
      </c>
      <c r="H114" s="246">
        <v>5670326000</v>
      </c>
      <c r="I114" s="231">
        <v>396922820</v>
      </c>
      <c r="J114" s="231">
        <v>667397370</v>
      </c>
      <c r="K114" s="231">
        <f t="shared" si="9"/>
        <v>6734646190</v>
      </c>
      <c r="L114" s="221"/>
      <c r="M114" s="231">
        <v>0</v>
      </c>
      <c r="N114" s="230">
        <v>0</v>
      </c>
      <c r="O114" s="230">
        <v>5915567599</v>
      </c>
      <c r="P114" s="230">
        <v>0</v>
      </c>
      <c r="Q114" s="230">
        <v>0</v>
      </c>
      <c r="R114" s="230">
        <v>0</v>
      </c>
      <c r="S114" s="230">
        <v>0</v>
      </c>
      <c r="T114" s="230">
        <v>0</v>
      </c>
      <c r="U114" s="230">
        <v>0</v>
      </c>
      <c r="V114" s="230">
        <v>0</v>
      </c>
      <c r="W114" s="230">
        <v>819078591</v>
      </c>
      <c r="X114" s="230">
        <f t="shared" si="10"/>
        <v>0</v>
      </c>
      <c r="Y114" s="230"/>
      <c r="Z114" s="119">
        <f t="shared" si="11"/>
        <v>-667397370</v>
      </c>
      <c r="AA114" s="230">
        <f t="shared" si="19"/>
        <v>-121344976.40000001</v>
      </c>
      <c r="AB114" s="230">
        <f t="shared" si="18"/>
        <v>5945903843.6000004</v>
      </c>
      <c r="AC114" s="246">
        <v>0</v>
      </c>
      <c r="AD114" s="37"/>
    </row>
    <row r="115" spans="1:30" s="155" customFormat="1">
      <c r="A115" s="152">
        <f t="shared" si="12"/>
        <v>111</v>
      </c>
      <c r="B115" s="37" t="s">
        <v>5850</v>
      </c>
      <c r="C115" s="70">
        <v>45975</v>
      </c>
      <c r="D115" s="35">
        <v>2025</v>
      </c>
      <c r="E115" s="154" t="s">
        <v>26</v>
      </c>
      <c r="F115" s="154" t="s">
        <v>26</v>
      </c>
      <c r="G115" s="155" t="s">
        <v>5851</v>
      </c>
      <c r="H115" s="246">
        <v>0</v>
      </c>
      <c r="I115" s="231">
        <v>0</v>
      </c>
      <c r="J115" s="231">
        <v>0</v>
      </c>
      <c r="K115" s="231">
        <f t="shared" si="9"/>
        <v>0</v>
      </c>
      <c r="L115" s="221"/>
      <c r="M115" s="231">
        <v>0</v>
      </c>
      <c r="N115" s="230">
        <v>0</v>
      </c>
      <c r="O115" s="230">
        <v>0</v>
      </c>
      <c r="P115" s="230">
        <v>0</v>
      </c>
      <c r="Q115" s="230">
        <v>0</v>
      </c>
      <c r="R115" s="230">
        <v>0</v>
      </c>
      <c r="S115" s="230">
        <v>0</v>
      </c>
      <c r="T115" s="230">
        <v>0</v>
      </c>
      <c r="U115" s="230">
        <v>0</v>
      </c>
      <c r="V115" s="230">
        <v>0</v>
      </c>
      <c r="W115" s="230">
        <v>0</v>
      </c>
      <c r="X115" s="230">
        <f t="shared" si="10"/>
        <v>0</v>
      </c>
      <c r="Y115" s="230"/>
      <c r="Z115" s="119">
        <f t="shared" si="11"/>
        <v>0</v>
      </c>
      <c r="AA115" s="230">
        <f t="shared" si="19"/>
        <v>0</v>
      </c>
      <c r="AB115" s="230">
        <f t="shared" si="18"/>
        <v>0</v>
      </c>
      <c r="AC115" s="246">
        <v>0</v>
      </c>
      <c r="AD115" s="37"/>
    </row>
    <row r="116" spans="1:30" s="155" customFormat="1">
      <c r="A116" s="152">
        <f t="shared" si="12"/>
        <v>112</v>
      </c>
      <c r="B116" s="37" t="s">
        <v>5804</v>
      </c>
      <c r="C116" s="70">
        <v>45979</v>
      </c>
      <c r="D116" s="177">
        <v>2025</v>
      </c>
      <c r="E116" s="154" t="s">
        <v>388</v>
      </c>
      <c r="F116" s="154" t="s">
        <v>1634</v>
      </c>
      <c r="G116" s="155" t="s">
        <v>1635</v>
      </c>
      <c r="H116" s="246">
        <v>199962000</v>
      </c>
      <c r="I116" s="231">
        <v>19996200</v>
      </c>
      <c r="J116" s="231">
        <v>24195402</v>
      </c>
      <c r="K116" s="231">
        <f t="shared" si="9"/>
        <v>244153602</v>
      </c>
      <c r="L116" s="221"/>
      <c r="M116" s="231">
        <v>0</v>
      </c>
      <c r="N116" s="230">
        <v>0</v>
      </c>
      <c r="O116" s="230">
        <v>215559036</v>
      </c>
      <c r="P116" s="230">
        <v>0</v>
      </c>
      <c r="Q116" s="230">
        <v>0</v>
      </c>
      <c r="R116" s="230">
        <v>0</v>
      </c>
      <c r="S116" s="230">
        <v>0</v>
      </c>
      <c r="T116" s="230">
        <v>0</v>
      </c>
      <c r="U116" s="230">
        <v>0</v>
      </c>
      <c r="V116" s="230">
        <v>0</v>
      </c>
      <c r="W116" s="230">
        <v>28594566</v>
      </c>
      <c r="X116" s="230">
        <f t="shared" si="10"/>
        <v>0</v>
      </c>
      <c r="Y116" s="230"/>
      <c r="Z116" s="119">
        <f t="shared" si="11"/>
        <v>-24195402</v>
      </c>
      <c r="AA116" s="230">
        <f t="shared" si="19"/>
        <v>-4399164</v>
      </c>
      <c r="AB116" s="230">
        <f t="shared" si="18"/>
        <v>215559036</v>
      </c>
      <c r="AC116" s="246">
        <v>0</v>
      </c>
      <c r="AD116" s="37"/>
    </row>
    <row r="117" spans="1:30" s="155" customFormat="1">
      <c r="A117" s="152">
        <f t="shared" si="12"/>
        <v>113</v>
      </c>
      <c r="B117" s="37" t="s">
        <v>5854</v>
      </c>
      <c r="C117" s="70">
        <v>45979</v>
      </c>
      <c r="D117" s="177">
        <v>2025</v>
      </c>
      <c r="E117" s="154" t="s">
        <v>388</v>
      </c>
      <c r="F117" s="154" t="s">
        <v>3263</v>
      </c>
      <c r="G117" s="155" t="s">
        <v>3468</v>
      </c>
      <c r="H117" s="246">
        <v>51940430</v>
      </c>
      <c r="I117" s="231">
        <v>1446800</v>
      </c>
      <c r="J117" s="231">
        <v>5872595</v>
      </c>
      <c r="K117" s="231">
        <f t="shared" si="9"/>
        <v>59259825</v>
      </c>
      <c r="L117" s="221"/>
      <c r="M117" s="231">
        <v>0</v>
      </c>
      <c r="N117" s="230">
        <v>0</v>
      </c>
      <c r="O117" s="230">
        <v>52319485</v>
      </c>
      <c r="P117" s="230">
        <v>0</v>
      </c>
      <c r="Q117" s="230">
        <v>0</v>
      </c>
      <c r="R117" s="230">
        <v>0</v>
      </c>
      <c r="S117" s="230">
        <v>0</v>
      </c>
      <c r="T117" s="230">
        <v>0</v>
      </c>
      <c r="U117" s="230">
        <v>0</v>
      </c>
      <c r="V117" s="230">
        <v>0</v>
      </c>
      <c r="W117" s="230">
        <v>6940340</v>
      </c>
      <c r="X117" s="230">
        <f t="shared" si="10"/>
        <v>0</v>
      </c>
      <c r="Y117" s="230"/>
      <c r="Z117" s="119">
        <f t="shared" si="11"/>
        <v>-5872595</v>
      </c>
      <c r="AA117" s="230">
        <f t="shared" si="19"/>
        <v>-1067744.6000000001</v>
      </c>
      <c r="AB117" s="230">
        <f t="shared" si="18"/>
        <v>52319485.399999999</v>
      </c>
      <c r="AC117" s="246">
        <v>0</v>
      </c>
      <c r="AD117" s="37"/>
    </row>
    <row r="118" spans="1:30" s="155" customFormat="1">
      <c r="A118" s="152">
        <f t="shared" si="12"/>
        <v>114</v>
      </c>
      <c r="B118" s="37" t="s">
        <v>5806</v>
      </c>
      <c r="C118" s="70">
        <v>45980</v>
      </c>
      <c r="D118" s="177">
        <v>2025</v>
      </c>
      <c r="E118" s="154" t="s">
        <v>388</v>
      </c>
      <c r="F118" s="154" t="s">
        <v>1378</v>
      </c>
      <c r="G118" s="155" t="s">
        <v>1630</v>
      </c>
      <c r="H118" s="246">
        <v>163950000</v>
      </c>
      <c r="I118" s="231">
        <v>10829250</v>
      </c>
      <c r="J118" s="231">
        <v>19225718</v>
      </c>
      <c r="K118" s="231">
        <f t="shared" si="9"/>
        <v>194004968</v>
      </c>
      <c r="L118" s="221"/>
      <c r="M118" s="231">
        <v>0</v>
      </c>
      <c r="N118" s="230">
        <v>0</v>
      </c>
      <c r="O118" s="230">
        <v>171283665</v>
      </c>
      <c r="P118" s="230">
        <v>0</v>
      </c>
      <c r="Q118" s="230">
        <v>0</v>
      </c>
      <c r="R118" s="230">
        <v>0</v>
      </c>
      <c r="S118" s="230">
        <v>0</v>
      </c>
      <c r="T118" s="230">
        <v>0</v>
      </c>
      <c r="U118" s="230">
        <v>0</v>
      </c>
      <c r="V118" s="230">
        <v>0</v>
      </c>
      <c r="W118" s="230">
        <v>22721303</v>
      </c>
      <c r="X118" s="230">
        <f t="shared" si="10"/>
        <v>0</v>
      </c>
      <c r="Y118" s="230"/>
      <c r="Z118" s="119">
        <f t="shared" si="11"/>
        <v>-19225718</v>
      </c>
      <c r="AA118" s="230">
        <f t="shared" si="19"/>
        <v>-3495585</v>
      </c>
      <c r="AB118" s="230">
        <f t="shared" si="18"/>
        <v>171283665</v>
      </c>
      <c r="AC118" s="246">
        <v>0</v>
      </c>
      <c r="AD118" s="37"/>
    </row>
    <row r="119" spans="1:30" s="155" customFormat="1">
      <c r="A119" s="152">
        <f t="shared" si="12"/>
        <v>115</v>
      </c>
      <c r="B119" s="37" t="s">
        <v>5903</v>
      </c>
      <c r="C119" s="70">
        <v>45981</v>
      </c>
      <c r="D119" s="177">
        <v>2025</v>
      </c>
      <c r="E119" s="154" t="s">
        <v>5857</v>
      </c>
      <c r="F119" s="154" t="s">
        <v>4080</v>
      </c>
      <c r="G119" s="155" t="s">
        <v>5858</v>
      </c>
      <c r="H119" s="246">
        <v>625625626</v>
      </c>
      <c r="I119" s="231">
        <v>50050050</v>
      </c>
      <c r="J119" s="231">
        <v>74324324</v>
      </c>
      <c r="K119" s="231">
        <f t="shared" si="9"/>
        <v>750000000</v>
      </c>
      <c r="L119" s="221"/>
      <c r="M119" s="231">
        <v>0</v>
      </c>
      <c r="N119" s="230">
        <v>0</v>
      </c>
      <c r="O119" s="230">
        <v>662162162.44000006</v>
      </c>
      <c r="P119" s="230">
        <v>0</v>
      </c>
      <c r="Q119" s="230">
        <v>0</v>
      </c>
      <c r="R119" s="230">
        <v>0</v>
      </c>
      <c r="S119" s="230">
        <v>0</v>
      </c>
      <c r="T119" s="230">
        <v>0</v>
      </c>
      <c r="U119" s="230">
        <v>0</v>
      </c>
      <c r="V119" s="230">
        <v>0</v>
      </c>
      <c r="W119" s="230">
        <v>87837837.559999943</v>
      </c>
      <c r="X119" s="230">
        <f t="shared" si="10"/>
        <v>0</v>
      </c>
      <c r="Y119" s="230"/>
      <c r="Z119" s="119">
        <f t="shared" si="11"/>
        <v>-74324324</v>
      </c>
      <c r="AA119" s="230">
        <f t="shared" si="19"/>
        <v>-13513513.52</v>
      </c>
      <c r="AB119" s="230">
        <f t="shared" si="18"/>
        <v>662162162.48000002</v>
      </c>
      <c r="AC119" s="246">
        <v>0</v>
      </c>
      <c r="AD119" s="37"/>
    </row>
    <row r="120" spans="1:30" s="155" customFormat="1">
      <c r="A120" s="152">
        <f t="shared" si="12"/>
        <v>116</v>
      </c>
      <c r="B120" s="37" t="s">
        <v>7831</v>
      </c>
      <c r="C120" s="70">
        <v>46077</v>
      </c>
      <c r="D120" s="177">
        <v>2025</v>
      </c>
      <c r="E120" s="154" t="s">
        <v>388</v>
      </c>
      <c r="F120" s="154" t="s">
        <v>2238</v>
      </c>
      <c r="G120" s="155" t="s">
        <v>7832</v>
      </c>
      <c r="H120" s="246">
        <v>5355000</v>
      </c>
      <c r="I120" s="231">
        <v>0</v>
      </c>
      <c r="J120" s="231">
        <v>0</v>
      </c>
      <c r="K120" s="231">
        <f t="shared" si="9"/>
        <v>5355000</v>
      </c>
      <c r="L120" s="221"/>
      <c r="M120" s="231">
        <v>0</v>
      </c>
      <c r="N120" s="230">
        <v>0</v>
      </c>
      <c r="O120" s="230">
        <v>0</v>
      </c>
      <c r="P120" s="230">
        <v>0</v>
      </c>
      <c r="Q120" s="230">
        <v>0</v>
      </c>
      <c r="R120" s="230">
        <v>0</v>
      </c>
      <c r="S120" s="230">
        <v>0</v>
      </c>
      <c r="T120" s="230">
        <v>0</v>
      </c>
      <c r="U120" s="230">
        <v>0</v>
      </c>
      <c r="V120" s="230">
        <v>0</v>
      </c>
      <c r="W120" s="230">
        <v>0</v>
      </c>
      <c r="X120" s="230">
        <f t="shared" si="10"/>
        <v>5355000</v>
      </c>
      <c r="Y120" s="230"/>
      <c r="Z120" s="119">
        <f t="shared" si="11"/>
        <v>0</v>
      </c>
      <c r="AA120" s="230">
        <f t="shared" si="19"/>
        <v>-107100</v>
      </c>
      <c r="AB120" s="230">
        <f t="shared" si="18"/>
        <v>5247900</v>
      </c>
      <c r="AC120" s="246">
        <v>0</v>
      </c>
      <c r="AD120" s="37"/>
    </row>
    <row r="121" spans="1:30" s="155" customFormat="1">
      <c r="A121" s="152">
        <f t="shared" si="12"/>
        <v>117</v>
      </c>
      <c r="B121" s="37" t="s">
        <v>1469</v>
      </c>
      <c r="C121" s="70">
        <v>45687</v>
      </c>
      <c r="D121" s="35">
        <v>2025</v>
      </c>
      <c r="E121" s="211" t="s">
        <v>307</v>
      </c>
      <c r="F121" s="211" t="s">
        <v>1352</v>
      </c>
      <c r="G121" s="211" t="s">
        <v>1565</v>
      </c>
      <c r="H121" s="119">
        <v>5000000</v>
      </c>
      <c r="I121" s="119">
        <v>0</v>
      </c>
      <c r="J121" s="264">
        <v>550000</v>
      </c>
      <c r="K121" s="231">
        <f t="shared" si="9"/>
        <v>5550000</v>
      </c>
      <c r="L121" s="221"/>
      <c r="M121" s="231">
        <v>0</v>
      </c>
      <c r="N121" s="231">
        <v>0</v>
      </c>
      <c r="O121" s="231">
        <v>0</v>
      </c>
      <c r="P121" s="231">
        <v>0</v>
      </c>
      <c r="Q121" s="231">
        <v>0</v>
      </c>
      <c r="R121" s="231">
        <v>5450000</v>
      </c>
      <c r="S121" s="231">
        <v>0</v>
      </c>
      <c r="T121" s="231">
        <v>0</v>
      </c>
      <c r="U121" s="230">
        <v>0</v>
      </c>
      <c r="V121" s="231">
        <v>0</v>
      </c>
      <c r="W121" s="231">
        <v>100000</v>
      </c>
      <c r="X121" s="230">
        <f t="shared" si="10"/>
        <v>0</v>
      </c>
      <c r="Y121" s="158"/>
      <c r="Z121" s="158">
        <f t="shared" si="11"/>
        <v>-550000</v>
      </c>
      <c r="AA121" s="245">
        <f t="shared" si="19"/>
        <v>-100000</v>
      </c>
      <c r="AB121" s="230">
        <v>0</v>
      </c>
      <c r="AC121" s="246">
        <f t="shared" ref="AC121:AC128" si="20">K121+AA121</f>
        <v>5450000</v>
      </c>
      <c r="AD121" s="154"/>
    </row>
    <row r="122" spans="1:30" s="155" customFormat="1">
      <c r="A122" s="152">
        <f t="shared" si="12"/>
        <v>118</v>
      </c>
      <c r="B122" s="37" t="s">
        <v>1471</v>
      </c>
      <c r="C122" s="70">
        <v>45679</v>
      </c>
      <c r="D122" s="35">
        <v>2025</v>
      </c>
      <c r="E122" s="154" t="s">
        <v>406</v>
      </c>
      <c r="F122" s="154" t="s">
        <v>1352</v>
      </c>
      <c r="G122" s="154" t="s">
        <v>1564</v>
      </c>
      <c r="H122" s="231">
        <v>5000000</v>
      </c>
      <c r="I122" s="231">
        <v>0</v>
      </c>
      <c r="J122" s="263">
        <v>550000</v>
      </c>
      <c r="K122" s="231">
        <f t="shared" si="9"/>
        <v>5550000</v>
      </c>
      <c r="L122" s="221"/>
      <c r="M122" s="231">
        <v>0</v>
      </c>
      <c r="N122" s="230">
        <v>0</v>
      </c>
      <c r="O122" s="230">
        <v>0</v>
      </c>
      <c r="P122" s="230">
        <v>5550000</v>
      </c>
      <c r="Q122" s="230">
        <v>0</v>
      </c>
      <c r="R122" s="230">
        <v>0</v>
      </c>
      <c r="S122" s="230">
        <v>0</v>
      </c>
      <c r="T122" s="230">
        <v>0</v>
      </c>
      <c r="U122" s="230">
        <v>0</v>
      </c>
      <c r="V122" s="230">
        <v>0</v>
      </c>
      <c r="W122" s="230">
        <v>0</v>
      </c>
      <c r="X122" s="230">
        <f t="shared" si="10"/>
        <v>0</v>
      </c>
      <c r="Y122" s="230"/>
      <c r="Z122" s="158">
        <f t="shared" si="11"/>
        <v>-550000</v>
      </c>
      <c r="AA122" s="245">
        <v>0</v>
      </c>
      <c r="AB122" s="230">
        <v>0</v>
      </c>
      <c r="AC122" s="246">
        <f t="shared" si="20"/>
        <v>5550000</v>
      </c>
      <c r="AD122" s="37"/>
    </row>
    <row r="123" spans="1:30" s="155" customFormat="1">
      <c r="A123" s="152">
        <f t="shared" si="12"/>
        <v>119</v>
      </c>
      <c r="B123" s="37" t="s">
        <v>1472</v>
      </c>
      <c r="C123" s="70">
        <v>45692</v>
      </c>
      <c r="D123" s="35">
        <v>2025</v>
      </c>
      <c r="E123" s="154" t="s">
        <v>390</v>
      </c>
      <c r="F123" s="154" t="s">
        <v>1352</v>
      </c>
      <c r="G123" s="154" t="s">
        <v>1565</v>
      </c>
      <c r="H123" s="246">
        <v>5600000</v>
      </c>
      <c r="I123" s="246">
        <v>0</v>
      </c>
      <c r="J123" s="266">
        <v>616000</v>
      </c>
      <c r="K123" s="231">
        <f t="shared" si="9"/>
        <v>6216000</v>
      </c>
      <c r="L123" s="221"/>
      <c r="M123" s="231">
        <v>0</v>
      </c>
      <c r="N123" s="231">
        <v>0</v>
      </c>
      <c r="O123" s="231">
        <v>0</v>
      </c>
      <c r="P123" s="231">
        <v>6216000</v>
      </c>
      <c r="Q123" s="231">
        <v>0</v>
      </c>
      <c r="R123" s="231">
        <v>0</v>
      </c>
      <c r="S123" s="231">
        <v>0</v>
      </c>
      <c r="T123" s="231">
        <v>0</v>
      </c>
      <c r="U123" s="230">
        <v>0</v>
      </c>
      <c r="V123" s="231">
        <v>0</v>
      </c>
      <c r="W123" s="231">
        <v>0</v>
      </c>
      <c r="X123" s="230">
        <f t="shared" si="10"/>
        <v>0</v>
      </c>
      <c r="Y123" s="158"/>
      <c r="Z123" s="158">
        <f t="shared" si="11"/>
        <v>-616000</v>
      </c>
      <c r="AA123" s="245">
        <v>0</v>
      </c>
      <c r="AB123" s="230">
        <v>0</v>
      </c>
      <c r="AC123" s="246">
        <f t="shared" si="20"/>
        <v>6216000</v>
      </c>
      <c r="AD123" s="154"/>
    </row>
    <row r="124" spans="1:30" s="155" customFormat="1">
      <c r="A124" s="152">
        <f t="shared" si="12"/>
        <v>120</v>
      </c>
      <c r="B124" s="37" t="s">
        <v>1498</v>
      </c>
      <c r="C124" s="70">
        <v>45692</v>
      </c>
      <c r="D124" s="35">
        <v>2025</v>
      </c>
      <c r="E124" s="154" t="s">
        <v>357</v>
      </c>
      <c r="F124" s="154" t="s">
        <v>1352</v>
      </c>
      <c r="G124" s="154" t="s">
        <v>1565</v>
      </c>
      <c r="H124" s="231">
        <v>6300000</v>
      </c>
      <c r="I124" s="231">
        <v>0</v>
      </c>
      <c r="J124" s="263">
        <v>693000</v>
      </c>
      <c r="K124" s="231">
        <f t="shared" si="9"/>
        <v>6993000</v>
      </c>
      <c r="L124" s="221"/>
      <c r="M124" s="231">
        <v>0</v>
      </c>
      <c r="N124" s="230">
        <v>0</v>
      </c>
      <c r="O124" s="230">
        <v>0</v>
      </c>
      <c r="P124" s="230">
        <v>6867000</v>
      </c>
      <c r="Q124" s="230">
        <v>0</v>
      </c>
      <c r="R124" s="230">
        <v>0</v>
      </c>
      <c r="S124" s="230">
        <v>0</v>
      </c>
      <c r="T124" s="230">
        <v>0</v>
      </c>
      <c r="U124" s="230">
        <v>0</v>
      </c>
      <c r="V124" s="230">
        <v>0</v>
      </c>
      <c r="W124" s="230">
        <v>126000</v>
      </c>
      <c r="X124" s="230">
        <f t="shared" si="10"/>
        <v>0</v>
      </c>
      <c r="Y124" s="230"/>
      <c r="Z124" s="158">
        <f t="shared" si="11"/>
        <v>-693000</v>
      </c>
      <c r="AA124" s="245">
        <f>-(H124+I124)*2%</f>
        <v>-126000</v>
      </c>
      <c r="AB124" s="230">
        <v>0</v>
      </c>
      <c r="AC124" s="246">
        <f t="shared" si="20"/>
        <v>6867000</v>
      </c>
      <c r="AD124" s="37"/>
    </row>
    <row r="125" spans="1:30" s="155" customFormat="1">
      <c r="A125" s="152">
        <f t="shared" si="12"/>
        <v>121</v>
      </c>
      <c r="B125" s="37" t="s">
        <v>1499</v>
      </c>
      <c r="C125" s="70">
        <v>45692</v>
      </c>
      <c r="D125" s="35">
        <v>2025</v>
      </c>
      <c r="E125" s="154" t="s">
        <v>360</v>
      </c>
      <c r="F125" s="154" t="s">
        <v>1352</v>
      </c>
      <c r="G125" s="154" t="s">
        <v>1565</v>
      </c>
      <c r="H125" s="231">
        <v>5200000</v>
      </c>
      <c r="I125" s="231">
        <v>0</v>
      </c>
      <c r="J125" s="263">
        <v>572000</v>
      </c>
      <c r="K125" s="231">
        <f t="shared" si="9"/>
        <v>5772000</v>
      </c>
      <c r="L125" s="221"/>
      <c r="M125" s="231">
        <v>0</v>
      </c>
      <c r="N125" s="230">
        <v>0</v>
      </c>
      <c r="O125" s="230">
        <v>0</v>
      </c>
      <c r="P125" s="230">
        <v>5772000</v>
      </c>
      <c r="Q125" s="230">
        <v>0</v>
      </c>
      <c r="R125" s="230">
        <v>0</v>
      </c>
      <c r="S125" s="230">
        <v>0</v>
      </c>
      <c r="T125" s="230">
        <v>0</v>
      </c>
      <c r="U125" s="230">
        <v>0</v>
      </c>
      <c r="V125" s="230">
        <v>0</v>
      </c>
      <c r="W125" s="230">
        <v>0</v>
      </c>
      <c r="X125" s="230">
        <f t="shared" si="10"/>
        <v>0</v>
      </c>
      <c r="Y125" s="230"/>
      <c r="Z125" s="158">
        <f t="shared" si="11"/>
        <v>-572000</v>
      </c>
      <c r="AA125" s="245">
        <v>0</v>
      </c>
      <c r="AB125" s="230">
        <v>0</v>
      </c>
      <c r="AC125" s="246">
        <f t="shared" si="20"/>
        <v>5772000</v>
      </c>
      <c r="AD125" s="37"/>
    </row>
    <row r="126" spans="1:30" s="267" customFormat="1">
      <c r="A126" s="152">
        <f t="shared" si="12"/>
        <v>122</v>
      </c>
      <c r="B126" s="37" t="s">
        <v>1500</v>
      </c>
      <c r="C126" s="70">
        <v>45692</v>
      </c>
      <c r="D126" s="35">
        <v>2025</v>
      </c>
      <c r="E126" s="154" t="s">
        <v>359</v>
      </c>
      <c r="F126" s="154" t="s">
        <v>1352</v>
      </c>
      <c r="G126" s="154" t="s">
        <v>1565</v>
      </c>
      <c r="H126" s="231">
        <v>5250000</v>
      </c>
      <c r="I126" s="231">
        <v>0</v>
      </c>
      <c r="J126" s="263">
        <v>577500</v>
      </c>
      <c r="K126" s="231">
        <f t="shared" si="9"/>
        <v>5827500</v>
      </c>
      <c r="L126" s="221"/>
      <c r="M126" s="231">
        <v>0</v>
      </c>
      <c r="N126" s="230">
        <v>0</v>
      </c>
      <c r="O126" s="230">
        <v>0</v>
      </c>
      <c r="P126" s="230">
        <v>5827500</v>
      </c>
      <c r="Q126" s="230">
        <v>0</v>
      </c>
      <c r="R126" s="230">
        <v>0</v>
      </c>
      <c r="S126" s="230">
        <v>0</v>
      </c>
      <c r="T126" s="230">
        <v>0</v>
      </c>
      <c r="U126" s="230">
        <v>0</v>
      </c>
      <c r="V126" s="230">
        <v>0</v>
      </c>
      <c r="W126" s="230">
        <v>0</v>
      </c>
      <c r="X126" s="230">
        <f t="shared" si="10"/>
        <v>0</v>
      </c>
      <c r="Y126" s="230"/>
      <c r="Z126" s="158">
        <f t="shared" si="11"/>
        <v>-577500</v>
      </c>
      <c r="AA126" s="245">
        <v>0</v>
      </c>
      <c r="AB126" s="230">
        <v>0</v>
      </c>
      <c r="AC126" s="246">
        <f t="shared" si="20"/>
        <v>5827500</v>
      </c>
      <c r="AD126" s="37"/>
    </row>
    <row r="127" spans="1:30" s="155" customFormat="1">
      <c r="A127" s="152">
        <f t="shared" si="12"/>
        <v>123</v>
      </c>
      <c r="B127" s="37" t="s">
        <v>1501</v>
      </c>
      <c r="C127" s="70">
        <v>45705</v>
      </c>
      <c r="D127" s="35">
        <v>2025</v>
      </c>
      <c r="E127" s="154" t="s">
        <v>305</v>
      </c>
      <c r="F127" s="154" t="s">
        <v>1352</v>
      </c>
      <c r="G127" s="154" t="s">
        <v>1565</v>
      </c>
      <c r="H127" s="231">
        <v>5000000</v>
      </c>
      <c r="I127" s="231">
        <v>0</v>
      </c>
      <c r="J127" s="263">
        <v>550000</v>
      </c>
      <c r="K127" s="231">
        <f t="shared" si="9"/>
        <v>5550000</v>
      </c>
      <c r="L127" s="221"/>
      <c r="M127" s="231">
        <v>0</v>
      </c>
      <c r="N127" s="230">
        <v>0</v>
      </c>
      <c r="O127" s="230">
        <v>0</v>
      </c>
      <c r="P127" s="230">
        <v>5550000</v>
      </c>
      <c r="Q127" s="230">
        <v>0</v>
      </c>
      <c r="R127" s="230">
        <v>0</v>
      </c>
      <c r="S127" s="230">
        <v>0</v>
      </c>
      <c r="T127" s="230">
        <v>0</v>
      </c>
      <c r="U127" s="230">
        <v>0</v>
      </c>
      <c r="V127" s="230">
        <v>0</v>
      </c>
      <c r="W127" s="230">
        <v>0</v>
      </c>
      <c r="X127" s="230">
        <f t="shared" si="10"/>
        <v>0</v>
      </c>
      <c r="Y127" s="230"/>
      <c r="Z127" s="158">
        <f t="shared" si="11"/>
        <v>-550000</v>
      </c>
      <c r="AA127" s="245">
        <v>0</v>
      </c>
      <c r="AB127" s="230">
        <v>0</v>
      </c>
      <c r="AC127" s="246">
        <f t="shared" si="20"/>
        <v>5550000</v>
      </c>
      <c r="AD127" s="37"/>
    </row>
    <row r="128" spans="1:30" s="155" customFormat="1">
      <c r="A128" s="152">
        <f t="shared" si="12"/>
        <v>124</v>
      </c>
      <c r="B128" s="37" t="s">
        <v>1502</v>
      </c>
      <c r="C128" s="70">
        <v>45692</v>
      </c>
      <c r="D128" s="35">
        <v>2025</v>
      </c>
      <c r="E128" s="154" t="s">
        <v>355</v>
      </c>
      <c r="F128" s="154" t="s">
        <v>1352</v>
      </c>
      <c r="G128" s="154" t="s">
        <v>1565</v>
      </c>
      <c r="H128" s="231">
        <v>5000000</v>
      </c>
      <c r="I128" s="231">
        <v>0</v>
      </c>
      <c r="J128" s="263">
        <v>550000</v>
      </c>
      <c r="K128" s="231">
        <f t="shared" si="9"/>
        <v>5550000</v>
      </c>
      <c r="L128" s="221"/>
      <c r="M128" s="231">
        <v>0</v>
      </c>
      <c r="N128" s="230">
        <v>0</v>
      </c>
      <c r="O128" s="230">
        <v>0</v>
      </c>
      <c r="P128" s="230">
        <v>5550000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f t="shared" si="10"/>
        <v>0</v>
      </c>
      <c r="Y128" s="230"/>
      <c r="Z128" s="158">
        <f t="shared" si="11"/>
        <v>-550000</v>
      </c>
      <c r="AA128" s="245">
        <v>0</v>
      </c>
      <c r="AB128" s="230">
        <v>0</v>
      </c>
      <c r="AC128" s="246">
        <f t="shared" si="20"/>
        <v>5550000</v>
      </c>
      <c r="AD128" s="37"/>
    </row>
    <row r="129" spans="1:30" s="155" customFormat="1">
      <c r="A129" s="255">
        <f t="shared" si="12"/>
        <v>125</v>
      </c>
      <c r="B129" s="268" t="s">
        <v>1508</v>
      </c>
      <c r="C129" s="273">
        <v>45709</v>
      </c>
      <c r="D129" s="35">
        <v>2024</v>
      </c>
      <c r="E129" s="225" t="s">
        <v>26</v>
      </c>
      <c r="F129" s="225" t="s">
        <v>26</v>
      </c>
      <c r="G129" s="225" t="s">
        <v>5813</v>
      </c>
      <c r="H129" s="266">
        <v>0</v>
      </c>
      <c r="I129" s="266">
        <v>0</v>
      </c>
      <c r="J129" s="266">
        <v>0</v>
      </c>
      <c r="K129" s="263">
        <f t="shared" si="9"/>
        <v>0</v>
      </c>
      <c r="L129" s="262"/>
      <c r="M129" s="263">
        <v>0</v>
      </c>
      <c r="N129" s="253">
        <v>0</v>
      </c>
      <c r="O129" s="253">
        <v>0</v>
      </c>
      <c r="P129" s="253">
        <v>0</v>
      </c>
      <c r="Q129" s="253">
        <v>0</v>
      </c>
      <c r="R129" s="253">
        <v>0</v>
      </c>
      <c r="S129" s="253">
        <v>0</v>
      </c>
      <c r="T129" s="253">
        <v>0</v>
      </c>
      <c r="U129" s="253">
        <v>0</v>
      </c>
      <c r="V129" s="253">
        <v>0</v>
      </c>
      <c r="W129" s="253">
        <v>0</v>
      </c>
      <c r="X129" s="253">
        <f t="shared" si="10"/>
        <v>0</v>
      </c>
      <c r="Y129" s="253"/>
      <c r="Z129" s="257">
        <f t="shared" si="11"/>
        <v>0</v>
      </c>
      <c r="AA129" s="265">
        <f>-(H129+I129)*2%</f>
        <v>0</v>
      </c>
      <c r="AB129" s="253">
        <f>K129+Z129+AA129</f>
        <v>0</v>
      </c>
      <c r="AC129" s="266">
        <v>0</v>
      </c>
      <c r="AD129" s="208"/>
    </row>
    <row r="130" spans="1:30" s="155" customFormat="1">
      <c r="A130" s="152">
        <f t="shared" si="12"/>
        <v>126</v>
      </c>
      <c r="B130" s="37" t="s">
        <v>1514</v>
      </c>
      <c r="C130" s="70">
        <v>45713</v>
      </c>
      <c r="D130" s="35">
        <v>2025</v>
      </c>
      <c r="E130" s="154" t="s">
        <v>1581</v>
      </c>
      <c r="F130" s="154" t="s">
        <v>1368</v>
      </c>
      <c r="G130" s="154" t="s">
        <v>1582</v>
      </c>
      <c r="H130" s="246">
        <v>709220286</v>
      </c>
      <c r="I130" s="246">
        <v>0</v>
      </c>
      <c r="J130" s="266">
        <v>78014231</v>
      </c>
      <c r="K130" s="231">
        <f t="shared" si="9"/>
        <v>787234517</v>
      </c>
      <c r="L130" s="258"/>
      <c r="M130" s="231">
        <v>0</v>
      </c>
      <c r="N130" s="230">
        <v>0</v>
      </c>
      <c r="O130" s="230">
        <v>773050110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14184407</v>
      </c>
      <c r="X130" s="230">
        <f t="shared" si="10"/>
        <v>0</v>
      </c>
      <c r="Y130" s="230"/>
      <c r="Z130" s="158">
        <f t="shared" si="11"/>
        <v>-78014231</v>
      </c>
      <c r="AA130" s="245">
        <f>-(H130+I130)*2%-1.28</f>
        <v>-14184407</v>
      </c>
      <c r="AB130" s="230">
        <v>0</v>
      </c>
      <c r="AC130" s="246">
        <f>K130+AA130</f>
        <v>773050110</v>
      </c>
      <c r="AD130" s="37"/>
    </row>
    <row r="131" spans="1:30" s="155" customFormat="1">
      <c r="A131" s="152">
        <f t="shared" si="12"/>
        <v>127</v>
      </c>
      <c r="B131" s="37" t="s">
        <v>1517</v>
      </c>
      <c r="C131" s="70">
        <v>45714</v>
      </c>
      <c r="D131" s="35">
        <v>2025</v>
      </c>
      <c r="E131" s="72" t="s">
        <v>1587</v>
      </c>
      <c r="F131" s="214" t="s">
        <v>1445</v>
      </c>
      <c r="G131" s="154" t="s">
        <v>1588</v>
      </c>
      <c r="H131" s="246">
        <v>33261480</v>
      </c>
      <c r="I131" s="246">
        <v>0</v>
      </c>
      <c r="J131" s="266">
        <v>3658763</v>
      </c>
      <c r="K131" s="231">
        <f t="shared" si="9"/>
        <v>36920243</v>
      </c>
      <c r="L131" s="221"/>
      <c r="M131" s="231">
        <v>0</v>
      </c>
      <c r="N131" s="230">
        <v>36255013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665230</v>
      </c>
      <c r="X131" s="230">
        <f t="shared" si="10"/>
        <v>0</v>
      </c>
      <c r="Y131" s="230"/>
      <c r="Z131" s="158">
        <f t="shared" si="11"/>
        <v>-3658763</v>
      </c>
      <c r="AA131" s="245">
        <f>-(H131+I131)*2%-0.4</f>
        <v>-665230</v>
      </c>
      <c r="AB131" s="230">
        <v>0</v>
      </c>
      <c r="AC131" s="246">
        <f>K131+AA131</f>
        <v>36255013</v>
      </c>
      <c r="AD131" s="37"/>
    </row>
    <row r="132" spans="1:30" s="155" customFormat="1">
      <c r="A132" s="255">
        <f t="shared" si="12"/>
        <v>128</v>
      </c>
      <c r="B132" s="208" t="s">
        <v>1518</v>
      </c>
      <c r="C132" s="273">
        <v>45723</v>
      </c>
      <c r="D132" s="35">
        <v>2024</v>
      </c>
      <c r="E132" s="225" t="s">
        <v>26</v>
      </c>
      <c r="F132" s="225" t="s">
        <v>26</v>
      </c>
      <c r="G132" s="225" t="s">
        <v>5814</v>
      </c>
      <c r="H132" s="266">
        <v>0</v>
      </c>
      <c r="I132" s="266">
        <v>0</v>
      </c>
      <c r="J132" s="266">
        <v>0</v>
      </c>
      <c r="K132" s="263">
        <f t="shared" si="9"/>
        <v>0</v>
      </c>
      <c r="L132" s="262"/>
      <c r="M132" s="263">
        <v>0</v>
      </c>
      <c r="N132" s="253">
        <v>0</v>
      </c>
      <c r="O132" s="253">
        <v>0</v>
      </c>
      <c r="P132" s="253">
        <v>0</v>
      </c>
      <c r="Q132" s="253">
        <v>0</v>
      </c>
      <c r="R132" s="253">
        <v>0</v>
      </c>
      <c r="S132" s="253">
        <v>0</v>
      </c>
      <c r="T132" s="253">
        <v>0</v>
      </c>
      <c r="U132" s="253">
        <v>0</v>
      </c>
      <c r="V132" s="253">
        <v>0</v>
      </c>
      <c r="W132" s="253">
        <v>0</v>
      </c>
      <c r="X132" s="253">
        <f t="shared" si="10"/>
        <v>0</v>
      </c>
      <c r="Y132" s="253"/>
      <c r="Z132" s="257">
        <f t="shared" si="11"/>
        <v>0</v>
      </c>
      <c r="AA132" s="265">
        <f>-(H132+I132)*2%</f>
        <v>0</v>
      </c>
      <c r="AB132" s="253">
        <f>K132+Z132+AA132</f>
        <v>0</v>
      </c>
      <c r="AC132" s="266">
        <v>0</v>
      </c>
      <c r="AD132" s="208"/>
    </row>
    <row r="133" spans="1:30" s="155" customFormat="1">
      <c r="A133" s="255">
        <f t="shared" si="12"/>
        <v>129</v>
      </c>
      <c r="B133" s="268" t="s">
        <v>2205</v>
      </c>
      <c r="C133" s="273">
        <v>45798</v>
      </c>
      <c r="D133" s="35">
        <v>2024</v>
      </c>
      <c r="E133" s="225" t="s">
        <v>26</v>
      </c>
      <c r="F133" s="225" t="s">
        <v>26</v>
      </c>
      <c r="G133" s="225" t="s">
        <v>5815</v>
      </c>
      <c r="H133" s="266">
        <v>0</v>
      </c>
      <c r="I133" s="266">
        <v>0</v>
      </c>
      <c r="J133" s="266">
        <v>0</v>
      </c>
      <c r="K133" s="263">
        <f t="shared" ref="K133:K196" si="21">SUM(H133:J133)</f>
        <v>0</v>
      </c>
      <c r="L133" s="262"/>
      <c r="M133" s="263">
        <v>0</v>
      </c>
      <c r="N133" s="253">
        <v>0</v>
      </c>
      <c r="O133" s="253">
        <v>0</v>
      </c>
      <c r="P133" s="253">
        <v>0</v>
      </c>
      <c r="Q133" s="253">
        <v>0</v>
      </c>
      <c r="R133" s="253">
        <v>0</v>
      </c>
      <c r="S133" s="253">
        <v>0</v>
      </c>
      <c r="T133" s="253">
        <v>0</v>
      </c>
      <c r="U133" s="253">
        <v>0</v>
      </c>
      <c r="V133" s="253">
        <v>0</v>
      </c>
      <c r="W133" s="253">
        <v>0</v>
      </c>
      <c r="X133" s="253">
        <f t="shared" ref="X133:X196" si="22">K133-SUM(M133:W133)</f>
        <v>0</v>
      </c>
      <c r="Y133" s="253"/>
      <c r="Z133" s="257">
        <f t="shared" ref="Z133:Z196" si="23">-J133</f>
        <v>0</v>
      </c>
      <c r="AA133" s="265">
        <f>-(H133+I133)*2%</f>
        <v>0</v>
      </c>
      <c r="AB133" s="253">
        <f>K133+Z133+AA133</f>
        <v>0</v>
      </c>
      <c r="AC133" s="266">
        <v>0</v>
      </c>
      <c r="AD133" s="208"/>
    </row>
    <row r="134" spans="1:30" s="155" customFormat="1">
      <c r="A134" s="255">
        <f t="shared" ref="A134:A197" si="24">A133+1</f>
        <v>130</v>
      </c>
      <c r="B134" s="208" t="s">
        <v>1521</v>
      </c>
      <c r="C134" s="273">
        <v>45727</v>
      </c>
      <c r="D134" s="35">
        <v>2024</v>
      </c>
      <c r="E134" s="225" t="s">
        <v>26</v>
      </c>
      <c r="F134" s="225" t="s">
        <v>26</v>
      </c>
      <c r="G134" s="225" t="s">
        <v>5816</v>
      </c>
      <c r="H134" s="266">
        <v>0</v>
      </c>
      <c r="I134" s="266">
        <v>0</v>
      </c>
      <c r="J134" s="266">
        <v>0</v>
      </c>
      <c r="K134" s="263">
        <f t="shared" si="21"/>
        <v>0</v>
      </c>
      <c r="L134" s="262"/>
      <c r="M134" s="263">
        <v>0</v>
      </c>
      <c r="N134" s="253">
        <v>0</v>
      </c>
      <c r="O134" s="253">
        <v>0</v>
      </c>
      <c r="P134" s="253">
        <v>0</v>
      </c>
      <c r="Q134" s="253">
        <v>0</v>
      </c>
      <c r="R134" s="253">
        <v>0</v>
      </c>
      <c r="S134" s="253">
        <v>0</v>
      </c>
      <c r="T134" s="253">
        <v>0</v>
      </c>
      <c r="U134" s="253">
        <v>0</v>
      </c>
      <c r="V134" s="253">
        <v>0</v>
      </c>
      <c r="W134" s="253">
        <v>0</v>
      </c>
      <c r="X134" s="253">
        <f t="shared" si="22"/>
        <v>0</v>
      </c>
      <c r="Y134" s="253"/>
      <c r="Z134" s="257">
        <f t="shared" si="23"/>
        <v>0</v>
      </c>
      <c r="AA134" s="265">
        <f>-(H134+I134)*2%</f>
        <v>0</v>
      </c>
      <c r="AB134" s="253">
        <f>K134+Z134+AA134</f>
        <v>0</v>
      </c>
      <c r="AC134" s="266">
        <v>0</v>
      </c>
      <c r="AD134" s="208"/>
    </row>
    <row r="135" spans="1:30" s="155" customFormat="1">
      <c r="A135" s="255">
        <f t="shared" si="24"/>
        <v>131</v>
      </c>
      <c r="B135" s="208" t="s">
        <v>1522</v>
      </c>
      <c r="C135" s="273">
        <v>45728</v>
      </c>
      <c r="D135" s="35">
        <v>2024</v>
      </c>
      <c r="E135" s="225" t="s">
        <v>26</v>
      </c>
      <c r="F135" s="225" t="s">
        <v>26</v>
      </c>
      <c r="G135" s="225" t="s">
        <v>5817</v>
      </c>
      <c r="H135" s="266">
        <v>0</v>
      </c>
      <c r="I135" s="266">
        <v>0</v>
      </c>
      <c r="J135" s="266">
        <v>0</v>
      </c>
      <c r="K135" s="263">
        <f t="shared" si="21"/>
        <v>0</v>
      </c>
      <c r="L135" s="262"/>
      <c r="M135" s="263">
        <v>0</v>
      </c>
      <c r="N135" s="253">
        <v>0</v>
      </c>
      <c r="O135" s="253">
        <v>0</v>
      </c>
      <c r="P135" s="253">
        <v>0</v>
      </c>
      <c r="Q135" s="253">
        <v>0</v>
      </c>
      <c r="R135" s="253">
        <v>0</v>
      </c>
      <c r="S135" s="253">
        <v>0</v>
      </c>
      <c r="T135" s="253">
        <v>0</v>
      </c>
      <c r="U135" s="253">
        <v>0</v>
      </c>
      <c r="V135" s="253">
        <v>0</v>
      </c>
      <c r="W135" s="253">
        <v>0</v>
      </c>
      <c r="X135" s="253">
        <f t="shared" si="22"/>
        <v>0</v>
      </c>
      <c r="Y135" s="253"/>
      <c r="Z135" s="257">
        <f t="shared" si="23"/>
        <v>0</v>
      </c>
      <c r="AA135" s="265">
        <f>-(H135+I135)*2%</f>
        <v>0</v>
      </c>
      <c r="AB135" s="253">
        <f>K135+Z135+AA135</f>
        <v>0</v>
      </c>
      <c r="AC135" s="266">
        <v>0</v>
      </c>
      <c r="AD135" s="208"/>
    </row>
    <row r="136" spans="1:30" s="155" customFormat="1">
      <c r="A136" s="152">
        <f t="shared" si="24"/>
        <v>132</v>
      </c>
      <c r="B136" s="37" t="s">
        <v>1523</v>
      </c>
      <c r="C136" s="70">
        <v>45729</v>
      </c>
      <c r="D136" s="35">
        <v>2025</v>
      </c>
      <c r="E136" s="154" t="s">
        <v>1581</v>
      </c>
      <c r="F136" s="154" t="s">
        <v>1368</v>
      </c>
      <c r="G136" s="154" t="s">
        <v>1590</v>
      </c>
      <c r="H136" s="246">
        <v>134673961</v>
      </c>
      <c r="I136" s="246">
        <v>0</v>
      </c>
      <c r="J136" s="266">
        <v>14814136</v>
      </c>
      <c r="K136" s="231">
        <f t="shared" si="21"/>
        <v>149488097</v>
      </c>
      <c r="L136" s="258"/>
      <c r="M136" s="231">
        <v>0</v>
      </c>
      <c r="N136" s="230">
        <v>0</v>
      </c>
      <c r="O136" s="230">
        <v>146792657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2695440</v>
      </c>
      <c r="X136" s="230">
        <f t="shared" si="22"/>
        <v>0</v>
      </c>
      <c r="Y136" s="230"/>
      <c r="Z136" s="158">
        <f t="shared" si="23"/>
        <v>-14814136</v>
      </c>
      <c r="AA136" s="245">
        <f>-(H136+I136)*2%-0.78</f>
        <v>-2693480</v>
      </c>
      <c r="AB136" s="230">
        <v>0</v>
      </c>
      <c r="AC136" s="246">
        <f>K136+AA136</f>
        <v>146794617</v>
      </c>
      <c r="AD136" s="37"/>
    </row>
    <row r="137" spans="1:30" s="155" customFormat="1">
      <c r="A137" s="152">
        <f t="shared" si="24"/>
        <v>133</v>
      </c>
      <c r="B137" s="37" t="s">
        <v>1527</v>
      </c>
      <c r="C137" s="70">
        <v>45734</v>
      </c>
      <c r="D137" s="35">
        <v>2025</v>
      </c>
      <c r="E137" s="154" t="s">
        <v>388</v>
      </c>
      <c r="F137" s="146" t="s">
        <v>1417</v>
      </c>
      <c r="G137" s="154" t="s">
        <v>1596</v>
      </c>
      <c r="H137" s="246">
        <v>8236635</v>
      </c>
      <c r="I137" s="246">
        <v>0</v>
      </c>
      <c r="J137" s="266">
        <v>906030</v>
      </c>
      <c r="K137" s="231">
        <f t="shared" si="21"/>
        <v>9142665</v>
      </c>
      <c r="L137" s="221"/>
      <c r="M137" s="231">
        <v>0</v>
      </c>
      <c r="N137" s="230">
        <v>0</v>
      </c>
      <c r="O137" s="230">
        <v>8977933</v>
      </c>
      <c r="P137" s="230">
        <v>0</v>
      </c>
      <c r="Q137" s="230">
        <v>0</v>
      </c>
      <c r="R137" s="230">
        <v>0</v>
      </c>
      <c r="S137" s="230">
        <v>0</v>
      </c>
      <c r="T137" s="230">
        <v>0</v>
      </c>
      <c r="U137" s="230">
        <v>0</v>
      </c>
      <c r="V137" s="230">
        <v>0</v>
      </c>
      <c r="W137" s="230">
        <v>164732</v>
      </c>
      <c r="X137" s="230">
        <f t="shared" si="22"/>
        <v>0</v>
      </c>
      <c r="Y137" s="230"/>
      <c r="Z137" s="158">
        <f t="shared" si="23"/>
        <v>-906030</v>
      </c>
      <c r="AA137" s="245">
        <f>-(H137+I137)*2%+0.7</f>
        <v>-164732</v>
      </c>
      <c r="AB137" s="230">
        <v>0</v>
      </c>
      <c r="AC137" s="246">
        <f>K137+AA137</f>
        <v>8977933</v>
      </c>
      <c r="AD137" s="37"/>
    </row>
    <row r="138" spans="1:30" s="155" customFormat="1">
      <c r="A138" s="255">
        <f t="shared" si="24"/>
        <v>134</v>
      </c>
      <c r="B138" s="208" t="s">
        <v>1528</v>
      </c>
      <c r="C138" s="273">
        <v>45735</v>
      </c>
      <c r="D138" s="35">
        <v>2024</v>
      </c>
      <c r="E138" s="225" t="s">
        <v>26</v>
      </c>
      <c r="F138" s="225" t="s">
        <v>26</v>
      </c>
      <c r="G138" s="225" t="s">
        <v>5818</v>
      </c>
      <c r="H138" s="266">
        <v>0</v>
      </c>
      <c r="I138" s="266">
        <v>0</v>
      </c>
      <c r="J138" s="266">
        <v>0</v>
      </c>
      <c r="K138" s="263">
        <f t="shared" si="21"/>
        <v>0</v>
      </c>
      <c r="L138" s="262"/>
      <c r="M138" s="263">
        <v>0</v>
      </c>
      <c r="N138" s="253">
        <v>0</v>
      </c>
      <c r="O138" s="253">
        <v>0</v>
      </c>
      <c r="P138" s="253">
        <v>0</v>
      </c>
      <c r="Q138" s="253">
        <v>0</v>
      </c>
      <c r="R138" s="253">
        <v>0</v>
      </c>
      <c r="S138" s="253">
        <v>0</v>
      </c>
      <c r="T138" s="253">
        <v>0</v>
      </c>
      <c r="U138" s="253">
        <v>0</v>
      </c>
      <c r="V138" s="253">
        <v>0</v>
      </c>
      <c r="W138" s="253">
        <v>0</v>
      </c>
      <c r="X138" s="253">
        <f t="shared" si="22"/>
        <v>0</v>
      </c>
      <c r="Y138" s="253"/>
      <c r="Z138" s="257">
        <f t="shared" si="23"/>
        <v>0</v>
      </c>
      <c r="AA138" s="265">
        <f t="shared" ref="AA138:AA144" si="25">-(H138+I138)*2%</f>
        <v>0</v>
      </c>
      <c r="AB138" s="253">
        <v>0</v>
      </c>
      <c r="AC138" s="266">
        <v>0</v>
      </c>
      <c r="AD138" s="208"/>
    </row>
    <row r="139" spans="1:30" s="155" customFormat="1">
      <c r="A139" s="255">
        <f t="shared" si="24"/>
        <v>135</v>
      </c>
      <c r="B139" s="208" t="s">
        <v>1529</v>
      </c>
      <c r="C139" s="273">
        <v>45736</v>
      </c>
      <c r="D139" s="35">
        <v>2024</v>
      </c>
      <c r="E139" s="225" t="s">
        <v>26</v>
      </c>
      <c r="F139" s="225" t="s">
        <v>26</v>
      </c>
      <c r="G139" s="225" t="s">
        <v>5819</v>
      </c>
      <c r="H139" s="266">
        <v>0</v>
      </c>
      <c r="I139" s="266">
        <v>0</v>
      </c>
      <c r="J139" s="266">
        <v>0</v>
      </c>
      <c r="K139" s="263">
        <f t="shared" si="21"/>
        <v>0</v>
      </c>
      <c r="L139" s="262"/>
      <c r="M139" s="263">
        <v>0</v>
      </c>
      <c r="N139" s="253">
        <v>0</v>
      </c>
      <c r="O139" s="253">
        <v>0</v>
      </c>
      <c r="P139" s="253">
        <v>0</v>
      </c>
      <c r="Q139" s="253">
        <v>0</v>
      </c>
      <c r="R139" s="253">
        <v>0</v>
      </c>
      <c r="S139" s="253">
        <v>0</v>
      </c>
      <c r="T139" s="253">
        <v>0</v>
      </c>
      <c r="U139" s="253">
        <v>0</v>
      </c>
      <c r="V139" s="253">
        <v>0</v>
      </c>
      <c r="W139" s="253">
        <v>0</v>
      </c>
      <c r="X139" s="253">
        <f t="shared" si="22"/>
        <v>0</v>
      </c>
      <c r="Y139" s="253"/>
      <c r="Z139" s="257">
        <f t="shared" si="23"/>
        <v>0</v>
      </c>
      <c r="AA139" s="265">
        <f t="shared" si="25"/>
        <v>0</v>
      </c>
      <c r="AB139" s="253">
        <v>0</v>
      </c>
      <c r="AC139" s="266">
        <v>0</v>
      </c>
      <c r="AD139" s="208"/>
    </row>
    <row r="140" spans="1:30" s="155" customFormat="1">
      <c r="A140" s="255">
        <f t="shared" si="24"/>
        <v>136</v>
      </c>
      <c r="B140" s="208" t="s">
        <v>1530</v>
      </c>
      <c r="C140" s="273">
        <v>45736</v>
      </c>
      <c r="D140" s="35">
        <v>2024</v>
      </c>
      <c r="E140" s="225" t="s">
        <v>26</v>
      </c>
      <c r="F140" s="225" t="s">
        <v>26</v>
      </c>
      <c r="G140" s="225" t="s">
        <v>5820</v>
      </c>
      <c r="H140" s="266">
        <v>0</v>
      </c>
      <c r="I140" s="266">
        <v>0</v>
      </c>
      <c r="J140" s="266">
        <v>0</v>
      </c>
      <c r="K140" s="263">
        <f t="shared" si="21"/>
        <v>0</v>
      </c>
      <c r="L140" s="262"/>
      <c r="M140" s="263">
        <v>0</v>
      </c>
      <c r="N140" s="253">
        <v>0</v>
      </c>
      <c r="O140" s="253">
        <v>0</v>
      </c>
      <c r="P140" s="253">
        <v>0</v>
      </c>
      <c r="Q140" s="253">
        <v>0</v>
      </c>
      <c r="R140" s="253">
        <v>0</v>
      </c>
      <c r="S140" s="253">
        <v>0</v>
      </c>
      <c r="T140" s="253">
        <v>0</v>
      </c>
      <c r="U140" s="253">
        <v>0</v>
      </c>
      <c r="V140" s="253">
        <v>0</v>
      </c>
      <c r="W140" s="253">
        <v>0</v>
      </c>
      <c r="X140" s="253">
        <f t="shared" si="22"/>
        <v>0</v>
      </c>
      <c r="Y140" s="253"/>
      <c r="Z140" s="257">
        <f t="shared" si="23"/>
        <v>0</v>
      </c>
      <c r="AA140" s="265">
        <f t="shared" si="25"/>
        <v>0</v>
      </c>
      <c r="AB140" s="253">
        <v>0</v>
      </c>
      <c r="AC140" s="266">
        <v>0</v>
      </c>
      <c r="AD140" s="208"/>
    </row>
    <row r="141" spans="1:30" s="155" customFormat="1">
      <c r="A141" s="255">
        <f t="shared" si="24"/>
        <v>137</v>
      </c>
      <c r="B141" s="208" t="s">
        <v>1531</v>
      </c>
      <c r="C141" s="273">
        <v>45737</v>
      </c>
      <c r="D141" s="35">
        <v>2024</v>
      </c>
      <c r="E141" s="225" t="s">
        <v>26</v>
      </c>
      <c r="F141" s="225" t="s">
        <v>26</v>
      </c>
      <c r="G141" s="225" t="s">
        <v>5821</v>
      </c>
      <c r="H141" s="266">
        <v>0</v>
      </c>
      <c r="I141" s="266">
        <v>0</v>
      </c>
      <c r="J141" s="266">
        <v>0</v>
      </c>
      <c r="K141" s="263">
        <f t="shared" si="21"/>
        <v>0</v>
      </c>
      <c r="L141" s="262"/>
      <c r="M141" s="263">
        <v>0</v>
      </c>
      <c r="N141" s="253">
        <v>0</v>
      </c>
      <c r="O141" s="253">
        <v>0</v>
      </c>
      <c r="P141" s="253">
        <v>0</v>
      </c>
      <c r="Q141" s="253">
        <v>0</v>
      </c>
      <c r="R141" s="253">
        <v>0</v>
      </c>
      <c r="S141" s="253">
        <v>0</v>
      </c>
      <c r="T141" s="253">
        <v>0</v>
      </c>
      <c r="U141" s="253">
        <v>0</v>
      </c>
      <c r="V141" s="253">
        <v>0</v>
      </c>
      <c r="W141" s="253">
        <v>0</v>
      </c>
      <c r="X141" s="253">
        <f t="shared" si="22"/>
        <v>0</v>
      </c>
      <c r="Y141" s="253"/>
      <c r="Z141" s="257">
        <f t="shared" si="23"/>
        <v>0</v>
      </c>
      <c r="AA141" s="265">
        <f t="shared" si="25"/>
        <v>0</v>
      </c>
      <c r="AB141" s="253">
        <v>0</v>
      </c>
      <c r="AC141" s="266">
        <v>0</v>
      </c>
      <c r="AD141" s="208"/>
    </row>
    <row r="142" spans="1:30" s="155" customFormat="1">
      <c r="A142" s="255">
        <f t="shared" si="24"/>
        <v>138</v>
      </c>
      <c r="B142" s="208" t="s">
        <v>1532</v>
      </c>
      <c r="C142" s="273">
        <v>45740</v>
      </c>
      <c r="D142" s="35">
        <v>2024</v>
      </c>
      <c r="E142" s="225" t="s">
        <v>26</v>
      </c>
      <c r="F142" s="225" t="s">
        <v>26</v>
      </c>
      <c r="G142" s="225" t="s">
        <v>5822</v>
      </c>
      <c r="H142" s="266">
        <v>0</v>
      </c>
      <c r="I142" s="266">
        <v>0</v>
      </c>
      <c r="J142" s="266">
        <v>0</v>
      </c>
      <c r="K142" s="263">
        <f t="shared" si="21"/>
        <v>0</v>
      </c>
      <c r="L142" s="262"/>
      <c r="M142" s="263">
        <v>0</v>
      </c>
      <c r="N142" s="253">
        <v>0</v>
      </c>
      <c r="O142" s="253">
        <v>0</v>
      </c>
      <c r="P142" s="253">
        <v>0</v>
      </c>
      <c r="Q142" s="253">
        <v>0</v>
      </c>
      <c r="R142" s="253">
        <v>0</v>
      </c>
      <c r="S142" s="253">
        <v>0</v>
      </c>
      <c r="T142" s="253">
        <v>0</v>
      </c>
      <c r="U142" s="253">
        <v>0</v>
      </c>
      <c r="V142" s="253">
        <v>0</v>
      </c>
      <c r="W142" s="253">
        <v>0</v>
      </c>
      <c r="X142" s="253">
        <f t="shared" si="22"/>
        <v>0</v>
      </c>
      <c r="Y142" s="253"/>
      <c r="Z142" s="257">
        <f t="shared" si="23"/>
        <v>0</v>
      </c>
      <c r="AA142" s="265">
        <f t="shared" si="25"/>
        <v>0</v>
      </c>
      <c r="AB142" s="253">
        <v>0</v>
      </c>
      <c r="AC142" s="266">
        <v>0</v>
      </c>
      <c r="AD142" s="208"/>
    </row>
    <row r="143" spans="1:30" s="155" customFormat="1">
      <c r="A143" s="255">
        <f t="shared" si="24"/>
        <v>139</v>
      </c>
      <c r="B143" s="208" t="s">
        <v>1533</v>
      </c>
      <c r="C143" s="273">
        <v>45741</v>
      </c>
      <c r="D143" s="35">
        <v>2024</v>
      </c>
      <c r="E143" s="225" t="s">
        <v>26</v>
      </c>
      <c r="F143" s="225" t="s">
        <v>26</v>
      </c>
      <c r="G143" s="225" t="s">
        <v>5823</v>
      </c>
      <c r="H143" s="266">
        <v>0</v>
      </c>
      <c r="I143" s="266">
        <v>0</v>
      </c>
      <c r="J143" s="266">
        <v>0</v>
      </c>
      <c r="K143" s="263">
        <f t="shared" si="21"/>
        <v>0</v>
      </c>
      <c r="L143" s="262"/>
      <c r="M143" s="263">
        <v>0</v>
      </c>
      <c r="N143" s="253">
        <v>0</v>
      </c>
      <c r="O143" s="253">
        <v>0</v>
      </c>
      <c r="P143" s="253">
        <v>0</v>
      </c>
      <c r="Q143" s="253">
        <v>0</v>
      </c>
      <c r="R143" s="253">
        <v>0</v>
      </c>
      <c r="S143" s="253">
        <v>0</v>
      </c>
      <c r="T143" s="253">
        <v>0</v>
      </c>
      <c r="U143" s="253">
        <v>0</v>
      </c>
      <c r="V143" s="253">
        <v>0</v>
      </c>
      <c r="W143" s="253">
        <v>0</v>
      </c>
      <c r="X143" s="253">
        <f t="shared" si="22"/>
        <v>0</v>
      </c>
      <c r="Y143" s="253"/>
      <c r="Z143" s="257">
        <f t="shared" si="23"/>
        <v>0</v>
      </c>
      <c r="AA143" s="265">
        <f t="shared" si="25"/>
        <v>0</v>
      </c>
      <c r="AB143" s="253">
        <v>0</v>
      </c>
      <c r="AC143" s="266">
        <v>0</v>
      </c>
      <c r="AD143" s="208"/>
    </row>
    <row r="144" spans="1:30" s="155" customFormat="1">
      <c r="A144" s="255">
        <f t="shared" si="24"/>
        <v>140</v>
      </c>
      <c r="B144" s="208" t="s">
        <v>1534</v>
      </c>
      <c r="C144" s="273">
        <v>45741</v>
      </c>
      <c r="D144" s="35">
        <v>2024</v>
      </c>
      <c r="E144" s="225" t="s">
        <v>26</v>
      </c>
      <c r="F144" s="225" t="s">
        <v>26</v>
      </c>
      <c r="G144" s="225" t="s">
        <v>5824</v>
      </c>
      <c r="H144" s="266">
        <v>0</v>
      </c>
      <c r="I144" s="266">
        <v>0</v>
      </c>
      <c r="J144" s="266">
        <v>0</v>
      </c>
      <c r="K144" s="263">
        <f t="shared" si="21"/>
        <v>0</v>
      </c>
      <c r="L144" s="262"/>
      <c r="M144" s="263">
        <v>0</v>
      </c>
      <c r="N144" s="253">
        <v>0</v>
      </c>
      <c r="O144" s="253">
        <v>0</v>
      </c>
      <c r="P144" s="253">
        <v>0</v>
      </c>
      <c r="Q144" s="253">
        <v>0</v>
      </c>
      <c r="R144" s="253">
        <v>0</v>
      </c>
      <c r="S144" s="253">
        <v>0</v>
      </c>
      <c r="T144" s="253">
        <v>0</v>
      </c>
      <c r="U144" s="253">
        <v>0</v>
      </c>
      <c r="V144" s="253">
        <v>0</v>
      </c>
      <c r="W144" s="253">
        <v>0</v>
      </c>
      <c r="X144" s="253">
        <f t="shared" si="22"/>
        <v>0</v>
      </c>
      <c r="Y144" s="253"/>
      <c r="Z144" s="257">
        <f t="shared" si="23"/>
        <v>0</v>
      </c>
      <c r="AA144" s="265">
        <f t="shared" si="25"/>
        <v>0</v>
      </c>
      <c r="AB144" s="253">
        <v>0</v>
      </c>
      <c r="AC144" s="266">
        <v>0</v>
      </c>
      <c r="AD144" s="208"/>
    </row>
    <row r="145" spans="1:31" s="155" customFormat="1">
      <c r="A145" s="152">
        <f t="shared" si="24"/>
        <v>141</v>
      </c>
      <c r="B145" s="37" t="s">
        <v>1535</v>
      </c>
      <c r="C145" s="70">
        <v>45741</v>
      </c>
      <c r="D145" s="35">
        <v>2025</v>
      </c>
      <c r="E145" s="154" t="s">
        <v>1597</v>
      </c>
      <c r="F145" s="154" t="s">
        <v>1445</v>
      </c>
      <c r="G145" s="146" t="s">
        <v>1598</v>
      </c>
      <c r="H145" s="246">
        <v>45884535</v>
      </c>
      <c r="I145" s="246">
        <v>0</v>
      </c>
      <c r="J145" s="266">
        <v>5047299</v>
      </c>
      <c r="K145" s="231">
        <f t="shared" si="21"/>
        <v>50931834</v>
      </c>
      <c r="L145" s="221"/>
      <c r="M145" s="231">
        <v>0</v>
      </c>
      <c r="N145" s="230">
        <v>50014144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917690</v>
      </c>
      <c r="X145" s="230">
        <f t="shared" si="22"/>
        <v>0</v>
      </c>
      <c r="Y145" s="230"/>
      <c r="Z145" s="158">
        <f t="shared" si="23"/>
        <v>-5047299</v>
      </c>
      <c r="AA145" s="245">
        <f>-(H145+I145)*2%+0.7</f>
        <v>-917690.00000000012</v>
      </c>
      <c r="AB145" s="230">
        <v>0</v>
      </c>
      <c r="AC145" s="246">
        <f t="shared" ref="AC145:AC150" si="26">K145+AA145</f>
        <v>50014144</v>
      </c>
      <c r="AD145" s="37"/>
    </row>
    <row r="146" spans="1:31" s="155" customFormat="1">
      <c r="A146" s="152">
        <f t="shared" si="24"/>
        <v>142</v>
      </c>
      <c r="B146" s="37" t="s">
        <v>1537</v>
      </c>
      <c r="C146" s="70">
        <v>45764</v>
      </c>
      <c r="D146" s="35">
        <v>2025</v>
      </c>
      <c r="E146" s="154" t="s">
        <v>389</v>
      </c>
      <c r="F146" s="154" t="s">
        <v>1376</v>
      </c>
      <c r="G146" s="146" t="s">
        <v>1601</v>
      </c>
      <c r="H146" s="246">
        <v>347895000</v>
      </c>
      <c r="I146" s="246">
        <v>38655000</v>
      </c>
      <c r="J146" s="266">
        <v>4252050</v>
      </c>
      <c r="K146" s="231">
        <f t="shared" si="21"/>
        <v>390802050</v>
      </c>
      <c r="L146" s="221"/>
      <c r="M146" s="231">
        <v>0</v>
      </c>
      <c r="N146" s="230">
        <v>0</v>
      </c>
      <c r="O146" s="230">
        <v>390028950</v>
      </c>
      <c r="P146" s="230">
        <v>0</v>
      </c>
      <c r="Q146" s="230">
        <v>0</v>
      </c>
      <c r="R146" s="230">
        <v>0</v>
      </c>
      <c r="S146" s="230">
        <v>0</v>
      </c>
      <c r="T146" s="230">
        <v>0</v>
      </c>
      <c r="U146" s="230">
        <v>0</v>
      </c>
      <c r="V146" s="230">
        <v>0</v>
      </c>
      <c r="W146" s="230">
        <v>773100</v>
      </c>
      <c r="X146" s="230">
        <f t="shared" si="22"/>
        <v>0</v>
      </c>
      <c r="Y146" s="230"/>
      <c r="Z146" s="158">
        <f t="shared" si="23"/>
        <v>-4252050</v>
      </c>
      <c r="AA146" s="245">
        <f>-(I146)*2%</f>
        <v>-773100</v>
      </c>
      <c r="AB146" s="230">
        <v>0</v>
      </c>
      <c r="AC146" s="246">
        <f t="shared" si="26"/>
        <v>390028950</v>
      </c>
      <c r="AD146" s="146" t="s">
        <v>2206</v>
      </c>
    </row>
    <row r="147" spans="1:31" s="155" customFormat="1">
      <c r="A147" s="152">
        <f t="shared" si="24"/>
        <v>143</v>
      </c>
      <c r="B147" s="37" t="s">
        <v>1538</v>
      </c>
      <c r="C147" s="70">
        <v>45764</v>
      </c>
      <c r="D147" s="35">
        <v>2025</v>
      </c>
      <c r="E147" s="154" t="s">
        <v>389</v>
      </c>
      <c r="F147" s="154" t="s">
        <v>1376</v>
      </c>
      <c r="G147" s="146" t="s">
        <v>1602</v>
      </c>
      <c r="H147" s="246">
        <v>15377544</v>
      </c>
      <c r="I147" s="246">
        <v>1708616</v>
      </c>
      <c r="J147" s="266">
        <v>187948</v>
      </c>
      <c r="K147" s="231">
        <f t="shared" si="21"/>
        <v>17274108</v>
      </c>
      <c r="L147" s="221"/>
      <c r="M147" s="231">
        <v>0</v>
      </c>
      <c r="N147" s="230">
        <v>0</v>
      </c>
      <c r="O147" s="230">
        <v>17239936</v>
      </c>
      <c r="P147" s="230">
        <v>0</v>
      </c>
      <c r="Q147" s="230">
        <v>0</v>
      </c>
      <c r="R147" s="230">
        <v>0</v>
      </c>
      <c r="S147" s="230">
        <v>0</v>
      </c>
      <c r="T147" s="230">
        <v>0</v>
      </c>
      <c r="U147" s="230">
        <v>0</v>
      </c>
      <c r="V147" s="230">
        <v>0</v>
      </c>
      <c r="W147" s="230">
        <v>34172</v>
      </c>
      <c r="X147" s="230">
        <f t="shared" si="22"/>
        <v>0</v>
      </c>
      <c r="Y147" s="230"/>
      <c r="Z147" s="158">
        <f t="shared" si="23"/>
        <v>-187948</v>
      </c>
      <c r="AA147" s="245">
        <f>-(I147)*2%+0.32</f>
        <v>-34172</v>
      </c>
      <c r="AB147" s="230">
        <v>0</v>
      </c>
      <c r="AC147" s="246">
        <f t="shared" si="26"/>
        <v>17239936</v>
      </c>
      <c r="AD147" s="146" t="s">
        <v>2206</v>
      </c>
    </row>
    <row r="148" spans="1:31" s="155" customFormat="1">
      <c r="A148" s="152">
        <f t="shared" si="24"/>
        <v>144</v>
      </c>
      <c r="B148" s="37" t="s">
        <v>1539</v>
      </c>
      <c r="C148" s="70">
        <v>45768</v>
      </c>
      <c r="D148" s="35">
        <v>2025</v>
      </c>
      <c r="E148" s="154" t="s">
        <v>412</v>
      </c>
      <c r="F148" s="154" t="s">
        <v>1445</v>
      </c>
      <c r="G148" s="146" t="s">
        <v>1603</v>
      </c>
      <c r="H148" s="246">
        <v>13784592</v>
      </c>
      <c r="I148" s="246">
        <v>0</v>
      </c>
      <c r="J148" s="266">
        <v>1516305</v>
      </c>
      <c r="K148" s="231">
        <f t="shared" si="21"/>
        <v>15300897</v>
      </c>
      <c r="L148" s="221"/>
      <c r="M148" s="231">
        <v>0</v>
      </c>
      <c r="N148" s="230">
        <v>0</v>
      </c>
      <c r="O148" s="230">
        <v>0</v>
      </c>
      <c r="P148" s="230">
        <v>0</v>
      </c>
      <c r="Q148" s="230">
        <v>0</v>
      </c>
      <c r="R148" s="230">
        <v>0</v>
      </c>
      <c r="S148" s="230">
        <v>0</v>
      </c>
      <c r="T148" s="230">
        <v>0</v>
      </c>
      <c r="U148" s="230">
        <v>0</v>
      </c>
      <c r="V148" s="230">
        <v>0</v>
      </c>
      <c r="W148" s="230">
        <v>0</v>
      </c>
      <c r="X148" s="230">
        <f t="shared" si="22"/>
        <v>15300897</v>
      </c>
      <c r="Y148" s="230"/>
      <c r="Z148" s="158">
        <f t="shared" si="23"/>
        <v>-1516305</v>
      </c>
      <c r="AA148" s="245">
        <f>-(H148+I148)*2%-0.16</f>
        <v>-275692</v>
      </c>
      <c r="AB148" s="230">
        <v>0</v>
      </c>
      <c r="AC148" s="246">
        <f t="shared" si="26"/>
        <v>15025205</v>
      </c>
      <c r="AD148" s="37"/>
    </row>
    <row r="149" spans="1:31" s="155" customFormat="1">
      <c r="A149" s="152">
        <f t="shared" si="24"/>
        <v>145</v>
      </c>
      <c r="B149" s="37" t="s">
        <v>1540</v>
      </c>
      <c r="C149" s="70">
        <v>45768</v>
      </c>
      <c r="D149" s="35">
        <v>2025</v>
      </c>
      <c r="E149" s="154" t="s">
        <v>412</v>
      </c>
      <c r="F149" s="154" t="s">
        <v>1445</v>
      </c>
      <c r="G149" s="146" t="s">
        <v>1604</v>
      </c>
      <c r="H149" s="246">
        <v>13784592</v>
      </c>
      <c r="I149" s="246">
        <v>0</v>
      </c>
      <c r="J149" s="266">
        <v>1516305</v>
      </c>
      <c r="K149" s="231">
        <f t="shared" si="21"/>
        <v>15300897</v>
      </c>
      <c r="L149" s="221"/>
      <c r="M149" s="231">
        <v>0</v>
      </c>
      <c r="N149" s="230">
        <v>15025205</v>
      </c>
      <c r="O149" s="230">
        <v>0</v>
      </c>
      <c r="P149" s="230">
        <v>0</v>
      </c>
      <c r="Q149" s="230">
        <v>0</v>
      </c>
      <c r="R149" s="230">
        <v>0</v>
      </c>
      <c r="S149" s="230">
        <v>0</v>
      </c>
      <c r="T149" s="230">
        <v>0</v>
      </c>
      <c r="U149" s="230">
        <v>0</v>
      </c>
      <c r="V149" s="230">
        <v>0</v>
      </c>
      <c r="W149" s="230">
        <v>275692</v>
      </c>
      <c r="X149" s="230">
        <f t="shared" si="22"/>
        <v>0</v>
      </c>
      <c r="Y149" s="230"/>
      <c r="Z149" s="158">
        <f t="shared" si="23"/>
        <v>-1516305</v>
      </c>
      <c r="AA149" s="245">
        <f>-(H149+I149)*2%-0.16</f>
        <v>-275692</v>
      </c>
      <c r="AB149" s="230">
        <v>0</v>
      </c>
      <c r="AC149" s="246">
        <f t="shared" si="26"/>
        <v>15025205</v>
      </c>
      <c r="AD149" s="37"/>
    </row>
    <row r="150" spans="1:31" s="155" customFormat="1">
      <c r="A150" s="152">
        <f t="shared" si="24"/>
        <v>146</v>
      </c>
      <c r="B150" s="37" t="s">
        <v>1541</v>
      </c>
      <c r="C150" s="70">
        <v>45768</v>
      </c>
      <c r="D150" s="35">
        <v>2025</v>
      </c>
      <c r="E150" s="154" t="s">
        <v>412</v>
      </c>
      <c r="F150" s="154" t="s">
        <v>1445</v>
      </c>
      <c r="G150" s="146" t="s">
        <v>1605</v>
      </c>
      <c r="H150" s="246">
        <v>6892296</v>
      </c>
      <c r="I150" s="246">
        <v>0</v>
      </c>
      <c r="J150" s="266">
        <v>758153</v>
      </c>
      <c r="K150" s="231">
        <f t="shared" si="21"/>
        <v>7650449</v>
      </c>
      <c r="L150" s="221"/>
      <c r="M150" s="231">
        <v>0</v>
      </c>
      <c r="N150" s="230">
        <v>0</v>
      </c>
      <c r="O150" s="230">
        <v>0</v>
      </c>
      <c r="P150" s="230">
        <v>0</v>
      </c>
      <c r="Q150" s="230">
        <v>0</v>
      </c>
      <c r="R150" s="230">
        <v>0</v>
      </c>
      <c r="S150" s="230">
        <v>0</v>
      </c>
      <c r="T150" s="230">
        <v>0</v>
      </c>
      <c r="U150" s="230">
        <v>0</v>
      </c>
      <c r="V150" s="230">
        <v>0</v>
      </c>
      <c r="W150" s="230">
        <v>0</v>
      </c>
      <c r="X150" s="230">
        <f t="shared" si="22"/>
        <v>7650449</v>
      </c>
      <c r="Y150" s="230"/>
      <c r="Z150" s="158">
        <f t="shared" si="23"/>
        <v>-758153</v>
      </c>
      <c r="AA150" s="245">
        <f>-(H150+I150)*2%-0.08</f>
        <v>-137846</v>
      </c>
      <c r="AB150" s="230">
        <v>0</v>
      </c>
      <c r="AC150" s="246">
        <f t="shared" si="26"/>
        <v>7512603</v>
      </c>
      <c r="AD150" s="37"/>
    </row>
    <row r="151" spans="1:31" s="155" customFormat="1">
      <c r="A151" s="255">
        <f t="shared" si="24"/>
        <v>147</v>
      </c>
      <c r="B151" s="208" t="s">
        <v>4037</v>
      </c>
      <c r="C151" s="273">
        <v>45940</v>
      </c>
      <c r="D151" s="35">
        <v>2024</v>
      </c>
      <c r="E151" s="225" t="s">
        <v>26</v>
      </c>
      <c r="F151" s="225" t="s">
        <v>26</v>
      </c>
      <c r="G151" s="225" t="s">
        <v>5825</v>
      </c>
      <c r="H151" s="266">
        <v>0</v>
      </c>
      <c r="I151" s="266">
        <v>0</v>
      </c>
      <c r="J151" s="266">
        <v>0</v>
      </c>
      <c r="K151" s="263">
        <f t="shared" si="21"/>
        <v>0</v>
      </c>
      <c r="L151" s="262"/>
      <c r="M151" s="263">
        <v>0</v>
      </c>
      <c r="N151" s="253">
        <v>0</v>
      </c>
      <c r="O151" s="253">
        <v>0</v>
      </c>
      <c r="P151" s="253">
        <v>0</v>
      </c>
      <c r="Q151" s="253">
        <v>0</v>
      </c>
      <c r="R151" s="253">
        <v>0</v>
      </c>
      <c r="S151" s="253">
        <v>0</v>
      </c>
      <c r="T151" s="253">
        <v>0</v>
      </c>
      <c r="U151" s="253">
        <v>0</v>
      </c>
      <c r="V151" s="253">
        <v>0</v>
      </c>
      <c r="W151" s="253">
        <v>0</v>
      </c>
      <c r="X151" s="253">
        <f t="shared" si="22"/>
        <v>0</v>
      </c>
      <c r="Y151" s="253"/>
      <c r="Z151" s="257">
        <f t="shared" si="23"/>
        <v>0</v>
      </c>
      <c r="AA151" s="265">
        <f>-(H151+I151)*2%</f>
        <v>0</v>
      </c>
      <c r="AB151" s="253">
        <f>K151+Z151+AA151</f>
        <v>0</v>
      </c>
      <c r="AC151" s="266">
        <v>0</v>
      </c>
      <c r="AD151" s="208"/>
    </row>
    <row r="152" spans="1:31" s="155" customFormat="1">
      <c r="A152" s="152">
        <f t="shared" si="24"/>
        <v>148</v>
      </c>
      <c r="B152" s="37" t="s">
        <v>1542</v>
      </c>
      <c r="C152" s="70">
        <v>45768</v>
      </c>
      <c r="D152" s="35">
        <v>2025</v>
      </c>
      <c r="E152" s="154" t="s">
        <v>389</v>
      </c>
      <c r="F152" s="154" t="s">
        <v>1376</v>
      </c>
      <c r="G152" s="146" t="s">
        <v>1606</v>
      </c>
      <c r="H152" s="246">
        <v>429035608</v>
      </c>
      <c r="I152" s="246">
        <v>47670623</v>
      </c>
      <c r="J152" s="266">
        <v>5243769</v>
      </c>
      <c r="K152" s="231">
        <f t="shared" si="21"/>
        <v>481950000</v>
      </c>
      <c r="L152" s="221"/>
      <c r="M152" s="231">
        <v>0</v>
      </c>
      <c r="N152" s="230">
        <v>0</v>
      </c>
      <c r="O152" s="230">
        <v>480996587</v>
      </c>
      <c r="P152" s="230">
        <v>0</v>
      </c>
      <c r="Q152" s="230">
        <v>0</v>
      </c>
      <c r="R152" s="230">
        <v>0</v>
      </c>
      <c r="S152" s="230">
        <v>0</v>
      </c>
      <c r="T152" s="230">
        <v>0</v>
      </c>
      <c r="U152" s="230">
        <v>0</v>
      </c>
      <c r="V152" s="230">
        <v>0</v>
      </c>
      <c r="W152" s="230">
        <v>953413</v>
      </c>
      <c r="X152" s="230">
        <f t="shared" si="22"/>
        <v>0</v>
      </c>
      <c r="Y152" s="230"/>
      <c r="Z152" s="158">
        <f t="shared" si="23"/>
        <v>-5243769</v>
      </c>
      <c r="AA152" s="245">
        <f>-(I152)*2%-0.54</f>
        <v>-953413</v>
      </c>
      <c r="AB152" s="230">
        <v>0</v>
      </c>
      <c r="AC152" s="246">
        <f>K152+AA152</f>
        <v>480996587</v>
      </c>
      <c r="AD152" s="146" t="s">
        <v>2206</v>
      </c>
    </row>
    <row r="153" spans="1:31" s="155" customFormat="1">
      <c r="A153" s="152">
        <f t="shared" si="24"/>
        <v>149</v>
      </c>
      <c r="B153" s="37" t="s">
        <v>4038</v>
      </c>
      <c r="C153" s="70">
        <v>45959</v>
      </c>
      <c r="D153" s="35">
        <v>2025</v>
      </c>
      <c r="E153" s="154" t="s">
        <v>1581</v>
      </c>
      <c r="F153" s="154" t="s">
        <v>1452</v>
      </c>
      <c r="G153" s="154" t="s">
        <v>4039</v>
      </c>
      <c r="H153" s="246">
        <v>62907319</v>
      </c>
      <c r="I153" s="246">
        <v>6290732</v>
      </c>
      <c r="J153" s="266">
        <v>761179</v>
      </c>
      <c r="K153" s="231">
        <f t="shared" si="21"/>
        <v>69959230</v>
      </c>
      <c r="L153" s="221"/>
      <c r="M153" s="231">
        <v>0</v>
      </c>
      <c r="N153" s="230">
        <v>0</v>
      </c>
      <c r="O153" s="230">
        <v>0</v>
      </c>
      <c r="P153" s="230">
        <v>0</v>
      </c>
      <c r="Q153" s="230">
        <v>0</v>
      </c>
      <c r="R153" s="230">
        <v>0</v>
      </c>
      <c r="S153" s="230">
        <v>0</v>
      </c>
      <c r="T153" s="230">
        <v>0</v>
      </c>
      <c r="U153" s="230">
        <v>0</v>
      </c>
      <c r="V153" s="230">
        <v>0</v>
      </c>
      <c r="W153" s="230">
        <v>0</v>
      </c>
      <c r="X153" s="230">
        <f t="shared" si="22"/>
        <v>69959230</v>
      </c>
      <c r="Y153" s="230"/>
      <c r="Z153" s="119">
        <f t="shared" si="23"/>
        <v>-761179</v>
      </c>
      <c r="AA153" s="245">
        <f>-(H153+I153)*2%+0.02</f>
        <v>-1383961</v>
      </c>
      <c r="AB153" s="230">
        <v>0</v>
      </c>
      <c r="AC153" s="246">
        <f>K153+AA153</f>
        <v>68575269</v>
      </c>
      <c r="AD153" s="37"/>
    </row>
    <row r="154" spans="1:31" s="155" customFormat="1">
      <c r="A154" s="255">
        <f t="shared" si="24"/>
        <v>150</v>
      </c>
      <c r="B154" s="208" t="s">
        <v>1543</v>
      </c>
      <c r="C154" s="273">
        <v>45769</v>
      </c>
      <c r="D154" s="35">
        <v>2024</v>
      </c>
      <c r="E154" s="225" t="s">
        <v>26</v>
      </c>
      <c r="F154" s="225" t="s">
        <v>26</v>
      </c>
      <c r="G154" s="225" t="s">
        <v>5826</v>
      </c>
      <c r="H154" s="266">
        <v>0</v>
      </c>
      <c r="I154" s="266">
        <v>0</v>
      </c>
      <c r="J154" s="266">
        <v>0</v>
      </c>
      <c r="K154" s="263">
        <f t="shared" si="21"/>
        <v>0</v>
      </c>
      <c r="L154" s="262"/>
      <c r="M154" s="263">
        <v>0</v>
      </c>
      <c r="N154" s="253">
        <v>0</v>
      </c>
      <c r="O154" s="253">
        <v>0</v>
      </c>
      <c r="P154" s="253">
        <v>0</v>
      </c>
      <c r="Q154" s="253">
        <v>0</v>
      </c>
      <c r="R154" s="253">
        <v>0</v>
      </c>
      <c r="S154" s="253">
        <v>0</v>
      </c>
      <c r="T154" s="253">
        <v>0</v>
      </c>
      <c r="U154" s="253">
        <v>0</v>
      </c>
      <c r="V154" s="253">
        <v>0</v>
      </c>
      <c r="W154" s="253">
        <v>0</v>
      </c>
      <c r="X154" s="253">
        <f t="shared" si="22"/>
        <v>0</v>
      </c>
      <c r="Y154" s="253"/>
      <c r="Z154" s="257">
        <f t="shared" si="23"/>
        <v>0</v>
      </c>
      <c r="AA154" s="265">
        <f>-(H154+I154)*2%</f>
        <v>0</v>
      </c>
      <c r="AB154" s="253">
        <f>K154+Z154+AA154</f>
        <v>0</v>
      </c>
      <c r="AC154" s="266">
        <v>0</v>
      </c>
      <c r="AD154" s="208"/>
    </row>
    <row r="155" spans="1:31" s="267" customFormat="1">
      <c r="A155" s="152">
        <f t="shared" si="24"/>
        <v>151</v>
      </c>
      <c r="B155" s="37" t="s">
        <v>1544</v>
      </c>
      <c r="C155" s="70">
        <v>45769</v>
      </c>
      <c r="D155" s="35">
        <v>2025</v>
      </c>
      <c r="E155" s="154" t="s">
        <v>413</v>
      </c>
      <c r="F155" s="154" t="s">
        <v>1445</v>
      </c>
      <c r="G155" s="154" t="s">
        <v>1607</v>
      </c>
      <c r="H155" s="246">
        <v>17830740</v>
      </c>
      <c r="I155" s="246">
        <v>0</v>
      </c>
      <c r="J155" s="266">
        <v>1961381</v>
      </c>
      <c r="K155" s="231">
        <f t="shared" si="21"/>
        <v>19792121</v>
      </c>
      <c r="L155" s="221"/>
      <c r="M155" s="231">
        <v>0</v>
      </c>
      <c r="N155" s="230">
        <v>19435506</v>
      </c>
      <c r="O155" s="230">
        <v>0</v>
      </c>
      <c r="P155" s="230">
        <v>0</v>
      </c>
      <c r="Q155" s="230">
        <v>0</v>
      </c>
      <c r="R155" s="230">
        <v>0</v>
      </c>
      <c r="S155" s="230">
        <v>0</v>
      </c>
      <c r="T155" s="230">
        <v>0</v>
      </c>
      <c r="U155" s="230">
        <v>0</v>
      </c>
      <c r="V155" s="230">
        <v>0</v>
      </c>
      <c r="W155" s="230">
        <v>356615</v>
      </c>
      <c r="X155" s="230">
        <f t="shared" si="22"/>
        <v>0</v>
      </c>
      <c r="Y155" s="230"/>
      <c r="Z155" s="158">
        <f t="shared" si="23"/>
        <v>-1961381</v>
      </c>
      <c r="AA155" s="245">
        <f>-(H155+I155)*2%-0.2</f>
        <v>-356615</v>
      </c>
      <c r="AB155" s="230">
        <v>0</v>
      </c>
      <c r="AC155" s="246">
        <f>K155+AA155</f>
        <v>19435506</v>
      </c>
      <c r="AD155" s="37"/>
      <c r="AE155" s="267" t="s">
        <v>26</v>
      </c>
    </row>
    <row r="156" spans="1:31" s="155" customFormat="1">
      <c r="A156" s="255">
        <f t="shared" si="24"/>
        <v>152</v>
      </c>
      <c r="B156" s="208" t="s">
        <v>1545</v>
      </c>
      <c r="C156" s="273">
        <v>45779</v>
      </c>
      <c r="D156" s="35">
        <v>2024</v>
      </c>
      <c r="E156" s="225" t="s">
        <v>26</v>
      </c>
      <c r="F156" s="225" t="s">
        <v>26</v>
      </c>
      <c r="G156" s="225" t="s">
        <v>5827</v>
      </c>
      <c r="H156" s="266">
        <v>0</v>
      </c>
      <c r="I156" s="266">
        <v>0</v>
      </c>
      <c r="J156" s="266">
        <v>0</v>
      </c>
      <c r="K156" s="263">
        <f t="shared" si="21"/>
        <v>0</v>
      </c>
      <c r="L156" s="262"/>
      <c r="M156" s="263">
        <v>0</v>
      </c>
      <c r="N156" s="253">
        <v>0</v>
      </c>
      <c r="O156" s="253">
        <v>0</v>
      </c>
      <c r="P156" s="253">
        <v>0</v>
      </c>
      <c r="Q156" s="253">
        <v>0</v>
      </c>
      <c r="R156" s="253">
        <v>0</v>
      </c>
      <c r="S156" s="253">
        <v>0</v>
      </c>
      <c r="T156" s="253">
        <v>0</v>
      </c>
      <c r="U156" s="253">
        <v>0</v>
      </c>
      <c r="V156" s="253">
        <v>0</v>
      </c>
      <c r="W156" s="253">
        <v>0</v>
      </c>
      <c r="X156" s="253">
        <f t="shared" si="22"/>
        <v>0</v>
      </c>
      <c r="Y156" s="253"/>
      <c r="Z156" s="257">
        <f t="shared" si="23"/>
        <v>0</v>
      </c>
      <c r="AA156" s="265">
        <f>-(H156+I156)*2%</f>
        <v>0</v>
      </c>
      <c r="AB156" s="253">
        <f>K156+Z156+AA156</f>
        <v>0</v>
      </c>
      <c r="AC156" s="266">
        <v>0</v>
      </c>
      <c r="AD156" s="208"/>
    </row>
    <row r="157" spans="1:31" s="155" customFormat="1">
      <c r="A157" s="152">
        <f t="shared" si="24"/>
        <v>153</v>
      </c>
      <c r="B157" s="37" t="s">
        <v>1546</v>
      </c>
      <c r="C157" s="70">
        <v>45772</v>
      </c>
      <c r="D157" s="35">
        <v>2025</v>
      </c>
      <c r="E157" s="154" t="s">
        <v>389</v>
      </c>
      <c r="F157" s="154" t="s">
        <v>1376</v>
      </c>
      <c r="G157" s="146" t="s">
        <v>1608</v>
      </c>
      <c r="H157" s="246">
        <v>46923850</v>
      </c>
      <c r="I157" s="246">
        <v>5213761</v>
      </c>
      <c r="J157" s="266">
        <v>573514</v>
      </c>
      <c r="K157" s="231">
        <f t="shared" si="21"/>
        <v>52711125</v>
      </c>
      <c r="L157" s="221"/>
      <c r="M157" s="231">
        <v>0</v>
      </c>
      <c r="N157" s="230">
        <v>0</v>
      </c>
      <c r="O157" s="230">
        <v>52606850</v>
      </c>
      <c r="P157" s="230">
        <v>0</v>
      </c>
      <c r="Q157" s="230">
        <v>0</v>
      </c>
      <c r="R157" s="230">
        <v>0</v>
      </c>
      <c r="S157" s="230">
        <v>0</v>
      </c>
      <c r="T157" s="230">
        <v>0</v>
      </c>
      <c r="U157" s="230">
        <v>0</v>
      </c>
      <c r="V157" s="230">
        <v>0</v>
      </c>
      <c r="W157" s="230">
        <v>104275</v>
      </c>
      <c r="X157" s="230">
        <f t="shared" si="22"/>
        <v>0</v>
      </c>
      <c r="Y157" s="230"/>
      <c r="Z157" s="158">
        <f t="shared" si="23"/>
        <v>-573514</v>
      </c>
      <c r="AA157" s="245">
        <f>-(I157)*2%+0.22</f>
        <v>-104275</v>
      </c>
      <c r="AB157" s="230">
        <v>0</v>
      </c>
      <c r="AC157" s="246">
        <f>K157+AA157</f>
        <v>52606850</v>
      </c>
      <c r="AD157" s="146" t="s">
        <v>2207</v>
      </c>
    </row>
    <row r="158" spans="1:31" s="155" customFormat="1">
      <c r="A158" s="152">
        <f t="shared" si="24"/>
        <v>154</v>
      </c>
      <c r="B158" s="37" t="s">
        <v>1549</v>
      </c>
      <c r="C158" s="70">
        <v>45783</v>
      </c>
      <c r="D158" s="35">
        <v>2025</v>
      </c>
      <c r="E158" s="154" t="s">
        <v>389</v>
      </c>
      <c r="F158" s="154" t="s">
        <v>1376</v>
      </c>
      <c r="G158" s="146" t="s">
        <v>1612</v>
      </c>
      <c r="H158" s="246">
        <v>183872404</v>
      </c>
      <c r="I158" s="246">
        <v>20430267</v>
      </c>
      <c r="J158" s="266">
        <v>2247329</v>
      </c>
      <c r="K158" s="231">
        <f t="shared" si="21"/>
        <v>206550000</v>
      </c>
      <c r="L158" s="221"/>
      <c r="M158" s="231">
        <v>0</v>
      </c>
      <c r="N158" s="230">
        <v>0</v>
      </c>
      <c r="O158" s="230">
        <v>206141395</v>
      </c>
      <c r="P158" s="230">
        <v>0</v>
      </c>
      <c r="Q158" s="230">
        <v>0</v>
      </c>
      <c r="R158" s="230">
        <v>0</v>
      </c>
      <c r="S158" s="230">
        <v>0</v>
      </c>
      <c r="T158" s="230">
        <v>0</v>
      </c>
      <c r="U158" s="230">
        <v>0</v>
      </c>
      <c r="V158" s="230">
        <v>0</v>
      </c>
      <c r="W158" s="230">
        <v>408605</v>
      </c>
      <c r="X158" s="230">
        <f t="shared" si="22"/>
        <v>0</v>
      </c>
      <c r="Y158" s="230"/>
      <c r="Z158" s="158">
        <f t="shared" si="23"/>
        <v>-2247329</v>
      </c>
      <c r="AA158" s="245">
        <f>-(I158)*2%+0.34</f>
        <v>-408605</v>
      </c>
      <c r="AB158" s="230">
        <v>0</v>
      </c>
      <c r="AC158" s="246">
        <f>K158+AA158</f>
        <v>206141395</v>
      </c>
      <c r="AD158" s="146" t="s">
        <v>2207</v>
      </c>
    </row>
    <row r="159" spans="1:31" s="155" customFormat="1">
      <c r="A159" s="255">
        <f t="shared" si="24"/>
        <v>155</v>
      </c>
      <c r="B159" s="208" t="s">
        <v>1550</v>
      </c>
      <c r="C159" s="273">
        <v>45783</v>
      </c>
      <c r="D159" s="35">
        <v>2024</v>
      </c>
      <c r="E159" s="225" t="s">
        <v>26</v>
      </c>
      <c r="F159" s="225" t="s">
        <v>26</v>
      </c>
      <c r="G159" s="225" t="s">
        <v>5828</v>
      </c>
      <c r="H159" s="266">
        <v>0</v>
      </c>
      <c r="I159" s="266">
        <v>0</v>
      </c>
      <c r="J159" s="266">
        <v>0</v>
      </c>
      <c r="K159" s="263">
        <f t="shared" si="21"/>
        <v>0</v>
      </c>
      <c r="L159" s="262"/>
      <c r="M159" s="263">
        <v>0</v>
      </c>
      <c r="N159" s="253">
        <v>0</v>
      </c>
      <c r="O159" s="253">
        <v>0</v>
      </c>
      <c r="P159" s="253">
        <v>0</v>
      </c>
      <c r="Q159" s="253">
        <v>0</v>
      </c>
      <c r="R159" s="253">
        <v>0</v>
      </c>
      <c r="S159" s="253">
        <v>0</v>
      </c>
      <c r="T159" s="253">
        <v>0</v>
      </c>
      <c r="U159" s="253">
        <v>0</v>
      </c>
      <c r="V159" s="253">
        <v>0</v>
      </c>
      <c r="W159" s="253">
        <v>0</v>
      </c>
      <c r="X159" s="253">
        <f t="shared" si="22"/>
        <v>0</v>
      </c>
      <c r="Y159" s="253"/>
      <c r="Z159" s="257">
        <f t="shared" si="23"/>
        <v>0</v>
      </c>
      <c r="AA159" s="265">
        <f>-(H159+I159)*2%</f>
        <v>0</v>
      </c>
      <c r="AB159" s="253">
        <f>K159+Z159+AA159</f>
        <v>0</v>
      </c>
      <c r="AC159" s="266">
        <v>0</v>
      </c>
      <c r="AD159" s="208" t="s">
        <v>2208</v>
      </c>
    </row>
    <row r="160" spans="1:31" s="155" customFormat="1">
      <c r="A160" s="255">
        <f t="shared" si="24"/>
        <v>156</v>
      </c>
      <c r="B160" s="208" t="s">
        <v>1551</v>
      </c>
      <c r="C160" s="273">
        <v>45784</v>
      </c>
      <c r="D160" s="35">
        <v>2024</v>
      </c>
      <c r="E160" s="225" t="s">
        <v>26</v>
      </c>
      <c r="F160" s="225" t="s">
        <v>26</v>
      </c>
      <c r="G160" s="225" t="s">
        <v>5829</v>
      </c>
      <c r="H160" s="266">
        <v>0</v>
      </c>
      <c r="I160" s="266">
        <v>0</v>
      </c>
      <c r="J160" s="266">
        <v>0</v>
      </c>
      <c r="K160" s="263">
        <f t="shared" si="21"/>
        <v>0</v>
      </c>
      <c r="L160" s="262"/>
      <c r="M160" s="263">
        <v>0</v>
      </c>
      <c r="N160" s="253">
        <v>0</v>
      </c>
      <c r="O160" s="253">
        <v>0</v>
      </c>
      <c r="P160" s="253">
        <v>0</v>
      </c>
      <c r="Q160" s="253">
        <v>0</v>
      </c>
      <c r="R160" s="253">
        <v>0</v>
      </c>
      <c r="S160" s="253">
        <v>0</v>
      </c>
      <c r="T160" s="253">
        <v>0</v>
      </c>
      <c r="U160" s="253">
        <v>0</v>
      </c>
      <c r="V160" s="253">
        <v>0</v>
      </c>
      <c r="W160" s="253">
        <v>0</v>
      </c>
      <c r="X160" s="253">
        <f t="shared" si="22"/>
        <v>0</v>
      </c>
      <c r="Y160" s="253"/>
      <c r="Z160" s="257">
        <f t="shared" si="23"/>
        <v>0</v>
      </c>
      <c r="AA160" s="265">
        <f>-(H160+I160)*2%</f>
        <v>0</v>
      </c>
      <c r="AB160" s="253">
        <f>K160+Z160+AA160</f>
        <v>0</v>
      </c>
      <c r="AC160" s="266">
        <v>0</v>
      </c>
      <c r="AD160" s="208"/>
    </row>
    <row r="161" spans="1:31" s="155" customFormat="1">
      <c r="A161" s="152">
        <f t="shared" si="24"/>
        <v>157</v>
      </c>
      <c r="B161" s="37" t="s">
        <v>1557</v>
      </c>
      <c r="C161" s="70">
        <v>45791</v>
      </c>
      <c r="D161" s="35">
        <v>2025</v>
      </c>
      <c r="E161" s="154" t="s">
        <v>389</v>
      </c>
      <c r="F161" s="154" t="s">
        <v>1376</v>
      </c>
      <c r="G161" s="146" t="s">
        <v>1619</v>
      </c>
      <c r="H161" s="246">
        <v>72007650</v>
      </c>
      <c r="I161" s="246">
        <v>8000850</v>
      </c>
      <c r="J161" s="266">
        <v>880094</v>
      </c>
      <c r="K161" s="231">
        <f t="shared" si="21"/>
        <v>80888594</v>
      </c>
      <c r="L161" s="221"/>
      <c r="M161" s="231">
        <v>0</v>
      </c>
      <c r="N161" s="230">
        <v>0</v>
      </c>
      <c r="O161" s="230">
        <v>80728577</v>
      </c>
      <c r="P161" s="230">
        <v>0</v>
      </c>
      <c r="Q161" s="230">
        <v>0</v>
      </c>
      <c r="R161" s="230">
        <v>0</v>
      </c>
      <c r="S161" s="230">
        <v>0</v>
      </c>
      <c r="T161" s="230">
        <v>0</v>
      </c>
      <c r="U161" s="230">
        <v>0</v>
      </c>
      <c r="V161" s="230">
        <v>0</v>
      </c>
      <c r="W161" s="230">
        <v>160017</v>
      </c>
      <c r="X161" s="230">
        <f t="shared" si="22"/>
        <v>0</v>
      </c>
      <c r="Y161" s="230"/>
      <c r="Z161" s="158">
        <f t="shared" si="23"/>
        <v>-880094</v>
      </c>
      <c r="AA161" s="245">
        <f t="shared" ref="AA161:AA167" si="27">-(I161)*2%</f>
        <v>-160017</v>
      </c>
      <c r="AB161" s="230">
        <v>0</v>
      </c>
      <c r="AC161" s="246">
        <f t="shared" ref="AC161:AC168" si="28">K161+AA161</f>
        <v>80728577</v>
      </c>
      <c r="AD161" s="146" t="s">
        <v>2210</v>
      </c>
      <c r="AE161" s="215" t="s">
        <v>26</v>
      </c>
    </row>
    <row r="162" spans="1:31" s="155" customFormat="1">
      <c r="A162" s="152">
        <f t="shared" si="24"/>
        <v>158</v>
      </c>
      <c r="B162" s="37" t="s">
        <v>1558</v>
      </c>
      <c r="C162" s="70">
        <v>45791</v>
      </c>
      <c r="D162" s="35">
        <v>2025</v>
      </c>
      <c r="E162" s="154" t="s">
        <v>389</v>
      </c>
      <c r="F162" s="154" t="s">
        <v>1376</v>
      </c>
      <c r="G162" s="146" t="s">
        <v>1620</v>
      </c>
      <c r="H162" s="246">
        <v>63360000</v>
      </c>
      <c r="I162" s="246">
        <v>7040000</v>
      </c>
      <c r="J162" s="266">
        <v>774400</v>
      </c>
      <c r="K162" s="231">
        <f t="shared" si="21"/>
        <v>71174400</v>
      </c>
      <c r="L162" s="221"/>
      <c r="M162" s="231">
        <v>0</v>
      </c>
      <c r="N162" s="230">
        <v>0</v>
      </c>
      <c r="O162" s="230">
        <v>71033600</v>
      </c>
      <c r="P162" s="230">
        <v>0</v>
      </c>
      <c r="Q162" s="230">
        <v>0</v>
      </c>
      <c r="R162" s="230">
        <v>0</v>
      </c>
      <c r="S162" s="230">
        <v>0</v>
      </c>
      <c r="T162" s="230">
        <v>0</v>
      </c>
      <c r="U162" s="230">
        <v>0</v>
      </c>
      <c r="V162" s="230">
        <v>0</v>
      </c>
      <c r="W162" s="230">
        <v>140800</v>
      </c>
      <c r="X162" s="230">
        <f t="shared" si="22"/>
        <v>0</v>
      </c>
      <c r="Y162" s="230"/>
      <c r="Z162" s="158">
        <f t="shared" si="23"/>
        <v>-774400</v>
      </c>
      <c r="AA162" s="245">
        <f t="shared" si="27"/>
        <v>-140800</v>
      </c>
      <c r="AB162" s="230">
        <v>0</v>
      </c>
      <c r="AC162" s="246">
        <f t="shared" si="28"/>
        <v>71033600</v>
      </c>
      <c r="AD162" s="146" t="s">
        <v>2210</v>
      </c>
      <c r="AE162" s="215" t="s">
        <v>26</v>
      </c>
    </row>
    <row r="163" spans="1:31" s="155" customFormat="1">
      <c r="A163" s="152">
        <f t="shared" si="24"/>
        <v>159</v>
      </c>
      <c r="B163" s="37" t="s">
        <v>1559</v>
      </c>
      <c r="C163" s="70">
        <v>45791</v>
      </c>
      <c r="D163" s="35">
        <v>2025</v>
      </c>
      <c r="E163" s="154" t="s">
        <v>389</v>
      </c>
      <c r="F163" s="154" t="s">
        <v>1376</v>
      </c>
      <c r="G163" s="146" t="s">
        <v>1621</v>
      </c>
      <c r="H163" s="246">
        <v>10350000</v>
      </c>
      <c r="I163" s="246">
        <v>1150000</v>
      </c>
      <c r="J163" s="266">
        <v>126500</v>
      </c>
      <c r="K163" s="231">
        <f t="shared" si="21"/>
        <v>11626500</v>
      </c>
      <c r="L163" s="221"/>
      <c r="M163" s="231">
        <v>0</v>
      </c>
      <c r="N163" s="230">
        <v>0</v>
      </c>
      <c r="O163" s="230">
        <v>11603500</v>
      </c>
      <c r="P163" s="230">
        <v>0</v>
      </c>
      <c r="Q163" s="230">
        <v>0</v>
      </c>
      <c r="R163" s="230">
        <v>0</v>
      </c>
      <c r="S163" s="230">
        <v>0</v>
      </c>
      <c r="T163" s="230">
        <v>0</v>
      </c>
      <c r="U163" s="230">
        <v>0</v>
      </c>
      <c r="V163" s="230">
        <v>0</v>
      </c>
      <c r="W163" s="230">
        <v>23000</v>
      </c>
      <c r="X163" s="230">
        <f t="shared" si="22"/>
        <v>0</v>
      </c>
      <c r="Y163" s="230"/>
      <c r="Z163" s="158">
        <f t="shared" si="23"/>
        <v>-126500</v>
      </c>
      <c r="AA163" s="245">
        <f t="shared" si="27"/>
        <v>-23000</v>
      </c>
      <c r="AB163" s="230">
        <v>0</v>
      </c>
      <c r="AC163" s="246">
        <f t="shared" si="28"/>
        <v>11603500</v>
      </c>
      <c r="AD163" s="146" t="s">
        <v>2210</v>
      </c>
      <c r="AE163" s="215" t="s">
        <v>26</v>
      </c>
    </row>
    <row r="164" spans="1:31" s="155" customFormat="1">
      <c r="A164" s="152">
        <f t="shared" si="24"/>
        <v>160</v>
      </c>
      <c r="B164" s="37" t="s">
        <v>1560</v>
      </c>
      <c r="C164" s="70">
        <v>45792</v>
      </c>
      <c r="D164" s="35">
        <v>2025</v>
      </c>
      <c r="E164" s="154" t="s">
        <v>391</v>
      </c>
      <c r="F164" s="154" t="s">
        <v>1622</v>
      </c>
      <c r="G164" s="146" t="s">
        <v>1623</v>
      </c>
      <c r="H164" s="246">
        <v>7919991</v>
      </c>
      <c r="I164" s="246">
        <v>0</v>
      </c>
      <c r="J164" s="263">
        <v>87120</v>
      </c>
      <c r="K164" s="231">
        <f t="shared" si="21"/>
        <v>8007111</v>
      </c>
      <c r="L164" s="221"/>
      <c r="M164" s="231">
        <v>0</v>
      </c>
      <c r="N164" s="230">
        <v>0</v>
      </c>
      <c r="O164" s="230">
        <v>8007111</v>
      </c>
      <c r="P164" s="230">
        <v>0</v>
      </c>
      <c r="Q164" s="230">
        <v>0</v>
      </c>
      <c r="R164" s="230">
        <v>0</v>
      </c>
      <c r="S164" s="230">
        <v>0</v>
      </c>
      <c r="T164" s="230">
        <v>0</v>
      </c>
      <c r="U164" s="230">
        <v>0</v>
      </c>
      <c r="V164" s="230">
        <v>0</v>
      </c>
      <c r="W164" s="230">
        <v>0</v>
      </c>
      <c r="X164" s="230">
        <f t="shared" si="22"/>
        <v>0</v>
      </c>
      <c r="Y164" s="230"/>
      <c r="Z164" s="158">
        <f t="shared" si="23"/>
        <v>-87120</v>
      </c>
      <c r="AA164" s="245">
        <f t="shared" si="27"/>
        <v>0</v>
      </c>
      <c r="AB164" s="230">
        <v>0</v>
      </c>
      <c r="AC164" s="246">
        <f t="shared" si="28"/>
        <v>8007111</v>
      </c>
      <c r="AD164" s="146" t="s">
        <v>2211</v>
      </c>
      <c r="AE164" s="215" t="s">
        <v>26</v>
      </c>
    </row>
    <row r="165" spans="1:31" s="155" customFormat="1">
      <c r="A165" s="152">
        <f t="shared" si="24"/>
        <v>161</v>
      </c>
      <c r="B165" s="37" t="s">
        <v>1561</v>
      </c>
      <c r="C165" s="70">
        <v>45792</v>
      </c>
      <c r="D165" s="35">
        <v>2025</v>
      </c>
      <c r="E165" s="154" t="s">
        <v>391</v>
      </c>
      <c r="F165" s="154" t="s">
        <v>1622</v>
      </c>
      <c r="G165" s="146" t="s">
        <v>1624</v>
      </c>
      <c r="H165" s="246">
        <v>11504800</v>
      </c>
      <c r="I165" s="246">
        <v>0</v>
      </c>
      <c r="J165" s="266">
        <v>126553</v>
      </c>
      <c r="K165" s="231">
        <f t="shared" si="21"/>
        <v>11631353</v>
      </c>
      <c r="L165" s="221"/>
      <c r="M165" s="231">
        <v>0</v>
      </c>
      <c r="N165" s="230">
        <v>0</v>
      </c>
      <c r="O165" s="230">
        <v>11631353</v>
      </c>
      <c r="P165" s="230">
        <v>0</v>
      </c>
      <c r="Q165" s="230">
        <v>0</v>
      </c>
      <c r="R165" s="230">
        <v>0</v>
      </c>
      <c r="S165" s="230">
        <v>0</v>
      </c>
      <c r="T165" s="230">
        <v>0</v>
      </c>
      <c r="U165" s="230">
        <v>0</v>
      </c>
      <c r="V165" s="230">
        <v>0</v>
      </c>
      <c r="W165" s="230">
        <v>0</v>
      </c>
      <c r="X165" s="230">
        <f t="shared" si="22"/>
        <v>0</v>
      </c>
      <c r="Y165" s="230"/>
      <c r="Z165" s="158">
        <f t="shared" si="23"/>
        <v>-126553</v>
      </c>
      <c r="AA165" s="245">
        <f t="shared" si="27"/>
        <v>0</v>
      </c>
      <c r="AB165" s="230">
        <v>0</v>
      </c>
      <c r="AC165" s="246">
        <f t="shared" si="28"/>
        <v>11631353</v>
      </c>
      <c r="AD165" s="146" t="s">
        <v>2211</v>
      </c>
    </row>
    <row r="166" spans="1:31" s="155" customFormat="1">
      <c r="A166" s="152">
        <f t="shared" si="24"/>
        <v>162</v>
      </c>
      <c r="B166" s="37" t="s">
        <v>1562</v>
      </c>
      <c r="C166" s="70">
        <v>45792</v>
      </c>
      <c r="D166" s="35">
        <v>2025</v>
      </c>
      <c r="E166" s="154" t="s">
        <v>391</v>
      </c>
      <c r="F166" s="154" t="s">
        <v>1622</v>
      </c>
      <c r="G166" s="146" t="s">
        <v>1625</v>
      </c>
      <c r="H166" s="246">
        <v>15091440</v>
      </c>
      <c r="I166" s="246">
        <v>0</v>
      </c>
      <c r="J166" s="266">
        <v>166006</v>
      </c>
      <c r="K166" s="231">
        <f t="shared" si="21"/>
        <v>15257446</v>
      </c>
      <c r="L166" s="221"/>
      <c r="M166" s="231">
        <v>0</v>
      </c>
      <c r="N166" s="230">
        <v>0</v>
      </c>
      <c r="O166" s="230">
        <v>15257446</v>
      </c>
      <c r="P166" s="230">
        <v>0</v>
      </c>
      <c r="Q166" s="230">
        <v>0</v>
      </c>
      <c r="R166" s="230">
        <v>0</v>
      </c>
      <c r="S166" s="230">
        <v>0</v>
      </c>
      <c r="T166" s="230">
        <v>0</v>
      </c>
      <c r="U166" s="230">
        <v>0</v>
      </c>
      <c r="V166" s="230">
        <v>0</v>
      </c>
      <c r="W166" s="230">
        <v>0</v>
      </c>
      <c r="X166" s="230">
        <f t="shared" si="22"/>
        <v>0</v>
      </c>
      <c r="Y166" s="230"/>
      <c r="Z166" s="158">
        <f t="shared" si="23"/>
        <v>-166006</v>
      </c>
      <c r="AA166" s="245">
        <f t="shared" si="27"/>
        <v>0</v>
      </c>
      <c r="AB166" s="230">
        <v>0</v>
      </c>
      <c r="AC166" s="246">
        <f t="shared" si="28"/>
        <v>15257446</v>
      </c>
      <c r="AD166" s="146" t="s">
        <v>2211</v>
      </c>
    </row>
    <row r="167" spans="1:31" s="155" customFormat="1">
      <c r="A167" s="152">
        <f t="shared" si="24"/>
        <v>163</v>
      </c>
      <c r="B167" s="37" t="s">
        <v>1563</v>
      </c>
      <c r="C167" s="70">
        <v>45792</v>
      </c>
      <c r="D167" s="35">
        <v>2025</v>
      </c>
      <c r="E167" s="154" t="s">
        <v>391</v>
      </c>
      <c r="F167" s="154" t="s">
        <v>1622</v>
      </c>
      <c r="G167" s="146" t="s">
        <v>1626</v>
      </c>
      <c r="H167" s="246">
        <v>12061800</v>
      </c>
      <c r="I167" s="246">
        <v>0</v>
      </c>
      <c r="J167" s="266">
        <v>132680</v>
      </c>
      <c r="K167" s="231">
        <f t="shared" si="21"/>
        <v>12194480</v>
      </c>
      <c r="L167" s="221"/>
      <c r="M167" s="231">
        <v>0</v>
      </c>
      <c r="N167" s="230">
        <v>0</v>
      </c>
      <c r="O167" s="230">
        <v>12194480</v>
      </c>
      <c r="P167" s="230">
        <v>0</v>
      </c>
      <c r="Q167" s="230">
        <v>0</v>
      </c>
      <c r="R167" s="230">
        <v>0</v>
      </c>
      <c r="S167" s="230">
        <v>0</v>
      </c>
      <c r="T167" s="230">
        <v>0</v>
      </c>
      <c r="U167" s="230">
        <v>0</v>
      </c>
      <c r="V167" s="230">
        <v>0</v>
      </c>
      <c r="W167" s="230">
        <v>0</v>
      </c>
      <c r="X167" s="230">
        <f t="shared" si="22"/>
        <v>0</v>
      </c>
      <c r="Y167" s="230"/>
      <c r="Z167" s="158">
        <f t="shared" si="23"/>
        <v>-132680</v>
      </c>
      <c r="AA167" s="245">
        <f t="shared" si="27"/>
        <v>0</v>
      </c>
      <c r="AB167" s="230">
        <v>0</v>
      </c>
      <c r="AC167" s="246">
        <f t="shared" si="28"/>
        <v>12194480</v>
      </c>
      <c r="AD167" s="146" t="s">
        <v>2211</v>
      </c>
    </row>
    <row r="168" spans="1:31" s="155" customFormat="1">
      <c r="A168" s="152">
        <f t="shared" si="24"/>
        <v>164</v>
      </c>
      <c r="B168" s="37" t="s">
        <v>2212</v>
      </c>
      <c r="C168" s="70">
        <v>45793</v>
      </c>
      <c r="D168" s="35">
        <v>2025</v>
      </c>
      <c r="E168" s="154" t="s">
        <v>1581</v>
      </c>
      <c r="F168" s="154" t="s">
        <v>1452</v>
      </c>
      <c r="G168" s="146" t="s">
        <v>2213</v>
      </c>
      <c r="H168" s="246">
        <v>5753850</v>
      </c>
      <c r="I168" s="246">
        <v>575385</v>
      </c>
      <c r="J168" s="266">
        <v>69622</v>
      </c>
      <c r="K168" s="231">
        <f t="shared" si="21"/>
        <v>6398857</v>
      </c>
      <c r="L168" s="221"/>
      <c r="M168" s="231">
        <v>0</v>
      </c>
      <c r="N168" s="230">
        <v>0</v>
      </c>
      <c r="O168" s="230">
        <v>6272271</v>
      </c>
      <c r="P168" s="230">
        <v>0</v>
      </c>
      <c r="Q168" s="230">
        <v>0</v>
      </c>
      <c r="R168" s="230">
        <v>0</v>
      </c>
      <c r="S168" s="230">
        <v>0</v>
      </c>
      <c r="T168" s="230">
        <v>0</v>
      </c>
      <c r="U168" s="230">
        <v>0</v>
      </c>
      <c r="V168" s="230">
        <v>0</v>
      </c>
      <c r="W168" s="230">
        <v>126586</v>
      </c>
      <c r="X168" s="230">
        <f t="shared" si="22"/>
        <v>0</v>
      </c>
      <c r="Y168" s="230"/>
      <c r="Z168" s="158">
        <f t="shared" si="23"/>
        <v>-69622</v>
      </c>
      <c r="AA168" s="245">
        <f>-(H168+I168)*2%-1.3</f>
        <v>-126586</v>
      </c>
      <c r="AB168" s="230">
        <v>0</v>
      </c>
      <c r="AC168" s="246">
        <f t="shared" si="28"/>
        <v>6272271</v>
      </c>
      <c r="AD168" s="146"/>
    </row>
    <row r="169" spans="1:31" s="155" customFormat="1">
      <c r="A169" s="255">
        <f t="shared" si="24"/>
        <v>165</v>
      </c>
      <c r="B169" s="208" t="s">
        <v>2214</v>
      </c>
      <c r="C169" s="273">
        <v>45825</v>
      </c>
      <c r="D169" s="35">
        <v>2024</v>
      </c>
      <c r="E169" s="225" t="s">
        <v>26</v>
      </c>
      <c r="F169" s="225" t="s">
        <v>26</v>
      </c>
      <c r="G169" s="225" t="s">
        <v>5830</v>
      </c>
      <c r="H169" s="266">
        <v>0</v>
      </c>
      <c r="I169" s="266">
        <v>0</v>
      </c>
      <c r="J169" s="266">
        <v>0</v>
      </c>
      <c r="K169" s="263">
        <f t="shared" si="21"/>
        <v>0</v>
      </c>
      <c r="L169" s="262"/>
      <c r="M169" s="263">
        <v>0</v>
      </c>
      <c r="N169" s="253">
        <v>0</v>
      </c>
      <c r="O169" s="253">
        <v>0</v>
      </c>
      <c r="P169" s="253">
        <v>0</v>
      </c>
      <c r="Q169" s="253">
        <v>0</v>
      </c>
      <c r="R169" s="253">
        <v>0</v>
      </c>
      <c r="S169" s="253">
        <v>0</v>
      </c>
      <c r="T169" s="253">
        <v>0</v>
      </c>
      <c r="U169" s="253">
        <v>0</v>
      </c>
      <c r="V169" s="253">
        <v>0</v>
      </c>
      <c r="W169" s="253">
        <v>0</v>
      </c>
      <c r="X169" s="253">
        <f t="shared" si="22"/>
        <v>0</v>
      </c>
      <c r="Y169" s="253"/>
      <c r="Z169" s="257">
        <f t="shared" si="23"/>
        <v>0</v>
      </c>
      <c r="AA169" s="265">
        <f>-(H169+I169)*2%</f>
        <v>0</v>
      </c>
      <c r="AB169" s="253">
        <f>K169+Z169+AA169</f>
        <v>0</v>
      </c>
      <c r="AC169" s="266">
        <v>0</v>
      </c>
      <c r="AD169" s="208"/>
    </row>
    <row r="170" spans="1:31" s="155" customFormat="1">
      <c r="A170" s="255">
        <f t="shared" si="24"/>
        <v>166</v>
      </c>
      <c r="B170" s="208" t="s">
        <v>2218</v>
      </c>
      <c r="C170" s="273">
        <v>45737</v>
      </c>
      <c r="D170" s="35">
        <v>2024</v>
      </c>
      <c r="E170" s="225" t="s">
        <v>26</v>
      </c>
      <c r="F170" s="225" t="s">
        <v>26</v>
      </c>
      <c r="G170" s="225" t="s">
        <v>5831</v>
      </c>
      <c r="H170" s="266">
        <v>0</v>
      </c>
      <c r="I170" s="266">
        <v>0</v>
      </c>
      <c r="J170" s="266">
        <v>0</v>
      </c>
      <c r="K170" s="263">
        <f t="shared" si="21"/>
        <v>0</v>
      </c>
      <c r="L170" s="262"/>
      <c r="M170" s="263">
        <v>0</v>
      </c>
      <c r="N170" s="253">
        <v>0</v>
      </c>
      <c r="O170" s="253">
        <v>0</v>
      </c>
      <c r="P170" s="253">
        <v>0</v>
      </c>
      <c r="Q170" s="253">
        <v>0</v>
      </c>
      <c r="R170" s="253">
        <v>0</v>
      </c>
      <c r="S170" s="253">
        <v>0</v>
      </c>
      <c r="T170" s="253">
        <v>0</v>
      </c>
      <c r="U170" s="253">
        <v>0</v>
      </c>
      <c r="V170" s="253">
        <v>0</v>
      </c>
      <c r="W170" s="253">
        <v>0</v>
      </c>
      <c r="X170" s="253">
        <f t="shared" si="22"/>
        <v>0</v>
      </c>
      <c r="Y170" s="253"/>
      <c r="Z170" s="257">
        <f t="shared" si="23"/>
        <v>0</v>
      </c>
      <c r="AA170" s="265">
        <f>-(H170+I170)*2%</f>
        <v>0</v>
      </c>
      <c r="AB170" s="253">
        <f>K170+Z170+AA170</f>
        <v>0</v>
      </c>
      <c r="AC170" s="266">
        <v>0</v>
      </c>
      <c r="AD170" s="208"/>
    </row>
    <row r="171" spans="1:31" s="155" customFormat="1">
      <c r="A171" s="255">
        <f t="shared" si="24"/>
        <v>167</v>
      </c>
      <c r="B171" s="208" t="s">
        <v>2219</v>
      </c>
      <c r="C171" s="273">
        <v>45740</v>
      </c>
      <c r="D171" s="35">
        <v>2024</v>
      </c>
      <c r="E171" s="225" t="s">
        <v>26</v>
      </c>
      <c r="F171" s="225" t="s">
        <v>26</v>
      </c>
      <c r="G171" s="225" t="s">
        <v>5832</v>
      </c>
      <c r="H171" s="266">
        <v>0</v>
      </c>
      <c r="I171" s="266">
        <v>0</v>
      </c>
      <c r="J171" s="266">
        <v>0</v>
      </c>
      <c r="K171" s="263">
        <f t="shared" si="21"/>
        <v>0</v>
      </c>
      <c r="L171" s="262"/>
      <c r="M171" s="263">
        <v>0</v>
      </c>
      <c r="N171" s="253">
        <v>0</v>
      </c>
      <c r="O171" s="253">
        <v>0</v>
      </c>
      <c r="P171" s="253">
        <v>0</v>
      </c>
      <c r="Q171" s="253">
        <v>0</v>
      </c>
      <c r="R171" s="253">
        <v>0</v>
      </c>
      <c r="S171" s="253">
        <v>0</v>
      </c>
      <c r="T171" s="253">
        <v>0</v>
      </c>
      <c r="U171" s="253">
        <v>0</v>
      </c>
      <c r="V171" s="253">
        <v>0</v>
      </c>
      <c r="W171" s="253">
        <v>0</v>
      </c>
      <c r="X171" s="253">
        <f t="shared" si="22"/>
        <v>0</v>
      </c>
      <c r="Y171" s="253"/>
      <c r="Z171" s="257">
        <f t="shared" si="23"/>
        <v>0</v>
      </c>
      <c r="AA171" s="265">
        <f>-(H171+I171)*2%</f>
        <v>0</v>
      </c>
      <c r="AB171" s="253">
        <f>K171+Z171+AA171</f>
        <v>0</v>
      </c>
      <c r="AC171" s="266">
        <v>0</v>
      </c>
      <c r="AD171" s="208"/>
    </row>
    <row r="172" spans="1:31" s="155" customFormat="1">
      <c r="A172" s="152">
        <f t="shared" si="24"/>
        <v>168</v>
      </c>
      <c r="B172" s="37" t="s">
        <v>2223</v>
      </c>
      <c r="C172" s="70">
        <v>45810</v>
      </c>
      <c r="D172" s="35">
        <v>2025</v>
      </c>
      <c r="E172" s="154" t="s">
        <v>391</v>
      </c>
      <c r="F172" s="154" t="s">
        <v>1622</v>
      </c>
      <c r="G172" s="146" t="s">
        <v>2224</v>
      </c>
      <c r="H172" s="246">
        <v>648783383</v>
      </c>
      <c r="I172" s="246">
        <v>0</v>
      </c>
      <c r="J172" s="266">
        <v>7136617</v>
      </c>
      <c r="K172" s="231">
        <f t="shared" si="21"/>
        <v>655920000</v>
      </c>
      <c r="L172" s="221"/>
      <c r="M172" s="231">
        <v>0</v>
      </c>
      <c r="N172" s="230">
        <v>0</v>
      </c>
      <c r="O172" s="230">
        <v>642944332</v>
      </c>
      <c r="P172" s="230">
        <v>0</v>
      </c>
      <c r="Q172" s="230">
        <v>0</v>
      </c>
      <c r="R172" s="230">
        <v>0</v>
      </c>
      <c r="S172" s="230">
        <v>0</v>
      </c>
      <c r="T172" s="230">
        <v>0</v>
      </c>
      <c r="U172" s="230">
        <v>0</v>
      </c>
      <c r="V172" s="230">
        <v>0</v>
      </c>
      <c r="W172" s="230">
        <v>12975668</v>
      </c>
      <c r="X172" s="230">
        <f t="shared" si="22"/>
        <v>0</v>
      </c>
      <c r="Y172" s="230"/>
      <c r="Z172" s="158">
        <f t="shared" si="23"/>
        <v>-7136617</v>
      </c>
      <c r="AA172" s="245">
        <f>-(H172+I172)*2%-0.34</f>
        <v>-12975668</v>
      </c>
      <c r="AB172" s="230">
        <v>0</v>
      </c>
      <c r="AC172" s="246">
        <f t="shared" ref="AC172:AC178" si="29">K172+AA172</f>
        <v>642944332</v>
      </c>
      <c r="AD172" s="146"/>
    </row>
    <row r="173" spans="1:31" s="155" customFormat="1">
      <c r="A173" s="152">
        <f t="shared" si="24"/>
        <v>169</v>
      </c>
      <c r="B173" s="37" t="s">
        <v>2225</v>
      </c>
      <c r="C173" s="70">
        <v>45811</v>
      </c>
      <c r="D173" s="35">
        <v>2025</v>
      </c>
      <c r="E173" s="154" t="s">
        <v>2226</v>
      </c>
      <c r="F173" s="154" t="s">
        <v>1376</v>
      </c>
      <c r="G173" s="146" t="s">
        <v>2227</v>
      </c>
      <c r="H173" s="246">
        <v>1900000</v>
      </c>
      <c r="I173" s="246">
        <v>0</v>
      </c>
      <c r="J173" s="266">
        <v>20900</v>
      </c>
      <c r="K173" s="231">
        <f t="shared" si="21"/>
        <v>1920900</v>
      </c>
      <c r="L173" s="221"/>
      <c r="M173" s="231">
        <v>0</v>
      </c>
      <c r="N173" s="230">
        <v>0</v>
      </c>
      <c r="O173" s="230">
        <v>1920900</v>
      </c>
      <c r="P173" s="230">
        <v>0</v>
      </c>
      <c r="Q173" s="230">
        <v>0</v>
      </c>
      <c r="R173" s="230">
        <v>0</v>
      </c>
      <c r="S173" s="230">
        <v>0</v>
      </c>
      <c r="T173" s="230">
        <v>0</v>
      </c>
      <c r="U173" s="230">
        <v>0</v>
      </c>
      <c r="V173" s="230">
        <v>0</v>
      </c>
      <c r="W173" s="230">
        <v>0</v>
      </c>
      <c r="X173" s="230">
        <f t="shared" si="22"/>
        <v>0</v>
      </c>
      <c r="Y173" s="230"/>
      <c r="Z173" s="119">
        <f t="shared" si="23"/>
        <v>-20900</v>
      </c>
      <c r="AA173" s="245">
        <v>0</v>
      </c>
      <c r="AB173" s="230">
        <v>0</v>
      </c>
      <c r="AC173" s="246">
        <f t="shared" si="29"/>
        <v>1920900</v>
      </c>
      <c r="AD173" s="146"/>
    </row>
    <row r="174" spans="1:31" s="155" customFormat="1">
      <c r="A174" s="152">
        <f t="shared" si="24"/>
        <v>170</v>
      </c>
      <c r="B174" s="37" t="s">
        <v>2228</v>
      </c>
      <c r="C174" s="70">
        <v>45811</v>
      </c>
      <c r="D174" s="35">
        <v>2025</v>
      </c>
      <c r="E174" s="154" t="s">
        <v>2226</v>
      </c>
      <c r="F174" s="154" t="s">
        <v>1376</v>
      </c>
      <c r="G174" s="146" t="s">
        <v>2229</v>
      </c>
      <c r="H174" s="246">
        <v>12800000</v>
      </c>
      <c r="I174" s="246">
        <v>0</v>
      </c>
      <c r="J174" s="266">
        <v>140800</v>
      </c>
      <c r="K174" s="231">
        <f t="shared" si="21"/>
        <v>12940800</v>
      </c>
      <c r="L174" s="221"/>
      <c r="M174" s="231">
        <v>0</v>
      </c>
      <c r="N174" s="230">
        <v>0</v>
      </c>
      <c r="O174" s="231">
        <v>12940800</v>
      </c>
      <c r="P174" s="230">
        <v>0</v>
      </c>
      <c r="Q174" s="230">
        <v>0</v>
      </c>
      <c r="R174" s="230">
        <v>0</v>
      </c>
      <c r="S174" s="230">
        <v>0</v>
      </c>
      <c r="T174" s="230">
        <v>0</v>
      </c>
      <c r="U174" s="230">
        <v>0</v>
      </c>
      <c r="V174" s="230">
        <v>0</v>
      </c>
      <c r="W174" s="230">
        <v>0</v>
      </c>
      <c r="X174" s="230">
        <f t="shared" si="22"/>
        <v>0</v>
      </c>
      <c r="Y174" s="230"/>
      <c r="Z174" s="158">
        <f t="shared" si="23"/>
        <v>-140800</v>
      </c>
      <c r="AA174" s="245">
        <v>0</v>
      </c>
      <c r="AB174" s="230">
        <v>0</v>
      </c>
      <c r="AC174" s="246">
        <f t="shared" si="29"/>
        <v>12940800</v>
      </c>
      <c r="AD174" s="146"/>
    </row>
    <row r="175" spans="1:31" s="155" customFormat="1">
      <c r="A175" s="152">
        <f t="shared" si="24"/>
        <v>171</v>
      </c>
      <c r="B175" s="37" t="s">
        <v>2230</v>
      </c>
      <c r="C175" s="70">
        <v>45811</v>
      </c>
      <c r="D175" s="35">
        <v>2025</v>
      </c>
      <c r="E175" s="154" t="s">
        <v>2226</v>
      </c>
      <c r="F175" s="154" t="s">
        <v>1376</v>
      </c>
      <c r="G175" s="146" t="s">
        <v>2229</v>
      </c>
      <c r="H175" s="246">
        <v>12800000</v>
      </c>
      <c r="I175" s="246">
        <v>0</v>
      </c>
      <c r="J175" s="266">
        <v>140800</v>
      </c>
      <c r="K175" s="231">
        <f t="shared" si="21"/>
        <v>12940800</v>
      </c>
      <c r="L175" s="221"/>
      <c r="M175" s="231">
        <v>0</v>
      </c>
      <c r="N175" s="230">
        <v>0</v>
      </c>
      <c r="O175" s="231">
        <v>12940800</v>
      </c>
      <c r="P175" s="230">
        <v>0</v>
      </c>
      <c r="Q175" s="230">
        <v>0</v>
      </c>
      <c r="R175" s="230">
        <v>0</v>
      </c>
      <c r="S175" s="230">
        <v>0</v>
      </c>
      <c r="T175" s="230">
        <v>0</v>
      </c>
      <c r="U175" s="230">
        <v>0</v>
      </c>
      <c r="V175" s="230">
        <v>0</v>
      </c>
      <c r="W175" s="230">
        <v>0</v>
      </c>
      <c r="X175" s="230">
        <f t="shared" si="22"/>
        <v>0</v>
      </c>
      <c r="Y175" s="230"/>
      <c r="Z175" s="158">
        <f t="shared" si="23"/>
        <v>-140800</v>
      </c>
      <c r="AA175" s="245">
        <v>0</v>
      </c>
      <c r="AB175" s="230">
        <v>0</v>
      </c>
      <c r="AC175" s="246">
        <f t="shared" si="29"/>
        <v>12940800</v>
      </c>
      <c r="AD175" s="146"/>
    </row>
    <row r="176" spans="1:31" s="155" customFormat="1">
      <c r="A176" s="152">
        <f t="shared" si="24"/>
        <v>172</v>
      </c>
      <c r="B176" s="37" t="s">
        <v>2231</v>
      </c>
      <c r="C176" s="70">
        <v>45811</v>
      </c>
      <c r="D176" s="35">
        <v>2025</v>
      </c>
      <c r="E176" s="154" t="s">
        <v>2226</v>
      </c>
      <c r="F176" s="154" t="s">
        <v>1376</v>
      </c>
      <c r="G176" s="146" t="s">
        <v>2229</v>
      </c>
      <c r="H176" s="246">
        <v>12800000</v>
      </c>
      <c r="I176" s="246">
        <v>0</v>
      </c>
      <c r="J176" s="266">
        <v>140800</v>
      </c>
      <c r="K176" s="231">
        <f t="shared" si="21"/>
        <v>12940800</v>
      </c>
      <c r="L176" s="221"/>
      <c r="M176" s="231">
        <v>0</v>
      </c>
      <c r="N176" s="230">
        <v>0</v>
      </c>
      <c r="O176" s="230">
        <v>12940800</v>
      </c>
      <c r="P176" s="230">
        <v>0</v>
      </c>
      <c r="Q176" s="230">
        <v>0</v>
      </c>
      <c r="R176" s="230">
        <v>0</v>
      </c>
      <c r="S176" s="230">
        <v>0</v>
      </c>
      <c r="T176" s="230">
        <v>0</v>
      </c>
      <c r="U176" s="230">
        <v>0</v>
      </c>
      <c r="V176" s="230">
        <v>0</v>
      </c>
      <c r="W176" s="230">
        <v>0</v>
      </c>
      <c r="X176" s="230">
        <f t="shared" si="22"/>
        <v>0</v>
      </c>
      <c r="Y176" s="230"/>
      <c r="Z176" s="158">
        <f t="shared" si="23"/>
        <v>-140800</v>
      </c>
      <c r="AA176" s="245">
        <v>0</v>
      </c>
      <c r="AB176" s="230">
        <v>0</v>
      </c>
      <c r="AC176" s="246">
        <f t="shared" si="29"/>
        <v>12940800</v>
      </c>
      <c r="AD176" s="146"/>
    </row>
    <row r="177" spans="1:31" s="155" customFormat="1">
      <c r="A177" s="152">
        <f t="shared" si="24"/>
        <v>173</v>
      </c>
      <c r="B177" s="37" t="s">
        <v>2232</v>
      </c>
      <c r="C177" s="70">
        <v>45824</v>
      </c>
      <c r="D177" s="35">
        <v>2025</v>
      </c>
      <c r="E177" s="154" t="s">
        <v>391</v>
      </c>
      <c r="F177" s="154" t="s">
        <v>1622</v>
      </c>
      <c r="G177" s="146" t="s">
        <v>2233</v>
      </c>
      <c r="H177" s="246">
        <v>324391691</v>
      </c>
      <c r="I177" s="246">
        <v>0</v>
      </c>
      <c r="J177" s="266">
        <v>3568309</v>
      </c>
      <c r="K177" s="231">
        <f t="shared" si="21"/>
        <v>327960000</v>
      </c>
      <c r="L177" s="221"/>
      <c r="M177" s="231">
        <v>0</v>
      </c>
      <c r="N177" s="230">
        <v>0</v>
      </c>
      <c r="O177" s="230">
        <v>321472166</v>
      </c>
      <c r="P177" s="230">
        <v>0</v>
      </c>
      <c r="Q177" s="230">
        <v>0</v>
      </c>
      <c r="R177" s="230">
        <v>0</v>
      </c>
      <c r="S177" s="230">
        <v>0</v>
      </c>
      <c r="T177" s="230">
        <v>0</v>
      </c>
      <c r="U177" s="230">
        <v>0</v>
      </c>
      <c r="V177" s="230">
        <v>0</v>
      </c>
      <c r="W177" s="230">
        <v>6487834</v>
      </c>
      <c r="X177" s="230">
        <f t="shared" si="22"/>
        <v>0</v>
      </c>
      <c r="Y177" s="230"/>
      <c r="Z177" s="158">
        <f t="shared" si="23"/>
        <v>-3568309</v>
      </c>
      <c r="AA177" s="245">
        <f>-(H177+I177)*2%-0.18</f>
        <v>-6487834</v>
      </c>
      <c r="AB177" s="230">
        <v>0</v>
      </c>
      <c r="AC177" s="246">
        <f t="shared" si="29"/>
        <v>321472166</v>
      </c>
      <c r="AD177" s="146"/>
    </row>
    <row r="178" spans="1:31" s="155" customFormat="1">
      <c r="A178" s="152">
        <f t="shared" si="24"/>
        <v>174</v>
      </c>
      <c r="B178" s="37" t="s">
        <v>2244</v>
      </c>
      <c r="C178" s="70">
        <v>45838</v>
      </c>
      <c r="D178" s="177">
        <v>2025</v>
      </c>
      <c r="E178" s="154" t="s">
        <v>391</v>
      </c>
      <c r="F178" s="154" t="s">
        <v>1622</v>
      </c>
      <c r="G178" s="146" t="s">
        <v>2245</v>
      </c>
      <c r="H178" s="246">
        <v>108131553</v>
      </c>
      <c r="I178" s="246">
        <v>0</v>
      </c>
      <c r="J178" s="266">
        <v>1189447</v>
      </c>
      <c r="K178" s="231">
        <f t="shared" si="21"/>
        <v>109321000</v>
      </c>
      <c r="L178" s="221"/>
      <c r="M178" s="231">
        <v>0</v>
      </c>
      <c r="N178" s="230">
        <v>0</v>
      </c>
      <c r="O178" s="230">
        <v>107158369</v>
      </c>
      <c r="P178" s="230">
        <v>0</v>
      </c>
      <c r="Q178" s="230">
        <v>0</v>
      </c>
      <c r="R178" s="230">
        <v>0</v>
      </c>
      <c r="S178" s="230">
        <v>0</v>
      </c>
      <c r="T178" s="230">
        <v>0</v>
      </c>
      <c r="U178" s="230">
        <v>0</v>
      </c>
      <c r="V178" s="230">
        <v>0</v>
      </c>
      <c r="W178" s="230">
        <v>2162631</v>
      </c>
      <c r="X178" s="230">
        <f t="shared" si="22"/>
        <v>0</v>
      </c>
      <c r="Y178" s="230"/>
      <c r="Z178" s="158">
        <f t="shared" si="23"/>
        <v>-1189447</v>
      </c>
      <c r="AA178" s="245">
        <f>-(H178+I178)*2%+0.06</f>
        <v>-2162631</v>
      </c>
      <c r="AB178" s="230">
        <v>0</v>
      </c>
      <c r="AC178" s="246">
        <f t="shared" si="29"/>
        <v>107158369</v>
      </c>
      <c r="AD178" s="37"/>
    </row>
    <row r="179" spans="1:31" s="155" customFormat="1">
      <c r="A179" s="255">
        <f t="shared" si="24"/>
        <v>175</v>
      </c>
      <c r="B179" s="208" t="s">
        <v>2246</v>
      </c>
      <c r="C179" s="273">
        <v>45842</v>
      </c>
      <c r="D179" s="35">
        <v>2024</v>
      </c>
      <c r="E179" s="225" t="s">
        <v>26</v>
      </c>
      <c r="F179" s="225" t="s">
        <v>26</v>
      </c>
      <c r="G179" s="225" t="s">
        <v>5833</v>
      </c>
      <c r="H179" s="266">
        <v>0</v>
      </c>
      <c r="I179" s="266">
        <v>0</v>
      </c>
      <c r="J179" s="266">
        <v>0</v>
      </c>
      <c r="K179" s="263">
        <f t="shared" si="21"/>
        <v>0</v>
      </c>
      <c r="L179" s="262"/>
      <c r="M179" s="263">
        <v>0</v>
      </c>
      <c r="N179" s="253">
        <v>0</v>
      </c>
      <c r="O179" s="253">
        <v>0</v>
      </c>
      <c r="P179" s="253">
        <v>0</v>
      </c>
      <c r="Q179" s="253">
        <v>0</v>
      </c>
      <c r="R179" s="253">
        <v>0</v>
      </c>
      <c r="S179" s="253">
        <v>0</v>
      </c>
      <c r="T179" s="253">
        <v>0</v>
      </c>
      <c r="U179" s="253">
        <v>0</v>
      </c>
      <c r="V179" s="253">
        <v>0</v>
      </c>
      <c r="W179" s="253">
        <v>0</v>
      </c>
      <c r="X179" s="253">
        <f t="shared" si="22"/>
        <v>0</v>
      </c>
      <c r="Y179" s="253"/>
      <c r="Z179" s="257">
        <f t="shared" si="23"/>
        <v>0</v>
      </c>
      <c r="AA179" s="265">
        <f>-(H179+I179)*2%</f>
        <v>0</v>
      </c>
      <c r="AB179" s="253">
        <f>K179+Z179+AA179</f>
        <v>0</v>
      </c>
      <c r="AC179" s="266">
        <v>0</v>
      </c>
      <c r="AD179" s="208" t="s">
        <v>26</v>
      </c>
      <c r="AE179" s="215" t="s">
        <v>26</v>
      </c>
    </row>
    <row r="180" spans="1:31" s="267" customFormat="1">
      <c r="A180" s="152">
        <f t="shared" si="24"/>
        <v>176</v>
      </c>
      <c r="B180" s="37" t="s">
        <v>2247</v>
      </c>
      <c r="C180" s="70">
        <v>45845</v>
      </c>
      <c r="D180" s="177">
        <v>2025</v>
      </c>
      <c r="E180" s="154" t="s">
        <v>391</v>
      </c>
      <c r="F180" s="146" t="s">
        <v>1622</v>
      </c>
      <c r="G180" s="154" t="s">
        <v>2248</v>
      </c>
      <c r="H180" s="246">
        <v>8234580</v>
      </c>
      <c r="I180" s="246">
        <v>0</v>
      </c>
      <c r="J180" s="266">
        <v>90580</v>
      </c>
      <c r="K180" s="231">
        <f t="shared" si="21"/>
        <v>8325160</v>
      </c>
      <c r="L180" s="221"/>
      <c r="M180" s="231">
        <v>0</v>
      </c>
      <c r="N180" s="230">
        <v>0</v>
      </c>
      <c r="O180" s="230">
        <v>8325160</v>
      </c>
      <c r="P180" s="230">
        <v>0</v>
      </c>
      <c r="Q180" s="230">
        <v>0</v>
      </c>
      <c r="R180" s="230">
        <v>0</v>
      </c>
      <c r="S180" s="230">
        <v>0</v>
      </c>
      <c r="T180" s="230">
        <v>0</v>
      </c>
      <c r="U180" s="230">
        <v>0</v>
      </c>
      <c r="V180" s="230">
        <v>0</v>
      </c>
      <c r="W180" s="230">
        <v>0</v>
      </c>
      <c r="X180" s="230">
        <f t="shared" si="22"/>
        <v>0</v>
      </c>
      <c r="Y180" s="230"/>
      <c r="Z180" s="158">
        <f t="shared" si="23"/>
        <v>-90580</v>
      </c>
      <c r="AA180" s="245">
        <v>0</v>
      </c>
      <c r="AB180" s="230">
        <v>0</v>
      </c>
      <c r="AC180" s="246">
        <f t="shared" ref="AC180:AC204" si="30">K180+AA180</f>
        <v>8325160</v>
      </c>
      <c r="AD180" s="146" t="s">
        <v>2249</v>
      </c>
    </row>
    <row r="181" spans="1:31" s="155" customFormat="1">
      <c r="A181" s="152">
        <f t="shared" si="24"/>
        <v>177</v>
      </c>
      <c r="B181" s="37" t="s">
        <v>2250</v>
      </c>
      <c r="C181" s="70">
        <v>45845</v>
      </c>
      <c r="D181" s="177">
        <v>2025</v>
      </c>
      <c r="E181" s="154" t="s">
        <v>391</v>
      </c>
      <c r="F181" s="146" t="s">
        <v>1622</v>
      </c>
      <c r="G181" s="154" t="s">
        <v>2251</v>
      </c>
      <c r="H181" s="246">
        <v>22632818</v>
      </c>
      <c r="I181" s="246">
        <v>0</v>
      </c>
      <c r="J181" s="266">
        <v>248961</v>
      </c>
      <c r="K181" s="231">
        <f t="shared" si="21"/>
        <v>22881779</v>
      </c>
      <c r="L181" s="221"/>
      <c r="M181" s="231">
        <v>0</v>
      </c>
      <c r="N181" s="230">
        <v>0</v>
      </c>
      <c r="O181" s="230">
        <v>22881779</v>
      </c>
      <c r="P181" s="230">
        <v>0</v>
      </c>
      <c r="Q181" s="230">
        <v>0</v>
      </c>
      <c r="R181" s="230">
        <v>0</v>
      </c>
      <c r="S181" s="230">
        <v>0</v>
      </c>
      <c r="T181" s="230">
        <v>0</v>
      </c>
      <c r="U181" s="230">
        <v>0</v>
      </c>
      <c r="V181" s="230">
        <v>0</v>
      </c>
      <c r="W181" s="230">
        <v>0</v>
      </c>
      <c r="X181" s="230">
        <f t="shared" si="22"/>
        <v>0</v>
      </c>
      <c r="Y181" s="230"/>
      <c r="Z181" s="158">
        <f t="shared" si="23"/>
        <v>-248961</v>
      </c>
      <c r="AA181" s="245">
        <v>0</v>
      </c>
      <c r="AB181" s="230">
        <v>0</v>
      </c>
      <c r="AC181" s="246">
        <f t="shared" si="30"/>
        <v>22881779</v>
      </c>
      <c r="AD181" s="146" t="s">
        <v>2249</v>
      </c>
    </row>
    <row r="182" spans="1:31" s="155" customFormat="1">
      <c r="A182" s="152">
        <f t="shared" si="24"/>
        <v>178</v>
      </c>
      <c r="B182" s="37" t="s">
        <v>2252</v>
      </c>
      <c r="C182" s="70">
        <v>45845</v>
      </c>
      <c r="D182" s="177">
        <v>2025</v>
      </c>
      <c r="E182" s="154" t="s">
        <v>391</v>
      </c>
      <c r="F182" s="146" t="s">
        <v>1622</v>
      </c>
      <c r="G182" s="154" t="s">
        <v>2253</v>
      </c>
      <c r="H182" s="246">
        <v>1326500</v>
      </c>
      <c r="I182" s="246">
        <v>0</v>
      </c>
      <c r="J182" s="266">
        <v>14592</v>
      </c>
      <c r="K182" s="231">
        <f t="shared" si="21"/>
        <v>1341092</v>
      </c>
      <c r="L182" s="221"/>
      <c r="M182" s="231">
        <v>0</v>
      </c>
      <c r="N182" s="230">
        <v>0</v>
      </c>
      <c r="O182" s="230">
        <v>1341092</v>
      </c>
      <c r="P182" s="230">
        <v>0</v>
      </c>
      <c r="Q182" s="230">
        <v>0</v>
      </c>
      <c r="R182" s="230">
        <v>0</v>
      </c>
      <c r="S182" s="230">
        <v>0</v>
      </c>
      <c r="T182" s="230">
        <v>0</v>
      </c>
      <c r="U182" s="230">
        <v>0</v>
      </c>
      <c r="V182" s="230">
        <v>0</v>
      </c>
      <c r="W182" s="230">
        <v>0</v>
      </c>
      <c r="X182" s="230">
        <f t="shared" si="22"/>
        <v>0</v>
      </c>
      <c r="Y182" s="230"/>
      <c r="Z182" s="158">
        <f t="shared" si="23"/>
        <v>-14592</v>
      </c>
      <c r="AA182" s="245">
        <v>0</v>
      </c>
      <c r="AB182" s="230">
        <v>0</v>
      </c>
      <c r="AC182" s="246">
        <f t="shared" si="30"/>
        <v>1341092</v>
      </c>
      <c r="AD182" s="146" t="s">
        <v>2249</v>
      </c>
    </row>
    <row r="183" spans="1:31" s="155" customFormat="1">
      <c r="A183" s="152">
        <f t="shared" si="24"/>
        <v>179</v>
      </c>
      <c r="B183" s="37" t="s">
        <v>2254</v>
      </c>
      <c r="C183" s="70">
        <v>45845</v>
      </c>
      <c r="D183" s="177">
        <v>2025</v>
      </c>
      <c r="E183" s="154" t="s">
        <v>391</v>
      </c>
      <c r="F183" s="146" t="s">
        <v>1622</v>
      </c>
      <c r="G183" s="154" t="s">
        <v>2255</v>
      </c>
      <c r="H183" s="246">
        <v>1326500</v>
      </c>
      <c r="I183" s="246">
        <v>0</v>
      </c>
      <c r="J183" s="266">
        <v>14592</v>
      </c>
      <c r="K183" s="231">
        <f t="shared" si="21"/>
        <v>1341092</v>
      </c>
      <c r="L183" s="221"/>
      <c r="M183" s="231">
        <v>0</v>
      </c>
      <c r="N183" s="230">
        <v>0</v>
      </c>
      <c r="O183" s="230">
        <v>1341092</v>
      </c>
      <c r="P183" s="230">
        <v>0</v>
      </c>
      <c r="Q183" s="230">
        <v>0</v>
      </c>
      <c r="R183" s="230">
        <v>0</v>
      </c>
      <c r="S183" s="230">
        <v>0</v>
      </c>
      <c r="T183" s="230">
        <v>0</v>
      </c>
      <c r="U183" s="230">
        <v>0</v>
      </c>
      <c r="V183" s="230">
        <v>0</v>
      </c>
      <c r="W183" s="230">
        <v>0</v>
      </c>
      <c r="X183" s="230">
        <f t="shared" si="22"/>
        <v>0</v>
      </c>
      <c r="Y183" s="230"/>
      <c r="Z183" s="158">
        <f t="shared" si="23"/>
        <v>-14592</v>
      </c>
      <c r="AA183" s="245">
        <v>0</v>
      </c>
      <c r="AB183" s="230">
        <v>0</v>
      </c>
      <c r="AC183" s="246">
        <f t="shared" si="30"/>
        <v>1341092</v>
      </c>
      <c r="AD183" s="146" t="s">
        <v>2249</v>
      </c>
    </row>
    <row r="184" spans="1:31" s="155" customFormat="1">
      <c r="A184" s="152">
        <f t="shared" si="24"/>
        <v>180</v>
      </c>
      <c r="B184" s="37" t="s">
        <v>2256</v>
      </c>
      <c r="C184" s="70">
        <v>45845</v>
      </c>
      <c r="D184" s="177">
        <v>2025</v>
      </c>
      <c r="E184" s="154" t="s">
        <v>391</v>
      </c>
      <c r="F184" s="146" t="s">
        <v>1622</v>
      </c>
      <c r="G184" s="154" t="s">
        <v>2257</v>
      </c>
      <c r="H184" s="246">
        <v>2653000</v>
      </c>
      <c r="I184" s="246">
        <v>0</v>
      </c>
      <c r="J184" s="266">
        <v>29183</v>
      </c>
      <c r="K184" s="231">
        <f t="shared" si="21"/>
        <v>2682183</v>
      </c>
      <c r="L184" s="221"/>
      <c r="M184" s="231">
        <v>0</v>
      </c>
      <c r="N184" s="230">
        <v>0</v>
      </c>
      <c r="O184" s="230">
        <v>2682183</v>
      </c>
      <c r="P184" s="230">
        <v>0</v>
      </c>
      <c r="Q184" s="230">
        <v>0</v>
      </c>
      <c r="R184" s="230">
        <v>0</v>
      </c>
      <c r="S184" s="230">
        <v>0</v>
      </c>
      <c r="T184" s="230">
        <v>0</v>
      </c>
      <c r="U184" s="230">
        <v>0</v>
      </c>
      <c r="V184" s="230">
        <v>0</v>
      </c>
      <c r="W184" s="230">
        <v>0</v>
      </c>
      <c r="X184" s="230">
        <f t="shared" si="22"/>
        <v>0</v>
      </c>
      <c r="Y184" s="230"/>
      <c r="Z184" s="158">
        <f t="shared" si="23"/>
        <v>-29183</v>
      </c>
      <c r="AA184" s="245">
        <v>0</v>
      </c>
      <c r="AB184" s="230">
        <v>0</v>
      </c>
      <c r="AC184" s="246">
        <f t="shared" si="30"/>
        <v>2682183</v>
      </c>
      <c r="AD184" s="146" t="s">
        <v>2249</v>
      </c>
    </row>
    <row r="185" spans="1:31" s="155" customFormat="1">
      <c r="A185" s="152">
        <f t="shared" si="24"/>
        <v>181</v>
      </c>
      <c r="B185" s="37" t="s">
        <v>2258</v>
      </c>
      <c r="C185" s="70">
        <v>45845</v>
      </c>
      <c r="D185" s="177">
        <v>2025</v>
      </c>
      <c r="E185" s="154" t="s">
        <v>391</v>
      </c>
      <c r="F185" s="146" t="s">
        <v>1622</v>
      </c>
      <c r="G185" s="154" t="s">
        <v>2259</v>
      </c>
      <c r="H185" s="246">
        <v>1326500</v>
      </c>
      <c r="I185" s="246">
        <v>0</v>
      </c>
      <c r="J185" s="266">
        <v>14592</v>
      </c>
      <c r="K185" s="231">
        <f t="shared" si="21"/>
        <v>1341092</v>
      </c>
      <c r="L185" s="221"/>
      <c r="M185" s="231">
        <v>0</v>
      </c>
      <c r="N185" s="230">
        <v>0</v>
      </c>
      <c r="O185" s="230">
        <v>1341092</v>
      </c>
      <c r="P185" s="230">
        <v>0</v>
      </c>
      <c r="Q185" s="230">
        <v>0</v>
      </c>
      <c r="R185" s="230">
        <v>0</v>
      </c>
      <c r="S185" s="230">
        <v>0</v>
      </c>
      <c r="T185" s="230">
        <v>0</v>
      </c>
      <c r="U185" s="230">
        <v>0</v>
      </c>
      <c r="V185" s="230">
        <v>0</v>
      </c>
      <c r="W185" s="230">
        <v>0</v>
      </c>
      <c r="X185" s="230">
        <f t="shared" si="22"/>
        <v>0</v>
      </c>
      <c r="Y185" s="230"/>
      <c r="Z185" s="158">
        <f t="shared" si="23"/>
        <v>-14592</v>
      </c>
      <c r="AA185" s="245">
        <v>0</v>
      </c>
      <c r="AB185" s="230">
        <v>0</v>
      </c>
      <c r="AC185" s="246">
        <f t="shared" si="30"/>
        <v>1341092</v>
      </c>
      <c r="AD185" s="146" t="s">
        <v>2249</v>
      </c>
    </row>
    <row r="186" spans="1:31" s="155" customFormat="1">
      <c r="A186" s="152">
        <f t="shared" si="24"/>
        <v>182</v>
      </c>
      <c r="B186" s="37" t="s">
        <v>2260</v>
      </c>
      <c r="C186" s="70">
        <v>45845</v>
      </c>
      <c r="D186" s="177">
        <v>2025</v>
      </c>
      <c r="E186" s="154" t="s">
        <v>391</v>
      </c>
      <c r="F186" s="146" t="s">
        <v>1622</v>
      </c>
      <c r="G186" s="154" t="s">
        <v>2261</v>
      </c>
      <c r="H186" s="246">
        <v>1326500</v>
      </c>
      <c r="I186" s="246">
        <v>0</v>
      </c>
      <c r="J186" s="266">
        <v>14592</v>
      </c>
      <c r="K186" s="231">
        <f t="shared" si="21"/>
        <v>1341092</v>
      </c>
      <c r="L186" s="221"/>
      <c r="M186" s="231">
        <v>0</v>
      </c>
      <c r="N186" s="230">
        <v>0</v>
      </c>
      <c r="O186" s="230">
        <v>1341092</v>
      </c>
      <c r="P186" s="230">
        <v>0</v>
      </c>
      <c r="Q186" s="230">
        <v>0</v>
      </c>
      <c r="R186" s="230">
        <v>0</v>
      </c>
      <c r="S186" s="230">
        <v>0</v>
      </c>
      <c r="T186" s="230">
        <v>0</v>
      </c>
      <c r="U186" s="230">
        <v>0</v>
      </c>
      <c r="V186" s="230">
        <v>0</v>
      </c>
      <c r="W186" s="230">
        <v>0</v>
      </c>
      <c r="X186" s="230">
        <f t="shared" si="22"/>
        <v>0</v>
      </c>
      <c r="Y186" s="230"/>
      <c r="Z186" s="158">
        <f t="shared" si="23"/>
        <v>-14592</v>
      </c>
      <c r="AA186" s="245">
        <v>0</v>
      </c>
      <c r="AB186" s="230">
        <v>0</v>
      </c>
      <c r="AC186" s="246">
        <f t="shared" si="30"/>
        <v>1341092</v>
      </c>
      <c r="AD186" s="146" t="s">
        <v>2249</v>
      </c>
    </row>
    <row r="187" spans="1:31" s="155" customFormat="1">
      <c r="A187" s="152">
        <f t="shared" si="24"/>
        <v>183</v>
      </c>
      <c r="B187" s="37" t="s">
        <v>2262</v>
      </c>
      <c r="C187" s="70">
        <v>45845</v>
      </c>
      <c r="D187" s="177">
        <v>2025</v>
      </c>
      <c r="E187" s="154" t="s">
        <v>391</v>
      </c>
      <c r="F187" s="146" t="s">
        <v>1622</v>
      </c>
      <c r="G187" s="154" t="s">
        <v>2263</v>
      </c>
      <c r="H187" s="246">
        <v>1326500</v>
      </c>
      <c r="I187" s="246">
        <v>0</v>
      </c>
      <c r="J187" s="266">
        <v>14592</v>
      </c>
      <c r="K187" s="231">
        <f t="shared" si="21"/>
        <v>1341092</v>
      </c>
      <c r="L187" s="221"/>
      <c r="M187" s="231">
        <v>0</v>
      </c>
      <c r="N187" s="230">
        <v>0</v>
      </c>
      <c r="O187" s="230">
        <v>1341092</v>
      </c>
      <c r="P187" s="230">
        <v>0</v>
      </c>
      <c r="Q187" s="230">
        <v>0</v>
      </c>
      <c r="R187" s="230">
        <v>0</v>
      </c>
      <c r="S187" s="230">
        <v>0</v>
      </c>
      <c r="T187" s="230">
        <v>0</v>
      </c>
      <c r="U187" s="230">
        <v>0</v>
      </c>
      <c r="V187" s="230">
        <v>0</v>
      </c>
      <c r="W187" s="230">
        <v>0</v>
      </c>
      <c r="X187" s="230">
        <f t="shared" si="22"/>
        <v>0</v>
      </c>
      <c r="Y187" s="230"/>
      <c r="Z187" s="158">
        <f t="shared" si="23"/>
        <v>-14592</v>
      </c>
      <c r="AA187" s="245">
        <v>0</v>
      </c>
      <c r="AB187" s="230">
        <v>0</v>
      </c>
      <c r="AC187" s="246">
        <f t="shared" si="30"/>
        <v>1341092</v>
      </c>
      <c r="AD187" s="146" t="s">
        <v>2249</v>
      </c>
    </row>
    <row r="188" spans="1:31" s="155" customFormat="1">
      <c r="A188" s="152">
        <f t="shared" si="24"/>
        <v>184</v>
      </c>
      <c r="B188" s="37" t="s">
        <v>2264</v>
      </c>
      <c r="C188" s="70">
        <v>45845</v>
      </c>
      <c r="D188" s="177">
        <v>2025</v>
      </c>
      <c r="E188" s="154" t="s">
        <v>391</v>
      </c>
      <c r="F188" s="146" t="s">
        <v>1622</v>
      </c>
      <c r="G188" s="154" t="s">
        <v>2265</v>
      </c>
      <c r="H188" s="246">
        <v>1326500</v>
      </c>
      <c r="I188" s="246">
        <v>0</v>
      </c>
      <c r="J188" s="266">
        <v>14592</v>
      </c>
      <c r="K188" s="231">
        <f t="shared" si="21"/>
        <v>1341092</v>
      </c>
      <c r="L188" s="221"/>
      <c r="M188" s="231">
        <v>0</v>
      </c>
      <c r="N188" s="230">
        <v>0</v>
      </c>
      <c r="O188" s="230">
        <v>1341092</v>
      </c>
      <c r="P188" s="230">
        <v>0</v>
      </c>
      <c r="Q188" s="230">
        <v>0</v>
      </c>
      <c r="R188" s="230">
        <v>0</v>
      </c>
      <c r="S188" s="230">
        <v>0</v>
      </c>
      <c r="T188" s="230">
        <v>0</v>
      </c>
      <c r="U188" s="230">
        <v>0</v>
      </c>
      <c r="V188" s="230">
        <v>0</v>
      </c>
      <c r="W188" s="230">
        <v>0</v>
      </c>
      <c r="X188" s="230">
        <f t="shared" si="22"/>
        <v>0</v>
      </c>
      <c r="Y188" s="230"/>
      <c r="Z188" s="158">
        <f t="shared" si="23"/>
        <v>-14592</v>
      </c>
      <c r="AA188" s="245">
        <v>0</v>
      </c>
      <c r="AB188" s="230">
        <v>0</v>
      </c>
      <c r="AC188" s="246">
        <f t="shared" si="30"/>
        <v>1341092</v>
      </c>
      <c r="AD188" s="146" t="s">
        <v>2249</v>
      </c>
    </row>
    <row r="189" spans="1:31" s="155" customFormat="1">
      <c r="A189" s="152">
        <f t="shared" si="24"/>
        <v>185</v>
      </c>
      <c r="B189" s="37" t="s">
        <v>2266</v>
      </c>
      <c r="C189" s="70">
        <v>45845</v>
      </c>
      <c r="D189" s="177">
        <v>2025</v>
      </c>
      <c r="E189" s="154" t="s">
        <v>391</v>
      </c>
      <c r="F189" s="146" t="s">
        <v>1622</v>
      </c>
      <c r="G189" s="154" t="s">
        <v>2267</v>
      </c>
      <c r="H189" s="246">
        <v>1326500</v>
      </c>
      <c r="I189" s="246">
        <v>0</v>
      </c>
      <c r="J189" s="266">
        <v>14592</v>
      </c>
      <c r="K189" s="231">
        <f t="shared" si="21"/>
        <v>1341092</v>
      </c>
      <c r="L189" s="221"/>
      <c r="M189" s="231">
        <v>0</v>
      </c>
      <c r="N189" s="230">
        <v>0</v>
      </c>
      <c r="O189" s="230">
        <v>1341092</v>
      </c>
      <c r="P189" s="230">
        <v>0</v>
      </c>
      <c r="Q189" s="230">
        <v>0</v>
      </c>
      <c r="R189" s="230">
        <v>0</v>
      </c>
      <c r="S189" s="230">
        <v>0</v>
      </c>
      <c r="T189" s="230">
        <v>0</v>
      </c>
      <c r="U189" s="230">
        <v>0</v>
      </c>
      <c r="V189" s="230">
        <v>0</v>
      </c>
      <c r="W189" s="230">
        <v>0</v>
      </c>
      <c r="X189" s="230">
        <f t="shared" si="22"/>
        <v>0</v>
      </c>
      <c r="Y189" s="230"/>
      <c r="Z189" s="158">
        <f t="shared" si="23"/>
        <v>-14592</v>
      </c>
      <c r="AA189" s="245">
        <v>0</v>
      </c>
      <c r="AB189" s="230">
        <v>0</v>
      </c>
      <c r="AC189" s="246">
        <f t="shared" si="30"/>
        <v>1341092</v>
      </c>
      <c r="AD189" s="146" t="s">
        <v>2249</v>
      </c>
    </row>
    <row r="190" spans="1:31" s="267" customFormat="1">
      <c r="A190" s="152">
        <f t="shared" si="24"/>
        <v>186</v>
      </c>
      <c r="B190" s="37" t="s">
        <v>2268</v>
      </c>
      <c r="C190" s="70">
        <v>45845</v>
      </c>
      <c r="D190" s="177">
        <v>2025</v>
      </c>
      <c r="E190" s="154" t="s">
        <v>391</v>
      </c>
      <c r="F190" s="146" t="s">
        <v>1622</v>
      </c>
      <c r="G190" s="154" t="s">
        <v>2269</v>
      </c>
      <c r="H190" s="246">
        <v>1326500</v>
      </c>
      <c r="I190" s="246">
        <v>0</v>
      </c>
      <c r="J190" s="266">
        <v>14592</v>
      </c>
      <c r="K190" s="231">
        <f t="shared" si="21"/>
        <v>1341092</v>
      </c>
      <c r="L190" s="221"/>
      <c r="M190" s="231">
        <v>0</v>
      </c>
      <c r="N190" s="230">
        <v>0</v>
      </c>
      <c r="O190" s="230">
        <v>1341092</v>
      </c>
      <c r="P190" s="230">
        <v>0</v>
      </c>
      <c r="Q190" s="230">
        <v>0</v>
      </c>
      <c r="R190" s="230">
        <v>0</v>
      </c>
      <c r="S190" s="230">
        <v>0</v>
      </c>
      <c r="T190" s="230">
        <v>0</v>
      </c>
      <c r="U190" s="230">
        <v>0</v>
      </c>
      <c r="V190" s="230">
        <v>0</v>
      </c>
      <c r="W190" s="230">
        <v>0</v>
      </c>
      <c r="X190" s="230">
        <f t="shared" si="22"/>
        <v>0</v>
      </c>
      <c r="Y190" s="230"/>
      <c r="Z190" s="158">
        <f t="shared" si="23"/>
        <v>-14592</v>
      </c>
      <c r="AA190" s="245">
        <v>0</v>
      </c>
      <c r="AB190" s="230">
        <v>0</v>
      </c>
      <c r="AC190" s="246">
        <f t="shared" si="30"/>
        <v>1341092</v>
      </c>
      <c r="AD190" s="146" t="s">
        <v>2249</v>
      </c>
    </row>
    <row r="191" spans="1:31" s="155" customFormat="1">
      <c r="A191" s="152">
        <f t="shared" si="24"/>
        <v>187</v>
      </c>
      <c r="B191" s="37" t="s">
        <v>2270</v>
      </c>
      <c r="C191" s="70">
        <v>45845</v>
      </c>
      <c r="D191" s="177">
        <v>2025</v>
      </c>
      <c r="E191" s="154" t="s">
        <v>391</v>
      </c>
      <c r="F191" s="146" t="s">
        <v>1622</v>
      </c>
      <c r="G191" s="154" t="s">
        <v>2271</v>
      </c>
      <c r="H191" s="246">
        <v>1326500</v>
      </c>
      <c r="I191" s="246">
        <v>0</v>
      </c>
      <c r="J191" s="266">
        <v>14592</v>
      </c>
      <c r="K191" s="231">
        <f t="shared" si="21"/>
        <v>1341092</v>
      </c>
      <c r="L191" s="221"/>
      <c r="M191" s="231">
        <v>0</v>
      </c>
      <c r="N191" s="230">
        <v>0</v>
      </c>
      <c r="O191" s="230">
        <v>1341092</v>
      </c>
      <c r="P191" s="230">
        <v>0</v>
      </c>
      <c r="Q191" s="230">
        <v>0</v>
      </c>
      <c r="R191" s="230">
        <v>0</v>
      </c>
      <c r="S191" s="230">
        <v>0</v>
      </c>
      <c r="T191" s="230">
        <v>0</v>
      </c>
      <c r="U191" s="230">
        <v>0</v>
      </c>
      <c r="V191" s="230">
        <v>0</v>
      </c>
      <c r="W191" s="230">
        <v>0</v>
      </c>
      <c r="X191" s="230">
        <f t="shared" si="22"/>
        <v>0</v>
      </c>
      <c r="Y191" s="230"/>
      <c r="Z191" s="158">
        <f t="shared" si="23"/>
        <v>-14592</v>
      </c>
      <c r="AA191" s="245">
        <v>0</v>
      </c>
      <c r="AB191" s="230">
        <v>0</v>
      </c>
      <c r="AC191" s="246">
        <f t="shared" si="30"/>
        <v>1341092</v>
      </c>
      <c r="AD191" s="146" t="s">
        <v>2249</v>
      </c>
    </row>
    <row r="192" spans="1:31" s="155" customFormat="1">
      <c r="A192" s="152">
        <f t="shared" si="24"/>
        <v>188</v>
      </c>
      <c r="B192" s="37" t="s">
        <v>2272</v>
      </c>
      <c r="C192" s="70">
        <v>45845</v>
      </c>
      <c r="D192" s="177">
        <v>2025</v>
      </c>
      <c r="E192" s="154" t="s">
        <v>391</v>
      </c>
      <c r="F192" s="146" t="s">
        <v>1622</v>
      </c>
      <c r="G192" s="154" t="s">
        <v>2273</v>
      </c>
      <c r="H192" s="246">
        <v>1326500</v>
      </c>
      <c r="I192" s="246">
        <v>0</v>
      </c>
      <c r="J192" s="266">
        <v>14592</v>
      </c>
      <c r="K192" s="231">
        <f t="shared" si="21"/>
        <v>1341092</v>
      </c>
      <c r="L192" s="221"/>
      <c r="M192" s="231">
        <v>0</v>
      </c>
      <c r="N192" s="230">
        <v>0</v>
      </c>
      <c r="O192" s="230">
        <v>1341092</v>
      </c>
      <c r="P192" s="230">
        <v>0</v>
      </c>
      <c r="Q192" s="230">
        <v>0</v>
      </c>
      <c r="R192" s="230">
        <v>0</v>
      </c>
      <c r="S192" s="230">
        <v>0</v>
      </c>
      <c r="T192" s="230">
        <v>0</v>
      </c>
      <c r="U192" s="230">
        <v>0</v>
      </c>
      <c r="V192" s="230">
        <v>0</v>
      </c>
      <c r="W192" s="230">
        <v>0</v>
      </c>
      <c r="X192" s="230">
        <f t="shared" si="22"/>
        <v>0</v>
      </c>
      <c r="Y192" s="230"/>
      <c r="Z192" s="158">
        <f t="shared" si="23"/>
        <v>-14592</v>
      </c>
      <c r="AA192" s="245">
        <v>0</v>
      </c>
      <c r="AB192" s="230">
        <v>0</v>
      </c>
      <c r="AC192" s="246">
        <f t="shared" si="30"/>
        <v>1341092</v>
      </c>
      <c r="AD192" s="146" t="s">
        <v>2249</v>
      </c>
    </row>
    <row r="193" spans="1:31" s="155" customFormat="1">
      <c r="A193" s="152">
        <f t="shared" si="24"/>
        <v>189</v>
      </c>
      <c r="B193" s="37" t="s">
        <v>2274</v>
      </c>
      <c r="C193" s="70">
        <v>45845</v>
      </c>
      <c r="D193" s="177">
        <v>2025</v>
      </c>
      <c r="E193" s="154" t="s">
        <v>391</v>
      </c>
      <c r="F193" s="146" t="s">
        <v>1622</v>
      </c>
      <c r="G193" s="154" t="s">
        <v>2275</v>
      </c>
      <c r="H193" s="246">
        <v>6400860</v>
      </c>
      <c r="I193" s="246">
        <v>0</v>
      </c>
      <c r="J193" s="266">
        <v>70409</v>
      </c>
      <c r="K193" s="231">
        <f t="shared" si="21"/>
        <v>6471269</v>
      </c>
      <c r="L193" s="221"/>
      <c r="M193" s="231">
        <v>0</v>
      </c>
      <c r="N193" s="230">
        <v>0</v>
      </c>
      <c r="O193" s="230">
        <v>6471269</v>
      </c>
      <c r="P193" s="230">
        <v>0</v>
      </c>
      <c r="Q193" s="230">
        <v>0</v>
      </c>
      <c r="R193" s="230">
        <v>0</v>
      </c>
      <c r="S193" s="230">
        <v>0</v>
      </c>
      <c r="T193" s="230">
        <v>0</v>
      </c>
      <c r="U193" s="230">
        <v>0</v>
      </c>
      <c r="V193" s="230">
        <v>0</v>
      </c>
      <c r="W193" s="230">
        <v>0</v>
      </c>
      <c r="X193" s="230">
        <f t="shared" si="22"/>
        <v>0</v>
      </c>
      <c r="Y193" s="230"/>
      <c r="Z193" s="158">
        <f t="shared" si="23"/>
        <v>-70409</v>
      </c>
      <c r="AA193" s="245">
        <v>0</v>
      </c>
      <c r="AB193" s="230">
        <v>0</v>
      </c>
      <c r="AC193" s="246">
        <f t="shared" si="30"/>
        <v>6471269</v>
      </c>
      <c r="AD193" s="146" t="s">
        <v>2249</v>
      </c>
    </row>
    <row r="194" spans="1:31" s="155" customFormat="1">
      <c r="A194" s="152">
        <f t="shared" si="24"/>
        <v>190</v>
      </c>
      <c r="B194" s="37" t="s">
        <v>2276</v>
      </c>
      <c r="C194" s="70">
        <v>45845</v>
      </c>
      <c r="D194" s="177">
        <v>2025</v>
      </c>
      <c r="E194" s="154" t="s">
        <v>391</v>
      </c>
      <c r="F194" s="146" t="s">
        <v>1622</v>
      </c>
      <c r="G194" s="154" t="s">
        <v>2277</v>
      </c>
      <c r="H194" s="246">
        <v>1200430</v>
      </c>
      <c r="I194" s="246">
        <v>0</v>
      </c>
      <c r="J194" s="266">
        <v>13205</v>
      </c>
      <c r="K194" s="231">
        <f t="shared" si="21"/>
        <v>1213635</v>
      </c>
      <c r="L194" s="221"/>
      <c r="M194" s="231">
        <v>0</v>
      </c>
      <c r="N194" s="230">
        <v>0</v>
      </c>
      <c r="O194" s="230">
        <v>1213635</v>
      </c>
      <c r="P194" s="230">
        <v>0</v>
      </c>
      <c r="Q194" s="230">
        <v>0</v>
      </c>
      <c r="R194" s="230">
        <v>0</v>
      </c>
      <c r="S194" s="230">
        <v>0</v>
      </c>
      <c r="T194" s="230">
        <v>0</v>
      </c>
      <c r="U194" s="230">
        <v>0</v>
      </c>
      <c r="V194" s="230">
        <v>0</v>
      </c>
      <c r="W194" s="230">
        <v>0</v>
      </c>
      <c r="X194" s="230">
        <f t="shared" si="22"/>
        <v>0</v>
      </c>
      <c r="Y194" s="230"/>
      <c r="Z194" s="158">
        <f t="shared" si="23"/>
        <v>-13205</v>
      </c>
      <c r="AA194" s="245">
        <v>0</v>
      </c>
      <c r="AB194" s="230">
        <v>0</v>
      </c>
      <c r="AC194" s="246">
        <f t="shared" si="30"/>
        <v>1213635</v>
      </c>
      <c r="AD194" s="146" t="s">
        <v>2249</v>
      </c>
    </row>
    <row r="195" spans="1:31" s="155" customFormat="1">
      <c r="A195" s="152">
        <f t="shared" si="24"/>
        <v>191</v>
      </c>
      <c r="B195" s="37" t="s">
        <v>2278</v>
      </c>
      <c r="C195" s="70">
        <v>45845</v>
      </c>
      <c r="D195" s="177">
        <v>2025</v>
      </c>
      <c r="E195" s="154" t="s">
        <v>391</v>
      </c>
      <c r="F195" s="146" t="s">
        <v>1622</v>
      </c>
      <c r="G195" s="154" t="s">
        <v>2279</v>
      </c>
      <c r="H195" s="246">
        <v>1200430</v>
      </c>
      <c r="I195" s="246">
        <v>0</v>
      </c>
      <c r="J195" s="266">
        <v>13205</v>
      </c>
      <c r="K195" s="231">
        <f t="shared" si="21"/>
        <v>1213635</v>
      </c>
      <c r="L195" s="221"/>
      <c r="M195" s="231">
        <v>0</v>
      </c>
      <c r="N195" s="230">
        <v>0</v>
      </c>
      <c r="O195" s="230">
        <v>1213635</v>
      </c>
      <c r="P195" s="230">
        <v>0</v>
      </c>
      <c r="Q195" s="230">
        <v>0</v>
      </c>
      <c r="R195" s="230">
        <v>0</v>
      </c>
      <c r="S195" s="230">
        <v>0</v>
      </c>
      <c r="T195" s="230">
        <v>0</v>
      </c>
      <c r="U195" s="230">
        <v>0</v>
      </c>
      <c r="V195" s="230">
        <v>0</v>
      </c>
      <c r="W195" s="230">
        <v>0</v>
      </c>
      <c r="X195" s="230">
        <f t="shared" si="22"/>
        <v>0</v>
      </c>
      <c r="Y195" s="230"/>
      <c r="Z195" s="158">
        <f t="shared" si="23"/>
        <v>-13205</v>
      </c>
      <c r="AA195" s="245">
        <v>0</v>
      </c>
      <c r="AB195" s="230">
        <v>0</v>
      </c>
      <c r="AC195" s="246">
        <f t="shared" si="30"/>
        <v>1213635</v>
      </c>
      <c r="AD195" s="146" t="s">
        <v>2249</v>
      </c>
    </row>
    <row r="196" spans="1:31" s="155" customFormat="1">
      <c r="A196" s="152">
        <f t="shared" si="24"/>
        <v>192</v>
      </c>
      <c r="B196" s="37" t="s">
        <v>2280</v>
      </c>
      <c r="C196" s="70">
        <v>45845</v>
      </c>
      <c r="D196" s="177">
        <v>2025</v>
      </c>
      <c r="E196" s="154" t="s">
        <v>391</v>
      </c>
      <c r="F196" s="146" t="s">
        <v>1622</v>
      </c>
      <c r="G196" s="154" t="s">
        <v>2281</v>
      </c>
      <c r="H196" s="246">
        <v>1200430</v>
      </c>
      <c r="I196" s="246">
        <v>0</v>
      </c>
      <c r="J196" s="266">
        <v>13205</v>
      </c>
      <c r="K196" s="231">
        <f t="shared" si="21"/>
        <v>1213635</v>
      </c>
      <c r="L196" s="221"/>
      <c r="M196" s="231">
        <v>0</v>
      </c>
      <c r="N196" s="230">
        <v>0</v>
      </c>
      <c r="O196" s="230">
        <v>1213635</v>
      </c>
      <c r="P196" s="230">
        <v>0</v>
      </c>
      <c r="Q196" s="230">
        <v>0</v>
      </c>
      <c r="R196" s="230">
        <v>0</v>
      </c>
      <c r="S196" s="230">
        <v>0</v>
      </c>
      <c r="T196" s="230">
        <v>0</v>
      </c>
      <c r="U196" s="230">
        <v>0</v>
      </c>
      <c r="V196" s="230">
        <v>0</v>
      </c>
      <c r="W196" s="230">
        <v>0</v>
      </c>
      <c r="X196" s="230">
        <f t="shared" si="22"/>
        <v>0</v>
      </c>
      <c r="Y196" s="230"/>
      <c r="Z196" s="158">
        <f t="shared" si="23"/>
        <v>-13205</v>
      </c>
      <c r="AA196" s="245">
        <v>0</v>
      </c>
      <c r="AB196" s="230">
        <v>0</v>
      </c>
      <c r="AC196" s="246">
        <f t="shared" si="30"/>
        <v>1213635</v>
      </c>
      <c r="AD196" s="146" t="s">
        <v>2249</v>
      </c>
    </row>
    <row r="197" spans="1:31" s="155" customFormat="1">
      <c r="A197" s="152">
        <f t="shared" si="24"/>
        <v>193</v>
      </c>
      <c r="B197" s="37" t="s">
        <v>2282</v>
      </c>
      <c r="C197" s="70">
        <v>45845</v>
      </c>
      <c r="D197" s="177">
        <v>2025</v>
      </c>
      <c r="E197" s="154" t="s">
        <v>391</v>
      </c>
      <c r="F197" s="146" t="s">
        <v>1622</v>
      </c>
      <c r="G197" s="154" t="s">
        <v>2283</v>
      </c>
      <c r="H197" s="246">
        <v>2588534</v>
      </c>
      <c r="I197" s="246">
        <v>0</v>
      </c>
      <c r="J197" s="266">
        <v>28474</v>
      </c>
      <c r="K197" s="231">
        <f t="shared" ref="K197:K260" si="31">SUM(H197:J197)</f>
        <v>2617008</v>
      </c>
      <c r="L197" s="221"/>
      <c r="M197" s="231">
        <v>0</v>
      </c>
      <c r="N197" s="230">
        <v>0</v>
      </c>
      <c r="O197" s="230">
        <v>2617008</v>
      </c>
      <c r="P197" s="230">
        <v>0</v>
      </c>
      <c r="Q197" s="230">
        <v>0</v>
      </c>
      <c r="R197" s="230">
        <v>0</v>
      </c>
      <c r="S197" s="230">
        <v>0</v>
      </c>
      <c r="T197" s="230">
        <v>0</v>
      </c>
      <c r="U197" s="230">
        <v>0</v>
      </c>
      <c r="V197" s="230">
        <v>0</v>
      </c>
      <c r="W197" s="230">
        <v>0</v>
      </c>
      <c r="X197" s="230">
        <f t="shared" ref="X197:X260" si="32">K197-SUM(M197:W197)</f>
        <v>0</v>
      </c>
      <c r="Y197" s="230"/>
      <c r="Z197" s="158">
        <f t="shared" ref="Z197:Z260" si="33">-J197</f>
        <v>-28474</v>
      </c>
      <c r="AA197" s="245">
        <v>0</v>
      </c>
      <c r="AB197" s="230">
        <v>0</v>
      </c>
      <c r="AC197" s="246">
        <f t="shared" si="30"/>
        <v>2617008</v>
      </c>
      <c r="AD197" s="146" t="s">
        <v>2249</v>
      </c>
      <c r="AE197" s="155" t="s">
        <v>26</v>
      </c>
    </row>
    <row r="198" spans="1:31" s="155" customFormat="1">
      <c r="A198" s="152">
        <f t="shared" ref="A198:A261" si="34">A197+1</f>
        <v>194</v>
      </c>
      <c r="B198" s="37" t="s">
        <v>2284</v>
      </c>
      <c r="C198" s="70">
        <v>45845</v>
      </c>
      <c r="D198" s="177">
        <v>2025</v>
      </c>
      <c r="E198" s="154" t="s">
        <v>391</v>
      </c>
      <c r="F198" s="146" t="s">
        <v>1622</v>
      </c>
      <c r="G198" s="154" t="s">
        <v>2285</v>
      </c>
      <c r="H198" s="246">
        <v>9249022</v>
      </c>
      <c r="I198" s="246">
        <v>0</v>
      </c>
      <c r="J198" s="266">
        <v>101739</v>
      </c>
      <c r="K198" s="231">
        <f t="shared" si="31"/>
        <v>9350761</v>
      </c>
      <c r="L198" s="221"/>
      <c r="M198" s="231">
        <v>0</v>
      </c>
      <c r="N198" s="230">
        <v>0</v>
      </c>
      <c r="O198" s="230">
        <v>9350761</v>
      </c>
      <c r="P198" s="230">
        <v>0</v>
      </c>
      <c r="Q198" s="230">
        <v>0</v>
      </c>
      <c r="R198" s="230">
        <v>0</v>
      </c>
      <c r="S198" s="230">
        <v>0</v>
      </c>
      <c r="T198" s="230">
        <v>0</v>
      </c>
      <c r="U198" s="230">
        <v>0</v>
      </c>
      <c r="V198" s="230">
        <v>0</v>
      </c>
      <c r="W198" s="230">
        <v>0</v>
      </c>
      <c r="X198" s="230">
        <f t="shared" si="32"/>
        <v>0</v>
      </c>
      <c r="Y198" s="230"/>
      <c r="Z198" s="158">
        <f t="shared" si="33"/>
        <v>-101739</v>
      </c>
      <c r="AA198" s="245">
        <v>0</v>
      </c>
      <c r="AB198" s="230">
        <v>0</v>
      </c>
      <c r="AC198" s="246">
        <f t="shared" si="30"/>
        <v>9350761</v>
      </c>
      <c r="AD198" s="146" t="s">
        <v>2249</v>
      </c>
    </row>
    <row r="199" spans="1:31" s="155" customFormat="1">
      <c r="A199" s="152">
        <f t="shared" si="34"/>
        <v>195</v>
      </c>
      <c r="B199" s="37" t="s">
        <v>2286</v>
      </c>
      <c r="C199" s="70">
        <v>45845</v>
      </c>
      <c r="D199" s="177">
        <v>2025</v>
      </c>
      <c r="E199" s="154" t="s">
        <v>391</v>
      </c>
      <c r="F199" s="146" t="s">
        <v>1622</v>
      </c>
      <c r="G199" s="154" t="s">
        <v>2287</v>
      </c>
      <c r="H199" s="246">
        <v>1800000</v>
      </c>
      <c r="I199" s="246">
        <v>0</v>
      </c>
      <c r="J199" s="266">
        <v>19800</v>
      </c>
      <c r="K199" s="231">
        <f t="shared" si="31"/>
        <v>1819800</v>
      </c>
      <c r="L199" s="221"/>
      <c r="M199" s="231">
        <v>0</v>
      </c>
      <c r="N199" s="230">
        <v>0</v>
      </c>
      <c r="O199" s="230">
        <v>1819800</v>
      </c>
      <c r="P199" s="230">
        <v>0</v>
      </c>
      <c r="Q199" s="230">
        <v>0</v>
      </c>
      <c r="R199" s="230">
        <v>0</v>
      </c>
      <c r="S199" s="230">
        <v>0</v>
      </c>
      <c r="T199" s="230">
        <v>0</v>
      </c>
      <c r="U199" s="230">
        <v>0</v>
      </c>
      <c r="V199" s="230">
        <v>0</v>
      </c>
      <c r="W199" s="230">
        <v>0</v>
      </c>
      <c r="X199" s="230">
        <f t="shared" si="32"/>
        <v>0</v>
      </c>
      <c r="Y199" s="230"/>
      <c r="Z199" s="158">
        <f t="shared" si="33"/>
        <v>-19800</v>
      </c>
      <c r="AA199" s="245">
        <v>0</v>
      </c>
      <c r="AB199" s="230">
        <v>0</v>
      </c>
      <c r="AC199" s="246">
        <f t="shared" si="30"/>
        <v>1819800</v>
      </c>
      <c r="AD199" s="146" t="s">
        <v>2249</v>
      </c>
    </row>
    <row r="200" spans="1:31" s="155" customFormat="1">
      <c r="A200" s="152">
        <f t="shared" si="34"/>
        <v>196</v>
      </c>
      <c r="B200" s="37" t="s">
        <v>2288</v>
      </c>
      <c r="C200" s="70">
        <v>45845</v>
      </c>
      <c r="D200" s="177">
        <v>2025</v>
      </c>
      <c r="E200" s="154" t="s">
        <v>391</v>
      </c>
      <c r="F200" s="146" t="s">
        <v>1622</v>
      </c>
      <c r="G200" s="154" t="s">
        <v>2289</v>
      </c>
      <c r="H200" s="246">
        <v>26941560</v>
      </c>
      <c r="I200" s="246">
        <v>0</v>
      </c>
      <c r="J200" s="266">
        <v>296357</v>
      </c>
      <c r="K200" s="231">
        <f t="shared" si="31"/>
        <v>27237917</v>
      </c>
      <c r="L200" s="221"/>
      <c r="M200" s="231">
        <v>0</v>
      </c>
      <c r="N200" s="230">
        <v>0</v>
      </c>
      <c r="O200" s="230">
        <v>27237917</v>
      </c>
      <c r="P200" s="230">
        <v>0</v>
      </c>
      <c r="Q200" s="230">
        <v>0</v>
      </c>
      <c r="R200" s="230">
        <v>0</v>
      </c>
      <c r="S200" s="230">
        <v>0</v>
      </c>
      <c r="T200" s="230">
        <v>0</v>
      </c>
      <c r="U200" s="230">
        <v>0</v>
      </c>
      <c r="V200" s="230">
        <v>0</v>
      </c>
      <c r="W200" s="230">
        <v>0</v>
      </c>
      <c r="X200" s="230">
        <f t="shared" si="32"/>
        <v>0</v>
      </c>
      <c r="Y200" s="230"/>
      <c r="Z200" s="158">
        <f t="shared" si="33"/>
        <v>-296357</v>
      </c>
      <c r="AA200" s="245">
        <v>0</v>
      </c>
      <c r="AB200" s="230">
        <v>0</v>
      </c>
      <c r="AC200" s="246">
        <f t="shared" si="30"/>
        <v>27237917</v>
      </c>
      <c r="AD200" s="146" t="s">
        <v>2249</v>
      </c>
    </row>
    <row r="201" spans="1:31" s="155" customFormat="1">
      <c r="A201" s="152">
        <f t="shared" si="34"/>
        <v>197</v>
      </c>
      <c r="B201" s="37" t="s">
        <v>2290</v>
      </c>
      <c r="C201" s="70">
        <v>45845</v>
      </c>
      <c r="D201" s="177">
        <v>2025</v>
      </c>
      <c r="E201" s="154" t="s">
        <v>391</v>
      </c>
      <c r="F201" s="146" t="s">
        <v>1622</v>
      </c>
      <c r="G201" s="154" t="s">
        <v>2291</v>
      </c>
      <c r="H201" s="246">
        <v>4701311</v>
      </c>
      <c r="I201" s="246">
        <v>0</v>
      </c>
      <c r="J201" s="266">
        <v>51714</v>
      </c>
      <c r="K201" s="231">
        <f t="shared" si="31"/>
        <v>4753025</v>
      </c>
      <c r="L201" s="221"/>
      <c r="M201" s="231">
        <v>0</v>
      </c>
      <c r="N201" s="230">
        <v>0</v>
      </c>
      <c r="O201" s="230">
        <v>4753025</v>
      </c>
      <c r="P201" s="230">
        <v>0</v>
      </c>
      <c r="Q201" s="230">
        <v>0</v>
      </c>
      <c r="R201" s="230">
        <v>0</v>
      </c>
      <c r="S201" s="230">
        <v>0</v>
      </c>
      <c r="T201" s="230">
        <v>0</v>
      </c>
      <c r="U201" s="230">
        <v>0</v>
      </c>
      <c r="V201" s="230">
        <v>0</v>
      </c>
      <c r="W201" s="230">
        <v>0</v>
      </c>
      <c r="X201" s="230">
        <f t="shared" si="32"/>
        <v>0</v>
      </c>
      <c r="Y201" s="230"/>
      <c r="Z201" s="158">
        <f t="shared" si="33"/>
        <v>-51714</v>
      </c>
      <c r="AA201" s="245">
        <v>0</v>
      </c>
      <c r="AB201" s="230">
        <v>0</v>
      </c>
      <c r="AC201" s="246">
        <f t="shared" si="30"/>
        <v>4753025</v>
      </c>
      <c r="AD201" s="146" t="s">
        <v>2249</v>
      </c>
    </row>
    <row r="202" spans="1:31" s="155" customFormat="1">
      <c r="A202" s="152">
        <f t="shared" si="34"/>
        <v>198</v>
      </c>
      <c r="B202" s="37" t="s">
        <v>2292</v>
      </c>
      <c r="C202" s="70">
        <v>45845</v>
      </c>
      <c r="D202" s="177">
        <v>2025</v>
      </c>
      <c r="E202" s="154" t="s">
        <v>391</v>
      </c>
      <c r="F202" s="146" t="s">
        <v>1622</v>
      </c>
      <c r="G202" s="154" t="s">
        <v>2293</v>
      </c>
      <c r="H202" s="246">
        <v>4701311</v>
      </c>
      <c r="I202" s="246">
        <v>0</v>
      </c>
      <c r="J202" s="266">
        <v>51714</v>
      </c>
      <c r="K202" s="231">
        <f t="shared" si="31"/>
        <v>4753025</v>
      </c>
      <c r="L202" s="221"/>
      <c r="M202" s="231">
        <v>0</v>
      </c>
      <c r="N202" s="230">
        <v>0</v>
      </c>
      <c r="O202" s="230">
        <v>4753025</v>
      </c>
      <c r="P202" s="230">
        <v>0</v>
      </c>
      <c r="Q202" s="230">
        <v>0</v>
      </c>
      <c r="R202" s="230">
        <v>0</v>
      </c>
      <c r="S202" s="230">
        <v>0</v>
      </c>
      <c r="T202" s="230">
        <v>0</v>
      </c>
      <c r="U202" s="230">
        <v>0</v>
      </c>
      <c r="V202" s="230">
        <v>0</v>
      </c>
      <c r="W202" s="230">
        <v>0</v>
      </c>
      <c r="X202" s="230">
        <f t="shared" si="32"/>
        <v>0</v>
      </c>
      <c r="Y202" s="230"/>
      <c r="Z202" s="158">
        <f t="shared" si="33"/>
        <v>-51714</v>
      </c>
      <c r="AA202" s="245">
        <v>0</v>
      </c>
      <c r="AB202" s="230">
        <v>0</v>
      </c>
      <c r="AC202" s="246">
        <f t="shared" si="30"/>
        <v>4753025</v>
      </c>
      <c r="AD202" s="146" t="s">
        <v>2249</v>
      </c>
    </row>
    <row r="203" spans="1:31" s="155" customFormat="1">
      <c r="A203" s="152">
        <f t="shared" si="34"/>
        <v>199</v>
      </c>
      <c r="B203" s="37" t="s">
        <v>2294</v>
      </c>
      <c r="C203" s="70">
        <v>45845</v>
      </c>
      <c r="D203" s="177">
        <v>2025</v>
      </c>
      <c r="E203" s="154" t="s">
        <v>391</v>
      </c>
      <c r="F203" s="146" t="s">
        <v>1622</v>
      </c>
      <c r="G203" s="154" t="s">
        <v>2295</v>
      </c>
      <c r="H203" s="246">
        <v>3809967</v>
      </c>
      <c r="I203" s="246">
        <v>0</v>
      </c>
      <c r="J203" s="266">
        <v>41910</v>
      </c>
      <c r="K203" s="231">
        <f t="shared" si="31"/>
        <v>3851877</v>
      </c>
      <c r="L203" s="221"/>
      <c r="M203" s="231">
        <v>0</v>
      </c>
      <c r="N203" s="230">
        <v>0</v>
      </c>
      <c r="O203" s="230">
        <v>3851877</v>
      </c>
      <c r="P203" s="230">
        <v>0</v>
      </c>
      <c r="Q203" s="230">
        <v>0</v>
      </c>
      <c r="R203" s="230">
        <v>0</v>
      </c>
      <c r="S203" s="230">
        <v>0</v>
      </c>
      <c r="T203" s="230">
        <v>0</v>
      </c>
      <c r="U203" s="230">
        <v>0</v>
      </c>
      <c r="V203" s="230">
        <v>0</v>
      </c>
      <c r="W203" s="230">
        <v>0</v>
      </c>
      <c r="X203" s="230">
        <f t="shared" si="32"/>
        <v>0</v>
      </c>
      <c r="Y203" s="230"/>
      <c r="Z203" s="158">
        <f t="shared" si="33"/>
        <v>-41910</v>
      </c>
      <c r="AA203" s="245">
        <v>0</v>
      </c>
      <c r="AB203" s="230">
        <v>0</v>
      </c>
      <c r="AC203" s="246">
        <f t="shared" si="30"/>
        <v>3851877</v>
      </c>
      <c r="AD203" s="146" t="s">
        <v>2249</v>
      </c>
    </row>
    <row r="204" spans="1:31" s="155" customFormat="1">
      <c r="A204" s="152">
        <f t="shared" si="34"/>
        <v>200</v>
      </c>
      <c r="B204" s="37" t="s">
        <v>2296</v>
      </c>
      <c r="C204" s="70">
        <v>45845</v>
      </c>
      <c r="D204" s="177">
        <v>2025</v>
      </c>
      <c r="E204" s="154" t="s">
        <v>391</v>
      </c>
      <c r="F204" s="146" t="s">
        <v>1622</v>
      </c>
      <c r="G204" s="154" t="s">
        <v>2297</v>
      </c>
      <c r="H204" s="246">
        <v>3809967</v>
      </c>
      <c r="I204" s="246">
        <v>0</v>
      </c>
      <c r="J204" s="266">
        <v>41910</v>
      </c>
      <c r="K204" s="231">
        <f t="shared" si="31"/>
        <v>3851877</v>
      </c>
      <c r="L204" s="221"/>
      <c r="M204" s="231">
        <v>0</v>
      </c>
      <c r="N204" s="230">
        <v>0</v>
      </c>
      <c r="O204" s="230">
        <v>3851877</v>
      </c>
      <c r="P204" s="230">
        <v>0</v>
      </c>
      <c r="Q204" s="230">
        <v>0</v>
      </c>
      <c r="R204" s="230">
        <v>0</v>
      </c>
      <c r="S204" s="230">
        <v>0</v>
      </c>
      <c r="T204" s="230">
        <v>0</v>
      </c>
      <c r="U204" s="230">
        <v>0</v>
      </c>
      <c r="V204" s="230">
        <v>0</v>
      </c>
      <c r="W204" s="230">
        <v>0</v>
      </c>
      <c r="X204" s="230">
        <f t="shared" si="32"/>
        <v>0</v>
      </c>
      <c r="Y204" s="230"/>
      <c r="Z204" s="158">
        <f t="shared" si="33"/>
        <v>-41910</v>
      </c>
      <c r="AA204" s="245">
        <v>0</v>
      </c>
      <c r="AB204" s="230">
        <v>0</v>
      </c>
      <c r="AC204" s="246">
        <f t="shared" si="30"/>
        <v>3851877</v>
      </c>
      <c r="AD204" s="146" t="s">
        <v>2249</v>
      </c>
    </row>
    <row r="205" spans="1:31" s="155" customFormat="1">
      <c r="A205" s="255">
        <f t="shared" si="34"/>
        <v>201</v>
      </c>
      <c r="B205" s="208" t="s">
        <v>2305</v>
      </c>
      <c r="C205" s="273">
        <v>45721</v>
      </c>
      <c r="D205" s="35">
        <v>2024</v>
      </c>
      <c r="E205" s="225" t="s">
        <v>26</v>
      </c>
      <c r="F205" s="225" t="s">
        <v>26</v>
      </c>
      <c r="G205" s="225" t="s">
        <v>5834</v>
      </c>
      <c r="H205" s="266">
        <v>0</v>
      </c>
      <c r="I205" s="266">
        <v>0</v>
      </c>
      <c r="J205" s="266">
        <v>0</v>
      </c>
      <c r="K205" s="263">
        <f t="shared" si="31"/>
        <v>0</v>
      </c>
      <c r="L205" s="262"/>
      <c r="M205" s="263">
        <v>0</v>
      </c>
      <c r="N205" s="253">
        <v>0</v>
      </c>
      <c r="O205" s="253">
        <v>0</v>
      </c>
      <c r="P205" s="253">
        <v>0</v>
      </c>
      <c r="Q205" s="253">
        <v>0</v>
      </c>
      <c r="R205" s="253">
        <v>0</v>
      </c>
      <c r="S205" s="253">
        <v>0</v>
      </c>
      <c r="T205" s="253">
        <v>0</v>
      </c>
      <c r="U205" s="253">
        <v>0</v>
      </c>
      <c r="V205" s="253">
        <v>0</v>
      </c>
      <c r="W205" s="253">
        <v>0</v>
      </c>
      <c r="X205" s="253">
        <f t="shared" si="32"/>
        <v>0</v>
      </c>
      <c r="Y205" s="253"/>
      <c r="Z205" s="264">
        <f t="shared" si="33"/>
        <v>0</v>
      </c>
      <c r="AA205" s="265">
        <f>-(H205+I205)*2%</f>
        <v>0</v>
      </c>
      <c r="AB205" s="253">
        <f>K205+Z205+AA205</f>
        <v>0</v>
      </c>
      <c r="AC205" s="266">
        <v>0</v>
      </c>
      <c r="AD205" s="208"/>
    </row>
    <row r="206" spans="1:31" s="155" customFormat="1">
      <c r="A206" s="152">
        <f t="shared" si="34"/>
        <v>202</v>
      </c>
      <c r="B206" s="37" t="s">
        <v>2312</v>
      </c>
      <c r="C206" s="70">
        <v>45848</v>
      </c>
      <c r="D206" s="177">
        <v>2025</v>
      </c>
      <c r="E206" s="154" t="s">
        <v>1581</v>
      </c>
      <c r="F206" s="146" t="s">
        <v>2313</v>
      </c>
      <c r="G206" s="154" t="s">
        <v>2313</v>
      </c>
      <c r="H206" s="246">
        <v>105119540</v>
      </c>
      <c r="I206" s="246">
        <v>10511954</v>
      </c>
      <c r="J206" s="266">
        <v>1271946</v>
      </c>
      <c r="K206" s="231">
        <f t="shared" si="31"/>
        <v>116903440</v>
      </c>
      <c r="L206" s="221"/>
      <c r="M206" s="231">
        <v>0</v>
      </c>
      <c r="N206" s="230">
        <v>0</v>
      </c>
      <c r="O206" s="230">
        <v>114590809</v>
      </c>
      <c r="P206" s="230">
        <v>0</v>
      </c>
      <c r="Q206" s="230">
        <v>0</v>
      </c>
      <c r="R206" s="230">
        <v>0</v>
      </c>
      <c r="S206" s="230">
        <v>0</v>
      </c>
      <c r="T206" s="230">
        <v>0</v>
      </c>
      <c r="U206" s="230">
        <v>0</v>
      </c>
      <c r="V206" s="230">
        <v>0</v>
      </c>
      <c r="W206" s="230">
        <v>2312631</v>
      </c>
      <c r="X206" s="230">
        <f t="shared" si="32"/>
        <v>0</v>
      </c>
      <c r="Y206" s="230"/>
      <c r="Z206" s="158">
        <f t="shared" si="33"/>
        <v>-1271946</v>
      </c>
      <c r="AA206" s="245">
        <f>-(H206+I206)*2%-1.12</f>
        <v>-2312631</v>
      </c>
      <c r="AB206" s="230">
        <v>0</v>
      </c>
      <c r="AC206" s="246">
        <f t="shared" ref="AC206:AC220" si="35">K206+AA206</f>
        <v>114590809</v>
      </c>
      <c r="AD206" s="37"/>
    </row>
    <row r="207" spans="1:31" s="155" customFormat="1">
      <c r="A207" s="152">
        <f t="shared" si="34"/>
        <v>203</v>
      </c>
      <c r="B207" s="37" t="s">
        <v>3384</v>
      </c>
      <c r="C207" s="70">
        <v>45860</v>
      </c>
      <c r="D207" s="177">
        <v>2025</v>
      </c>
      <c r="E207" s="154" t="s">
        <v>391</v>
      </c>
      <c r="F207" s="146" t="s">
        <v>1622</v>
      </c>
      <c r="G207" s="154" t="s">
        <v>3385</v>
      </c>
      <c r="H207" s="246">
        <v>30000000</v>
      </c>
      <c r="I207" s="246">
        <v>0</v>
      </c>
      <c r="J207" s="266">
        <v>330000</v>
      </c>
      <c r="K207" s="231">
        <f t="shared" si="31"/>
        <v>30330000</v>
      </c>
      <c r="L207" s="221"/>
      <c r="M207" s="231">
        <v>0</v>
      </c>
      <c r="N207" s="230">
        <v>0</v>
      </c>
      <c r="O207" s="230">
        <v>29730000</v>
      </c>
      <c r="P207" s="230">
        <v>0</v>
      </c>
      <c r="Q207" s="230">
        <v>0</v>
      </c>
      <c r="R207" s="230">
        <v>0</v>
      </c>
      <c r="S207" s="230">
        <v>0</v>
      </c>
      <c r="T207" s="230">
        <v>0</v>
      </c>
      <c r="U207" s="230">
        <v>0</v>
      </c>
      <c r="V207" s="230">
        <v>0</v>
      </c>
      <c r="W207" s="230">
        <v>600000</v>
      </c>
      <c r="X207" s="230">
        <f t="shared" si="32"/>
        <v>0</v>
      </c>
      <c r="Y207" s="230"/>
      <c r="Z207" s="158">
        <f t="shared" si="33"/>
        <v>-330000</v>
      </c>
      <c r="AA207" s="245">
        <f>-(H207+I207)*2%</f>
        <v>-600000</v>
      </c>
      <c r="AB207" s="230">
        <v>0</v>
      </c>
      <c r="AC207" s="246">
        <f t="shared" si="35"/>
        <v>29730000</v>
      </c>
      <c r="AD207" s="146" t="s">
        <v>3386</v>
      </c>
    </row>
    <row r="208" spans="1:31" s="155" customFormat="1">
      <c r="A208" s="152">
        <f t="shared" si="34"/>
        <v>204</v>
      </c>
      <c r="B208" s="37" t="s">
        <v>3390</v>
      </c>
      <c r="C208" s="70">
        <v>45860</v>
      </c>
      <c r="D208" s="177">
        <v>2025</v>
      </c>
      <c r="E208" s="154" t="s">
        <v>391</v>
      </c>
      <c r="F208" s="146" t="s">
        <v>1622</v>
      </c>
      <c r="G208" s="154" t="s">
        <v>3391</v>
      </c>
      <c r="H208" s="246">
        <v>26200000</v>
      </c>
      <c r="I208" s="246">
        <v>0</v>
      </c>
      <c r="J208" s="266">
        <v>288200</v>
      </c>
      <c r="K208" s="231">
        <f t="shared" si="31"/>
        <v>26488200</v>
      </c>
      <c r="L208" s="221"/>
      <c r="M208" s="231">
        <v>0</v>
      </c>
      <c r="N208" s="230">
        <v>0</v>
      </c>
      <c r="O208" s="230">
        <v>25964200</v>
      </c>
      <c r="P208" s="230">
        <v>0</v>
      </c>
      <c r="Q208" s="230">
        <v>0</v>
      </c>
      <c r="R208" s="230">
        <v>0</v>
      </c>
      <c r="S208" s="230">
        <v>0</v>
      </c>
      <c r="T208" s="230">
        <v>0</v>
      </c>
      <c r="U208" s="230">
        <v>0</v>
      </c>
      <c r="V208" s="230">
        <v>0</v>
      </c>
      <c r="W208" s="230">
        <v>524000</v>
      </c>
      <c r="X208" s="230">
        <f t="shared" si="32"/>
        <v>0</v>
      </c>
      <c r="Y208" s="230"/>
      <c r="Z208" s="158">
        <f t="shared" si="33"/>
        <v>-288200</v>
      </c>
      <c r="AA208" s="245">
        <f>-(H208+I208)*2%</f>
        <v>-524000</v>
      </c>
      <c r="AB208" s="230">
        <v>0</v>
      </c>
      <c r="AC208" s="246">
        <f t="shared" si="35"/>
        <v>25964200</v>
      </c>
      <c r="AD208" s="146" t="s">
        <v>3386</v>
      </c>
    </row>
    <row r="209" spans="1:31" s="267" customFormat="1">
      <c r="A209" s="152">
        <f t="shared" si="34"/>
        <v>205</v>
      </c>
      <c r="B209" s="37" t="s">
        <v>3392</v>
      </c>
      <c r="C209" s="70">
        <v>45860</v>
      </c>
      <c r="D209" s="177">
        <v>2025</v>
      </c>
      <c r="E209" s="154" t="s">
        <v>391</v>
      </c>
      <c r="F209" s="146" t="s">
        <v>1622</v>
      </c>
      <c r="G209" s="154" t="s">
        <v>3393</v>
      </c>
      <c r="H209" s="246">
        <v>67400000</v>
      </c>
      <c r="I209" s="246">
        <v>0</v>
      </c>
      <c r="J209" s="266">
        <v>741400</v>
      </c>
      <c r="K209" s="231">
        <f t="shared" si="31"/>
        <v>68141400</v>
      </c>
      <c r="L209" s="221"/>
      <c r="M209" s="231">
        <v>0</v>
      </c>
      <c r="N209" s="230">
        <v>0</v>
      </c>
      <c r="O209" s="230">
        <v>66793400</v>
      </c>
      <c r="P209" s="230">
        <v>0</v>
      </c>
      <c r="Q209" s="230">
        <v>0</v>
      </c>
      <c r="R209" s="230">
        <v>0</v>
      </c>
      <c r="S209" s="230">
        <v>0</v>
      </c>
      <c r="T209" s="230">
        <v>0</v>
      </c>
      <c r="U209" s="230">
        <v>0</v>
      </c>
      <c r="V209" s="230">
        <v>0</v>
      </c>
      <c r="W209" s="230">
        <v>1348000</v>
      </c>
      <c r="X209" s="230">
        <f t="shared" si="32"/>
        <v>0</v>
      </c>
      <c r="Y209" s="230"/>
      <c r="Z209" s="158">
        <f t="shared" si="33"/>
        <v>-741400</v>
      </c>
      <c r="AA209" s="245">
        <f>-(H209+I209)*2%</f>
        <v>-1348000</v>
      </c>
      <c r="AB209" s="230">
        <v>0</v>
      </c>
      <c r="AC209" s="246">
        <f t="shared" si="35"/>
        <v>66793400</v>
      </c>
      <c r="AD209" s="146" t="s">
        <v>3386</v>
      </c>
    </row>
    <row r="210" spans="1:31" s="155" customFormat="1">
      <c r="A210" s="152">
        <f t="shared" si="34"/>
        <v>206</v>
      </c>
      <c r="B210" s="37" t="s">
        <v>3397</v>
      </c>
      <c r="C210" s="70">
        <v>45870</v>
      </c>
      <c r="D210" s="177">
        <v>2025</v>
      </c>
      <c r="E210" s="154" t="s">
        <v>2319</v>
      </c>
      <c r="F210" s="154" t="s">
        <v>2320</v>
      </c>
      <c r="G210" s="154" t="s">
        <v>3398</v>
      </c>
      <c r="H210" s="246">
        <v>280376250</v>
      </c>
      <c r="I210" s="246">
        <v>22430100</v>
      </c>
      <c r="J210" s="266">
        <v>33308699</v>
      </c>
      <c r="K210" s="231">
        <f t="shared" si="31"/>
        <v>336115049</v>
      </c>
      <c r="L210" s="221"/>
      <c r="M210" s="231">
        <v>0</v>
      </c>
      <c r="N210" s="230">
        <v>335666447</v>
      </c>
      <c r="O210" s="230">
        <v>0</v>
      </c>
      <c r="P210" s="230">
        <v>0</v>
      </c>
      <c r="Q210" s="230">
        <v>0</v>
      </c>
      <c r="R210" s="230">
        <v>0</v>
      </c>
      <c r="S210" s="230">
        <v>0</v>
      </c>
      <c r="T210" s="230">
        <v>0</v>
      </c>
      <c r="U210" s="230">
        <v>0</v>
      </c>
      <c r="V210" s="230">
        <v>0</v>
      </c>
      <c r="W210" s="230">
        <v>448602</v>
      </c>
      <c r="X210" s="230">
        <f t="shared" si="32"/>
        <v>0</v>
      </c>
      <c r="Y210" s="230"/>
      <c r="Z210" s="119">
        <f t="shared" si="33"/>
        <v>-33308699</v>
      </c>
      <c r="AA210" s="245">
        <f>-(I210)*2%</f>
        <v>-448602</v>
      </c>
      <c r="AB210" s="230">
        <v>0</v>
      </c>
      <c r="AC210" s="246">
        <f t="shared" si="35"/>
        <v>335666447</v>
      </c>
      <c r="AD210" s="37"/>
    </row>
    <row r="211" spans="1:31" s="267" customFormat="1">
      <c r="A211" s="152">
        <f t="shared" si="34"/>
        <v>207</v>
      </c>
      <c r="B211" s="37" t="s">
        <v>3399</v>
      </c>
      <c r="C211" s="70">
        <v>45870</v>
      </c>
      <c r="D211" s="177">
        <v>2025</v>
      </c>
      <c r="E211" s="146" t="s">
        <v>2319</v>
      </c>
      <c r="F211" s="146" t="s">
        <v>2320</v>
      </c>
      <c r="G211" s="154" t="s">
        <v>3400</v>
      </c>
      <c r="H211" s="246">
        <v>373835000</v>
      </c>
      <c r="I211" s="246">
        <v>29906800</v>
      </c>
      <c r="J211" s="266">
        <v>44411598</v>
      </c>
      <c r="K211" s="231">
        <f t="shared" si="31"/>
        <v>448153398</v>
      </c>
      <c r="L211" s="221"/>
      <c r="M211" s="231">
        <v>0</v>
      </c>
      <c r="N211" s="230">
        <v>447555262</v>
      </c>
      <c r="O211" s="230">
        <v>0</v>
      </c>
      <c r="P211" s="230">
        <v>0</v>
      </c>
      <c r="Q211" s="230">
        <v>0</v>
      </c>
      <c r="R211" s="230">
        <v>0</v>
      </c>
      <c r="S211" s="230">
        <v>0</v>
      </c>
      <c r="T211" s="230">
        <v>0</v>
      </c>
      <c r="U211" s="230">
        <v>0</v>
      </c>
      <c r="V211" s="230">
        <v>0</v>
      </c>
      <c r="W211" s="227">
        <v>598136</v>
      </c>
      <c r="X211" s="230">
        <f t="shared" si="32"/>
        <v>0</v>
      </c>
      <c r="Y211" s="230"/>
      <c r="Z211" s="119">
        <f t="shared" si="33"/>
        <v>-44411598</v>
      </c>
      <c r="AA211" s="245">
        <f>-(I211)*2%</f>
        <v>-598136</v>
      </c>
      <c r="AB211" s="230">
        <v>0</v>
      </c>
      <c r="AC211" s="246">
        <f t="shared" si="35"/>
        <v>447555262</v>
      </c>
      <c r="AD211" s="37"/>
    </row>
    <row r="212" spans="1:31" s="155" customFormat="1">
      <c r="A212" s="152">
        <f t="shared" si="34"/>
        <v>208</v>
      </c>
      <c r="B212" s="37" t="s">
        <v>3401</v>
      </c>
      <c r="C212" s="70">
        <v>45867</v>
      </c>
      <c r="D212" s="177">
        <v>2025</v>
      </c>
      <c r="E212" s="146" t="s">
        <v>3402</v>
      </c>
      <c r="F212" s="146" t="s">
        <v>2313</v>
      </c>
      <c r="G212" s="154" t="s">
        <v>3403</v>
      </c>
      <c r="H212" s="246">
        <v>13552600</v>
      </c>
      <c r="I212" s="246">
        <v>1355260</v>
      </c>
      <c r="J212" s="266">
        <v>163986</v>
      </c>
      <c r="K212" s="231">
        <f t="shared" si="31"/>
        <v>15071846</v>
      </c>
      <c r="L212" s="221"/>
      <c r="M212" s="231">
        <v>0</v>
      </c>
      <c r="N212" s="230">
        <v>0</v>
      </c>
      <c r="O212" s="230">
        <v>15071846</v>
      </c>
      <c r="P212" s="230">
        <v>0</v>
      </c>
      <c r="Q212" s="230">
        <v>0</v>
      </c>
      <c r="R212" s="230">
        <v>0</v>
      </c>
      <c r="S212" s="230">
        <v>0</v>
      </c>
      <c r="T212" s="230">
        <v>0</v>
      </c>
      <c r="U212" s="230">
        <v>0</v>
      </c>
      <c r="V212" s="230">
        <v>0</v>
      </c>
      <c r="W212" s="230">
        <v>0</v>
      </c>
      <c r="X212" s="230">
        <f t="shared" si="32"/>
        <v>0</v>
      </c>
      <c r="Y212" s="230"/>
      <c r="Z212" s="158">
        <f t="shared" si="33"/>
        <v>-163986</v>
      </c>
      <c r="AA212" s="245">
        <v>0</v>
      </c>
      <c r="AB212" s="230">
        <v>0</v>
      </c>
      <c r="AC212" s="246">
        <f t="shared" si="35"/>
        <v>15071846</v>
      </c>
      <c r="AD212" s="37"/>
    </row>
    <row r="213" spans="1:31" s="267" customFormat="1">
      <c r="A213" s="152">
        <f t="shared" si="34"/>
        <v>209</v>
      </c>
      <c r="B213" s="37" t="s">
        <v>3410</v>
      </c>
      <c r="C213" s="70">
        <v>45877</v>
      </c>
      <c r="D213" s="177">
        <v>2025</v>
      </c>
      <c r="E213" s="154" t="s">
        <v>391</v>
      </c>
      <c r="F213" s="146" t="s">
        <v>1622</v>
      </c>
      <c r="G213" s="154" t="s">
        <v>3411</v>
      </c>
      <c r="H213" s="246">
        <v>23950123</v>
      </c>
      <c r="I213" s="246">
        <v>0</v>
      </c>
      <c r="J213" s="266">
        <v>263451</v>
      </c>
      <c r="K213" s="231">
        <f t="shared" si="31"/>
        <v>24213574</v>
      </c>
      <c r="L213" s="221"/>
      <c r="M213" s="231">
        <v>0</v>
      </c>
      <c r="N213" s="230">
        <v>0</v>
      </c>
      <c r="O213" s="230">
        <v>23734572</v>
      </c>
      <c r="P213" s="230">
        <v>0</v>
      </c>
      <c r="Q213" s="230">
        <v>0</v>
      </c>
      <c r="R213" s="230">
        <v>0</v>
      </c>
      <c r="S213" s="230">
        <v>0</v>
      </c>
      <c r="T213" s="230">
        <v>0</v>
      </c>
      <c r="U213" s="230">
        <v>0</v>
      </c>
      <c r="V213" s="230">
        <v>0</v>
      </c>
      <c r="W213" s="230">
        <v>479002</v>
      </c>
      <c r="X213" s="230">
        <f t="shared" si="32"/>
        <v>0</v>
      </c>
      <c r="Y213" s="230"/>
      <c r="Z213" s="119">
        <f t="shared" si="33"/>
        <v>-263451</v>
      </c>
      <c r="AA213" s="245">
        <f>-(H213+I213)*2%+0.46</f>
        <v>-479002</v>
      </c>
      <c r="AB213" s="230">
        <v>0</v>
      </c>
      <c r="AC213" s="246">
        <f t="shared" si="35"/>
        <v>23734572</v>
      </c>
      <c r="AD213" s="146"/>
    </row>
    <row r="214" spans="1:31" s="155" customFormat="1">
      <c r="A214" s="152">
        <f t="shared" si="34"/>
        <v>210</v>
      </c>
      <c r="B214" s="37" t="s">
        <v>3412</v>
      </c>
      <c r="C214" s="70">
        <v>45877</v>
      </c>
      <c r="D214" s="177">
        <v>2025</v>
      </c>
      <c r="E214" s="154" t="s">
        <v>391</v>
      </c>
      <c r="F214" s="146" t="s">
        <v>1622</v>
      </c>
      <c r="G214" s="154" t="s">
        <v>3413</v>
      </c>
      <c r="H214" s="246">
        <v>23636289</v>
      </c>
      <c r="I214" s="246">
        <v>0</v>
      </c>
      <c r="J214" s="266">
        <v>259999</v>
      </c>
      <c r="K214" s="231">
        <f t="shared" si="31"/>
        <v>23896288</v>
      </c>
      <c r="L214" s="221"/>
      <c r="M214" s="231">
        <v>0</v>
      </c>
      <c r="N214" s="230">
        <v>0</v>
      </c>
      <c r="O214" s="230">
        <v>23423562</v>
      </c>
      <c r="P214" s="230">
        <v>0</v>
      </c>
      <c r="Q214" s="230">
        <v>0</v>
      </c>
      <c r="R214" s="230">
        <v>0</v>
      </c>
      <c r="S214" s="230">
        <v>0</v>
      </c>
      <c r="T214" s="230">
        <v>0</v>
      </c>
      <c r="U214" s="230">
        <v>0</v>
      </c>
      <c r="V214" s="230">
        <v>0</v>
      </c>
      <c r="W214" s="230">
        <v>472726</v>
      </c>
      <c r="X214" s="230">
        <f t="shared" si="32"/>
        <v>0</v>
      </c>
      <c r="Y214" s="230"/>
      <c r="Z214" s="158">
        <f t="shared" si="33"/>
        <v>-259999</v>
      </c>
      <c r="AA214" s="245">
        <f>-(H214+I214)*2%-0.22</f>
        <v>-472726</v>
      </c>
      <c r="AB214" s="230">
        <v>0</v>
      </c>
      <c r="AC214" s="246">
        <f t="shared" si="35"/>
        <v>23423562</v>
      </c>
      <c r="AD214" s="146" t="s">
        <v>3414</v>
      </c>
    </row>
    <row r="215" spans="1:31" s="155" customFormat="1">
      <c r="A215" s="152">
        <f t="shared" si="34"/>
        <v>211</v>
      </c>
      <c r="B215" s="37" t="s">
        <v>3415</v>
      </c>
      <c r="C215" s="70">
        <v>45877</v>
      </c>
      <c r="D215" s="177">
        <v>2025</v>
      </c>
      <c r="E215" s="154" t="s">
        <v>391</v>
      </c>
      <c r="F215" s="146" t="s">
        <v>1622</v>
      </c>
      <c r="G215" s="154" t="s">
        <v>3416</v>
      </c>
      <c r="H215" s="246">
        <v>14686464</v>
      </c>
      <c r="I215" s="246">
        <v>0</v>
      </c>
      <c r="J215" s="266">
        <v>161551</v>
      </c>
      <c r="K215" s="231">
        <f t="shared" si="31"/>
        <v>14848015</v>
      </c>
      <c r="L215" s="221"/>
      <c r="M215" s="231">
        <v>0</v>
      </c>
      <c r="N215" s="230">
        <v>0</v>
      </c>
      <c r="O215" s="230">
        <v>14848015</v>
      </c>
      <c r="P215" s="230">
        <v>0</v>
      </c>
      <c r="Q215" s="230">
        <v>0</v>
      </c>
      <c r="R215" s="230">
        <v>0</v>
      </c>
      <c r="S215" s="230">
        <v>0</v>
      </c>
      <c r="T215" s="230">
        <v>0</v>
      </c>
      <c r="U215" s="230">
        <v>0</v>
      </c>
      <c r="V215" s="230">
        <v>0</v>
      </c>
      <c r="W215" s="230">
        <v>0</v>
      </c>
      <c r="X215" s="230">
        <f t="shared" si="32"/>
        <v>0</v>
      </c>
      <c r="Y215" s="230"/>
      <c r="Z215" s="158">
        <f t="shared" si="33"/>
        <v>-161551</v>
      </c>
      <c r="AA215" s="245">
        <v>0</v>
      </c>
      <c r="AB215" s="230">
        <v>0</v>
      </c>
      <c r="AC215" s="246">
        <f t="shared" si="35"/>
        <v>14848015</v>
      </c>
      <c r="AD215" s="146" t="s">
        <v>3414</v>
      </c>
    </row>
    <row r="216" spans="1:31" s="155" customFormat="1">
      <c r="A216" s="152">
        <f t="shared" si="34"/>
        <v>212</v>
      </c>
      <c r="B216" s="37" t="s">
        <v>3417</v>
      </c>
      <c r="C216" s="70">
        <v>45877</v>
      </c>
      <c r="D216" s="177">
        <v>2025</v>
      </c>
      <c r="E216" s="154" t="s">
        <v>391</v>
      </c>
      <c r="F216" s="146" t="s">
        <v>1622</v>
      </c>
      <c r="G216" s="154" t="s">
        <v>3418</v>
      </c>
      <c r="H216" s="246">
        <v>48592500</v>
      </c>
      <c r="I216" s="246">
        <v>0</v>
      </c>
      <c r="J216" s="266">
        <v>534518</v>
      </c>
      <c r="K216" s="231">
        <f t="shared" si="31"/>
        <v>49127018</v>
      </c>
      <c r="L216" s="221"/>
      <c r="M216" s="231">
        <v>0</v>
      </c>
      <c r="N216" s="230">
        <v>0</v>
      </c>
      <c r="O216" s="230">
        <v>48155168</v>
      </c>
      <c r="P216" s="230">
        <v>0</v>
      </c>
      <c r="Q216" s="230">
        <v>0</v>
      </c>
      <c r="R216" s="230">
        <v>0</v>
      </c>
      <c r="S216" s="230">
        <v>0</v>
      </c>
      <c r="T216" s="230">
        <v>0</v>
      </c>
      <c r="U216" s="230">
        <v>0</v>
      </c>
      <c r="V216" s="230">
        <v>0</v>
      </c>
      <c r="W216" s="230">
        <v>971850</v>
      </c>
      <c r="X216" s="230">
        <f t="shared" si="32"/>
        <v>0</v>
      </c>
      <c r="Y216" s="230"/>
      <c r="Z216" s="158">
        <f t="shared" si="33"/>
        <v>-534518</v>
      </c>
      <c r="AA216" s="245">
        <f>-(H216+I216)*2%</f>
        <v>-971850</v>
      </c>
      <c r="AB216" s="230">
        <v>0</v>
      </c>
      <c r="AC216" s="246">
        <f t="shared" si="35"/>
        <v>48155168</v>
      </c>
      <c r="AD216" s="146" t="s">
        <v>3414</v>
      </c>
      <c r="AE216" s="155" t="s">
        <v>26</v>
      </c>
    </row>
    <row r="217" spans="1:31" s="267" customFormat="1">
      <c r="A217" s="152">
        <f t="shared" si="34"/>
        <v>213</v>
      </c>
      <c r="B217" s="37" t="s">
        <v>3419</v>
      </c>
      <c r="C217" s="70">
        <v>45877</v>
      </c>
      <c r="D217" s="177">
        <v>2025</v>
      </c>
      <c r="E217" s="154" t="s">
        <v>391</v>
      </c>
      <c r="F217" s="146" t="s">
        <v>1622</v>
      </c>
      <c r="G217" s="154" t="s">
        <v>3420</v>
      </c>
      <c r="H217" s="246">
        <v>1045000</v>
      </c>
      <c r="I217" s="246">
        <v>0</v>
      </c>
      <c r="J217" s="266">
        <v>11495</v>
      </c>
      <c r="K217" s="231">
        <f t="shared" si="31"/>
        <v>1056495</v>
      </c>
      <c r="L217" s="221"/>
      <c r="M217" s="231">
        <v>0</v>
      </c>
      <c r="N217" s="230">
        <v>0</v>
      </c>
      <c r="O217" s="230">
        <v>1056495</v>
      </c>
      <c r="P217" s="230">
        <v>0</v>
      </c>
      <c r="Q217" s="230">
        <v>0</v>
      </c>
      <c r="R217" s="230">
        <v>0</v>
      </c>
      <c r="S217" s="230">
        <v>0</v>
      </c>
      <c r="T217" s="230">
        <v>0</v>
      </c>
      <c r="U217" s="230">
        <v>0</v>
      </c>
      <c r="V217" s="230">
        <v>0</v>
      </c>
      <c r="W217" s="230">
        <v>0</v>
      </c>
      <c r="X217" s="230">
        <f t="shared" si="32"/>
        <v>0</v>
      </c>
      <c r="Y217" s="230"/>
      <c r="Z217" s="158">
        <f t="shared" si="33"/>
        <v>-11495</v>
      </c>
      <c r="AA217" s="245">
        <v>0</v>
      </c>
      <c r="AB217" s="230">
        <v>0</v>
      </c>
      <c r="AC217" s="246">
        <f t="shared" si="35"/>
        <v>1056495</v>
      </c>
      <c r="AD217" s="146" t="s">
        <v>3414</v>
      </c>
      <c r="AE217" s="267" t="s">
        <v>26</v>
      </c>
    </row>
    <row r="218" spans="1:31" s="155" customFormat="1">
      <c r="A218" s="152">
        <f t="shared" si="34"/>
        <v>214</v>
      </c>
      <c r="B218" s="37" t="s">
        <v>3421</v>
      </c>
      <c r="C218" s="70">
        <v>45877</v>
      </c>
      <c r="D218" s="177">
        <v>2025</v>
      </c>
      <c r="E218" s="154" t="s">
        <v>391</v>
      </c>
      <c r="F218" s="146" t="s">
        <v>1622</v>
      </c>
      <c r="G218" s="154" t="s">
        <v>3422</v>
      </c>
      <c r="H218" s="246">
        <v>91475934</v>
      </c>
      <c r="I218" s="246">
        <v>0</v>
      </c>
      <c r="J218" s="266">
        <v>1006235</v>
      </c>
      <c r="K218" s="231">
        <f t="shared" si="31"/>
        <v>92482169</v>
      </c>
      <c r="L218" s="221"/>
      <c r="M218" s="231">
        <v>0</v>
      </c>
      <c r="N218" s="230">
        <v>0</v>
      </c>
      <c r="O218" s="230">
        <v>90652650</v>
      </c>
      <c r="P218" s="230">
        <v>0</v>
      </c>
      <c r="Q218" s="230">
        <v>0</v>
      </c>
      <c r="R218" s="230">
        <v>0</v>
      </c>
      <c r="S218" s="230">
        <v>0</v>
      </c>
      <c r="T218" s="230">
        <v>0</v>
      </c>
      <c r="U218" s="230">
        <v>0</v>
      </c>
      <c r="V218" s="230">
        <v>0</v>
      </c>
      <c r="W218" s="230">
        <v>1829519</v>
      </c>
      <c r="X218" s="230">
        <f t="shared" si="32"/>
        <v>0</v>
      </c>
      <c r="Y218" s="230"/>
      <c r="Z218" s="158">
        <f t="shared" si="33"/>
        <v>-1006235</v>
      </c>
      <c r="AA218" s="245">
        <f>-(H218+I218)*2%-0.32</f>
        <v>-1829519</v>
      </c>
      <c r="AB218" s="230">
        <v>0</v>
      </c>
      <c r="AC218" s="246">
        <f t="shared" si="35"/>
        <v>90652650</v>
      </c>
      <c r="AD218" s="146" t="s">
        <v>3414</v>
      </c>
      <c r="AE218" s="155" t="s">
        <v>26</v>
      </c>
    </row>
    <row r="219" spans="1:31" s="155" customFormat="1">
      <c r="A219" s="152">
        <f t="shared" si="34"/>
        <v>215</v>
      </c>
      <c r="B219" s="37" t="s">
        <v>3423</v>
      </c>
      <c r="C219" s="70">
        <v>45877</v>
      </c>
      <c r="D219" s="177">
        <v>2025</v>
      </c>
      <c r="E219" s="154" t="s">
        <v>391</v>
      </c>
      <c r="F219" s="146" t="s">
        <v>1622</v>
      </c>
      <c r="G219" s="154" t="s">
        <v>3424</v>
      </c>
      <c r="H219" s="246">
        <v>18865000</v>
      </c>
      <c r="I219" s="246">
        <v>0</v>
      </c>
      <c r="J219" s="266">
        <v>207515</v>
      </c>
      <c r="K219" s="231">
        <f t="shared" si="31"/>
        <v>19072515</v>
      </c>
      <c r="L219" s="221"/>
      <c r="M219" s="231">
        <v>0</v>
      </c>
      <c r="N219" s="230">
        <v>0</v>
      </c>
      <c r="O219" s="230">
        <v>18695215</v>
      </c>
      <c r="P219" s="230">
        <v>0</v>
      </c>
      <c r="Q219" s="230">
        <v>0</v>
      </c>
      <c r="R219" s="230">
        <v>0</v>
      </c>
      <c r="S219" s="230">
        <v>0</v>
      </c>
      <c r="T219" s="230">
        <v>0</v>
      </c>
      <c r="U219" s="230">
        <v>0</v>
      </c>
      <c r="V219" s="230">
        <v>0</v>
      </c>
      <c r="W219" s="230">
        <v>377300</v>
      </c>
      <c r="X219" s="230">
        <f t="shared" si="32"/>
        <v>0</v>
      </c>
      <c r="Y219" s="230"/>
      <c r="Z219" s="158">
        <f t="shared" si="33"/>
        <v>-207515</v>
      </c>
      <c r="AA219" s="245">
        <f>-(H219+I219)*2%</f>
        <v>-377300</v>
      </c>
      <c r="AB219" s="230">
        <v>0</v>
      </c>
      <c r="AC219" s="246">
        <f t="shared" si="35"/>
        <v>18695215</v>
      </c>
      <c r="AD219" s="146" t="s">
        <v>3414</v>
      </c>
      <c r="AE219" s="155" t="s">
        <v>26</v>
      </c>
    </row>
    <row r="220" spans="1:31" s="155" customFormat="1">
      <c r="A220" s="152">
        <f t="shared" si="34"/>
        <v>216</v>
      </c>
      <c r="B220" s="37" t="s">
        <v>3425</v>
      </c>
      <c r="C220" s="70">
        <v>45880</v>
      </c>
      <c r="D220" s="177">
        <v>2025</v>
      </c>
      <c r="E220" s="154" t="s">
        <v>391</v>
      </c>
      <c r="F220" s="146" t="s">
        <v>1622</v>
      </c>
      <c r="G220" s="154" t="s">
        <v>3426</v>
      </c>
      <c r="H220" s="246">
        <v>25591853</v>
      </c>
      <c r="I220" s="246">
        <v>0</v>
      </c>
      <c r="J220" s="266">
        <v>281510</v>
      </c>
      <c r="K220" s="231">
        <f t="shared" si="31"/>
        <v>25873363</v>
      </c>
      <c r="L220" s="221"/>
      <c r="M220" s="231">
        <v>0</v>
      </c>
      <c r="N220" s="230">
        <v>0</v>
      </c>
      <c r="O220" s="230">
        <v>25873363</v>
      </c>
      <c r="P220" s="230">
        <v>0</v>
      </c>
      <c r="Q220" s="230">
        <v>0</v>
      </c>
      <c r="R220" s="230">
        <v>0</v>
      </c>
      <c r="S220" s="230">
        <v>0</v>
      </c>
      <c r="T220" s="230">
        <v>0</v>
      </c>
      <c r="U220" s="230">
        <v>0</v>
      </c>
      <c r="V220" s="230">
        <v>0</v>
      </c>
      <c r="W220" s="230">
        <v>0</v>
      </c>
      <c r="X220" s="230">
        <f t="shared" si="32"/>
        <v>0</v>
      </c>
      <c r="Y220" s="230"/>
      <c r="Z220" s="158">
        <f t="shared" si="33"/>
        <v>-281510</v>
      </c>
      <c r="AA220" s="245">
        <v>0</v>
      </c>
      <c r="AB220" s="230">
        <v>0</v>
      </c>
      <c r="AC220" s="246">
        <f t="shared" si="35"/>
        <v>25873363</v>
      </c>
      <c r="AD220" s="146" t="s">
        <v>3414</v>
      </c>
      <c r="AE220" s="155" t="s">
        <v>26</v>
      </c>
    </row>
    <row r="221" spans="1:31" s="155" customFormat="1" ht="15" customHeight="1">
      <c r="A221" s="255">
        <f t="shared" si="34"/>
        <v>217</v>
      </c>
      <c r="B221" s="208" t="s">
        <v>3427</v>
      </c>
      <c r="C221" s="273">
        <v>45880</v>
      </c>
      <c r="D221" s="35">
        <v>2024</v>
      </c>
      <c r="E221" s="225" t="s">
        <v>26</v>
      </c>
      <c r="F221" s="225" t="s">
        <v>26</v>
      </c>
      <c r="G221" s="225" t="s">
        <v>5915</v>
      </c>
      <c r="H221" s="266">
        <v>0</v>
      </c>
      <c r="I221" s="266">
        <v>0</v>
      </c>
      <c r="J221" s="266">
        <v>0</v>
      </c>
      <c r="K221" s="263">
        <f t="shared" si="31"/>
        <v>0</v>
      </c>
      <c r="L221" s="262"/>
      <c r="M221" s="263">
        <v>0</v>
      </c>
      <c r="N221" s="253">
        <v>0</v>
      </c>
      <c r="O221" s="253">
        <v>0</v>
      </c>
      <c r="P221" s="253">
        <v>0</v>
      </c>
      <c r="Q221" s="253">
        <v>0</v>
      </c>
      <c r="R221" s="253">
        <v>0</v>
      </c>
      <c r="S221" s="253">
        <v>0</v>
      </c>
      <c r="T221" s="253">
        <v>0</v>
      </c>
      <c r="U221" s="253">
        <v>0</v>
      </c>
      <c r="V221" s="253">
        <v>0</v>
      </c>
      <c r="W221" s="253">
        <v>0</v>
      </c>
      <c r="X221" s="253">
        <f t="shared" si="32"/>
        <v>0</v>
      </c>
      <c r="Y221" s="253"/>
      <c r="Z221" s="264">
        <f t="shared" si="33"/>
        <v>0</v>
      </c>
      <c r="AA221" s="265">
        <v>0</v>
      </c>
      <c r="AB221" s="253">
        <v>0</v>
      </c>
      <c r="AC221" s="266">
        <v>0</v>
      </c>
      <c r="AD221" s="208" t="s">
        <v>3428</v>
      </c>
    </row>
    <row r="222" spans="1:31" s="215" customFormat="1">
      <c r="A222" s="152">
        <f t="shared" si="34"/>
        <v>218</v>
      </c>
      <c r="B222" s="37" t="s">
        <v>3429</v>
      </c>
      <c r="C222" s="70">
        <v>45884</v>
      </c>
      <c r="D222" s="177">
        <v>2025</v>
      </c>
      <c r="E222" s="154" t="s">
        <v>389</v>
      </c>
      <c r="F222" s="154" t="s">
        <v>1376</v>
      </c>
      <c r="G222" s="154" t="s">
        <v>3430</v>
      </c>
      <c r="H222" s="246">
        <v>178200000</v>
      </c>
      <c r="I222" s="246">
        <v>19800000</v>
      </c>
      <c r="J222" s="266">
        <v>2178000</v>
      </c>
      <c r="K222" s="231">
        <f t="shared" si="31"/>
        <v>200178000</v>
      </c>
      <c r="L222" s="221"/>
      <c r="M222" s="231">
        <v>0</v>
      </c>
      <c r="N222" s="230">
        <v>0</v>
      </c>
      <c r="O222" s="230">
        <v>199782000</v>
      </c>
      <c r="P222" s="230">
        <v>0</v>
      </c>
      <c r="Q222" s="230">
        <v>0</v>
      </c>
      <c r="R222" s="230">
        <v>0</v>
      </c>
      <c r="S222" s="230">
        <v>0</v>
      </c>
      <c r="T222" s="230">
        <v>0</v>
      </c>
      <c r="U222" s="230">
        <v>0</v>
      </c>
      <c r="V222" s="230">
        <v>0</v>
      </c>
      <c r="W222" s="230">
        <v>396000</v>
      </c>
      <c r="X222" s="230">
        <f t="shared" si="32"/>
        <v>0</v>
      </c>
      <c r="Y222" s="230"/>
      <c r="Z222" s="158">
        <f t="shared" si="33"/>
        <v>-2178000</v>
      </c>
      <c r="AA222" s="245">
        <f>-(I222)*2%</f>
        <v>-396000</v>
      </c>
      <c r="AB222" s="230">
        <v>0</v>
      </c>
      <c r="AC222" s="246">
        <f t="shared" ref="AC222:AC229" si="36">K222+AA222</f>
        <v>199782000</v>
      </c>
      <c r="AD222" s="146" t="s">
        <v>3431</v>
      </c>
    </row>
    <row r="223" spans="1:31" s="155" customFormat="1">
      <c r="A223" s="152">
        <f t="shared" si="34"/>
        <v>219</v>
      </c>
      <c r="B223" s="37" t="s">
        <v>3432</v>
      </c>
      <c r="C223" s="70">
        <v>45884</v>
      </c>
      <c r="D223" s="35">
        <v>2025</v>
      </c>
      <c r="E223" s="154" t="s">
        <v>389</v>
      </c>
      <c r="F223" s="154" t="s">
        <v>1376</v>
      </c>
      <c r="G223" s="154" t="s">
        <v>3433</v>
      </c>
      <c r="H223" s="246">
        <v>17691020</v>
      </c>
      <c r="I223" s="246">
        <v>1965669</v>
      </c>
      <c r="J223" s="266">
        <v>216224</v>
      </c>
      <c r="K223" s="231">
        <f t="shared" si="31"/>
        <v>19872913</v>
      </c>
      <c r="L223" s="221"/>
      <c r="M223" s="231">
        <v>0</v>
      </c>
      <c r="N223" s="230">
        <v>0</v>
      </c>
      <c r="O223" s="230">
        <v>0</v>
      </c>
      <c r="P223" s="230">
        <v>0</v>
      </c>
      <c r="Q223" s="230">
        <v>0</v>
      </c>
      <c r="R223" s="230">
        <v>0</v>
      </c>
      <c r="S223" s="230">
        <v>0</v>
      </c>
      <c r="T223" s="230">
        <v>0</v>
      </c>
      <c r="U223" s="230">
        <v>0</v>
      </c>
      <c r="V223" s="230">
        <v>0</v>
      </c>
      <c r="W223" s="230">
        <v>0</v>
      </c>
      <c r="X223" s="230">
        <f t="shared" si="32"/>
        <v>19872913</v>
      </c>
      <c r="Y223" s="230"/>
      <c r="Z223" s="158">
        <f t="shared" si="33"/>
        <v>-216224</v>
      </c>
      <c r="AA223" s="245">
        <f>-(I223)*2%+0.38</f>
        <v>-39313</v>
      </c>
      <c r="AB223" s="230">
        <v>0</v>
      </c>
      <c r="AC223" s="246">
        <f t="shared" si="36"/>
        <v>19833600</v>
      </c>
      <c r="AD223" s="146"/>
    </row>
    <row r="224" spans="1:31" s="215" customFormat="1">
      <c r="A224" s="152">
        <f t="shared" si="34"/>
        <v>220</v>
      </c>
      <c r="B224" s="37" t="s">
        <v>3434</v>
      </c>
      <c r="C224" s="70">
        <v>45884</v>
      </c>
      <c r="D224" s="177">
        <v>2025</v>
      </c>
      <c r="E224" s="154" t="s">
        <v>389</v>
      </c>
      <c r="F224" s="154" t="s">
        <v>1376</v>
      </c>
      <c r="G224" s="154" t="s">
        <v>3435</v>
      </c>
      <c r="H224" s="246">
        <v>132042312</v>
      </c>
      <c r="I224" s="246">
        <v>14671368</v>
      </c>
      <c r="J224" s="266">
        <v>1613850</v>
      </c>
      <c r="K224" s="231">
        <f t="shared" si="31"/>
        <v>148327530</v>
      </c>
      <c r="L224" s="221"/>
      <c r="M224" s="231">
        <v>0</v>
      </c>
      <c r="N224" s="230">
        <v>0</v>
      </c>
      <c r="O224" s="230">
        <v>148034103</v>
      </c>
      <c r="P224" s="230">
        <v>0</v>
      </c>
      <c r="Q224" s="230">
        <v>0</v>
      </c>
      <c r="R224" s="230">
        <v>0</v>
      </c>
      <c r="S224" s="230">
        <v>0</v>
      </c>
      <c r="T224" s="230">
        <v>0</v>
      </c>
      <c r="U224" s="230">
        <v>0</v>
      </c>
      <c r="V224" s="230">
        <v>0</v>
      </c>
      <c r="W224" s="230">
        <v>293427</v>
      </c>
      <c r="X224" s="230">
        <f t="shared" si="32"/>
        <v>0</v>
      </c>
      <c r="Y224" s="230"/>
      <c r="Z224" s="158">
        <f t="shared" si="33"/>
        <v>-1613850</v>
      </c>
      <c r="AA224" s="245">
        <f>-(I224)*2%+0.36</f>
        <v>-293427</v>
      </c>
      <c r="AB224" s="230">
        <v>0</v>
      </c>
      <c r="AC224" s="246">
        <f t="shared" si="36"/>
        <v>148034103</v>
      </c>
      <c r="AD224" s="146" t="s">
        <v>3431</v>
      </c>
    </row>
    <row r="225" spans="1:30" s="215" customFormat="1">
      <c r="A225" s="152">
        <f t="shared" si="34"/>
        <v>221</v>
      </c>
      <c r="B225" s="37" t="s">
        <v>3436</v>
      </c>
      <c r="C225" s="70">
        <v>45884</v>
      </c>
      <c r="D225" s="177">
        <v>2025</v>
      </c>
      <c r="E225" s="154" t="s">
        <v>389</v>
      </c>
      <c r="F225" s="154" t="s">
        <v>1376</v>
      </c>
      <c r="G225" s="154" t="s">
        <v>3437</v>
      </c>
      <c r="H225" s="246">
        <v>133328606</v>
      </c>
      <c r="I225" s="246">
        <v>14814289</v>
      </c>
      <c r="J225" s="266">
        <v>1629572</v>
      </c>
      <c r="K225" s="231">
        <f t="shared" si="31"/>
        <v>149772467</v>
      </c>
      <c r="L225" s="221"/>
      <c r="M225" s="231">
        <v>0</v>
      </c>
      <c r="N225" s="230">
        <v>0</v>
      </c>
      <c r="O225" s="230">
        <v>149476181</v>
      </c>
      <c r="P225" s="230">
        <v>0</v>
      </c>
      <c r="Q225" s="230">
        <v>0</v>
      </c>
      <c r="R225" s="230">
        <v>0</v>
      </c>
      <c r="S225" s="230">
        <v>0</v>
      </c>
      <c r="T225" s="230">
        <v>0</v>
      </c>
      <c r="U225" s="230">
        <v>0</v>
      </c>
      <c r="V225" s="230">
        <v>0</v>
      </c>
      <c r="W225" s="230">
        <v>296286</v>
      </c>
      <c r="X225" s="230">
        <f t="shared" si="32"/>
        <v>0</v>
      </c>
      <c r="Y225" s="230"/>
      <c r="Z225" s="158">
        <f t="shared" si="33"/>
        <v>-1629572</v>
      </c>
      <c r="AA225" s="245">
        <f>-(I225)*2%-0.22</f>
        <v>-296286</v>
      </c>
      <c r="AB225" s="230">
        <v>0</v>
      </c>
      <c r="AC225" s="246">
        <f t="shared" si="36"/>
        <v>149476181</v>
      </c>
      <c r="AD225" s="146" t="s">
        <v>3431</v>
      </c>
    </row>
    <row r="226" spans="1:30" s="215" customFormat="1">
      <c r="A226" s="152">
        <f t="shared" si="34"/>
        <v>222</v>
      </c>
      <c r="B226" s="37" t="s">
        <v>3438</v>
      </c>
      <c r="C226" s="70">
        <v>45884</v>
      </c>
      <c r="D226" s="177">
        <v>2025</v>
      </c>
      <c r="E226" s="154" t="s">
        <v>3439</v>
      </c>
      <c r="F226" s="154" t="s">
        <v>3440</v>
      </c>
      <c r="G226" s="154" t="s">
        <v>3441</v>
      </c>
      <c r="H226" s="246">
        <v>6000000</v>
      </c>
      <c r="I226" s="246">
        <v>600000</v>
      </c>
      <c r="J226" s="266">
        <v>726000</v>
      </c>
      <c r="K226" s="231">
        <f t="shared" si="31"/>
        <v>7326000</v>
      </c>
      <c r="L226" s="221"/>
      <c r="M226" s="231">
        <v>0</v>
      </c>
      <c r="N226" s="230">
        <v>7326000</v>
      </c>
      <c r="O226" s="230">
        <v>0</v>
      </c>
      <c r="P226" s="230">
        <v>0</v>
      </c>
      <c r="Q226" s="230">
        <v>0</v>
      </c>
      <c r="R226" s="230">
        <v>0</v>
      </c>
      <c r="S226" s="230">
        <v>0</v>
      </c>
      <c r="T226" s="230">
        <v>0</v>
      </c>
      <c r="U226" s="230">
        <v>0</v>
      </c>
      <c r="V226" s="230">
        <v>0</v>
      </c>
      <c r="W226" s="230">
        <v>0</v>
      </c>
      <c r="X226" s="230">
        <f t="shared" si="32"/>
        <v>0</v>
      </c>
      <c r="Y226" s="230"/>
      <c r="Z226" s="158">
        <f t="shared" si="33"/>
        <v>-726000</v>
      </c>
      <c r="AA226" s="245">
        <v>0</v>
      </c>
      <c r="AB226" s="230">
        <v>0</v>
      </c>
      <c r="AC226" s="246">
        <f t="shared" si="36"/>
        <v>7326000</v>
      </c>
      <c r="AD226" s="146"/>
    </row>
    <row r="227" spans="1:30" s="267" customFormat="1">
      <c r="A227" s="152">
        <f t="shared" si="34"/>
        <v>223</v>
      </c>
      <c r="B227" s="37" t="s">
        <v>3444</v>
      </c>
      <c r="C227" s="70">
        <v>45891</v>
      </c>
      <c r="D227" s="177">
        <v>2025</v>
      </c>
      <c r="E227" s="154" t="s">
        <v>3445</v>
      </c>
      <c r="F227" s="154" t="s">
        <v>2316</v>
      </c>
      <c r="G227" s="154" t="s">
        <v>2317</v>
      </c>
      <c r="H227" s="246">
        <v>68932417</v>
      </c>
      <c r="I227" s="246">
        <v>6893242</v>
      </c>
      <c r="J227" s="266">
        <v>834082</v>
      </c>
      <c r="K227" s="231">
        <f t="shared" si="31"/>
        <v>76659741</v>
      </c>
      <c r="L227" s="221"/>
      <c r="M227" s="231">
        <v>0</v>
      </c>
      <c r="N227" s="230">
        <v>76659742</v>
      </c>
      <c r="O227" s="230">
        <v>0</v>
      </c>
      <c r="P227" s="230">
        <v>0</v>
      </c>
      <c r="Q227" s="230">
        <v>0</v>
      </c>
      <c r="R227" s="230">
        <v>0</v>
      </c>
      <c r="S227" s="230">
        <v>0</v>
      </c>
      <c r="T227" s="230">
        <v>0</v>
      </c>
      <c r="U227" s="230">
        <v>0</v>
      </c>
      <c r="V227" s="230">
        <v>0</v>
      </c>
      <c r="W227" s="230">
        <v>-1</v>
      </c>
      <c r="X227" s="230">
        <f t="shared" si="32"/>
        <v>0</v>
      </c>
      <c r="Y227" s="230"/>
      <c r="Z227" s="119">
        <f t="shared" si="33"/>
        <v>-834082</v>
      </c>
      <c r="AA227" s="245">
        <v>0</v>
      </c>
      <c r="AB227" s="230">
        <v>0</v>
      </c>
      <c r="AC227" s="246">
        <f t="shared" si="36"/>
        <v>76659741</v>
      </c>
      <c r="AD227" s="154"/>
    </row>
    <row r="228" spans="1:30" s="215" customFormat="1">
      <c r="A228" s="152">
        <f t="shared" si="34"/>
        <v>224</v>
      </c>
      <c r="B228" s="37" t="s">
        <v>3446</v>
      </c>
      <c r="C228" s="70">
        <v>45891</v>
      </c>
      <c r="D228" s="177">
        <v>2025</v>
      </c>
      <c r="E228" s="154" t="s">
        <v>2315</v>
      </c>
      <c r="F228" s="154" t="s">
        <v>2316</v>
      </c>
      <c r="G228" s="154" t="s">
        <v>2317</v>
      </c>
      <c r="H228" s="246">
        <v>172857233</v>
      </c>
      <c r="I228" s="246">
        <v>17285723</v>
      </c>
      <c r="J228" s="266">
        <v>2091573</v>
      </c>
      <c r="K228" s="231">
        <f t="shared" si="31"/>
        <v>192234529</v>
      </c>
      <c r="L228" s="221"/>
      <c r="M228" s="231">
        <v>0</v>
      </c>
      <c r="N228" s="230">
        <v>191888814</v>
      </c>
      <c r="O228" s="230">
        <v>0</v>
      </c>
      <c r="P228" s="230">
        <v>0</v>
      </c>
      <c r="Q228" s="230">
        <v>0</v>
      </c>
      <c r="R228" s="230">
        <v>0</v>
      </c>
      <c r="S228" s="230">
        <v>0</v>
      </c>
      <c r="T228" s="230">
        <v>0</v>
      </c>
      <c r="U228" s="230">
        <v>0</v>
      </c>
      <c r="V228" s="230">
        <v>0</v>
      </c>
      <c r="W228" s="230">
        <v>345715</v>
      </c>
      <c r="X228" s="230">
        <f t="shared" si="32"/>
        <v>0</v>
      </c>
      <c r="Y228" s="230"/>
      <c r="Z228" s="158">
        <f t="shared" si="33"/>
        <v>-2091573</v>
      </c>
      <c r="AA228" s="245">
        <f>-(I228)*2%-0.54</f>
        <v>-345715</v>
      </c>
      <c r="AB228" s="230">
        <v>0</v>
      </c>
      <c r="AC228" s="246">
        <f t="shared" si="36"/>
        <v>191888814</v>
      </c>
      <c r="AD228" s="146"/>
    </row>
    <row r="229" spans="1:30" s="267" customFormat="1">
      <c r="A229" s="152">
        <f t="shared" si="34"/>
        <v>225</v>
      </c>
      <c r="B229" s="37" t="s">
        <v>3447</v>
      </c>
      <c r="C229" s="70">
        <v>45891</v>
      </c>
      <c r="D229" s="177">
        <v>2025</v>
      </c>
      <c r="E229" s="154" t="s">
        <v>2315</v>
      </c>
      <c r="F229" s="154" t="s">
        <v>2316</v>
      </c>
      <c r="G229" s="154" t="s">
        <v>3448</v>
      </c>
      <c r="H229" s="246">
        <v>18562550</v>
      </c>
      <c r="I229" s="246">
        <v>1856255</v>
      </c>
      <c r="J229" s="266">
        <v>224607</v>
      </c>
      <c r="K229" s="231">
        <f t="shared" si="31"/>
        <v>20643412</v>
      </c>
      <c r="L229" s="221"/>
      <c r="M229" s="231">
        <v>0</v>
      </c>
      <c r="N229" s="230">
        <v>20606287</v>
      </c>
      <c r="O229" s="230">
        <v>0</v>
      </c>
      <c r="P229" s="230">
        <v>0</v>
      </c>
      <c r="Q229" s="230">
        <v>0</v>
      </c>
      <c r="R229" s="230">
        <v>0</v>
      </c>
      <c r="S229" s="230">
        <v>0</v>
      </c>
      <c r="T229" s="230">
        <v>0</v>
      </c>
      <c r="U229" s="230">
        <v>0</v>
      </c>
      <c r="V229" s="230">
        <v>0</v>
      </c>
      <c r="W229" s="230">
        <v>37125</v>
      </c>
      <c r="X229" s="230">
        <f t="shared" si="32"/>
        <v>0</v>
      </c>
      <c r="Y229" s="230"/>
      <c r="Z229" s="119">
        <f t="shared" si="33"/>
        <v>-224607</v>
      </c>
      <c r="AA229" s="245">
        <f>-(I229)*2%+0.1</f>
        <v>-37125</v>
      </c>
      <c r="AB229" s="230">
        <v>0</v>
      </c>
      <c r="AC229" s="246">
        <f t="shared" si="36"/>
        <v>20606287</v>
      </c>
      <c r="AD229" s="146"/>
    </row>
    <row r="230" spans="1:30" s="155" customFormat="1">
      <c r="A230" s="255">
        <f t="shared" si="34"/>
        <v>226</v>
      </c>
      <c r="B230" s="208" t="s">
        <v>3449</v>
      </c>
      <c r="C230" s="273">
        <v>45891</v>
      </c>
      <c r="D230" s="35">
        <v>2024</v>
      </c>
      <c r="E230" s="225" t="s">
        <v>26</v>
      </c>
      <c r="F230" s="225" t="s">
        <v>26</v>
      </c>
      <c r="G230" s="225" t="s">
        <v>5835</v>
      </c>
      <c r="H230" s="266">
        <v>0</v>
      </c>
      <c r="I230" s="266">
        <v>0</v>
      </c>
      <c r="J230" s="266">
        <v>0</v>
      </c>
      <c r="K230" s="263">
        <f t="shared" si="31"/>
        <v>0</v>
      </c>
      <c r="L230" s="262"/>
      <c r="M230" s="263">
        <v>0</v>
      </c>
      <c r="N230" s="253">
        <v>0</v>
      </c>
      <c r="O230" s="253">
        <v>0</v>
      </c>
      <c r="P230" s="253">
        <v>0</v>
      </c>
      <c r="Q230" s="253">
        <v>0</v>
      </c>
      <c r="R230" s="253">
        <v>0</v>
      </c>
      <c r="S230" s="253">
        <v>0</v>
      </c>
      <c r="T230" s="253">
        <v>0</v>
      </c>
      <c r="U230" s="253">
        <v>0</v>
      </c>
      <c r="V230" s="253">
        <v>0</v>
      </c>
      <c r="W230" s="253">
        <v>0</v>
      </c>
      <c r="X230" s="253">
        <f t="shared" si="32"/>
        <v>0</v>
      </c>
      <c r="Y230" s="253"/>
      <c r="Z230" s="264">
        <f t="shared" si="33"/>
        <v>0</v>
      </c>
      <c r="AA230" s="265">
        <f>-(H230+I230)*2%</f>
        <v>0</v>
      </c>
      <c r="AB230" s="253">
        <f>K230+Z230+AA230</f>
        <v>0</v>
      </c>
      <c r="AC230" s="266">
        <v>0</v>
      </c>
      <c r="AD230" s="208"/>
    </row>
    <row r="231" spans="1:30" s="215" customFormat="1">
      <c r="A231" s="152">
        <f t="shared" si="34"/>
        <v>227</v>
      </c>
      <c r="B231" s="37" t="s">
        <v>3450</v>
      </c>
      <c r="C231" s="70">
        <v>45891</v>
      </c>
      <c r="D231" s="177">
        <v>2025</v>
      </c>
      <c r="E231" s="154" t="s">
        <v>3451</v>
      </c>
      <c r="F231" s="154" t="s">
        <v>2327</v>
      </c>
      <c r="G231" s="154" t="s">
        <v>2328</v>
      </c>
      <c r="H231" s="246">
        <v>31250000</v>
      </c>
      <c r="I231" s="246">
        <v>3125000</v>
      </c>
      <c r="J231" s="266">
        <v>3781250</v>
      </c>
      <c r="K231" s="231">
        <f t="shared" si="31"/>
        <v>38156250</v>
      </c>
      <c r="L231" s="221"/>
      <c r="M231" s="231">
        <v>0</v>
      </c>
      <c r="N231" s="230">
        <v>0</v>
      </c>
      <c r="O231" s="230">
        <v>0</v>
      </c>
      <c r="P231" s="230">
        <v>38093750</v>
      </c>
      <c r="Q231" s="230">
        <v>0</v>
      </c>
      <c r="R231" s="230">
        <v>0</v>
      </c>
      <c r="S231" s="230">
        <v>0</v>
      </c>
      <c r="T231" s="230">
        <v>0</v>
      </c>
      <c r="U231" s="230">
        <v>0</v>
      </c>
      <c r="V231" s="230">
        <v>0</v>
      </c>
      <c r="W231" s="230">
        <v>62500</v>
      </c>
      <c r="X231" s="230">
        <f t="shared" si="32"/>
        <v>0</v>
      </c>
      <c r="Y231" s="230"/>
      <c r="Z231" s="158">
        <f t="shared" si="33"/>
        <v>-3781250</v>
      </c>
      <c r="AA231" s="245">
        <f>-(I231)*2%</f>
        <v>-62500</v>
      </c>
      <c r="AB231" s="230">
        <v>0</v>
      </c>
      <c r="AC231" s="246">
        <f t="shared" ref="AC231:AC241" si="37">K231+AA231</f>
        <v>38093750</v>
      </c>
      <c r="AD231" s="146"/>
    </row>
    <row r="232" spans="1:30" s="155" customFormat="1">
      <c r="A232" s="152">
        <f t="shared" si="34"/>
        <v>228</v>
      </c>
      <c r="B232" s="37" t="s">
        <v>3452</v>
      </c>
      <c r="C232" s="70">
        <v>45896</v>
      </c>
      <c r="D232" s="177">
        <v>2025</v>
      </c>
      <c r="E232" s="154" t="s">
        <v>3453</v>
      </c>
      <c r="F232" s="154" t="s">
        <v>3232</v>
      </c>
      <c r="G232" s="154" t="s">
        <v>3454</v>
      </c>
      <c r="H232" s="246">
        <v>638626500</v>
      </c>
      <c r="I232" s="246">
        <v>51090120</v>
      </c>
      <c r="J232" s="266">
        <v>7586883</v>
      </c>
      <c r="K232" s="231">
        <f t="shared" si="31"/>
        <v>697303503</v>
      </c>
      <c r="L232" s="221"/>
      <c r="M232" s="231">
        <v>0</v>
      </c>
      <c r="N232" s="230">
        <v>696281701</v>
      </c>
      <c r="O232" s="230">
        <v>0</v>
      </c>
      <c r="P232" s="230">
        <v>0</v>
      </c>
      <c r="Q232" s="230">
        <v>0</v>
      </c>
      <c r="R232" s="230">
        <v>0</v>
      </c>
      <c r="S232" s="230">
        <v>0</v>
      </c>
      <c r="T232" s="230">
        <v>0</v>
      </c>
      <c r="U232" s="230">
        <v>0</v>
      </c>
      <c r="V232" s="230">
        <v>0</v>
      </c>
      <c r="W232" s="230">
        <v>1021802</v>
      </c>
      <c r="X232" s="230">
        <f t="shared" si="32"/>
        <v>0</v>
      </c>
      <c r="Y232" s="230"/>
      <c r="Z232" s="119">
        <f t="shared" si="33"/>
        <v>-7586883</v>
      </c>
      <c r="AA232" s="245">
        <f>-(I232)*2%+0.4</f>
        <v>-1021802</v>
      </c>
      <c r="AB232" s="230">
        <v>0</v>
      </c>
      <c r="AC232" s="246">
        <f t="shared" si="37"/>
        <v>696281701</v>
      </c>
      <c r="AD232" s="146"/>
    </row>
    <row r="233" spans="1:30" s="155" customFormat="1">
      <c r="A233" s="152">
        <f t="shared" si="34"/>
        <v>229</v>
      </c>
      <c r="B233" s="37" t="s">
        <v>3462</v>
      </c>
      <c r="C233" s="70">
        <v>45986</v>
      </c>
      <c r="D233" s="177">
        <v>2025</v>
      </c>
      <c r="E233" s="154" t="s">
        <v>2319</v>
      </c>
      <c r="F233" s="154" t="s">
        <v>2320</v>
      </c>
      <c r="G233" s="154" t="s">
        <v>3463</v>
      </c>
      <c r="H233" s="246">
        <v>323027750</v>
      </c>
      <c r="I233" s="246">
        <v>25842220</v>
      </c>
      <c r="J233" s="263">
        <v>38375697</v>
      </c>
      <c r="K233" s="231">
        <f t="shared" si="31"/>
        <v>387245667</v>
      </c>
      <c r="L233" s="221"/>
      <c r="M233" s="231">
        <v>0</v>
      </c>
      <c r="N233" s="230">
        <v>386728824</v>
      </c>
      <c r="O233" s="230">
        <v>0</v>
      </c>
      <c r="P233" s="230">
        <v>0</v>
      </c>
      <c r="Q233" s="230">
        <v>0</v>
      </c>
      <c r="R233" s="230">
        <v>0</v>
      </c>
      <c r="S233" s="230">
        <v>0</v>
      </c>
      <c r="T233" s="230">
        <v>0</v>
      </c>
      <c r="U233" s="230">
        <v>0</v>
      </c>
      <c r="V233" s="230">
        <v>0</v>
      </c>
      <c r="W233" s="230">
        <v>516843</v>
      </c>
      <c r="X233" s="230">
        <f t="shared" si="32"/>
        <v>0</v>
      </c>
      <c r="Y233" s="230"/>
      <c r="Z233" s="158">
        <f t="shared" si="33"/>
        <v>-38375697</v>
      </c>
      <c r="AA233" s="245">
        <f>-(I233)*2%+1.4</f>
        <v>-516843</v>
      </c>
      <c r="AB233" s="230">
        <v>0</v>
      </c>
      <c r="AC233" s="246">
        <f t="shared" si="37"/>
        <v>386728824</v>
      </c>
      <c r="AD233" s="154"/>
    </row>
    <row r="234" spans="1:30" s="155" customFormat="1">
      <c r="A234" s="152">
        <f t="shared" si="34"/>
        <v>230</v>
      </c>
      <c r="B234" s="37" t="s">
        <v>4041</v>
      </c>
      <c r="C234" s="70">
        <v>45904</v>
      </c>
      <c r="D234" s="177">
        <v>2025</v>
      </c>
      <c r="E234" s="146" t="s">
        <v>4042</v>
      </c>
      <c r="F234" s="146" t="s">
        <v>1445</v>
      </c>
      <c r="G234" s="154" t="s">
        <v>4043</v>
      </c>
      <c r="H234" s="246">
        <v>4041667</v>
      </c>
      <c r="I234" s="246">
        <v>0</v>
      </c>
      <c r="J234" s="263">
        <v>444583</v>
      </c>
      <c r="K234" s="231">
        <f t="shared" si="31"/>
        <v>4486250</v>
      </c>
      <c r="L234" s="221"/>
      <c r="M234" s="231">
        <v>0</v>
      </c>
      <c r="N234" s="230">
        <v>4486250</v>
      </c>
      <c r="O234" s="230">
        <v>0</v>
      </c>
      <c r="P234" s="230">
        <v>0</v>
      </c>
      <c r="Q234" s="230">
        <v>0</v>
      </c>
      <c r="R234" s="230">
        <v>0</v>
      </c>
      <c r="S234" s="230">
        <v>0</v>
      </c>
      <c r="T234" s="230">
        <v>0</v>
      </c>
      <c r="U234" s="230">
        <v>0</v>
      </c>
      <c r="V234" s="230">
        <v>0</v>
      </c>
      <c r="W234" s="230">
        <v>0</v>
      </c>
      <c r="X234" s="230">
        <f t="shared" si="32"/>
        <v>0</v>
      </c>
      <c r="Y234" s="230"/>
      <c r="Z234" s="119">
        <f t="shared" si="33"/>
        <v>-444583</v>
      </c>
      <c r="AA234" s="245">
        <v>0</v>
      </c>
      <c r="AB234" s="230">
        <v>0</v>
      </c>
      <c r="AC234" s="246">
        <f t="shared" si="37"/>
        <v>4486250</v>
      </c>
      <c r="AD234" s="146"/>
    </row>
    <row r="235" spans="1:30" s="155" customFormat="1">
      <c r="A235" s="152">
        <f t="shared" si="34"/>
        <v>231</v>
      </c>
      <c r="B235" s="37" t="s">
        <v>4044</v>
      </c>
      <c r="C235" s="70">
        <v>45904</v>
      </c>
      <c r="D235" s="177">
        <v>2025</v>
      </c>
      <c r="E235" s="146" t="s">
        <v>4042</v>
      </c>
      <c r="F235" s="146" t="s">
        <v>1445</v>
      </c>
      <c r="G235" s="154" t="s">
        <v>4045</v>
      </c>
      <c r="H235" s="246">
        <v>4041667</v>
      </c>
      <c r="I235" s="246">
        <v>0</v>
      </c>
      <c r="J235" s="263">
        <v>444583</v>
      </c>
      <c r="K235" s="231">
        <f t="shared" si="31"/>
        <v>4486250</v>
      </c>
      <c r="L235" s="221"/>
      <c r="M235" s="231">
        <v>0</v>
      </c>
      <c r="N235" s="230">
        <v>4486250</v>
      </c>
      <c r="O235" s="230">
        <v>0</v>
      </c>
      <c r="P235" s="230">
        <v>0</v>
      </c>
      <c r="Q235" s="230">
        <v>0</v>
      </c>
      <c r="R235" s="230">
        <v>0</v>
      </c>
      <c r="S235" s="230">
        <v>0</v>
      </c>
      <c r="T235" s="230">
        <v>0</v>
      </c>
      <c r="U235" s="230">
        <v>0</v>
      </c>
      <c r="V235" s="230">
        <v>0</v>
      </c>
      <c r="W235" s="230">
        <v>0</v>
      </c>
      <c r="X235" s="230">
        <f t="shared" si="32"/>
        <v>0</v>
      </c>
      <c r="Y235" s="230"/>
      <c r="Z235" s="119">
        <f t="shared" si="33"/>
        <v>-444583</v>
      </c>
      <c r="AA235" s="245">
        <v>0</v>
      </c>
      <c r="AB235" s="230">
        <v>0</v>
      </c>
      <c r="AC235" s="246">
        <f t="shared" si="37"/>
        <v>4486250</v>
      </c>
      <c r="AD235" s="146"/>
    </row>
    <row r="236" spans="1:30" s="155" customFormat="1">
      <c r="A236" s="152">
        <f t="shared" si="34"/>
        <v>232</v>
      </c>
      <c r="B236" s="37" t="s">
        <v>4046</v>
      </c>
      <c r="C236" s="70">
        <v>45904</v>
      </c>
      <c r="D236" s="177">
        <v>2025</v>
      </c>
      <c r="E236" s="146" t="s">
        <v>4042</v>
      </c>
      <c r="F236" s="146" t="s">
        <v>1445</v>
      </c>
      <c r="G236" s="154" t="s">
        <v>4047</v>
      </c>
      <c r="H236" s="246">
        <v>4041667</v>
      </c>
      <c r="I236" s="246">
        <v>0</v>
      </c>
      <c r="J236" s="263">
        <v>444583</v>
      </c>
      <c r="K236" s="231">
        <f t="shared" si="31"/>
        <v>4486250</v>
      </c>
      <c r="L236" s="221"/>
      <c r="M236" s="231">
        <v>0</v>
      </c>
      <c r="N236" s="230">
        <v>4486250</v>
      </c>
      <c r="O236" s="230">
        <v>0</v>
      </c>
      <c r="P236" s="230">
        <v>0</v>
      </c>
      <c r="Q236" s="230">
        <v>0</v>
      </c>
      <c r="R236" s="230">
        <v>0</v>
      </c>
      <c r="S236" s="230">
        <v>0</v>
      </c>
      <c r="T236" s="230">
        <v>0</v>
      </c>
      <c r="U236" s="230">
        <v>0</v>
      </c>
      <c r="V236" s="230">
        <v>0</v>
      </c>
      <c r="W236" s="230">
        <v>0</v>
      </c>
      <c r="X236" s="230">
        <f t="shared" si="32"/>
        <v>0</v>
      </c>
      <c r="Y236" s="230"/>
      <c r="Z236" s="119">
        <f t="shared" si="33"/>
        <v>-444583</v>
      </c>
      <c r="AA236" s="245">
        <v>0</v>
      </c>
      <c r="AB236" s="230">
        <v>0</v>
      </c>
      <c r="AC236" s="246">
        <f t="shared" si="37"/>
        <v>4486250</v>
      </c>
      <c r="AD236" s="146"/>
    </row>
    <row r="237" spans="1:30" s="215" customFormat="1">
      <c r="A237" s="152">
        <f t="shared" si="34"/>
        <v>233</v>
      </c>
      <c r="B237" s="37" t="s">
        <v>4048</v>
      </c>
      <c r="C237" s="70">
        <v>45904</v>
      </c>
      <c r="D237" s="177">
        <v>2025</v>
      </c>
      <c r="E237" s="146" t="s">
        <v>4042</v>
      </c>
      <c r="F237" s="146" t="s">
        <v>1445</v>
      </c>
      <c r="G237" s="154" t="s">
        <v>4049</v>
      </c>
      <c r="H237" s="246">
        <v>4041667</v>
      </c>
      <c r="I237" s="246">
        <v>0</v>
      </c>
      <c r="J237" s="263">
        <v>444583</v>
      </c>
      <c r="K237" s="231">
        <f t="shared" si="31"/>
        <v>4486250</v>
      </c>
      <c r="L237" s="221"/>
      <c r="M237" s="231">
        <v>0</v>
      </c>
      <c r="N237" s="230">
        <v>4486250</v>
      </c>
      <c r="O237" s="230">
        <v>0</v>
      </c>
      <c r="P237" s="230">
        <v>0</v>
      </c>
      <c r="Q237" s="230">
        <v>0</v>
      </c>
      <c r="R237" s="230">
        <v>0</v>
      </c>
      <c r="S237" s="230">
        <v>0</v>
      </c>
      <c r="T237" s="230">
        <v>0</v>
      </c>
      <c r="U237" s="230">
        <v>0</v>
      </c>
      <c r="V237" s="230">
        <v>0</v>
      </c>
      <c r="W237" s="230">
        <v>0</v>
      </c>
      <c r="X237" s="230">
        <f t="shared" si="32"/>
        <v>0</v>
      </c>
      <c r="Y237" s="230"/>
      <c r="Z237" s="119">
        <f t="shared" si="33"/>
        <v>-444583</v>
      </c>
      <c r="AA237" s="245">
        <v>0</v>
      </c>
      <c r="AB237" s="230">
        <v>0</v>
      </c>
      <c r="AC237" s="246">
        <f t="shared" si="37"/>
        <v>4486250</v>
      </c>
      <c r="AD237" s="146"/>
    </row>
    <row r="238" spans="1:30" s="155" customFormat="1">
      <c r="A238" s="152">
        <f t="shared" si="34"/>
        <v>234</v>
      </c>
      <c r="B238" s="37" t="s">
        <v>4050</v>
      </c>
      <c r="C238" s="70">
        <v>45904</v>
      </c>
      <c r="D238" s="177">
        <v>2025</v>
      </c>
      <c r="E238" s="146" t="s">
        <v>4042</v>
      </c>
      <c r="F238" s="146" t="s">
        <v>1445</v>
      </c>
      <c r="G238" s="154" t="s">
        <v>4051</v>
      </c>
      <c r="H238" s="246">
        <v>5388889</v>
      </c>
      <c r="I238" s="246">
        <v>0</v>
      </c>
      <c r="J238" s="263">
        <v>592778</v>
      </c>
      <c r="K238" s="231">
        <f t="shared" si="31"/>
        <v>5981667</v>
      </c>
      <c r="L238" s="221"/>
      <c r="M238" s="231">
        <v>0</v>
      </c>
      <c r="N238" s="230">
        <v>5981667</v>
      </c>
      <c r="O238" s="230">
        <v>0</v>
      </c>
      <c r="P238" s="230">
        <v>0</v>
      </c>
      <c r="Q238" s="230">
        <v>0</v>
      </c>
      <c r="R238" s="230">
        <v>0</v>
      </c>
      <c r="S238" s="230">
        <v>0</v>
      </c>
      <c r="T238" s="230">
        <v>0</v>
      </c>
      <c r="U238" s="230">
        <v>0</v>
      </c>
      <c r="V238" s="230">
        <v>0</v>
      </c>
      <c r="W238" s="230">
        <v>0</v>
      </c>
      <c r="X238" s="230">
        <f t="shared" si="32"/>
        <v>0</v>
      </c>
      <c r="Y238" s="230"/>
      <c r="Z238" s="119">
        <f t="shared" si="33"/>
        <v>-592778</v>
      </c>
      <c r="AA238" s="245">
        <v>0</v>
      </c>
      <c r="AB238" s="230">
        <v>0</v>
      </c>
      <c r="AC238" s="246">
        <f t="shared" si="37"/>
        <v>5981667</v>
      </c>
      <c r="AD238" s="146"/>
    </row>
    <row r="239" spans="1:30" s="155" customFormat="1">
      <c r="A239" s="152">
        <f t="shared" si="34"/>
        <v>235</v>
      </c>
      <c r="B239" s="37" t="s">
        <v>4052</v>
      </c>
      <c r="C239" s="70">
        <v>45904</v>
      </c>
      <c r="D239" s="35">
        <v>2025</v>
      </c>
      <c r="E239" s="146" t="s">
        <v>4042</v>
      </c>
      <c r="F239" s="146" t="s">
        <v>1445</v>
      </c>
      <c r="G239" s="154" t="s">
        <v>4053</v>
      </c>
      <c r="H239" s="246">
        <v>5388889</v>
      </c>
      <c r="I239" s="246">
        <v>0</v>
      </c>
      <c r="J239" s="263">
        <v>592778</v>
      </c>
      <c r="K239" s="231">
        <f t="shared" si="31"/>
        <v>5981667</v>
      </c>
      <c r="L239" s="221"/>
      <c r="M239" s="231">
        <v>0</v>
      </c>
      <c r="N239" s="230">
        <v>0</v>
      </c>
      <c r="O239" s="230">
        <v>0</v>
      </c>
      <c r="P239" s="230">
        <v>0</v>
      </c>
      <c r="Q239" s="230">
        <v>0</v>
      </c>
      <c r="R239" s="230">
        <v>0</v>
      </c>
      <c r="S239" s="230">
        <v>0</v>
      </c>
      <c r="T239" s="230">
        <v>0</v>
      </c>
      <c r="U239" s="230">
        <v>0</v>
      </c>
      <c r="V239" s="230">
        <v>0</v>
      </c>
      <c r="W239" s="230">
        <v>0</v>
      </c>
      <c r="X239" s="230">
        <f t="shared" si="32"/>
        <v>5981667</v>
      </c>
      <c r="Y239" s="230"/>
      <c r="Z239" s="119">
        <f t="shared" si="33"/>
        <v>-592778</v>
      </c>
      <c r="AA239" s="245">
        <f>-(H239+I239)*2%-0.22</f>
        <v>-107778</v>
      </c>
      <c r="AB239" s="230">
        <v>0</v>
      </c>
      <c r="AC239" s="246">
        <f t="shared" si="37"/>
        <v>5873889</v>
      </c>
      <c r="AD239" s="146"/>
    </row>
    <row r="240" spans="1:30" s="215" customFormat="1">
      <c r="A240" s="152">
        <f t="shared" si="34"/>
        <v>236</v>
      </c>
      <c r="B240" s="37" t="s">
        <v>4054</v>
      </c>
      <c r="C240" s="70">
        <v>45904</v>
      </c>
      <c r="D240" s="177">
        <v>2025</v>
      </c>
      <c r="E240" s="146" t="s">
        <v>4042</v>
      </c>
      <c r="F240" s="146" t="s">
        <v>1445</v>
      </c>
      <c r="G240" s="154" t="s">
        <v>4055</v>
      </c>
      <c r="H240" s="246">
        <v>5388889</v>
      </c>
      <c r="I240" s="246">
        <v>0</v>
      </c>
      <c r="J240" s="263">
        <v>592778</v>
      </c>
      <c r="K240" s="231">
        <f t="shared" si="31"/>
        <v>5981667</v>
      </c>
      <c r="L240" s="221"/>
      <c r="M240" s="231">
        <v>0</v>
      </c>
      <c r="N240" s="230">
        <v>5981667</v>
      </c>
      <c r="O240" s="230">
        <v>0</v>
      </c>
      <c r="P240" s="230">
        <v>0</v>
      </c>
      <c r="Q240" s="230">
        <v>0</v>
      </c>
      <c r="R240" s="230">
        <v>0</v>
      </c>
      <c r="S240" s="230">
        <v>0</v>
      </c>
      <c r="T240" s="230">
        <v>0</v>
      </c>
      <c r="U240" s="230">
        <v>0</v>
      </c>
      <c r="V240" s="230">
        <v>0</v>
      </c>
      <c r="W240" s="230">
        <v>0</v>
      </c>
      <c r="X240" s="230">
        <f t="shared" si="32"/>
        <v>0</v>
      </c>
      <c r="Y240" s="230"/>
      <c r="Z240" s="119">
        <f t="shared" si="33"/>
        <v>-592778</v>
      </c>
      <c r="AA240" s="245">
        <v>0</v>
      </c>
      <c r="AB240" s="230">
        <v>0</v>
      </c>
      <c r="AC240" s="246">
        <f t="shared" si="37"/>
        <v>5981667</v>
      </c>
      <c r="AD240" s="146"/>
    </row>
    <row r="241" spans="1:30" s="215" customFormat="1">
      <c r="A241" s="152">
        <f t="shared" si="34"/>
        <v>237</v>
      </c>
      <c r="B241" s="37" t="s">
        <v>4056</v>
      </c>
      <c r="C241" s="70">
        <v>45904</v>
      </c>
      <c r="D241" s="177">
        <v>2025</v>
      </c>
      <c r="E241" s="146" t="s">
        <v>4042</v>
      </c>
      <c r="F241" s="146" t="s">
        <v>1445</v>
      </c>
      <c r="G241" s="154" t="s">
        <v>4057</v>
      </c>
      <c r="H241" s="246">
        <v>16166665</v>
      </c>
      <c r="I241" s="246">
        <v>0</v>
      </c>
      <c r="J241" s="263">
        <v>1778333</v>
      </c>
      <c r="K241" s="231">
        <f t="shared" si="31"/>
        <v>17944998</v>
      </c>
      <c r="L241" s="221"/>
      <c r="M241" s="231">
        <v>0</v>
      </c>
      <c r="N241" s="230">
        <v>17944998</v>
      </c>
      <c r="O241" s="230">
        <v>0</v>
      </c>
      <c r="P241" s="230">
        <v>0</v>
      </c>
      <c r="Q241" s="230">
        <v>0</v>
      </c>
      <c r="R241" s="230">
        <v>0</v>
      </c>
      <c r="S241" s="230">
        <v>0</v>
      </c>
      <c r="T241" s="230">
        <v>0</v>
      </c>
      <c r="U241" s="230">
        <v>0</v>
      </c>
      <c r="V241" s="230">
        <v>0</v>
      </c>
      <c r="W241" s="230">
        <v>0</v>
      </c>
      <c r="X241" s="230">
        <f t="shared" si="32"/>
        <v>0</v>
      </c>
      <c r="Y241" s="230"/>
      <c r="Z241" s="119">
        <f t="shared" si="33"/>
        <v>-1778333</v>
      </c>
      <c r="AA241" s="245">
        <v>0</v>
      </c>
      <c r="AB241" s="230">
        <v>0</v>
      </c>
      <c r="AC241" s="246">
        <f t="shared" si="37"/>
        <v>17944998</v>
      </c>
      <c r="AD241" s="146"/>
    </row>
    <row r="242" spans="1:30" s="155" customFormat="1">
      <c r="A242" s="255">
        <f t="shared" si="34"/>
        <v>238</v>
      </c>
      <c r="B242" s="208" t="s">
        <v>4063</v>
      </c>
      <c r="C242" s="273">
        <v>45918</v>
      </c>
      <c r="D242" s="35">
        <v>2024</v>
      </c>
      <c r="E242" s="225" t="s">
        <v>26</v>
      </c>
      <c r="F242" s="225" t="s">
        <v>26</v>
      </c>
      <c r="G242" s="225" t="s">
        <v>5836</v>
      </c>
      <c r="H242" s="266">
        <v>0</v>
      </c>
      <c r="I242" s="266">
        <v>0</v>
      </c>
      <c r="J242" s="266">
        <v>0</v>
      </c>
      <c r="K242" s="263">
        <f t="shared" si="31"/>
        <v>0</v>
      </c>
      <c r="L242" s="262"/>
      <c r="M242" s="263">
        <v>0</v>
      </c>
      <c r="N242" s="253">
        <v>0</v>
      </c>
      <c r="O242" s="253">
        <v>0</v>
      </c>
      <c r="P242" s="253">
        <v>0</v>
      </c>
      <c r="Q242" s="253">
        <v>0</v>
      </c>
      <c r="R242" s="253">
        <v>0</v>
      </c>
      <c r="S242" s="253">
        <v>0</v>
      </c>
      <c r="T242" s="253">
        <v>0</v>
      </c>
      <c r="U242" s="253">
        <v>0</v>
      </c>
      <c r="V242" s="253">
        <v>0</v>
      </c>
      <c r="W242" s="253">
        <v>0</v>
      </c>
      <c r="X242" s="253">
        <f t="shared" si="32"/>
        <v>0</v>
      </c>
      <c r="Y242" s="253"/>
      <c r="Z242" s="264">
        <f t="shared" si="33"/>
        <v>0</v>
      </c>
      <c r="AA242" s="265">
        <f>-(H242+I242)*2%</f>
        <v>0</v>
      </c>
      <c r="AB242" s="253">
        <f>K242+Z242+AA242</f>
        <v>0</v>
      </c>
      <c r="AC242" s="266">
        <v>0</v>
      </c>
      <c r="AD242" s="208" t="s">
        <v>4064</v>
      </c>
    </row>
    <row r="243" spans="1:30" s="155" customFormat="1">
      <c r="A243" s="255">
        <f t="shared" si="34"/>
        <v>239</v>
      </c>
      <c r="B243" s="208" t="s">
        <v>4068</v>
      </c>
      <c r="C243" s="273">
        <v>45922</v>
      </c>
      <c r="D243" s="35">
        <v>2024</v>
      </c>
      <c r="E243" s="225" t="s">
        <v>26</v>
      </c>
      <c r="F243" s="225" t="s">
        <v>26</v>
      </c>
      <c r="G243" s="225" t="s">
        <v>5837</v>
      </c>
      <c r="H243" s="266">
        <v>0</v>
      </c>
      <c r="I243" s="266">
        <v>0</v>
      </c>
      <c r="J243" s="266">
        <v>0</v>
      </c>
      <c r="K243" s="263">
        <f t="shared" si="31"/>
        <v>0</v>
      </c>
      <c r="L243" s="262"/>
      <c r="M243" s="263">
        <v>0</v>
      </c>
      <c r="N243" s="253">
        <v>0</v>
      </c>
      <c r="O243" s="253">
        <v>0</v>
      </c>
      <c r="P243" s="253">
        <v>0</v>
      </c>
      <c r="Q243" s="253">
        <v>0</v>
      </c>
      <c r="R243" s="253">
        <v>0</v>
      </c>
      <c r="S243" s="253">
        <v>0</v>
      </c>
      <c r="T243" s="253">
        <v>0</v>
      </c>
      <c r="U243" s="253">
        <v>0</v>
      </c>
      <c r="V243" s="253">
        <v>0</v>
      </c>
      <c r="W243" s="253">
        <v>0</v>
      </c>
      <c r="X243" s="253">
        <f t="shared" si="32"/>
        <v>0</v>
      </c>
      <c r="Y243" s="253"/>
      <c r="Z243" s="264">
        <f t="shared" si="33"/>
        <v>0</v>
      </c>
      <c r="AA243" s="265">
        <f>-(H243+I243)*2%</f>
        <v>0</v>
      </c>
      <c r="AB243" s="253">
        <f>K243+Z243+AA243</f>
        <v>0</v>
      </c>
      <c r="AC243" s="266">
        <v>0</v>
      </c>
      <c r="AD243" s="208"/>
    </row>
    <row r="244" spans="1:30" s="215" customFormat="1">
      <c r="A244" s="152">
        <f t="shared" si="34"/>
        <v>240</v>
      </c>
      <c r="B244" s="37" t="s">
        <v>4069</v>
      </c>
      <c r="C244" s="70">
        <v>45929</v>
      </c>
      <c r="D244" s="177">
        <v>2025</v>
      </c>
      <c r="E244" s="154" t="s">
        <v>3467</v>
      </c>
      <c r="F244" s="154" t="s">
        <v>3334</v>
      </c>
      <c r="G244" s="154" t="s">
        <v>4070</v>
      </c>
      <c r="H244" s="246">
        <v>709185000</v>
      </c>
      <c r="I244" s="246">
        <v>49642950</v>
      </c>
      <c r="J244" s="266">
        <v>83471075</v>
      </c>
      <c r="K244" s="231">
        <f t="shared" si="31"/>
        <v>842299025</v>
      </c>
      <c r="L244" s="221"/>
      <c r="M244" s="231">
        <v>0</v>
      </c>
      <c r="N244" s="230">
        <v>0</v>
      </c>
      <c r="O244" s="230">
        <v>827122466</v>
      </c>
      <c r="P244" s="230">
        <v>0</v>
      </c>
      <c r="Q244" s="230">
        <v>0</v>
      </c>
      <c r="R244" s="230">
        <v>0</v>
      </c>
      <c r="S244" s="230">
        <v>0</v>
      </c>
      <c r="T244" s="230">
        <v>0</v>
      </c>
      <c r="U244" s="230">
        <v>0</v>
      </c>
      <c r="V244" s="230">
        <v>0</v>
      </c>
      <c r="W244" s="230">
        <v>15176559</v>
      </c>
      <c r="X244" s="230">
        <f t="shared" si="32"/>
        <v>0</v>
      </c>
      <c r="Y244" s="230"/>
      <c r="Z244" s="119">
        <f t="shared" si="33"/>
        <v>-83471075</v>
      </c>
      <c r="AA244" s="245">
        <f>-(H244+I244)*2%</f>
        <v>-15176559</v>
      </c>
      <c r="AB244" s="230">
        <v>0</v>
      </c>
      <c r="AC244" s="246">
        <f>K244+AA244</f>
        <v>827122466</v>
      </c>
      <c r="AD244" s="37"/>
    </row>
    <row r="245" spans="1:30" s="215" customFormat="1">
      <c r="A245" s="255">
        <f t="shared" si="34"/>
        <v>241</v>
      </c>
      <c r="B245" s="208" t="s">
        <v>4071</v>
      </c>
      <c r="C245" s="273">
        <v>45943</v>
      </c>
      <c r="D245" s="35">
        <v>2024</v>
      </c>
      <c r="E245" s="225" t="s">
        <v>26</v>
      </c>
      <c r="F245" s="225" t="s">
        <v>26</v>
      </c>
      <c r="G245" s="225" t="s">
        <v>7148</v>
      </c>
      <c r="H245" s="266">
        <v>0</v>
      </c>
      <c r="I245" s="266">
        <v>0</v>
      </c>
      <c r="J245" s="266">
        <v>0</v>
      </c>
      <c r="K245" s="263">
        <f t="shared" si="31"/>
        <v>0</v>
      </c>
      <c r="L245" s="262"/>
      <c r="M245" s="263">
        <v>0</v>
      </c>
      <c r="N245" s="253">
        <v>0</v>
      </c>
      <c r="O245" s="253">
        <v>0</v>
      </c>
      <c r="P245" s="253">
        <v>0</v>
      </c>
      <c r="Q245" s="253">
        <v>0</v>
      </c>
      <c r="R245" s="253">
        <v>0</v>
      </c>
      <c r="S245" s="253">
        <v>0</v>
      </c>
      <c r="T245" s="253">
        <v>0</v>
      </c>
      <c r="U245" s="253">
        <v>0</v>
      </c>
      <c r="V245" s="253">
        <v>0</v>
      </c>
      <c r="W245" s="253">
        <v>0</v>
      </c>
      <c r="X245" s="253">
        <f t="shared" si="32"/>
        <v>0</v>
      </c>
      <c r="Y245" s="253"/>
      <c r="Z245" s="264">
        <f t="shared" si="33"/>
        <v>0</v>
      </c>
      <c r="AA245" s="265">
        <f>-(H245+I245)*2%</f>
        <v>0</v>
      </c>
      <c r="AB245" s="253">
        <v>0</v>
      </c>
      <c r="AC245" s="266">
        <f>K245+AA245</f>
        <v>0</v>
      </c>
      <c r="AD245" s="208"/>
    </row>
    <row r="246" spans="1:30" s="215" customFormat="1">
      <c r="A246" s="152">
        <f t="shared" si="34"/>
        <v>242</v>
      </c>
      <c r="B246" s="37" t="s">
        <v>4072</v>
      </c>
      <c r="C246" s="70">
        <v>45944</v>
      </c>
      <c r="D246" s="177">
        <v>2025</v>
      </c>
      <c r="E246" s="154" t="s">
        <v>3466</v>
      </c>
      <c r="F246" s="154" t="s">
        <v>3440</v>
      </c>
      <c r="G246" s="154" t="s">
        <v>4073</v>
      </c>
      <c r="H246" s="246">
        <v>1592675000</v>
      </c>
      <c r="I246" s="246">
        <v>127414000</v>
      </c>
      <c r="J246" s="266">
        <v>189209790</v>
      </c>
      <c r="K246" s="231">
        <f t="shared" si="31"/>
        <v>1909298790</v>
      </c>
      <c r="L246" s="221"/>
      <c r="M246" s="231">
        <v>0</v>
      </c>
      <c r="N246" s="230">
        <f>500000000+500000000+406750510+500000000</f>
        <v>1906750510</v>
      </c>
      <c r="O246" s="230">
        <v>0</v>
      </c>
      <c r="P246" s="230">
        <v>0</v>
      </c>
      <c r="Q246" s="230">
        <v>0</v>
      </c>
      <c r="R246" s="230">
        <v>0</v>
      </c>
      <c r="S246" s="230">
        <v>0</v>
      </c>
      <c r="T246" s="230">
        <v>0</v>
      </c>
      <c r="U246" s="230">
        <v>0</v>
      </c>
      <c r="V246" s="230">
        <v>0</v>
      </c>
      <c r="W246" s="230">
        <v>2548280</v>
      </c>
      <c r="X246" s="230">
        <f t="shared" si="32"/>
        <v>0</v>
      </c>
      <c r="Y246" s="230"/>
      <c r="Z246" s="119">
        <f t="shared" si="33"/>
        <v>-189209790</v>
      </c>
      <c r="AA246" s="245">
        <f>-(I246)*2%</f>
        <v>-2548280</v>
      </c>
      <c r="AB246" s="230">
        <v>0</v>
      </c>
      <c r="AC246" s="246">
        <f>K246+AA246</f>
        <v>1906750510</v>
      </c>
      <c r="AD246" s="37" t="s">
        <v>4074</v>
      </c>
    </row>
    <row r="247" spans="1:30" s="215" customFormat="1">
      <c r="A247" s="152">
        <f t="shared" si="34"/>
        <v>243</v>
      </c>
      <c r="B247" s="37" t="s">
        <v>5964</v>
      </c>
      <c r="C247" s="70">
        <v>45999</v>
      </c>
      <c r="D247" s="35">
        <v>2025</v>
      </c>
      <c r="E247" s="154" t="s">
        <v>5965</v>
      </c>
      <c r="F247" s="154" t="s">
        <v>4552</v>
      </c>
      <c r="G247" s="154" t="s">
        <v>5966</v>
      </c>
      <c r="H247" s="246">
        <v>326442500</v>
      </c>
      <c r="I247" s="246">
        <v>32644250</v>
      </c>
      <c r="J247" s="266">
        <v>3949954</v>
      </c>
      <c r="K247" s="231">
        <f t="shared" si="31"/>
        <v>363036704</v>
      </c>
      <c r="L247" s="221"/>
      <c r="M247" s="231">
        <v>0</v>
      </c>
      <c r="N247" s="230">
        <v>0</v>
      </c>
      <c r="O247" s="230">
        <v>0</v>
      </c>
      <c r="P247" s="230">
        <v>0</v>
      </c>
      <c r="Q247" s="230">
        <v>0</v>
      </c>
      <c r="R247" s="230">
        <v>0</v>
      </c>
      <c r="S247" s="230">
        <v>0</v>
      </c>
      <c r="T247" s="230">
        <v>0</v>
      </c>
      <c r="U247" s="230">
        <v>0</v>
      </c>
      <c r="V247" s="230">
        <v>0</v>
      </c>
      <c r="W247" s="230">
        <v>0</v>
      </c>
      <c r="X247" s="230">
        <f t="shared" si="32"/>
        <v>363036704</v>
      </c>
      <c r="Y247" s="230"/>
      <c r="Z247" s="119">
        <f t="shared" si="33"/>
        <v>-3949954</v>
      </c>
      <c r="AA247" s="245">
        <f>-(H247+I247)*2%</f>
        <v>-7181735</v>
      </c>
      <c r="AB247" s="230">
        <v>0</v>
      </c>
      <c r="AC247" s="246">
        <f>K247+AA247</f>
        <v>355854969</v>
      </c>
      <c r="AD247" s="37" t="s">
        <v>26</v>
      </c>
    </row>
    <row r="248" spans="1:30" s="215" customFormat="1">
      <c r="A248" s="255">
        <f t="shared" si="34"/>
        <v>244</v>
      </c>
      <c r="B248" s="208" t="s">
        <v>4078</v>
      </c>
      <c r="C248" s="273">
        <v>45768</v>
      </c>
      <c r="D248" s="35">
        <v>2024</v>
      </c>
      <c r="E248" s="225" t="s">
        <v>26</v>
      </c>
      <c r="F248" s="225" t="s">
        <v>26</v>
      </c>
      <c r="G248" s="225" t="s">
        <v>5838</v>
      </c>
      <c r="H248" s="266">
        <v>0</v>
      </c>
      <c r="I248" s="266">
        <v>0</v>
      </c>
      <c r="J248" s="266">
        <v>0</v>
      </c>
      <c r="K248" s="263">
        <f t="shared" si="31"/>
        <v>0</v>
      </c>
      <c r="L248" s="262"/>
      <c r="M248" s="263">
        <v>0</v>
      </c>
      <c r="N248" s="253">
        <v>0</v>
      </c>
      <c r="O248" s="253">
        <v>0</v>
      </c>
      <c r="P248" s="253">
        <v>0</v>
      </c>
      <c r="Q248" s="253">
        <v>0</v>
      </c>
      <c r="R248" s="253">
        <v>0</v>
      </c>
      <c r="S248" s="253">
        <v>0</v>
      </c>
      <c r="T248" s="253">
        <v>0</v>
      </c>
      <c r="U248" s="253">
        <v>0</v>
      </c>
      <c r="V248" s="253">
        <v>0</v>
      </c>
      <c r="W248" s="253">
        <v>0</v>
      </c>
      <c r="X248" s="253">
        <f t="shared" si="32"/>
        <v>0</v>
      </c>
      <c r="Y248" s="253"/>
      <c r="Z248" s="264">
        <f t="shared" si="33"/>
        <v>0</v>
      </c>
      <c r="AA248" s="265">
        <f>-(H248+I248)*2%</f>
        <v>0</v>
      </c>
      <c r="AB248" s="253">
        <f>K248+Z248+AA248</f>
        <v>0</v>
      </c>
      <c r="AC248" s="266">
        <v>0</v>
      </c>
      <c r="AD248" s="208"/>
    </row>
    <row r="249" spans="1:30" s="215" customFormat="1">
      <c r="A249" s="255">
        <f t="shared" si="34"/>
        <v>245</v>
      </c>
      <c r="B249" s="208" t="s">
        <v>5967</v>
      </c>
      <c r="C249" s="273">
        <v>45729</v>
      </c>
      <c r="D249" s="35">
        <v>2024</v>
      </c>
      <c r="E249" s="225" t="s">
        <v>26</v>
      </c>
      <c r="F249" s="225" t="s">
        <v>26</v>
      </c>
      <c r="G249" s="225" t="s">
        <v>5996</v>
      </c>
      <c r="H249" s="266">
        <v>0</v>
      </c>
      <c r="I249" s="266">
        <v>0</v>
      </c>
      <c r="J249" s="266">
        <v>0</v>
      </c>
      <c r="K249" s="263">
        <f t="shared" si="31"/>
        <v>0</v>
      </c>
      <c r="L249" s="262"/>
      <c r="M249" s="263">
        <v>0</v>
      </c>
      <c r="N249" s="253">
        <v>0</v>
      </c>
      <c r="O249" s="253">
        <v>0</v>
      </c>
      <c r="P249" s="253">
        <v>0</v>
      </c>
      <c r="Q249" s="253">
        <v>0</v>
      </c>
      <c r="R249" s="253">
        <v>0</v>
      </c>
      <c r="S249" s="253">
        <v>0</v>
      </c>
      <c r="T249" s="253">
        <v>0</v>
      </c>
      <c r="U249" s="253">
        <v>0</v>
      </c>
      <c r="V249" s="253">
        <v>0</v>
      </c>
      <c r="W249" s="253">
        <v>0</v>
      </c>
      <c r="X249" s="253">
        <f t="shared" si="32"/>
        <v>0</v>
      </c>
      <c r="Y249" s="253"/>
      <c r="Z249" s="257">
        <f t="shared" si="33"/>
        <v>0</v>
      </c>
      <c r="AA249" s="253">
        <f>-(H249+I249)*2%</f>
        <v>0</v>
      </c>
      <c r="AB249" s="253">
        <f>K249+Z249+AA249</f>
        <v>0</v>
      </c>
      <c r="AC249" s="266">
        <v>0</v>
      </c>
      <c r="AD249" s="208"/>
    </row>
    <row r="250" spans="1:30" s="215" customFormat="1">
      <c r="A250" s="255">
        <f t="shared" si="34"/>
        <v>246</v>
      </c>
      <c r="B250" s="208" t="s">
        <v>5968</v>
      </c>
      <c r="C250" s="273">
        <v>45756</v>
      </c>
      <c r="D250" s="35">
        <v>2024</v>
      </c>
      <c r="E250" s="225" t="s">
        <v>26</v>
      </c>
      <c r="F250" s="269" t="s">
        <v>26</v>
      </c>
      <c r="G250" s="225" t="s">
        <v>5997</v>
      </c>
      <c r="H250" s="265">
        <v>0</v>
      </c>
      <c r="I250" s="263">
        <v>0</v>
      </c>
      <c r="J250" s="263">
        <v>0</v>
      </c>
      <c r="K250" s="263">
        <f t="shared" si="31"/>
        <v>0</v>
      </c>
      <c r="L250" s="262"/>
      <c r="M250" s="263">
        <v>0</v>
      </c>
      <c r="N250" s="253">
        <v>0</v>
      </c>
      <c r="O250" s="253">
        <v>0</v>
      </c>
      <c r="P250" s="253">
        <v>0</v>
      </c>
      <c r="Q250" s="253">
        <v>0</v>
      </c>
      <c r="R250" s="253">
        <v>0</v>
      </c>
      <c r="S250" s="253">
        <v>0</v>
      </c>
      <c r="T250" s="253">
        <v>0</v>
      </c>
      <c r="U250" s="253">
        <v>0</v>
      </c>
      <c r="V250" s="253">
        <v>0</v>
      </c>
      <c r="W250" s="253">
        <v>0</v>
      </c>
      <c r="X250" s="253">
        <f t="shared" si="32"/>
        <v>0</v>
      </c>
      <c r="Y250" s="253"/>
      <c r="Z250" s="257">
        <f t="shared" si="33"/>
        <v>0</v>
      </c>
      <c r="AA250" s="253">
        <f>-(H250+I250)*2%</f>
        <v>0</v>
      </c>
      <c r="AB250" s="253">
        <f>K250+Z250+AA250</f>
        <v>0</v>
      </c>
      <c r="AC250" s="266">
        <v>0</v>
      </c>
      <c r="AD250" s="208"/>
    </row>
    <row r="251" spans="1:30" s="215" customFormat="1">
      <c r="A251" s="152">
        <f t="shared" si="34"/>
        <v>247</v>
      </c>
      <c r="B251" s="37" t="s">
        <v>6371</v>
      </c>
      <c r="C251" s="70">
        <v>46009</v>
      </c>
      <c r="D251" s="35">
        <v>2025</v>
      </c>
      <c r="E251" s="154" t="s">
        <v>3467</v>
      </c>
      <c r="F251" s="154" t="s">
        <v>6123</v>
      </c>
      <c r="G251" s="154" t="s">
        <v>6372</v>
      </c>
      <c r="H251" s="246">
        <v>93218500</v>
      </c>
      <c r="I251" s="246">
        <v>6525295</v>
      </c>
      <c r="J251" s="266">
        <v>10971817</v>
      </c>
      <c r="K251" s="231">
        <f t="shared" si="31"/>
        <v>110715612</v>
      </c>
      <c r="L251" s="221"/>
      <c r="M251" s="231">
        <v>0</v>
      </c>
      <c r="N251" s="230">
        <v>0</v>
      </c>
      <c r="O251" s="230">
        <v>0</v>
      </c>
      <c r="P251" s="230">
        <v>0</v>
      </c>
      <c r="Q251" s="230">
        <v>0</v>
      </c>
      <c r="R251" s="230">
        <v>0</v>
      </c>
      <c r="S251" s="230">
        <v>0</v>
      </c>
      <c r="T251" s="230">
        <v>0</v>
      </c>
      <c r="U251" s="230">
        <v>0</v>
      </c>
      <c r="V251" s="230">
        <v>0</v>
      </c>
      <c r="W251" s="230">
        <v>0</v>
      </c>
      <c r="X251" s="230">
        <f t="shared" si="32"/>
        <v>110715612</v>
      </c>
      <c r="Y251" s="230"/>
      <c r="Z251" s="119">
        <f t="shared" si="33"/>
        <v>-10971817</v>
      </c>
      <c r="AA251" s="230">
        <f>-(I251)*2%</f>
        <v>-130505.90000000001</v>
      </c>
      <c r="AB251" s="230">
        <v>0</v>
      </c>
      <c r="AC251" s="246">
        <f>K251+AA251</f>
        <v>110585106.09999999</v>
      </c>
      <c r="AD251" s="37"/>
    </row>
    <row r="252" spans="1:30" s="215" customFormat="1">
      <c r="A252" s="152">
        <f t="shared" si="34"/>
        <v>248</v>
      </c>
      <c r="B252" s="37" t="s">
        <v>6361</v>
      </c>
      <c r="C252" s="70">
        <v>46009</v>
      </c>
      <c r="D252" s="177">
        <v>2025</v>
      </c>
      <c r="E252" s="154" t="s">
        <v>6362</v>
      </c>
      <c r="F252" s="154" t="s">
        <v>6575</v>
      </c>
      <c r="G252" s="154" t="s">
        <v>6364</v>
      </c>
      <c r="H252" s="246">
        <v>44812500</v>
      </c>
      <c r="I252" s="246">
        <v>0</v>
      </c>
      <c r="J252" s="266">
        <v>4929375</v>
      </c>
      <c r="K252" s="231">
        <f t="shared" si="31"/>
        <v>49741875</v>
      </c>
      <c r="L252" s="221"/>
      <c r="M252" s="231">
        <v>0</v>
      </c>
      <c r="N252" s="230">
        <v>0</v>
      </c>
      <c r="O252" s="230">
        <v>48845625</v>
      </c>
      <c r="P252" s="230">
        <v>0</v>
      </c>
      <c r="Q252" s="230">
        <v>0</v>
      </c>
      <c r="R252" s="230">
        <v>0</v>
      </c>
      <c r="S252" s="230">
        <v>0</v>
      </c>
      <c r="T252" s="230">
        <v>0</v>
      </c>
      <c r="U252" s="230">
        <v>0</v>
      </c>
      <c r="V252" s="230">
        <v>0</v>
      </c>
      <c r="W252" s="230">
        <v>896250</v>
      </c>
      <c r="X252" s="230">
        <f t="shared" si="32"/>
        <v>0</v>
      </c>
      <c r="Y252" s="230"/>
      <c r="Z252" s="119">
        <f t="shared" si="33"/>
        <v>-4929375</v>
      </c>
      <c r="AA252" s="230">
        <f>-(H252+I252)*2%</f>
        <v>-896250</v>
      </c>
      <c r="AB252" s="230">
        <v>0</v>
      </c>
      <c r="AC252" s="246">
        <f>K252+AA252</f>
        <v>48845625</v>
      </c>
      <c r="AD252" s="37"/>
    </row>
    <row r="253" spans="1:30" s="215" customFormat="1">
      <c r="A253" s="152">
        <f t="shared" si="34"/>
        <v>249</v>
      </c>
      <c r="B253" s="37" t="s">
        <v>7808</v>
      </c>
      <c r="C253" s="70">
        <v>46020</v>
      </c>
      <c r="D253" s="177">
        <v>2025</v>
      </c>
      <c r="E253" s="154" t="s">
        <v>3467</v>
      </c>
      <c r="F253" s="154" t="s">
        <v>6123</v>
      </c>
      <c r="G253" s="154" t="s">
        <v>7809</v>
      </c>
      <c r="H253" s="246">
        <v>4500000</v>
      </c>
      <c r="I253" s="246">
        <v>315000</v>
      </c>
      <c r="J253" s="266">
        <v>529650</v>
      </c>
      <c r="K253" s="231">
        <f t="shared" si="31"/>
        <v>5344650</v>
      </c>
      <c r="L253" s="221"/>
      <c r="M253" s="231">
        <v>0</v>
      </c>
      <c r="N253" s="230">
        <v>0</v>
      </c>
      <c r="O253" s="230">
        <v>0</v>
      </c>
      <c r="P253" s="230">
        <v>0</v>
      </c>
      <c r="Q253" s="230">
        <v>0</v>
      </c>
      <c r="R253" s="230">
        <v>0</v>
      </c>
      <c r="S253" s="230">
        <v>0</v>
      </c>
      <c r="T253" s="230">
        <v>0</v>
      </c>
      <c r="U253" s="230">
        <v>0</v>
      </c>
      <c r="V253" s="230">
        <v>0</v>
      </c>
      <c r="W253" s="230">
        <v>0</v>
      </c>
      <c r="X253" s="230">
        <f t="shared" si="32"/>
        <v>5344650</v>
      </c>
      <c r="Y253" s="230"/>
      <c r="Z253" s="119">
        <f t="shared" si="33"/>
        <v>-529650</v>
      </c>
      <c r="AA253" s="230">
        <f>-(H253+I253)*2%</f>
        <v>-96300</v>
      </c>
      <c r="AB253" s="230">
        <v>0</v>
      </c>
      <c r="AC253" s="246">
        <f>K253+AA253</f>
        <v>5248350</v>
      </c>
      <c r="AD253" s="37"/>
    </row>
    <row r="254" spans="1:30" s="215" customFormat="1">
      <c r="A254" s="255">
        <f t="shared" si="34"/>
        <v>250</v>
      </c>
      <c r="B254" s="208" t="s">
        <v>5840</v>
      </c>
      <c r="C254" s="273">
        <v>46002</v>
      </c>
      <c r="D254" s="177">
        <v>2024</v>
      </c>
      <c r="E254" s="225" t="s">
        <v>26</v>
      </c>
      <c r="F254" s="225" t="s">
        <v>26</v>
      </c>
      <c r="G254" s="267" t="s">
        <v>5841</v>
      </c>
      <c r="H254" s="266">
        <v>0</v>
      </c>
      <c r="I254" s="263">
        <v>0</v>
      </c>
      <c r="J254" s="263">
        <v>0</v>
      </c>
      <c r="K254" s="263">
        <f t="shared" si="31"/>
        <v>0</v>
      </c>
      <c r="L254" s="262"/>
      <c r="M254" s="263">
        <v>0</v>
      </c>
      <c r="N254" s="253">
        <v>0</v>
      </c>
      <c r="O254" s="253">
        <v>0</v>
      </c>
      <c r="P254" s="253">
        <v>0</v>
      </c>
      <c r="Q254" s="253">
        <v>0</v>
      </c>
      <c r="R254" s="253">
        <v>0</v>
      </c>
      <c r="S254" s="253">
        <v>0</v>
      </c>
      <c r="T254" s="253">
        <v>0</v>
      </c>
      <c r="U254" s="253">
        <v>0</v>
      </c>
      <c r="V254" s="253">
        <v>0</v>
      </c>
      <c r="W254" s="253">
        <v>0</v>
      </c>
      <c r="X254" s="253">
        <f t="shared" si="32"/>
        <v>0</v>
      </c>
      <c r="Y254" s="253"/>
      <c r="Z254" s="264">
        <f t="shared" si="33"/>
        <v>0</v>
      </c>
      <c r="AA254" s="253">
        <f>-(H254+I254)*2%</f>
        <v>0</v>
      </c>
      <c r="AB254" s="253">
        <f>K254+Z254+AA254</f>
        <v>0</v>
      </c>
      <c r="AC254" s="266">
        <v>0</v>
      </c>
      <c r="AD254" s="208"/>
    </row>
    <row r="255" spans="1:30" s="215" customFormat="1">
      <c r="A255" s="152">
        <f t="shared" si="34"/>
        <v>251</v>
      </c>
      <c r="B255" s="37" t="s">
        <v>5796</v>
      </c>
      <c r="C255" s="70">
        <v>46002</v>
      </c>
      <c r="D255" s="177">
        <v>2025</v>
      </c>
      <c r="E255" s="154" t="s">
        <v>3466</v>
      </c>
      <c r="F255" s="154" t="s">
        <v>5748</v>
      </c>
      <c r="G255" s="155" t="s">
        <v>5797</v>
      </c>
      <c r="H255" s="246">
        <v>166400000</v>
      </c>
      <c r="I255" s="231">
        <v>16640000</v>
      </c>
      <c r="J255" s="263">
        <v>20134400</v>
      </c>
      <c r="K255" s="231">
        <f t="shared" si="31"/>
        <v>203174400</v>
      </c>
      <c r="L255" s="221"/>
      <c r="M255" s="231">
        <v>0</v>
      </c>
      <c r="N255" s="230">
        <v>202841600</v>
      </c>
      <c r="O255" s="230">
        <v>0</v>
      </c>
      <c r="P255" s="230">
        <v>0</v>
      </c>
      <c r="Q255" s="230">
        <v>0</v>
      </c>
      <c r="R255" s="230">
        <v>0</v>
      </c>
      <c r="S255" s="230">
        <v>0</v>
      </c>
      <c r="T255" s="230">
        <v>0</v>
      </c>
      <c r="U255" s="230">
        <v>0</v>
      </c>
      <c r="V255" s="230">
        <v>0</v>
      </c>
      <c r="W255" s="230">
        <v>332800</v>
      </c>
      <c r="X255" s="230">
        <f t="shared" si="32"/>
        <v>0</v>
      </c>
      <c r="Y255" s="230"/>
      <c r="Z255" s="119">
        <f t="shared" si="33"/>
        <v>-20134400</v>
      </c>
      <c r="AA255" s="230">
        <f>-(I255)*2%</f>
        <v>-332800</v>
      </c>
      <c r="AB255" s="230">
        <v>0</v>
      </c>
      <c r="AC255" s="246">
        <f>K255+AA255</f>
        <v>202841600</v>
      </c>
      <c r="AD255" s="37"/>
    </row>
    <row r="256" spans="1:30" s="215" customFormat="1">
      <c r="A256" s="255">
        <f t="shared" si="34"/>
        <v>252</v>
      </c>
      <c r="B256" s="208" t="s">
        <v>5852</v>
      </c>
      <c r="C256" s="273">
        <v>45979</v>
      </c>
      <c r="D256" s="177">
        <v>2024</v>
      </c>
      <c r="E256" s="225" t="s">
        <v>26</v>
      </c>
      <c r="F256" s="225" t="s">
        <v>26</v>
      </c>
      <c r="G256" s="267" t="s">
        <v>5853</v>
      </c>
      <c r="H256" s="266">
        <v>0</v>
      </c>
      <c r="I256" s="263">
        <v>0</v>
      </c>
      <c r="J256" s="263">
        <v>0</v>
      </c>
      <c r="K256" s="263">
        <f t="shared" si="31"/>
        <v>0</v>
      </c>
      <c r="L256" s="262"/>
      <c r="M256" s="263">
        <v>0</v>
      </c>
      <c r="N256" s="253">
        <v>0</v>
      </c>
      <c r="O256" s="253">
        <v>0</v>
      </c>
      <c r="P256" s="253">
        <v>0</v>
      </c>
      <c r="Q256" s="253">
        <v>0</v>
      </c>
      <c r="R256" s="253">
        <v>0</v>
      </c>
      <c r="S256" s="253">
        <v>0</v>
      </c>
      <c r="T256" s="253">
        <v>0</v>
      </c>
      <c r="U256" s="253">
        <v>0</v>
      </c>
      <c r="V256" s="253">
        <v>0</v>
      </c>
      <c r="W256" s="253">
        <v>0</v>
      </c>
      <c r="X256" s="253">
        <f t="shared" si="32"/>
        <v>0</v>
      </c>
      <c r="Y256" s="253"/>
      <c r="Z256" s="264">
        <f t="shared" si="33"/>
        <v>0</v>
      </c>
      <c r="AA256" s="253">
        <f t="shared" ref="AA256:AA302" si="38">-(H256+I256)*2%</f>
        <v>0</v>
      </c>
      <c r="AB256" s="253">
        <f t="shared" ref="AB256:AB302" si="39">K256+Z256+AA256</f>
        <v>0</v>
      </c>
      <c r="AC256" s="266">
        <v>0</v>
      </c>
      <c r="AD256" s="208"/>
    </row>
    <row r="257" spans="1:30" s="155" customFormat="1">
      <c r="A257" s="255">
        <f t="shared" si="34"/>
        <v>253</v>
      </c>
      <c r="B257" s="208" t="s">
        <v>5855</v>
      </c>
      <c r="C257" s="273">
        <v>45980</v>
      </c>
      <c r="D257" s="177">
        <v>2024</v>
      </c>
      <c r="E257" s="225" t="s">
        <v>26</v>
      </c>
      <c r="F257" s="225" t="s">
        <v>26</v>
      </c>
      <c r="G257" s="267" t="s">
        <v>5856</v>
      </c>
      <c r="H257" s="266">
        <v>0</v>
      </c>
      <c r="I257" s="263">
        <v>0</v>
      </c>
      <c r="J257" s="263">
        <v>0</v>
      </c>
      <c r="K257" s="263">
        <f t="shared" si="31"/>
        <v>0</v>
      </c>
      <c r="L257" s="262"/>
      <c r="M257" s="263">
        <v>0</v>
      </c>
      <c r="N257" s="253">
        <v>0</v>
      </c>
      <c r="O257" s="253">
        <v>0</v>
      </c>
      <c r="P257" s="253">
        <v>0</v>
      </c>
      <c r="Q257" s="253">
        <v>0</v>
      </c>
      <c r="R257" s="253">
        <v>0</v>
      </c>
      <c r="S257" s="253">
        <v>0</v>
      </c>
      <c r="T257" s="253">
        <v>0</v>
      </c>
      <c r="U257" s="253">
        <v>0</v>
      </c>
      <c r="V257" s="253">
        <v>0</v>
      </c>
      <c r="W257" s="253">
        <v>0</v>
      </c>
      <c r="X257" s="253">
        <f t="shared" si="32"/>
        <v>0</v>
      </c>
      <c r="Y257" s="253"/>
      <c r="Z257" s="264">
        <f t="shared" si="33"/>
        <v>0</v>
      </c>
      <c r="AA257" s="253">
        <f t="shared" si="38"/>
        <v>0</v>
      </c>
      <c r="AB257" s="253">
        <f t="shared" si="39"/>
        <v>0</v>
      </c>
      <c r="AC257" s="266">
        <v>0</v>
      </c>
      <c r="AD257" s="208"/>
    </row>
    <row r="258" spans="1:30" s="155" customFormat="1">
      <c r="A258" s="255">
        <f t="shared" si="34"/>
        <v>254</v>
      </c>
      <c r="B258" s="208" t="s">
        <v>5971</v>
      </c>
      <c r="C258" s="273">
        <v>45999</v>
      </c>
      <c r="D258" s="177">
        <v>2024</v>
      </c>
      <c r="E258" s="225" t="s">
        <v>26</v>
      </c>
      <c r="F258" s="225" t="s">
        <v>26</v>
      </c>
      <c r="G258" s="267" t="s">
        <v>5994</v>
      </c>
      <c r="H258" s="266">
        <v>0</v>
      </c>
      <c r="I258" s="263">
        <v>0</v>
      </c>
      <c r="J258" s="263">
        <v>0</v>
      </c>
      <c r="K258" s="263">
        <f t="shared" si="31"/>
        <v>0</v>
      </c>
      <c r="L258" s="262"/>
      <c r="M258" s="263">
        <v>0</v>
      </c>
      <c r="N258" s="253">
        <v>0</v>
      </c>
      <c r="O258" s="253">
        <v>0</v>
      </c>
      <c r="P258" s="253">
        <v>0</v>
      </c>
      <c r="Q258" s="253">
        <v>0</v>
      </c>
      <c r="R258" s="253">
        <v>0</v>
      </c>
      <c r="S258" s="253">
        <v>0</v>
      </c>
      <c r="T258" s="253">
        <v>0</v>
      </c>
      <c r="U258" s="253">
        <v>0</v>
      </c>
      <c r="V258" s="253">
        <v>0</v>
      </c>
      <c r="W258" s="253">
        <v>0</v>
      </c>
      <c r="X258" s="253">
        <f t="shared" si="32"/>
        <v>0</v>
      </c>
      <c r="Y258" s="253"/>
      <c r="Z258" s="264">
        <f t="shared" si="33"/>
        <v>0</v>
      </c>
      <c r="AA258" s="253">
        <f t="shared" si="38"/>
        <v>0</v>
      </c>
      <c r="AB258" s="253">
        <f t="shared" si="39"/>
        <v>0</v>
      </c>
      <c r="AC258" s="266">
        <v>0</v>
      </c>
      <c r="AD258" s="208"/>
    </row>
    <row r="259" spans="1:30" s="215" customFormat="1">
      <c r="A259" s="255">
        <f t="shared" si="34"/>
        <v>255</v>
      </c>
      <c r="B259" s="208" t="s">
        <v>5972</v>
      </c>
      <c r="C259" s="273">
        <v>45999</v>
      </c>
      <c r="D259" s="177">
        <v>2024</v>
      </c>
      <c r="E259" s="225" t="s">
        <v>26</v>
      </c>
      <c r="F259" s="225" t="s">
        <v>26</v>
      </c>
      <c r="G259" s="267" t="s">
        <v>5995</v>
      </c>
      <c r="H259" s="266">
        <v>0</v>
      </c>
      <c r="I259" s="263">
        <v>0</v>
      </c>
      <c r="J259" s="263">
        <v>0</v>
      </c>
      <c r="K259" s="263">
        <f t="shared" si="31"/>
        <v>0</v>
      </c>
      <c r="L259" s="262"/>
      <c r="M259" s="263">
        <v>0</v>
      </c>
      <c r="N259" s="253">
        <v>0</v>
      </c>
      <c r="O259" s="253">
        <v>0</v>
      </c>
      <c r="P259" s="253">
        <v>0</v>
      </c>
      <c r="Q259" s="253">
        <v>0</v>
      </c>
      <c r="R259" s="253">
        <v>0</v>
      </c>
      <c r="S259" s="253">
        <v>0</v>
      </c>
      <c r="T259" s="253">
        <v>0</v>
      </c>
      <c r="U259" s="253">
        <v>0</v>
      </c>
      <c r="V259" s="253">
        <v>0</v>
      </c>
      <c r="W259" s="253">
        <v>0</v>
      </c>
      <c r="X259" s="253">
        <f t="shared" si="32"/>
        <v>0</v>
      </c>
      <c r="Y259" s="253"/>
      <c r="Z259" s="264">
        <f t="shared" si="33"/>
        <v>0</v>
      </c>
      <c r="AA259" s="253">
        <f t="shared" si="38"/>
        <v>0</v>
      </c>
      <c r="AB259" s="253">
        <f t="shared" si="39"/>
        <v>0</v>
      </c>
      <c r="AC259" s="266">
        <v>0</v>
      </c>
      <c r="AD259" s="208"/>
    </row>
    <row r="260" spans="1:30" s="215" customFormat="1">
      <c r="A260" s="255">
        <f t="shared" si="34"/>
        <v>256</v>
      </c>
      <c r="B260" s="208" t="s">
        <v>5859</v>
      </c>
      <c r="C260" s="273">
        <v>45982</v>
      </c>
      <c r="D260" s="177">
        <v>2024</v>
      </c>
      <c r="E260" s="225" t="s">
        <v>26</v>
      </c>
      <c r="F260" s="225" t="s">
        <v>26</v>
      </c>
      <c r="G260" s="267" t="s">
        <v>5860</v>
      </c>
      <c r="H260" s="266">
        <v>0</v>
      </c>
      <c r="I260" s="263">
        <v>0</v>
      </c>
      <c r="J260" s="263">
        <v>0</v>
      </c>
      <c r="K260" s="263">
        <f t="shared" si="31"/>
        <v>0</v>
      </c>
      <c r="L260" s="262"/>
      <c r="M260" s="263">
        <v>0</v>
      </c>
      <c r="N260" s="253">
        <v>0</v>
      </c>
      <c r="O260" s="253">
        <v>0</v>
      </c>
      <c r="P260" s="253">
        <v>0</v>
      </c>
      <c r="Q260" s="253">
        <v>0</v>
      </c>
      <c r="R260" s="253">
        <v>0</v>
      </c>
      <c r="S260" s="253">
        <v>0</v>
      </c>
      <c r="T260" s="253">
        <v>0</v>
      </c>
      <c r="U260" s="253">
        <v>0</v>
      </c>
      <c r="V260" s="253">
        <v>0</v>
      </c>
      <c r="W260" s="253">
        <v>0</v>
      </c>
      <c r="X260" s="253">
        <f t="shared" si="32"/>
        <v>0</v>
      </c>
      <c r="Y260" s="253"/>
      <c r="Z260" s="264">
        <f t="shared" si="33"/>
        <v>0</v>
      </c>
      <c r="AA260" s="253">
        <f t="shared" si="38"/>
        <v>0</v>
      </c>
      <c r="AB260" s="253">
        <f t="shared" si="39"/>
        <v>0</v>
      </c>
      <c r="AC260" s="266">
        <v>0</v>
      </c>
      <c r="AD260" s="208"/>
    </row>
    <row r="261" spans="1:30" s="215" customFormat="1">
      <c r="A261" s="255">
        <f t="shared" si="34"/>
        <v>257</v>
      </c>
      <c r="B261" s="208" t="s">
        <v>5861</v>
      </c>
      <c r="C261" s="273">
        <v>45982</v>
      </c>
      <c r="D261" s="177">
        <v>2024</v>
      </c>
      <c r="E261" s="225" t="s">
        <v>26</v>
      </c>
      <c r="F261" s="225" t="s">
        <v>26</v>
      </c>
      <c r="G261" s="267" t="s">
        <v>5862</v>
      </c>
      <c r="H261" s="266">
        <v>0</v>
      </c>
      <c r="I261" s="263">
        <v>0</v>
      </c>
      <c r="J261" s="263">
        <v>0</v>
      </c>
      <c r="K261" s="263">
        <f t="shared" ref="K261:K302" si="40">SUM(H261:J261)</f>
        <v>0</v>
      </c>
      <c r="L261" s="262"/>
      <c r="M261" s="263">
        <v>0</v>
      </c>
      <c r="N261" s="253">
        <v>0</v>
      </c>
      <c r="O261" s="253">
        <v>0</v>
      </c>
      <c r="P261" s="253">
        <v>0</v>
      </c>
      <c r="Q261" s="253">
        <v>0</v>
      </c>
      <c r="R261" s="253">
        <v>0</v>
      </c>
      <c r="S261" s="253">
        <v>0</v>
      </c>
      <c r="T261" s="253">
        <v>0</v>
      </c>
      <c r="U261" s="253">
        <v>0</v>
      </c>
      <c r="V261" s="253">
        <v>0</v>
      </c>
      <c r="W261" s="253">
        <v>0</v>
      </c>
      <c r="X261" s="253">
        <f t="shared" ref="X261:X302" si="41">K261-SUM(M261:W261)</f>
        <v>0</v>
      </c>
      <c r="Y261" s="253"/>
      <c r="Z261" s="264">
        <f t="shared" ref="Z261:Z302" si="42">-J261</f>
        <v>0</v>
      </c>
      <c r="AA261" s="253">
        <f t="shared" si="38"/>
        <v>0</v>
      </c>
      <c r="AB261" s="253">
        <f t="shared" si="39"/>
        <v>0</v>
      </c>
      <c r="AC261" s="266">
        <v>0</v>
      </c>
      <c r="AD261" s="208"/>
    </row>
    <row r="262" spans="1:30" s="215" customFormat="1">
      <c r="A262" s="255">
        <f t="shared" ref="A262:A302" si="43">A261+1</f>
        <v>258</v>
      </c>
      <c r="B262" s="208" t="s">
        <v>5863</v>
      </c>
      <c r="C262" s="273">
        <v>45983</v>
      </c>
      <c r="D262" s="177">
        <v>2024</v>
      </c>
      <c r="E262" s="225" t="s">
        <v>26</v>
      </c>
      <c r="F262" s="225" t="s">
        <v>277</v>
      </c>
      <c r="G262" s="267" t="s">
        <v>5864</v>
      </c>
      <c r="H262" s="266">
        <v>0</v>
      </c>
      <c r="I262" s="263">
        <v>0</v>
      </c>
      <c r="J262" s="263">
        <v>0</v>
      </c>
      <c r="K262" s="263">
        <f t="shared" si="40"/>
        <v>0</v>
      </c>
      <c r="L262" s="262"/>
      <c r="M262" s="263">
        <v>0</v>
      </c>
      <c r="N262" s="253">
        <v>0</v>
      </c>
      <c r="O262" s="253">
        <v>0</v>
      </c>
      <c r="P262" s="253">
        <v>0</v>
      </c>
      <c r="Q262" s="253">
        <v>0</v>
      </c>
      <c r="R262" s="253">
        <v>0</v>
      </c>
      <c r="S262" s="253">
        <v>0</v>
      </c>
      <c r="T262" s="253">
        <v>0</v>
      </c>
      <c r="U262" s="253">
        <v>0</v>
      </c>
      <c r="V262" s="253">
        <v>0</v>
      </c>
      <c r="W262" s="253">
        <v>0</v>
      </c>
      <c r="X262" s="253">
        <f t="shared" si="41"/>
        <v>0</v>
      </c>
      <c r="Y262" s="253"/>
      <c r="Z262" s="264">
        <f t="shared" si="42"/>
        <v>0</v>
      </c>
      <c r="AA262" s="253">
        <f t="shared" si="38"/>
        <v>0</v>
      </c>
      <c r="AB262" s="253">
        <f t="shared" si="39"/>
        <v>0</v>
      </c>
      <c r="AC262" s="266">
        <v>0</v>
      </c>
      <c r="AD262" s="208"/>
    </row>
    <row r="263" spans="1:30" s="215" customFormat="1">
      <c r="A263" s="255">
        <f t="shared" si="43"/>
        <v>259</v>
      </c>
      <c r="B263" s="208" t="s">
        <v>5865</v>
      </c>
      <c r="C263" s="273">
        <v>45983</v>
      </c>
      <c r="D263" s="177">
        <v>2024</v>
      </c>
      <c r="E263" s="225" t="s">
        <v>26</v>
      </c>
      <c r="F263" s="225" t="s">
        <v>26</v>
      </c>
      <c r="G263" s="267" t="s">
        <v>5866</v>
      </c>
      <c r="H263" s="266">
        <v>0</v>
      </c>
      <c r="I263" s="263">
        <v>0</v>
      </c>
      <c r="J263" s="263">
        <v>0</v>
      </c>
      <c r="K263" s="263">
        <f t="shared" si="40"/>
        <v>0</v>
      </c>
      <c r="L263" s="262"/>
      <c r="M263" s="263">
        <v>0</v>
      </c>
      <c r="N263" s="253">
        <v>0</v>
      </c>
      <c r="O263" s="253">
        <v>0</v>
      </c>
      <c r="P263" s="253">
        <v>0</v>
      </c>
      <c r="Q263" s="253">
        <v>0</v>
      </c>
      <c r="R263" s="253">
        <v>0</v>
      </c>
      <c r="S263" s="253">
        <v>0</v>
      </c>
      <c r="T263" s="253">
        <v>0</v>
      </c>
      <c r="U263" s="253">
        <v>0</v>
      </c>
      <c r="V263" s="253">
        <v>0</v>
      </c>
      <c r="W263" s="253">
        <v>0</v>
      </c>
      <c r="X263" s="253">
        <f t="shared" si="41"/>
        <v>0</v>
      </c>
      <c r="Y263" s="253"/>
      <c r="Z263" s="264">
        <f t="shared" si="42"/>
        <v>0</v>
      </c>
      <c r="AA263" s="253">
        <f t="shared" si="38"/>
        <v>0</v>
      </c>
      <c r="AB263" s="253">
        <f t="shared" si="39"/>
        <v>0</v>
      </c>
      <c r="AC263" s="266">
        <v>0</v>
      </c>
      <c r="AD263" s="208"/>
    </row>
    <row r="264" spans="1:30" s="215" customFormat="1">
      <c r="A264" s="152">
        <f t="shared" si="43"/>
        <v>260</v>
      </c>
      <c r="B264" s="115" t="s">
        <v>26</v>
      </c>
      <c r="C264" s="274"/>
      <c r="D264" s="177" t="s">
        <v>26</v>
      </c>
      <c r="E264" s="156" t="s">
        <v>26</v>
      </c>
      <c r="F264" s="156" t="s">
        <v>26</v>
      </c>
      <c r="G264" s="156" t="s">
        <v>26</v>
      </c>
      <c r="H264" s="249">
        <v>0</v>
      </c>
      <c r="I264" s="249">
        <v>0</v>
      </c>
      <c r="J264" s="249">
        <v>0</v>
      </c>
      <c r="K264" s="232">
        <f t="shared" si="40"/>
        <v>0</v>
      </c>
      <c r="L264" s="259"/>
      <c r="M264" s="232">
        <v>0</v>
      </c>
      <c r="N264" s="233">
        <v>0</v>
      </c>
      <c r="O264" s="230">
        <v>0</v>
      </c>
      <c r="P264" s="230">
        <v>0</v>
      </c>
      <c r="Q264" s="233">
        <v>0</v>
      </c>
      <c r="R264" s="230">
        <v>0</v>
      </c>
      <c r="S264" s="233">
        <v>0</v>
      </c>
      <c r="T264" s="233">
        <v>0</v>
      </c>
      <c r="U264" s="230">
        <v>0</v>
      </c>
      <c r="V264" s="233">
        <v>0</v>
      </c>
      <c r="W264" s="233">
        <v>0</v>
      </c>
      <c r="X264" s="233">
        <f t="shared" si="41"/>
        <v>0</v>
      </c>
      <c r="Y264" s="233"/>
      <c r="Z264" s="247">
        <f t="shared" si="42"/>
        <v>0</v>
      </c>
      <c r="AA264" s="248">
        <f t="shared" si="38"/>
        <v>0</v>
      </c>
      <c r="AB264" s="233">
        <f t="shared" si="39"/>
        <v>0</v>
      </c>
      <c r="AC264" s="249">
        <v>0</v>
      </c>
      <c r="AD264" s="115"/>
    </row>
    <row r="265" spans="1:30" s="155" customFormat="1">
      <c r="A265" s="152">
        <f t="shared" si="43"/>
        <v>261</v>
      </c>
      <c r="B265" s="115" t="s">
        <v>26</v>
      </c>
      <c r="C265" s="274"/>
      <c r="D265" s="278"/>
      <c r="E265" s="156" t="s">
        <v>26</v>
      </c>
      <c r="F265" s="156" t="s">
        <v>26</v>
      </c>
      <c r="G265" s="156" t="s">
        <v>26</v>
      </c>
      <c r="H265" s="249">
        <v>0</v>
      </c>
      <c r="I265" s="249">
        <v>0</v>
      </c>
      <c r="J265" s="249">
        <v>0</v>
      </c>
      <c r="K265" s="232">
        <f t="shared" si="40"/>
        <v>0</v>
      </c>
      <c r="L265" s="259"/>
      <c r="M265" s="232">
        <v>0</v>
      </c>
      <c r="N265" s="233">
        <v>0</v>
      </c>
      <c r="O265" s="230">
        <v>0</v>
      </c>
      <c r="P265" s="230">
        <v>0</v>
      </c>
      <c r="Q265" s="233">
        <v>0</v>
      </c>
      <c r="R265" s="230">
        <v>0</v>
      </c>
      <c r="S265" s="233">
        <v>0</v>
      </c>
      <c r="T265" s="233">
        <v>0</v>
      </c>
      <c r="U265" s="230">
        <v>0</v>
      </c>
      <c r="V265" s="233">
        <v>0</v>
      </c>
      <c r="W265" s="233">
        <v>0</v>
      </c>
      <c r="X265" s="233">
        <f t="shared" si="41"/>
        <v>0</v>
      </c>
      <c r="Y265" s="233"/>
      <c r="Z265" s="247">
        <f t="shared" si="42"/>
        <v>0</v>
      </c>
      <c r="AA265" s="233">
        <f t="shared" si="38"/>
        <v>0</v>
      </c>
      <c r="AB265" s="233">
        <f t="shared" si="39"/>
        <v>0</v>
      </c>
      <c r="AC265" s="249">
        <v>0</v>
      </c>
      <c r="AD265" s="115"/>
    </row>
    <row r="266" spans="1:30" s="215" customFormat="1">
      <c r="A266" s="152">
        <f t="shared" si="43"/>
        <v>262</v>
      </c>
      <c r="B266" s="37"/>
      <c r="C266" s="274"/>
      <c r="D266" s="206"/>
      <c r="E266" s="156" t="s">
        <v>26</v>
      </c>
      <c r="F266" s="156" t="s">
        <v>26</v>
      </c>
      <c r="G266" s="156" t="s">
        <v>26</v>
      </c>
      <c r="H266" s="232">
        <v>0</v>
      </c>
      <c r="I266" s="232">
        <v>0</v>
      </c>
      <c r="J266" s="232">
        <v>0</v>
      </c>
      <c r="K266" s="232">
        <f t="shared" si="40"/>
        <v>0</v>
      </c>
      <c r="L266" s="259"/>
      <c r="M266" s="232">
        <v>0</v>
      </c>
      <c r="N266" s="233">
        <v>0</v>
      </c>
      <c r="O266" s="230">
        <v>0</v>
      </c>
      <c r="P266" s="230">
        <v>0</v>
      </c>
      <c r="Q266" s="233">
        <v>0</v>
      </c>
      <c r="R266" s="230">
        <v>0</v>
      </c>
      <c r="S266" s="233">
        <v>0</v>
      </c>
      <c r="T266" s="233">
        <v>0</v>
      </c>
      <c r="U266" s="230">
        <v>0</v>
      </c>
      <c r="V266" s="233">
        <v>0</v>
      </c>
      <c r="W266" s="233">
        <v>0</v>
      </c>
      <c r="X266" s="233">
        <f t="shared" si="41"/>
        <v>0</v>
      </c>
      <c r="Y266" s="233"/>
      <c r="Z266" s="247">
        <f t="shared" si="42"/>
        <v>0</v>
      </c>
      <c r="AA266" s="233">
        <f t="shared" si="38"/>
        <v>0</v>
      </c>
      <c r="AB266" s="233">
        <f t="shared" si="39"/>
        <v>0</v>
      </c>
      <c r="AC266" s="249">
        <v>0</v>
      </c>
      <c r="AD266" s="115"/>
    </row>
    <row r="267" spans="1:30" s="215" customFormat="1">
      <c r="A267" s="152">
        <f t="shared" si="43"/>
        <v>263</v>
      </c>
      <c r="B267" s="37"/>
      <c r="C267" s="274"/>
      <c r="D267" s="206"/>
      <c r="E267" s="156" t="s">
        <v>26</v>
      </c>
      <c r="F267" s="156" t="s">
        <v>26</v>
      </c>
      <c r="G267" s="156" t="s">
        <v>26</v>
      </c>
      <c r="H267" s="248">
        <v>0</v>
      </c>
      <c r="I267" s="232">
        <v>0</v>
      </c>
      <c r="J267" s="232">
        <v>0</v>
      </c>
      <c r="K267" s="232">
        <f t="shared" si="40"/>
        <v>0</v>
      </c>
      <c r="L267" s="259"/>
      <c r="M267" s="232">
        <v>0</v>
      </c>
      <c r="N267" s="233">
        <v>0</v>
      </c>
      <c r="O267" s="230">
        <v>0</v>
      </c>
      <c r="P267" s="230">
        <v>0</v>
      </c>
      <c r="Q267" s="233">
        <v>0</v>
      </c>
      <c r="R267" s="230">
        <v>0</v>
      </c>
      <c r="S267" s="233">
        <v>0</v>
      </c>
      <c r="T267" s="233">
        <v>0</v>
      </c>
      <c r="U267" s="230">
        <v>0</v>
      </c>
      <c r="V267" s="233">
        <v>0</v>
      </c>
      <c r="W267" s="233">
        <v>0</v>
      </c>
      <c r="X267" s="233">
        <f t="shared" si="41"/>
        <v>0</v>
      </c>
      <c r="Y267" s="233"/>
      <c r="Z267" s="247">
        <f t="shared" si="42"/>
        <v>0</v>
      </c>
      <c r="AA267" s="233">
        <f t="shared" si="38"/>
        <v>0</v>
      </c>
      <c r="AB267" s="233">
        <f t="shared" si="39"/>
        <v>0</v>
      </c>
      <c r="AC267" s="249">
        <v>0</v>
      </c>
      <c r="AD267" s="115"/>
    </row>
    <row r="268" spans="1:30" s="215" customFormat="1">
      <c r="A268" s="152">
        <f t="shared" si="43"/>
        <v>264</v>
      </c>
      <c r="B268" s="115" t="s">
        <v>26</v>
      </c>
      <c r="C268" s="274"/>
      <c r="D268" s="278"/>
      <c r="E268" s="156" t="s">
        <v>26</v>
      </c>
      <c r="F268" s="156" t="s">
        <v>26</v>
      </c>
      <c r="G268" s="154" t="s">
        <v>26</v>
      </c>
      <c r="H268" s="249">
        <v>0</v>
      </c>
      <c r="I268" s="249">
        <v>0</v>
      </c>
      <c r="J268" s="249">
        <v>0</v>
      </c>
      <c r="K268" s="232">
        <f t="shared" si="40"/>
        <v>0</v>
      </c>
      <c r="L268" s="259"/>
      <c r="M268" s="232">
        <v>0</v>
      </c>
      <c r="N268" s="233">
        <v>0</v>
      </c>
      <c r="O268" s="230">
        <v>0</v>
      </c>
      <c r="P268" s="230">
        <v>0</v>
      </c>
      <c r="Q268" s="233">
        <v>0</v>
      </c>
      <c r="R268" s="230">
        <v>0</v>
      </c>
      <c r="S268" s="233">
        <v>0</v>
      </c>
      <c r="T268" s="233">
        <v>0</v>
      </c>
      <c r="U268" s="230">
        <v>0</v>
      </c>
      <c r="V268" s="233">
        <v>0</v>
      </c>
      <c r="W268" s="233">
        <v>0</v>
      </c>
      <c r="X268" s="233">
        <f t="shared" si="41"/>
        <v>0</v>
      </c>
      <c r="Y268" s="233"/>
      <c r="Z268" s="247">
        <f t="shared" si="42"/>
        <v>0</v>
      </c>
      <c r="AA268" s="233">
        <f t="shared" si="38"/>
        <v>0</v>
      </c>
      <c r="AB268" s="233">
        <f t="shared" si="39"/>
        <v>0</v>
      </c>
      <c r="AC268" s="249">
        <v>0</v>
      </c>
      <c r="AD268" s="115"/>
    </row>
    <row r="269" spans="1:30" s="215" customFormat="1">
      <c r="A269" s="152">
        <f t="shared" si="43"/>
        <v>265</v>
      </c>
      <c r="B269" s="115" t="s">
        <v>26</v>
      </c>
      <c r="C269" s="274"/>
      <c r="D269" s="177" t="s">
        <v>26</v>
      </c>
      <c r="E269" s="156" t="s">
        <v>26</v>
      </c>
      <c r="F269" s="156" t="s">
        <v>26</v>
      </c>
      <c r="G269" s="156" t="s">
        <v>26</v>
      </c>
      <c r="H269" s="249">
        <v>0</v>
      </c>
      <c r="I269" s="249">
        <v>0</v>
      </c>
      <c r="J269" s="249">
        <v>0</v>
      </c>
      <c r="K269" s="232">
        <f t="shared" si="40"/>
        <v>0</v>
      </c>
      <c r="L269" s="259"/>
      <c r="M269" s="232">
        <v>0</v>
      </c>
      <c r="N269" s="233">
        <v>0</v>
      </c>
      <c r="O269" s="230">
        <v>0</v>
      </c>
      <c r="P269" s="230">
        <v>0</v>
      </c>
      <c r="Q269" s="233">
        <v>0</v>
      </c>
      <c r="R269" s="230">
        <v>0</v>
      </c>
      <c r="S269" s="233">
        <v>0</v>
      </c>
      <c r="T269" s="233">
        <v>0</v>
      </c>
      <c r="U269" s="230">
        <v>0</v>
      </c>
      <c r="V269" s="233">
        <v>0</v>
      </c>
      <c r="W269" s="233">
        <v>0</v>
      </c>
      <c r="X269" s="233">
        <f t="shared" si="41"/>
        <v>0</v>
      </c>
      <c r="Y269" s="233"/>
      <c r="Z269" s="247">
        <f t="shared" si="42"/>
        <v>0</v>
      </c>
      <c r="AA269" s="233">
        <f t="shared" si="38"/>
        <v>0</v>
      </c>
      <c r="AB269" s="233">
        <f t="shared" si="39"/>
        <v>0</v>
      </c>
      <c r="AC269" s="249">
        <v>0</v>
      </c>
      <c r="AD269" s="115"/>
    </row>
    <row r="270" spans="1:30" s="215" customFormat="1">
      <c r="A270" s="152">
        <f t="shared" si="43"/>
        <v>266</v>
      </c>
      <c r="B270" s="115" t="s">
        <v>26</v>
      </c>
      <c r="C270" s="274"/>
      <c r="D270" s="177" t="s">
        <v>26</v>
      </c>
      <c r="E270" s="156" t="s">
        <v>26</v>
      </c>
      <c r="F270" s="156" t="s">
        <v>26</v>
      </c>
      <c r="G270" s="156" t="s">
        <v>26</v>
      </c>
      <c r="H270" s="249">
        <v>0</v>
      </c>
      <c r="I270" s="249">
        <v>0</v>
      </c>
      <c r="J270" s="249">
        <v>0</v>
      </c>
      <c r="K270" s="232">
        <f t="shared" si="40"/>
        <v>0</v>
      </c>
      <c r="L270" s="259"/>
      <c r="M270" s="232">
        <v>0</v>
      </c>
      <c r="N270" s="233">
        <v>0</v>
      </c>
      <c r="O270" s="230">
        <v>0</v>
      </c>
      <c r="P270" s="230">
        <v>0</v>
      </c>
      <c r="Q270" s="233">
        <v>0</v>
      </c>
      <c r="R270" s="230">
        <v>0</v>
      </c>
      <c r="S270" s="233">
        <v>0</v>
      </c>
      <c r="T270" s="233">
        <v>0</v>
      </c>
      <c r="U270" s="230">
        <v>0</v>
      </c>
      <c r="V270" s="233">
        <v>0</v>
      </c>
      <c r="W270" s="233">
        <v>0</v>
      </c>
      <c r="X270" s="233">
        <f t="shared" si="41"/>
        <v>0</v>
      </c>
      <c r="Y270" s="233"/>
      <c r="Z270" s="247">
        <f t="shared" si="42"/>
        <v>0</v>
      </c>
      <c r="AA270" s="233">
        <f t="shared" si="38"/>
        <v>0</v>
      </c>
      <c r="AB270" s="233">
        <f t="shared" si="39"/>
        <v>0</v>
      </c>
      <c r="AC270" s="249">
        <v>0</v>
      </c>
      <c r="AD270" s="115"/>
    </row>
    <row r="271" spans="1:30" s="215" customFormat="1">
      <c r="A271" s="152">
        <f t="shared" si="43"/>
        <v>267</v>
      </c>
      <c r="B271" s="115" t="s">
        <v>26</v>
      </c>
      <c r="C271" s="274"/>
      <c r="D271" s="177" t="s">
        <v>26</v>
      </c>
      <c r="E271" s="156" t="s">
        <v>26</v>
      </c>
      <c r="F271" s="156" t="s">
        <v>26</v>
      </c>
      <c r="G271" s="156" t="s">
        <v>26</v>
      </c>
      <c r="H271" s="249">
        <v>0</v>
      </c>
      <c r="I271" s="249">
        <v>0</v>
      </c>
      <c r="J271" s="249">
        <v>0</v>
      </c>
      <c r="K271" s="232">
        <f t="shared" si="40"/>
        <v>0</v>
      </c>
      <c r="L271" s="259"/>
      <c r="M271" s="232">
        <v>0</v>
      </c>
      <c r="N271" s="233">
        <v>0</v>
      </c>
      <c r="O271" s="230">
        <v>0</v>
      </c>
      <c r="P271" s="230">
        <v>0</v>
      </c>
      <c r="Q271" s="233">
        <v>0</v>
      </c>
      <c r="R271" s="230">
        <v>0</v>
      </c>
      <c r="S271" s="233">
        <v>0</v>
      </c>
      <c r="T271" s="233">
        <v>0</v>
      </c>
      <c r="U271" s="230">
        <v>0</v>
      </c>
      <c r="V271" s="233">
        <v>0</v>
      </c>
      <c r="W271" s="233">
        <v>0</v>
      </c>
      <c r="X271" s="233">
        <f t="shared" si="41"/>
        <v>0</v>
      </c>
      <c r="Y271" s="233"/>
      <c r="Z271" s="247">
        <f t="shared" si="42"/>
        <v>0</v>
      </c>
      <c r="AA271" s="233">
        <f t="shared" si="38"/>
        <v>0</v>
      </c>
      <c r="AB271" s="233">
        <f t="shared" si="39"/>
        <v>0</v>
      </c>
      <c r="AC271" s="249">
        <v>0</v>
      </c>
      <c r="AD271" s="115"/>
    </row>
    <row r="272" spans="1:30" s="155" customFormat="1">
      <c r="A272" s="152">
        <f t="shared" si="43"/>
        <v>268</v>
      </c>
      <c r="B272" s="115" t="s">
        <v>26</v>
      </c>
      <c r="C272" s="274"/>
      <c r="D272" s="177" t="s">
        <v>26</v>
      </c>
      <c r="E272" s="156" t="s">
        <v>26</v>
      </c>
      <c r="F272" s="156" t="s">
        <v>26</v>
      </c>
      <c r="G272" s="156" t="s">
        <v>26</v>
      </c>
      <c r="H272" s="249">
        <v>0</v>
      </c>
      <c r="I272" s="249">
        <v>0</v>
      </c>
      <c r="J272" s="249">
        <v>0</v>
      </c>
      <c r="K272" s="232">
        <f t="shared" si="40"/>
        <v>0</v>
      </c>
      <c r="L272" s="259"/>
      <c r="M272" s="232">
        <v>0</v>
      </c>
      <c r="N272" s="233">
        <v>0</v>
      </c>
      <c r="O272" s="230">
        <v>0</v>
      </c>
      <c r="P272" s="230">
        <v>0</v>
      </c>
      <c r="Q272" s="233">
        <v>0</v>
      </c>
      <c r="R272" s="230">
        <v>0</v>
      </c>
      <c r="S272" s="233">
        <v>0</v>
      </c>
      <c r="T272" s="233">
        <v>0</v>
      </c>
      <c r="U272" s="230">
        <v>0</v>
      </c>
      <c r="V272" s="233">
        <v>0</v>
      </c>
      <c r="W272" s="233">
        <v>0</v>
      </c>
      <c r="X272" s="233">
        <f t="shared" si="41"/>
        <v>0</v>
      </c>
      <c r="Y272" s="233"/>
      <c r="Z272" s="247">
        <f t="shared" si="42"/>
        <v>0</v>
      </c>
      <c r="AA272" s="233">
        <f t="shared" si="38"/>
        <v>0</v>
      </c>
      <c r="AB272" s="233">
        <f t="shared" si="39"/>
        <v>0</v>
      </c>
      <c r="AC272" s="249">
        <v>0</v>
      </c>
      <c r="AD272" s="115"/>
    </row>
    <row r="273" spans="1:30" s="155" customFormat="1">
      <c r="A273" s="152">
        <f t="shared" si="43"/>
        <v>269</v>
      </c>
      <c r="B273" s="115" t="s">
        <v>26</v>
      </c>
      <c r="C273" s="274"/>
      <c r="D273" s="278"/>
      <c r="E273" s="156" t="s">
        <v>26</v>
      </c>
      <c r="F273" s="156" t="s">
        <v>26</v>
      </c>
      <c r="G273" s="156" t="s">
        <v>26</v>
      </c>
      <c r="H273" s="249">
        <v>0</v>
      </c>
      <c r="I273" s="249">
        <v>0</v>
      </c>
      <c r="J273" s="249">
        <v>0</v>
      </c>
      <c r="K273" s="232">
        <f t="shared" si="40"/>
        <v>0</v>
      </c>
      <c r="L273" s="259"/>
      <c r="M273" s="232">
        <v>0</v>
      </c>
      <c r="N273" s="233">
        <v>0</v>
      </c>
      <c r="O273" s="230">
        <v>0</v>
      </c>
      <c r="P273" s="230">
        <v>0</v>
      </c>
      <c r="Q273" s="233">
        <v>0</v>
      </c>
      <c r="R273" s="230">
        <v>0</v>
      </c>
      <c r="S273" s="233">
        <v>0</v>
      </c>
      <c r="T273" s="233">
        <v>0</v>
      </c>
      <c r="U273" s="230">
        <v>0</v>
      </c>
      <c r="V273" s="233">
        <v>0</v>
      </c>
      <c r="W273" s="233">
        <v>0</v>
      </c>
      <c r="X273" s="233">
        <f t="shared" si="41"/>
        <v>0</v>
      </c>
      <c r="Y273" s="233"/>
      <c r="Z273" s="247">
        <f t="shared" si="42"/>
        <v>0</v>
      </c>
      <c r="AA273" s="233">
        <f t="shared" si="38"/>
        <v>0</v>
      </c>
      <c r="AB273" s="233">
        <f t="shared" si="39"/>
        <v>0</v>
      </c>
      <c r="AC273" s="249">
        <v>0</v>
      </c>
      <c r="AD273" s="115"/>
    </row>
    <row r="274" spans="1:30" s="215" customFormat="1">
      <c r="A274" s="212">
        <f t="shared" si="43"/>
        <v>270</v>
      </c>
      <c r="B274" s="115" t="s">
        <v>26</v>
      </c>
      <c r="C274" s="274"/>
      <c r="D274" s="277">
        <v>2026</v>
      </c>
      <c r="E274" s="156" t="s">
        <v>26</v>
      </c>
      <c r="F274" s="156" t="s">
        <v>3473</v>
      </c>
      <c r="G274" s="156" t="s">
        <v>26</v>
      </c>
      <c r="H274" s="249">
        <v>0</v>
      </c>
      <c r="I274" s="249">
        <v>0</v>
      </c>
      <c r="J274" s="249">
        <v>0</v>
      </c>
      <c r="K274" s="232">
        <f t="shared" si="40"/>
        <v>0</v>
      </c>
      <c r="L274" s="259"/>
      <c r="M274" s="232">
        <v>0</v>
      </c>
      <c r="N274" s="233">
        <v>0</v>
      </c>
      <c r="O274" s="233">
        <v>0</v>
      </c>
      <c r="P274" s="233">
        <v>0</v>
      </c>
      <c r="Q274" s="233">
        <v>0</v>
      </c>
      <c r="R274" s="233">
        <v>0</v>
      </c>
      <c r="S274" s="233">
        <v>0</v>
      </c>
      <c r="T274" s="233">
        <v>0</v>
      </c>
      <c r="U274" s="233">
        <v>0</v>
      </c>
      <c r="V274" s="233">
        <v>0</v>
      </c>
      <c r="W274" s="233">
        <v>0</v>
      </c>
      <c r="X274" s="233">
        <f t="shared" si="41"/>
        <v>0</v>
      </c>
      <c r="Y274" s="233"/>
      <c r="Z274" s="247">
        <f t="shared" si="42"/>
        <v>0</v>
      </c>
      <c r="AA274" s="233">
        <f t="shared" si="38"/>
        <v>0</v>
      </c>
      <c r="AB274" s="233">
        <f t="shared" si="39"/>
        <v>0</v>
      </c>
      <c r="AC274" s="249">
        <v>0</v>
      </c>
      <c r="AD274" s="115"/>
    </row>
    <row r="275" spans="1:30" s="155" customFormat="1">
      <c r="A275" s="152">
        <f t="shared" si="43"/>
        <v>271</v>
      </c>
      <c r="B275" s="37" t="s">
        <v>7932</v>
      </c>
      <c r="C275" s="70"/>
      <c r="D275" s="35">
        <v>2025</v>
      </c>
      <c r="E275" s="154" t="s">
        <v>360</v>
      </c>
      <c r="F275" s="154" t="s">
        <v>4097</v>
      </c>
      <c r="G275" s="154" t="s">
        <v>7933</v>
      </c>
      <c r="H275" s="246">
        <v>250000000</v>
      </c>
      <c r="I275" s="246">
        <v>0</v>
      </c>
      <c r="J275" s="246">
        <v>0</v>
      </c>
      <c r="K275" s="231">
        <f t="shared" si="40"/>
        <v>250000000</v>
      </c>
      <c r="L275" s="221"/>
      <c r="M275" s="231">
        <v>0</v>
      </c>
      <c r="N275" s="230">
        <v>0</v>
      </c>
      <c r="O275" s="230">
        <v>0</v>
      </c>
      <c r="P275" s="230">
        <v>0</v>
      </c>
      <c r="Q275" s="230">
        <v>0</v>
      </c>
      <c r="R275" s="230">
        <v>0</v>
      </c>
      <c r="S275" s="230">
        <v>0</v>
      </c>
      <c r="T275" s="230">
        <v>0</v>
      </c>
      <c r="U275" s="230">
        <v>0</v>
      </c>
      <c r="V275" s="230">
        <v>0</v>
      </c>
      <c r="W275" s="230">
        <v>0</v>
      </c>
      <c r="X275" s="230">
        <f t="shared" si="41"/>
        <v>250000000</v>
      </c>
      <c r="Y275" s="230"/>
      <c r="Z275" s="158">
        <f t="shared" si="42"/>
        <v>0</v>
      </c>
      <c r="AA275" s="230">
        <f t="shared" si="38"/>
        <v>-5000000</v>
      </c>
      <c r="AB275" s="230">
        <f t="shared" si="39"/>
        <v>245000000</v>
      </c>
      <c r="AC275" s="246">
        <v>0</v>
      </c>
      <c r="AD275" s="378" t="s">
        <v>7934</v>
      </c>
    </row>
    <row r="276" spans="1:30" s="155" customFormat="1">
      <c r="A276" s="212">
        <f t="shared" si="43"/>
        <v>272</v>
      </c>
      <c r="B276" s="115" t="s">
        <v>26</v>
      </c>
      <c r="C276" s="274"/>
      <c r="D276" s="277">
        <v>2026</v>
      </c>
      <c r="E276" s="156" t="s">
        <v>26</v>
      </c>
      <c r="F276" s="156" t="s">
        <v>4089</v>
      </c>
      <c r="G276" s="156" t="s">
        <v>26</v>
      </c>
      <c r="H276" s="249">
        <v>0</v>
      </c>
      <c r="I276" s="249">
        <v>0</v>
      </c>
      <c r="J276" s="249">
        <v>0</v>
      </c>
      <c r="K276" s="232">
        <f t="shared" si="40"/>
        <v>0</v>
      </c>
      <c r="L276" s="260"/>
      <c r="M276" s="232">
        <v>0</v>
      </c>
      <c r="N276" s="233">
        <v>0</v>
      </c>
      <c r="O276" s="233">
        <v>0</v>
      </c>
      <c r="P276" s="233">
        <v>0</v>
      </c>
      <c r="Q276" s="233">
        <v>0</v>
      </c>
      <c r="R276" s="233">
        <v>0</v>
      </c>
      <c r="S276" s="233">
        <v>0</v>
      </c>
      <c r="T276" s="233">
        <v>0</v>
      </c>
      <c r="U276" s="233">
        <v>0</v>
      </c>
      <c r="V276" s="233">
        <v>0</v>
      </c>
      <c r="W276" s="233">
        <v>0</v>
      </c>
      <c r="X276" s="233">
        <f t="shared" si="41"/>
        <v>0</v>
      </c>
      <c r="Y276" s="233"/>
      <c r="Z276" s="247">
        <f t="shared" si="42"/>
        <v>0</v>
      </c>
      <c r="AA276" s="233">
        <f t="shared" si="38"/>
        <v>0</v>
      </c>
      <c r="AB276" s="233">
        <f t="shared" si="39"/>
        <v>0</v>
      </c>
      <c r="AC276" s="249">
        <v>0</v>
      </c>
      <c r="AD276" s="115"/>
    </row>
    <row r="277" spans="1:30" s="215" customFormat="1">
      <c r="A277" s="212">
        <f t="shared" si="43"/>
        <v>273</v>
      </c>
      <c r="B277" s="115" t="s">
        <v>26</v>
      </c>
      <c r="C277" s="274"/>
      <c r="D277" s="277">
        <v>2026</v>
      </c>
      <c r="E277" s="156" t="s">
        <v>26</v>
      </c>
      <c r="F277" s="156" t="s">
        <v>1629</v>
      </c>
      <c r="G277" s="156" t="s">
        <v>26</v>
      </c>
      <c r="H277" s="249">
        <v>0</v>
      </c>
      <c r="I277" s="249">
        <v>0</v>
      </c>
      <c r="J277" s="249">
        <v>0</v>
      </c>
      <c r="K277" s="232">
        <f t="shared" si="40"/>
        <v>0</v>
      </c>
      <c r="L277" s="260"/>
      <c r="M277" s="232">
        <v>0</v>
      </c>
      <c r="N277" s="233">
        <v>0</v>
      </c>
      <c r="O277" s="233">
        <v>0</v>
      </c>
      <c r="P277" s="233">
        <v>0</v>
      </c>
      <c r="Q277" s="233">
        <v>0</v>
      </c>
      <c r="R277" s="233">
        <v>0</v>
      </c>
      <c r="S277" s="233">
        <v>0</v>
      </c>
      <c r="T277" s="233">
        <v>0</v>
      </c>
      <c r="U277" s="233">
        <v>0</v>
      </c>
      <c r="V277" s="233">
        <v>0</v>
      </c>
      <c r="W277" s="233">
        <v>0</v>
      </c>
      <c r="X277" s="233">
        <f t="shared" si="41"/>
        <v>0</v>
      </c>
      <c r="Y277" s="233"/>
      <c r="Z277" s="247">
        <f t="shared" si="42"/>
        <v>0</v>
      </c>
      <c r="AA277" s="233">
        <f t="shared" si="38"/>
        <v>0</v>
      </c>
      <c r="AB277" s="233">
        <f t="shared" si="39"/>
        <v>0</v>
      </c>
      <c r="AC277" s="249">
        <v>0</v>
      </c>
      <c r="AD277" s="115"/>
    </row>
    <row r="278" spans="1:30" s="215" customFormat="1">
      <c r="A278" s="212">
        <f t="shared" si="43"/>
        <v>274</v>
      </c>
      <c r="B278" s="115" t="s">
        <v>26</v>
      </c>
      <c r="C278" s="274"/>
      <c r="D278" s="277">
        <v>2026</v>
      </c>
      <c r="E278" s="156" t="s">
        <v>26</v>
      </c>
      <c r="F278" s="156" t="s">
        <v>1640</v>
      </c>
      <c r="G278" s="156" t="s">
        <v>26</v>
      </c>
      <c r="H278" s="249">
        <v>0</v>
      </c>
      <c r="I278" s="249">
        <v>0</v>
      </c>
      <c r="J278" s="249">
        <v>0</v>
      </c>
      <c r="K278" s="232">
        <f t="shared" si="40"/>
        <v>0</v>
      </c>
      <c r="L278" s="260"/>
      <c r="M278" s="232">
        <v>0</v>
      </c>
      <c r="N278" s="233">
        <v>0</v>
      </c>
      <c r="O278" s="233">
        <v>0</v>
      </c>
      <c r="P278" s="233">
        <v>0</v>
      </c>
      <c r="Q278" s="233">
        <v>0</v>
      </c>
      <c r="R278" s="233">
        <v>0</v>
      </c>
      <c r="S278" s="233">
        <v>0</v>
      </c>
      <c r="T278" s="233">
        <v>0</v>
      </c>
      <c r="U278" s="233">
        <v>0</v>
      </c>
      <c r="V278" s="233">
        <v>0</v>
      </c>
      <c r="W278" s="233">
        <v>0</v>
      </c>
      <c r="X278" s="233">
        <f t="shared" si="41"/>
        <v>0</v>
      </c>
      <c r="Y278" s="233"/>
      <c r="Z278" s="247">
        <f t="shared" si="42"/>
        <v>0</v>
      </c>
      <c r="AA278" s="233">
        <f t="shared" si="38"/>
        <v>0</v>
      </c>
      <c r="AB278" s="233">
        <f t="shared" si="39"/>
        <v>0</v>
      </c>
      <c r="AC278" s="249">
        <v>0</v>
      </c>
      <c r="AD278" s="115"/>
    </row>
    <row r="279" spans="1:30" s="215" customFormat="1">
      <c r="A279" s="212">
        <f t="shared" si="43"/>
        <v>275</v>
      </c>
      <c r="B279" s="115" t="s">
        <v>26</v>
      </c>
      <c r="C279" s="274"/>
      <c r="D279" s="277">
        <v>2026</v>
      </c>
      <c r="E279" s="156" t="s">
        <v>26</v>
      </c>
      <c r="F279" s="156" t="s">
        <v>4090</v>
      </c>
      <c r="G279" s="156" t="s">
        <v>26</v>
      </c>
      <c r="H279" s="249">
        <v>0</v>
      </c>
      <c r="I279" s="249">
        <v>0</v>
      </c>
      <c r="J279" s="249">
        <v>0</v>
      </c>
      <c r="K279" s="232">
        <f t="shared" si="40"/>
        <v>0</v>
      </c>
      <c r="L279" s="260"/>
      <c r="M279" s="232">
        <v>0</v>
      </c>
      <c r="N279" s="233">
        <v>0</v>
      </c>
      <c r="O279" s="233">
        <v>0</v>
      </c>
      <c r="P279" s="233">
        <v>0</v>
      </c>
      <c r="Q279" s="233">
        <v>0</v>
      </c>
      <c r="R279" s="233">
        <v>0</v>
      </c>
      <c r="S279" s="233">
        <v>0</v>
      </c>
      <c r="T279" s="233">
        <v>0</v>
      </c>
      <c r="U279" s="233">
        <v>0</v>
      </c>
      <c r="V279" s="233">
        <v>0</v>
      </c>
      <c r="W279" s="233">
        <v>0</v>
      </c>
      <c r="X279" s="233">
        <f t="shared" si="41"/>
        <v>0</v>
      </c>
      <c r="Y279" s="233"/>
      <c r="Z279" s="247">
        <f t="shared" si="42"/>
        <v>0</v>
      </c>
      <c r="AA279" s="233">
        <f t="shared" si="38"/>
        <v>0</v>
      </c>
      <c r="AB279" s="233">
        <f t="shared" si="39"/>
        <v>0</v>
      </c>
      <c r="AC279" s="249">
        <v>0</v>
      </c>
      <c r="AD279" s="115"/>
    </row>
    <row r="280" spans="1:30" s="155" customFormat="1">
      <c r="A280" s="212">
        <f t="shared" si="43"/>
        <v>276</v>
      </c>
      <c r="B280" s="115" t="s">
        <v>26</v>
      </c>
      <c r="C280" s="274"/>
      <c r="D280" s="277">
        <v>2026</v>
      </c>
      <c r="E280" s="156" t="s">
        <v>26</v>
      </c>
      <c r="F280" s="156" t="s">
        <v>4084</v>
      </c>
      <c r="G280" s="156" t="s">
        <v>26</v>
      </c>
      <c r="H280" s="249">
        <v>0</v>
      </c>
      <c r="I280" s="249">
        <v>0</v>
      </c>
      <c r="J280" s="249">
        <v>0</v>
      </c>
      <c r="K280" s="232">
        <f t="shared" si="40"/>
        <v>0</v>
      </c>
      <c r="L280" s="260"/>
      <c r="M280" s="232">
        <v>0</v>
      </c>
      <c r="N280" s="233">
        <v>0</v>
      </c>
      <c r="O280" s="233">
        <v>0</v>
      </c>
      <c r="P280" s="233">
        <v>0</v>
      </c>
      <c r="Q280" s="233">
        <v>0</v>
      </c>
      <c r="R280" s="233">
        <v>0</v>
      </c>
      <c r="S280" s="233">
        <v>0</v>
      </c>
      <c r="T280" s="233">
        <v>0</v>
      </c>
      <c r="U280" s="233">
        <v>0</v>
      </c>
      <c r="V280" s="233">
        <v>0</v>
      </c>
      <c r="W280" s="233">
        <v>0</v>
      </c>
      <c r="X280" s="233">
        <f t="shared" si="41"/>
        <v>0</v>
      </c>
      <c r="Y280" s="233"/>
      <c r="Z280" s="247">
        <f t="shared" si="42"/>
        <v>0</v>
      </c>
      <c r="AA280" s="233">
        <f t="shared" si="38"/>
        <v>0</v>
      </c>
      <c r="AB280" s="233">
        <f t="shared" si="39"/>
        <v>0</v>
      </c>
      <c r="AC280" s="249">
        <v>0</v>
      </c>
      <c r="AD280" s="115"/>
    </row>
    <row r="281" spans="1:30" s="267" customFormat="1">
      <c r="A281" s="212">
        <f t="shared" si="43"/>
        <v>277</v>
      </c>
      <c r="B281" s="115" t="s">
        <v>26</v>
      </c>
      <c r="C281" s="274"/>
      <c r="D281" s="278"/>
      <c r="E281" s="156" t="s">
        <v>26</v>
      </c>
      <c r="F281" s="156" t="s">
        <v>26</v>
      </c>
      <c r="G281" s="156" t="s">
        <v>26</v>
      </c>
      <c r="H281" s="249">
        <v>0</v>
      </c>
      <c r="I281" s="249">
        <v>0</v>
      </c>
      <c r="J281" s="249">
        <v>0</v>
      </c>
      <c r="K281" s="232">
        <f t="shared" si="40"/>
        <v>0</v>
      </c>
      <c r="L281" s="260"/>
      <c r="M281" s="232">
        <v>0</v>
      </c>
      <c r="N281" s="233">
        <v>0</v>
      </c>
      <c r="O281" s="233">
        <v>0</v>
      </c>
      <c r="P281" s="233">
        <v>0</v>
      </c>
      <c r="Q281" s="233">
        <v>0</v>
      </c>
      <c r="R281" s="233">
        <v>0</v>
      </c>
      <c r="S281" s="233">
        <v>0</v>
      </c>
      <c r="T281" s="233">
        <v>0</v>
      </c>
      <c r="U281" s="233">
        <v>0</v>
      </c>
      <c r="V281" s="233">
        <v>0</v>
      </c>
      <c r="W281" s="233">
        <v>0</v>
      </c>
      <c r="X281" s="233">
        <f t="shared" si="41"/>
        <v>0</v>
      </c>
      <c r="Y281" s="233"/>
      <c r="Z281" s="254">
        <f t="shared" si="42"/>
        <v>0</v>
      </c>
      <c r="AA281" s="233">
        <f t="shared" si="38"/>
        <v>0</v>
      </c>
      <c r="AB281" s="233">
        <f t="shared" si="39"/>
        <v>0</v>
      </c>
      <c r="AC281" s="249">
        <v>0</v>
      </c>
      <c r="AD281" s="115"/>
    </row>
    <row r="282" spans="1:30" s="155" customFormat="1">
      <c r="A282" s="212">
        <f t="shared" si="43"/>
        <v>278</v>
      </c>
      <c r="B282" s="115" t="s">
        <v>26</v>
      </c>
      <c r="C282" s="274"/>
      <c r="D282" s="277">
        <v>2026</v>
      </c>
      <c r="E282" s="156" t="s">
        <v>26</v>
      </c>
      <c r="F282" s="156" t="s">
        <v>4094</v>
      </c>
      <c r="G282" s="156" t="s">
        <v>26</v>
      </c>
      <c r="H282" s="249">
        <v>0</v>
      </c>
      <c r="I282" s="249">
        <v>0</v>
      </c>
      <c r="J282" s="249">
        <v>0</v>
      </c>
      <c r="K282" s="232">
        <f t="shared" si="40"/>
        <v>0</v>
      </c>
      <c r="L282" s="260"/>
      <c r="M282" s="232">
        <v>0</v>
      </c>
      <c r="N282" s="233">
        <v>0</v>
      </c>
      <c r="O282" s="233">
        <v>0</v>
      </c>
      <c r="P282" s="233">
        <v>0</v>
      </c>
      <c r="Q282" s="233">
        <v>0</v>
      </c>
      <c r="R282" s="233">
        <v>0</v>
      </c>
      <c r="S282" s="233">
        <v>0</v>
      </c>
      <c r="T282" s="233">
        <v>0</v>
      </c>
      <c r="U282" s="233">
        <v>0</v>
      </c>
      <c r="V282" s="233">
        <v>0</v>
      </c>
      <c r="W282" s="233">
        <v>0</v>
      </c>
      <c r="X282" s="233">
        <f t="shared" si="41"/>
        <v>0</v>
      </c>
      <c r="Y282" s="233"/>
      <c r="Z282" s="254">
        <f t="shared" si="42"/>
        <v>0</v>
      </c>
      <c r="AA282" s="233">
        <f t="shared" si="38"/>
        <v>0</v>
      </c>
      <c r="AB282" s="233">
        <f t="shared" si="39"/>
        <v>0</v>
      </c>
      <c r="AC282" s="249">
        <v>0</v>
      </c>
      <c r="AD282" s="115"/>
    </row>
    <row r="283" spans="1:30" s="155" customFormat="1">
      <c r="A283" s="212">
        <f t="shared" si="43"/>
        <v>279</v>
      </c>
      <c r="B283" s="115" t="s">
        <v>26</v>
      </c>
      <c r="C283" s="274"/>
      <c r="D283" s="277">
        <v>2026</v>
      </c>
      <c r="E283" s="156" t="s">
        <v>26</v>
      </c>
      <c r="F283" s="156" t="s">
        <v>1632</v>
      </c>
      <c r="G283" s="156" t="s">
        <v>26</v>
      </c>
      <c r="H283" s="249">
        <v>0</v>
      </c>
      <c r="I283" s="249">
        <v>0</v>
      </c>
      <c r="J283" s="249">
        <v>0</v>
      </c>
      <c r="K283" s="232">
        <f t="shared" si="40"/>
        <v>0</v>
      </c>
      <c r="L283" s="260"/>
      <c r="M283" s="232">
        <v>0</v>
      </c>
      <c r="N283" s="233">
        <v>0</v>
      </c>
      <c r="O283" s="233">
        <v>0</v>
      </c>
      <c r="P283" s="233">
        <v>0</v>
      </c>
      <c r="Q283" s="233">
        <v>0</v>
      </c>
      <c r="R283" s="233">
        <v>0</v>
      </c>
      <c r="S283" s="233">
        <v>0</v>
      </c>
      <c r="T283" s="233">
        <v>0</v>
      </c>
      <c r="U283" s="233">
        <v>0</v>
      </c>
      <c r="V283" s="233">
        <v>0</v>
      </c>
      <c r="W283" s="233">
        <v>0</v>
      </c>
      <c r="X283" s="233">
        <f t="shared" si="41"/>
        <v>0</v>
      </c>
      <c r="Y283" s="233"/>
      <c r="Z283" s="254">
        <f t="shared" si="42"/>
        <v>0</v>
      </c>
      <c r="AA283" s="233">
        <f t="shared" si="38"/>
        <v>0</v>
      </c>
      <c r="AB283" s="233">
        <f t="shared" si="39"/>
        <v>0</v>
      </c>
      <c r="AC283" s="249">
        <v>0</v>
      </c>
      <c r="AD283" s="115"/>
    </row>
    <row r="284" spans="1:30" s="155" customFormat="1">
      <c r="A284" s="212">
        <f t="shared" si="43"/>
        <v>280</v>
      </c>
      <c r="B284" s="115" t="s">
        <v>26</v>
      </c>
      <c r="C284" s="274"/>
      <c r="D284" s="277">
        <v>2026</v>
      </c>
      <c r="E284" s="156" t="s">
        <v>26</v>
      </c>
      <c r="F284" s="156" t="s">
        <v>2324</v>
      </c>
      <c r="G284" s="156" t="s">
        <v>26</v>
      </c>
      <c r="H284" s="249">
        <v>0</v>
      </c>
      <c r="I284" s="249">
        <v>0</v>
      </c>
      <c r="J284" s="249">
        <v>0</v>
      </c>
      <c r="K284" s="232">
        <f t="shared" si="40"/>
        <v>0</v>
      </c>
      <c r="L284" s="260"/>
      <c r="M284" s="232">
        <v>0</v>
      </c>
      <c r="N284" s="233">
        <v>0</v>
      </c>
      <c r="O284" s="233">
        <v>0</v>
      </c>
      <c r="P284" s="233">
        <v>0</v>
      </c>
      <c r="Q284" s="233">
        <v>0</v>
      </c>
      <c r="R284" s="233">
        <v>0</v>
      </c>
      <c r="S284" s="233">
        <v>0</v>
      </c>
      <c r="T284" s="233">
        <v>0</v>
      </c>
      <c r="U284" s="233">
        <v>0</v>
      </c>
      <c r="V284" s="233">
        <v>0</v>
      </c>
      <c r="W284" s="233">
        <v>0</v>
      </c>
      <c r="X284" s="233">
        <f t="shared" si="41"/>
        <v>0</v>
      </c>
      <c r="Y284" s="233"/>
      <c r="Z284" s="254">
        <f t="shared" si="42"/>
        <v>0</v>
      </c>
      <c r="AA284" s="233">
        <f t="shared" si="38"/>
        <v>0</v>
      </c>
      <c r="AB284" s="233">
        <f t="shared" si="39"/>
        <v>0</v>
      </c>
      <c r="AC284" s="249">
        <v>0</v>
      </c>
      <c r="AD284" s="115"/>
    </row>
    <row r="285" spans="1:30" s="155" customFormat="1">
      <c r="A285" s="212">
        <f t="shared" si="43"/>
        <v>281</v>
      </c>
      <c r="B285" s="115" t="s">
        <v>26</v>
      </c>
      <c r="C285" s="274"/>
      <c r="D285" s="277">
        <v>2026</v>
      </c>
      <c r="E285" s="156" t="s">
        <v>26</v>
      </c>
      <c r="F285" s="156" t="s">
        <v>2325</v>
      </c>
      <c r="G285" s="156" t="s">
        <v>26</v>
      </c>
      <c r="H285" s="249">
        <v>0</v>
      </c>
      <c r="I285" s="249">
        <v>0</v>
      </c>
      <c r="J285" s="249">
        <v>0</v>
      </c>
      <c r="K285" s="232">
        <f t="shared" si="40"/>
        <v>0</v>
      </c>
      <c r="L285" s="260"/>
      <c r="M285" s="232">
        <v>0</v>
      </c>
      <c r="N285" s="233">
        <v>0</v>
      </c>
      <c r="O285" s="233">
        <v>0</v>
      </c>
      <c r="P285" s="233">
        <v>0</v>
      </c>
      <c r="Q285" s="233">
        <v>0</v>
      </c>
      <c r="R285" s="233">
        <v>0</v>
      </c>
      <c r="S285" s="233">
        <v>0</v>
      </c>
      <c r="T285" s="233">
        <v>0</v>
      </c>
      <c r="U285" s="233">
        <v>0</v>
      </c>
      <c r="V285" s="233">
        <v>0</v>
      </c>
      <c r="W285" s="233">
        <v>0</v>
      </c>
      <c r="X285" s="233">
        <f t="shared" si="41"/>
        <v>0</v>
      </c>
      <c r="Y285" s="233"/>
      <c r="Z285" s="254">
        <f t="shared" si="42"/>
        <v>0</v>
      </c>
      <c r="AA285" s="233">
        <f t="shared" si="38"/>
        <v>0</v>
      </c>
      <c r="AB285" s="233">
        <f t="shared" si="39"/>
        <v>0</v>
      </c>
      <c r="AC285" s="249">
        <v>0</v>
      </c>
      <c r="AD285" s="115"/>
    </row>
    <row r="286" spans="1:30" s="155" customFormat="1">
      <c r="A286" s="212">
        <f t="shared" si="43"/>
        <v>282</v>
      </c>
      <c r="B286" s="115" t="s">
        <v>26</v>
      </c>
      <c r="C286" s="274"/>
      <c r="D286" s="277">
        <v>2026</v>
      </c>
      <c r="E286" s="156" t="s">
        <v>26</v>
      </c>
      <c r="F286" s="156" t="s">
        <v>4087</v>
      </c>
      <c r="G286" s="156" t="s">
        <v>26</v>
      </c>
      <c r="H286" s="249">
        <v>0</v>
      </c>
      <c r="I286" s="249">
        <v>0</v>
      </c>
      <c r="J286" s="249">
        <v>0</v>
      </c>
      <c r="K286" s="232">
        <f t="shared" si="40"/>
        <v>0</v>
      </c>
      <c r="L286" s="260"/>
      <c r="M286" s="232">
        <v>0</v>
      </c>
      <c r="N286" s="233">
        <v>0</v>
      </c>
      <c r="O286" s="233">
        <v>0</v>
      </c>
      <c r="P286" s="233">
        <v>0</v>
      </c>
      <c r="Q286" s="233">
        <v>0</v>
      </c>
      <c r="R286" s="233">
        <v>0</v>
      </c>
      <c r="S286" s="233">
        <v>0</v>
      </c>
      <c r="T286" s="233">
        <v>0</v>
      </c>
      <c r="U286" s="233">
        <v>0</v>
      </c>
      <c r="V286" s="233">
        <v>0</v>
      </c>
      <c r="W286" s="233">
        <v>0</v>
      </c>
      <c r="X286" s="233">
        <f t="shared" si="41"/>
        <v>0</v>
      </c>
      <c r="Y286" s="233"/>
      <c r="Z286" s="254">
        <f t="shared" si="42"/>
        <v>0</v>
      </c>
      <c r="AA286" s="233">
        <f t="shared" si="38"/>
        <v>0</v>
      </c>
      <c r="AB286" s="233">
        <f t="shared" si="39"/>
        <v>0</v>
      </c>
      <c r="AC286" s="249">
        <v>0</v>
      </c>
      <c r="AD286" s="115"/>
    </row>
    <row r="287" spans="1:30" s="155" customFormat="1">
      <c r="A287" s="212">
        <f t="shared" si="43"/>
        <v>283</v>
      </c>
      <c r="B287" s="115" t="s">
        <v>26</v>
      </c>
      <c r="C287" s="274"/>
      <c r="D287" s="277">
        <v>2026</v>
      </c>
      <c r="E287" s="156" t="s">
        <v>26</v>
      </c>
      <c r="F287" s="156" t="s">
        <v>2314</v>
      </c>
      <c r="G287" s="156" t="s">
        <v>26</v>
      </c>
      <c r="H287" s="249">
        <v>0</v>
      </c>
      <c r="I287" s="249">
        <v>0</v>
      </c>
      <c r="J287" s="249">
        <v>0</v>
      </c>
      <c r="K287" s="232">
        <f t="shared" si="40"/>
        <v>0</v>
      </c>
      <c r="L287" s="259"/>
      <c r="M287" s="232">
        <v>0</v>
      </c>
      <c r="N287" s="233">
        <v>0</v>
      </c>
      <c r="O287" s="233">
        <v>0</v>
      </c>
      <c r="P287" s="233">
        <v>0</v>
      </c>
      <c r="Q287" s="233">
        <v>0</v>
      </c>
      <c r="R287" s="233">
        <v>0</v>
      </c>
      <c r="S287" s="233">
        <v>0</v>
      </c>
      <c r="T287" s="233">
        <v>0</v>
      </c>
      <c r="U287" s="233">
        <v>0</v>
      </c>
      <c r="V287" s="233">
        <v>0</v>
      </c>
      <c r="W287" s="233">
        <v>0</v>
      </c>
      <c r="X287" s="233">
        <f t="shared" si="41"/>
        <v>0</v>
      </c>
      <c r="Y287" s="233"/>
      <c r="Z287" s="254">
        <f t="shared" si="42"/>
        <v>0</v>
      </c>
      <c r="AA287" s="233">
        <f t="shared" si="38"/>
        <v>0</v>
      </c>
      <c r="AB287" s="233">
        <f t="shared" si="39"/>
        <v>0</v>
      </c>
      <c r="AC287" s="249">
        <v>0</v>
      </c>
      <c r="AD287" s="115"/>
    </row>
    <row r="288" spans="1:30" s="155" customFormat="1">
      <c r="A288" s="152">
        <f t="shared" si="43"/>
        <v>284</v>
      </c>
      <c r="B288" s="115" t="s">
        <v>26</v>
      </c>
      <c r="C288" s="274"/>
      <c r="D288" s="278"/>
      <c r="E288" s="156" t="s">
        <v>26</v>
      </c>
      <c r="F288" s="156" t="s">
        <v>26</v>
      </c>
      <c r="G288" s="156" t="s">
        <v>26</v>
      </c>
      <c r="H288" s="249">
        <v>0</v>
      </c>
      <c r="I288" s="249">
        <v>0</v>
      </c>
      <c r="J288" s="249">
        <v>0</v>
      </c>
      <c r="K288" s="232">
        <f t="shared" si="40"/>
        <v>0</v>
      </c>
      <c r="L288" s="259"/>
      <c r="M288" s="232">
        <v>0</v>
      </c>
      <c r="N288" s="233">
        <v>0</v>
      </c>
      <c r="O288" s="230">
        <v>0</v>
      </c>
      <c r="P288" s="230">
        <v>0</v>
      </c>
      <c r="Q288" s="233">
        <v>0</v>
      </c>
      <c r="R288" s="230">
        <v>0</v>
      </c>
      <c r="S288" s="233">
        <v>0</v>
      </c>
      <c r="T288" s="233">
        <v>0</v>
      </c>
      <c r="U288" s="233">
        <v>0</v>
      </c>
      <c r="V288" s="233">
        <v>0</v>
      </c>
      <c r="W288" s="233">
        <v>0</v>
      </c>
      <c r="X288" s="233">
        <f t="shared" si="41"/>
        <v>0</v>
      </c>
      <c r="Y288" s="233"/>
      <c r="Z288" s="254">
        <f t="shared" si="42"/>
        <v>0</v>
      </c>
      <c r="AA288" s="233">
        <f t="shared" si="38"/>
        <v>0</v>
      </c>
      <c r="AB288" s="233">
        <f t="shared" si="39"/>
        <v>0</v>
      </c>
      <c r="AC288" s="249">
        <v>0</v>
      </c>
      <c r="AD288" s="115"/>
    </row>
    <row r="289" spans="1:30" s="155" customFormat="1">
      <c r="A289" s="152">
        <f t="shared" si="43"/>
        <v>285</v>
      </c>
      <c r="B289" s="115" t="s">
        <v>26</v>
      </c>
      <c r="C289" s="274"/>
      <c r="D289" s="278"/>
      <c r="E289" s="156" t="s">
        <v>26</v>
      </c>
      <c r="F289" s="156" t="s">
        <v>26</v>
      </c>
      <c r="G289" s="156" t="s">
        <v>26</v>
      </c>
      <c r="H289" s="249">
        <v>0</v>
      </c>
      <c r="I289" s="249">
        <v>0</v>
      </c>
      <c r="J289" s="249">
        <v>0</v>
      </c>
      <c r="K289" s="232">
        <f t="shared" si="40"/>
        <v>0</v>
      </c>
      <c r="L289" s="259"/>
      <c r="M289" s="232">
        <v>0</v>
      </c>
      <c r="N289" s="233">
        <v>0</v>
      </c>
      <c r="O289" s="230">
        <v>0</v>
      </c>
      <c r="P289" s="230">
        <v>0</v>
      </c>
      <c r="Q289" s="233">
        <v>0</v>
      </c>
      <c r="R289" s="230">
        <v>0</v>
      </c>
      <c r="S289" s="233">
        <v>0</v>
      </c>
      <c r="T289" s="233">
        <v>0</v>
      </c>
      <c r="U289" s="233">
        <v>0</v>
      </c>
      <c r="V289" s="233">
        <v>0</v>
      </c>
      <c r="W289" s="233">
        <v>0</v>
      </c>
      <c r="X289" s="233">
        <f t="shared" si="41"/>
        <v>0</v>
      </c>
      <c r="Y289" s="233"/>
      <c r="Z289" s="254">
        <f t="shared" si="42"/>
        <v>0</v>
      </c>
      <c r="AA289" s="233">
        <f t="shared" si="38"/>
        <v>0</v>
      </c>
      <c r="AB289" s="233">
        <f t="shared" si="39"/>
        <v>0</v>
      </c>
      <c r="AC289" s="249">
        <v>0</v>
      </c>
      <c r="AD289" s="115"/>
    </row>
    <row r="290" spans="1:30" s="155" customFormat="1">
      <c r="A290" s="152">
        <f t="shared" si="43"/>
        <v>286</v>
      </c>
      <c r="B290" s="115" t="s">
        <v>26</v>
      </c>
      <c r="C290" s="274"/>
      <c r="D290" s="278"/>
      <c r="E290" s="156" t="s">
        <v>26</v>
      </c>
      <c r="F290" s="215"/>
      <c r="G290" s="156" t="s">
        <v>26</v>
      </c>
      <c r="H290" s="249">
        <v>0</v>
      </c>
      <c r="I290" s="249">
        <v>0</v>
      </c>
      <c r="J290" s="249">
        <v>0</v>
      </c>
      <c r="K290" s="232">
        <f t="shared" si="40"/>
        <v>0</v>
      </c>
      <c r="L290" s="259"/>
      <c r="M290" s="232">
        <v>0</v>
      </c>
      <c r="N290" s="233">
        <v>0</v>
      </c>
      <c r="O290" s="230">
        <v>0</v>
      </c>
      <c r="P290" s="230">
        <v>0</v>
      </c>
      <c r="Q290" s="233">
        <v>0</v>
      </c>
      <c r="R290" s="230">
        <v>0</v>
      </c>
      <c r="S290" s="233">
        <v>0</v>
      </c>
      <c r="T290" s="233">
        <v>0</v>
      </c>
      <c r="U290" s="233">
        <v>0</v>
      </c>
      <c r="V290" s="233">
        <v>0</v>
      </c>
      <c r="W290" s="233">
        <v>0</v>
      </c>
      <c r="X290" s="233">
        <f t="shared" si="41"/>
        <v>0</v>
      </c>
      <c r="Y290" s="233"/>
      <c r="Z290" s="254">
        <f t="shared" si="42"/>
        <v>0</v>
      </c>
      <c r="AA290" s="233">
        <f t="shared" si="38"/>
        <v>0</v>
      </c>
      <c r="AB290" s="233">
        <f t="shared" si="39"/>
        <v>0</v>
      </c>
      <c r="AC290" s="249">
        <v>0</v>
      </c>
      <c r="AD290" s="115"/>
    </row>
    <row r="291" spans="1:30" s="267" customFormat="1">
      <c r="A291" s="152">
        <f t="shared" si="43"/>
        <v>287</v>
      </c>
      <c r="B291" s="115" t="s">
        <v>26</v>
      </c>
      <c r="C291" s="274"/>
      <c r="D291" s="278"/>
      <c r="E291" s="156" t="s">
        <v>26</v>
      </c>
      <c r="F291" s="156" t="s">
        <v>26</v>
      </c>
      <c r="G291" s="156" t="s">
        <v>26</v>
      </c>
      <c r="H291" s="249">
        <v>0</v>
      </c>
      <c r="I291" s="249">
        <v>0</v>
      </c>
      <c r="J291" s="249">
        <v>0</v>
      </c>
      <c r="K291" s="232">
        <f t="shared" si="40"/>
        <v>0</v>
      </c>
      <c r="L291" s="259"/>
      <c r="M291" s="232">
        <v>0</v>
      </c>
      <c r="N291" s="233">
        <v>0</v>
      </c>
      <c r="O291" s="230">
        <v>0</v>
      </c>
      <c r="P291" s="230">
        <v>0</v>
      </c>
      <c r="Q291" s="233">
        <v>0</v>
      </c>
      <c r="R291" s="230">
        <v>0</v>
      </c>
      <c r="S291" s="233">
        <v>0</v>
      </c>
      <c r="T291" s="233">
        <v>0</v>
      </c>
      <c r="U291" s="233">
        <v>0</v>
      </c>
      <c r="V291" s="233">
        <v>0</v>
      </c>
      <c r="W291" s="233">
        <v>0</v>
      </c>
      <c r="X291" s="233">
        <f t="shared" si="41"/>
        <v>0</v>
      </c>
      <c r="Y291" s="233"/>
      <c r="Z291" s="254">
        <f t="shared" si="42"/>
        <v>0</v>
      </c>
      <c r="AA291" s="233">
        <f t="shared" si="38"/>
        <v>0</v>
      </c>
      <c r="AB291" s="233">
        <f t="shared" si="39"/>
        <v>0</v>
      </c>
      <c r="AC291" s="249">
        <v>0</v>
      </c>
      <c r="AD291" s="115"/>
    </row>
    <row r="292" spans="1:30" s="155" customFormat="1">
      <c r="A292" s="152">
        <f t="shared" si="43"/>
        <v>288</v>
      </c>
      <c r="B292" s="115" t="s">
        <v>26</v>
      </c>
      <c r="C292" s="274"/>
      <c r="D292" s="278"/>
      <c r="E292" s="156" t="s">
        <v>26</v>
      </c>
      <c r="F292" s="156" t="s">
        <v>26</v>
      </c>
      <c r="G292" s="156" t="s">
        <v>26</v>
      </c>
      <c r="H292" s="249">
        <v>0</v>
      </c>
      <c r="I292" s="249">
        <v>0</v>
      </c>
      <c r="J292" s="249">
        <v>0</v>
      </c>
      <c r="K292" s="232">
        <f t="shared" si="40"/>
        <v>0</v>
      </c>
      <c r="L292" s="259"/>
      <c r="M292" s="232">
        <v>0</v>
      </c>
      <c r="N292" s="233">
        <v>0</v>
      </c>
      <c r="O292" s="230">
        <v>0</v>
      </c>
      <c r="P292" s="230">
        <v>0</v>
      </c>
      <c r="Q292" s="233">
        <v>0</v>
      </c>
      <c r="R292" s="230">
        <v>0</v>
      </c>
      <c r="S292" s="233">
        <v>0</v>
      </c>
      <c r="T292" s="233">
        <v>0</v>
      </c>
      <c r="U292" s="233">
        <v>0</v>
      </c>
      <c r="V292" s="233">
        <v>0</v>
      </c>
      <c r="W292" s="233">
        <v>0</v>
      </c>
      <c r="X292" s="233">
        <f t="shared" si="41"/>
        <v>0</v>
      </c>
      <c r="Y292" s="233"/>
      <c r="Z292" s="254">
        <f t="shared" si="42"/>
        <v>0</v>
      </c>
      <c r="AA292" s="233">
        <f t="shared" si="38"/>
        <v>0</v>
      </c>
      <c r="AB292" s="233">
        <f t="shared" si="39"/>
        <v>0</v>
      </c>
      <c r="AC292" s="249">
        <v>0</v>
      </c>
      <c r="AD292" s="115"/>
    </row>
    <row r="293" spans="1:30" s="155" customFormat="1">
      <c r="A293" s="152">
        <f t="shared" si="43"/>
        <v>289</v>
      </c>
      <c r="B293" s="115" t="s">
        <v>26</v>
      </c>
      <c r="C293" s="274"/>
      <c r="D293" s="278"/>
      <c r="E293" s="156" t="s">
        <v>26</v>
      </c>
      <c r="F293" s="156" t="s">
        <v>26</v>
      </c>
      <c r="G293" s="156" t="s">
        <v>26</v>
      </c>
      <c r="H293" s="249">
        <v>0</v>
      </c>
      <c r="I293" s="249">
        <v>0</v>
      </c>
      <c r="J293" s="249">
        <v>0</v>
      </c>
      <c r="K293" s="232">
        <f t="shared" si="40"/>
        <v>0</v>
      </c>
      <c r="L293" s="259"/>
      <c r="M293" s="232">
        <v>0</v>
      </c>
      <c r="N293" s="233">
        <v>0</v>
      </c>
      <c r="O293" s="230">
        <v>0</v>
      </c>
      <c r="P293" s="230">
        <v>0</v>
      </c>
      <c r="Q293" s="233">
        <v>0</v>
      </c>
      <c r="R293" s="230">
        <v>0</v>
      </c>
      <c r="S293" s="233">
        <v>0</v>
      </c>
      <c r="T293" s="233">
        <v>0</v>
      </c>
      <c r="U293" s="233">
        <v>0</v>
      </c>
      <c r="V293" s="233">
        <v>0</v>
      </c>
      <c r="W293" s="233">
        <v>0</v>
      </c>
      <c r="X293" s="233">
        <f t="shared" si="41"/>
        <v>0</v>
      </c>
      <c r="Y293" s="233"/>
      <c r="Z293" s="254">
        <f t="shared" si="42"/>
        <v>0</v>
      </c>
      <c r="AA293" s="233">
        <f t="shared" si="38"/>
        <v>0</v>
      </c>
      <c r="AB293" s="233">
        <f t="shared" si="39"/>
        <v>0</v>
      </c>
      <c r="AC293" s="249">
        <v>0</v>
      </c>
      <c r="AD293" s="115"/>
    </row>
    <row r="294" spans="1:30" s="267" customFormat="1">
      <c r="A294" s="152">
        <f t="shared" si="43"/>
        <v>290</v>
      </c>
      <c r="B294" s="115" t="s">
        <v>26</v>
      </c>
      <c r="C294" s="274"/>
      <c r="D294" s="278"/>
      <c r="E294" s="156" t="s">
        <v>26</v>
      </c>
      <c r="F294" s="156" t="s">
        <v>26</v>
      </c>
      <c r="G294" s="156" t="s">
        <v>26</v>
      </c>
      <c r="H294" s="249">
        <v>0</v>
      </c>
      <c r="I294" s="249">
        <v>0</v>
      </c>
      <c r="J294" s="249">
        <v>0</v>
      </c>
      <c r="K294" s="232">
        <f t="shared" si="40"/>
        <v>0</v>
      </c>
      <c r="L294" s="259"/>
      <c r="M294" s="232">
        <v>0</v>
      </c>
      <c r="N294" s="233">
        <v>0</v>
      </c>
      <c r="O294" s="230">
        <v>0</v>
      </c>
      <c r="P294" s="230">
        <v>0</v>
      </c>
      <c r="Q294" s="233">
        <v>0</v>
      </c>
      <c r="R294" s="230">
        <v>0</v>
      </c>
      <c r="S294" s="233">
        <v>0</v>
      </c>
      <c r="T294" s="233">
        <v>0</v>
      </c>
      <c r="U294" s="233">
        <v>0</v>
      </c>
      <c r="V294" s="233">
        <v>0</v>
      </c>
      <c r="W294" s="233">
        <v>0</v>
      </c>
      <c r="X294" s="233">
        <f t="shared" si="41"/>
        <v>0</v>
      </c>
      <c r="Y294" s="233"/>
      <c r="Z294" s="254">
        <f t="shared" si="42"/>
        <v>0</v>
      </c>
      <c r="AA294" s="233">
        <f t="shared" si="38"/>
        <v>0</v>
      </c>
      <c r="AB294" s="233">
        <f t="shared" si="39"/>
        <v>0</v>
      </c>
      <c r="AC294" s="249">
        <v>0</v>
      </c>
      <c r="AD294" s="115"/>
    </row>
    <row r="295" spans="1:30" s="155" customFormat="1">
      <c r="A295" s="152">
        <f t="shared" si="43"/>
        <v>291</v>
      </c>
      <c r="B295" s="115" t="s">
        <v>26</v>
      </c>
      <c r="C295" s="274"/>
      <c r="D295" s="278"/>
      <c r="E295" s="156" t="s">
        <v>26</v>
      </c>
      <c r="F295" s="156" t="s">
        <v>26</v>
      </c>
      <c r="G295" s="156" t="s">
        <v>26</v>
      </c>
      <c r="H295" s="249">
        <v>0</v>
      </c>
      <c r="I295" s="249">
        <v>0</v>
      </c>
      <c r="J295" s="249">
        <v>0</v>
      </c>
      <c r="K295" s="232">
        <f t="shared" si="40"/>
        <v>0</v>
      </c>
      <c r="L295" s="259"/>
      <c r="M295" s="232">
        <v>0</v>
      </c>
      <c r="N295" s="233">
        <v>0</v>
      </c>
      <c r="O295" s="230">
        <v>0</v>
      </c>
      <c r="P295" s="230">
        <v>0</v>
      </c>
      <c r="Q295" s="233">
        <v>0</v>
      </c>
      <c r="R295" s="230">
        <v>0</v>
      </c>
      <c r="S295" s="233">
        <v>0</v>
      </c>
      <c r="T295" s="233">
        <v>0</v>
      </c>
      <c r="U295" s="233">
        <v>0</v>
      </c>
      <c r="V295" s="233">
        <v>0</v>
      </c>
      <c r="W295" s="233">
        <v>0</v>
      </c>
      <c r="X295" s="233">
        <f t="shared" si="41"/>
        <v>0</v>
      </c>
      <c r="Y295" s="233"/>
      <c r="Z295" s="254">
        <f t="shared" si="42"/>
        <v>0</v>
      </c>
      <c r="AA295" s="233">
        <f t="shared" si="38"/>
        <v>0</v>
      </c>
      <c r="AB295" s="233">
        <f t="shared" si="39"/>
        <v>0</v>
      </c>
      <c r="AC295" s="249">
        <v>0</v>
      </c>
      <c r="AD295" s="115"/>
    </row>
    <row r="296" spans="1:30" s="267" customFormat="1">
      <c r="A296" s="152">
        <f t="shared" si="43"/>
        <v>292</v>
      </c>
      <c r="B296" s="115"/>
      <c r="C296" s="274"/>
      <c r="D296" s="206"/>
      <c r="E296" s="156" t="s">
        <v>26</v>
      </c>
      <c r="F296" s="156" t="s">
        <v>26</v>
      </c>
      <c r="G296" s="156" t="s">
        <v>26</v>
      </c>
      <c r="H296" s="249">
        <v>0</v>
      </c>
      <c r="I296" s="232">
        <v>0</v>
      </c>
      <c r="J296" s="232">
        <v>0</v>
      </c>
      <c r="K296" s="232">
        <f t="shared" si="40"/>
        <v>0</v>
      </c>
      <c r="L296" s="259"/>
      <c r="M296" s="232">
        <v>0</v>
      </c>
      <c r="N296" s="233">
        <v>0</v>
      </c>
      <c r="O296" s="230">
        <v>0</v>
      </c>
      <c r="P296" s="230">
        <v>0</v>
      </c>
      <c r="Q296" s="233">
        <v>0</v>
      </c>
      <c r="R296" s="230">
        <v>0</v>
      </c>
      <c r="S296" s="233">
        <v>0</v>
      </c>
      <c r="T296" s="233">
        <v>0</v>
      </c>
      <c r="U296" s="233">
        <v>0</v>
      </c>
      <c r="V296" s="233">
        <v>0</v>
      </c>
      <c r="W296" s="233">
        <v>0</v>
      </c>
      <c r="X296" s="233">
        <f t="shared" si="41"/>
        <v>0</v>
      </c>
      <c r="Y296" s="233"/>
      <c r="Z296" s="254">
        <f t="shared" si="42"/>
        <v>0</v>
      </c>
      <c r="AA296" s="233">
        <f t="shared" si="38"/>
        <v>0</v>
      </c>
      <c r="AB296" s="233">
        <f t="shared" si="39"/>
        <v>0</v>
      </c>
      <c r="AC296" s="249">
        <v>0</v>
      </c>
      <c r="AD296" s="115"/>
    </row>
    <row r="297" spans="1:30" s="267" customFormat="1">
      <c r="A297" s="152">
        <f t="shared" si="43"/>
        <v>293</v>
      </c>
      <c r="B297" s="115" t="s">
        <v>26</v>
      </c>
      <c r="C297" s="274"/>
      <c r="D297" s="278"/>
      <c r="E297" s="156" t="s">
        <v>26</v>
      </c>
      <c r="F297" s="156" t="s">
        <v>26</v>
      </c>
      <c r="G297" s="156" t="s">
        <v>26</v>
      </c>
      <c r="H297" s="249">
        <v>0</v>
      </c>
      <c r="I297" s="249">
        <v>0</v>
      </c>
      <c r="J297" s="249">
        <v>0</v>
      </c>
      <c r="K297" s="232">
        <f t="shared" si="40"/>
        <v>0</v>
      </c>
      <c r="L297" s="259"/>
      <c r="M297" s="232">
        <v>0</v>
      </c>
      <c r="N297" s="233">
        <v>0</v>
      </c>
      <c r="O297" s="230">
        <v>0</v>
      </c>
      <c r="P297" s="230">
        <v>0</v>
      </c>
      <c r="Q297" s="233">
        <v>0</v>
      </c>
      <c r="R297" s="230">
        <v>0</v>
      </c>
      <c r="S297" s="233">
        <v>0</v>
      </c>
      <c r="T297" s="233">
        <v>0</v>
      </c>
      <c r="U297" s="233">
        <v>0</v>
      </c>
      <c r="V297" s="233">
        <v>0</v>
      </c>
      <c r="W297" s="233">
        <v>0</v>
      </c>
      <c r="X297" s="233">
        <f t="shared" si="41"/>
        <v>0</v>
      </c>
      <c r="Y297" s="233"/>
      <c r="Z297" s="254">
        <f t="shared" si="42"/>
        <v>0</v>
      </c>
      <c r="AA297" s="233">
        <f t="shared" si="38"/>
        <v>0</v>
      </c>
      <c r="AB297" s="233">
        <f t="shared" si="39"/>
        <v>0</v>
      </c>
      <c r="AC297" s="249">
        <v>0</v>
      </c>
      <c r="AD297" s="115"/>
    </row>
    <row r="298" spans="1:30" s="267" customFormat="1">
      <c r="A298" s="152">
        <f t="shared" si="43"/>
        <v>294</v>
      </c>
      <c r="B298" s="115" t="s">
        <v>26</v>
      </c>
      <c r="C298" s="274"/>
      <c r="D298" s="278"/>
      <c r="E298" s="156" t="s">
        <v>26</v>
      </c>
      <c r="F298" s="156" t="s">
        <v>26</v>
      </c>
      <c r="G298" s="156" t="s">
        <v>26</v>
      </c>
      <c r="H298" s="249">
        <v>0</v>
      </c>
      <c r="I298" s="249">
        <v>0</v>
      </c>
      <c r="J298" s="249">
        <v>0</v>
      </c>
      <c r="K298" s="232">
        <f t="shared" si="40"/>
        <v>0</v>
      </c>
      <c r="L298" s="259"/>
      <c r="M298" s="232">
        <v>0</v>
      </c>
      <c r="N298" s="233">
        <v>0</v>
      </c>
      <c r="O298" s="230">
        <v>0</v>
      </c>
      <c r="P298" s="230">
        <v>0</v>
      </c>
      <c r="Q298" s="233">
        <v>0</v>
      </c>
      <c r="R298" s="230">
        <v>0</v>
      </c>
      <c r="S298" s="233">
        <v>0</v>
      </c>
      <c r="T298" s="233">
        <v>0</v>
      </c>
      <c r="U298" s="233">
        <v>0</v>
      </c>
      <c r="V298" s="233">
        <v>0</v>
      </c>
      <c r="W298" s="233">
        <v>0</v>
      </c>
      <c r="X298" s="233">
        <f t="shared" si="41"/>
        <v>0</v>
      </c>
      <c r="Y298" s="233"/>
      <c r="Z298" s="254">
        <f t="shared" si="42"/>
        <v>0</v>
      </c>
      <c r="AA298" s="233">
        <f t="shared" si="38"/>
        <v>0</v>
      </c>
      <c r="AB298" s="233">
        <f t="shared" si="39"/>
        <v>0</v>
      </c>
      <c r="AC298" s="249">
        <v>0</v>
      </c>
      <c r="AD298" s="115"/>
    </row>
    <row r="299" spans="1:30" s="267" customFormat="1">
      <c r="A299" s="152">
        <f t="shared" si="43"/>
        <v>295</v>
      </c>
      <c r="B299" s="115" t="s">
        <v>26</v>
      </c>
      <c r="C299" s="274"/>
      <c r="D299" s="278"/>
      <c r="E299" s="156" t="s">
        <v>26</v>
      </c>
      <c r="F299" s="156" t="s">
        <v>26</v>
      </c>
      <c r="G299" s="156" t="s">
        <v>26</v>
      </c>
      <c r="H299" s="249">
        <v>0</v>
      </c>
      <c r="I299" s="249">
        <v>0</v>
      </c>
      <c r="J299" s="249">
        <v>0</v>
      </c>
      <c r="K299" s="232">
        <f t="shared" si="40"/>
        <v>0</v>
      </c>
      <c r="L299" s="259"/>
      <c r="M299" s="232">
        <v>0</v>
      </c>
      <c r="N299" s="233">
        <v>0</v>
      </c>
      <c r="O299" s="230">
        <v>0</v>
      </c>
      <c r="P299" s="230">
        <v>0</v>
      </c>
      <c r="Q299" s="233">
        <v>0</v>
      </c>
      <c r="R299" s="230">
        <v>0</v>
      </c>
      <c r="S299" s="233">
        <v>0</v>
      </c>
      <c r="T299" s="233">
        <v>0</v>
      </c>
      <c r="U299" s="233">
        <v>0</v>
      </c>
      <c r="V299" s="233">
        <v>0</v>
      </c>
      <c r="W299" s="233">
        <v>0</v>
      </c>
      <c r="X299" s="233">
        <f t="shared" si="41"/>
        <v>0</v>
      </c>
      <c r="Y299" s="233"/>
      <c r="Z299" s="254">
        <f t="shared" si="42"/>
        <v>0</v>
      </c>
      <c r="AA299" s="233">
        <f t="shared" si="38"/>
        <v>0</v>
      </c>
      <c r="AB299" s="233">
        <f t="shared" si="39"/>
        <v>0</v>
      </c>
      <c r="AC299" s="249">
        <v>0</v>
      </c>
      <c r="AD299" s="115"/>
    </row>
    <row r="300" spans="1:30" s="267" customFormat="1">
      <c r="A300" s="152">
        <f t="shared" si="43"/>
        <v>296</v>
      </c>
      <c r="B300" s="115"/>
      <c r="C300" s="274"/>
      <c r="D300" s="206"/>
      <c r="E300" s="156" t="s">
        <v>26</v>
      </c>
      <c r="F300" s="156" t="s">
        <v>26</v>
      </c>
      <c r="G300" s="215" t="s">
        <v>26</v>
      </c>
      <c r="H300" s="249">
        <v>0</v>
      </c>
      <c r="I300" s="232">
        <v>0</v>
      </c>
      <c r="J300" s="232">
        <v>0</v>
      </c>
      <c r="K300" s="232">
        <f t="shared" si="40"/>
        <v>0</v>
      </c>
      <c r="L300" s="259"/>
      <c r="M300" s="232">
        <v>0</v>
      </c>
      <c r="N300" s="233">
        <v>0</v>
      </c>
      <c r="O300" s="230">
        <v>0</v>
      </c>
      <c r="P300" s="230">
        <v>0</v>
      </c>
      <c r="Q300" s="233">
        <v>0</v>
      </c>
      <c r="R300" s="230">
        <v>0</v>
      </c>
      <c r="S300" s="233">
        <v>0</v>
      </c>
      <c r="T300" s="233">
        <v>0</v>
      </c>
      <c r="U300" s="233">
        <v>0</v>
      </c>
      <c r="V300" s="233">
        <v>0</v>
      </c>
      <c r="W300" s="233">
        <v>0</v>
      </c>
      <c r="X300" s="233">
        <f t="shared" si="41"/>
        <v>0</v>
      </c>
      <c r="Y300" s="233"/>
      <c r="Z300" s="254">
        <f t="shared" si="42"/>
        <v>0</v>
      </c>
      <c r="AA300" s="233">
        <f t="shared" si="38"/>
        <v>0</v>
      </c>
      <c r="AB300" s="233">
        <f t="shared" si="39"/>
        <v>0</v>
      </c>
      <c r="AC300" s="249">
        <v>0</v>
      </c>
      <c r="AD300" s="115"/>
    </row>
    <row r="301" spans="1:30" s="267" customFormat="1">
      <c r="A301" s="152">
        <f t="shared" si="43"/>
        <v>297</v>
      </c>
      <c r="B301" s="115"/>
      <c r="C301" s="274"/>
      <c r="D301" s="206"/>
      <c r="E301" s="156" t="s">
        <v>26</v>
      </c>
      <c r="F301" s="156" t="s">
        <v>26</v>
      </c>
      <c r="G301" s="215" t="s">
        <v>26</v>
      </c>
      <c r="H301" s="249">
        <v>0</v>
      </c>
      <c r="I301" s="232">
        <v>0</v>
      </c>
      <c r="J301" s="232">
        <v>0</v>
      </c>
      <c r="K301" s="232">
        <f t="shared" si="40"/>
        <v>0</v>
      </c>
      <c r="L301" s="259"/>
      <c r="M301" s="232">
        <v>0</v>
      </c>
      <c r="N301" s="233">
        <v>0</v>
      </c>
      <c r="O301" s="230">
        <v>0</v>
      </c>
      <c r="P301" s="230">
        <v>0</v>
      </c>
      <c r="Q301" s="233">
        <v>0</v>
      </c>
      <c r="R301" s="230">
        <v>0</v>
      </c>
      <c r="S301" s="233">
        <v>0</v>
      </c>
      <c r="T301" s="233">
        <v>0</v>
      </c>
      <c r="U301" s="233">
        <v>0</v>
      </c>
      <c r="V301" s="233">
        <v>0</v>
      </c>
      <c r="W301" s="233">
        <v>0</v>
      </c>
      <c r="X301" s="233">
        <f t="shared" si="41"/>
        <v>0</v>
      </c>
      <c r="Y301" s="233"/>
      <c r="Z301" s="254">
        <f t="shared" si="42"/>
        <v>0</v>
      </c>
      <c r="AA301" s="233">
        <f t="shared" si="38"/>
        <v>0</v>
      </c>
      <c r="AB301" s="233">
        <f t="shared" si="39"/>
        <v>0</v>
      </c>
      <c r="AC301" s="249">
        <v>0</v>
      </c>
      <c r="AD301" s="115"/>
    </row>
    <row r="302" spans="1:30" s="155" customFormat="1">
      <c r="A302" s="152">
        <f t="shared" si="43"/>
        <v>298</v>
      </c>
      <c r="B302" s="115"/>
      <c r="C302" s="274"/>
      <c r="D302" s="206"/>
      <c r="E302" s="156" t="s">
        <v>26</v>
      </c>
      <c r="F302" s="156" t="s">
        <v>26</v>
      </c>
      <c r="G302" s="215" t="s">
        <v>26</v>
      </c>
      <c r="H302" s="249">
        <v>0</v>
      </c>
      <c r="I302" s="232">
        <v>0</v>
      </c>
      <c r="J302" s="232">
        <v>0</v>
      </c>
      <c r="K302" s="232">
        <f t="shared" si="40"/>
        <v>0</v>
      </c>
      <c r="L302" s="259"/>
      <c r="M302" s="232">
        <v>0</v>
      </c>
      <c r="N302" s="233">
        <v>0</v>
      </c>
      <c r="O302" s="230">
        <v>0</v>
      </c>
      <c r="P302" s="230">
        <v>0</v>
      </c>
      <c r="Q302" s="233">
        <v>0</v>
      </c>
      <c r="R302" s="230">
        <v>0</v>
      </c>
      <c r="S302" s="233">
        <v>0</v>
      </c>
      <c r="T302" s="233">
        <v>0</v>
      </c>
      <c r="U302" s="233">
        <v>0</v>
      </c>
      <c r="V302" s="233">
        <v>0</v>
      </c>
      <c r="W302" s="233">
        <v>0</v>
      </c>
      <c r="X302" s="233">
        <f t="shared" si="41"/>
        <v>0</v>
      </c>
      <c r="Y302" s="233"/>
      <c r="Z302" s="254">
        <f t="shared" si="42"/>
        <v>0</v>
      </c>
      <c r="AA302" s="233">
        <f t="shared" si="38"/>
        <v>0</v>
      </c>
      <c r="AB302" s="233">
        <f t="shared" si="39"/>
        <v>0</v>
      </c>
      <c r="AC302" s="249">
        <v>0</v>
      </c>
      <c r="AD302" s="115"/>
    </row>
    <row r="304" spans="1:30">
      <c r="H304" s="358">
        <f>SUBTOTAL(9,H5:H303)</f>
        <v>37096798127</v>
      </c>
      <c r="I304" s="358">
        <f>SUBTOTAL(9,I5:I303)</f>
        <v>1968234610</v>
      </c>
      <c r="J304" s="358">
        <f>SUBTOTAL(9,J5:J303)</f>
        <v>3409059096</v>
      </c>
      <c r="K304" s="358">
        <f>SUBTOTAL(9,K5:K303)</f>
        <v>42474091833</v>
      </c>
      <c r="M304" s="216">
        <f t="shared" ref="M304:X304" si="44">SUBTOTAL(9,M5:M303)</f>
        <v>3219609931</v>
      </c>
      <c r="N304" s="216">
        <f t="shared" si="44"/>
        <v>4487221366</v>
      </c>
      <c r="O304" s="216">
        <f t="shared" si="44"/>
        <v>16837158203.34</v>
      </c>
      <c r="P304" s="216">
        <f t="shared" si="44"/>
        <v>3819509838.0999999</v>
      </c>
      <c r="Q304" s="349">
        <f t="shared" si="44"/>
        <v>0</v>
      </c>
      <c r="R304" s="216">
        <f t="shared" si="44"/>
        <v>3915394741</v>
      </c>
      <c r="S304" s="216">
        <f t="shared" si="44"/>
        <v>2978073566</v>
      </c>
      <c r="T304" s="349">
        <f t="shared" si="44"/>
        <v>0</v>
      </c>
      <c r="U304" s="216">
        <f t="shared" si="44"/>
        <v>1151031287</v>
      </c>
      <c r="V304" s="349">
        <f t="shared" si="44"/>
        <v>0</v>
      </c>
      <c r="W304" s="216">
        <f t="shared" si="44"/>
        <v>3154953380.5599999</v>
      </c>
      <c r="X304" s="216">
        <f t="shared" si="44"/>
        <v>2911139520</v>
      </c>
      <c r="Z304" s="216">
        <f>SUBTOTAL(9,Z5:Z303)</f>
        <v>-3409059096</v>
      </c>
      <c r="AA304" s="216">
        <f>SUBTOTAL(9,AA5:AA303)</f>
        <v>-562119534.24000001</v>
      </c>
      <c r="AB304" s="216">
        <f>SUBTOTAL(9,AB5:AB303)</f>
        <v>25091983243.66</v>
      </c>
      <c r="AC304" s="216">
        <f>SUBTOTAL(9,AC5:AC303)</f>
        <v>10727544248.1</v>
      </c>
    </row>
    <row r="305" spans="1:29">
      <c r="H305" s="358"/>
      <c r="I305" s="358"/>
      <c r="J305" s="358"/>
      <c r="K305" s="358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Z305" s="216"/>
      <c r="AA305" s="216"/>
      <c r="AB305" s="216"/>
      <c r="AC305" s="216"/>
    </row>
    <row r="306" spans="1:29" s="225" customFormat="1">
      <c r="A306" s="255"/>
      <c r="C306" s="261"/>
      <c r="D306" s="255"/>
      <c r="H306" s="263"/>
      <c r="I306" s="263"/>
      <c r="J306" s="263"/>
      <c r="K306" s="263"/>
      <c r="L306" s="261"/>
      <c r="M306" s="256">
        <v>3219609931</v>
      </c>
      <c r="N306" s="256">
        <v>4487221366</v>
      </c>
      <c r="O306" s="256">
        <v>16837158203.34</v>
      </c>
      <c r="P306" s="256">
        <v>3819509838.0999999</v>
      </c>
      <c r="Q306" s="256"/>
      <c r="R306" s="256">
        <v>3915394741</v>
      </c>
      <c r="S306" s="256">
        <v>2978073566</v>
      </c>
      <c r="T306" s="256"/>
      <c r="U306" s="256">
        <v>1151031287</v>
      </c>
      <c r="V306" s="256"/>
      <c r="W306" s="256">
        <v>3154953380.5599999</v>
      </c>
      <c r="X306" s="256"/>
      <c r="Y306" s="257"/>
      <c r="Z306" s="256"/>
      <c r="AA306" s="256"/>
      <c r="AB306" s="256"/>
      <c r="AC306" s="256"/>
    </row>
    <row r="307" spans="1:29">
      <c r="H307" s="358"/>
      <c r="I307" s="358"/>
      <c r="J307" s="358"/>
      <c r="K307" s="358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Z307" s="216"/>
      <c r="AA307" s="216"/>
      <c r="AB307" s="216"/>
      <c r="AC307" s="216"/>
    </row>
    <row r="308" spans="1:29" s="156" customFormat="1">
      <c r="A308" s="212"/>
      <c r="C308" s="260"/>
      <c r="D308" s="212"/>
      <c r="H308" s="232"/>
      <c r="I308" s="232"/>
      <c r="J308" s="232"/>
      <c r="K308" s="232"/>
      <c r="L308" s="260"/>
      <c r="M308" s="213">
        <f>M304-M306</f>
        <v>0</v>
      </c>
      <c r="N308" s="213">
        <f>N304-N306</f>
        <v>0</v>
      </c>
      <c r="O308" s="213">
        <f>O304-O306</f>
        <v>0</v>
      </c>
      <c r="P308" s="213">
        <f>P304-P306</f>
        <v>0</v>
      </c>
      <c r="Q308" s="213"/>
      <c r="R308" s="213">
        <f>R304-R306</f>
        <v>0</v>
      </c>
      <c r="S308" s="213">
        <f>S304-S306</f>
        <v>0</v>
      </c>
      <c r="T308" s="213">
        <f>T304-T306</f>
        <v>0</v>
      </c>
      <c r="U308" s="213">
        <f>U304-U306</f>
        <v>0</v>
      </c>
      <c r="V308" s="213"/>
      <c r="W308" s="213">
        <f>W304-W306</f>
        <v>0</v>
      </c>
      <c r="X308" s="213"/>
      <c r="Y308" s="247"/>
      <c r="Z308" s="213"/>
      <c r="AA308" s="213"/>
      <c r="AB308" s="213"/>
      <c r="AC308" s="213"/>
    </row>
    <row r="309" spans="1:29">
      <c r="H309" s="358"/>
      <c r="I309" s="358"/>
      <c r="J309" s="358"/>
      <c r="K309" s="358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Z309" s="216"/>
      <c r="AA309" s="216"/>
      <c r="AB309" s="216"/>
      <c r="AC309" s="216"/>
    </row>
    <row r="310" spans="1:29" s="156" customFormat="1">
      <c r="A310" s="212"/>
      <c r="B310" s="115" t="s">
        <v>26</v>
      </c>
      <c r="C310" s="274" t="s">
        <v>26</v>
      </c>
      <c r="D310" s="206" t="s">
        <v>26</v>
      </c>
      <c r="E310" s="156" t="s">
        <v>26</v>
      </c>
      <c r="F310" s="156" t="s">
        <v>26</v>
      </c>
      <c r="G310" s="156" t="s">
        <v>26</v>
      </c>
      <c r="H310" s="232" t="s">
        <v>26</v>
      </c>
      <c r="I310" s="232"/>
      <c r="J310" s="232"/>
      <c r="K310" s="232"/>
      <c r="L310" s="260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54"/>
      <c r="Z310" s="254"/>
      <c r="AA310" s="232"/>
      <c r="AB310" s="232"/>
      <c r="AC310" s="232"/>
    </row>
  </sheetData>
  <autoFilter ref="A4:AD302">
    <sortState ref="A5:AD302">
      <sortCondition sortBy="fontColor" ref="J4:J302" dxfId="2"/>
    </sortState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47"/>
  <sheetViews>
    <sheetView workbookViewId="0">
      <selection activeCell="Y80" sqref="Y80"/>
    </sheetView>
  </sheetViews>
  <sheetFormatPr defaultColWidth="10.77734375" defaultRowHeight="15.75"/>
  <cols>
    <col min="1" max="2" width="11.33203125" style="17" customWidth="1"/>
    <col min="3" max="3" width="69" style="17" customWidth="1"/>
    <col min="4" max="4" width="14.33203125" style="17" customWidth="1"/>
    <col min="5" max="5" width="6.6640625" style="17" customWidth="1"/>
    <col min="6" max="6" width="13.77734375" style="17" customWidth="1"/>
    <col min="7" max="7" width="12.6640625" style="17" customWidth="1"/>
    <col min="8" max="8" width="11.6640625" style="17" customWidth="1"/>
    <col min="9" max="9" width="12.44140625" style="17" customWidth="1"/>
    <col min="10" max="10" width="12.6640625" style="17" customWidth="1"/>
    <col min="11" max="11" width="12.44140625" style="17" customWidth="1"/>
    <col min="12" max="12" width="12.77734375" style="17" customWidth="1"/>
    <col min="13" max="13" width="13.109375" style="17" customWidth="1"/>
    <col min="14" max="14" width="13" style="17" customWidth="1"/>
    <col min="15" max="15" width="13.109375" style="17" customWidth="1"/>
    <col min="16" max="16" width="12.77734375" style="17" customWidth="1"/>
    <col min="17" max="17" width="13.33203125" style="17" customWidth="1"/>
    <col min="18" max="18" width="13.109375" style="17" customWidth="1"/>
    <col min="19" max="20" width="16.33203125" style="17" customWidth="1"/>
    <col min="21" max="21" width="15.77734375" style="17" customWidth="1"/>
    <col min="22" max="16384" width="10.77734375" style="17"/>
  </cols>
  <sheetData>
    <row r="2" spans="1:22">
      <c r="A2" s="60" t="s">
        <v>102</v>
      </c>
      <c r="B2" s="60"/>
    </row>
    <row r="3" spans="1:22">
      <c r="A3" s="35"/>
      <c r="B3" s="35"/>
      <c r="D3" s="35" t="s">
        <v>103</v>
      </c>
      <c r="E3" s="17" t="s">
        <v>104</v>
      </c>
      <c r="F3" s="35" t="s">
        <v>7193</v>
      </c>
      <c r="G3" s="61">
        <v>45658</v>
      </c>
      <c r="H3" s="61">
        <v>45689</v>
      </c>
      <c r="I3" s="61">
        <v>45717</v>
      </c>
      <c r="J3" s="61">
        <v>45748</v>
      </c>
      <c r="K3" s="61">
        <v>45778</v>
      </c>
      <c r="L3" s="61">
        <v>45809</v>
      </c>
      <c r="M3" s="61">
        <v>45839</v>
      </c>
      <c r="N3" s="61">
        <v>45870</v>
      </c>
      <c r="O3" s="61">
        <v>45901</v>
      </c>
      <c r="P3" s="61">
        <v>45931</v>
      </c>
      <c r="Q3" s="61">
        <v>45962</v>
      </c>
      <c r="R3" s="61">
        <v>45992</v>
      </c>
      <c r="S3" s="61" t="s">
        <v>6142</v>
      </c>
      <c r="T3" s="61" t="s">
        <v>7194</v>
      </c>
      <c r="U3" s="61" t="s">
        <v>105</v>
      </c>
      <c r="V3" s="62" t="s">
        <v>106</v>
      </c>
    </row>
    <row r="4" spans="1:22">
      <c r="A4" s="35"/>
      <c r="B4" s="35"/>
      <c r="D4" s="35"/>
      <c r="F4" s="17" t="s">
        <v>26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2"/>
    </row>
    <row r="5" spans="1:22">
      <c r="A5" s="35"/>
      <c r="B5" s="35"/>
      <c r="C5" s="64" t="s">
        <v>107</v>
      </c>
      <c r="D5" s="35"/>
      <c r="E5" s="35" t="s">
        <v>26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2"/>
    </row>
    <row r="6" spans="1:22">
      <c r="A6" s="70">
        <v>40191</v>
      </c>
      <c r="B6" s="70"/>
      <c r="C6" s="17" t="s">
        <v>108</v>
      </c>
      <c r="D6" s="136">
        <v>2050000</v>
      </c>
      <c r="E6" s="35">
        <v>36</v>
      </c>
      <c r="F6" s="66">
        <v>2050000.0000000005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67">
        <f t="shared" ref="S6:S36" si="0">SUM(G6:R6)</f>
        <v>0</v>
      </c>
      <c r="T6" s="67">
        <f t="shared" ref="T6:T36" si="1">+F6+S6</f>
        <v>2050000.0000000005</v>
      </c>
      <c r="U6" s="68">
        <f t="shared" ref="U6:U36" si="2">+D6-T6</f>
        <v>0</v>
      </c>
      <c r="V6" s="62"/>
    </row>
    <row r="7" spans="1:22">
      <c r="A7" s="70">
        <v>40191</v>
      </c>
      <c r="B7" s="70"/>
      <c r="C7" s="17" t="s">
        <v>109</v>
      </c>
      <c r="D7" s="136">
        <v>7200000</v>
      </c>
      <c r="E7" s="35">
        <v>36</v>
      </c>
      <c r="F7" s="66">
        <v>7200000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67">
        <f t="shared" si="0"/>
        <v>0</v>
      </c>
      <c r="T7" s="67">
        <f t="shared" si="1"/>
        <v>7200000</v>
      </c>
      <c r="U7" s="68">
        <f t="shared" si="2"/>
        <v>0</v>
      </c>
      <c r="V7" s="62"/>
    </row>
    <row r="8" spans="1:22">
      <c r="A8" s="70">
        <v>40191</v>
      </c>
      <c r="B8" s="70"/>
      <c r="C8" s="17" t="s">
        <v>110</v>
      </c>
      <c r="D8" s="136">
        <v>3100000</v>
      </c>
      <c r="E8" s="35">
        <v>36</v>
      </c>
      <c r="F8" s="66">
        <v>3100000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67">
        <f t="shared" si="0"/>
        <v>0</v>
      </c>
      <c r="T8" s="67">
        <f t="shared" si="1"/>
        <v>3100000</v>
      </c>
      <c r="U8" s="68">
        <f t="shared" si="2"/>
        <v>0</v>
      </c>
      <c r="V8" s="62"/>
    </row>
    <row r="9" spans="1:22">
      <c r="A9" s="70">
        <v>40753</v>
      </c>
      <c r="B9" s="70"/>
      <c r="C9" s="17" t="s">
        <v>111</v>
      </c>
      <c r="D9" s="137">
        <v>20601681</v>
      </c>
      <c r="E9" s="35">
        <v>36</v>
      </c>
      <c r="F9" s="66">
        <v>20601681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f t="shared" si="0"/>
        <v>0</v>
      </c>
      <c r="T9" s="67">
        <f t="shared" si="1"/>
        <v>20601681</v>
      </c>
      <c r="U9" s="68">
        <f t="shared" si="2"/>
        <v>0</v>
      </c>
    </row>
    <row r="10" spans="1:22">
      <c r="A10" s="70">
        <v>40871</v>
      </c>
      <c r="B10" s="70"/>
      <c r="C10" s="17" t="s">
        <v>111</v>
      </c>
      <c r="D10" s="137">
        <v>12700000</v>
      </c>
      <c r="E10" s="35">
        <v>36</v>
      </c>
      <c r="F10" s="66">
        <v>12700000.000000002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f t="shared" si="0"/>
        <v>0</v>
      </c>
      <c r="T10" s="67">
        <f t="shared" si="1"/>
        <v>12700000.000000002</v>
      </c>
      <c r="U10" s="68">
        <f t="shared" si="2"/>
        <v>0</v>
      </c>
    </row>
    <row r="11" spans="1:22">
      <c r="A11" s="70">
        <v>40896</v>
      </c>
      <c r="B11" s="70"/>
      <c r="C11" s="17" t="s">
        <v>112</v>
      </c>
      <c r="D11" s="137">
        <v>6435000</v>
      </c>
      <c r="E11" s="35">
        <v>36</v>
      </c>
      <c r="F11" s="66">
        <v>6435000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f t="shared" si="0"/>
        <v>0</v>
      </c>
      <c r="T11" s="67">
        <f t="shared" si="1"/>
        <v>6435000</v>
      </c>
      <c r="U11" s="68">
        <f t="shared" si="2"/>
        <v>0</v>
      </c>
    </row>
    <row r="12" spans="1:22">
      <c r="A12" s="70">
        <v>40896</v>
      </c>
      <c r="B12" s="70"/>
      <c r="C12" s="17" t="s">
        <v>113</v>
      </c>
      <c r="D12" s="137">
        <v>6000000</v>
      </c>
      <c r="E12" s="35">
        <v>36</v>
      </c>
      <c r="F12" s="66">
        <v>6000000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f t="shared" si="0"/>
        <v>0</v>
      </c>
      <c r="T12" s="67">
        <f t="shared" si="1"/>
        <v>6000000</v>
      </c>
      <c r="U12" s="68">
        <f t="shared" si="2"/>
        <v>0</v>
      </c>
    </row>
    <row r="13" spans="1:22">
      <c r="A13" s="70">
        <v>40911</v>
      </c>
      <c r="B13" s="70"/>
      <c r="C13" s="17" t="s">
        <v>114</v>
      </c>
      <c r="D13" s="137">
        <v>9400000</v>
      </c>
      <c r="E13" s="35">
        <v>36</v>
      </c>
      <c r="F13" s="66">
        <v>9399999.9999999981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f t="shared" si="0"/>
        <v>0</v>
      </c>
      <c r="T13" s="67">
        <f t="shared" si="1"/>
        <v>9399999.9999999981</v>
      </c>
      <c r="U13" s="68">
        <f t="shared" si="2"/>
        <v>0</v>
      </c>
    </row>
    <row r="14" spans="1:22">
      <c r="A14" s="70">
        <v>40973</v>
      </c>
      <c r="B14" s="70"/>
      <c r="C14" s="17" t="s">
        <v>115</v>
      </c>
      <c r="D14" s="137">
        <v>10250000</v>
      </c>
      <c r="E14" s="35">
        <v>36</v>
      </c>
      <c r="F14" s="66">
        <v>10249999.999999998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f t="shared" si="0"/>
        <v>0</v>
      </c>
      <c r="T14" s="67">
        <f t="shared" si="1"/>
        <v>10249999.999999998</v>
      </c>
      <c r="U14" s="68">
        <f t="shared" si="2"/>
        <v>0</v>
      </c>
    </row>
    <row r="15" spans="1:22">
      <c r="A15" s="70">
        <v>40973</v>
      </c>
      <c r="B15" s="70"/>
      <c r="C15" s="17" t="s">
        <v>116</v>
      </c>
      <c r="D15" s="137">
        <v>1217000</v>
      </c>
      <c r="E15" s="35">
        <v>36</v>
      </c>
      <c r="F15" s="66">
        <v>1217000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f t="shared" si="0"/>
        <v>0</v>
      </c>
      <c r="T15" s="67">
        <f t="shared" si="1"/>
        <v>1217000</v>
      </c>
      <c r="U15" s="68">
        <f t="shared" si="2"/>
        <v>0</v>
      </c>
    </row>
    <row r="16" spans="1:22">
      <c r="A16" s="70">
        <v>41262</v>
      </c>
      <c r="B16" s="70"/>
      <c r="C16" s="17" t="s">
        <v>117</v>
      </c>
      <c r="D16" s="137">
        <v>10000000</v>
      </c>
      <c r="E16" s="35">
        <v>36</v>
      </c>
      <c r="F16" s="66">
        <v>10000000.000000002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f t="shared" si="0"/>
        <v>0</v>
      </c>
      <c r="T16" s="67">
        <f t="shared" si="1"/>
        <v>10000000.000000002</v>
      </c>
      <c r="U16" s="68">
        <f t="shared" si="2"/>
        <v>0</v>
      </c>
    </row>
    <row r="17" spans="1:21">
      <c r="A17" s="70">
        <v>41262</v>
      </c>
      <c r="B17" s="70"/>
      <c r="C17" s="17" t="s">
        <v>117</v>
      </c>
      <c r="D17" s="137">
        <v>228000</v>
      </c>
      <c r="E17" s="35">
        <v>36</v>
      </c>
      <c r="F17" s="66">
        <v>228000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f t="shared" si="0"/>
        <v>0</v>
      </c>
      <c r="T17" s="67">
        <f t="shared" si="1"/>
        <v>228000</v>
      </c>
      <c r="U17" s="68">
        <f t="shared" si="2"/>
        <v>0</v>
      </c>
    </row>
    <row r="18" spans="1:21">
      <c r="A18" s="70">
        <v>40935</v>
      </c>
      <c r="B18" s="70"/>
      <c r="C18" s="17" t="s">
        <v>118</v>
      </c>
      <c r="D18" s="137">
        <v>7000000</v>
      </c>
      <c r="E18" s="35">
        <v>36</v>
      </c>
      <c r="F18" s="66">
        <v>7000000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f t="shared" si="0"/>
        <v>0</v>
      </c>
      <c r="T18" s="67">
        <f t="shared" si="1"/>
        <v>7000000</v>
      </c>
      <c r="U18" s="68">
        <f t="shared" si="2"/>
        <v>0</v>
      </c>
    </row>
    <row r="19" spans="1:21">
      <c r="A19" s="70">
        <v>41348</v>
      </c>
      <c r="B19" s="70" t="s">
        <v>43</v>
      </c>
      <c r="C19" s="17" t="s">
        <v>120</v>
      </c>
      <c r="D19" s="137">
        <v>6500000</v>
      </c>
      <c r="E19" s="35">
        <v>36</v>
      </c>
      <c r="F19" s="66">
        <v>6499999.9999999991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f t="shared" si="0"/>
        <v>0</v>
      </c>
      <c r="T19" s="67">
        <f t="shared" si="1"/>
        <v>6499999.9999999991</v>
      </c>
      <c r="U19" s="68">
        <f t="shared" si="2"/>
        <v>0</v>
      </c>
    </row>
    <row r="20" spans="1:21">
      <c r="A20" s="70">
        <v>41820</v>
      </c>
      <c r="B20" s="70" t="s">
        <v>44</v>
      </c>
      <c r="C20" s="17" t="s">
        <v>122</v>
      </c>
      <c r="D20" s="137">
        <v>8563249</v>
      </c>
      <c r="E20" s="35">
        <v>36</v>
      </c>
      <c r="F20" s="58">
        <v>8563249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f t="shared" si="0"/>
        <v>0</v>
      </c>
      <c r="T20" s="67">
        <f t="shared" si="1"/>
        <v>8563249</v>
      </c>
      <c r="U20" s="68">
        <f t="shared" si="2"/>
        <v>0</v>
      </c>
    </row>
    <row r="21" spans="1:21">
      <c r="A21" s="70">
        <v>42010</v>
      </c>
      <c r="B21" s="70" t="s">
        <v>0</v>
      </c>
      <c r="C21" s="17" t="s">
        <v>123</v>
      </c>
      <c r="D21" s="137">
        <v>15220000</v>
      </c>
      <c r="E21" s="35">
        <v>36</v>
      </c>
      <c r="F21" s="58">
        <v>15220000.000000004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f t="shared" si="0"/>
        <v>0</v>
      </c>
      <c r="T21" s="67">
        <f t="shared" si="1"/>
        <v>15220000.000000004</v>
      </c>
      <c r="U21" s="68">
        <f t="shared" si="2"/>
        <v>0</v>
      </c>
    </row>
    <row r="22" spans="1:21">
      <c r="A22" s="70">
        <v>42209</v>
      </c>
      <c r="B22" s="70" t="s">
        <v>44</v>
      </c>
      <c r="C22" s="17" t="s">
        <v>124</v>
      </c>
      <c r="D22" s="137">
        <v>2344203</v>
      </c>
      <c r="E22" s="35">
        <v>36</v>
      </c>
      <c r="F22" s="58">
        <v>2344203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f t="shared" si="0"/>
        <v>0</v>
      </c>
      <c r="T22" s="67">
        <f t="shared" si="1"/>
        <v>2344203</v>
      </c>
      <c r="U22" s="68">
        <f t="shared" si="2"/>
        <v>0</v>
      </c>
    </row>
    <row r="23" spans="1:21">
      <c r="A23" s="70">
        <v>42250</v>
      </c>
      <c r="B23" s="70" t="s">
        <v>0</v>
      </c>
      <c r="C23" s="17" t="s">
        <v>125</v>
      </c>
      <c r="D23" s="137">
        <v>15275180</v>
      </c>
      <c r="E23" s="35">
        <v>36</v>
      </c>
      <c r="F23" s="58">
        <v>15275180.000000004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f t="shared" si="0"/>
        <v>0</v>
      </c>
      <c r="T23" s="67">
        <f t="shared" si="1"/>
        <v>15275180.000000004</v>
      </c>
      <c r="U23" s="68">
        <f t="shared" si="2"/>
        <v>0</v>
      </c>
    </row>
    <row r="24" spans="1:21">
      <c r="A24" s="70">
        <v>42265</v>
      </c>
      <c r="B24" s="70" t="s">
        <v>44</v>
      </c>
      <c r="C24" s="17" t="s">
        <v>126</v>
      </c>
      <c r="D24" s="137">
        <v>5920000</v>
      </c>
      <c r="E24" s="35">
        <v>36</v>
      </c>
      <c r="F24" s="58">
        <v>5920000.0000000009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f t="shared" si="0"/>
        <v>0</v>
      </c>
      <c r="T24" s="67">
        <f t="shared" si="1"/>
        <v>5920000.0000000009</v>
      </c>
      <c r="U24" s="68">
        <f t="shared" si="2"/>
        <v>0</v>
      </c>
    </row>
    <row r="25" spans="1:21">
      <c r="A25" s="70">
        <v>42370</v>
      </c>
      <c r="B25" s="70" t="s">
        <v>44</v>
      </c>
      <c r="C25" s="17" t="s">
        <v>122</v>
      </c>
      <c r="D25" s="137">
        <f>6549530-2223586</f>
        <v>4325944</v>
      </c>
      <c r="E25" s="35">
        <v>36</v>
      </c>
      <c r="F25" s="58">
        <v>4325943.9999999991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f t="shared" si="0"/>
        <v>0</v>
      </c>
      <c r="T25" s="67">
        <f t="shared" si="1"/>
        <v>4325943.9999999991</v>
      </c>
      <c r="U25" s="68">
        <f t="shared" si="2"/>
        <v>0</v>
      </c>
    </row>
    <row r="26" spans="1:21">
      <c r="A26" s="70">
        <v>42506</v>
      </c>
      <c r="B26" s="70" t="s">
        <v>44</v>
      </c>
      <c r="C26" s="17" t="s">
        <v>121</v>
      </c>
      <c r="D26" s="137">
        <v>3285722</v>
      </c>
      <c r="E26" s="35">
        <v>36</v>
      </c>
      <c r="F26" s="58">
        <v>3285722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f t="shared" si="0"/>
        <v>0</v>
      </c>
      <c r="T26" s="67">
        <f t="shared" si="1"/>
        <v>3285722</v>
      </c>
      <c r="U26" s="68">
        <f t="shared" si="2"/>
        <v>0</v>
      </c>
    </row>
    <row r="27" spans="1:21">
      <c r="A27" s="70">
        <v>42523</v>
      </c>
      <c r="B27" s="70" t="s">
        <v>15</v>
      </c>
      <c r="C27" s="17" t="s">
        <v>127</v>
      </c>
      <c r="D27" s="137">
        <v>25050000</v>
      </c>
      <c r="E27" s="35">
        <v>36</v>
      </c>
      <c r="F27" s="58">
        <v>25050000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f t="shared" si="0"/>
        <v>0</v>
      </c>
      <c r="T27" s="67">
        <f t="shared" si="1"/>
        <v>25050000</v>
      </c>
      <c r="U27" s="68">
        <f t="shared" si="2"/>
        <v>0</v>
      </c>
    </row>
    <row r="28" spans="1:21">
      <c r="A28" s="70">
        <v>42447</v>
      </c>
      <c r="B28" s="70" t="s">
        <v>0</v>
      </c>
      <c r="C28" s="17" t="s">
        <v>128</v>
      </c>
      <c r="D28" s="137">
        <v>5850000</v>
      </c>
      <c r="E28" s="35">
        <v>36</v>
      </c>
      <c r="F28" s="58">
        <v>5850000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f t="shared" si="0"/>
        <v>0</v>
      </c>
      <c r="T28" s="67">
        <f t="shared" si="1"/>
        <v>5850000</v>
      </c>
      <c r="U28" s="68">
        <f t="shared" si="2"/>
        <v>0</v>
      </c>
    </row>
    <row r="29" spans="1:21">
      <c r="A29" s="70">
        <v>42592</v>
      </c>
      <c r="B29" s="70" t="s">
        <v>0</v>
      </c>
      <c r="C29" s="17" t="s">
        <v>129</v>
      </c>
      <c r="D29" s="137">
        <v>1600000</v>
      </c>
      <c r="E29" s="35">
        <v>36</v>
      </c>
      <c r="F29" s="58">
        <v>1600000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f t="shared" si="0"/>
        <v>0</v>
      </c>
      <c r="T29" s="67">
        <f t="shared" si="1"/>
        <v>1600000</v>
      </c>
      <c r="U29" s="68">
        <f t="shared" si="2"/>
        <v>0</v>
      </c>
    </row>
    <row r="30" spans="1:21">
      <c r="A30" s="70">
        <v>42606</v>
      </c>
      <c r="B30" s="70" t="s">
        <v>0</v>
      </c>
      <c r="C30" s="17" t="s">
        <v>130</v>
      </c>
      <c r="D30" s="137">
        <v>6500000</v>
      </c>
      <c r="E30" s="35">
        <v>36</v>
      </c>
      <c r="F30" s="58">
        <v>6499999.9999999991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f t="shared" si="0"/>
        <v>0</v>
      </c>
      <c r="T30" s="67">
        <f t="shared" si="1"/>
        <v>6499999.9999999991</v>
      </c>
      <c r="U30" s="68">
        <f t="shared" si="2"/>
        <v>0</v>
      </c>
    </row>
    <row r="31" spans="1:21">
      <c r="A31" s="70">
        <v>42623</v>
      </c>
      <c r="B31" s="70" t="s">
        <v>44</v>
      </c>
      <c r="C31" s="17" t="s">
        <v>131</v>
      </c>
      <c r="D31" s="137">
        <v>3657500</v>
      </c>
      <c r="E31" s="35">
        <v>36</v>
      </c>
      <c r="F31" s="67">
        <v>3657500.0000000005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f t="shared" si="0"/>
        <v>0</v>
      </c>
      <c r="T31" s="67">
        <f t="shared" si="1"/>
        <v>3657500.0000000005</v>
      </c>
      <c r="U31" s="68">
        <f t="shared" si="2"/>
        <v>0</v>
      </c>
    </row>
    <row r="32" spans="1:21">
      <c r="A32" s="70">
        <v>42623</v>
      </c>
      <c r="B32" s="70" t="s">
        <v>44</v>
      </c>
      <c r="C32" s="17" t="s">
        <v>130</v>
      </c>
      <c r="D32" s="137">
        <v>5500000</v>
      </c>
      <c r="E32" s="35">
        <v>36</v>
      </c>
      <c r="F32" s="67">
        <v>5500000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67">
        <v>0</v>
      </c>
      <c r="S32" s="67">
        <f t="shared" si="0"/>
        <v>0</v>
      </c>
      <c r="T32" s="67">
        <f t="shared" si="1"/>
        <v>5500000</v>
      </c>
      <c r="U32" s="68">
        <f t="shared" si="2"/>
        <v>0</v>
      </c>
    </row>
    <row r="33" spans="1:21">
      <c r="A33" s="70">
        <v>42655</v>
      </c>
      <c r="B33" s="70" t="s">
        <v>0</v>
      </c>
      <c r="C33" s="17" t="s">
        <v>132</v>
      </c>
      <c r="D33" s="137">
        <v>8550000</v>
      </c>
      <c r="E33" s="35">
        <v>36</v>
      </c>
      <c r="F33" s="67">
        <v>8550000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67">
        <f t="shared" si="0"/>
        <v>0</v>
      </c>
      <c r="T33" s="67">
        <f t="shared" si="1"/>
        <v>8550000</v>
      </c>
      <c r="U33" s="68">
        <f t="shared" si="2"/>
        <v>0</v>
      </c>
    </row>
    <row r="34" spans="1:21">
      <c r="A34" s="70">
        <v>42773</v>
      </c>
      <c r="B34" s="70" t="s">
        <v>15</v>
      </c>
      <c r="C34" s="17" t="s">
        <v>133</v>
      </c>
      <c r="D34" s="137">
        <v>21150000</v>
      </c>
      <c r="E34" s="35">
        <v>36</v>
      </c>
      <c r="F34" s="67">
        <v>21150000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f t="shared" si="0"/>
        <v>0</v>
      </c>
      <c r="T34" s="67">
        <f t="shared" si="1"/>
        <v>21150000</v>
      </c>
      <c r="U34" s="68">
        <f t="shared" si="2"/>
        <v>0</v>
      </c>
    </row>
    <row r="35" spans="1:21">
      <c r="A35" s="70">
        <v>42842</v>
      </c>
      <c r="B35" s="70" t="s">
        <v>0</v>
      </c>
      <c r="C35" s="17" t="s">
        <v>134</v>
      </c>
      <c r="D35" s="137">
        <v>13850000</v>
      </c>
      <c r="E35" s="35">
        <v>36</v>
      </c>
      <c r="F35" s="67">
        <v>13849999.999999998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  <c r="Q35" s="67">
        <v>0</v>
      </c>
      <c r="R35" s="67">
        <v>0</v>
      </c>
      <c r="S35" s="67">
        <f t="shared" si="0"/>
        <v>0</v>
      </c>
      <c r="T35" s="67">
        <f t="shared" si="1"/>
        <v>13849999.999999998</v>
      </c>
      <c r="U35" s="68">
        <f t="shared" si="2"/>
        <v>0</v>
      </c>
    </row>
    <row r="36" spans="1:21">
      <c r="A36" s="70">
        <v>42850</v>
      </c>
      <c r="B36" s="70" t="s">
        <v>0</v>
      </c>
      <c r="C36" s="17" t="s">
        <v>135</v>
      </c>
      <c r="D36" s="137">
        <v>3100000</v>
      </c>
      <c r="E36" s="35">
        <v>36</v>
      </c>
      <c r="F36" s="67">
        <v>3100000.0000000005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f t="shared" si="0"/>
        <v>0</v>
      </c>
      <c r="T36" s="67">
        <f t="shared" si="1"/>
        <v>3100000.0000000005</v>
      </c>
      <c r="U36" s="68">
        <f t="shared" si="2"/>
        <v>0</v>
      </c>
    </row>
    <row r="37" spans="1:21">
      <c r="A37" s="70">
        <v>43305</v>
      </c>
      <c r="B37" s="70" t="s">
        <v>0</v>
      </c>
      <c r="C37" s="17" t="s">
        <v>136</v>
      </c>
      <c r="D37" s="137">
        <v>4600000</v>
      </c>
      <c r="E37" s="35">
        <v>36</v>
      </c>
      <c r="F37" s="67">
        <v>4600000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  <c r="Q37" s="67">
        <v>0</v>
      </c>
      <c r="R37" s="67">
        <v>0</v>
      </c>
      <c r="S37" s="67">
        <f>SUM(G37:R37)</f>
        <v>0</v>
      </c>
      <c r="T37" s="67">
        <f t="shared" ref="T37:T49" si="3">+F37+S37</f>
        <v>4600000</v>
      </c>
      <c r="U37" s="68">
        <f t="shared" ref="U37:U87" si="4">+D37-T37</f>
        <v>0</v>
      </c>
    </row>
    <row r="38" spans="1:21">
      <c r="A38" s="70">
        <v>43467</v>
      </c>
      <c r="B38" s="70" t="s">
        <v>44</v>
      </c>
      <c r="C38" s="17" t="s">
        <v>137</v>
      </c>
      <c r="D38" s="137">
        <v>28873216</v>
      </c>
      <c r="E38" s="35">
        <v>36</v>
      </c>
      <c r="F38" s="67">
        <v>28873216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f>SUM(G38:R38)</f>
        <v>0</v>
      </c>
      <c r="T38" s="67">
        <f t="shared" si="3"/>
        <v>28873216</v>
      </c>
      <c r="U38" s="68">
        <f t="shared" si="4"/>
        <v>0</v>
      </c>
    </row>
    <row r="39" spans="1:21">
      <c r="A39" s="70">
        <v>43501</v>
      </c>
      <c r="B39" s="70" t="s">
        <v>44</v>
      </c>
      <c r="C39" s="12" t="s">
        <v>138</v>
      </c>
      <c r="D39" s="51">
        <v>3599000</v>
      </c>
      <c r="E39" s="35">
        <v>36</v>
      </c>
      <c r="F39" s="67">
        <v>3599000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f>SUM(G39:R39)</f>
        <v>0</v>
      </c>
      <c r="T39" s="67">
        <f t="shared" si="3"/>
        <v>3599000</v>
      </c>
      <c r="U39" s="68">
        <f t="shared" si="4"/>
        <v>0</v>
      </c>
    </row>
    <row r="40" spans="1:21">
      <c r="A40" s="70">
        <v>43524</v>
      </c>
      <c r="B40" s="70" t="s">
        <v>0</v>
      </c>
      <c r="C40" s="17" t="s">
        <v>139</v>
      </c>
      <c r="D40" s="137">
        <v>2025000</v>
      </c>
      <c r="E40" s="35">
        <v>36</v>
      </c>
      <c r="F40" s="67">
        <v>2025000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f t="shared" ref="S40:S77" si="5">SUM(G40:R40)</f>
        <v>0</v>
      </c>
      <c r="T40" s="67">
        <f t="shared" si="3"/>
        <v>2025000</v>
      </c>
      <c r="U40" s="68">
        <f t="shared" si="4"/>
        <v>0</v>
      </c>
    </row>
    <row r="41" spans="1:21">
      <c r="A41" s="70">
        <v>43705</v>
      </c>
      <c r="B41" s="70" t="s">
        <v>0</v>
      </c>
      <c r="C41" s="17" t="s">
        <v>140</v>
      </c>
      <c r="D41" s="137">
        <v>6000000</v>
      </c>
      <c r="E41" s="35">
        <v>36</v>
      </c>
      <c r="F41" s="67">
        <v>6000000.0000000009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f t="shared" si="5"/>
        <v>0</v>
      </c>
      <c r="T41" s="67">
        <f t="shared" si="3"/>
        <v>6000000.0000000009</v>
      </c>
      <c r="U41" s="68">
        <f t="shared" si="4"/>
        <v>0</v>
      </c>
    </row>
    <row r="42" spans="1:21">
      <c r="A42" s="70">
        <v>43826</v>
      </c>
      <c r="B42" s="70" t="s">
        <v>0</v>
      </c>
      <c r="C42" s="17" t="s">
        <v>141</v>
      </c>
      <c r="D42" s="137">
        <v>5025000</v>
      </c>
      <c r="E42" s="35">
        <v>36</v>
      </c>
      <c r="F42" s="67">
        <v>5024999.9999999991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f t="shared" si="5"/>
        <v>0</v>
      </c>
      <c r="T42" s="67">
        <f t="shared" si="3"/>
        <v>5024999.9999999991</v>
      </c>
      <c r="U42" s="68">
        <f t="shared" si="4"/>
        <v>0</v>
      </c>
    </row>
    <row r="43" spans="1:21">
      <c r="A43" s="70">
        <v>43675</v>
      </c>
      <c r="B43" s="70" t="s">
        <v>44</v>
      </c>
      <c r="C43" s="17" t="s">
        <v>142</v>
      </c>
      <c r="D43" s="137">
        <v>2601000</v>
      </c>
      <c r="E43" s="35">
        <v>36</v>
      </c>
      <c r="F43" s="66">
        <v>2601000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f t="shared" si="5"/>
        <v>0</v>
      </c>
      <c r="T43" s="67">
        <f t="shared" si="3"/>
        <v>2601000</v>
      </c>
      <c r="U43" s="68">
        <f t="shared" si="4"/>
        <v>0</v>
      </c>
    </row>
    <row r="44" spans="1:21">
      <c r="A44" s="70">
        <v>44095</v>
      </c>
      <c r="B44" s="70" t="s">
        <v>0</v>
      </c>
      <c r="C44" s="17" t="s">
        <v>143</v>
      </c>
      <c r="D44" s="137">
        <v>2499000</v>
      </c>
      <c r="E44" s="35">
        <v>36</v>
      </c>
      <c r="F44" s="66">
        <v>2499000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f t="shared" si="5"/>
        <v>0</v>
      </c>
      <c r="T44" s="67">
        <f t="shared" si="3"/>
        <v>2499000</v>
      </c>
      <c r="U44" s="68">
        <f t="shared" si="4"/>
        <v>0</v>
      </c>
    </row>
    <row r="45" spans="1:21">
      <c r="A45" s="70">
        <v>44117</v>
      </c>
      <c r="B45" s="70" t="s">
        <v>0</v>
      </c>
      <c r="C45" s="17" t="s">
        <v>144</v>
      </c>
      <c r="D45" s="137">
        <v>19510000</v>
      </c>
      <c r="E45" s="35">
        <v>36</v>
      </c>
      <c r="F45" s="66">
        <v>19510000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f t="shared" si="5"/>
        <v>0</v>
      </c>
      <c r="T45" s="67">
        <f t="shared" si="3"/>
        <v>19510000</v>
      </c>
      <c r="U45" s="68">
        <f t="shared" si="4"/>
        <v>0</v>
      </c>
    </row>
    <row r="46" spans="1:21">
      <c r="A46" s="70">
        <v>43894</v>
      </c>
      <c r="B46" s="70" t="s">
        <v>44</v>
      </c>
      <c r="C46" s="17" t="s">
        <v>145</v>
      </c>
      <c r="D46" s="137">
        <v>11832000</v>
      </c>
      <c r="E46" s="35">
        <v>36</v>
      </c>
      <c r="F46" s="66">
        <v>11832000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>
        <v>0</v>
      </c>
      <c r="R46" s="67">
        <v>0</v>
      </c>
      <c r="S46" s="67">
        <f t="shared" si="5"/>
        <v>0</v>
      </c>
      <c r="T46" s="67">
        <f t="shared" si="3"/>
        <v>11832000</v>
      </c>
      <c r="U46" s="68">
        <f t="shared" si="4"/>
        <v>0</v>
      </c>
    </row>
    <row r="47" spans="1:21">
      <c r="A47" s="70">
        <v>44223</v>
      </c>
      <c r="B47" s="70" t="s">
        <v>44</v>
      </c>
      <c r="C47" s="17" t="s">
        <v>146</v>
      </c>
      <c r="D47" s="137">
        <v>2904600</v>
      </c>
      <c r="E47" s="35">
        <v>36</v>
      </c>
      <c r="F47" s="66">
        <v>2904600.0000000005</v>
      </c>
      <c r="G47" s="67">
        <v>0</v>
      </c>
      <c r="H47" s="67">
        <v>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v>0</v>
      </c>
      <c r="Q47" s="67">
        <v>0</v>
      </c>
      <c r="R47" s="67">
        <v>0</v>
      </c>
      <c r="S47" s="67">
        <f t="shared" si="5"/>
        <v>0</v>
      </c>
      <c r="T47" s="67">
        <f t="shared" si="3"/>
        <v>2904600.0000000005</v>
      </c>
      <c r="U47" s="68">
        <f t="shared" si="4"/>
        <v>0</v>
      </c>
    </row>
    <row r="48" spans="1:21">
      <c r="A48" s="70">
        <v>44242</v>
      </c>
      <c r="B48" s="70" t="s">
        <v>15</v>
      </c>
      <c r="C48" s="17" t="s">
        <v>147</v>
      </c>
      <c r="D48" s="137">
        <v>20100000</v>
      </c>
      <c r="E48" s="35">
        <v>36</v>
      </c>
      <c r="F48" s="66">
        <v>20099999.666666664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f t="shared" si="5"/>
        <v>0</v>
      </c>
      <c r="T48" s="67">
        <f t="shared" si="3"/>
        <v>20099999.666666664</v>
      </c>
      <c r="U48" s="68">
        <f t="shared" si="4"/>
        <v>0.3333333358168602</v>
      </c>
    </row>
    <row r="49" spans="1:21">
      <c r="A49" s="70">
        <v>44254</v>
      </c>
      <c r="B49" s="70" t="s">
        <v>15</v>
      </c>
      <c r="C49" s="17" t="s">
        <v>148</v>
      </c>
      <c r="D49" s="137">
        <v>1249000</v>
      </c>
      <c r="E49" s="35">
        <v>36</v>
      </c>
      <c r="F49" s="66">
        <v>1249000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0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f t="shared" si="5"/>
        <v>0</v>
      </c>
      <c r="T49" s="67">
        <f t="shared" si="3"/>
        <v>1249000</v>
      </c>
      <c r="U49" s="68">
        <f t="shared" si="4"/>
        <v>0</v>
      </c>
    </row>
    <row r="50" spans="1:21">
      <c r="A50" s="70">
        <v>44616</v>
      </c>
      <c r="B50" s="70" t="s">
        <v>44</v>
      </c>
      <c r="C50" s="17" t="s">
        <v>245</v>
      </c>
      <c r="D50" s="137">
        <v>3944900</v>
      </c>
      <c r="E50" s="35">
        <v>36</v>
      </c>
      <c r="F50" s="66">
        <v>3944899.9999999991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7">
        <f t="shared" si="5"/>
        <v>0</v>
      </c>
      <c r="T50" s="67">
        <f t="shared" ref="T50" si="6">+F50+S50</f>
        <v>3944899.9999999991</v>
      </c>
      <c r="U50" s="68">
        <f t="shared" si="4"/>
        <v>0</v>
      </c>
    </row>
    <row r="51" spans="1:21">
      <c r="A51" s="70" t="s">
        <v>26</v>
      </c>
      <c r="B51" s="70" t="s">
        <v>44</v>
      </c>
      <c r="C51" s="17" t="s">
        <v>6164</v>
      </c>
      <c r="D51" s="137">
        <v>3767880</v>
      </c>
      <c r="E51" s="35">
        <v>36</v>
      </c>
      <c r="F51" s="66">
        <v>3767880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7">
        <f t="shared" si="5"/>
        <v>0</v>
      </c>
      <c r="T51" s="67">
        <f t="shared" ref="T51" si="7">+F51+S51</f>
        <v>3767880</v>
      </c>
      <c r="U51" s="68">
        <f t="shared" si="4"/>
        <v>0</v>
      </c>
    </row>
    <row r="52" spans="1:21">
      <c r="A52" s="70" t="s">
        <v>26</v>
      </c>
      <c r="B52" s="70" t="s">
        <v>44</v>
      </c>
      <c r="C52" s="17" t="s">
        <v>318</v>
      </c>
      <c r="D52" s="137">
        <v>8918000</v>
      </c>
      <c r="E52" s="35">
        <v>36</v>
      </c>
      <c r="F52" s="66">
        <v>8917999.5555555541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7">
        <f t="shared" si="5"/>
        <v>0</v>
      </c>
      <c r="T52" s="67">
        <f t="shared" ref="T52:T53" si="8">+F52+S52</f>
        <v>8917999.5555555541</v>
      </c>
      <c r="U52" s="68">
        <f t="shared" si="4"/>
        <v>0.44444444589316845</v>
      </c>
    </row>
    <row r="53" spans="1:21">
      <c r="A53" s="70" t="s">
        <v>319</v>
      </c>
      <c r="B53" s="70" t="s">
        <v>44</v>
      </c>
      <c r="C53" s="17" t="s">
        <v>320</v>
      </c>
      <c r="D53" s="137">
        <v>37767000</v>
      </c>
      <c r="E53" s="35">
        <v>36</v>
      </c>
      <c r="F53" s="66">
        <v>37767000.333333336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7">
        <f t="shared" si="5"/>
        <v>0</v>
      </c>
      <c r="T53" s="67">
        <f t="shared" si="8"/>
        <v>37767000.333333336</v>
      </c>
      <c r="U53" s="68">
        <f t="shared" si="4"/>
        <v>-0.3333333358168602</v>
      </c>
    </row>
    <row r="54" spans="1:21">
      <c r="A54" s="70">
        <v>44644</v>
      </c>
      <c r="B54" s="70" t="s">
        <v>0</v>
      </c>
      <c r="C54" s="17" t="s">
        <v>244</v>
      </c>
      <c r="D54" s="137">
        <v>44000000</v>
      </c>
      <c r="E54" s="35">
        <v>36</v>
      </c>
      <c r="F54" s="66">
        <v>44000000</v>
      </c>
      <c r="G54" s="67">
        <v>0</v>
      </c>
      <c r="H54" s="67">
        <v>0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0</v>
      </c>
      <c r="S54" s="67">
        <f t="shared" si="5"/>
        <v>0</v>
      </c>
      <c r="T54" s="67">
        <f t="shared" ref="T54:T55" si="9">+F54+S54</f>
        <v>44000000</v>
      </c>
      <c r="U54" s="68">
        <f t="shared" si="4"/>
        <v>0</v>
      </c>
    </row>
    <row r="55" spans="1:21">
      <c r="A55" s="70">
        <v>44678</v>
      </c>
      <c r="B55" s="70" t="s">
        <v>0</v>
      </c>
      <c r="C55" s="17" t="s">
        <v>238</v>
      </c>
      <c r="D55" s="137">
        <v>11713177</v>
      </c>
      <c r="E55" s="35">
        <v>36</v>
      </c>
      <c r="F55" s="66">
        <v>11713177.000000002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67">
        <v>0</v>
      </c>
      <c r="S55" s="67">
        <f t="shared" si="5"/>
        <v>0</v>
      </c>
      <c r="T55" s="67">
        <f t="shared" si="9"/>
        <v>11713177.000000002</v>
      </c>
      <c r="U55" s="68">
        <f t="shared" si="4"/>
        <v>0</v>
      </c>
    </row>
    <row r="56" spans="1:21">
      <c r="A56" s="70">
        <v>44978</v>
      </c>
      <c r="B56" s="70" t="s">
        <v>0</v>
      </c>
      <c r="C56" s="17" t="s">
        <v>315</v>
      </c>
      <c r="D56" s="137">
        <v>12949000</v>
      </c>
      <c r="E56" s="35">
        <v>36</v>
      </c>
      <c r="F56" s="66">
        <v>8632666.666666666</v>
      </c>
      <c r="G56" s="67">
        <f t="shared" ref="G56:R56" si="10">$D$56/$E$56</f>
        <v>359694.44444444444</v>
      </c>
      <c r="H56" s="67">
        <f t="shared" si="10"/>
        <v>359694.44444444444</v>
      </c>
      <c r="I56" s="67">
        <f t="shared" si="10"/>
        <v>359694.44444444444</v>
      </c>
      <c r="J56" s="67">
        <f t="shared" si="10"/>
        <v>359694.44444444444</v>
      </c>
      <c r="K56" s="67">
        <f t="shared" si="10"/>
        <v>359694.44444444444</v>
      </c>
      <c r="L56" s="67">
        <f t="shared" si="10"/>
        <v>359694.44444444444</v>
      </c>
      <c r="M56" s="67">
        <f t="shared" si="10"/>
        <v>359694.44444444444</v>
      </c>
      <c r="N56" s="67">
        <f t="shared" si="10"/>
        <v>359694.44444444444</v>
      </c>
      <c r="O56" s="67">
        <f t="shared" si="10"/>
        <v>359694.44444444444</v>
      </c>
      <c r="P56" s="67">
        <f t="shared" si="10"/>
        <v>359694.44444444444</v>
      </c>
      <c r="Q56" s="67">
        <f t="shared" si="10"/>
        <v>359694.44444444444</v>
      </c>
      <c r="R56" s="67">
        <f t="shared" si="10"/>
        <v>359694.44444444444</v>
      </c>
      <c r="S56" s="67">
        <f t="shared" si="5"/>
        <v>4316333.333333333</v>
      </c>
      <c r="T56" s="67">
        <f t="shared" ref="T56:T57" si="11">+F56+S56</f>
        <v>12949000</v>
      </c>
      <c r="U56" s="68">
        <f t="shared" si="4"/>
        <v>0</v>
      </c>
    </row>
    <row r="57" spans="1:21">
      <c r="A57" s="70">
        <v>45201</v>
      </c>
      <c r="B57" s="70" t="s">
        <v>279</v>
      </c>
      <c r="C57" s="17" t="s">
        <v>289</v>
      </c>
      <c r="D57" s="137">
        <v>6799000</v>
      </c>
      <c r="E57" s="35">
        <v>36</v>
      </c>
      <c r="F57" s="66">
        <v>4532666.666666666</v>
      </c>
      <c r="G57" s="67">
        <f t="shared" ref="G57:R57" si="12">$D$57/$E$57</f>
        <v>188861.11111111112</v>
      </c>
      <c r="H57" s="67">
        <f t="shared" si="12"/>
        <v>188861.11111111112</v>
      </c>
      <c r="I57" s="67">
        <f t="shared" si="12"/>
        <v>188861.11111111112</v>
      </c>
      <c r="J57" s="67">
        <f t="shared" si="12"/>
        <v>188861.11111111112</v>
      </c>
      <c r="K57" s="67">
        <f t="shared" si="12"/>
        <v>188861.11111111112</v>
      </c>
      <c r="L57" s="67">
        <f t="shared" si="12"/>
        <v>188861.11111111112</v>
      </c>
      <c r="M57" s="67">
        <f t="shared" si="12"/>
        <v>188861.11111111112</v>
      </c>
      <c r="N57" s="67">
        <f t="shared" si="12"/>
        <v>188861.11111111112</v>
      </c>
      <c r="O57" s="67">
        <f t="shared" si="12"/>
        <v>188861.11111111112</v>
      </c>
      <c r="P57" s="67">
        <f t="shared" si="12"/>
        <v>188861.11111111112</v>
      </c>
      <c r="Q57" s="67">
        <f t="shared" si="12"/>
        <v>188861.11111111112</v>
      </c>
      <c r="R57" s="67">
        <f t="shared" si="12"/>
        <v>188861.11111111112</v>
      </c>
      <c r="S57" s="67">
        <f t="shared" si="5"/>
        <v>2266333.333333333</v>
      </c>
      <c r="T57" s="67">
        <f t="shared" si="11"/>
        <v>6798999.9999999991</v>
      </c>
      <c r="U57" s="68">
        <f t="shared" si="4"/>
        <v>0</v>
      </c>
    </row>
    <row r="58" spans="1:21">
      <c r="A58" s="70">
        <v>45241</v>
      </c>
      <c r="B58" s="70" t="s">
        <v>279</v>
      </c>
      <c r="C58" s="17" t="s">
        <v>322</v>
      </c>
      <c r="D58" s="137">
        <f>6250000*2</f>
        <v>12500000</v>
      </c>
      <c r="E58" s="35">
        <v>36</v>
      </c>
      <c r="F58" s="66">
        <v>8333333.3333333321</v>
      </c>
      <c r="G58" s="67">
        <f t="shared" ref="G58:R58" si="13">$D$58/$E$58</f>
        <v>347222.22222222225</v>
      </c>
      <c r="H58" s="67">
        <f t="shared" si="13"/>
        <v>347222.22222222225</v>
      </c>
      <c r="I58" s="67">
        <f t="shared" si="13"/>
        <v>347222.22222222225</v>
      </c>
      <c r="J58" s="67">
        <f t="shared" si="13"/>
        <v>347222.22222222225</v>
      </c>
      <c r="K58" s="67">
        <f t="shared" si="13"/>
        <v>347222.22222222225</v>
      </c>
      <c r="L58" s="67">
        <f t="shared" si="13"/>
        <v>347222.22222222225</v>
      </c>
      <c r="M58" s="67">
        <f t="shared" si="13"/>
        <v>347222.22222222225</v>
      </c>
      <c r="N58" s="67">
        <f t="shared" si="13"/>
        <v>347222.22222222225</v>
      </c>
      <c r="O58" s="67">
        <f t="shared" si="13"/>
        <v>347222.22222222225</v>
      </c>
      <c r="P58" s="67">
        <f t="shared" si="13"/>
        <v>347222.22222222225</v>
      </c>
      <c r="Q58" s="67">
        <f t="shared" si="13"/>
        <v>347222.22222222225</v>
      </c>
      <c r="R58" s="67">
        <f t="shared" si="13"/>
        <v>347222.22222222225</v>
      </c>
      <c r="S58" s="67">
        <f t="shared" si="5"/>
        <v>4166666.666666666</v>
      </c>
      <c r="T58" s="67">
        <f t="shared" ref="T58:T87" si="14">+F58+S58</f>
        <v>12499999.999999998</v>
      </c>
      <c r="U58" s="68">
        <f t="shared" si="4"/>
        <v>0</v>
      </c>
    </row>
    <row r="59" spans="1:21">
      <c r="A59" s="70">
        <v>45241</v>
      </c>
      <c r="B59" s="70" t="s">
        <v>15</v>
      </c>
      <c r="C59" s="17" t="s">
        <v>316</v>
      </c>
      <c r="D59" s="137">
        <v>15937500</v>
      </c>
      <c r="E59" s="35">
        <v>36</v>
      </c>
      <c r="F59" s="66">
        <v>10625000</v>
      </c>
      <c r="G59" s="67">
        <f t="shared" ref="G59:R59" si="15">$D$59/$E$59</f>
        <v>442708.33333333331</v>
      </c>
      <c r="H59" s="67">
        <f t="shared" si="15"/>
        <v>442708.33333333331</v>
      </c>
      <c r="I59" s="67">
        <f t="shared" si="15"/>
        <v>442708.33333333331</v>
      </c>
      <c r="J59" s="67">
        <f t="shared" si="15"/>
        <v>442708.33333333331</v>
      </c>
      <c r="K59" s="67">
        <f t="shared" si="15"/>
        <v>442708.33333333331</v>
      </c>
      <c r="L59" s="67">
        <f t="shared" si="15"/>
        <v>442708.33333333331</v>
      </c>
      <c r="M59" s="67">
        <f t="shared" si="15"/>
        <v>442708.33333333331</v>
      </c>
      <c r="N59" s="67">
        <f t="shared" si="15"/>
        <v>442708.33333333331</v>
      </c>
      <c r="O59" s="67">
        <f t="shared" si="15"/>
        <v>442708.33333333331</v>
      </c>
      <c r="P59" s="67">
        <f t="shared" si="15"/>
        <v>442708.33333333331</v>
      </c>
      <c r="Q59" s="67">
        <f t="shared" si="15"/>
        <v>442708.33333333331</v>
      </c>
      <c r="R59" s="67">
        <f t="shared" si="15"/>
        <v>442708.33333333331</v>
      </c>
      <c r="S59" s="67">
        <f t="shared" si="5"/>
        <v>5312500</v>
      </c>
      <c r="T59" s="67">
        <f t="shared" si="14"/>
        <v>15937500</v>
      </c>
      <c r="U59" s="68">
        <f t="shared" si="4"/>
        <v>0</v>
      </c>
    </row>
    <row r="60" spans="1:21">
      <c r="A60" s="70"/>
      <c r="B60" s="70" t="s">
        <v>44</v>
      </c>
      <c r="C60" s="202" t="s">
        <v>331</v>
      </c>
      <c r="D60" s="137">
        <v>15937599</v>
      </c>
      <c r="E60" s="35">
        <v>36</v>
      </c>
      <c r="F60" s="66">
        <v>10625066</v>
      </c>
      <c r="G60" s="67">
        <f t="shared" ref="G60:R60" si="16">$D$60/$E$60</f>
        <v>442711.08333333331</v>
      </c>
      <c r="H60" s="67">
        <f t="shared" si="16"/>
        <v>442711.08333333331</v>
      </c>
      <c r="I60" s="67">
        <f t="shared" si="16"/>
        <v>442711.08333333331</v>
      </c>
      <c r="J60" s="67">
        <f t="shared" si="16"/>
        <v>442711.08333333331</v>
      </c>
      <c r="K60" s="67">
        <f t="shared" si="16"/>
        <v>442711.08333333331</v>
      </c>
      <c r="L60" s="67">
        <f t="shared" si="16"/>
        <v>442711.08333333331</v>
      </c>
      <c r="M60" s="67">
        <f t="shared" si="16"/>
        <v>442711.08333333331</v>
      </c>
      <c r="N60" s="67">
        <f t="shared" si="16"/>
        <v>442711.08333333331</v>
      </c>
      <c r="O60" s="67">
        <f t="shared" si="16"/>
        <v>442711.08333333331</v>
      </c>
      <c r="P60" s="67">
        <f t="shared" si="16"/>
        <v>442711.08333333331</v>
      </c>
      <c r="Q60" s="67">
        <f t="shared" si="16"/>
        <v>442711.08333333331</v>
      </c>
      <c r="R60" s="67">
        <f t="shared" si="16"/>
        <v>442711.08333333331</v>
      </c>
      <c r="S60" s="67">
        <f t="shared" si="5"/>
        <v>5312533</v>
      </c>
      <c r="T60" s="67">
        <f t="shared" si="14"/>
        <v>15937599</v>
      </c>
      <c r="U60" s="68">
        <f t="shared" si="4"/>
        <v>0</v>
      </c>
    </row>
    <row r="61" spans="1:21">
      <c r="A61" s="70" t="s">
        <v>26</v>
      </c>
      <c r="B61" s="70" t="s">
        <v>44</v>
      </c>
      <c r="C61" s="17" t="s">
        <v>302</v>
      </c>
      <c r="D61" s="137">
        <v>14270900</v>
      </c>
      <c r="E61" s="35">
        <v>36</v>
      </c>
      <c r="F61" s="66">
        <v>9513933.333333334</v>
      </c>
      <c r="G61" s="67">
        <f t="shared" ref="G61:R61" si="17">$D$61/$E$61</f>
        <v>396413.88888888888</v>
      </c>
      <c r="H61" s="67">
        <f t="shared" si="17"/>
        <v>396413.88888888888</v>
      </c>
      <c r="I61" s="67">
        <f t="shared" si="17"/>
        <v>396413.88888888888</v>
      </c>
      <c r="J61" s="67">
        <f t="shared" si="17"/>
        <v>396413.88888888888</v>
      </c>
      <c r="K61" s="67">
        <f t="shared" si="17"/>
        <v>396413.88888888888</v>
      </c>
      <c r="L61" s="67">
        <f t="shared" si="17"/>
        <v>396413.88888888888</v>
      </c>
      <c r="M61" s="67">
        <f t="shared" si="17"/>
        <v>396413.88888888888</v>
      </c>
      <c r="N61" s="67">
        <f t="shared" si="17"/>
        <v>396413.88888888888</v>
      </c>
      <c r="O61" s="67">
        <f t="shared" si="17"/>
        <v>396413.88888888888</v>
      </c>
      <c r="P61" s="67">
        <f t="shared" si="17"/>
        <v>396413.88888888888</v>
      </c>
      <c r="Q61" s="67">
        <f t="shared" si="17"/>
        <v>396413.88888888888</v>
      </c>
      <c r="R61" s="67">
        <f t="shared" si="17"/>
        <v>396413.88888888888</v>
      </c>
      <c r="S61" s="67">
        <f t="shared" si="5"/>
        <v>4756966.666666667</v>
      </c>
      <c r="T61" s="67">
        <f t="shared" si="14"/>
        <v>14270900</v>
      </c>
      <c r="U61" s="68">
        <f t="shared" si="4"/>
        <v>0</v>
      </c>
    </row>
    <row r="62" spans="1:21">
      <c r="A62" s="70" t="s">
        <v>26</v>
      </c>
      <c r="B62" s="70" t="s">
        <v>44</v>
      </c>
      <c r="C62" s="17" t="s">
        <v>302</v>
      </c>
      <c r="D62" s="137">
        <v>14558900</v>
      </c>
      <c r="E62" s="35">
        <v>36</v>
      </c>
      <c r="F62" s="66">
        <v>9705933.333333334</v>
      </c>
      <c r="G62" s="67">
        <f t="shared" ref="G62:R62" si="18">$D$62/$E$62</f>
        <v>404413.88888888888</v>
      </c>
      <c r="H62" s="67">
        <f t="shared" si="18"/>
        <v>404413.88888888888</v>
      </c>
      <c r="I62" s="67">
        <f t="shared" si="18"/>
        <v>404413.88888888888</v>
      </c>
      <c r="J62" s="67">
        <f t="shared" si="18"/>
        <v>404413.88888888888</v>
      </c>
      <c r="K62" s="67">
        <f t="shared" si="18"/>
        <v>404413.88888888888</v>
      </c>
      <c r="L62" s="67">
        <f t="shared" si="18"/>
        <v>404413.88888888888</v>
      </c>
      <c r="M62" s="67">
        <f t="shared" si="18"/>
        <v>404413.88888888888</v>
      </c>
      <c r="N62" s="67">
        <f t="shared" si="18"/>
        <v>404413.88888888888</v>
      </c>
      <c r="O62" s="67">
        <f t="shared" si="18"/>
        <v>404413.88888888888</v>
      </c>
      <c r="P62" s="67">
        <f t="shared" si="18"/>
        <v>404413.88888888888</v>
      </c>
      <c r="Q62" s="67">
        <f t="shared" si="18"/>
        <v>404413.88888888888</v>
      </c>
      <c r="R62" s="67">
        <f t="shared" si="18"/>
        <v>404413.88888888888</v>
      </c>
      <c r="S62" s="67">
        <f t="shared" si="5"/>
        <v>4852966.666666667</v>
      </c>
      <c r="T62" s="67">
        <f t="shared" si="14"/>
        <v>14558900</v>
      </c>
      <c r="U62" s="68">
        <f t="shared" si="4"/>
        <v>0</v>
      </c>
    </row>
    <row r="63" spans="1:21">
      <c r="A63" s="70" t="s">
        <v>26</v>
      </c>
      <c r="B63" s="70" t="s">
        <v>44</v>
      </c>
      <c r="C63" s="17" t="s">
        <v>302</v>
      </c>
      <c r="D63" s="137">
        <v>14558900</v>
      </c>
      <c r="E63" s="35">
        <v>36</v>
      </c>
      <c r="F63" s="66">
        <v>9705933.333333334</v>
      </c>
      <c r="G63" s="67">
        <f t="shared" ref="G63:R63" si="19">$D$63/$E$63</f>
        <v>404413.88888888888</v>
      </c>
      <c r="H63" s="67">
        <f t="shared" si="19"/>
        <v>404413.88888888888</v>
      </c>
      <c r="I63" s="67">
        <f t="shared" si="19"/>
        <v>404413.88888888888</v>
      </c>
      <c r="J63" s="67">
        <f t="shared" si="19"/>
        <v>404413.88888888888</v>
      </c>
      <c r="K63" s="67">
        <f t="shared" si="19"/>
        <v>404413.88888888888</v>
      </c>
      <c r="L63" s="67">
        <f t="shared" si="19"/>
        <v>404413.88888888888</v>
      </c>
      <c r="M63" s="67">
        <f t="shared" si="19"/>
        <v>404413.88888888888</v>
      </c>
      <c r="N63" s="67">
        <f t="shared" si="19"/>
        <v>404413.88888888888</v>
      </c>
      <c r="O63" s="67">
        <f t="shared" si="19"/>
        <v>404413.88888888888</v>
      </c>
      <c r="P63" s="67">
        <f t="shared" si="19"/>
        <v>404413.88888888888</v>
      </c>
      <c r="Q63" s="67">
        <f t="shared" si="19"/>
        <v>404413.88888888888</v>
      </c>
      <c r="R63" s="67">
        <f t="shared" si="19"/>
        <v>404413.88888888888</v>
      </c>
      <c r="S63" s="67">
        <f t="shared" si="5"/>
        <v>4852966.666666667</v>
      </c>
      <c r="T63" s="67">
        <f t="shared" si="14"/>
        <v>14558900</v>
      </c>
      <c r="U63" s="68">
        <f t="shared" si="4"/>
        <v>0</v>
      </c>
    </row>
    <row r="64" spans="1:21">
      <c r="A64" s="70" t="s">
        <v>26</v>
      </c>
      <c r="B64" s="70" t="s">
        <v>44</v>
      </c>
      <c r="C64" s="17" t="s">
        <v>302</v>
      </c>
      <c r="D64" s="137">
        <v>14558900</v>
      </c>
      <c r="E64" s="35">
        <v>36</v>
      </c>
      <c r="F64" s="66">
        <v>9705933.333333334</v>
      </c>
      <c r="G64" s="67">
        <f t="shared" ref="G64:R64" si="20">$D$64/$E$64</f>
        <v>404413.88888888888</v>
      </c>
      <c r="H64" s="67">
        <f t="shared" si="20"/>
        <v>404413.88888888888</v>
      </c>
      <c r="I64" s="67">
        <f t="shared" si="20"/>
        <v>404413.88888888888</v>
      </c>
      <c r="J64" s="67">
        <f t="shared" si="20"/>
        <v>404413.88888888888</v>
      </c>
      <c r="K64" s="67">
        <f t="shared" si="20"/>
        <v>404413.88888888888</v>
      </c>
      <c r="L64" s="67">
        <f t="shared" si="20"/>
        <v>404413.88888888888</v>
      </c>
      <c r="M64" s="67">
        <f t="shared" si="20"/>
        <v>404413.88888888888</v>
      </c>
      <c r="N64" s="67">
        <f t="shared" si="20"/>
        <v>404413.88888888888</v>
      </c>
      <c r="O64" s="67">
        <f t="shared" si="20"/>
        <v>404413.88888888888</v>
      </c>
      <c r="P64" s="67">
        <f t="shared" si="20"/>
        <v>404413.88888888888</v>
      </c>
      <c r="Q64" s="67">
        <f t="shared" si="20"/>
        <v>404413.88888888888</v>
      </c>
      <c r="R64" s="67">
        <f t="shared" si="20"/>
        <v>404413.88888888888</v>
      </c>
      <c r="S64" s="67">
        <f t="shared" si="5"/>
        <v>4852966.666666667</v>
      </c>
      <c r="T64" s="67">
        <f t="shared" si="14"/>
        <v>14558900</v>
      </c>
      <c r="U64" s="68">
        <f t="shared" si="4"/>
        <v>0</v>
      </c>
    </row>
    <row r="65" spans="1:21">
      <c r="A65" s="70">
        <v>45241</v>
      </c>
      <c r="B65" s="70" t="s">
        <v>44</v>
      </c>
      <c r="C65" s="17" t="s">
        <v>278</v>
      </c>
      <c r="D65" s="137">
        <v>51019771</v>
      </c>
      <c r="E65" s="35">
        <v>36</v>
      </c>
      <c r="F65" s="66">
        <v>34013180.666666672</v>
      </c>
      <c r="G65" s="67">
        <f t="shared" ref="G65:R65" si="21">$D$65/$E$65</f>
        <v>1417215.861111111</v>
      </c>
      <c r="H65" s="67">
        <f t="shared" si="21"/>
        <v>1417215.861111111</v>
      </c>
      <c r="I65" s="67">
        <f t="shared" si="21"/>
        <v>1417215.861111111</v>
      </c>
      <c r="J65" s="67">
        <f t="shared" si="21"/>
        <v>1417215.861111111</v>
      </c>
      <c r="K65" s="67">
        <f t="shared" si="21"/>
        <v>1417215.861111111</v>
      </c>
      <c r="L65" s="67">
        <f t="shared" si="21"/>
        <v>1417215.861111111</v>
      </c>
      <c r="M65" s="67">
        <f t="shared" si="21"/>
        <v>1417215.861111111</v>
      </c>
      <c r="N65" s="67">
        <f t="shared" si="21"/>
        <v>1417215.861111111</v>
      </c>
      <c r="O65" s="67">
        <f t="shared" si="21"/>
        <v>1417215.861111111</v>
      </c>
      <c r="P65" s="67">
        <f t="shared" si="21"/>
        <v>1417215.861111111</v>
      </c>
      <c r="Q65" s="67">
        <f t="shared" si="21"/>
        <v>1417215.861111111</v>
      </c>
      <c r="R65" s="67">
        <f t="shared" si="21"/>
        <v>1417215.861111111</v>
      </c>
      <c r="S65" s="67">
        <f t="shared" si="5"/>
        <v>17006590.333333336</v>
      </c>
      <c r="T65" s="67">
        <f t="shared" ref="T65:T78" si="22">+F65+S65</f>
        <v>51019771.000000007</v>
      </c>
      <c r="U65" s="68">
        <f t="shared" ref="U65:U78" si="23">+D65-T65</f>
        <v>0</v>
      </c>
    </row>
    <row r="66" spans="1:21">
      <c r="A66" s="70">
        <v>45345</v>
      </c>
      <c r="B66" s="70" t="s">
        <v>457</v>
      </c>
      <c r="C66" s="17" t="s">
        <v>7181</v>
      </c>
      <c r="D66" s="137">
        <v>6000000</v>
      </c>
      <c r="E66" s="35">
        <v>36</v>
      </c>
      <c r="F66" s="66">
        <v>2000000.0000000002</v>
      </c>
      <c r="G66" s="67">
        <f t="shared" ref="G66:R66" si="24">$D$66/$E$66</f>
        <v>166666.66666666666</v>
      </c>
      <c r="H66" s="67">
        <f t="shared" si="24"/>
        <v>166666.66666666666</v>
      </c>
      <c r="I66" s="67">
        <f t="shared" si="24"/>
        <v>166666.66666666666</v>
      </c>
      <c r="J66" s="67">
        <f t="shared" si="24"/>
        <v>166666.66666666666</v>
      </c>
      <c r="K66" s="67">
        <f t="shared" si="24"/>
        <v>166666.66666666666</v>
      </c>
      <c r="L66" s="67">
        <f t="shared" si="24"/>
        <v>166666.66666666666</v>
      </c>
      <c r="M66" s="67">
        <f t="shared" si="24"/>
        <v>166666.66666666666</v>
      </c>
      <c r="N66" s="67">
        <f t="shared" si="24"/>
        <v>166666.66666666666</v>
      </c>
      <c r="O66" s="67">
        <f t="shared" si="24"/>
        <v>166666.66666666666</v>
      </c>
      <c r="P66" s="67">
        <f t="shared" si="24"/>
        <v>166666.66666666666</v>
      </c>
      <c r="Q66" s="67">
        <f t="shared" si="24"/>
        <v>166666.66666666666</v>
      </c>
      <c r="R66" s="67">
        <f t="shared" si="24"/>
        <v>166666.66666666666</v>
      </c>
      <c r="S66" s="67">
        <f t="shared" si="5"/>
        <v>2000000.0000000002</v>
      </c>
      <c r="T66" s="67">
        <f t="shared" si="22"/>
        <v>4000000.0000000005</v>
      </c>
      <c r="U66" s="68">
        <f t="shared" si="23"/>
        <v>1999999.9999999995</v>
      </c>
    </row>
    <row r="67" spans="1:21">
      <c r="A67" s="70">
        <v>45500</v>
      </c>
      <c r="B67" s="70" t="s">
        <v>457</v>
      </c>
      <c r="C67" s="17" t="s">
        <v>7182</v>
      </c>
      <c r="D67" s="137">
        <v>20500000</v>
      </c>
      <c r="E67" s="35">
        <v>36</v>
      </c>
      <c r="F67" s="66">
        <v>5152777.777777778</v>
      </c>
      <c r="G67" s="67">
        <f t="shared" ref="G67:R67" si="25">$D$67/$E$67</f>
        <v>569444.4444444445</v>
      </c>
      <c r="H67" s="67">
        <f t="shared" si="25"/>
        <v>569444.4444444445</v>
      </c>
      <c r="I67" s="67">
        <f t="shared" si="25"/>
        <v>569444.4444444445</v>
      </c>
      <c r="J67" s="67">
        <f t="shared" si="25"/>
        <v>569444.4444444445</v>
      </c>
      <c r="K67" s="67">
        <f t="shared" si="25"/>
        <v>569444.4444444445</v>
      </c>
      <c r="L67" s="67">
        <f t="shared" si="25"/>
        <v>569444.4444444445</v>
      </c>
      <c r="M67" s="67">
        <f t="shared" si="25"/>
        <v>569444.4444444445</v>
      </c>
      <c r="N67" s="67">
        <f t="shared" si="25"/>
        <v>569444.4444444445</v>
      </c>
      <c r="O67" s="67">
        <f t="shared" si="25"/>
        <v>569444.4444444445</v>
      </c>
      <c r="P67" s="67">
        <f t="shared" si="25"/>
        <v>569444.4444444445</v>
      </c>
      <c r="Q67" s="67">
        <f t="shared" si="25"/>
        <v>569444.4444444445</v>
      </c>
      <c r="R67" s="67">
        <f t="shared" si="25"/>
        <v>569444.4444444445</v>
      </c>
      <c r="S67" s="67">
        <f t="shared" si="5"/>
        <v>6833333.3333333321</v>
      </c>
      <c r="T67" s="67">
        <f t="shared" si="22"/>
        <v>11986111.11111111</v>
      </c>
      <c r="U67" s="68">
        <f t="shared" si="23"/>
        <v>8513888.8888888899</v>
      </c>
    </row>
    <row r="68" spans="1:21">
      <c r="A68" s="70">
        <v>45629</v>
      </c>
      <c r="B68" s="70" t="s">
        <v>457</v>
      </c>
      <c r="C68" s="17" t="s">
        <v>7183</v>
      </c>
      <c r="D68" s="137">
        <v>15000000</v>
      </c>
      <c r="E68" s="35">
        <v>36</v>
      </c>
      <c r="F68" s="66">
        <v>5000000</v>
      </c>
      <c r="G68" s="67">
        <f t="shared" ref="G68:R68" si="26">$D$68/$E$68</f>
        <v>416666.66666666669</v>
      </c>
      <c r="H68" s="67">
        <f t="shared" si="26"/>
        <v>416666.66666666669</v>
      </c>
      <c r="I68" s="67">
        <f t="shared" si="26"/>
        <v>416666.66666666669</v>
      </c>
      <c r="J68" s="67">
        <f t="shared" si="26"/>
        <v>416666.66666666669</v>
      </c>
      <c r="K68" s="67">
        <f t="shared" si="26"/>
        <v>416666.66666666669</v>
      </c>
      <c r="L68" s="67">
        <f t="shared" si="26"/>
        <v>416666.66666666669</v>
      </c>
      <c r="M68" s="67">
        <f t="shared" si="26"/>
        <v>416666.66666666669</v>
      </c>
      <c r="N68" s="67">
        <f t="shared" si="26"/>
        <v>416666.66666666669</v>
      </c>
      <c r="O68" s="67">
        <f t="shared" si="26"/>
        <v>416666.66666666669</v>
      </c>
      <c r="P68" s="67">
        <f t="shared" si="26"/>
        <v>416666.66666666669</v>
      </c>
      <c r="Q68" s="67">
        <f t="shared" si="26"/>
        <v>416666.66666666669</v>
      </c>
      <c r="R68" s="67">
        <f t="shared" si="26"/>
        <v>416666.66666666669</v>
      </c>
      <c r="S68" s="67">
        <f t="shared" si="5"/>
        <v>5000000</v>
      </c>
      <c r="T68" s="67">
        <f t="shared" si="22"/>
        <v>10000000</v>
      </c>
      <c r="U68" s="68">
        <f t="shared" si="23"/>
        <v>5000000</v>
      </c>
    </row>
    <row r="69" spans="1:21">
      <c r="A69" s="70">
        <v>45316</v>
      </c>
      <c r="B69" s="70" t="s">
        <v>15</v>
      </c>
      <c r="C69" s="17" t="s">
        <v>7184</v>
      </c>
      <c r="D69" s="137">
        <v>21250000</v>
      </c>
      <c r="E69" s="35">
        <v>36</v>
      </c>
      <c r="F69" s="66">
        <v>7083333.3333333349</v>
      </c>
      <c r="G69" s="67">
        <f t="shared" ref="G69:R69" si="27">$D$69/$E$69</f>
        <v>590277.77777777775</v>
      </c>
      <c r="H69" s="67">
        <f t="shared" si="27"/>
        <v>590277.77777777775</v>
      </c>
      <c r="I69" s="67">
        <f t="shared" si="27"/>
        <v>590277.77777777775</v>
      </c>
      <c r="J69" s="67">
        <f t="shared" si="27"/>
        <v>590277.77777777775</v>
      </c>
      <c r="K69" s="67">
        <f t="shared" si="27"/>
        <v>590277.77777777775</v>
      </c>
      <c r="L69" s="67">
        <f t="shared" si="27"/>
        <v>590277.77777777775</v>
      </c>
      <c r="M69" s="67">
        <f t="shared" si="27"/>
        <v>590277.77777777775</v>
      </c>
      <c r="N69" s="67">
        <f t="shared" si="27"/>
        <v>590277.77777777775</v>
      </c>
      <c r="O69" s="67">
        <f t="shared" si="27"/>
        <v>590277.77777777775</v>
      </c>
      <c r="P69" s="67">
        <f t="shared" si="27"/>
        <v>590277.77777777775</v>
      </c>
      <c r="Q69" s="67">
        <f t="shared" si="27"/>
        <v>590277.77777777775</v>
      </c>
      <c r="R69" s="67">
        <f t="shared" si="27"/>
        <v>590277.77777777775</v>
      </c>
      <c r="S69" s="67">
        <f t="shared" si="5"/>
        <v>7083333.3333333349</v>
      </c>
      <c r="T69" s="67">
        <f t="shared" si="22"/>
        <v>14166666.66666667</v>
      </c>
      <c r="U69" s="68">
        <f t="shared" si="23"/>
        <v>7083333.3333333302</v>
      </c>
    </row>
    <row r="70" spans="1:21">
      <c r="A70" s="70">
        <v>45386</v>
      </c>
      <c r="B70" s="70" t="s">
        <v>15</v>
      </c>
      <c r="C70" s="17" t="s">
        <v>7185</v>
      </c>
      <c r="D70" s="137">
        <v>21250000</v>
      </c>
      <c r="E70" s="35">
        <v>36</v>
      </c>
      <c r="F70" s="66">
        <v>7083333.3333333349</v>
      </c>
      <c r="G70" s="67">
        <f t="shared" ref="G70:R70" si="28">$D$70/$E$70</f>
        <v>590277.77777777775</v>
      </c>
      <c r="H70" s="67">
        <f t="shared" si="28"/>
        <v>590277.77777777775</v>
      </c>
      <c r="I70" s="67">
        <f t="shared" si="28"/>
        <v>590277.77777777775</v>
      </c>
      <c r="J70" s="67">
        <f t="shared" si="28"/>
        <v>590277.77777777775</v>
      </c>
      <c r="K70" s="67">
        <f t="shared" si="28"/>
        <v>590277.77777777775</v>
      </c>
      <c r="L70" s="67">
        <f t="shared" si="28"/>
        <v>590277.77777777775</v>
      </c>
      <c r="M70" s="67">
        <f t="shared" si="28"/>
        <v>590277.77777777775</v>
      </c>
      <c r="N70" s="67">
        <f t="shared" si="28"/>
        <v>590277.77777777775</v>
      </c>
      <c r="O70" s="67">
        <f t="shared" si="28"/>
        <v>590277.77777777775</v>
      </c>
      <c r="P70" s="67">
        <f t="shared" si="28"/>
        <v>590277.77777777775</v>
      </c>
      <c r="Q70" s="67">
        <f t="shared" si="28"/>
        <v>590277.77777777775</v>
      </c>
      <c r="R70" s="67">
        <f t="shared" si="28"/>
        <v>590277.77777777775</v>
      </c>
      <c r="S70" s="67">
        <f t="shared" si="5"/>
        <v>7083333.3333333349</v>
      </c>
      <c r="T70" s="67">
        <f t="shared" si="22"/>
        <v>14166666.66666667</v>
      </c>
      <c r="U70" s="68">
        <f t="shared" si="23"/>
        <v>7083333.3333333302</v>
      </c>
    </row>
    <row r="71" spans="1:21">
      <c r="A71" s="70">
        <v>45408</v>
      </c>
      <c r="B71" s="70" t="s">
        <v>15</v>
      </c>
      <c r="C71" s="17" t="s">
        <v>7186</v>
      </c>
      <c r="D71" s="137">
        <v>2500000</v>
      </c>
      <c r="E71" s="35">
        <v>36</v>
      </c>
      <c r="F71" s="66">
        <v>833333.33333333349</v>
      </c>
      <c r="G71" s="67">
        <f t="shared" ref="G71:R71" si="29">$D$71/$E$71</f>
        <v>69444.444444444438</v>
      </c>
      <c r="H71" s="67">
        <f t="shared" si="29"/>
        <v>69444.444444444438</v>
      </c>
      <c r="I71" s="67">
        <f t="shared" si="29"/>
        <v>69444.444444444438</v>
      </c>
      <c r="J71" s="67">
        <f t="shared" si="29"/>
        <v>69444.444444444438</v>
      </c>
      <c r="K71" s="67">
        <f t="shared" si="29"/>
        <v>69444.444444444438</v>
      </c>
      <c r="L71" s="67">
        <f t="shared" si="29"/>
        <v>69444.444444444438</v>
      </c>
      <c r="M71" s="67">
        <f t="shared" si="29"/>
        <v>69444.444444444438</v>
      </c>
      <c r="N71" s="67">
        <f t="shared" si="29"/>
        <v>69444.444444444438</v>
      </c>
      <c r="O71" s="67">
        <f t="shared" si="29"/>
        <v>69444.444444444438</v>
      </c>
      <c r="P71" s="67">
        <f t="shared" si="29"/>
        <v>69444.444444444438</v>
      </c>
      <c r="Q71" s="67">
        <f t="shared" si="29"/>
        <v>69444.444444444438</v>
      </c>
      <c r="R71" s="67">
        <f t="shared" si="29"/>
        <v>69444.444444444438</v>
      </c>
      <c r="S71" s="67">
        <f t="shared" si="5"/>
        <v>833333.33333333349</v>
      </c>
      <c r="T71" s="67">
        <f t="shared" si="22"/>
        <v>1666666.666666667</v>
      </c>
      <c r="U71" s="68">
        <f t="shared" si="23"/>
        <v>833333.33333333302</v>
      </c>
    </row>
    <row r="72" spans="1:21">
      <c r="A72" s="70">
        <v>45471</v>
      </c>
      <c r="B72" s="70" t="s">
        <v>15</v>
      </c>
      <c r="C72" s="17" t="s">
        <v>7187</v>
      </c>
      <c r="D72" s="137">
        <v>3000000</v>
      </c>
      <c r="E72" s="35">
        <v>36</v>
      </c>
      <c r="F72" s="66">
        <v>1000000.0000000001</v>
      </c>
      <c r="G72" s="67">
        <f t="shared" ref="G72:R72" si="30">$D$72/$E$72</f>
        <v>83333.333333333328</v>
      </c>
      <c r="H72" s="67">
        <f t="shared" si="30"/>
        <v>83333.333333333328</v>
      </c>
      <c r="I72" s="67">
        <f t="shared" si="30"/>
        <v>83333.333333333328</v>
      </c>
      <c r="J72" s="67">
        <f t="shared" si="30"/>
        <v>83333.333333333328</v>
      </c>
      <c r="K72" s="67">
        <f t="shared" si="30"/>
        <v>83333.333333333328</v>
      </c>
      <c r="L72" s="67">
        <f t="shared" si="30"/>
        <v>83333.333333333328</v>
      </c>
      <c r="M72" s="67">
        <f t="shared" si="30"/>
        <v>83333.333333333328</v>
      </c>
      <c r="N72" s="67">
        <f t="shared" si="30"/>
        <v>83333.333333333328</v>
      </c>
      <c r="O72" s="67">
        <f t="shared" si="30"/>
        <v>83333.333333333328</v>
      </c>
      <c r="P72" s="67">
        <f t="shared" si="30"/>
        <v>83333.333333333328</v>
      </c>
      <c r="Q72" s="67">
        <f t="shared" si="30"/>
        <v>83333.333333333328</v>
      </c>
      <c r="R72" s="67">
        <f t="shared" si="30"/>
        <v>83333.333333333328</v>
      </c>
      <c r="S72" s="67">
        <f t="shared" si="5"/>
        <v>1000000.0000000001</v>
      </c>
      <c r="T72" s="67">
        <f t="shared" si="22"/>
        <v>2000000.0000000002</v>
      </c>
      <c r="U72" s="68">
        <f t="shared" si="23"/>
        <v>999999.99999999977</v>
      </c>
    </row>
    <row r="73" spans="1:21">
      <c r="A73" s="70" t="s">
        <v>26</v>
      </c>
      <c r="B73" s="70" t="s">
        <v>44</v>
      </c>
      <c r="C73" s="8" t="s">
        <v>7188</v>
      </c>
      <c r="D73" s="54">
        <v>42372540</v>
      </c>
      <c r="E73" s="35">
        <v>36</v>
      </c>
      <c r="F73" s="66">
        <v>14124180</v>
      </c>
      <c r="G73" s="67">
        <f t="shared" ref="G73:R73" si="31">$D$73/$E$73</f>
        <v>1177015</v>
      </c>
      <c r="H73" s="67">
        <f t="shared" si="31"/>
        <v>1177015</v>
      </c>
      <c r="I73" s="67">
        <f t="shared" si="31"/>
        <v>1177015</v>
      </c>
      <c r="J73" s="67">
        <f t="shared" si="31"/>
        <v>1177015</v>
      </c>
      <c r="K73" s="67">
        <f t="shared" si="31"/>
        <v>1177015</v>
      </c>
      <c r="L73" s="67">
        <f t="shared" si="31"/>
        <v>1177015</v>
      </c>
      <c r="M73" s="67">
        <f t="shared" si="31"/>
        <v>1177015</v>
      </c>
      <c r="N73" s="67">
        <f t="shared" si="31"/>
        <v>1177015</v>
      </c>
      <c r="O73" s="67">
        <f t="shared" si="31"/>
        <v>1177015</v>
      </c>
      <c r="P73" s="67">
        <f t="shared" si="31"/>
        <v>1177015</v>
      </c>
      <c r="Q73" s="67">
        <f t="shared" si="31"/>
        <v>1177015</v>
      </c>
      <c r="R73" s="67">
        <f t="shared" si="31"/>
        <v>1177015</v>
      </c>
      <c r="S73" s="67">
        <f t="shared" si="5"/>
        <v>14124180</v>
      </c>
      <c r="T73" s="67">
        <f t="shared" si="22"/>
        <v>28248360</v>
      </c>
      <c r="U73" s="68">
        <f t="shared" si="23"/>
        <v>14124180</v>
      </c>
    </row>
    <row r="74" spans="1:21">
      <c r="A74" s="70" t="s">
        <v>26</v>
      </c>
      <c r="B74" s="70" t="s">
        <v>44</v>
      </c>
      <c r="C74" s="8" t="s">
        <v>7189</v>
      </c>
      <c r="D74" s="54">
        <v>34448722</v>
      </c>
      <c r="E74" s="35">
        <v>36</v>
      </c>
      <c r="F74" s="66">
        <v>11482907.33333333</v>
      </c>
      <c r="G74" s="67">
        <f t="shared" ref="G74:R74" si="32">$D$74/$E$74</f>
        <v>956908.9444444445</v>
      </c>
      <c r="H74" s="67">
        <f t="shared" si="32"/>
        <v>956908.9444444445</v>
      </c>
      <c r="I74" s="67">
        <f t="shared" si="32"/>
        <v>956908.9444444445</v>
      </c>
      <c r="J74" s="67">
        <f t="shared" si="32"/>
        <v>956908.9444444445</v>
      </c>
      <c r="K74" s="67">
        <f t="shared" si="32"/>
        <v>956908.9444444445</v>
      </c>
      <c r="L74" s="67">
        <f t="shared" si="32"/>
        <v>956908.9444444445</v>
      </c>
      <c r="M74" s="67">
        <f t="shared" si="32"/>
        <v>956908.9444444445</v>
      </c>
      <c r="N74" s="67">
        <f t="shared" si="32"/>
        <v>956908.9444444445</v>
      </c>
      <c r="O74" s="67">
        <f t="shared" si="32"/>
        <v>956908.9444444445</v>
      </c>
      <c r="P74" s="67">
        <f t="shared" si="32"/>
        <v>956908.9444444445</v>
      </c>
      <c r="Q74" s="67">
        <f t="shared" si="32"/>
        <v>956908.9444444445</v>
      </c>
      <c r="R74" s="67">
        <f t="shared" si="32"/>
        <v>956908.9444444445</v>
      </c>
      <c r="S74" s="67">
        <f t="shared" si="5"/>
        <v>11482907.33333333</v>
      </c>
      <c r="T74" s="67">
        <f t="shared" si="22"/>
        <v>22965814.66666666</v>
      </c>
      <c r="U74" s="68">
        <f t="shared" si="23"/>
        <v>11482907.33333334</v>
      </c>
    </row>
    <row r="75" spans="1:21">
      <c r="A75" s="70" t="s">
        <v>26</v>
      </c>
      <c r="B75" s="70" t="s">
        <v>44</v>
      </c>
      <c r="C75" s="8" t="s">
        <v>7190</v>
      </c>
      <c r="D75" s="14">
        <v>7107000</v>
      </c>
      <c r="E75" s="35">
        <v>36</v>
      </c>
      <c r="F75" s="66">
        <v>2369000</v>
      </c>
      <c r="G75" s="67">
        <f t="shared" ref="G75:R75" si="33">$D$75/$E$75</f>
        <v>197416.66666666666</v>
      </c>
      <c r="H75" s="67">
        <f t="shared" si="33"/>
        <v>197416.66666666666</v>
      </c>
      <c r="I75" s="67">
        <f t="shared" si="33"/>
        <v>197416.66666666666</v>
      </c>
      <c r="J75" s="67">
        <f t="shared" si="33"/>
        <v>197416.66666666666</v>
      </c>
      <c r="K75" s="67">
        <f t="shared" si="33"/>
        <v>197416.66666666666</v>
      </c>
      <c r="L75" s="67">
        <f t="shared" si="33"/>
        <v>197416.66666666666</v>
      </c>
      <c r="M75" s="67">
        <f t="shared" si="33"/>
        <v>197416.66666666666</v>
      </c>
      <c r="N75" s="67">
        <f t="shared" si="33"/>
        <v>197416.66666666666</v>
      </c>
      <c r="O75" s="67">
        <f t="shared" si="33"/>
        <v>197416.66666666666</v>
      </c>
      <c r="P75" s="67">
        <f t="shared" si="33"/>
        <v>197416.66666666666</v>
      </c>
      <c r="Q75" s="67">
        <f t="shared" si="33"/>
        <v>197416.66666666666</v>
      </c>
      <c r="R75" s="67">
        <f t="shared" si="33"/>
        <v>197416.66666666666</v>
      </c>
      <c r="S75" s="67">
        <f t="shared" si="5"/>
        <v>2369000</v>
      </c>
      <c r="T75" s="67">
        <f t="shared" si="22"/>
        <v>4738000</v>
      </c>
      <c r="U75" s="68">
        <f t="shared" si="23"/>
        <v>2369000</v>
      </c>
    </row>
    <row r="76" spans="1:21">
      <c r="A76" s="70" t="s">
        <v>26</v>
      </c>
      <c r="B76" s="70" t="s">
        <v>44</v>
      </c>
      <c r="C76" s="8" t="s">
        <v>7191</v>
      </c>
      <c r="D76" s="14">
        <v>2120400</v>
      </c>
      <c r="E76" s="35">
        <v>36</v>
      </c>
      <c r="F76" s="66">
        <v>706800</v>
      </c>
      <c r="G76" s="67">
        <f t="shared" ref="G76:R76" si="34">$D$76/$E$76</f>
        <v>58900</v>
      </c>
      <c r="H76" s="67">
        <f t="shared" si="34"/>
        <v>58900</v>
      </c>
      <c r="I76" s="67">
        <f t="shared" si="34"/>
        <v>58900</v>
      </c>
      <c r="J76" s="67">
        <f t="shared" si="34"/>
        <v>58900</v>
      </c>
      <c r="K76" s="67">
        <f t="shared" si="34"/>
        <v>58900</v>
      </c>
      <c r="L76" s="67">
        <f t="shared" si="34"/>
        <v>58900</v>
      </c>
      <c r="M76" s="67">
        <f t="shared" si="34"/>
        <v>58900</v>
      </c>
      <c r="N76" s="67">
        <f t="shared" si="34"/>
        <v>58900</v>
      </c>
      <c r="O76" s="67">
        <f t="shared" si="34"/>
        <v>58900</v>
      </c>
      <c r="P76" s="67">
        <f t="shared" si="34"/>
        <v>58900</v>
      </c>
      <c r="Q76" s="67">
        <f t="shared" si="34"/>
        <v>58900</v>
      </c>
      <c r="R76" s="67">
        <f t="shared" si="34"/>
        <v>58900</v>
      </c>
      <c r="S76" s="67">
        <f t="shared" si="5"/>
        <v>706800</v>
      </c>
      <c r="T76" s="67">
        <f t="shared" si="22"/>
        <v>1413600</v>
      </c>
      <c r="U76" s="68">
        <f t="shared" si="23"/>
        <v>706800</v>
      </c>
    </row>
    <row r="77" spans="1:21">
      <c r="A77" s="70" t="s">
        <v>26</v>
      </c>
      <c r="B77" s="70" t="s">
        <v>44</v>
      </c>
      <c r="C77" s="43" t="s">
        <v>7192</v>
      </c>
      <c r="D77" s="119">
        <v>4001550</v>
      </c>
      <c r="E77" s="35">
        <v>36</v>
      </c>
      <c r="F77" s="66">
        <v>1333850</v>
      </c>
      <c r="G77" s="67">
        <f t="shared" ref="G77:R77" si="35">$D$77/$E$77</f>
        <v>111154.16666666667</v>
      </c>
      <c r="H77" s="67">
        <f t="shared" si="35"/>
        <v>111154.16666666667</v>
      </c>
      <c r="I77" s="67">
        <f t="shared" si="35"/>
        <v>111154.16666666667</v>
      </c>
      <c r="J77" s="67">
        <f t="shared" si="35"/>
        <v>111154.16666666667</v>
      </c>
      <c r="K77" s="67">
        <f t="shared" si="35"/>
        <v>111154.16666666667</v>
      </c>
      <c r="L77" s="67">
        <f t="shared" si="35"/>
        <v>111154.16666666667</v>
      </c>
      <c r="M77" s="67">
        <f t="shared" si="35"/>
        <v>111154.16666666667</v>
      </c>
      <c r="N77" s="67">
        <f t="shared" si="35"/>
        <v>111154.16666666667</v>
      </c>
      <c r="O77" s="67">
        <f t="shared" si="35"/>
        <v>111154.16666666667</v>
      </c>
      <c r="P77" s="67">
        <f t="shared" si="35"/>
        <v>111154.16666666667</v>
      </c>
      <c r="Q77" s="67">
        <f t="shared" si="35"/>
        <v>111154.16666666667</v>
      </c>
      <c r="R77" s="67">
        <f t="shared" si="35"/>
        <v>111154.16666666667</v>
      </c>
      <c r="S77" s="67">
        <f t="shared" si="5"/>
        <v>1333850</v>
      </c>
      <c r="T77" s="67">
        <f t="shared" si="22"/>
        <v>2667700</v>
      </c>
      <c r="U77" s="68">
        <f t="shared" si="23"/>
        <v>1333850</v>
      </c>
    </row>
    <row r="78" spans="1:21">
      <c r="A78" s="70" t="s">
        <v>6142</v>
      </c>
      <c r="B78" s="70" t="s">
        <v>457</v>
      </c>
      <c r="C78" s="17" t="s">
        <v>119</v>
      </c>
      <c r="D78" s="137">
        <v>13530726</v>
      </c>
      <c r="E78" s="35">
        <v>36</v>
      </c>
      <c r="F78" s="66">
        <v>0</v>
      </c>
      <c r="G78" s="66">
        <f t="shared" ref="G78:R78" si="36">$D$78/$E$78</f>
        <v>375853.5</v>
      </c>
      <c r="H78" s="66">
        <f t="shared" si="36"/>
        <v>375853.5</v>
      </c>
      <c r="I78" s="66">
        <f t="shared" si="36"/>
        <v>375853.5</v>
      </c>
      <c r="J78" s="66">
        <f t="shared" si="36"/>
        <v>375853.5</v>
      </c>
      <c r="K78" s="66">
        <f t="shared" si="36"/>
        <v>375853.5</v>
      </c>
      <c r="L78" s="66">
        <f t="shared" si="36"/>
        <v>375853.5</v>
      </c>
      <c r="M78" s="66">
        <f t="shared" si="36"/>
        <v>375853.5</v>
      </c>
      <c r="N78" s="66">
        <f t="shared" si="36"/>
        <v>375853.5</v>
      </c>
      <c r="O78" s="66">
        <f t="shared" si="36"/>
        <v>375853.5</v>
      </c>
      <c r="P78" s="66">
        <f t="shared" si="36"/>
        <v>375853.5</v>
      </c>
      <c r="Q78" s="66">
        <f t="shared" si="36"/>
        <v>375853.5</v>
      </c>
      <c r="R78" s="66">
        <f t="shared" si="36"/>
        <v>375853.5</v>
      </c>
      <c r="S78" s="67">
        <f t="shared" ref="S78" si="37">SUM(G78:R78)</f>
        <v>4510242</v>
      </c>
      <c r="T78" s="67">
        <f t="shared" si="22"/>
        <v>4510242</v>
      </c>
      <c r="U78" s="68">
        <f t="shared" si="23"/>
        <v>9020484</v>
      </c>
    </row>
    <row r="79" spans="1:21">
      <c r="A79" s="70" t="s">
        <v>6142</v>
      </c>
      <c r="B79" s="70" t="s">
        <v>457</v>
      </c>
      <c r="C79" s="17" t="s">
        <v>6143</v>
      </c>
      <c r="D79" s="137">
        <v>15000000</v>
      </c>
      <c r="E79" s="35">
        <v>36</v>
      </c>
      <c r="F79" s="66">
        <v>0</v>
      </c>
      <c r="G79" s="66">
        <f t="shared" ref="G79:R79" si="38">$D$79/$E$79</f>
        <v>416666.66666666669</v>
      </c>
      <c r="H79" s="66">
        <f t="shared" si="38"/>
        <v>416666.66666666669</v>
      </c>
      <c r="I79" s="66">
        <f t="shared" si="38"/>
        <v>416666.66666666669</v>
      </c>
      <c r="J79" s="66">
        <f t="shared" si="38"/>
        <v>416666.66666666669</v>
      </c>
      <c r="K79" s="66">
        <f t="shared" si="38"/>
        <v>416666.66666666669</v>
      </c>
      <c r="L79" s="66">
        <f t="shared" si="38"/>
        <v>416666.66666666669</v>
      </c>
      <c r="M79" s="66">
        <f t="shared" si="38"/>
        <v>416666.66666666669</v>
      </c>
      <c r="N79" s="66">
        <f t="shared" si="38"/>
        <v>416666.66666666669</v>
      </c>
      <c r="O79" s="66">
        <f t="shared" si="38"/>
        <v>416666.66666666669</v>
      </c>
      <c r="P79" s="66">
        <f t="shared" si="38"/>
        <v>416666.66666666669</v>
      </c>
      <c r="Q79" s="66">
        <f t="shared" si="38"/>
        <v>416666.66666666669</v>
      </c>
      <c r="R79" s="66">
        <f t="shared" si="38"/>
        <v>416666.66666666669</v>
      </c>
      <c r="S79" s="67">
        <f t="shared" ref="S79" si="39">SUM(G79:R79)</f>
        <v>5000000</v>
      </c>
      <c r="T79" s="67">
        <f t="shared" ref="T79" si="40">+F79+S79</f>
        <v>5000000</v>
      </c>
      <c r="U79" s="68">
        <f t="shared" ref="U79" si="41">+D79-T79</f>
        <v>10000000</v>
      </c>
    </row>
    <row r="80" spans="1:21">
      <c r="A80" s="70" t="s">
        <v>6142</v>
      </c>
      <c r="B80" s="70" t="s">
        <v>44</v>
      </c>
      <c r="C80" s="17" t="s">
        <v>6148</v>
      </c>
      <c r="D80" s="137">
        <v>41529000</v>
      </c>
      <c r="E80" s="35">
        <v>36</v>
      </c>
      <c r="F80" s="66">
        <v>0</v>
      </c>
      <c r="G80" s="66">
        <f t="shared" ref="G80:R80" si="42">$D$80/$E$80</f>
        <v>1153583.3333333333</v>
      </c>
      <c r="H80" s="66">
        <f t="shared" si="42"/>
        <v>1153583.3333333333</v>
      </c>
      <c r="I80" s="66">
        <f t="shared" si="42"/>
        <v>1153583.3333333333</v>
      </c>
      <c r="J80" s="66">
        <f t="shared" si="42"/>
        <v>1153583.3333333333</v>
      </c>
      <c r="K80" s="66">
        <f t="shared" si="42"/>
        <v>1153583.3333333333</v>
      </c>
      <c r="L80" s="66">
        <f t="shared" si="42"/>
        <v>1153583.3333333333</v>
      </c>
      <c r="M80" s="66">
        <f t="shared" si="42"/>
        <v>1153583.3333333333</v>
      </c>
      <c r="N80" s="66">
        <f t="shared" si="42"/>
        <v>1153583.3333333333</v>
      </c>
      <c r="O80" s="66">
        <f t="shared" si="42"/>
        <v>1153583.3333333333</v>
      </c>
      <c r="P80" s="66">
        <f t="shared" si="42"/>
        <v>1153583.3333333333</v>
      </c>
      <c r="Q80" s="66">
        <f t="shared" si="42"/>
        <v>1153583.3333333333</v>
      </c>
      <c r="R80" s="66">
        <f t="shared" si="42"/>
        <v>1153583.3333333333</v>
      </c>
      <c r="S80" s="67">
        <f t="shared" ref="S80" si="43">SUM(G80:R80)</f>
        <v>13843000.000000002</v>
      </c>
      <c r="T80" s="67">
        <f t="shared" ref="T80" si="44">+F80+S80</f>
        <v>13843000.000000002</v>
      </c>
      <c r="U80" s="68">
        <f t="shared" ref="U80" si="45">+D80-T80</f>
        <v>27686000</v>
      </c>
    </row>
    <row r="81" spans="1:21">
      <c r="A81" s="70" t="s">
        <v>6142</v>
      </c>
      <c r="B81" s="70" t="s">
        <v>44</v>
      </c>
      <c r="C81" s="17" t="s">
        <v>6149</v>
      </c>
      <c r="D81" s="137">
        <v>10071171</v>
      </c>
      <c r="E81" s="35">
        <v>36</v>
      </c>
      <c r="F81" s="66">
        <v>0</v>
      </c>
      <c r="G81" s="66">
        <f t="shared" ref="G81:R81" si="46">$D$81/$E$81</f>
        <v>279754.75</v>
      </c>
      <c r="H81" s="66">
        <f t="shared" si="46"/>
        <v>279754.75</v>
      </c>
      <c r="I81" s="66">
        <f t="shared" si="46"/>
        <v>279754.75</v>
      </c>
      <c r="J81" s="66">
        <f t="shared" si="46"/>
        <v>279754.75</v>
      </c>
      <c r="K81" s="66">
        <f t="shared" si="46"/>
        <v>279754.75</v>
      </c>
      <c r="L81" s="66">
        <f t="shared" si="46"/>
        <v>279754.75</v>
      </c>
      <c r="M81" s="66">
        <f t="shared" si="46"/>
        <v>279754.75</v>
      </c>
      <c r="N81" s="66">
        <f t="shared" si="46"/>
        <v>279754.75</v>
      </c>
      <c r="O81" s="66">
        <f t="shared" si="46"/>
        <v>279754.75</v>
      </c>
      <c r="P81" s="66">
        <f t="shared" si="46"/>
        <v>279754.75</v>
      </c>
      <c r="Q81" s="66">
        <f t="shared" si="46"/>
        <v>279754.75</v>
      </c>
      <c r="R81" s="66">
        <f t="shared" si="46"/>
        <v>279754.75</v>
      </c>
      <c r="S81" s="67">
        <f t="shared" ref="S81:S84" si="47">SUM(G81:R81)</f>
        <v>3357057</v>
      </c>
      <c r="T81" s="67">
        <f t="shared" ref="T81:T84" si="48">+F81+S81</f>
        <v>3357057</v>
      </c>
      <c r="U81" s="68">
        <f t="shared" ref="U81:U84" si="49">+D81-T81</f>
        <v>6714114</v>
      </c>
    </row>
    <row r="82" spans="1:21">
      <c r="A82" s="70" t="s">
        <v>6142</v>
      </c>
      <c r="B82" s="70" t="s">
        <v>44</v>
      </c>
      <c r="C82" s="17" t="s">
        <v>6150</v>
      </c>
      <c r="D82" s="137">
        <v>9260360</v>
      </c>
      <c r="E82" s="35">
        <v>36</v>
      </c>
      <c r="F82" s="66">
        <v>0</v>
      </c>
      <c r="G82" s="66">
        <f t="shared" ref="G82:R82" si="50">$D$82/$E$82</f>
        <v>257232.22222222222</v>
      </c>
      <c r="H82" s="66">
        <f t="shared" si="50"/>
        <v>257232.22222222222</v>
      </c>
      <c r="I82" s="66">
        <f t="shared" si="50"/>
        <v>257232.22222222222</v>
      </c>
      <c r="J82" s="66">
        <f t="shared" si="50"/>
        <v>257232.22222222222</v>
      </c>
      <c r="K82" s="66">
        <f t="shared" si="50"/>
        <v>257232.22222222222</v>
      </c>
      <c r="L82" s="66">
        <f t="shared" si="50"/>
        <v>257232.22222222222</v>
      </c>
      <c r="M82" s="66">
        <f t="shared" si="50"/>
        <v>257232.22222222222</v>
      </c>
      <c r="N82" s="66">
        <f t="shared" si="50"/>
        <v>257232.22222222222</v>
      </c>
      <c r="O82" s="66">
        <f t="shared" si="50"/>
        <v>257232.22222222222</v>
      </c>
      <c r="P82" s="66">
        <f t="shared" si="50"/>
        <v>257232.22222222222</v>
      </c>
      <c r="Q82" s="66">
        <f t="shared" si="50"/>
        <v>257232.22222222222</v>
      </c>
      <c r="R82" s="66">
        <f t="shared" si="50"/>
        <v>257232.22222222222</v>
      </c>
      <c r="S82" s="67">
        <f t="shared" si="47"/>
        <v>3086786.666666666</v>
      </c>
      <c r="T82" s="67">
        <f t="shared" si="48"/>
        <v>3086786.666666666</v>
      </c>
      <c r="U82" s="68">
        <f t="shared" si="49"/>
        <v>6173573.333333334</v>
      </c>
    </row>
    <row r="83" spans="1:21">
      <c r="A83" s="70" t="s">
        <v>6142</v>
      </c>
      <c r="B83" s="70" t="s">
        <v>44</v>
      </c>
      <c r="C83" s="17" t="s">
        <v>6154</v>
      </c>
      <c r="D83" s="137">
        <v>12255035</v>
      </c>
      <c r="E83" s="35">
        <v>36</v>
      </c>
      <c r="F83" s="66">
        <v>0</v>
      </c>
      <c r="G83" s="66">
        <f t="shared" ref="G83:R83" si="51">$D$83/$E$83</f>
        <v>340417.63888888888</v>
      </c>
      <c r="H83" s="66">
        <f t="shared" si="51"/>
        <v>340417.63888888888</v>
      </c>
      <c r="I83" s="66">
        <f t="shared" si="51"/>
        <v>340417.63888888888</v>
      </c>
      <c r="J83" s="66">
        <f t="shared" si="51"/>
        <v>340417.63888888888</v>
      </c>
      <c r="K83" s="66">
        <f t="shared" si="51"/>
        <v>340417.63888888888</v>
      </c>
      <c r="L83" s="66">
        <f t="shared" si="51"/>
        <v>340417.63888888888</v>
      </c>
      <c r="M83" s="66">
        <f t="shared" si="51"/>
        <v>340417.63888888888</v>
      </c>
      <c r="N83" s="66">
        <f t="shared" si="51"/>
        <v>340417.63888888888</v>
      </c>
      <c r="O83" s="66">
        <f t="shared" si="51"/>
        <v>340417.63888888888</v>
      </c>
      <c r="P83" s="66">
        <f t="shared" si="51"/>
        <v>340417.63888888888</v>
      </c>
      <c r="Q83" s="66">
        <f t="shared" si="51"/>
        <v>340417.63888888888</v>
      </c>
      <c r="R83" s="66">
        <f t="shared" si="51"/>
        <v>340417.63888888888</v>
      </c>
      <c r="S83" s="67">
        <f t="shared" ref="S83" si="52">SUM(G83:R83)</f>
        <v>4085011.6666666674</v>
      </c>
      <c r="T83" s="67">
        <f t="shared" ref="T83" si="53">+F83+S83</f>
        <v>4085011.6666666674</v>
      </c>
      <c r="U83" s="68">
        <f t="shared" ref="U83" si="54">+D83-T83</f>
        <v>8170023.3333333321</v>
      </c>
    </row>
    <row r="84" spans="1:21">
      <c r="A84" s="70" t="s">
        <v>6142</v>
      </c>
      <c r="B84" s="70" t="s">
        <v>44</v>
      </c>
      <c r="C84" s="17" t="s">
        <v>6155</v>
      </c>
      <c r="D84" s="137">
        <v>12255035</v>
      </c>
      <c r="E84" s="35">
        <v>36</v>
      </c>
      <c r="F84" s="66">
        <v>0</v>
      </c>
      <c r="G84" s="66">
        <f t="shared" ref="G84:R84" si="55">$D$84/$E$84</f>
        <v>340417.63888888888</v>
      </c>
      <c r="H84" s="66">
        <f t="shared" si="55"/>
        <v>340417.63888888888</v>
      </c>
      <c r="I84" s="66">
        <f t="shared" si="55"/>
        <v>340417.63888888888</v>
      </c>
      <c r="J84" s="66">
        <f t="shared" si="55"/>
        <v>340417.63888888888</v>
      </c>
      <c r="K84" s="66">
        <f t="shared" si="55"/>
        <v>340417.63888888888</v>
      </c>
      <c r="L84" s="66">
        <f t="shared" si="55"/>
        <v>340417.63888888888</v>
      </c>
      <c r="M84" s="66">
        <f t="shared" si="55"/>
        <v>340417.63888888888</v>
      </c>
      <c r="N84" s="66">
        <f t="shared" si="55"/>
        <v>340417.63888888888</v>
      </c>
      <c r="O84" s="66">
        <f t="shared" si="55"/>
        <v>340417.63888888888</v>
      </c>
      <c r="P84" s="66">
        <f t="shared" si="55"/>
        <v>340417.63888888888</v>
      </c>
      <c r="Q84" s="66">
        <f t="shared" si="55"/>
        <v>340417.63888888888</v>
      </c>
      <c r="R84" s="66">
        <f t="shared" si="55"/>
        <v>340417.63888888888</v>
      </c>
      <c r="S84" s="67">
        <f t="shared" si="47"/>
        <v>4085011.6666666674</v>
      </c>
      <c r="T84" s="67">
        <f t="shared" si="48"/>
        <v>4085011.6666666674</v>
      </c>
      <c r="U84" s="68">
        <f t="shared" si="49"/>
        <v>8170023.3333333321</v>
      </c>
    </row>
    <row r="85" spans="1:21">
      <c r="A85" s="70" t="s">
        <v>6142</v>
      </c>
      <c r="B85" s="70" t="s">
        <v>44</v>
      </c>
      <c r="C85" s="17" t="s">
        <v>6165</v>
      </c>
      <c r="D85" s="137">
        <v>11873300</v>
      </c>
      <c r="E85" s="35">
        <v>36</v>
      </c>
      <c r="F85" s="66">
        <v>0</v>
      </c>
      <c r="G85" s="66">
        <f t="shared" ref="G85:R85" si="56">$D$85/$E$85</f>
        <v>329813.88888888888</v>
      </c>
      <c r="H85" s="66">
        <f t="shared" si="56"/>
        <v>329813.88888888888</v>
      </c>
      <c r="I85" s="66">
        <f t="shared" si="56"/>
        <v>329813.88888888888</v>
      </c>
      <c r="J85" s="66">
        <f t="shared" si="56"/>
        <v>329813.88888888888</v>
      </c>
      <c r="K85" s="66">
        <f t="shared" si="56"/>
        <v>329813.88888888888</v>
      </c>
      <c r="L85" s="66">
        <f t="shared" si="56"/>
        <v>329813.88888888888</v>
      </c>
      <c r="M85" s="66">
        <f t="shared" si="56"/>
        <v>329813.88888888888</v>
      </c>
      <c r="N85" s="66">
        <f t="shared" si="56"/>
        <v>329813.88888888888</v>
      </c>
      <c r="O85" s="66">
        <f t="shared" si="56"/>
        <v>329813.88888888888</v>
      </c>
      <c r="P85" s="66">
        <f t="shared" si="56"/>
        <v>329813.88888888888</v>
      </c>
      <c r="Q85" s="66">
        <f t="shared" si="56"/>
        <v>329813.88888888888</v>
      </c>
      <c r="R85" s="66">
        <f t="shared" si="56"/>
        <v>329813.88888888888</v>
      </c>
      <c r="S85" s="67">
        <f t="shared" ref="S85:S86" si="57">SUM(G85:R85)</f>
        <v>3957766.6666666674</v>
      </c>
      <c r="T85" s="67">
        <f t="shared" ref="T85:T86" si="58">+F85+S85</f>
        <v>3957766.6666666674</v>
      </c>
      <c r="U85" s="68">
        <f t="shared" ref="U85:U86" si="59">+D85-T85</f>
        <v>7915533.3333333321</v>
      </c>
    </row>
    <row r="86" spans="1:21">
      <c r="A86" s="70" t="s">
        <v>6142</v>
      </c>
      <c r="B86" s="70" t="s">
        <v>44</v>
      </c>
      <c r="C86" s="17" t="s">
        <v>6166</v>
      </c>
      <c r="D86" s="137">
        <v>11951200</v>
      </c>
      <c r="E86" s="35">
        <v>36</v>
      </c>
      <c r="F86" s="66">
        <v>0</v>
      </c>
      <c r="G86" s="66">
        <f t="shared" ref="G86:R86" si="60">$D$86/$E$86</f>
        <v>331977.77777777775</v>
      </c>
      <c r="H86" s="66">
        <f t="shared" si="60"/>
        <v>331977.77777777775</v>
      </c>
      <c r="I86" s="66">
        <f t="shared" si="60"/>
        <v>331977.77777777775</v>
      </c>
      <c r="J86" s="66">
        <f t="shared" si="60"/>
        <v>331977.77777777775</v>
      </c>
      <c r="K86" s="66">
        <f t="shared" si="60"/>
        <v>331977.77777777775</v>
      </c>
      <c r="L86" s="66">
        <f t="shared" si="60"/>
        <v>331977.77777777775</v>
      </c>
      <c r="M86" s="66">
        <f t="shared" si="60"/>
        <v>331977.77777777775</v>
      </c>
      <c r="N86" s="66">
        <f t="shared" si="60"/>
        <v>331977.77777777775</v>
      </c>
      <c r="O86" s="66">
        <f t="shared" si="60"/>
        <v>331977.77777777775</v>
      </c>
      <c r="P86" s="66">
        <f t="shared" si="60"/>
        <v>331977.77777777775</v>
      </c>
      <c r="Q86" s="66">
        <f t="shared" si="60"/>
        <v>331977.77777777775</v>
      </c>
      <c r="R86" s="66">
        <f t="shared" si="60"/>
        <v>331977.77777777775</v>
      </c>
      <c r="S86" s="67">
        <f t="shared" si="57"/>
        <v>3983733.333333334</v>
      </c>
      <c r="T86" s="67">
        <f t="shared" si="58"/>
        <v>3983733.333333334</v>
      </c>
      <c r="U86" s="68">
        <f t="shared" si="59"/>
        <v>7967466.666666666</v>
      </c>
    </row>
    <row r="87" spans="1:21">
      <c r="A87" s="70" t="s">
        <v>6142</v>
      </c>
      <c r="B87" s="70" t="s">
        <v>26</v>
      </c>
      <c r="C87" s="17" t="s">
        <v>3020</v>
      </c>
      <c r="D87" s="137">
        <f>96360700+5000000+10000000+16096335</f>
        <v>127457035</v>
      </c>
      <c r="E87" s="35">
        <v>36</v>
      </c>
      <c r="F87" s="66">
        <v>0</v>
      </c>
      <c r="G87" s="66">
        <f t="shared" ref="G87:R87" si="61">$D$87/$E$87</f>
        <v>3540473.1944444445</v>
      </c>
      <c r="H87" s="66">
        <f t="shared" si="61"/>
        <v>3540473.1944444445</v>
      </c>
      <c r="I87" s="66">
        <f t="shared" si="61"/>
        <v>3540473.1944444445</v>
      </c>
      <c r="J87" s="66">
        <f t="shared" si="61"/>
        <v>3540473.1944444445</v>
      </c>
      <c r="K87" s="66">
        <f t="shared" si="61"/>
        <v>3540473.1944444445</v>
      </c>
      <c r="L87" s="66">
        <f t="shared" si="61"/>
        <v>3540473.1944444445</v>
      </c>
      <c r="M87" s="66">
        <f t="shared" si="61"/>
        <v>3540473.1944444445</v>
      </c>
      <c r="N87" s="66">
        <f t="shared" si="61"/>
        <v>3540473.1944444445</v>
      </c>
      <c r="O87" s="66">
        <f t="shared" si="61"/>
        <v>3540473.1944444445</v>
      </c>
      <c r="P87" s="66">
        <f t="shared" si="61"/>
        <v>3540473.1944444445</v>
      </c>
      <c r="Q87" s="66">
        <f t="shared" si="61"/>
        <v>3540473.1944444445</v>
      </c>
      <c r="R87" s="66">
        <f t="shared" si="61"/>
        <v>3540473.1944444445</v>
      </c>
      <c r="S87" s="67">
        <f t="shared" ref="S87" si="62">SUM(G87:R87)</f>
        <v>42485678.333333343</v>
      </c>
      <c r="T87" s="67">
        <f t="shared" si="14"/>
        <v>42485678.333333343</v>
      </c>
      <c r="U87" s="68">
        <f t="shared" si="4"/>
        <v>84971356.666666657</v>
      </c>
    </row>
    <row r="88" spans="1:21">
      <c r="A88" s="70"/>
      <c r="B88" s="70"/>
      <c r="D88" s="69"/>
      <c r="E88" s="35"/>
      <c r="F88" s="66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8"/>
    </row>
    <row r="89" spans="1:21">
      <c r="D89" s="73">
        <f>SUM(D6:D88)</f>
        <v>1091175796</v>
      </c>
      <c r="E89" s="17" t="s">
        <v>106</v>
      </c>
      <c r="F89" s="73">
        <f t="shared" ref="F89:U89" si="63">SUM(F6:F88)</f>
        <v>646915413.33333349</v>
      </c>
      <c r="G89" s="73">
        <f t="shared" si="63"/>
        <v>17161765.111111108</v>
      </c>
      <c r="H89" s="73">
        <f t="shared" si="63"/>
        <v>17161765.111111108</v>
      </c>
      <c r="I89" s="73">
        <f t="shared" si="63"/>
        <v>17161765.111111108</v>
      </c>
      <c r="J89" s="73">
        <f t="shared" si="63"/>
        <v>17161765.111111108</v>
      </c>
      <c r="K89" s="73">
        <f t="shared" si="63"/>
        <v>17161765.111111108</v>
      </c>
      <c r="L89" s="73">
        <f t="shared" si="63"/>
        <v>17161765.111111108</v>
      </c>
      <c r="M89" s="73">
        <f t="shared" si="63"/>
        <v>17161765.111111108</v>
      </c>
      <c r="N89" s="73">
        <f t="shared" si="63"/>
        <v>17161765.111111108</v>
      </c>
      <c r="O89" s="73">
        <f t="shared" si="63"/>
        <v>17161765.111111108</v>
      </c>
      <c r="P89" s="73">
        <f t="shared" si="63"/>
        <v>17161765.111111108</v>
      </c>
      <c r="Q89" s="73">
        <f t="shared" si="63"/>
        <v>17161765.111111108</v>
      </c>
      <c r="R89" s="73">
        <f t="shared" si="63"/>
        <v>17161765.111111108</v>
      </c>
      <c r="S89" s="73">
        <f t="shared" si="63"/>
        <v>205941181.33333331</v>
      </c>
      <c r="T89" s="73">
        <f t="shared" si="63"/>
        <v>852856594.66666651</v>
      </c>
      <c r="U89" s="73">
        <f t="shared" si="63"/>
        <v>238319201.33333331</v>
      </c>
    </row>
    <row r="90" spans="1:21">
      <c r="C90" s="17" t="s">
        <v>26</v>
      </c>
      <c r="D90" s="69"/>
      <c r="F90" s="67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</row>
    <row r="91" spans="1:21">
      <c r="C91" s="64" t="s">
        <v>149</v>
      </c>
      <c r="D91" s="69" t="s">
        <v>26</v>
      </c>
      <c r="E91" s="35" t="s">
        <v>26</v>
      </c>
      <c r="F91" s="67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</row>
    <row r="92" spans="1:21">
      <c r="A92" s="70">
        <v>40138</v>
      </c>
      <c r="B92" s="70"/>
      <c r="C92" s="17" t="s">
        <v>150</v>
      </c>
      <c r="D92" s="65">
        <v>0</v>
      </c>
      <c r="E92" s="35">
        <v>48</v>
      </c>
      <c r="F92" s="66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0</v>
      </c>
      <c r="O92" s="67">
        <v>0</v>
      </c>
      <c r="P92" s="67">
        <v>0</v>
      </c>
      <c r="Q92" s="67">
        <v>0</v>
      </c>
      <c r="R92" s="67">
        <v>0</v>
      </c>
      <c r="S92" s="68">
        <f t="shared" ref="S92:S100" si="64">SUM(G92:R92)</f>
        <v>0</v>
      </c>
      <c r="T92" s="67">
        <f t="shared" ref="T92:T100" si="65">+F92+S92</f>
        <v>0</v>
      </c>
      <c r="U92" s="68">
        <f t="shared" ref="U92:U100" si="66">+D92-T92</f>
        <v>0</v>
      </c>
    </row>
    <row r="93" spans="1:21">
      <c r="A93" s="70">
        <v>40058</v>
      </c>
      <c r="B93" s="70"/>
      <c r="C93" s="17" t="s">
        <v>151</v>
      </c>
      <c r="D93" s="65">
        <v>0</v>
      </c>
      <c r="E93" s="35">
        <v>48</v>
      </c>
      <c r="F93" s="66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v>0</v>
      </c>
      <c r="Q93" s="67">
        <v>0</v>
      </c>
      <c r="R93" s="67">
        <v>0</v>
      </c>
      <c r="S93" s="68">
        <f t="shared" si="64"/>
        <v>0</v>
      </c>
      <c r="T93" s="67">
        <f t="shared" si="65"/>
        <v>0</v>
      </c>
      <c r="U93" s="68">
        <f t="shared" si="66"/>
        <v>0</v>
      </c>
    </row>
    <row r="94" spans="1:21">
      <c r="A94" s="70">
        <v>40665</v>
      </c>
      <c r="B94" s="70"/>
      <c r="C94" s="17" t="s">
        <v>152</v>
      </c>
      <c r="D94" s="65">
        <v>0</v>
      </c>
      <c r="E94" s="35">
        <v>48</v>
      </c>
      <c r="F94" s="66">
        <v>0</v>
      </c>
      <c r="G94" s="67">
        <v>0</v>
      </c>
      <c r="H94" s="67">
        <v>0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0</v>
      </c>
      <c r="O94" s="67">
        <v>0</v>
      </c>
      <c r="P94" s="67">
        <v>0</v>
      </c>
      <c r="Q94" s="67">
        <v>0</v>
      </c>
      <c r="R94" s="67">
        <v>0</v>
      </c>
      <c r="S94" s="68">
        <f t="shared" si="64"/>
        <v>0</v>
      </c>
      <c r="T94" s="67">
        <f t="shared" si="65"/>
        <v>0</v>
      </c>
      <c r="U94" s="68">
        <f t="shared" si="66"/>
        <v>0</v>
      </c>
    </row>
    <row r="95" spans="1:21">
      <c r="A95" s="70">
        <v>40805</v>
      </c>
      <c r="B95" s="70"/>
      <c r="C95" s="17" t="s">
        <v>153</v>
      </c>
      <c r="D95" s="65">
        <v>0</v>
      </c>
      <c r="E95" s="35">
        <v>48</v>
      </c>
      <c r="F95" s="66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8">
        <f t="shared" si="64"/>
        <v>0</v>
      </c>
      <c r="T95" s="67">
        <f t="shared" si="65"/>
        <v>0</v>
      </c>
      <c r="U95" s="68">
        <f t="shared" si="66"/>
        <v>0</v>
      </c>
    </row>
    <row r="96" spans="1:21">
      <c r="A96" s="70">
        <v>42384</v>
      </c>
      <c r="B96" s="70" t="s">
        <v>154</v>
      </c>
      <c r="C96" s="17" t="s">
        <v>155</v>
      </c>
      <c r="D96" s="65">
        <v>0</v>
      </c>
      <c r="E96" s="35">
        <v>48</v>
      </c>
      <c r="F96" s="66">
        <v>0</v>
      </c>
      <c r="G96" s="67">
        <v>0</v>
      </c>
      <c r="H96" s="67">
        <v>0</v>
      </c>
      <c r="I96" s="67">
        <v>0</v>
      </c>
      <c r="J96" s="67">
        <v>0</v>
      </c>
      <c r="K96" s="67">
        <v>0</v>
      </c>
      <c r="L96" s="67">
        <v>0</v>
      </c>
      <c r="M96" s="67">
        <v>0</v>
      </c>
      <c r="N96" s="67">
        <v>0</v>
      </c>
      <c r="O96" s="67">
        <v>0</v>
      </c>
      <c r="P96" s="67">
        <v>0</v>
      </c>
      <c r="Q96" s="67">
        <v>0</v>
      </c>
      <c r="R96" s="67">
        <v>0</v>
      </c>
      <c r="S96" s="68">
        <f t="shared" si="64"/>
        <v>0</v>
      </c>
      <c r="T96" s="67">
        <f t="shared" si="65"/>
        <v>0</v>
      </c>
      <c r="U96" s="68">
        <f t="shared" si="66"/>
        <v>0</v>
      </c>
    </row>
    <row r="97" spans="1:21">
      <c r="A97" s="70" t="s">
        <v>89</v>
      </c>
      <c r="B97" s="70" t="s">
        <v>26</v>
      </c>
      <c r="C97" s="17" t="s">
        <v>156</v>
      </c>
      <c r="D97" s="71">
        <v>0</v>
      </c>
      <c r="E97" s="35">
        <f>12*5</f>
        <v>60</v>
      </c>
      <c r="F97" s="58">
        <v>0</v>
      </c>
      <c r="G97" s="67">
        <v>0</v>
      </c>
      <c r="H97" s="67">
        <v>0</v>
      </c>
      <c r="I97" s="67">
        <v>0</v>
      </c>
      <c r="J97" s="67">
        <v>0</v>
      </c>
      <c r="K97" s="67">
        <v>0</v>
      </c>
      <c r="L97" s="67">
        <v>0</v>
      </c>
      <c r="M97" s="67">
        <v>0</v>
      </c>
      <c r="N97" s="67">
        <v>0</v>
      </c>
      <c r="O97" s="67">
        <v>0</v>
      </c>
      <c r="P97" s="67">
        <v>0</v>
      </c>
      <c r="Q97" s="67">
        <v>0</v>
      </c>
      <c r="R97" s="67">
        <v>0</v>
      </c>
      <c r="S97" s="68">
        <f t="shared" si="64"/>
        <v>0</v>
      </c>
      <c r="T97" s="67">
        <f t="shared" si="65"/>
        <v>0</v>
      </c>
      <c r="U97" s="68">
        <f t="shared" si="66"/>
        <v>0</v>
      </c>
    </row>
    <row r="98" spans="1:21">
      <c r="A98" s="70">
        <v>42775</v>
      </c>
      <c r="B98" s="70" t="s">
        <v>154</v>
      </c>
      <c r="C98" s="17" t="s">
        <v>157</v>
      </c>
      <c r="D98" s="65">
        <v>0</v>
      </c>
      <c r="E98" s="35">
        <v>48</v>
      </c>
      <c r="F98" s="66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  <c r="P98" s="67">
        <v>0</v>
      </c>
      <c r="Q98" s="67">
        <v>0</v>
      </c>
      <c r="R98" s="67">
        <v>0</v>
      </c>
      <c r="S98" s="68">
        <f t="shared" si="64"/>
        <v>0</v>
      </c>
      <c r="T98" s="67">
        <f t="shared" si="65"/>
        <v>0</v>
      </c>
      <c r="U98" s="68">
        <f t="shared" si="66"/>
        <v>0</v>
      </c>
    </row>
    <row r="99" spans="1:21">
      <c r="A99" s="70">
        <v>42864</v>
      </c>
      <c r="B99" s="70" t="s">
        <v>15</v>
      </c>
      <c r="C99" s="17" t="s">
        <v>158</v>
      </c>
      <c r="D99" s="65">
        <v>118750000</v>
      </c>
      <c r="E99" s="35">
        <v>48</v>
      </c>
      <c r="F99" s="66">
        <v>118749999.99999999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8">
        <f t="shared" ref="S99" si="67">SUM(G99:R99)</f>
        <v>0</v>
      </c>
      <c r="T99" s="67">
        <f t="shared" ref="T99" si="68">+F99+S99</f>
        <v>118749999.99999999</v>
      </c>
      <c r="U99" s="68">
        <f t="shared" ref="U99" si="69">+D99-T99</f>
        <v>0</v>
      </c>
    </row>
    <row r="100" spans="1:21">
      <c r="A100" s="70">
        <v>45839</v>
      </c>
      <c r="B100" s="70" t="s">
        <v>457</v>
      </c>
      <c r="C100" s="17" t="s">
        <v>3021</v>
      </c>
      <c r="D100" s="65">
        <v>849151036</v>
      </c>
      <c r="E100" s="35">
        <v>48</v>
      </c>
      <c r="F100" s="66">
        <v>0</v>
      </c>
      <c r="G100" s="67">
        <f t="shared" ref="G100:R100" si="70">$D$100/$E$100</f>
        <v>17690646.583333332</v>
      </c>
      <c r="H100" s="67">
        <f t="shared" si="70"/>
        <v>17690646.583333332</v>
      </c>
      <c r="I100" s="67">
        <f t="shared" si="70"/>
        <v>17690646.583333332</v>
      </c>
      <c r="J100" s="67">
        <f t="shared" si="70"/>
        <v>17690646.583333332</v>
      </c>
      <c r="K100" s="67">
        <f t="shared" si="70"/>
        <v>17690646.583333332</v>
      </c>
      <c r="L100" s="67">
        <f t="shared" si="70"/>
        <v>17690646.583333332</v>
      </c>
      <c r="M100" s="67">
        <f t="shared" si="70"/>
        <v>17690646.583333332</v>
      </c>
      <c r="N100" s="67">
        <f t="shared" si="70"/>
        <v>17690646.583333332</v>
      </c>
      <c r="O100" s="67">
        <f t="shared" si="70"/>
        <v>17690646.583333332</v>
      </c>
      <c r="P100" s="67">
        <f t="shared" si="70"/>
        <v>17690646.583333332</v>
      </c>
      <c r="Q100" s="67">
        <f t="shared" si="70"/>
        <v>17690646.583333332</v>
      </c>
      <c r="R100" s="67">
        <f t="shared" si="70"/>
        <v>17690646.583333332</v>
      </c>
      <c r="S100" s="68">
        <f t="shared" si="64"/>
        <v>212287759.00000003</v>
      </c>
      <c r="T100" s="67">
        <f t="shared" si="65"/>
        <v>212287759.00000003</v>
      </c>
      <c r="U100" s="68">
        <f t="shared" si="66"/>
        <v>636863277</v>
      </c>
    </row>
    <row r="101" spans="1:21">
      <c r="A101" s="70"/>
      <c r="B101" s="70"/>
      <c r="D101" s="65"/>
      <c r="E101" s="35"/>
      <c r="F101" s="66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8"/>
      <c r="T101" s="67"/>
      <c r="U101" s="68"/>
    </row>
    <row r="102" spans="1:21">
      <c r="A102" s="61"/>
      <c r="B102" s="61"/>
      <c r="C102" s="17" t="s">
        <v>106</v>
      </c>
      <c r="D102" s="73">
        <f>SUM(D92:D101)</f>
        <v>967901036</v>
      </c>
      <c r="E102" s="35"/>
      <c r="F102" s="73">
        <f>SUM(F92:F101)</f>
        <v>118749999.99999999</v>
      </c>
      <c r="G102" s="73">
        <f>SUM(G92:G101)</f>
        <v>17690646.583333332</v>
      </c>
      <c r="H102" s="73">
        <f t="shared" ref="H102:U102" si="71">SUM(H92:H101)</f>
        <v>17690646.583333332</v>
      </c>
      <c r="I102" s="73">
        <f t="shared" si="71"/>
        <v>17690646.583333332</v>
      </c>
      <c r="J102" s="73">
        <f t="shared" si="71"/>
        <v>17690646.583333332</v>
      </c>
      <c r="K102" s="73">
        <f t="shared" si="71"/>
        <v>17690646.583333332</v>
      </c>
      <c r="L102" s="73">
        <f t="shared" si="71"/>
        <v>17690646.583333332</v>
      </c>
      <c r="M102" s="73">
        <f t="shared" si="71"/>
        <v>17690646.583333332</v>
      </c>
      <c r="N102" s="73">
        <f t="shared" si="71"/>
        <v>17690646.583333332</v>
      </c>
      <c r="O102" s="73">
        <f t="shared" si="71"/>
        <v>17690646.583333332</v>
      </c>
      <c r="P102" s="73">
        <f t="shared" si="71"/>
        <v>17690646.583333332</v>
      </c>
      <c r="Q102" s="73">
        <f t="shared" si="71"/>
        <v>17690646.583333332</v>
      </c>
      <c r="R102" s="73">
        <f t="shared" si="71"/>
        <v>17690646.583333332</v>
      </c>
      <c r="S102" s="73">
        <f t="shared" si="71"/>
        <v>212287759.00000003</v>
      </c>
      <c r="T102" s="73">
        <f t="shared" si="71"/>
        <v>331037759</v>
      </c>
      <c r="U102" s="73">
        <f t="shared" si="71"/>
        <v>636863277</v>
      </c>
    </row>
    <row r="103" spans="1:21">
      <c r="C103" s="64"/>
      <c r="D103" s="69"/>
      <c r="F103" s="74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</row>
    <row r="104" spans="1:21">
      <c r="C104" s="64" t="s">
        <v>159</v>
      </c>
      <c r="D104" s="69">
        <v>0</v>
      </c>
      <c r="F104" s="74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7">
        <f>SUM(G104:R104)</f>
        <v>0</v>
      </c>
      <c r="T104" s="67">
        <f>+F104+S104</f>
        <v>0</v>
      </c>
      <c r="U104" s="68">
        <f>+D104-F104-S104</f>
        <v>0</v>
      </c>
    </row>
    <row r="105" spans="1:21">
      <c r="A105" s="70"/>
      <c r="B105" s="70"/>
      <c r="D105" s="73"/>
      <c r="E105" s="35"/>
      <c r="F105" s="67" t="s">
        <v>26</v>
      </c>
      <c r="G105" s="67" t="s">
        <v>106</v>
      </c>
      <c r="H105" s="67" t="s">
        <v>106</v>
      </c>
      <c r="I105" s="67" t="s">
        <v>106</v>
      </c>
      <c r="J105" s="67" t="s">
        <v>106</v>
      </c>
      <c r="K105" s="67" t="s">
        <v>106</v>
      </c>
      <c r="L105" s="67" t="s">
        <v>106</v>
      </c>
      <c r="M105" s="67" t="s">
        <v>106</v>
      </c>
      <c r="N105" s="67" t="s">
        <v>106</v>
      </c>
      <c r="O105" s="67" t="s">
        <v>106</v>
      </c>
      <c r="P105" s="67" t="s">
        <v>106</v>
      </c>
      <c r="Q105" s="67" t="s">
        <v>106</v>
      </c>
      <c r="R105" s="67" t="s">
        <v>106</v>
      </c>
      <c r="S105" s="68" t="s">
        <v>106</v>
      </c>
      <c r="T105" s="67" t="s">
        <v>106</v>
      </c>
      <c r="U105" s="68" t="s">
        <v>106</v>
      </c>
    </row>
    <row r="106" spans="1:21">
      <c r="A106" s="70"/>
      <c r="B106" s="70"/>
      <c r="D106" s="75">
        <f>+D89+D102+D104</f>
        <v>2059076832</v>
      </c>
      <c r="E106" s="35"/>
      <c r="F106" s="75">
        <f t="shared" ref="F106:U106" si="72">+F89+F102+F104</f>
        <v>765665413.33333349</v>
      </c>
      <c r="G106" s="75">
        <f t="shared" si="72"/>
        <v>34852411.69444444</v>
      </c>
      <c r="H106" s="75">
        <f t="shared" si="72"/>
        <v>34852411.69444444</v>
      </c>
      <c r="I106" s="75">
        <f t="shared" si="72"/>
        <v>34852411.69444444</v>
      </c>
      <c r="J106" s="75">
        <f t="shared" si="72"/>
        <v>34852411.69444444</v>
      </c>
      <c r="K106" s="75">
        <f t="shared" si="72"/>
        <v>34852411.69444444</v>
      </c>
      <c r="L106" s="75">
        <f t="shared" si="72"/>
        <v>34852411.69444444</v>
      </c>
      <c r="M106" s="75">
        <f t="shared" si="72"/>
        <v>34852411.69444444</v>
      </c>
      <c r="N106" s="75">
        <f t="shared" si="72"/>
        <v>34852411.69444444</v>
      </c>
      <c r="O106" s="75">
        <f t="shared" si="72"/>
        <v>34852411.69444444</v>
      </c>
      <c r="P106" s="75">
        <f t="shared" si="72"/>
        <v>34852411.69444444</v>
      </c>
      <c r="Q106" s="75">
        <f t="shared" si="72"/>
        <v>34852411.69444444</v>
      </c>
      <c r="R106" s="75">
        <f t="shared" si="72"/>
        <v>34852411.69444444</v>
      </c>
      <c r="S106" s="75">
        <f t="shared" si="72"/>
        <v>418228940.33333337</v>
      </c>
      <c r="T106" s="75">
        <f t="shared" si="72"/>
        <v>1183894353.6666665</v>
      </c>
      <c r="U106" s="75">
        <f t="shared" si="72"/>
        <v>875182478.33333325</v>
      </c>
    </row>
    <row r="107" spans="1:21">
      <c r="A107" s="70"/>
      <c r="B107" s="70"/>
      <c r="D107" s="75"/>
      <c r="E107" s="3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spans="1:21">
      <c r="A108" s="70"/>
      <c r="B108" s="70"/>
      <c r="D108" s="75" t="s">
        <v>26</v>
      </c>
      <c r="E108" s="35"/>
      <c r="F108" s="75"/>
      <c r="G108" s="75">
        <f>+G106</f>
        <v>34852411.69444444</v>
      </c>
      <c r="H108" s="75">
        <f>+G108+H106</f>
        <v>69704823.388888881</v>
      </c>
      <c r="I108" s="75">
        <f t="shared" ref="I108:R108" si="73">+H108+I106</f>
        <v>104557235.08333331</v>
      </c>
      <c r="J108" s="75">
        <f t="shared" si="73"/>
        <v>139409646.77777776</v>
      </c>
      <c r="K108" s="75">
        <f t="shared" si="73"/>
        <v>174262058.47222221</v>
      </c>
      <c r="L108" s="75">
        <f t="shared" si="73"/>
        <v>209114470.16666666</v>
      </c>
      <c r="M108" s="75">
        <f t="shared" si="73"/>
        <v>243966881.8611111</v>
      </c>
      <c r="N108" s="75">
        <f t="shared" si="73"/>
        <v>278819293.55555552</v>
      </c>
      <c r="O108" s="75">
        <f t="shared" si="73"/>
        <v>313671705.24999994</v>
      </c>
      <c r="P108" s="75">
        <f t="shared" si="73"/>
        <v>348524116.94444436</v>
      </c>
      <c r="Q108" s="75">
        <f t="shared" si="73"/>
        <v>383376528.63888878</v>
      </c>
      <c r="R108" s="75">
        <f t="shared" si="73"/>
        <v>418228940.33333319</v>
      </c>
      <c r="S108" s="75"/>
      <c r="T108" s="75"/>
      <c r="U108" s="75"/>
    </row>
    <row r="109" spans="1:21">
      <c r="D109" s="76" t="s">
        <v>106</v>
      </c>
      <c r="E109" s="35"/>
      <c r="F109" s="66"/>
      <c r="G109" s="68"/>
      <c r="H109" s="68"/>
      <c r="I109" s="68"/>
      <c r="J109" s="68"/>
      <c r="K109" s="68"/>
      <c r="L109" s="68"/>
      <c r="M109" s="77" t="s">
        <v>106</v>
      </c>
      <c r="N109" s="68"/>
      <c r="O109" s="68"/>
      <c r="P109" s="68"/>
      <c r="Q109" s="68"/>
      <c r="R109" s="68" t="s">
        <v>106</v>
      </c>
      <c r="S109" s="77" t="s">
        <v>106</v>
      </c>
      <c r="T109" s="77" t="s">
        <v>106</v>
      </c>
      <c r="U109" s="77" t="s">
        <v>106</v>
      </c>
    </row>
    <row r="110" spans="1:21">
      <c r="M110" s="68" t="s">
        <v>26</v>
      </c>
    </row>
    <row r="114" spans="1:21">
      <c r="U114" s="69" t="s">
        <v>106</v>
      </c>
    </row>
    <row r="126" spans="1:21">
      <c r="A126" s="62"/>
      <c r="B126" s="62"/>
      <c r="D126" s="71"/>
      <c r="F126" s="67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</row>
    <row r="127" spans="1:21">
      <c r="A127" s="62"/>
      <c r="B127" s="62"/>
      <c r="D127" s="71"/>
      <c r="F127" s="67"/>
    </row>
    <row r="128" spans="1:21">
      <c r="A128" s="62"/>
      <c r="B128" s="62"/>
      <c r="D128" s="71"/>
      <c r="F128" s="67"/>
    </row>
    <row r="129" spans="4:6">
      <c r="D129" s="71"/>
      <c r="F129" s="67"/>
    </row>
    <row r="130" spans="4:6">
      <c r="D130" s="71"/>
      <c r="F130" s="67"/>
    </row>
    <row r="131" spans="4:6">
      <c r="D131" s="71"/>
      <c r="F131" s="67"/>
    </row>
    <row r="132" spans="4:6">
      <c r="D132" s="71"/>
      <c r="F132" s="67"/>
    </row>
    <row r="133" spans="4:6">
      <c r="D133" s="71"/>
      <c r="F133" s="67"/>
    </row>
    <row r="134" spans="4:6">
      <c r="D134" s="56"/>
      <c r="F134" s="67"/>
    </row>
    <row r="135" spans="4:6">
      <c r="D135" s="56"/>
      <c r="F135" s="67"/>
    </row>
    <row r="136" spans="4:6">
      <c r="D136" s="56"/>
      <c r="F136" s="67"/>
    </row>
    <row r="137" spans="4:6">
      <c r="D137" s="56"/>
      <c r="F137" s="67"/>
    </row>
    <row r="138" spans="4:6">
      <c r="D138" s="56"/>
      <c r="F138" s="67"/>
    </row>
    <row r="139" spans="4:6">
      <c r="D139" s="56"/>
      <c r="F139" s="67"/>
    </row>
    <row r="140" spans="4:6">
      <c r="D140" s="56"/>
      <c r="F140" s="67"/>
    </row>
    <row r="141" spans="4:6">
      <c r="D141" s="56"/>
      <c r="F141" s="67"/>
    </row>
    <row r="142" spans="4:6">
      <c r="D142" s="56"/>
    </row>
    <row r="143" spans="4:6">
      <c r="D143" s="56"/>
    </row>
    <row r="144" spans="4:6">
      <c r="D144" s="56"/>
    </row>
    <row r="145" spans="4:4">
      <c r="D145" s="56"/>
    </row>
    <row r="146" spans="4:4">
      <c r="D146" s="56"/>
    </row>
    <row r="147" spans="4:4">
      <c r="D147" s="56"/>
    </row>
  </sheetData>
  <printOptions horizontalCentered="1" verticalCentered="1"/>
  <pageMargins left="0.75000000000000011" right="0.75000000000000011" top="1" bottom="1" header="0.5" footer="0.5"/>
  <pageSetup paperSize="9" scale="45" orientation="landscape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6"/>
  <sheetViews>
    <sheetView topLeftCell="D233" zoomScale="108" zoomScaleNormal="98" workbookViewId="0">
      <selection activeCell="D261" sqref="D261"/>
    </sheetView>
  </sheetViews>
  <sheetFormatPr defaultColWidth="9.109375" defaultRowHeight="15.75"/>
  <cols>
    <col min="1" max="1" width="24.44140625" style="26" customWidth="1"/>
    <col min="2" max="2" width="11.109375" style="26" customWidth="1"/>
    <col min="3" max="3" width="29.33203125" style="17" customWidth="1"/>
    <col min="4" max="4" width="67" style="17" customWidth="1"/>
    <col min="5" max="5" width="21.77734375" style="131" customWidth="1"/>
    <col min="6" max="6" width="27.6640625" style="17" customWidth="1"/>
    <col min="7" max="7" width="65.6640625" style="17" customWidth="1"/>
    <col min="8" max="8" width="2.77734375" style="19" customWidth="1"/>
    <col min="9" max="9" width="20.33203125" style="18" customWidth="1"/>
    <col min="10" max="10" width="18.77734375" style="18" customWidth="1"/>
    <col min="11" max="11" width="20.77734375" style="18" customWidth="1"/>
    <col min="12" max="12" width="17" style="18" customWidth="1"/>
    <col min="13" max="14" width="19.33203125" style="18" customWidth="1"/>
    <col min="15" max="15" width="17" style="18" customWidth="1"/>
    <col min="16" max="16" width="19.6640625" style="18" customWidth="1"/>
    <col min="17" max="17" width="18.33203125" style="18" customWidth="1"/>
    <col min="18" max="18" width="1.77734375" style="18" customWidth="1"/>
    <col min="19" max="19" width="19.77734375" style="18" customWidth="1"/>
    <col min="20" max="20" width="29.6640625" style="38" customWidth="1"/>
    <col min="21" max="21" width="12.44140625" style="19" bestFit="1" customWidth="1"/>
    <col min="22" max="16384" width="9.109375" style="19"/>
  </cols>
  <sheetData>
    <row r="1" spans="1:20">
      <c r="E1" s="131" t="s">
        <v>26</v>
      </c>
      <c r="J1" s="18" t="s">
        <v>26</v>
      </c>
      <c r="K1" s="18" t="s">
        <v>26</v>
      </c>
      <c r="P1" s="18" t="s">
        <v>26</v>
      </c>
    </row>
    <row r="2" spans="1:20">
      <c r="A2" s="59"/>
      <c r="B2" s="59"/>
      <c r="E2" s="132"/>
      <c r="I2" s="379" t="s">
        <v>7175</v>
      </c>
      <c r="J2" s="379"/>
      <c r="K2" s="379"/>
      <c r="L2" s="379"/>
      <c r="M2" s="379"/>
      <c r="N2" s="379"/>
      <c r="O2" s="379"/>
      <c r="P2" s="379"/>
      <c r="Q2" s="379"/>
      <c r="S2" s="121" t="s">
        <v>92</v>
      </c>
    </row>
    <row r="3" spans="1:20" s="24" customFormat="1">
      <c r="A3" s="22" t="s">
        <v>37</v>
      </c>
      <c r="B3" s="22" t="s">
        <v>38</v>
      </c>
      <c r="C3" s="23" t="s">
        <v>39</v>
      </c>
      <c r="D3" s="23" t="s">
        <v>40</v>
      </c>
      <c r="E3" s="133" t="s">
        <v>41</v>
      </c>
      <c r="F3" s="23"/>
      <c r="G3" s="23"/>
      <c r="I3" s="121" t="s">
        <v>486</v>
      </c>
      <c r="J3" s="121" t="s">
        <v>457</v>
      </c>
      <c r="K3" s="121" t="s">
        <v>5973</v>
      </c>
      <c r="L3" s="121" t="s">
        <v>42</v>
      </c>
      <c r="M3" s="121" t="s">
        <v>456</v>
      </c>
      <c r="N3" s="121" t="s">
        <v>455</v>
      </c>
      <c r="O3" s="121" t="s">
        <v>43</v>
      </c>
      <c r="P3" s="121" t="s">
        <v>44</v>
      </c>
      <c r="Q3" s="121" t="s">
        <v>7859</v>
      </c>
      <c r="R3" s="25"/>
      <c r="S3" s="121" t="s">
        <v>41</v>
      </c>
      <c r="T3" s="27"/>
    </row>
    <row r="4" spans="1:20" s="29" customFormat="1" ht="15" customHeight="1">
      <c r="A4" s="16" t="s">
        <v>24</v>
      </c>
      <c r="B4" s="26" t="s">
        <v>26</v>
      </c>
      <c r="C4" s="17" t="s">
        <v>45</v>
      </c>
      <c r="D4" s="17" t="s">
        <v>46</v>
      </c>
      <c r="E4" s="28">
        <v>0</v>
      </c>
      <c r="F4" s="17"/>
      <c r="G4" s="17"/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1249350000</v>
      </c>
      <c r="Q4" s="18">
        <v>0</v>
      </c>
      <c r="R4" s="21"/>
      <c r="S4" s="18">
        <f t="shared" ref="S4:S36" si="0">E4+I4+J4+K4+L4+M4+N4+O4+P4</f>
        <v>1249350000</v>
      </c>
      <c r="T4" s="30"/>
    </row>
    <row r="5" spans="1:20" s="29" customFormat="1" ht="15" customHeight="1">
      <c r="A5" s="16" t="s">
        <v>24</v>
      </c>
      <c r="B5" s="26" t="s">
        <v>26</v>
      </c>
      <c r="C5" s="17" t="s">
        <v>25</v>
      </c>
      <c r="D5" s="17" t="s">
        <v>46</v>
      </c>
      <c r="E5" s="28">
        <v>15566611</v>
      </c>
      <c r="F5" s="17"/>
      <c r="G5" s="17"/>
      <c r="I5" s="18">
        <v>433389</v>
      </c>
      <c r="J5" s="18">
        <v>50000000</v>
      </c>
      <c r="K5" s="18">
        <f>-50000000-1056500</f>
        <v>-51056500</v>
      </c>
      <c r="L5" s="18">
        <v>0</v>
      </c>
      <c r="M5" s="18">
        <v>0</v>
      </c>
      <c r="N5" s="18">
        <v>0</v>
      </c>
      <c r="O5" s="18">
        <v>0</v>
      </c>
      <c r="P5" s="18">
        <v>1000536500</v>
      </c>
      <c r="Q5" s="18">
        <v>0</v>
      </c>
      <c r="R5" s="21"/>
      <c r="S5" s="18">
        <f t="shared" si="0"/>
        <v>1015480000</v>
      </c>
      <c r="T5" s="31" t="s">
        <v>26</v>
      </c>
    </row>
    <row r="6" spans="1:20" s="29" customFormat="1" ht="15" customHeight="1">
      <c r="A6" s="16" t="s">
        <v>24</v>
      </c>
      <c r="B6" s="26" t="s">
        <v>26</v>
      </c>
      <c r="C6" s="17" t="s">
        <v>47</v>
      </c>
      <c r="D6" s="17" t="s">
        <v>46</v>
      </c>
      <c r="E6" s="32">
        <v>0</v>
      </c>
      <c r="F6" s="17"/>
      <c r="G6" s="17"/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21"/>
      <c r="S6" s="18">
        <f t="shared" si="0"/>
        <v>0</v>
      </c>
      <c r="T6" s="33" t="s">
        <v>26</v>
      </c>
    </row>
    <row r="7" spans="1:20" s="29" customFormat="1" ht="15" customHeight="1">
      <c r="A7" s="16" t="s">
        <v>24</v>
      </c>
      <c r="B7" s="26" t="s">
        <v>26</v>
      </c>
      <c r="C7" s="17" t="s">
        <v>4101</v>
      </c>
      <c r="D7" s="17" t="s">
        <v>46</v>
      </c>
      <c r="E7" s="32">
        <v>0</v>
      </c>
      <c r="F7" s="17"/>
      <c r="G7" s="17"/>
      <c r="I7" s="18">
        <v>0</v>
      </c>
      <c r="J7" s="18">
        <v>342000000</v>
      </c>
      <c r="K7" s="18">
        <v>12600000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21"/>
      <c r="S7" s="18">
        <f t="shared" si="0"/>
        <v>354600000</v>
      </c>
      <c r="T7" s="33" t="s">
        <v>26</v>
      </c>
    </row>
    <row r="8" spans="1:20" s="29" customFormat="1" ht="15" customHeight="1">
      <c r="A8" s="16" t="s">
        <v>24</v>
      </c>
      <c r="B8" s="26" t="s">
        <v>26</v>
      </c>
      <c r="C8" s="17" t="s">
        <v>48</v>
      </c>
      <c r="D8" s="17" t="s">
        <v>46</v>
      </c>
      <c r="E8" s="18">
        <v>0</v>
      </c>
      <c r="F8" s="17"/>
      <c r="G8" s="17"/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21"/>
      <c r="S8" s="18">
        <f t="shared" si="0"/>
        <v>0</v>
      </c>
      <c r="T8" s="30"/>
    </row>
    <row r="9" spans="1:20" s="20" customFormat="1" ht="15.95" customHeight="1">
      <c r="A9" s="34" t="s">
        <v>50</v>
      </c>
      <c r="B9" s="35" t="s">
        <v>26</v>
      </c>
      <c r="C9" s="17" t="s">
        <v>100</v>
      </c>
      <c r="D9" s="17" t="s">
        <v>26</v>
      </c>
      <c r="E9" s="18">
        <v>0</v>
      </c>
      <c r="F9" s="17" t="s">
        <v>26</v>
      </c>
      <c r="G9" s="17"/>
      <c r="H9" s="19"/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25221305</v>
      </c>
      <c r="Q9" s="18">
        <v>0</v>
      </c>
      <c r="R9" s="18"/>
      <c r="S9" s="18">
        <f t="shared" si="0"/>
        <v>25221305</v>
      </c>
    </row>
    <row r="10" spans="1:20" s="20" customFormat="1" ht="15.95" customHeight="1">
      <c r="A10" s="34" t="s">
        <v>50</v>
      </c>
      <c r="B10" s="35" t="s">
        <v>26</v>
      </c>
      <c r="C10" s="17" t="s">
        <v>368</v>
      </c>
      <c r="D10" s="17" t="s">
        <v>26</v>
      </c>
      <c r="E10" s="18">
        <v>121566475</v>
      </c>
      <c r="F10" s="17" t="s">
        <v>26</v>
      </c>
      <c r="G10" s="17"/>
      <c r="H10" s="19"/>
      <c r="I10" s="18">
        <v>0</v>
      </c>
      <c r="J10" s="18">
        <v>0</v>
      </c>
      <c r="K10" s="18">
        <v>-121566475</v>
      </c>
      <c r="L10" s="18">
        <v>0</v>
      </c>
      <c r="M10" s="18">
        <v>0</v>
      </c>
      <c r="N10" s="18">
        <v>0</v>
      </c>
      <c r="O10" s="18">
        <v>0</v>
      </c>
      <c r="P10" s="18">
        <v>180036770</v>
      </c>
      <c r="Q10" s="18">
        <v>0</v>
      </c>
      <c r="R10" s="18"/>
      <c r="S10" s="18">
        <f t="shared" si="0"/>
        <v>180036770</v>
      </c>
    </row>
    <row r="11" spans="1:20" s="20" customFormat="1" ht="15.95" customHeight="1">
      <c r="A11" s="34" t="s">
        <v>50</v>
      </c>
      <c r="B11" s="35" t="s">
        <v>26</v>
      </c>
      <c r="C11" s="17" t="s">
        <v>51</v>
      </c>
      <c r="D11" s="17" t="s">
        <v>26</v>
      </c>
      <c r="E11" s="18">
        <v>49811936</v>
      </c>
      <c r="F11" s="17" t="s">
        <v>26</v>
      </c>
      <c r="G11" s="17"/>
      <c r="H11" s="19"/>
      <c r="I11" s="18">
        <v>0</v>
      </c>
      <c r="J11" s="18">
        <v>0</v>
      </c>
      <c r="K11" s="18">
        <v>-49811936</v>
      </c>
      <c r="L11" s="18">
        <v>0</v>
      </c>
      <c r="M11" s="18">
        <v>0</v>
      </c>
      <c r="N11" s="18">
        <v>0</v>
      </c>
      <c r="O11" s="18">
        <v>0</v>
      </c>
      <c r="P11" s="18">
        <v>48200000</v>
      </c>
      <c r="Q11" s="18">
        <v>0</v>
      </c>
      <c r="R11" s="18"/>
      <c r="S11" s="18">
        <f t="shared" si="0"/>
        <v>48200000</v>
      </c>
    </row>
    <row r="12" spans="1:20" s="20" customFormat="1" ht="15.95" customHeight="1">
      <c r="A12" s="34" t="s">
        <v>50</v>
      </c>
      <c r="B12" s="35" t="s">
        <v>26</v>
      </c>
      <c r="C12" s="17" t="s">
        <v>247</v>
      </c>
      <c r="D12" s="17" t="s">
        <v>26</v>
      </c>
      <c r="E12" s="18">
        <v>154034667</v>
      </c>
      <c r="F12" s="17" t="s">
        <v>26</v>
      </c>
      <c r="G12" s="17"/>
      <c r="H12" s="19"/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-154034667</v>
      </c>
      <c r="O12" s="18">
        <v>0</v>
      </c>
      <c r="P12" s="18">
        <v>26924174</v>
      </c>
      <c r="Q12" s="18">
        <v>0</v>
      </c>
      <c r="R12" s="18"/>
      <c r="S12" s="18">
        <f t="shared" si="0"/>
        <v>26924174</v>
      </c>
    </row>
    <row r="13" spans="1:20" s="20" customFormat="1" ht="15.95" customHeight="1">
      <c r="A13" s="34" t="s">
        <v>50</v>
      </c>
      <c r="B13" s="35" t="s">
        <v>26</v>
      </c>
      <c r="C13" s="17" t="s">
        <v>4817</v>
      </c>
      <c r="D13" s="17" t="s">
        <v>26</v>
      </c>
      <c r="E13" s="18">
        <v>0</v>
      </c>
      <c r="F13" s="17" t="s">
        <v>26</v>
      </c>
      <c r="G13" s="17"/>
      <c r="H13" s="19"/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109792173</v>
      </c>
      <c r="Q13" s="18">
        <v>0</v>
      </c>
      <c r="R13" s="18"/>
      <c r="S13" s="18">
        <f t="shared" si="0"/>
        <v>109792173</v>
      </c>
    </row>
    <row r="14" spans="1:20" s="20" customFormat="1" ht="15.95" customHeight="1">
      <c r="A14" s="117" t="s">
        <v>101</v>
      </c>
      <c r="B14" s="35" t="s">
        <v>26</v>
      </c>
      <c r="C14" s="17" t="s">
        <v>6576</v>
      </c>
      <c r="D14" s="118" t="s">
        <v>6295</v>
      </c>
      <c r="E14" s="18">
        <v>0</v>
      </c>
      <c r="F14" s="17" t="s">
        <v>26</v>
      </c>
      <c r="G14" s="17"/>
      <c r="H14" s="19"/>
      <c r="I14" s="18">
        <v>13000000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/>
      <c r="S14" s="18">
        <f t="shared" si="0"/>
        <v>13000000</v>
      </c>
    </row>
    <row r="15" spans="1:20" s="20" customFormat="1" ht="15.95" customHeight="1">
      <c r="A15" s="117" t="s">
        <v>101</v>
      </c>
      <c r="B15" s="35" t="s">
        <v>26</v>
      </c>
      <c r="C15" s="17" t="s">
        <v>6576</v>
      </c>
      <c r="D15" s="118" t="s">
        <v>6296</v>
      </c>
      <c r="E15" s="18">
        <v>0</v>
      </c>
      <c r="F15" s="17" t="s">
        <v>26</v>
      </c>
      <c r="G15" s="17"/>
      <c r="H15" s="19"/>
      <c r="I15" s="18">
        <v>135000000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/>
      <c r="S15" s="18">
        <f t="shared" si="0"/>
        <v>135000000</v>
      </c>
    </row>
    <row r="16" spans="1:20" s="20" customFormat="1" ht="15.95" customHeight="1">
      <c r="A16" s="117" t="s">
        <v>101</v>
      </c>
      <c r="B16" s="35" t="s">
        <v>26</v>
      </c>
      <c r="C16" s="17" t="s">
        <v>6576</v>
      </c>
      <c r="D16" s="118" t="s">
        <v>6297</v>
      </c>
      <c r="E16" s="18">
        <v>0</v>
      </c>
      <c r="F16" s="17" t="s">
        <v>26</v>
      </c>
      <c r="G16" s="17"/>
      <c r="H16" s="19"/>
      <c r="I16" s="18">
        <v>25064000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/>
      <c r="S16" s="18">
        <f t="shared" si="0"/>
        <v>25064000</v>
      </c>
    </row>
    <row r="17" spans="1:19" s="20" customFormat="1" ht="15.95" customHeight="1">
      <c r="A17" s="117" t="s">
        <v>101</v>
      </c>
      <c r="B17" s="35" t="s">
        <v>26</v>
      </c>
      <c r="C17" s="17" t="s">
        <v>6576</v>
      </c>
      <c r="D17" s="118" t="s">
        <v>6298</v>
      </c>
      <c r="E17" s="18">
        <v>0</v>
      </c>
      <c r="F17" s="17" t="s">
        <v>26</v>
      </c>
      <c r="G17" s="17"/>
      <c r="H17" s="19"/>
      <c r="I17" s="18">
        <v>134757000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/>
      <c r="S17" s="18">
        <f t="shared" si="0"/>
        <v>134757000</v>
      </c>
    </row>
    <row r="18" spans="1:19" s="20" customFormat="1" ht="15.95" customHeight="1">
      <c r="A18" s="117" t="s">
        <v>101</v>
      </c>
      <c r="B18" s="35" t="s">
        <v>26</v>
      </c>
      <c r="C18" s="17" t="s">
        <v>6576</v>
      </c>
      <c r="D18" s="118" t="s">
        <v>6298</v>
      </c>
      <c r="E18" s="18">
        <v>0</v>
      </c>
      <c r="F18" s="17" t="s">
        <v>26</v>
      </c>
      <c r="G18" s="17"/>
      <c r="H18" s="19"/>
      <c r="I18" s="18">
        <v>243000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/>
      <c r="S18" s="18">
        <f t="shared" si="0"/>
        <v>243000</v>
      </c>
    </row>
    <row r="19" spans="1:19" s="20" customFormat="1" ht="15.95" customHeight="1">
      <c r="A19" s="117" t="s">
        <v>101</v>
      </c>
      <c r="B19" s="35" t="s">
        <v>26</v>
      </c>
      <c r="C19" s="17" t="s">
        <v>6576</v>
      </c>
      <c r="D19" s="118" t="s">
        <v>6297</v>
      </c>
      <c r="E19" s="18">
        <v>0</v>
      </c>
      <c r="F19" s="17" t="s">
        <v>26</v>
      </c>
      <c r="G19" s="17"/>
      <c r="H19" s="19"/>
      <c r="I19" s="18">
        <v>106060000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/>
      <c r="S19" s="18">
        <f t="shared" si="0"/>
        <v>106060000</v>
      </c>
    </row>
    <row r="20" spans="1:19" s="20" customFormat="1" ht="15.95" customHeight="1">
      <c r="A20" s="117" t="s">
        <v>101</v>
      </c>
      <c r="B20" s="35" t="s">
        <v>26</v>
      </c>
      <c r="C20" s="17" t="s">
        <v>6576</v>
      </c>
      <c r="D20" s="118" t="s">
        <v>6295</v>
      </c>
      <c r="E20" s="18">
        <v>0</v>
      </c>
      <c r="F20" s="17" t="s">
        <v>26</v>
      </c>
      <c r="G20" s="17"/>
      <c r="H20" s="19"/>
      <c r="I20" s="18">
        <v>79650000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/>
      <c r="S20" s="18">
        <f t="shared" si="0"/>
        <v>79650000</v>
      </c>
    </row>
    <row r="21" spans="1:19" s="20" customFormat="1" ht="15.95" customHeight="1">
      <c r="A21" s="117" t="s">
        <v>101</v>
      </c>
      <c r="B21" s="35" t="s">
        <v>26</v>
      </c>
      <c r="C21" s="17" t="s">
        <v>6576</v>
      </c>
      <c r="D21" s="118" t="s">
        <v>6295</v>
      </c>
      <c r="E21" s="18">
        <v>0</v>
      </c>
      <c r="F21" s="17" t="s">
        <v>26</v>
      </c>
      <c r="G21" s="17"/>
      <c r="H21" s="19"/>
      <c r="I21" s="18">
        <v>42350000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/>
      <c r="S21" s="18">
        <f t="shared" si="0"/>
        <v>42350000</v>
      </c>
    </row>
    <row r="22" spans="1:19" s="20" customFormat="1" ht="15.95" customHeight="1">
      <c r="A22" s="117" t="s">
        <v>101</v>
      </c>
      <c r="B22" s="35" t="s">
        <v>26</v>
      </c>
      <c r="C22" s="17" t="s">
        <v>6576</v>
      </c>
      <c r="D22" s="118" t="s">
        <v>6299</v>
      </c>
      <c r="E22" s="18">
        <v>0</v>
      </c>
      <c r="F22" s="17" t="s">
        <v>26</v>
      </c>
      <c r="G22" s="17"/>
      <c r="H22" s="19"/>
      <c r="I22" s="18">
        <v>135000000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/>
      <c r="S22" s="18">
        <f t="shared" si="0"/>
        <v>135000000</v>
      </c>
    </row>
    <row r="23" spans="1:19" s="20" customFormat="1" ht="15.95" customHeight="1">
      <c r="A23" s="117" t="s">
        <v>101</v>
      </c>
      <c r="B23" s="35" t="s">
        <v>26</v>
      </c>
      <c r="C23" s="17" t="s">
        <v>6576</v>
      </c>
      <c r="D23" s="118" t="s">
        <v>6300</v>
      </c>
      <c r="E23" s="18">
        <v>0</v>
      </c>
      <c r="F23" s="17" t="s">
        <v>26</v>
      </c>
      <c r="G23" s="17"/>
      <c r="H23" s="19"/>
      <c r="I23" s="18">
        <v>28431000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/>
      <c r="S23" s="18">
        <f t="shared" si="0"/>
        <v>28431000</v>
      </c>
    </row>
    <row r="24" spans="1:19" s="20" customFormat="1" ht="15.95" customHeight="1">
      <c r="A24" s="117" t="s">
        <v>101</v>
      </c>
      <c r="B24" s="35" t="s">
        <v>26</v>
      </c>
      <c r="C24" s="17" t="s">
        <v>6576</v>
      </c>
      <c r="D24" s="118" t="s">
        <v>6301</v>
      </c>
      <c r="E24" s="18">
        <v>0</v>
      </c>
      <c r="F24" s="17" t="s">
        <v>26</v>
      </c>
      <c r="G24" s="17"/>
      <c r="H24" s="19"/>
      <c r="I24" s="18">
        <v>100845000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/>
      <c r="S24" s="18">
        <f t="shared" si="0"/>
        <v>100845000</v>
      </c>
    </row>
    <row r="25" spans="1:19" s="20" customFormat="1" ht="15.95" customHeight="1">
      <c r="A25" s="117" t="s">
        <v>101</v>
      </c>
      <c r="B25" s="35" t="s">
        <v>26</v>
      </c>
      <c r="C25" s="17" t="s">
        <v>6576</v>
      </c>
      <c r="D25" s="118" t="s">
        <v>6302</v>
      </c>
      <c r="E25" s="18">
        <v>0</v>
      </c>
      <c r="F25" s="17" t="s">
        <v>26</v>
      </c>
      <c r="G25" s="17"/>
      <c r="H25" s="19"/>
      <c r="I25" s="18">
        <v>135000000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/>
      <c r="S25" s="18">
        <f t="shared" si="0"/>
        <v>135000000</v>
      </c>
    </row>
    <row r="26" spans="1:19" s="20" customFormat="1" ht="15.95" customHeight="1">
      <c r="A26" s="117" t="s">
        <v>101</v>
      </c>
      <c r="B26" s="35" t="s">
        <v>26</v>
      </c>
      <c r="C26" s="17" t="s">
        <v>6576</v>
      </c>
      <c r="D26" s="118" t="s">
        <v>6300</v>
      </c>
      <c r="E26" s="18">
        <v>0</v>
      </c>
      <c r="F26" s="17" t="s">
        <v>26</v>
      </c>
      <c r="G26" s="17"/>
      <c r="H26" s="19"/>
      <c r="I26" s="18">
        <v>106569000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/>
      <c r="S26" s="18">
        <f t="shared" si="0"/>
        <v>106569000</v>
      </c>
    </row>
    <row r="27" spans="1:19" s="20" customFormat="1" ht="15.95" customHeight="1">
      <c r="A27" s="117" t="s">
        <v>101</v>
      </c>
      <c r="B27" s="35" t="s">
        <v>26</v>
      </c>
      <c r="C27" s="17" t="s">
        <v>6576</v>
      </c>
      <c r="D27" s="118" t="s">
        <v>6301</v>
      </c>
      <c r="E27" s="18">
        <v>0</v>
      </c>
      <c r="F27" s="17" t="s">
        <v>26</v>
      </c>
      <c r="G27" s="17"/>
      <c r="H27" s="19"/>
      <c r="I27" s="18">
        <v>34155000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/>
      <c r="S27" s="18">
        <f t="shared" si="0"/>
        <v>34155000</v>
      </c>
    </row>
    <row r="28" spans="1:19" s="20" customFormat="1" ht="15.95" customHeight="1">
      <c r="A28" s="117" t="s">
        <v>101</v>
      </c>
      <c r="B28" s="35" t="s">
        <v>26</v>
      </c>
      <c r="C28" s="17" t="s">
        <v>6576</v>
      </c>
      <c r="D28" s="118" t="s">
        <v>6303</v>
      </c>
      <c r="E28" s="18">
        <v>0</v>
      </c>
      <c r="F28" s="17" t="s">
        <v>26</v>
      </c>
      <c r="G28" s="17"/>
      <c r="H28" s="19"/>
      <c r="I28" s="18">
        <v>135000000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/>
      <c r="S28" s="18">
        <f t="shared" si="0"/>
        <v>135000000</v>
      </c>
    </row>
    <row r="29" spans="1:19" s="20" customFormat="1" ht="15.95" customHeight="1">
      <c r="A29" s="117" t="s">
        <v>101</v>
      </c>
      <c r="B29" s="35" t="s">
        <v>26</v>
      </c>
      <c r="C29" s="17" t="s">
        <v>6576</v>
      </c>
      <c r="D29" s="118" t="s">
        <v>6304</v>
      </c>
      <c r="E29" s="18">
        <v>0</v>
      </c>
      <c r="F29" s="17" t="s">
        <v>26</v>
      </c>
      <c r="G29" s="17"/>
      <c r="H29" s="19"/>
      <c r="I29" s="18">
        <v>135000000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/>
      <c r="S29" s="18">
        <f t="shared" si="0"/>
        <v>135000000</v>
      </c>
    </row>
    <row r="30" spans="1:19" s="20" customFormat="1" ht="15.95" customHeight="1">
      <c r="A30" s="117" t="s">
        <v>101</v>
      </c>
      <c r="B30" s="35" t="s">
        <v>26</v>
      </c>
      <c r="C30" s="17" t="s">
        <v>6576</v>
      </c>
      <c r="D30" s="118" t="s">
        <v>6305</v>
      </c>
      <c r="E30" s="18">
        <v>0</v>
      </c>
      <c r="F30" s="17" t="s">
        <v>26</v>
      </c>
      <c r="G30" s="17"/>
      <c r="H30" s="19"/>
      <c r="I30" s="18">
        <v>4000000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/>
      <c r="S30" s="18">
        <f t="shared" si="0"/>
        <v>4000000</v>
      </c>
    </row>
    <row r="31" spans="1:19" s="20" customFormat="1" ht="15.95" customHeight="1">
      <c r="A31" s="117" t="s">
        <v>101</v>
      </c>
      <c r="B31" s="35" t="s">
        <v>26</v>
      </c>
      <c r="C31" s="17" t="s">
        <v>6576</v>
      </c>
      <c r="D31" s="118" t="s">
        <v>6305</v>
      </c>
      <c r="E31" s="18">
        <v>0</v>
      </c>
      <c r="F31" s="17" t="s">
        <v>26</v>
      </c>
      <c r="G31" s="17"/>
      <c r="H31" s="19"/>
      <c r="I31" s="18">
        <v>-124000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/>
      <c r="S31" s="18">
        <f t="shared" si="0"/>
        <v>-124000</v>
      </c>
    </row>
    <row r="32" spans="1:19" s="20" customFormat="1" ht="15.95" customHeight="1">
      <c r="A32" s="117" t="s">
        <v>101</v>
      </c>
      <c r="B32" s="35" t="s">
        <v>26</v>
      </c>
      <c r="C32" s="8" t="s">
        <v>6532</v>
      </c>
      <c r="D32" s="118" t="s">
        <v>6531</v>
      </c>
      <c r="E32" s="18">
        <v>0</v>
      </c>
      <c r="F32" s="17" t="s">
        <v>26</v>
      </c>
      <c r="G32" s="17"/>
      <c r="H32" s="19"/>
      <c r="I32" s="18">
        <v>120000000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/>
      <c r="S32" s="18">
        <f t="shared" si="0"/>
        <v>120000000</v>
      </c>
    </row>
    <row r="33" spans="1:21" s="20" customFormat="1" ht="15.95" customHeight="1">
      <c r="A33" s="117" t="s">
        <v>101</v>
      </c>
      <c r="B33" s="35" t="s">
        <v>26</v>
      </c>
      <c r="C33" s="8" t="s">
        <v>6532</v>
      </c>
      <c r="D33" s="118" t="s">
        <v>6538</v>
      </c>
      <c r="E33" s="18">
        <v>0</v>
      </c>
      <c r="F33" s="17" t="s">
        <v>26</v>
      </c>
      <c r="G33" s="17"/>
      <c r="H33" s="19"/>
      <c r="I33" s="18">
        <v>1000000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/>
      <c r="S33" s="18">
        <f t="shared" si="0"/>
        <v>1000000</v>
      </c>
    </row>
    <row r="34" spans="1:21" s="20" customFormat="1" ht="15.95" customHeight="1">
      <c r="A34" s="16" t="s">
        <v>52</v>
      </c>
      <c r="B34" s="36" t="s">
        <v>26</v>
      </c>
      <c r="C34" s="17" t="s">
        <v>26</v>
      </c>
      <c r="D34" s="40" t="s">
        <v>26</v>
      </c>
      <c r="E34" s="18">
        <v>0</v>
      </c>
      <c r="F34" s="17" t="s">
        <v>26</v>
      </c>
      <c r="G34" t="s">
        <v>26</v>
      </c>
      <c r="H34" s="19"/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/>
      <c r="S34" s="18">
        <f t="shared" si="0"/>
        <v>0</v>
      </c>
    </row>
    <row r="35" spans="1:21" s="20" customFormat="1" ht="15.95" customHeight="1">
      <c r="A35" s="117" t="s">
        <v>49</v>
      </c>
      <c r="B35" s="35" t="s">
        <v>26</v>
      </c>
      <c r="C35" s="17" t="s">
        <v>25</v>
      </c>
      <c r="D35" s="17" t="s">
        <v>26</v>
      </c>
      <c r="E35" s="18">
        <v>100000000</v>
      </c>
      <c r="F35" s="17" t="s">
        <v>26</v>
      </c>
      <c r="G35" s="17" t="s">
        <v>26</v>
      </c>
      <c r="H35" s="19"/>
      <c r="I35" s="18">
        <v>-100000000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/>
      <c r="S35" s="18">
        <f t="shared" si="0"/>
        <v>0</v>
      </c>
    </row>
    <row r="36" spans="1:21" s="20" customFormat="1" ht="15.95" customHeight="1">
      <c r="A36" s="117" t="s">
        <v>49</v>
      </c>
      <c r="B36" s="35" t="s">
        <v>26</v>
      </c>
      <c r="C36" s="17" t="s">
        <v>45</v>
      </c>
      <c r="D36" s="17" t="s">
        <v>26</v>
      </c>
      <c r="E36" s="18">
        <v>100000000</v>
      </c>
      <c r="F36" s="17" t="s">
        <v>26</v>
      </c>
      <c r="G36" s="17" t="s">
        <v>26</v>
      </c>
      <c r="H36" s="19"/>
      <c r="I36" s="18">
        <v>-100000000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/>
      <c r="S36" s="18">
        <f t="shared" si="0"/>
        <v>0</v>
      </c>
    </row>
    <row r="37" spans="1:21" ht="15.95" customHeight="1">
      <c r="A37" s="117" t="s">
        <v>53</v>
      </c>
      <c r="B37" s="36" t="s">
        <v>26</v>
      </c>
      <c r="C37" s="37" t="s">
        <v>7759</v>
      </c>
      <c r="D37" s="17" t="s">
        <v>2182</v>
      </c>
      <c r="E37" s="18">
        <v>978588</v>
      </c>
      <c r="F37" s="17" t="s">
        <v>26</v>
      </c>
      <c r="G37" s="17" t="s">
        <v>26</v>
      </c>
      <c r="I37" s="18">
        <v>0</v>
      </c>
      <c r="J37" s="114">
        <v>0</v>
      </c>
      <c r="K37" s="18">
        <v>-978588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S37" s="18">
        <f t="shared" ref="S37:S50" si="1">E37+SUM(I37:Q37)</f>
        <v>0</v>
      </c>
      <c r="T37" s="20"/>
    </row>
    <row r="38" spans="1:21" ht="15.95" customHeight="1">
      <c r="A38" s="117" t="s">
        <v>53</v>
      </c>
      <c r="B38" s="36" t="s">
        <v>26</v>
      </c>
      <c r="C38" s="37" t="s">
        <v>7760</v>
      </c>
      <c r="D38" s="17" t="s">
        <v>2182</v>
      </c>
      <c r="E38" s="18">
        <v>0</v>
      </c>
      <c r="F38" s="17" t="s">
        <v>26</v>
      </c>
      <c r="G38" s="17" t="s">
        <v>26</v>
      </c>
      <c r="I38" s="18">
        <v>0</v>
      </c>
      <c r="J38" s="18">
        <v>127688</v>
      </c>
      <c r="K38" s="18">
        <v>1718342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S38" s="18">
        <f t="shared" si="1"/>
        <v>1846030</v>
      </c>
      <c r="T38" s="20"/>
    </row>
    <row r="39" spans="1:21" ht="15.95" customHeight="1">
      <c r="A39" s="117" t="s">
        <v>53</v>
      </c>
      <c r="B39" s="36" t="s">
        <v>26</v>
      </c>
      <c r="C39" s="37" t="s">
        <v>7169</v>
      </c>
      <c r="D39" s="17" t="s">
        <v>7170</v>
      </c>
      <c r="E39" s="18">
        <v>0</v>
      </c>
      <c r="F39" s="17" t="s">
        <v>26</v>
      </c>
      <c r="G39" s="17" t="s">
        <v>26</v>
      </c>
      <c r="I39" s="18">
        <v>0</v>
      </c>
      <c r="J39" s="18">
        <v>7328440</v>
      </c>
      <c r="K39" s="18">
        <v>3450224</v>
      </c>
      <c r="L39" s="18">
        <v>0</v>
      </c>
      <c r="M39" s="18">
        <v>0</v>
      </c>
      <c r="N39" s="18">
        <v>0</v>
      </c>
      <c r="O39" s="18">
        <v>0</v>
      </c>
      <c r="P39" s="18">
        <v>546599</v>
      </c>
      <c r="Q39" s="18">
        <v>0</v>
      </c>
      <c r="S39" s="18">
        <f t="shared" si="1"/>
        <v>11325263</v>
      </c>
      <c r="T39" s="20"/>
    </row>
    <row r="40" spans="1:21" ht="15.95" customHeight="1">
      <c r="A40" s="117" t="s">
        <v>53</v>
      </c>
      <c r="B40" s="36">
        <v>2023</v>
      </c>
      <c r="C40" s="37" t="s">
        <v>2183</v>
      </c>
      <c r="D40" s="17" t="s">
        <v>5979</v>
      </c>
      <c r="E40" s="18">
        <v>919865320</v>
      </c>
      <c r="F40" s="17" t="s">
        <v>26</v>
      </c>
      <c r="G40" s="17" t="s">
        <v>26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-919865320</v>
      </c>
      <c r="Q40" s="18">
        <v>0</v>
      </c>
      <c r="S40" s="18">
        <f t="shared" si="1"/>
        <v>0</v>
      </c>
      <c r="T40" s="20"/>
    </row>
    <row r="41" spans="1:21" ht="15.95" customHeight="1">
      <c r="A41" s="117" t="s">
        <v>53</v>
      </c>
      <c r="B41" s="36">
        <v>2023</v>
      </c>
      <c r="C41" s="37" t="s">
        <v>2170</v>
      </c>
      <c r="D41" s="17" t="s">
        <v>7172</v>
      </c>
      <c r="E41" s="18">
        <v>0</v>
      </c>
      <c r="F41" s="17" t="s">
        <v>26</v>
      </c>
      <c r="G41" s="17" t="s">
        <v>26</v>
      </c>
      <c r="I41" s="18">
        <v>0</v>
      </c>
      <c r="J41" s="18">
        <v>0</v>
      </c>
      <c r="K41" s="18">
        <v>1801802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S41" s="18">
        <f t="shared" si="1"/>
        <v>1801802</v>
      </c>
      <c r="T41" s="20"/>
    </row>
    <row r="42" spans="1:21" ht="15.95" customHeight="1">
      <c r="A42" s="117" t="s">
        <v>53</v>
      </c>
      <c r="B42" s="36">
        <v>2023</v>
      </c>
      <c r="C42" s="37" t="s">
        <v>2170</v>
      </c>
      <c r="D42" s="17" t="s">
        <v>7171</v>
      </c>
      <c r="E42" s="18">
        <v>0</v>
      </c>
      <c r="F42" s="17" t="s">
        <v>26</v>
      </c>
      <c r="G42" s="17" t="s">
        <v>26</v>
      </c>
      <c r="I42" s="18">
        <v>0</v>
      </c>
      <c r="J42" s="18">
        <v>0</v>
      </c>
      <c r="K42" s="18">
        <v>3603604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S42" s="18">
        <f t="shared" si="1"/>
        <v>3603604</v>
      </c>
      <c r="T42" s="20"/>
    </row>
    <row r="43" spans="1:21" s="20" customFormat="1" ht="15.95" customHeight="1">
      <c r="A43" s="16" t="s">
        <v>53</v>
      </c>
      <c r="B43" s="36">
        <v>2025</v>
      </c>
      <c r="C43" s="37" t="s">
        <v>7882</v>
      </c>
      <c r="D43" s="17" t="s">
        <v>7811</v>
      </c>
      <c r="E43" s="39">
        <v>0</v>
      </c>
      <c r="F43" s="37" t="s">
        <v>26</v>
      </c>
      <c r="G43" s="40" t="s">
        <v>26</v>
      </c>
      <c r="H43" s="40" t="s">
        <v>26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795850</v>
      </c>
      <c r="R43" s="18"/>
      <c r="S43" s="18">
        <f t="shared" si="1"/>
        <v>795850</v>
      </c>
    </row>
    <row r="44" spans="1:21" s="20" customFormat="1" ht="15.95" customHeight="1">
      <c r="A44" s="16" t="s">
        <v>53</v>
      </c>
      <c r="B44" s="36">
        <v>2023</v>
      </c>
      <c r="C44" s="37" t="s">
        <v>7217</v>
      </c>
      <c r="D44" s="37" t="s">
        <v>7748</v>
      </c>
      <c r="E44" s="39">
        <v>19257150</v>
      </c>
      <c r="F44" s="37" t="s">
        <v>26</v>
      </c>
      <c r="G44" s="40" t="s">
        <v>26</v>
      </c>
      <c r="H44" s="40" t="s">
        <v>26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-19257150</v>
      </c>
      <c r="R44" s="18"/>
      <c r="S44" s="18">
        <f t="shared" si="1"/>
        <v>0</v>
      </c>
    </row>
    <row r="45" spans="1:21" s="20" customFormat="1" ht="15.95" customHeight="1">
      <c r="A45" s="16" t="s">
        <v>53</v>
      </c>
      <c r="B45" s="36">
        <v>2024</v>
      </c>
      <c r="C45" s="37" t="s">
        <v>7219</v>
      </c>
      <c r="D45" s="37" t="s">
        <v>7748</v>
      </c>
      <c r="E45" s="39">
        <v>766597874</v>
      </c>
      <c r="F45" s="37" t="s">
        <v>26</v>
      </c>
      <c r="G45" s="40" t="s">
        <v>26</v>
      </c>
      <c r="H45" s="40" t="s">
        <v>26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-735528458</v>
      </c>
      <c r="R45" s="18"/>
      <c r="S45" s="18">
        <f t="shared" si="1"/>
        <v>31069416</v>
      </c>
      <c r="T45" s="137" t="s">
        <v>26</v>
      </c>
      <c r="U45" s="207" t="s">
        <v>26</v>
      </c>
    </row>
    <row r="46" spans="1:21" s="20" customFormat="1" ht="15.95" customHeight="1">
      <c r="A46" s="16" t="s">
        <v>53</v>
      </c>
      <c r="B46" s="36">
        <v>2024</v>
      </c>
      <c r="C46" s="37" t="s">
        <v>7218</v>
      </c>
      <c r="D46" s="37" t="s">
        <v>7748</v>
      </c>
      <c r="E46" s="39">
        <v>2784023038</v>
      </c>
      <c r="F46" s="37" t="s">
        <v>26</v>
      </c>
      <c r="G46" s="40" t="s">
        <v>26</v>
      </c>
      <c r="H46" s="40" t="s">
        <v>26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-2600754620</v>
      </c>
      <c r="R46" s="18"/>
      <c r="S46" s="18">
        <f t="shared" si="1"/>
        <v>183268418</v>
      </c>
      <c r="T46" s="137" t="s">
        <v>26</v>
      </c>
      <c r="U46" s="207" t="s">
        <v>26</v>
      </c>
    </row>
    <row r="47" spans="1:21" s="20" customFormat="1" ht="15.95" customHeight="1">
      <c r="A47" s="16" t="s">
        <v>53</v>
      </c>
      <c r="B47" s="36">
        <v>2025</v>
      </c>
      <c r="C47" s="37" t="s">
        <v>7890</v>
      </c>
      <c r="D47" s="37" t="s">
        <v>7889</v>
      </c>
      <c r="E47" s="39">
        <v>21929331</v>
      </c>
      <c r="F47" s="37" t="s">
        <v>26</v>
      </c>
      <c r="G47" s="40" t="s">
        <v>26</v>
      </c>
      <c r="H47" s="40" t="s">
        <v>26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/>
      <c r="S47" s="18">
        <f t="shared" si="1"/>
        <v>21929331</v>
      </c>
    </row>
    <row r="48" spans="1:21" ht="15.95" customHeight="1">
      <c r="A48" s="117" t="s">
        <v>53</v>
      </c>
      <c r="B48" s="36">
        <v>2023</v>
      </c>
      <c r="C48" s="37" t="s">
        <v>7845</v>
      </c>
      <c r="D48" s="37" t="s">
        <v>7860</v>
      </c>
      <c r="E48" s="18">
        <v>11822877</v>
      </c>
      <c r="F48" s="17" t="s">
        <v>26</v>
      </c>
      <c r="G48" s="17" t="s">
        <v>26</v>
      </c>
      <c r="I48" s="18">
        <v>0</v>
      </c>
      <c r="J48" s="18">
        <v>0</v>
      </c>
      <c r="K48" s="18">
        <v>-11822877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S48" s="18">
        <f t="shared" si="1"/>
        <v>0</v>
      </c>
      <c r="T48" s="20"/>
    </row>
    <row r="49" spans="1:19" s="20" customFormat="1" ht="15.95" customHeight="1">
      <c r="A49" s="16" t="s">
        <v>53</v>
      </c>
      <c r="B49" s="36">
        <v>2025</v>
      </c>
      <c r="C49" s="37" t="s">
        <v>7844</v>
      </c>
      <c r="D49" s="37" t="s">
        <v>7753</v>
      </c>
      <c r="E49" s="39">
        <v>0</v>
      </c>
      <c r="F49" s="37" t="s">
        <v>26</v>
      </c>
      <c r="G49" s="40" t="s">
        <v>26</v>
      </c>
      <c r="H49" s="40" t="s">
        <v>26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16754255</v>
      </c>
      <c r="R49" s="18"/>
      <c r="S49" s="18">
        <f t="shared" si="1"/>
        <v>16754255</v>
      </c>
    </row>
    <row r="50" spans="1:19" s="20" customFormat="1" ht="15.95" customHeight="1">
      <c r="A50" s="16" t="s">
        <v>53</v>
      </c>
      <c r="B50" s="36">
        <v>2025</v>
      </c>
      <c r="C50" s="37" t="s">
        <v>7844</v>
      </c>
      <c r="D50" s="37" t="s">
        <v>7754</v>
      </c>
      <c r="E50" s="39">
        <v>0</v>
      </c>
      <c r="F50" s="37" t="s">
        <v>26</v>
      </c>
      <c r="G50" s="40" t="s">
        <v>26</v>
      </c>
      <c r="H50" s="40" t="s">
        <v>26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14427195</v>
      </c>
      <c r="R50" s="18"/>
      <c r="S50" s="18">
        <f t="shared" si="1"/>
        <v>14427195</v>
      </c>
    </row>
    <row r="51" spans="1:19" s="20" customFormat="1" ht="15.95" customHeight="1">
      <c r="A51" s="16" t="s">
        <v>7</v>
      </c>
      <c r="B51" s="36">
        <v>2018</v>
      </c>
      <c r="C51" s="17" t="s">
        <v>34</v>
      </c>
      <c r="D51" s="17" t="s">
        <v>35</v>
      </c>
      <c r="E51" s="134">
        <v>144630000</v>
      </c>
      <c r="F51" s="17" t="s">
        <v>5</v>
      </c>
      <c r="G51" s="122" t="s">
        <v>36</v>
      </c>
      <c r="H51" s="19"/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-144630000</v>
      </c>
      <c r="Q51" s="18">
        <v>0</v>
      </c>
      <c r="R51" s="18"/>
      <c r="S51" s="114">
        <f t="shared" ref="S51:S82" si="2">E51+I51+J51+K51+L51+M51+N51+O51+P51</f>
        <v>0</v>
      </c>
    </row>
    <row r="52" spans="1:19" s="20" customFormat="1" ht="15.95" customHeight="1">
      <c r="A52" s="34" t="s">
        <v>49</v>
      </c>
      <c r="B52" s="35" t="s">
        <v>26</v>
      </c>
      <c r="C52" s="17" t="s">
        <v>54</v>
      </c>
      <c r="D52" s="17" t="s">
        <v>26</v>
      </c>
      <c r="E52" s="18">
        <v>14450000</v>
      </c>
      <c r="F52" s="17" t="s">
        <v>26</v>
      </c>
      <c r="G52" s="17" t="s">
        <v>26</v>
      </c>
      <c r="H52" s="19"/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f>-14450000</f>
        <v>-14450000</v>
      </c>
      <c r="Q52" s="18">
        <v>0</v>
      </c>
      <c r="R52" s="18"/>
      <c r="S52" s="18">
        <f t="shared" si="2"/>
        <v>0</v>
      </c>
    </row>
    <row r="53" spans="1:19" s="20" customFormat="1" ht="15.95" customHeight="1">
      <c r="A53" s="34" t="s">
        <v>49</v>
      </c>
      <c r="B53" s="35" t="s">
        <v>26</v>
      </c>
      <c r="C53" s="17" t="s">
        <v>55</v>
      </c>
      <c r="D53" s="17" t="s">
        <v>26</v>
      </c>
      <c r="E53" s="18">
        <v>6338300</v>
      </c>
      <c r="F53" s="17" t="s">
        <v>26</v>
      </c>
      <c r="G53" s="17" t="s">
        <v>26</v>
      </c>
      <c r="H53" s="19"/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-6338300</v>
      </c>
      <c r="Q53" s="18">
        <v>0</v>
      </c>
      <c r="R53" s="18"/>
      <c r="S53" s="18">
        <f t="shared" si="2"/>
        <v>0</v>
      </c>
    </row>
    <row r="54" spans="1:19" s="20" customFormat="1" ht="15.95" customHeight="1">
      <c r="A54" s="34" t="s">
        <v>49</v>
      </c>
      <c r="B54" s="35" t="s">
        <v>26</v>
      </c>
      <c r="C54" s="17" t="s">
        <v>56</v>
      </c>
      <c r="D54" s="17" t="s">
        <v>26</v>
      </c>
      <c r="E54" s="18">
        <v>39100</v>
      </c>
      <c r="F54" s="17" t="s">
        <v>26</v>
      </c>
      <c r="G54" s="17" t="s">
        <v>26</v>
      </c>
      <c r="H54" s="19"/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-39100</v>
      </c>
      <c r="Q54" s="18">
        <v>0</v>
      </c>
      <c r="R54" s="18"/>
      <c r="S54" s="18">
        <f t="shared" si="2"/>
        <v>0</v>
      </c>
    </row>
    <row r="55" spans="1:19" s="20" customFormat="1" ht="15.95" customHeight="1">
      <c r="A55" s="34" t="s">
        <v>49</v>
      </c>
      <c r="B55" s="35" t="s">
        <v>26</v>
      </c>
      <c r="C55" s="17" t="s">
        <v>25</v>
      </c>
      <c r="D55" s="17" t="s">
        <v>26</v>
      </c>
      <c r="E55" s="18">
        <v>3000000</v>
      </c>
      <c r="F55" s="17" t="s">
        <v>26</v>
      </c>
      <c r="G55" s="17" t="s">
        <v>26</v>
      </c>
      <c r="H55" s="19"/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/>
      <c r="S55" s="18">
        <f t="shared" si="2"/>
        <v>3000000</v>
      </c>
    </row>
    <row r="56" spans="1:19" s="20" customFormat="1" ht="15.95" customHeight="1">
      <c r="A56" s="34" t="s">
        <v>49</v>
      </c>
      <c r="B56" s="35" t="s">
        <v>26</v>
      </c>
      <c r="C56" s="17" t="s">
        <v>57</v>
      </c>
      <c r="D56" s="17" t="s">
        <v>26</v>
      </c>
      <c r="E56" s="18">
        <v>15550</v>
      </c>
      <c r="F56" s="17" t="s">
        <v>26</v>
      </c>
      <c r="G56" s="17" t="s">
        <v>26</v>
      </c>
      <c r="H56" s="19"/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-15550</v>
      </c>
      <c r="Q56" s="18">
        <v>0</v>
      </c>
      <c r="R56" s="18"/>
      <c r="S56" s="18">
        <f t="shared" si="2"/>
        <v>0</v>
      </c>
    </row>
    <row r="57" spans="1:19" s="20" customFormat="1" ht="15.95" customHeight="1">
      <c r="A57" s="34" t="s">
        <v>49</v>
      </c>
      <c r="B57" s="35" t="s">
        <v>26</v>
      </c>
      <c r="C57" s="17" t="s">
        <v>256</v>
      </c>
      <c r="D57" s="17" t="s">
        <v>26</v>
      </c>
      <c r="E57" s="18">
        <v>778500</v>
      </c>
      <c r="F57" s="17" t="s">
        <v>26</v>
      </c>
      <c r="G57" s="17" t="s">
        <v>26</v>
      </c>
      <c r="H57" s="19"/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-778500</v>
      </c>
      <c r="Q57" s="18">
        <v>0</v>
      </c>
      <c r="R57" s="18"/>
      <c r="S57" s="18">
        <f t="shared" si="2"/>
        <v>0</v>
      </c>
    </row>
    <row r="58" spans="1:19" s="20" customFormat="1" ht="15.95" customHeight="1">
      <c r="A58" s="34" t="s">
        <v>49</v>
      </c>
      <c r="B58" s="35" t="s">
        <v>26</v>
      </c>
      <c r="C58" s="17" t="s">
        <v>12</v>
      </c>
      <c r="D58" s="17" t="s">
        <v>26</v>
      </c>
      <c r="E58" s="18">
        <v>352765</v>
      </c>
      <c r="F58" s="17" t="s">
        <v>26</v>
      </c>
      <c r="G58" s="17" t="s">
        <v>26</v>
      </c>
      <c r="H58" s="19"/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-352765</v>
      </c>
      <c r="Q58" s="18">
        <v>0</v>
      </c>
      <c r="R58" s="18"/>
      <c r="S58" s="18">
        <f t="shared" si="2"/>
        <v>0</v>
      </c>
    </row>
    <row r="59" spans="1:19" s="20" customFormat="1" ht="15.95" customHeight="1">
      <c r="A59" s="117" t="s">
        <v>49</v>
      </c>
      <c r="B59" s="35" t="s">
        <v>26</v>
      </c>
      <c r="C59" s="17" t="s">
        <v>58</v>
      </c>
      <c r="D59" s="17" t="s">
        <v>26</v>
      </c>
      <c r="E59" s="18">
        <v>146401</v>
      </c>
      <c r="F59" s="17" t="s">
        <v>26</v>
      </c>
      <c r="G59" s="17" t="s">
        <v>26</v>
      </c>
      <c r="H59" s="19"/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-146401</v>
      </c>
      <c r="Q59" s="18">
        <v>0</v>
      </c>
      <c r="R59" s="18"/>
      <c r="S59" s="18">
        <f t="shared" si="2"/>
        <v>0</v>
      </c>
    </row>
    <row r="60" spans="1:19" s="20" customFormat="1" ht="15.95" customHeight="1">
      <c r="A60" s="34" t="s">
        <v>49</v>
      </c>
      <c r="B60" s="35" t="s">
        <v>26</v>
      </c>
      <c r="C60" s="17" t="s">
        <v>270</v>
      </c>
      <c r="D60" s="17" t="s">
        <v>26</v>
      </c>
      <c r="E60" s="18">
        <v>398000</v>
      </c>
      <c r="F60" s="17" t="s">
        <v>26</v>
      </c>
      <c r="G60" s="17" t="s">
        <v>26</v>
      </c>
      <c r="H60" s="19"/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-398000</v>
      </c>
      <c r="Q60" s="18">
        <v>0</v>
      </c>
      <c r="R60" s="18"/>
      <c r="S60" s="18">
        <f t="shared" si="2"/>
        <v>0</v>
      </c>
    </row>
    <row r="61" spans="1:19" s="20" customFormat="1" ht="15.95" customHeight="1">
      <c r="A61" s="34" t="s">
        <v>49</v>
      </c>
      <c r="B61" s="35" t="s">
        <v>26</v>
      </c>
      <c r="C61" s="17" t="s">
        <v>255</v>
      </c>
      <c r="D61" s="17" t="s">
        <v>26</v>
      </c>
      <c r="E61" s="18">
        <v>2893700</v>
      </c>
      <c r="F61" s="17" t="s">
        <v>26</v>
      </c>
      <c r="G61" s="17" t="s">
        <v>26</v>
      </c>
      <c r="H61" s="19"/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-2893700</v>
      </c>
      <c r="Q61" s="18">
        <v>0</v>
      </c>
      <c r="R61" s="18"/>
      <c r="S61" s="18">
        <f t="shared" si="2"/>
        <v>0</v>
      </c>
    </row>
    <row r="62" spans="1:19" s="20" customFormat="1" ht="15.95" customHeight="1">
      <c r="A62" s="34" t="s">
        <v>49</v>
      </c>
      <c r="B62" s="35" t="s">
        <v>26</v>
      </c>
      <c r="C62" s="17" t="s">
        <v>59</v>
      </c>
      <c r="D62" s="17" t="s">
        <v>26</v>
      </c>
      <c r="E62" s="18">
        <v>0</v>
      </c>
      <c r="F62" s="17" t="s">
        <v>26</v>
      </c>
      <c r="G62" s="17" t="s">
        <v>26</v>
      </c>
      <c r="H62" s="19"/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/>
      <c r="S62" s="18">
        <f t="shared" si="2"/>
        <v>0</v>
      </c>
    </row>
    <row r="63" spans="1:19" s="20" customFormat="1" ht="15.95" customHeight="1">
      <c r="A63" s="34" t="s">
        <v>49</v>
      </c>
      <c r="B63" s="35" t="s">
        <v>26</v>
      </c>
      <c r="C63" s="17" t="s">
        <v>60</v>
      </c>
      <c r="D63" s="17" t="s">
        <v>26</v>
      </c>
      <c r="E63" s="18">
        <v>0</v>
      </c>
      <c r="F63" s="17" t="s">
        <v>26</v>
      </c>
      <c r="G63" s="17" t="s">
        <v>26</v>
      </c>
      <c r="H63" s="19"/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/>
      <c r="S63" s="18">
        <f t="shared" si="2"/>
        <v>0</v>
      </c>
    </row>
    <row r="64" spans="1:19" s="20" customFormat="1" ht="15.95" customHeight="1">
      <c r="A64" s="117" t="s">
        <v>49</v>
      </c>
      <c r="B64" s="35" t="s">
        <v>26</v>
      </c>
      <c r="C64" s="17" t="s">
        <v>64</v>
      </c>
      <c r="D64" s="17" t="s">
        <v>26</v>
      </c>
      <c r="E64" s="18">
        <v>32662441.840000004</v>
      </c>
      <c r="F64" s="17" t="s">
        <v>26</v>
      </c>
      <c r="G64" s="17" t="s">
        <v>26</v>
      </c>
      <c r="H64" s="19"/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-32662441.84</v>
      </c>
      <c r="Q64" s="18">
        <v>0</v>
      </c>
      <c r="R64" s="18"/>
      <c r="S64" s="18">
        <f t="shared" si="2"/>
        <v>0</v>
      </c>
    </row>
    <row r="65" spans="1:20" s="20" customFormat="1" ht="15.95" customHeight="1">
      <c r="A65" s="16" t="s">
        <v>7</v>
      </c>
      <c r="B65" s="36">
        <v>2020</v>
      </c>
      <c r="C65" s="17" t="s">
        <v>34</v>
      </c>
      <c r="D65" s="17" t="s">
        <v>68</v>
      </c>
      <c r="E65" s="119">
        <v>8124732</v>
      </c>
      <c r="F65" s="17" t="s">
        <v>5</v>
      </c>
      <c r="G65" s="40" t="s">
        <v>67</v>
      </c>
      <c r="H65" s="19"/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/>
      <c r="S65" s="18">
        <f t="shared" si="2"/>
        <v>8124732</v>
      </c>
    </row>
    <row r="66" spans="1:20" s="20" customFormat="1" ht="15.95" customHeight="1">
      <c r="A66" s="16" t="s">
        <v>13</v>
      </c>
      <c r="B66" s="36">
        <v>2023</v>
      </c>
      <c r="C66" s="37" t="s">
        <v>2185</v>
      </c>
      <c r="D66" s="8" t="s">
        <v>2186</v>
      </c>
      <c r="E66" s="18">
        <v>317650000</v>
      </c>
      <c r="F66" s="37" t="s">
        <v>13</v>
      </c>
      <c r="G66" s="8" t="s">
        <v>23</v>
      </c>
      <c r="H66" t="s">
        <v>26</v>
      </c>
      <c r="I66" s="18">
        <v>-317650000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/>
      <c r="S66" s="18">
        <f t="shared" si="2"/>
        <v>0</v>
      </c>
      <c r="T66" s="207" t="s">
        <v>26</v>
      </c>
    </row>
    <row r="67" spans="1:20" s="20" customFormat="1" ht="15.95" customHeight="1">
      <c r="A67" s="16" t="s">
        <v>13</v>
      </c>
      <c r="B67" s="36">
        <v>2024</v>
      </c>
      <c r="C67" s="37" t="s">
        <v>5957</v>
      </c>
      <c r="D67" s="8" t="s">
        <v>514</v>
      </c>
      <c r="E67" s="18">
        <v>640000</v>
      </c>
      <c r="F67" s="37" t="s">
        <v>13</v>
      </c>
      <c r="G67" s="8" t="s">
        <v>23</v>
      </c>
      <c r="H67" t="s">
        <v>26</v>
      </c>
      <c r="I67" s="18">
        <v>-640000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/>
      <c r="S67" s="18">
        <f t="shared" si="2"/>
        <v>0</v>
      </c>
    </row>
    <row r="68" spans="1:20" s="20" customFormat="1" ht="15.95" customHeight="1">
      <c r="A68" s="16" t="s">
        <v>13</v>
      </c>
      <c r="B68" s="36">
        <v>2024</v>
      </c>
      <c r="C68" s="37" t="s">
        <v>5957</v>
      </c>
      <c r="D68" s="8" t="s">
        <v>326</v>
      </c>
      <c r="E68" s="18">
        <v>480000</v>
      </c>
      <c r="F68" s="37" t="s">
        <v>13</v>
      </c>
      <c r="G68" s="8" t="s">
        <v>23</v>
      </c>
      <c r="H68" t="s">
        <v>26</v>
      </c>
      <c r="I68" s="18">
        <v>-480000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/>
      <c r="S68" s="18">
        <f t="shared" si="2"/>
        <v>0</v>
      </c>
    </row>
    <row r="69" spans="1:20" s="20" customFormat="1" ht="15.95" customHeight="1">
      <c r="A69" s="16" t="s">
        <v>13</v>
      </c>
      <c r="B69" s="36">
        <v>2024</v>
      </c>
      <c r="C69" s="37" t="s">
        <v>5957</v>
      </c>
      <c r="D69" s="8" t="s">
        <v>515</v>
      </c>
      <c r="E69" s="18">
        <v>820000</v>
      </c>
      <c r="F69" s="37" t="s">
        <v>13</v>
      </c>
      <c r="G69" s="8" t="s">
        <v>23</v>
      </c>
      <c r="H69" t="s">
        <v>26</v>
      </c>
      <c r="I69" s="18">
        <v>-820000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/>
      <c r="S69" s="18">
        <f t="shared" si="2"/>
        <v>0</v>
      </c>
    </row>
    <row r="70" spans="1:20" s="20" customFormat="1" ht="15.95" customHeight="1">
      <c r="A70" s="16" t="s">
        <v>13</v>
      </c>
      <c r="B70" s="36">
        <v>2024</v>
      </c>
      <c r="C70" s="37" t="s">
        <v>5957</v>
      </c>
      <c r="D70" s="8" t="s">
        <v>516</v>
      </c>
      <c r="E70" s="18">
        <v>2025000</v>
      </c>
      <c r="F70" s="37" t="s">
        <v>13</v>
      </c>
      <c r="G70" s="8" t="s">
        <v>23</v>
      </c>
      <c r="H70" t="s">
        <v>26</v>
      </c>
      <c r="I70" s="18">
        <v>-2025000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/>
      <c r="S70" s="18">
        <f t="shared" si="2"/>
        <v>0</v>
      </c>
    </row>
    <row r="71" spans="1:20" s="20" customFormat="1" ht="15.95" customHeight="1">
      <c r="A71" s="16" t="s">
        <v>13</v>
      </c>
      <c r="B71" s="36">
        <v>2024</v>
      </c>
      <c r="C71" s="37" t="s">
        <v>2191</v>
      </c>
      <c r="D71" s="8" t="s">
        <v>551</v>
      </c>
      <c r="E71" s="18">
        <v>6500000</v>
      </c>
      <c r="F71" s="37" t="s">
        <v>13</v>
      </c>
      <c r="G71" s="8" t="s">
        <v>177</v>
      </c>
      <c r="H71" t="s">
        <v>26</v>
      </c>
      <c r="I71" s="18">
        <v>0</v>
      </c>
      <c r="J71" s="18">
        <v>-6500000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/>
      <c r="S71" s="18">
        <f t="shared" si="2"/>
        <v>0</v>
      </c>
    </row>
    <row r="72" spans="1:20" s="20" customFormat="1" ht="15.95" customHeight="1">
      <c r="A72" s="16" t="s">
        <v>13</v>
      </c>
      <c r="B72" s="36">
        <v>2024</v>
      </c>
      <c r="C72" s="37" t="s">
        <v>2191</v>
      </c>
      <c r="D72" s="8" t="s">
        <v>552</v>
      </c>
      <c r="E72" s="18">
        <v>5250000</v>
      </c>
      <c r="F72" s="37" t="s">
        <v>13</v>
      </c>
      <c r="G72" s="8" t="s">
        <v>177</v>
      </c>
      <c r="H72" t="s">
        <v>26</v>
      </c>
      <c r="I72" s="18">
        <v>0</v>
      </c>
      <c r="J72" s="18">
        <v>-5250000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/>
      <c r="S72" s="18">
        <f t="shared" si="2"/>
        <v>0</v>
      </c>
    </row>
    <row r="73" spans="1:20" s="20" customFormat="1" ht="15.95" customHeight="1">
      <c r="A73" s="16" t="s">
        <v>13</v>
      </c>
      <c r="B73" s="36">
        <v>2024</v>
      </c>
      <c r="C73" s="37" t="s">
        <v>2191</v>
      </c>
      <c r="D73" s="8" t="s">
        <v>554</v>
      </c>
      <c r="E73" s="18">
        <v>66936</v>
      </c>
      <c r="F73" s="37" t="s">
        <v>13</v>
      </c>
      <c r="G73" s="8" t="s">
        <v>31</v>
      </c>
      <c r="H73" t="s">
        <v>26</v>
      </c>
      <c r="I73" s="18">
        <v>0</v>
      </c>
      <c r="J73" s="18">
        <v>-66936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/>
      <c r="S73" s="18">
        <f t="shared" si="2"/>
        <v>0</v>
      </c>
    </row>
    <row r="74" spans="1:20" s="20" customFormat="1" ht="15.95" customHeight="1">
      <c r="A74" s="16" t="s">
        <v>13</v>
      </c>
      <c r="B74" s="36">
        <v>2024</v>
      </c>
      <c r="C74" s="37" t="s">
        <v>2191</v>
      </c>
      <c r="D74" s="8" t="s">
        <v>555</v>
      </c>
      <c r="E74" s="18">
        <v>98490</v>
      </c>
      <c r="F74" s="37" t="s">
        <v>13</v>
      </c>
      <c r="G74" s="8" t="s">
        <v>31</v>
      </c>
      <c r="H74" t="s">
        <v>26</v>
      </c>
      <c r="I74" s="18">
        <v>0</v>
      </c>
      <c r="J74" s="18">
        <v>-98490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/>
      <c r="S74" s="18">
        <f t="shared" si="2"/>
        <v>0</v>
      </c>
    </row>
    <row r="75" spans="1:20" s="20" customFormat="1" ht="15.95" customHeight="1">
      <c r="A75" s="16" t="s">
        <v>13</v>
      </c>
      <c r="B75" s="36">
        <v>2024</v>
      </c>
      <c r="C75" s="37" t="s">
        <v>2191</v>
      </c>
      <c r="D75" s="8" t="s">
        <v>556</v>
      </c>
      <c r="E75" s="18">
        <v>66936</v>
      </c>
      <c r="F75" s="37" t="s">
        <v>13</v>
      </c>
      <c r="G75" s="8" t="s">
        <v>31</v>
      </c>
      <c r="H75" t="s">
        <v>26</v>
      </c>
      <c r="I75" s="18">
        <v>0</v>
      </c>
      <c r="J75" s="18">
        <v>-66936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/>
      <c r="S75" s="18">
        <f t="shared" si="2"/>
        <v>0</v>
      </c>
    </row>
    <row r="76" spans="1:20" s="20" customFormat="1" ht="15.95" customHeight="1">
      <c r="A76" s="16" t="s">
        <v>13</v>
      </c>
      <c r="B76" s="36">
        <v>2024</v>
      </c>
      <c r="C76" s="37" t="s">
        <v>2191</v>
      </c>
      <c r="D76" s="8" t="s">
        <v>557</v>
      </c>
      <c r="E76" s="18">
        <v>66936</v>
      </c>
      <c r="F76" s="37" t="s">
        <v>13</v>
      </c>
      <c r="G76" s="8" t="s">
        <v>31</v>
      </c>
      <c r="H76" t="s">
        <v>26</v>
      </c>
      <c r="I76" s="18">
        <v>0</v>
      </c>
      <c r="J76" s="18">
        <v>-66936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/>
      <c r="S76" s="18">
        <f t="shared" si="2"/>
        <v>0</v>
      </c>
    </row>
    <row r="77" spans="1:20" s="20" customFormat="1" ht="15.95" customHeight="1">
      <c r="A77" s="16" t="s">
        <v>13</v>
      </c>
      <c r="B77" s="36">
        <v>2024</v>
      </c>
      <c r="C77" s="37" t="s">
        <v>2191</v>
      </c>
      <c r="D77" s="8" t="s">
        <v>558</v>
      </c>
      <c r="E77" s="18">
        <v>66936</v>
      </c>
      <c r="F77" s="37" t="s">
        <v>13</v>
      </c>
      <c r="G77" s="8" t="s">
        <v>31</v>
      </c>
      <c r="H77" t="s">
        <v>26</v>
      </c>
      <c r="I77" s="18">
        <v>0</v>
      </c>
      <c r="J77" s="18">
        <v>-66936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/>
      <c r="S77" s="18">
        <f t="shared" si="2"/>
        <v>0</v>
      </c>
    </row>
    <row r="78" spans="1:20" s="20" customFormat="1" ht="15.95" customHeight="1">
      <c r="A78" s="16" t="s">
        <v>13</v>
      </c>
      <c r="B78" s="36">
        <v>2024</v>
      </c>
      <c r="C78" s="37" t="s">
        <v>2191</v>
      </c>
      <c r="D78" s="8" t="s">
        <v>559</v>
      </c>
      <c r="E78" s="18">
        <v>66936</v>
      </c>
      <c r="F78" s="37" t="s">
        <v>13</v>
      </c>
      <c r="G78" s="8" t="s">
        <v>31</v>
      </c>
      <c r="H78" t="s">
        <v>26</v>
      </c>
      <c r="I78" s="18">
        <v>0</v>
      </c>
      <c r="J78" s="18">
        <v>-66936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/>
      <c r="S78" s="18">
        <f t="shared" si="2"/>
        <v>0</v>
      </c>
    </row>
    <row r="79" spans="1:20" s="20" customFormat="1" ht="15.95" customHeight="1">
      <c r="A79" s="16" t="s">
        <v>13</v>
      </c>
      <c r="B79" s="36">
        <v>2024</v>
      </c>
      <c r="C79" s="37" t="s">
        <v>2191</v>
      </c>
      <c r="D79" s="8" t="s">
        <v>560</v>
      </c>
      <c r="E79" s="18">
        <v>66936</v>
      </c>
      <c r="F79" s="37" t="s">
        <v>13</v>
      </c>
      <c r="G79" s="8" t="s">
        <v>31</v>
      </c>
      <c r="H79" t="s">
        <v>26</v>
      </c>
      <c r="I79" s="18">
        <v>0</v>
      </c>
      <c r="J79" s="18">
        <v>-66936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/>
      <c r="S79" s="18">
        <f t="shared" si="2"/>
        <v>0</v>
      </c>
    </row>
    <row r="80" spans="1:20" s="20" customFormat="1" ht="15.95" customHeight="1">
      <c r="A80" s="16" t="s">
        <v>13</v>
      </c>
      <c r="B80" s="36">
        <v>2024</v>
      </c>
      <c r="C80" s="37" t="s">
        <v>2187</v>
      </c>
      <c r="D80" s="8" t="s">
        <v>918</v>
      </c>
      <c r="E80" s="18">
        <v>21419217</v>
      </c>
      <c r="F80" s="37" t="s">
        <v>13</v>
      </c>
      <c r="G80" s="8" t="s">
        <v>23</v>
      </c>
      <c r="H80" t="s">
        <v>26</v>
      </c>
      <c r="I80" s="18">
        <v>0</v>
      </c>
      <c r="J80" s="18">
        <v>0</v>
      </c>
      <c r="K80" s="18">
        <v>-21419217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/>
      <c r="S80" s="18">
        <f t="shared" si="2"/>
        <v>0</v>
      </c>
    </row>
    <row r="81" spans="1:19" s="20" customFormat="1" ht="15.95" customHeight="1">
      <c r="A81" s="16" t="s">
        <v>13</v>
      </c>
      <c r="B81" s="36">
        <v>2024</v>
      </c>
      <c r="C81" s="37" t="s">
        <v>2187</v>
      </c>
      <c r="D81" s="8" t="s">
        <v>714</v>
      </c>
      <c r="E81" s="18">
        <v>18198200</v>
      </c>
      <c r="F81" s="37" t="s">
        <v>13</v>
      </c>
      <c r="G81" s="8" t="s">
        <v>77</v>
      </c>
      <c r="H81" t="s">
        <v>26</v>
      </c>
      <c r="I81" s="18">
        <v>0</v>
      </c>
      <c r="J81" s="18">
        <v>0</v>
      </c>
      <c r="K81" s="18">
        <v>-18018020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/>
      <c r="S81" s="18">
        <f t="shared" si="2"/>
        <v>180180</v>
      </c>
    </row>
    <row r="82" spans="1:19" s="20" customFormat="1" ht="15.95" customHeight="1">
      <c r="A82" s="16" t="s">
        <v>13</v>
      </c>
      <c r="B82" s="36">
        <v>2024</v>
      </c>
      <c r="C82" s="37" t="s">
        <v>2187</v>
      </c>
      <c r="D82" s="8" t="s">
        <v>7168</v>
      </c>
      <c r="E82" s="18">
        <v>53505410</v>
      </c>
      <c r="F82" s="37" t="s">
        <v>13</v>
      </c>
      <c r="G82" s="8" t="s">
        <v>23</v>
      </c>
      <c r="H82" t="s">
        <v>26</v>
      </c>
      <c r="I82" s="18">
        <v>0</v>
      </c>
      <c r="J82" s="18">
        <v>0</v>
      </c>
      <c r="K82" s="18">
        <v>-53505410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/>
      <c r="S82" s="18">
        <f t="shared" si="2"/>
        <v>0</v>
      </c>
    </row>
    <row r="83" spans="1:19" s="20" customFormat="1" ht="15.95" customHeight="1">
      <c r="A83" s="16" t="s">
        <v>13</v>
      </c>
      <c r="B83" s="36">
        <v>2024</v>
      </c>
      <c r="C83" s="37" t="s">
        <v>457</v>
      </c>
      <c r="D83" s="8" t="s">
        <v>2188</v>
      </c>
      <c r="E83" s="18">
        <v>749999</v>
      </c>
      <c r="F83" s="37" t="s">
        <v>13</v>
      </c>
      <c r="G83" s="8" t="s">
        <v>9</v>
      </c>
      <c r="H83" t="s">
        <v>26</v>
      </c>
      <c r="I83" s="18">
        <v>0</v>
      </c>
      <c r="J83" s="18">
        <v>-675675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/>
      <c r="S83" s="18">
        <f t="shared" ref="S83:S114" si="3">E83+I83+J83+K83+L83+M83+N83+O83+P83</f>
        <v>74324</v>
      </c>
    </row>
    <row r="84" spans="1:19" s="20" customFormat="1" ht="15.95" customHeight="1">
      <c r="A84" s="16" t="s">
        <v>13</v>
      </c>
      <c r="B84" s="36">
        <v>2024</v>
      </c>
      <c r="C84" s="37" t="s">
        <v>257</v>
      </c>
      <c r="D84" t="s">
        <v>2189</v>
      </c>
      <c r="E84" s="18">
        <v>250000000</v>
      </c>
      <c r="F84" s="37" t="s">
        <v>13</v>
      </c>
      <c r="G84" s="8" t="s">
        <v>177</v>
      </c>
      <c r="H84" t="s">
        <v>26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/>
      <c r="S84" s="18">
        <f t="shared" si="3"/>
        <v>250000000</v>
      </c>
    </row>
    <row r="85" spans="1:19" s="20" customFormat="1" ht="15.95" customHeight="1">
      <c r="A85" s="16" t="s">
        <v>13</v>
      </c>
      <c r="B85" s="36">
        <v>2024</v>
      </c>
      <c r="C85" s="37" t="s">
        <v>257</v>
      </c>
      <c r="D85" t="s">
        <v>2190</v>
      </c>
      <c r="E85" s="18">
        <v>262137500</v>
      </c>
      <c r="F85" s="37" t="s">
        <v>13</v>
      </c>
      <c r="G85" s="8" t="s">
        <v>66</v>
      </c>
      <c r="H85" t="s">
        <v>26</v>
      </c>
      <c r="I85" s="18">
        <v>-262137500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/>
      <c r="S85" s="18">
        <f t="shared" si="3"/>
        <v>0</v>
      </c>
    </row>
    <row r="86" spans="1:19" s="20" customFormat="1" ht="15.95" customHeight="1">
      <c r="A86" s="16" t="s">
        <v>13</v>
      </c>
      <c r="B86" s="36">
        <v>2025</v>
      </c>
      <c r="C86" s="37" t="s">
        <v>7790</v>
      </c>
      <c r="D86" t="s">
        <v>7783</v>
      </c>
      <c r="E86" s="18">
        <v>0</v>
      </c>
      <c r="F86" s="37" t="s">
        <v>13</v>
      </c>
      <c r="G86" s="8" t="s">
        <v>30</v>
      </c>
      <c r="H86" t="s">
        <v>26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3595000</v>
      </c>
      <c r="Q86" s="18">
        <v>0</v>
      </c>
      <c r="R86" s="18"/>
      <c r="S86" s="18">
        <f t="shared" si="3"/>
        <v>3595000</v>
      </c>
    </row>
    <row r="87" spans="1:19" s="20" customFormat="1" ht="15.95" customHeight="1">
      <c r="A87" s="16" t="s">
        <v>13</v>
      </c>
      <c r="B87" s="36">
        <v>2025</v>
      </c>
      <c r="C87" s="37" t="s">
        <v>7790</v>
      </c>
      <c r="D87" t="s">
        <v>7940</v>
      </c>
      <c r="E87" s="18">
        <v>0</v>
      </c>
      <c r="F87" s="37" t="s">
        <v>13</v>
      </c>
      <c r="G87" s="8" t="s">
        <v>66</v>
      </c>
      <c r="H87" t="s">
        <v>26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190650000</v>
      </c>
      <c r="Q87" s="18">
        <v>0</v>
      </c>
      <c r="R87" s="18"/>
      <c r="S87" s="18">
        <f t="shared" si="3"/>
        <v>190650000</v>
      </c>
    </row>
    <row r="88" spans="1:19" s="20" customFormat="1" ht="15.95" customHeight="1">
      <c r="A88" s="16" t="s">
        <v>13</v>
      </c>
      <c r="B88" s="36">
        <v>2025</v>
      </c>
      <c r="C88" s="37" t="s">
        <v>7791</v>
      </c>
      <c r="D88" t="s">
        <v>7784</v>
      </c>
      <c r="E88" s="18">
        <v>0</v>
      </c>
      <c r="F88" s="37" t="s">
        <v>13</v>
      </c>
      <c r="G88" s="8" t="s">
        <v>7772</v>
      </c>
      <c r="H88" t="s">
        <v>26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7000000</v>
      </c>
      <c r="Q88" s="18">
        <v>0</v>
      </c>
      <c r="R88" s="18"/>
      <c r="S88" s="18">
        <f t="shared" si="3"/>
        <v>7000000</v>
      </c>
    </row>
    <row r="89" spans="1:19" s="20" customFormat="1" ht="15.95" customHeight="1">
      <c r="A89" s="16" t="s">
        <v>13</v>
      </c>
      <c r="B89" s="36">
        <v>2025</v>
      </c>
      <c r="C89" s="37" t="s">
        <v>7792</v>
      </c>
      <c r="D89" t="s">
        <v>7789</v>
      </c>
      <c r="E89" s="18">
        <v>0</v>
      </c>
      <c r="F89" s="37" t="s">
        <v>13</v>
      </c>
      <c r="G89" s="8" t="s">
        <v>69</v>
      </c>
      <c r="H89" t="s">
        <v>26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1678046</v>
      </c>
      <c r="Q89" s="18">
        <v>0</v>
      </c>
      <c r="R89" s="18"/>
      <c r="S89" s="18">
        <f t="shared" si="3"/>
        <v>1678046</v>
      </c>
    </row>
    <row r="90" spans="1:19" s="20" customFormat="1" ht="15.95" customHeight="1">
      <c r="A90" s="16" t="s">
        <v>13</v>
      </c>
      <c r="B90" s="36">
        <v>2025</v>
      </c>
      <c r="C90" s="37" t="s">
        <v>7792</v>
      </c>
      <c r="D90" t="s">
        <v>7782</v>
      </c>
      <c r="E90" s="18">
        <v>0</v>
      </c>
      <c r="F90" s="37" t="s">
        <v>13</v>
      </c>
      <c r="G90" s="8" t="s">
        <v>23</v>
      </c>
      <c r="H90" t="s">
        <v>26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1231050</v>
      </c>
      <c r="Q90" s="18">
        <v>0</v>
      </c>
      <c r="R90" s="18"/>
      <c r="S90" s="18">
        <f t="shared" si="3"/>
        <v>1231050</v>
      </c>
    </row>
    <row r="91" spans="1:19" s="20" customFormat="1" ht="15.95" customHeight="1">
      <c r="A91" s="16" t="s">
        <v>13</v>
      </c>
      <c r="B91" s="36">
        <v>2025</v>
      </c>
      <c r="C91" s="37" t="s">
        <v>7792</v>
      </c>
      <c r="D91" t="s">
        <v>7843</v>
      </c>
      <c r="E91" s="18">
        <v>0</v>
      </c>
      <c r="F91" s="37" t="s">
        <v>13</v>
      </c>
      <c r="G91" s="8" t="s">
        <v>23</v>
      </c>
      <c r="H91" t="s">
        <v>26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50318850</v>
      </c>
      <c r="Q91" s="18">
        <v>0</v>
      </c>
      <c r="R91" s="18"/>
      <c r="S91" s="18">
        <f t="shared" si="3"/>
        <v>50318850</v>
      </c>
    </row>
    <row r="92" spans="1:19" s="20" customFormat="1" ht="15.95" customHeight="1">
      <c r="A92" s="16" t="s">
        <v>13</v>
      </c>
      <c r="B92" s="36">
        <v>2025</v>
      </c>
      <c r="C92" s="37" t="s">
        <v>7792</v>
      </c>
      <c r="D92" t="s">
        <v>7835</v>
      </c>
      <c r="E92" s="18">
        <v>0</v>
      </c>
      <c r="F92" s="37" t="s">
        <v>13</v>
      </c>
      <c r="G92" s="8" t="s">
        <v>69</v>
      </c>
      <c r="H92" t="s">
        <v>26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155814</v>
      </c>
      <c r="Q92" s="18">
        <v>0</v>
      </c>
      <c r="R92" s="18"/>
      <c r="S92" s="18">
        <f t="shared" si="3"/>
        <v>155814</v>
      </c>
    </row>
    <row r="93" spans="1:19" s="20" customFormat="1" ht="15.95" customHeight="1">
      <c r="A93" s="16" t="s">
        <v>7</v>
      </c>
      <c r="B93" s="36">
        <v>2021</v>
      </c>
      <c r="C93" s="37" t="s">
        <v>34</v>
      </c>
      <c r="D93" s="37" t="s">
        <v>34</v>
      </c>
      <c r="E93" s="39">
        <v>5483800</v>
      </c>
      <c r="F93" s="17" t="s">
        <v>5</v>
      </c>
      <c r="G93" s="8" t="s">
        <v>246</v>
      </c>
      <c r="H93" s="40" t="s">
        <v>26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-5483800</v>
      </c>
      <c r="Q93" s="18">
        <v>0</v>
      </c>
      <c r="R93" s="18"/>
      <c r="S93" s="114">
        <f t="shared" si="3"/>
        <v>0</v>
      </c>
    </row>
    <row r="94" spans="1:19" s="20" customFormat="1" ht="15.95" customHeight="1">
      <c r="A94" s="16" t="s">
        <v>7</v>
      </c>
      <c r="B94" s="36">
        <v>2021</v>
      </c>
      <c r="C94" s="37" t="s">
        <v>34</v>
      </c>
      <c r="D94" s="37" t="s">
        <v>324</v>
      </c>
      <c r="E94" s="39">
        <v>5672024</v>
      </c>
      <c r="F94" s="17" t="s">
        <v>5</v>
      </c>
      <c r="G94" s="8" t="s">
        <v>71</v>
      </c>
      <c r="H94" s="40" t="s">
        <v>26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-5672024</v>
      </c>
      <c r="Q94" s="18">
        <v>0</v>
      </c>
      <c r="R94" s="18"/>
      <c r="S94" s="114">
        <f t="shared" si="3"/>
        <v>0</v>
      </c>
    </row>
    <row r="95" spans="1:19" s="20" customFormat="1" ht="15.95" customHeight="1">
      <c r="A95" s="16" t="s">
        <v>7</v>
      </c>
      <c r="B95" s="36">
        <v>2021</v>
      </c>
      <c r="C95" s="37" t="s">
        <v>34</v>
      </c>
      <c r="D95" s="37" t="s">
        <v>324</v>
      </c>
      <c r="E95" s="39">
        <v>3111463</v>
      </c>
      <c r="F95" s="17" t="s">
        <v>5</v>
      </c>
      <c r="G95" s="8" t="s">
        <v>20</v>
      </c>
      <c r="H95" s="40" t="s">
        <v>26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-3111463</v>
      </c>
      <c r="Q95" s="18">
        <v>0</v>
      </c>
      <c r="R95" s="18"/>
      <c r="S95" s="114">
        <f t="shared" si="3"/>
        <v>0</v>
      </c>
    </row>
    <row r="96" spans="1:19" s="20" customFormat="1" ht="15.95" customHeight="1">
      <c r="A96" s="16" t="s">
        <v>7</v>
      </c>
      <c r="B96" s="36">
        <v>2021</v>
      </c>
      <c r="C96" s="37" t="s">
        <v>34</v>
      </c>
      <c r="D96" s="37" t="s">
        <v>34</v>
      </c>
      <c r="E96" s="39">
        <v>27182168</v>
      </c>
      <c r="F96" s="17" t="s">
        <v>5</v>
      </c>
      <c r="G96" s="8" t="s">
        <v>72</v>
      </c>
      <c r="H96" s="40" t="s">
        <v>26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-27182168</v>
      </c>
      <c r="Q96" s="18">
        <v>0</v>
      </c>
      <c r="R96" s="18"/>
      <c r="S96" s="114">
        <f t="shared" si="3"/>
        <v>0</v>
      </c>
    </row>
    <row r="97" spans="1:19" s="20" customFormat="1" ht="15.95" customHeight="1">
      <c r="A97" s="16" t="s">
        <v>7</v>
      </c>
      <c r="B97" s="36">
        <v>2021</v>
      </c>
      <c r="C97" s="37" t="s">
        <v>34</v>
      </c>
      <c r="D97" s="37" t="s">
        <v>34</v>
      </c>
      <c r="E97" s="39">
        <v>7539477</v>
      </c>
      <c r="F97" s="17" t="s">
        <v>5</v>
      </c>
      <c r="G97" s="8" t="s">
        <v>242</v>
      </c>
      <c r="H97" s="40" t="s">
        <v>26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-7539477</v>
      </c>
      <c r="Q97" s="18">
        <v>0</v>
      </c>
      <c r="R97" s="18"/>
      <c r="S97" s="114">
        <f t="shared" si="3"/>
        <v>0</v>
      </c>
    </row>
    <row r="98" spans="1:19" s="20" customFormat="1" ht="15.95" customHeight="1">
      <c r="A98" s="16" t="s">
        <v>7</v>
      </c>
      <c r="B98" s="36">
        <v>2021</v>
      </c>
      <c r="C98" s="37" t="s">
        <v>34</v>
      </c>
      <c r="D98" s="37" t="s">
        <v>324</v>
      </c>
      <c r="E98" s="39">
        <v>109793300</v>
      </c>
      <c r="F98" s="17" t="s">
        <v>5</v>
      </c>
      <c r="G98" s="8" t="s">
        <v>73</v>
      </c>
      <c r="H98" s="40" t="s">
        <v>26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-30000000</v>
      </c>
      <c r="Q98" s="18">
        <v>0</v>
      </c>
      <c r="R98" s="18"/>
      <c r="S98" s="18">
        <f t="shared" si="3"/>
        <v>79793300</v>
      </c>
    </row>
    <row r="99" spans="1:19" s="20" customFormat="1" ht="15.95" customHeight="1">
      <c r="A99" s="16" t="s">
        <v>7</v>
      </c>
      <c r="B99" s="36">
        <v>2022</v>
      </c>
      <c r="C99" s="37" t="s">
        <v>34</v>
      </c>
      <c r="D99" s="40" t="s">
        <v>317</v>
      </c>
      <c r="E99" s="39">
        <v>4403000</v>
      </c>
      <c r="F99" s="17" t="s">
        <v>5</v>
      </c>
      <c r="G99" s="8" t="s">
        <v>249</v>
      </c>
      <c r="H99" s="40" t="s">
        <v>26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-4403000</v>
      </c>
      <c r="Q99" s="18">
        <v>0</v>
      </c>
      <c r="R99" s="18"/>
      <c r="S99" s="114">
        <f t="shared" si="3"/>
        <v>0</v>
      </c>
    </row>
    <row r="100" spans="1:19" s="20" customFormat="1" ht="15.95" customHeight="1">
      <c r="A100" s="16" t="s">
        <v>7</v>
      </c>
      <c r="B100" s="36">
        <v>2022</v>
      </c>
      <c r="C100" s="37" t="s">
        <v>34</v>
      </c>
      <c r="D100" s="40" t="s">
        <v>258</v>
      </c>
      <c r="E100" s="39">
        <v>275647507</v>
      </c>
      <c r="F100" s="17" t="s">
        <v>5</v>
      </c>
      <c r="G100" s="8" t="s">
        <v>250</v>
      </c>
      <c r="H100" s="40" t="s">
        <v>26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/>
      <c r="S100" s="18">
        <f t="shared" si="3"/>
        <v>275647507</v>
      </c>
    </row>
    <row r="101" spans="1:19" s="20" customFormat="1" ht="15.95" customHeight="1">
      <c r="A101" s="16" t="s">
        <v>7</v>
      </c>
      <c r="B101" s="36">
        <v>2022</v>
      </c>
      <c r="C101" s="37" t="s">
        <v>34</v>
      </c>
      <c r="D101" s="37" t="s">
        <v>324</v>
      </c>
      <c r="E101" s="39">
        <v>6230368</v>
      </c>
      <c r="F101" s="17" t="s">
        <v>5</v>
      </c>
      <c r="G101" s="8" t="s">
        <v>243</v>
      </c>
      <c r="H101" s="40" t="s">
        <v>26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-6230368</v>
      </c>
      <c r="Q101" s="18">
        <v>0</v>
      </c>
      <c r="R101" s="18"/>
      <c r="S101" s="114">
        <f t="shared" si="3"/>
        <v>0</v>
      </c>
    </row>
    <row r="102" spans="1:19" s="20" customFormat="1" ht="15.95" customHeight="1">
      <c r="A102" s="16" t="s">
        <v>7</v>
      </c>
      <c r="B102" s="36">
        <v>2024</v>
      </c>
      <c r="C102" s="37" t="s">
        <v>2191</v>
      </c>
      <c r="D102" s="8" t="s">
        <v>878</v>
      </c>
      <c r="E102" s="54">
        <v>14717633</v>
      </c>
      <c r="F102" s="17" t="s">
        <v>5</v>
      </c>
      <c r="G102" s="40" t="s">
        <v>4611</v>
      </c>
      <c r="H102" s="40" t="s">
        <v>26</v>
      </c>
      <c r="I102" s="14">
        <v>0</v>
      </c>
      <c r="J102" s="18">
        <v>-14717633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/>
      <c r="S102" s="18">
        <f t="shared" si="3"/>
        <v>0</v>
      </c>
    </row>
    <row r="103" spans="1:19" s="20" customFormat="1" ht="15.95" customHeight="1">
      <c r="A103" s="16" t="s">
        <v>7</v>
      </c>
      <c r="B103" s="36">
        <v>2024</v>
      </c>
      <c r="C103" s="37" t="s">
        <v>2191</v>
      </c>
      <c r="D103" s="8" t="s">
        <v>879</v>
      </c>
      <c r="E103" s="54">
        <v>5120000</v>
      </c>
      <c r="F103" s="17" t="s">
        <v>5</v>
      </c>
      <c r="G103" s="40" t="s">
        <v>4611</v>
      </c>
      <c r="H103" s="40" t="s">
        <v>26</v>
      </c>
      <c r="I103" s="14">
        <v>0</v>
      </c>
      <c r="J103" s="18">
        <v>-5120000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/>
      <c r="S103" s="18">
        <f t="shared" si="3"/>
        <v>0</v>
      </c>
    </row>
    <row r="104" spans="1:19" s="20" customFormat="1" ht="15.95" customHeight="1">
      <c r="A104" s="16" t="s">
        <v>7</v>
      </c>
      <c r="B104" s="36">
        <v>2023</v>
      </c>
      <c r="C104" s="37" t="s">
        <v>34</v>
      </c>
      <c r="D104" s="40" t="s">
        <v>321</v>
      </c>
      <c r="E104" s="39">
        <v>10211600</v>
      </c>
      <c r="F104" s="17" t="s">
        <v>5</v>
      </c>
      <c r="G104" s="8" t="s">
        <v>312</v>
      </c>
      <c r="H104" s="40" t="s">
        <v>26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/>
      <c r="S104" s="18">
        <f t="shared" si="3"/>
        <v>10211600</v>
      </c>
    </row>
    <row r="105" spans="1:19" s="20" customFormat="1" ht="15.95" customHeight="1">
      <c r="A105" s="16" t="s">
        <v>7</v>
      </c>
      <c r="B105" s="36">
        <v>2023</v>
      </c>
      <c r="C105" s="37" t="s">
        <v>34</v>
      </c>
      <c r="D105" s="40" t="s">
        <v>321</v>
      </c>
      <c r="E105" s="39">
        <v>2500</v>
      </c>
      <c r="F105" s="17" t="s">
        <v>5</v>
      </c>
      <c r="G105" s="8" t="s">
        <v>268</v>
      </c>
      <c r="H105" s="40" t="s">
        <v>26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-2500</v>
      </c>
      <c r="Q105" s="18">
        <v>0</v>
      </c>
      <c r="R105" s="18"/>
      <c r="S105" s="114">
        <f t="shared" si="3"/>
        <v>0</v>
      </c>
    </row>
    <row r="106" spans="1:19" s="20" customFormat="1" ht="15.95" customHeight="1">
      <c r="A106" s="16" t="s">
        <v>7</v>
      </c>
      <c r="B106" s="36">
        <v>2023</v>
      </c>
      <c r="C106" s="37" t="s">
        <v>34</v>
      </c>
      <c r="D106" s="40" t="s">
        <v>321</v>
      </c>
      <c r="E106" s="39">
        <v>7798061</v>
      </c>
      <c r="F106" s="17" t="s">
        <v>5</v>
      </c>
      <c r="G106" s="8" t="s">
        <v>290</v>
      </c>
      <c r="H106" s="40" t="s">
        <v>26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/>
      <c r="S106" s="18">
        <f t="shared" si="3"/>
        <v>7798061</v>
      </c>
    </row>
    <row r="107" spans="1:19" s="20" customFormat="1" ht="15.95" customHeight="1">
      <c r="A107" s="16" t="s">
        <v>7</v>
      </c>
      <c r="B107" s="36">
        <v>2023</v>
      </c>
      <c r="C107" s="37" t="s">
        <v>34</v>
      </c>
      <c r="D107" s="40" t="s">
        <v>321</v>
      </c>
      <c r="E107" s="39">
        <v>176833</v>
      </c>
      <c r="F107" s="17" t="s">
        <v>5</v>
      </c>
      <c r="G107" s="8" t="s">
        <v>282</v>
      </c>
      <c r="H107" s="40" t="s">
        <v>26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-176833</v>
      </c>
      <c r="Q107" s="18">
        <v>0</v>
      </c>
      <c r="R107" s="18"/>
      <c r="S107" s="114">
        <f t="shared" si="3"/>
        <v>0</v>
      </c>
    </row>
    <row r="108" spans="1:19" s="20" customFormat="1" ht="15.95" customHeight="1">
      <c r="A108" s="16" t="s">
        <v>7</v>
      </c>
      <c r="B108" s="36">
        <v>2023</v>
      </c>
      <c r="C108" s="37" t="s">
        <v>34</v>
      </c>
      <c r="D108" s="40" t="s">
        <v>321</v>
      </c>
      <c r="E108" s="39">
        <v>2214975</v>
      </c>
      <c r="F108" s="17" t="s">
        <v>5</v>
      </c>
      <c r="G108" s="8" t="s">
        <v>293</v>
      </c>
      <c r="H108" s="40" t="s">
        <v>26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-2214975</v>
      </c>
      <c r="Q108" s="18">
        <v>0</v>
      </c>
      <c r="R108" s="18"/>
      <c r="S108" s="114">
        <f t="shared" si="3"/>
        <v>0</v>
      </c>
    </row>
    <row r="109" spans="1:19" s="20" customFormat="1" ht="15.95" customHeight="1">
      <c r="A109" s="16" t="s">
        <v>7</v>
      </c>
      <c r="B109" s="36">
        <v>2023</v>
      </c>
      <c r="C109" s="37" t="s">
        <v>34</v>
      </c>
      <c r="D109" s="40" t="s">
        <v>321</v>
      </c>
      <c r="E109" s="39">
        <v>6328939</v>
      </c>
      <c r="F109" s="17" t="s">
        <v>5</v>
      </c>
      <c r="G109" s="8" t="s">
        <v>306</v>
      </c>
      <c r="H109" s="40" t="s">
        <v>26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/>
      <c r="S109" s="18">
        <f t="shared" si="3"/>
        <v>6328939</v>
      </c>
    </row>
    <row r="110" spans="1:19" s="20" customFormat="1" ht="15.95" customHeight="1">
      <c r="A110" s="16" t="s">
        <v>7</v>
      </c>
      <c r="B110" s="36">
        <v>2023</v>
      </c>
      <c r="C110" s="37" t="s">
        <v>34</v>
      </c>
      <c r="D110" s="40" t="s">
        <v>321</v>
      </c>
      <c r="E110" s="39">
        <v>82432</v>
      </c>
      <c r="F110" s="17" t="s">
        <v>5</v>
      </c>
      <c r="G110" s="8" t="s">
        <v>311</v>
      </c>
      <c r="H110" s="40" t="s">
        <v>26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-82432</v>
      </c>
      <c r="Q110" s="18">
        <v>0</v>
      </c>
      <c r="R110" s="18"/>
      <c r="S110" s="114">
        <f t="shared" si="3"/>
        <v>0</v>
      </c>
    </row>
    <row r="111" spans="1:19" s="20" customFormat="1" ht="15.95" customHeight="1">
      <c r="A111" s="16" t="s">
        <v>7</v>
      </c>
      <c r="B111" s="36">
        <v>2023</v>
      </c>
      <c r="C111" s="37" t="s">
        <v>34</v>
      </c>
      <c r="D111" s="40" t="s">
        <v>321</v>
      </c>
      <c r="E111" s="39">
        <v>523080</v>
      </c>
      <c r="F111" s="17" t="s">
        <v>5</v>
      </c>
      <c r="G111" s="8" t="s">
        <v>254</v>
      </c>
      <c r="H111" s="40" t="s">
        <v>26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-523080</v>
      </c>
      <c r="Q111" s="18">
        <v>0</v>
      </c>
      <c r="R111" s="18"/>
      <c r="S111" s="114">
        <f t="shared" si="3"/>
        <v>0</v>
      </c>
    </row>
    <row r="112" spans="1:19" s="20" customFormat="1" ht="15.95" customHeight="1">
      <c r="A112" s="16" t="s">
        <v>7</v>
      </c>
      <c r="B112" s="36">
        <v>2023</v>
      </c>
      <c r="C112" s="37" t="s">
        <v>34</v>
      </c>
      <c r="D112" s="40" t="s">
        <v>321</v>
      </c>
      <c r="E112" s="39">
        <v>396234</v>
      </c>
      <c r="F112" s="17" t="s">
        <v>5</v>
      </c>
      <c r="G112" s="8" t="s">
        <v>276</v>
      </c>
      <c r="H112" s="40" t="s">
        <v>26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-396234</v>
      </c>
      <c r="Q112" s="18">
        <v>0</v>
      </c>
      <c r="R112" s="18"/>
      <c r="S112" s="114">
        <f t="shared" si="3"/>
        <v>0</v>
      </c>
    </row>
    <row r="113" spans="1:19" s="20" customFormat="1" ht="15.95" customHeight="1">
      <c r="A113" s="16" t="s">
        <v>7</v>
      </c>
      <c r="B113" s="36">
        <v>2023</v>
      </c>
      <c r="C113" s="37" t="s">
        <v>34</v>
      </c>
      <c r="D113" s="40" t="s">
        <v>321</v>
      </c>
      <c r="E113" s="39">
        <v>30000</v>
      </c>
      <c r="F113" s="17" t="s">
        <v>5</v>
      </c>
      <c r="G113" s="8" t="s">
        <v>310</v>
      </c>
      <c r="H113" s="40" t="s">
        <v>26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-30000</v>
      </c>
      <c r="Q113" s="18">
        <v>0</v>
      </c>
      <c r="R113" s="18"/>
      <c r="S113" s="114">
        <f t="shared" si="3"/>
        <v>0</v>
      </c>
    </row>
    <row r="114" spans="1:19" s="20" customFormat="1" ht="15.95" customHeight="1">
      <c r="A114" s="16" t="s">
        <v>7</v>
      </c>
      <c r="B114" s="36">
        <v>2023</v>
      </c>
      <c r="C114" s="37" t="s">
        <v>34</v>
      </c>
      <c r="D114" s="271" t="s">
        <v>332</v>
      </c>
      <c r="E114" s="272">
        <v>68065254</v>
      </c>
      <c r="F114" s="17" t="s">
        <v>5</v>
      </c>
      <c r="G114" s="8" t="s">
        <v>253</v>
      </c>
      <c r="H114" s="40" t="s">
        <v>26</v>
      </c>
      <c r="I114" s="18">
        <v>0</v>
      </c>
      <c r="J114" s="18">
        <v>0</v>
      </c>
      <c r="K114" s="18">
        <v>-15415256</v>
      </c>
      <c r="L114" s="18">
        <v>0</v>
      </c>
      <c r="M114" s="18">
        <v>0</v>
      </c>
      <c r="N114" s="18">
        <v>0</v>
      </c>
      <c r="O114" s="18">
        <v>0</v>
      </c>
      <c r="P114" s="18">
        <v>-52649998</v>
      </c>
      <c r="Q114" s="18">
        <v>0</v>
      </c>
      <c r="R114" s="18"/>
      <c r="S114" s="114">
        <f t="shared" si="3"/>
        <v>0</v>
      </c>
    </row>
    <row r="115" spans="1:19" s="20" customFormat="1" ht="15.95" customHeight="1">
      <c r="A115" s="16" t="s">
        <v>7</v>
      </c>
      <c r="B115" s="36">
        <v>2024</v>
      </c>
      <c r="C115" s="37" t="s">
        <v>5957</v>
      </c>
      <c r="D115" s="40" t="s">
        <v>4216</v>
      </c>
      <c r="E115" s="14">
        <v>1000000</v>
      </c>
      <c r="F115" s="17" t="s">
        <v>5</v>
      </c>
      <c r="G115" s="40" t="s">
        <v>5757</v>
      </c>
      <c r="H115" s="40" t="s">
        <v>26</v>
      </c>
      <c r="I115" s="14">
        <v>-1000000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/>
      <c r="S115" s="18">
        <f t="shared" ref="S115:S146" si="4">E115+I115+J115+K115+L115+M115+N115+O115+P115</f>
        <v>0</v>
      </c>
    </row>
    <row r="116" spans="1:19" s="20" customFormat="1" ht="15.95" customHeight="1">
      <c r="A116" s="16" t="s">
        <v>7</v>
      </c>
      <c r="B116" s="36">
        <v>2024</v>
      </c>
      <c r="C116" s="37" t="s">
        <v>2191</v>
      </c>
      <c r="D116" s="40" t="s">
        <v>543</v>
      </c>
      <c r="E116" s="14">
        <v>59934100</v>
      </c>
      <c r="F116" s="17" t="s">
        <v>5</v>
      </c>
      <c r="G116" s="40" t="s">
        <v>508</v>
      </c>
      <c r="H116" s="40" t="s">
        <v>26</v>
      </c>
      <c r="I116" s="18">
        <v>0</v>
      </c>
      <c r="J116" s="18">
        <v>-59934100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/>
      <c r="S116" s="18">
        <f t="shared" si="4"/>
        <v>0</v>
      </c>
    </row>
    <row r="117" spans="1:19" s="20" customFormat="1" ht="15.95" customHeight="1">
      <c r="A117" s="16" t="s">
        <v>7</v>
      </c>
      <c r="B117" s="49">
        <v>2024</v>
      </c>
      <c r="C117" s="37" t="s">
        <v>2202</v>
      </c>
      <c r="D117" s="40" t="s">
        <v>5963</v>
      </c>
      <c r="E117" s="54">
        <v>13200000</v>
      </c>
      <c r="F117" s="17" t="s">
        <v>5</v>
      </c>
      <c r="G117" s="8" t="s">
        <v>5959</v>
      </c>
      <c r="H117" s="40" t="s">
        <v>26</v>
      </c>
      <c r="I117" s="18">
        <v>0</v>
      </c>
      <c r="J117" s="18">
        <v>-13200000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/>
      <c r="S117" s="18">
        <f t="shared" si="4"/>
        <v>0</v>
      </c>
    </row>
    <row r="118" spans="1:19" s="20" customFormat="1" ht="15.95" customHeight="1">
      <c r="A118" s="16" t="s">
        <v>7</v>
      </c>
      <c r="B118" s="36">
        <v>2024</v>
      </c>
      <c r="C118" s="37" t="s">
        <v>2191</v>
      </c>
      <c r="D118" s="40" t="s">
        <v>547</v>
      </c>
      <c r="E118" s="14">
        <v>361900</v>
      </c>
      <c r="F118" s="17" t="s">
        <v>5</v>
      </c>
      <c r="G118" s="40" t="s">
        <v>435</v>
      </c>
      <c r="H118" s="40" t="s">
        <v>26</v>
      </c>
      <c r="I118" s="18">
        <v>0</v>
      </c>
      <c r="J118" s="18">
        <v>-361900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/>
      <c r="S118" s="18">
        <f t="shared" si="4"/>
        <v>0</v>
      </c>
    </row>
    <row r="119" spans="1:19" s="20" customFormat="1" ht="15.95" customHeight="1">
      <c r="A119" s="16" t="s">
        <v>7</v>
      </c>
      <c r="B119" s="36">
        <v>2024</v>
      </c>
      <c r="C119" s="37" t="s">
        <v>2191</v>
      </c>
      <c r="D119" s="40" t="s">
        <v>550</v>
      </c>
      <c r="E119" s="14">
        <v>2686000</v>
      </c>
      <c r="F119" s="17" t="s">
        <v>5</v>
      </c>
      <c r="G119" s="40" t="s">
        <v>505</v>
      </c>
      <c r="H119" s="40" t="s">
        <v>26</v>
      </c>
      <c r="I119" s="18">
        <v>0</v>
      </c>
      <c r="J119" s="14">
        <v>-2686000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/>
      <c r="S119" s="18">
        <f t="shared" si="4"/>
        <v>0</v>
      </c>
    </row>
    <row r="120" spans="1:19" s="20" customFormat="1" ht="15.95" customHeight="1">
      <c r="A120" s="16" t="s">
        <v>7</v>
      </c>
      <c r="B120" s="36">
        <v>2024</v>
      </c>
      <c r="C120" s="37" t="s">
        <v>2191</v>
      </c>
      <c r="D120" s="40" t="s">
        <v>553</v>
      </c>
      <c r="E120" s="14">
        <v>21783750</v>
      </c>
      <c r="F120" s="17" t="s">
        <v>5</v>
      </c>
      <c r="G120" s="40" t="s">
        <v>507</v>
      </c>
      <c r="H120" s="40" t="s">
        <v>26</v>
      </c>
      <c r="I120" s="18">
        <v>0</v>
      </c>
      <c r="J120" s="14">
        <v>-21783750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/>
      <c r="S120" s="18">
        <f t="shared" si="4"/>
        <v>0</v>
      </c>
    </row>
    <row r="121" spans="1:19" s="20" customFormat="1" ht="15.95" customHeight="1">
      <c r="A121" s="16" t="s">
        <v>7</v>
      </c>
      <c r="B121" s="36">
        <v>2024</v>
      </c>
      <c r="C121" s="37" t="s">
        <v>2191</v>
      </c>
      <c r="D121" s="40" t="s">
        <v>567</v>
      </c>
      <c r="E121" s="14">
        <v>1600000</v>
      </c>
      <c r="F121" s="17" t="s">
        <v>5</v>
      </c>
      <c r="G121" s="40" t="s">
        <v>507</v>
      </c>
      <c r="H121" s="40" t="s">
        <v>26</v>
      </c>
      <c r="I121" s="18">
        <v>0</v>
      </c>
      <c r="J121" s="14">
        <v>-1600000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/>
      <c r="S121" s="18">
        <f t="shared" si="4"/>
        <v>0</v>
      </c>
    </row>
    <row r="122" spans="1:19" s="20" customFormat="1" ht="15.95" customHeight="1">
      <c r="A122" s="16" t="s">
        <v>7</v>
      </c>
      <c r="B122" s="36">
        <v>2024</v>
      </c>
      <c r="C122" s="37" t="s">
        <v>2191</v>
      </c>
      <c r="D122" s="40" t="s">
        <v>574</v>
      </c>
      <c r="E122" s="14">
        <v>50084580</v>
      </c>
      <c r="F122" s="17" t="s">
        <v>5</v>
      </c>
      <c r="G122" s="40" t="s">
        <v>507</v>
      </c>
      <c r="H122" s="40" t="s">
        <v>26</v>
      </c>
      <c r="I122" s="18">
        <v>0</v>
      </c>
      <c r="J122" s="14">
        <v>-50084580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/>
      <c r="S122" s="18">
        <f t="shared" si="4"/>
        <v>0</v>
      </c>
    </row>
    <row r="123" spans="1:19" s="20" customFormat="1" ht="15.95" customHeight="1">
      <c r="A123" s="16" t="s">
        <v>7</v>
      </c>
      <c r="B123" s="36">
        <v>2024</v>
      </c>
      <c r="C123" s="37" t="s">
        <v>2191</v>
      </c>
      <c r="D123" s="40" t="s">
        <v>784</v>
      </c>
      <c r="E123" s="14">
        <v>2300000</v>
      </c>
      <c r="F123" s="17" t="s">
        <v>5</v>
      </c>
      <c r="G123" s="40" t="s">
        <v>505</v>
      </c>
      <c r="H123" s="40" t="s">
        <v>26</v>
      </c>
      <c r="I123" s="18">
        <v>0</v>
      </c>
      <c r="J123" s="14">
        <v>-2300000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/>
      <c r="S123" s="18">
        <f t="shared" si="4"/>
        <v>0</v>
      </c>
    </row>
    <row r="124" spans="1:19" s="20" customFormat="1" ht="15.95" customHeight="1">
      <c r="A124" s="16" t="s">
        <v>7</v>
      </c>
      <c r="B124" s="36">
        <v>2024</v>
      </c>
      <c r="C124" s="37" t="s">
        <v>2191</v>
      </c>
      <c r="D124" s="40" t="s">
        <v>791</v>
      </c>
      <c r="E124" s="14">
        <v>15500000</v>
      </c>
      <c r="F124" s="17" t="s">
        <v>5</v>
      </c>
      <c r="G124" s="40" t="s">
        <v>507</v>
      </c>
      <c r="H124" s="40" t="s">
        <v>26</v>
      </c>
      <c r="I124" s="18">
        <v>0</v>
      </c>
      <c r="J124" s="18">
        <v>-15500000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/>
      <c r="S124" s="18">
        <f t="shared" si="4"/>
        <v>0</v>
      </c>
    </row>
    <row r="125" spans="1:19" s="20" customFormat="1" ht="15.95" customHeight="1">
      <c r="A125" s="16" t="s">
        <v>7</v>
      </c>
      <c r="B125" s="36">
        <v>2024</v>
      </c>
      <c r="C125" s="37" t="s">
        <v>2191</v>
      </c>
      <c r="D125" s="8" t="s">
        <v>3489</v>
      </c>
      <c r="E125" s="14">
        <v>15145000</v>
      </c>
      <c r="F125" s="17" t="s">
        <v>5</v>
      </c>
      <c r="G125" s="40" t="s">
        <v>4612</v>
      </c>
      <c r="H125" s="40" t="s">
        <v>26</v>
      </c>
      <c r="I125" s="14">
        <v>0</v>
      </c>
      <c r="J125" s="18">
        <v>-15145000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/>
      <c r="S125" s="18">
        <f t="shared" si="4"/>
        <v>0</v>
      </c>
    </row>
    <row r="126" spans="1:19" s="20" customFormat="1" ht="15.95" customHeight="1">
      <c r="A126" s="16" t="s">
        <v>7</v>
      </c>
      <c r="B126" s="36">
        <v>2024</v>
      </c>
      <c r="C126" s="37" t="s">
        <v>2192</v>
      </c>
      <c r="D126" s="40" t="s">
        <v>658</v>
      </c>
      <c r="E126" s="14">
        <v>8035098</v>
      </c>
      <c r="F126" s="17" t="s">
        <v>5</v>
      </c>
      <c r="G126" s="40" t="s">
        <v>428</v>
      </c>
      <c r="H126" s="40" t="s">
        <v>26</v>
      </c>
      <c r="I126" s="18">
        <v>0</v>
      </c>
      <c r="J126" s="18">
        <v>0</v>
      </c>
      <c r="K126" s="39">
        <v>-8035098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/>
      <c r="S126" s="18">
        <f t="shared" si="4"/>
        <v>0</v>
      </c>
    </row>
    <row r="127" spans="1:19" s="20" customFormat="1" ht="15.95" customHeight="1">
      <c r="A127" s="16" t="s">
        <v>7</v>
      </c>
      <c r="B127" s="36">
        <v>2024</v>
      </c>
      <c r="C127" s="37" t="s">
        <v>2192</v>
      </c>
      <c r="D127" s="40" t="s">
        <v>659</v>
      </c>
      <c r="E127" s="14">
        <v>5662500</v>
      </c>
      <c r="F127" s="17" t="s">
        <v>5</v>
      </c>
      <c r="G127" s="40" t="s">
        <v>441</v>
      </c>
      <c r="H127" s="40" t="s">
        <v>26</v>
      </c>
      <c r="I127" s="18">
        <v>0</v>
      </c>
      <c r="J127" s="18">
        <v>0</v>
      </c>
      <c r="K127" s="18">
        <v>-5662500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/>
      <c r="S127" s="18">
        <f t="shared" si="4"/>
        <v>0</v>
      </c>
    </row>
    <row r="128" spans="1:19" s="20" customFormat="1" ht="15.95" customHeight="1">
      <c r="A128" s="16" t="s">
        <v>7</v>
      </c>
      <c r="B128" s="49">
        <v>2024</v>
      </c>
      <c r="C128" s="37" t="s">
        <v>2192</v>
      </c>
      <c r="D128" s="40" t="s">
        <v>662</v>
      </c>
      <c r="E128" s="14">
        <v>1067000</v>
      </c>
      <c r="F128" s="17" t="s">
        <v>5</v>
      </c>
      <c r="G128" s="40" t="s">
        <v>435</v>
      </c>
      <c r="H128" s="40" t="s">
        <v>26</v>
      </c>
      <c r="I128" s="18">
        <v>0</v>
      </c>
      <c r="J128" s="18">
        <v>0</v>
      </c>
      <c r="K128" s="14">
        <v>-1067000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/>
      <c r="S128" s="18">
        <f t="shared" si="4"/>
        <v>0</v>
      </c>
    </row>
    <row r="129" spans="1:19" s="20" customFormat="1" ht="15.95" customHeight="1">
      <c r="A129" s="16" t="s">
        <v>7</v>
      </c>
      <c r="B129" s="49">
        <v>2024</v>
      </c>
      <c r="C129" s="37" t="s">
        <v>2192</v>
      </c>
      <c r="D129" s="40" t="s">
        <v>663</v>
      </c>
      <c r="E129" s="14">
        <v>3355964</v>
      </c>
      <c r="F129" s="17" t="s">
        <v>5</v>
      </c>
      <c r="G129" s="40" t="s">
        <v>429</v>
      </c>
      <c r="H129" s="40" t="s">
        <v>26</v>
      </c>
      <c r="I129" s="18">
        <v>0</v>
      </c>
      <c r="J129" s="18">
        <v>0</v>
      </c>
      <c r="K129" s="39">
        <v>-3355964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/>
      <c r="S129" s="18">
        <f t="shared" si="4"/>
        <v>0</v>
      </c>
    </row>
    <row r="130" spans="1:19" s="20" customFormat="1" ht="15.95" customHeight="1">
      <c r="A130" s="16" t="s">
        <v>7</v>
      </c>
      <c r="B130" s="49">
        <v>2024</v>
      </c>
      <c r="C130" s="37" t="s">
        <v>2192</v>
      </c>
      <c r="D130" s="40" t="s">
        <v>665</v>
      </c>
      <c r="E130" s="14">
        <v>2138888</v>
      </c>
      <c r="F130" s="17" t="s">
        <v>5</v>
      </c>
      <c r="G130" s="40" t="s">
        <v>435</v>
      </c>
      <c r="H130" s="40" t="s">
        <v>26</v>
      </c>
      <c r="I130" s="18">
        <v>0</v>
      </c>
      <c r="J130" s="18">
        <v>0</v>
      </c>
      <c r="K130" s="14">
        <v>-2138888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/>
      <c r="S130" s="18">
        <f t="shared" si="4"/>
        <v>0</v>
      </c>
    </row>
    <row r="131" spans="1:19" s="20" customFormat="1" ht="15.95" customHeight="1">
      <c r="A131" s="16" t="s">
        <v>7</v>
      </c>
      <c r="B131" s="49">
        <v>2024</v>
      </c>
      <c r="C131" s="37" t="s">
        <v>2192</v>
      </c>
      <c r="D131" s="40" t="s">
        <v>666</v>
      </c>
      <c r="E131" s="14">
        <v>5178800</v>
      </c>
      <c r="F131" s="17" t="s">
        <v>5</v>
      </c>
      <c r="G131" s="40" t="s">
        <v>420</v>
      </c>
      <c r="H131" s="40" t="s">
        <v>26</v>
      </c>
      <c r="I131" s="18">
        <v>0</v>
      </c>
      <c r="J131" s="18">
        <v>0</v>
      </c>
      <c r="K131" s="18">
        <v>-5178800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/>
      <c r="S131" s="18">
        <f t="shared" si="4"/>
        <v>0</v>
      </c>
    </row>
    <row r="132" spans="1:19" s="20" customFormat="1" ht="15.95" customHeight="1">
      <c r="A132" s="16" t="s">
        <v>7</v>
      </c>
      <c r="B132" s="49">
        <v>2024</v>
      </c>
      <c r="C132" s="37" t="s">
        <v>2192</v>
      </c>
      <c r="D132" s="40" t="s">
        <v>668</v>
      </c>
      <c r="E132" s="14">
        <v>4901737</v>
      </c>
      <c r="F132" s="17" t="s">
        <v>5</v>
      </c>
      <c r="G132" s="40" t="s">
        <v>505</v>
      </c>
      <c r="H132" s="40" t="s">
        <v>26</v>
      </c>
      <c r="I132" s="18">
        <v>0</v>
      </c>
      <c r="J132" s="18">
        <v>0</v>
      </c>
      <c r="K132" s="39">
        <v>-4901737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/>
      <c r="S132" s="18">
        <f t="shared" si="4"/>
        <v>0</v>
      </c>
    </row>
    <row r="133" spans="1:19" s="20" customFormat="1" ht="15.95" customHeight="1">
      <c r="A133" s="16" t="s">
        <v>7</v>
      </c>
      <c r="B133" s="49">
        <v>2024</v>
      </c>
      <c r="C133" s="37" t="s">
        <v>2192</v>
      </c>
      <c r="D133" s="40" t="s">
        <v>669</v>
      </c>
      <c r="E133" s="14">
        <v>4613332</v>
      </c>
      <c r="F133" s="17" t="s">
        <v>5</v>
      </c>
      <c r="G133" s="40" t="s">
        <v>505</v>
      </c>
      <c r="H133" s="40" t="s">
        <v>26</v>
      </c>
      <c r="I133" s="18">
        <v>0</v>
      </c>
      <c r="J133" s="18">
        <v>0</v>
      </c>
      <c r="K133" s="39">
        <v>-4613332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/>
      <c r="S133" s="18">
        <f t="shared" si="4"/>
        <v>0</v>
      </c>
    </row>
    <row r="134" spans="1:19" s="20" customFormat="1" ht="15.95" customHeight="1">
      <c r="A134" s="16" t="s">
        <v>7</v>
      </c>
      <c r="B134" s="49">
        <v>2024</v>
      </c>
      <c r="C134" s="37" t="s">
        <v>2192</v>
      </c>
      <c r="D134" s="40" t="s">
        <v>670</v>
      </c>
      <c r="E134" s="14">
        <v>1021300</v>
      </c>
      <c r="F134" s="17" t="s">
        <v>5</v>
      </c>
      <c r="G134" s="40" t="s">
        <v>428</v>
      </c>
      <c r="H134" s="40" t="s">
        <v>26</v>
      </c>
      <c r="I134" s="18">
        <v>0</v>
      </c>
      <c r="J134" s="18">
        <v>0</v>
      </c>
      <c r="K134" s="18">
        <v>-1021300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/>
      <c r="S134" s="18">
        <f t="shared" si="4"/>
        <v>0</v>
      </c>
    </row>
    <row r="135" spans="1:19" s="20" customFormat="1" ht="15.95" customHeight="1">
      <c r="A135" s="16" t="s">
        <v>7</v>
      </c>
      <c r="B135" s="49">
        <v>2024</v>
      </c>
      <c r="C135" s="37" t="s">
        <v>2192</v>
      </c>
      <c r="D135" s="40" t="s">
        <v>671</v>
      </c>
      <c r="E135" s="14">
        <v>2909066</v>
      </c>
      <c r="F135" s="17" t="s">
        <v>5</v>
      </c>
      <c r="G135" s="40" t="s">
        <v>435</v>
      </c>
      <c r="H135" s="40" t="s">
        <v>26</v>
      </c>
      <c r="I135" s="18">
        <v>0</v>
      </c>
      <c r="J135" s="18">
        <v>0</v>
      </c>
      <c r="K135" s="14">
        <v>-2909066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/>
      <c r="S135" s="18">
        <f t="shared" si="4"/>
        <v>0</v>
      </c>
    </row>
    <row r="136" spans="1:19" s="20" customFormat="1" ht="15.95" customHeight="1">
      <c r="A136" s="16" t="s">
        <v>7</v>
      </c>
      <c r="B136" s="36">
        <v>2024</v>
      </c>
      <c r="C136" s="37" t="s">
        <v>2192</v>
      </c>
      <c r="D136" s="40" t="s">
        <v>673</v>
      </c>
      <c r="E136" s="14">
        <v>2755030</v>
      </c>
      <c r="F136" s="17" t="s">
        <v>5</v>
      </c>
      <c r="G136" s="40" t="s">
        <v>417</v>
      </c>
      <c r="H136" s="40" t="s">
        <v>26</v>
      </c>
      <c r="I136" s="18">
        <v>0</v>
      </c>
      <c r="J136" s="18">
        <v>0</v>
      </c>
      <c r="K136" s="18">
        <v>-2755030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/>
      <c r="S136" s="18">
        <f t="shared" si="4"/>
        <v>0</v>
      </c>
    </row>
    <row r="137" spans="1:19" s="20" customFormat="1" ht="15.95" customHeight="1">
      <c r="A137" s="16" t="s">
        <v>7</v>
      </c>
      <c r="B137" s="36">
        <v>2024</v>
      </c>
      <c r="C137" s="37" t="s">
        <v>2192</v>
      </c>
      <c r="D137" s="40" t="s">
        <v>675</v>
      </c>
      <c r="E137" s="14">
        <v>4586171</v>
      </c>
      <c r="F137" s="17" t="s">
        <v>5</v>
      </c>
      <c r="G137" s="40" t="s">
        <v>441</v>
      </c>
      <c r="H137" s="40" t="s">
        <v>26</v>
      </c>
      <c r="I137" s="18">
        <v>0</v>
      </c>
      <c r="J137" s="18">
        <v>0</v>
      </c>
      <c r="K137" s="18">
        <v>-4586171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/>
      <c r="S137" s="18">
        <f t="shared" si="4"/>
        <v>0</v>
      </c>
    </row>
    <row r="138" spans="1:19" s="20" customFormat="1" ht="15.95" customHeight="1">
      <c r="A138" s="16" t="s">
        <v>7</v>
      </c>
      <c r="B138" s="36">
        <v>2024</v>
      </c>
      <c r="C138" s="37" t="s">
        <v>2192</v>
      </c>
      <c r="D138" s="40" t="s">
        <v>677</v>
      </c>
      <c r="E138" s="14">
        <v>11360105</v>
      </c>
      <c r="F138" s="17" t="s">
        <v>5</v>
      </c>
      <c r="G138" s="40" t="s">
        <v>436</v>
      </c>
      <c r="H138" s="40" t="s">
        <v>26</v>
      </c>
      <c r="I138" s="18">
        <v>0</v>
      </c>
      <c r="J138" s="18">
        <v>0</v>
      </c>
      <c r="K138" s="18">
        <v>-11360105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/>
      <c r="S138" s="18">
        <f t="shared" si="4"/>
        <v>0</v>
      </c>
    </row>
    <row r="139" spans="1:19" s="20" customFormat="1" ht="15.95" customHeight="1">
      <c r="A139" s="16" t="s">
        <v>7</v>
      </c>
      <c r="B139" s="36">
        <v>2024</v>
      </c>
      <c r="C139" s="37" t="s">
        <v>2192</v>
      </c>
      <c r="D139" s="40" t="s">
        <v>696</v>
      </c>
      <c r="E139" s="14">
        <v>3019900</v>
      </c>
      <c r="F139" s="17" t="s">
        <v>5</v>
      </c>
      <c r="G139" s="40" t="s">
        <v>435</v>
      </c>
      <c r="H139" s="40" t="s">
        <v>26</v>
      </c>
      <c r="I139" s="18">
        <v>0</v>
      </c>
      <c r="J139" s="18">
        <v>0</v>
      </c>
      <c r="K139" s="14">
        <v>-3019900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/>
      <c r="S139" s="18">
        <f t="shared" si="4"/>
        <v>0</v>
      </c>
    </row>
    <row r="140" spans="1:19" s="20" customFormat="1" ht="15.95" customHeight="1">
      <c r="A140" s="16" t="s">
        <v>7</v>
      </c>
      <c r="B140" s="36">
        <v>2024</v>
      </c>
      <c r="C140" s="37" t="s">
        <v>2192</v>
      </c>
      <c r="D140" s="40" t="s">
        <v>701</v>
      </c>
      <c r="E140" s="14">
        <v>2597500</v>
      </c>
      <c r="F140" s="17" t="s">
        <v>5</v>
      </c>
      <c r="G140" s="40" t="s">
        <v>505</v>
      </c>
      <c r="H140" s="40" t="s">
        <v>26</v>
      </c>
      <c r="I140" s="18">
        <v>0</v>
      </c>
      <c r="J140" s="18">
        <v>0</v>
      </c>
      <c r="K140" s="39">
        <v>-2597500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/>
      <c r="S140" s="18">
        <f t="shared" si="4"/>
        <v>0</v>
      </c>
    </row>
    <row r="141" spans="1:19" s="20" customFormat="1" ht="15.95" customHeight="1">
      <c r="A141" s="16" t="s">
        <v>7</v>
      </c>
      <c r="B141" s="36">
        <v>2024</v>
      </c>
      <c r="C141" s="37" t="s">
        <v>2192</v>
      </c>
      <c r="D141" s="40" t="s">
        <v>728</v>
      </c>
      <c r="E141" s="14">
        <v>2095985</v>
      </c>
      <c r="F141" s="17" t="s">
        <v>5</v>
      </c>
      <c r="G141" s="40" t="s">
        <v>505</v>
      </c>
      <c r="H141" s="40" t="s">
        <v>26</v>
      </c>
      <c r="I141" s="18">
        <v>0</v>
      </c>
      <c r="J141" s="18">
        <v>0</v>
      </c>
      <c r="K141" s="39">
        <v>-2095985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/>
      <c r="S141" s="18">
        <f t="shared" si="4"/>
        <v>0</v>
      </c>
    </row>
    <row r="142" spans="1:19" s="20" customFormat="1" ht="15.95" customHeight="1">
      <c r="A142" s="16" t="s">
        <v>7</v>
      </c>
      <c r="B142" s="36">
        <v>2024</v>
      </c>
      <c r="C142" s="37" t="s">
        <v>2192</v>
      </c>
      <c r="D142" s="40" t="s">
        <v>1982</v>
      </c>
      <c r="E142" s="14">
        <v>1340000</v>
      </c>
      <c r="F142" s="17" t="s">
        <v>5</v>
      </c>
      <c r="G142" s="40" t="s">
        <v>4612</v>
      </c>
      <c r="H142" s="40" t="s">
        <v>26</v>
      </c>
      <c r="I142" s="14">
        <v>0</v>
      </c>
      <c r="J142" s="18">
        <v>0</v>
      </c>
      <c r="K142" s="14">
        <v>-1340000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/>
      <c r="S142" s="18">
        <f t="shared" si="4"/>
        <v>0</v>
      </c>
    </row>
    <row r="143" spans="1:19" s="20" customFormat="1" ht="15.95" customHeight="1">
      <c r="A143" s="16" t="s">
        <v>7</v>
      </c>
      <c r="B143" s="36">
        <v>2024</v>
      </c>
      <c r="C143" s="37" t="s">
        <v>2192</v>
      </c>
      <c r="D143" s="40" t="s">
        <v>1995</v>
      </c>
      <c r="E143" s="14">
        <v>2084000</v>
      </c>
      <c r="F143" s="17" t="s">
        <v>5</v>
      </c>
      <c r="G143" s="40" t="s">
        <v>4612</v>
      </c>
      <c r="H143" s="40" t="s">
        <v>26</v>
      </c>
      <c r="I143" s="14">
        <v>0</v>
      </c>
      <c r="J143" s="18">
        <v>0</v>
      </c>
      <c r="K143" s="14">
        <v>-2084000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/>
      <c r="S143" s="18">
        <f t="shared" si="4"/>
        <v>0</v>
      </c>
    </row>
    <row r="144" spans="1:19" s="20" customFormat="1" ht="15.95" customHeight="1">
      <c r="A144" s="16" t="s">
        <v>7</v>
      </c>
      <c r="B144" s="49">
        <v>2024</v>
      </c>
      <c r="C144" s="37" t="s">
        <v>2193</v>
      </c>
      <c r="D144" s="40" t="s">
        <v>735</v>
      </c>
      <c r="E144" s="14">
        <v>1500000</v>
      </c>
      <c r="F144" s="17" t="s">
        <v>5</v>
      </c>
      <c r="G144" s="40" t="s">
        <v>507</v>
      </c>
      <c r="H144" s="40" t="s">
        <v>26</v>
      </c>
      <c r="I144" s="18">
        <v>0</v>
      </c>
      <c r="J144" s="18">
        <v>0</v>
      </c>
      <c r="K144" s="18">
        <v>0</v>
      </c>
      <c r="L144" s="18">
        <v>0</v>
      </c>
      <c r="M144" s="18">
        <v>-1500000</v>
      </c>
      <c r="N144" s="18">
        <v>0</v>
      </c>
      <c r="O144" s="18">
        <v>0</v>
      </c>
      <c r="P144" s="18">
        <v>0</v>
      </c>
      <c r="Q144" s="18">
        <v>0</v>
      </c>
      <c r="R144" s="18"/>
      <c r="S144" s="18">
        <f t="shared" si="4"/>
        <v>0</v>
      </c>
    </row>
    <row r="145" spans="1:19" s="20" customFormat="1" ht="15.95" customHeight="1">
      <c r="A145" s="16" t="s">
        <v>7</v>
      </c>
      <c r="B145" s="49">
        <v>2024</v>
      </c>
      <c r="C145" s="37" t="s">
        <v>2194</v>
      </c>
      <c r="D145" s="40" t="s">
        <v>504</v>
      </c>
      <c r="E145" s="14">
        <v>31000</v>
      </c>
      <c r="F145" s="17" t="s">
        <v>5</v>
      </c>
      <c r="G145" s="40" t="s">
        <v>440</v>
      </c>
      <c r="H145" s="40" t="s">
        <v>26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4">
        <v>-31000</v>
      </c>
      <c r="P145" s="18">
        <v>0</v>
      </c>
      <c r="Q145" s="18">
        <v>0</v>
      </c>
      <c r="R145" s="18"/>
      <c r="S145" s="18">
        <f t="shared" si="4"/>
        <v>0</v>
      </c>
    </row>
    <row r="146" spans="1:19" s="20" customFormat="1" ht="15.95" customHeight="1">
      <c r="A146" s="16" t="s">
        <v>7</v>
      </c>
      <c r="B146" s="49">
        <v>2024</v>
      </c>
      <c r="C146" s="37" t="s">
        <v>2194</v>
      </c>
      <c r="D146" s="40" t="s">
        <v>742</v>
      </c>
      <c r="E146" s="14">
        <v>19000</v>
      </c>
      <c r="F146" s="17" t="s">
        <v>5</v>
      </c>
      <c r="G146" s="40" t="s">
        <v>440</v>
      </c>
      <c r="H146" s="40" t="s">
        <v>26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4">
        <v>-19000</v>
      </c>
      <c r="P146" s="18">
        <v>0</v>
      </c>
      <c r="Q146" s="18">
        <v>0</v>
      </c>
      <c r="R146" s="18"/>
      <c r="S146" s="18">
        <f t="shared" si="4"/>
        <v>0</v>
      </c>
    </row>
    <row r="147" spans="1:19" s="20" customFormat="1" ht="15.95" customHeight="1">
      <c r="A147" s="16" t="s">
        <v>7</v>
      </c>
      <c r="B147" s="49">
        <v>2024</v>
      </c>
      <c r="C147" s="37" t="s">
        <v>2194</v>
      </c>
      <c r="D147" s="40" t="s">
        <v>501</v>
      </c>
      <c r="E147" s="14">
        <v>27000</v>
      </c>
      <c r="F147" s="17" t="s">
        <v>5</v>
      </c>
      <c r="G147" s="40" t="s">
        <v>440</v>
      </c>
      <c r="H147" s="40" t="s">
        <v>26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4">
        <v>-27000</v>
      </c>
      <c r="P147" s="18">
        <v>0</v>
      </c>
      <c r="Q147" s="18">
        <v>0</v>
      </c>
      <c r="R147" s="18"/>
      <c r="S147" s="18">
        <f t="shared" ref="S147:S178" si="5">E147+I147+J147+K147+L147+M147+N147+O147+P147</f>
        <v>0</v>
      </c>
    </row>
    <row r="148" spans="1:19" s="20" customFormat="1" ht="15.95" customHeight="1">
      <c r="A148" s="16" t="s">
        <v>7</v>
      </c>
      <c r="B148" s="49">
        <v>2024</v>
      </c>
      <c r="C148" s="37" t="s">
        <v>2194</v>
      </c>
      <c r="D148" s="40" t="s">
        <v>764</v>
      </c>
      <c r="E148" s="14">
        <v>175000</v>
      </c>
      <c r="F148" s="17" t="s">
        <v>5</v>
      </c>
      <c r="G148" s="40" t="s">
        <v>440</v>
      </c>
      <c r="H148" s="40" t="s">
        <v>26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4">
        <v>-175000</v>
      </c>
      <c r="P148" s="18">
        <v>0</v>
      </c>
      <c r="Q148" s="18">
        <v>0</v>
      </c>
      <c r="R148" s="18"/>
      <c r="S148" s="18">
        <f t="shared" si="5"/>
        <v>0</v>
      </c>
    </row>
    <row r="149" spans="1:19" s="20" customFormat="1" ht="15.95" customHeight="1">
      <c r="A149" s="16" t="s">
        <v>7</v>
      </c>
      <c r="B149" s="49">
        <v>2024</v>
      </c>
      <c r="C149" s="37" t="s">
        <v>2194</v>
      </c>
      <c r="D149" s="40" t="s">
        <v>765</v>
      </c>
      <c r="E149" s="14">
        <v>80000</v>
      </c>
      <c r="F149" s="17" t="s">
        <v>5</v>
      </c>
      <c r="G149" s="40" t="s">
        <v>440</v>
      </c>
      <c r="H149" s="40" t="s">
        <v>26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4">
        <v>-80000</v>
      </c>
      <c r="P149" s="18">
        <v>0</v>
      </c>
      <c r="Q149" s="18">
        <v>0</v>
      </c>
      <c r="R149" s="18"/>
      <c r="S149" s="18">
        <f t="shared" si="5"/>
        <v>0</v>
      </c>
    </row>
    <row r="150" spans="1:19" s="20" customFormat="1" ht="15.95" customHeight="1">
      <c r="A150" s="16" t="s">
        <v>7</v>
      </c>
      <c r="B150" s="49">
        <v>2024</v>
      </c>
      <c r="C150" s="37" t="s">
        <v>2194</v>
      </c>
      <c r="D150" s="40" t="s">
        <v>1423</v>
      </c>
      <c r="E150" s="14">
        <v>2180000</v>
      </c>
      <c r="F150" s="17" t="s">
        <v>5</v>
      </c>
      <c r="G150" s="40" t="s">
        <v>5974</v>
      </c>
      <c r="H150" s="40" t="s">
        <v>26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-2180000</v>
      </c>
      <c r="P150" s="18">
        <v>0</v>
      </c>
      <c r="Q150" s="18">
        <v>0</v>
      </c>
      <c r="R150" s="18"/>
      <c r="S150" s="18">
        <f t="shared" si="5"/>
        <v>0</v>
      </c>
    </row>
    <row r="151" spans="1:19" s="20" customFormat="1" ht="15.95" customHeight="1">
      <c r="A151" s="16" t="s">
        <v>7</v>
      </c>
      <c r="B151" s="49">
        <v>2024</v>
      </c>
      <c r="C151" s="37" t="s">
        <v>5976</v>
      </c>
      <c r="D151" s="40" t="s">
        <v>5205</v>
      </c>
      <c r="E151" s="14">
        <v>551000</v>
      </c>
      <c r="F151" s="17" t="s">
        <v>5</v>
      </c>
      <c r="G151" s="40" t="s">
        <v>4612</v>
      </c>
      <c r="H151" s="40" t="s">
        <v>26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-551000</v>
      </c>
      <c r="Q151" s="18">
        <v>0</v>
      </c>
      <c r="R151" s="18"/>
      <c r="S151" s="18">
        <f t="shared" si="5"/>
        <v>0</v>
      </c>
    </row>
    <row r="152" spans="1:19" s="20" customFormat="1" ht="15.95" customHeight="1">
      <c r="A152" s="16" t="s">
        <v>7</v>
      </c>
      <c r="B152" s="49">
        <v>2024</v>
      </c>
      <c r="C152" s="37" t="s">
        <v>5976</v>
      </c>
      <c r="D152" s="40" t="s">
        <v>5207</v>
      </c>
      <c r="E152" s="14">
        <v>194000</v>
      </c>
      <c r="F152" s="17" t="s">
        <v>5</v>
      </c>
      <c r="G152" s="40" t="s">
        <v>4612</v>
      </c>
      <c r="H152" s="40" t="s">
        <v>26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-194000</v>
      </c>
      <c r="Q152" s="18">
        <v>0</v>
      </c>
      <c r="R152" s="18"/>
      <c r="S152" s="18">
        <f t="shared" si="5"/>
        <v>0</v>
      </c>
    </row>
    <row r="153" spans="1:19" s="20" customFormat="1" ht="15.95" customHeight="1">
      <c r="A153" s="16" t="s">
        <v>7</v>
      </c>
      <c r="B153" s="49">
        <v>2024</v>
      </c>
      <c r="C153" s="37" t="s">
        <v>5976</v>
      </c>
      <c r="D153" s="40" t="s">
        <v>5208</v>
      </c>
      <c r="E153" s="14">
        <v>97000</v>
      </c>
      <c r="F153" s="17" t="s">
        <v>5</v>
      </c>
      <c r="G153" s="40" t="s">
        <v>4612</v>
      </c>
      <c r="H153" s="40" t="s">
        <v>26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-97000</v>
      </c>
      <c r="Q153" s="18">
        <v>0</v>
      </c>
      <c r="R153" s="18"/>
      <c r="S153" s="18">
        <f t="shared" si="5"/>
        <v>0</v>
      </c>
    </row>
    <row r="154" spans="1:19" s="20" customFormat="1" ht="15.95" customHeight="1">
      <c r="A154" s="16" t="s">
        <v>7</v>
      </c>
      <c r="B154" s="49">
        <v>2024</v>
      </c>
      <c r="C154" s="37" t="s">
        <v>5976</v>
      </c>
      <c r="D154" s="40" t="s">
        <v>5209</v>
      </c>
      <c r="E154" s="14">
        <v>196000</v>
      </c>
      <c r="F154" s="17" t="s">
        <v>5</v>
      </c>
      <c r="G154" s="40" t="s">
        <v>4612</v>
      </c>
      <c r="H154" s="40" t="s">
        <v>26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-196000</v>
      </c>
      <c r="Q154" s="18">
        <v>0</v>
      </c>
      <c r="R154" s="18"/>
      <c r="S154" s="18">
        <f t="shared" si="5"/>
        <v>0</v>
      </c>
    </row>
    <row r="155" spans="1:19" s="20" customFormat="1" ht="15.95" customHeight="1">
      <c r="A155" s="16" t="s">
        <v>7</v>
      </c>
      <c r="B155" s="49">
        <v>2024</v>
      </c>
      <c r="C155" s="37" t="s">
        <v>5976</v>
      </c>
      <c r="D155" s="40" t="s">
        <v>5210</v>
      </c>
      <c r="E155" s="14">
        <v>14990</v>
      </c>
      <c r="F155" s="17" t="s">
        <v>5</v>
      </c>
      <c r="G155" s="40" t="s">
        <v>4612</v>
      </c>
      <c r="H155" s="40" t="s">
        <v>26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-14990</v>
      </c>
      <c r="Q155" s="18">
        <v>0</v>
      </c>
      <c r="R155" s="18"/>
      <c r="S155" s="18">
        <f t="shared" si="5"/>
        <v>0</v>
      </c>
    </row>
    <row r="156" spans="1:19" s="20" customFormat="1" ht="15.95" customHeight="1">
      <c r="A156" s="16" t="s">
        <v>7</v>
      </c>
      <c r="B156" s="49">
        <v>2024</v>
      </c>
      <c r="C156" s="37" t="s">
        <v>5976</v>
      </c>
      <c r="D156" s="40" t="s">
        <v>5211</v>
      </c>
      <c r="E156" s="14">
        <v>60000</v>
      </c>
      <c r="F156" s="17" t="s">
        <v>5</v>
      </c>
      <c r="G156" s="40" t="s">
        <v>4612</v>
      </c>
      <c r="H156" s="40" t="s">
        <v>26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-60000</v>
      </c>
      <c r="Q156" s="18">
        <v>0</v>
      </c>
      <c r="R156" s="18"/>
      <c r="S156" s="18">
        <f t="shared" si="5"/>
        <v>0</v>
      </c>
    </row>
    <row r="157" spans="1:19" s="20" customFormat="1" ht="15.95" customHeight="1">
      <c r="A157" s="16" t="s">
        <v>7</v>
      </c>
      <c r="B157" s="49">
        <v>2024</v>
      </c>
      <c r="C157" s="37" t="s">
        <v>5976</v>
      </c>
      <c r="D157" s="40" t="s">
        <v>5212</v>
      </c>
      <c r="E157" s="14">
        <v>400000</v>
      </c>
      <c r="F157" s="17" t="s">
        <v>5</v>
      </c>
      <c r="G157" s="40" t="s">
        <v>4612</v>
      </c>
      <c r="H157" s="40" t="s">
        <v>26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-400000</v>
      </c>
      <c r="Q157" s="18">
        <v>0</v>
      </c>
      <c r="R157" s="18"/>
      <c r="S157" s="18">
        <f t="shared" si="5"/>
        <v>0</v>
      </c>
    </row>
    <row r="158" spans="1:19" s="20" customFormat="1" ht="15.95" customHeight="1">
      <c r="A158" s="16" t="s">
        <v>7</v>
      </c>
      <c r="B158" s="49">
        <v>2024</v>
      </c>
      <c r="C158" s="37" t="s">
        <v>5976</v>
      </c>
      <c r="D158" s="40" t="s">
        <v>5213</v>
      </c>
      <c r="E158" s="14">
        <v>79500</v>
      </c>
      <c r="F158" s="17" t="s">
        <v>5</v>
      </c>
      <c r="G158" s="40" t="s">
        <v>4612</v>
      </c>
      <c r="H158" s="40" t="s">
        <v>26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-79500</v>
      </c>
      <c r="Q158" s="18">
        <v>0</v>
      </c>
      <c r="R158" s="18"/>
      <c r="S158" s="18">
        <f t="shared" si="5"/>
        <v>0</v>
      </c>
    </row>
    <row r="159" spans="1:19" s="20" customFormat="1" ht="15.95" customHeight="1">
      <c r="A159" s="16" t="s">
        <v>7</v>
      </c>
      <c r="B159" s="49">
        <v>2024</v>
      </c>
      <c r="C159" s="37" t="s">
        <v>5976</v>
      </c>
      <c r="D159" s="40" t="s">
        <v>5214</v>
      </c>
      <c r="E159" s="14">
        <v>150000</v>
      </c>
      <c r="F159" s="17" t="s">
        <v>5</v>
      </c>
      <c r="G159" s="40" t="s">
        <v>4612</v>
      </c>
      <c r="H159" s="40" t="s">
        <v>26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-150000</v>
      </c>
      <c r="Q159" s="18">
        <v>0</v>
      </c>
      <c r="R159" s="18"/>
      <c r="S159" s="18">
        <f t="shared" si="5"/>
        <v>0</v>
      </c>
    </row>
    <row r="160" spans="1:19" s="20" customFormat="1" ht="15.95" customHeight="1">
      <c r="A160" s="16" t="s">
        <v>7</v>
      </c>
      <c r="B160" s="49">
        <v>2024</v>
      </c>
      <c r="C160" s="37" t="s">
        <v>5976</v>
      </c>
      <c r="D160" s="40" t="s">
        <v>5215</v>
      </c>
      <c r="E160" s="14">
        <v>150000</v>
      </c>
      <c r="F160" s="17" t="s">
        <v>5</v>
      </c>
      <c r="G160" s="40" t="s">
        <v>4612</v>
      </c>
      <c r="H160" s="40" t="s">
        <v>26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-150000</v>
      </c>
      <c r="Q160" s="18">
        <v>0</v>
      </c>
      <c r="R160" s="18"/>
      <c r="S160" s="18">
        <f t="shared" si="5"/>
        <v>0</v>
      </c>
    </row>
    <row r="161" spans="1:19" s="20" customFormat="1" ht="15.95" customHeight="1">
      <c r="A161" s="16" t="s">
        <v>7</v>
      </c>
      <c r="B161" s="49">
        <v>2024</v>
      </c>
      <c r="C161" s="37" t="s">
        <v>5976</v>
      </c>
      <c r="D161" s="40" t="s">
        <v>5216</v>
      </c>
      <c r="E161" s="14">
        <v>150000</v>
      </c>
      <c r="F161" s="17" t="s">
        <v>5</v>
      </c>
      <c r="G161" s="40" t="s">
        <v>4612</v>
      </c>
      <c r="H161" s="40" t="s">
        <v>26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-150000</v>
      </c>
      <c r="Q161" s="18">
        <v>0</v>
      </c>
      <c r="R161" s="18"/>
      <c r="S161" s="18">
        <f t="shared" si="5"/>
        <v>0</v>
      </c>
    </row>
    <row r="162" spans="1:19" s="20" customFormat="1" ht="15.95" customHeight="1">
      <c r="A162" s="16" t="s">
        <v>7</v>
      </c>
      <c r="B162" s="49">
        <v>2024</v>
      </c>
      <c r="C162" s="37" t="s">
        <v>5976</v>
      </c>
      <c r="D162" s="40" t="s">
        <v>5217</v>
      </c>
      <c r="E162" s="14">
        <v>150000</v>
      </c>
      <c r="F162" s="17" t="s">
        <v>5</v>
      </c>
      <c r="G162" s="40" t="s">
        <v>4612</v>
      </c>
      <c r="H162" s="40" t="s">
        <v>26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-150000</v>
      </c>
      <c r="Q162" s="18">
        <v>0</v>
      </c>
      <c r="R162" s="18"/>
      <c r="S162" s="18">
        <f t="shared" si="5"/>
        <v>0</v>
      </c>
    </row>
    <row r="163" spans="1:19" s="20" customFormat="1" ht="15.95" customHeight="1">
      <c r="A163" s="16" t="s">
        <v>7</v>
      </c>
      <c r="B163" s="49">
        <v>2024</v>
      </c>
      <c r="C163" s="37" t="s">
        <v>5976</v>
      </c>
      <c r="D163" s="40" t="s">
        <v>5218</v>
      </c>
      <c r="E163" s="14">
        <v>150000</v>
      </c>
      <c r="F163" s="17" t="s">
        <v>5</v>
      </c>
      <c r="G163" s="40" t="s">
        <v>4612</v>
      </c>
      <c r="H163" s="40" t="s">
        <v>26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-150000</v>
      </c>
      <c r="Q163" s="18">
        <v>0</v>
      </c>
      <c r="R163" s="18"/>
      <c r="S163" s="18">
        <f t="shared" si="5"/>
        <v>0</v>
      </c>
    </row>
    <row r="164" spans="1:19" s="20" customFormat="1" ht="15.95" customHeight="1">
      <c r="A164" s="16" t="s">
        <v>7</v>
      </c>
      <c r="B164" s="49">
        <v>2024</v>
      </c>
      <c r="C164" s="37" t="s">
        <v>5976</v>
      </c>
      <c r="D164" s="40" t="s">
        <v>5219</v>
      </c>
      <c r="E164" s="14">
        <v>150000</v>
      </c>
      <c r="F164" s="17" t="s">
        <v>5</v>
      </c>
      <c r="G164" s="40" t="s">
        <v>4612</v>
      </c>
      <c r="H164" s="40" t="s">
        <v>26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-150000</v>
      </c>
      <c r="Q164" s="18">
        <v>0</v>
      </c>
      <c r="R164" s="18"/>
      <c r="S164" s="18">
        <f t="shared" si="5"/>
        <v>0</v>
      </c>
    </row>
    <row r="165" spans="1:19" s="20" customFormat="1" ht="15.95" customHeight="1">
      <c r="A165" s="16" t="s">
        <v>7</v>
      </c>
      <c r="B165" s="49">
        <v>2024</v>
      </c>
      <c r="C165" s="37" t="s">
        <v>5976</v>
      </c>
      <c r="D165" s="40" t="s">
        <v>5220</v>
      </c>
      <c r="E165" s="14">
        <v>150000</v>
      </c>
      <c r="F165" s="17" t="s">
        <v>5</v>
      </c>
      <c r="G165" s="40" t="s">
        <v>4612</v>
      </c>
      <c r="H165" s="40" t="s">
        <v>26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-150000</v>
      </c>
      <c r="Q165" s="18">
        <v>0</v>
      </c>
      <c r="R165" s="18"/>
      <c r="S165" s="18">
        <f t="shared" si="5"/>
        <v>0</v>
      </c>
    </row>
    <row r="166" spans="1:19" s="20" customFormat="1" ht="15.95" customHeight="1">
      <c r="A166" s="16" t="s">
        <v>7</v>
      </c>
      <c r="B166" s="49">
        <v>2024</v>
      </c>
      <c r="C166" s="37" t="s">
        <v>5976</v>
      </c>
      <c r="D166" s="40" t="s">
        <v>5221</v>
      </c>
      <c r="E166" s="14">
        <v>150000</v>
      </c>
      <c r="F166" s="17" t="s">
        <v>5</v>
      </c>
      <c r="G166" s="40" t="s">
        <v>4612</v>
      </c>
      <c r="H166" s="40" t="s">
        <v>26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-150000</v>
      </c>
      <c r="Q166" s="18">
        <v>0</v>
      </c>
      <c r="R166" s="18"/>
      <c r="S166" s="18">
        <f t="shared" si="5"/>
        <v>0</v>
      </c>
    </row>
    <row r="167" spans="1:19" s="20" customFormat="1" ht="15.95" customHeight="1">
      <c r="A167" s="16" t="s">
        <v>7</v>
      </c>
      <c r="B167" s="49">
        <v>2024</v>
      </c>
      <c r="C167" s="37" t="s">
        <v>5976</v>
      </c>
      <c r="D167" s="40" t="s">
        <v>5222</v>
      </c>
      <c r="E167" s="14">
        <v>150000</v>
      </c>
      <c r="F167" s="17" t="s">
        <v>5</v>
      </c>
      <c r="G167" s="40" t="s">
        <v>4612</v>
      </c>
      <c r="H167" s="40" t="s">
        <v>26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-150000</v>
      </c>
      <c r="Q167" s="18">
        <v>0</v>
      </c>
      <c r="R167" s="18"/>
      <c r="S167" s="18">
        <f t="shared" si="5"/>
        <v>0</v>
      </c>
    </row>
    <row r="168" spans="1:19" s="20" customFormat="1" ht="15.95" customHeight="1">
      <c r="A168" s="16" t="s">
        <v>7</v>
      </c>
      <c r="B168" s="49">
        <v>2024</v>
      </c>
      <c r="C168" s="37" t="s">
        <v>5976</v>
      </c>
      <c r="D168" s="40" t="s">
        <v>5223</v>
      </c>
      <c r="E168" s="14">
        <v>2000000</v>
      </c>
      <c r="F168" s="17" t="s">
        <v>5</v>
      </c>
      <c r="G168" s="40" t="s">
        <v>4612</v>
      </c>
      <c r="H168" s="40" t="s">
        <v>26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-2000000</v>
      </c>
      <c r="Q168" s="18">
        <v>0</v>
      </c>
      <c r="R168" s="18"/>
      <c r="S168" s="18">
        <f t="shared" si="5"/>
        <v>0</v>
      </c>
    </row>
    <row r="169" spans="1:19" s="20" customFormat="1" ht="15.95" customHeight="1">
      <c r="A169" s="16" t="s">
        <v>7</v>
      </c>
      <c r="B169" s="49">
        <v>2024</v>
      </c>
      <c r="C169" s="37" t="s">
        <v>34</v>
      </c>
      <c r="D169" s="40" t="s">
        <v>2195</v>
      </c>
      <c r="E169" s="54">
        <v>7397530</v>
      </c>
      <c r="F169" s="17" t="s">
        <v>5</v>
      </c>
      <c r="G169" s="40" t="s">
        <v>436</v>
      </c>
      <c r="H169" s="40" t="s">
        <v>26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-7397530</v>
      </c>
      <c r="Q169" s="18">
        <v>0</v>
      </c>
      <c r="R169" s="18"/>
      <c r="S169" s="18">
        <f t="shared" si="5"/>
        <v>0</v>
      </c>
    </row>
    <row r="170" spans="1:19" s="20" customFormat="1" ht="15.95" customHeight="1">
      <c r="A170" s="16" t="s">
        <v>7</v>
      </c>
      <c r="B170" s="49">
        <v>2024</v>
      </c>
      <c r="C170" s="37" t="s">
        <v>34</v>
      </c>
      <c r="D170" s="40" t="s">
        <v>2195</v>
      </c>
      <c r="E170" s="54">
        <v>1717810</v>
      </c>
      <c r="F170" s="17" t="s">
        <v>5</v>
      </c>
      <c r="G170" s="40" t="s">
        <v>422</v>
      </c>
      <c r="H170" s="40" t="s">
        <v>26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-1717810</v>
      </c>
      <c r="Q170" s="18">
        <v>0</v>
      </c>
      <c r="R170" s="18"/>
      <c r="S170" s="18">
        <f t="shared" si="5"/>
        <v>0</v>
      </c>
    </row>
    <row r="171" spans="1:19" s="20" customFormat="1" ht="15.95" customHeight="1">
      <c r="A171" s="16" t="s">
        <v>7</v>
      </c>
      <c r="B171" s="49">
        <v>2024</v>
      </c>
      <c r="C171" s="37" t="s">
        <v>34</v>
      </c>
      <c r="D171" s="40" t="s">
        <v>2195</v>
      </c>
      <c r="E171" s="54">
        <v>946000</v>
      </c>
      <c r="F171" s="17" t="s">
        <v>5</v>
      </c>
      <c r="G171" s="40" t="s">
        <v>418</v>
      </c>
      <c r="H171" s="40" t="s">
        <v>26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-946000</v>
      </c>
      <c r="Q171" s="18">
        <v>0</v>
      </c>
      <c r="R171" s="18"/>
      <c r="S171" s="18">
        <f t="shared" si="5"/>
        <v>0</v>
      </c>
    </row>
    <row r="172" spans="1:19" s="20" customFormat="1" ht="15.95" customHeight="1">
      <c r="A172" s="16" t="s">
        <v>7</v>
      </c>
      <c r="B172" s="49">
        <v>2024</v>
      </c>
      <c r="C172" s="37" t="s">
        <v>34</v>
      </c>
      <c r="D172" s="40" t="s">
        <v>2195</v>
      </c>
      <c r="E172" s="54">
        <v>384475</v>
      </c>
      <c r="F172" s="17" t="s">
        <v>5</v>
      </c>
      <c r="G172" s="40" t="s">
        <v>428</v>
      </c>
      <c r="H172" s="40" t="s">
        <v>26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-380500</v>
      </c>
      <c r="P172" s="18">
        <v>-3975</v>
      </c>
      <c r="Q172" s="18">
        <v>0</v>
      </c>
      <c r="R172" s="18"/>
      <c r="S172" s="18">
        <f t="shared" si="5"/>
        <v>0</v>
      </c>
    </row>
    <row r="173" spans="1:19" s="20" customFormat="1" ht="15.95" customHeight="1">
      <c r="A173" s="16" t="s">
        <v>7</v>
      </c>
      <c r="B173" s="49">
        <v>2024</v>
      </c>
      <c r="C173" s="37" t="s">
        <v>34</v>
      </c>
      <c r="D173" s="40" t="s">
        <v>2195</v>
      </c>
      <c r="E173" s="54">
        <v>44322</v>
      </c>
      <c r="F173" s="17" t="s">
        <v>5</v>
      </c>
      <c r="G173" s="40" t="s">
        <v>426</v>
      </c>
      <c r="H173" s="40" t="s">
        <v>26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-44322</v>
      </c>
      <c r="Q173" s="18">
        <v>0</v>
      </c>
      <c r="R173" s="18"/>
      <c r="S173" s="18">
        <f t="shared" si="5"/>
        <v>0</v>
      </c>
    </row>
    <row r="174" spans="1:19" s="20" customFormat="1" ht="15.95" customHeight="1">
      <c r="A174" s="16" t="s">
        <v>7</v>
      </c>
      <c r="B174" s="49">
        <v>2024</v>
      </c>
      <c r="C174" s="37" t="s">
        <v>34</v>
      </c>
      <c r="D174" s="40" t="s">
        <v>2195</v>
      </c>
      <c r="E174" s="54">
        <v>4448800</v>
      </c>
      <c r="F174" s="17" t="s">
        <v>5</v>
      </c>
      <c r="G174" s="40" t="s">
        <v>435</v>
      </c>
      <c r="H174" s="40" t="s">
        <v>26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-4448800</v>
      </c>
      <c r="Q174" s="18">
        <v>0</v>
      </c>
      <c r="R174" s="18"/>
      <c r="S174" s="18">
        <f t="shared" si="5"/>
        <v>0</v>
      </c>
    </row>
    <row r="175" spans="1:19" s="20" customFormat="1" ht="15.95" customHeight="1">
      <c r="A175" s="16" t="s">
        <v>7</v>
      </c>
      <c r="B175" s="49">
        <v>2024</v>
      </c>
      <c r="C175" s="37" t="s">
        <v>34</v>
      </c>
      <c r="D175" s="40" t="s">
        <v>2195</v>
      </c>
      <c r="E175" s="54">
        <v>1965606</v>
      </c>
      <c r="F175" s="17" t="s">
        <v>5</v>
      </c>
      <c r="G175" s="40" t="s">
        <v>409</v>
      </c>
      <c r="H175" s="40" t="s">
        <v>26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-1965606</v>
      </c>
      <c r="Q175" s="18">
        <v>0</v>
      </c>
      <c r="R175" s="18"/>
      <c r="S175" s="18">
        <f t="shared" si="5"/>
        <v>0</v>
      </c>
    </row>
    <row r="176" spans="1:19" s="20" customFormat="1" ht="15.95" customHeight="1">
      <c r="A176" s="16" t="s">
        <v>7</v>
      </c>
      <c r="B176" s="49">
        <v>2024</v>
      </c>
      <c r="C176" s="37" t="s">
        <v>34</v>
      </c>
      <c r="D176" s="40" t="s">
        <v>2195</v>
      </c>
      <c r="E176" s="54">
        <v>3466605</v>
      </c>
      <c r="F176" s="17" t="s">
        <v>5</v>
      </c>
      <c r="G176" s="40" t="s">
        <v>417</v>
      </c>
      <c r="H176" s="40" t="s">
        <v>26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-3466605</v>
      </c>
      <c r="Q176" s="18">
        <v>0</v>
      </c>
      <c r="R176" s="18"/>
      <c r="S176" s="18">
        <f t="shared" si="5"/>
        <v>0</v>
      </c>
    </row>
    <row r="177" spans="1:19" s="20" customFormat="1" ht="15.95" customHeight="1">
      <c r="A177" s="16" t="s">
        <v>7</v>
      </c>
      <c r="B177" s="49">
        <v>2024</v>
      </c>
      <c r="C177" s="37" t="s">
        <v>34</v>
      </c>
      <c r="D177" s="40" t="s">
        <v>2195</v>
      </c>
      <c r="E177" s="54">
        <v>35440000</v>
      </c>
      <c r="F177" s="17" t="s">
        <v>5</v>
      </c>
      <c r="G177" s="40" t="s">
        <v>2196</v>
      </c>
      <c r="H177" s="40" t="s">
        <v>26</v>
      </c>
      <c r="I177" s="18">
        <v>0</v>
      </c>
      <c r="J177" s="18">
        <v>-34913500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/>
      <c r="S177" s="18">
        <f t="shared" si="5"/>
        <v>526500</v>
      </c>
    </row>
    <row r="178" spans="1:19" s="20" customFormat="1" ht="15.95" customHeight="1">
      <c r="A178" s="16" t="s">
        <v>7</v>
      </c>
      <c r="B178" s="49">
        <v>2024</v>
      </c>
      <c r="C178" s="37" t="s">
        <v>34</v>
      </c>
      <c r="D178" s="40" t="s">
        <v>2195</v>
      </c>
      <c r="E178" s="54">
        <v>16823</v>
      </c>
      <c r="F178" s="17" t="s">
        <v>5</v>
      </c>
      <c r="G178" s="40" t="s">
        <v>411</v>
      </c>
      <c r="H178" s="40" t="s">
        <v>26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-16823</v>
      </c>
      <c r="Q178" s="18">
        <v>0</v>
      </c>
      <c r="R178" s="18"/>
      <c r="S178" s="18">
        <f t="shared" si="5"/>
        <v>0</v>
      </c>
    </row>
    <row r="179" spans="1:19" s="20" customFormat="1" ht="15.95" customHeight="1">
      <c r="A179" s="16" t="s">
        <v>7</v>
      </c>
      <c r="B179" s="49">
        <v>2024</v>
      </c>
      <c r="C179" s="37" t="s">
        <v>34</v>
      </c>
      <c r="D179" s="40" t="s">
        <v>2195</v>
      </c>
      <c r="E179" s="54">
        <v>634400</v>
      </c>
      <c r="F179" s="17" t="s">
        <v>5</v>
      </c>
      <c r="G179" s="40" t="s">
        <v>394</v>
      </c>
      <c r="H179" s="40" t="s">
        <v>26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-634400</v>
      </c>
      <c r="Q179" s="18">
        <v>0</v>
      </c>
      <c r="R179" s="18"/>
      <c r="S179" s="18">
        <f t="shared" ref="S179:S210" si="6">E179+I179+J179+K179+L179+M179+N179+O179+P179</f>
        <v>0</v>
      </c>
    </row>
    <row r="180" spans="1:19" s="20" customFormat="1" ht="15.95" customHeight="1">
      <c r="A180" s="16" t="s">
        <v>7</v>
      </c>
      <c r="B180" s="49">
        <v>2024</v>
      </c>
      <c r="C180" s="37" t="s">
        <v>34</v>
      </c>
      <c r="D180" s="40" t="s">
        <v>2197</v>
      </c>
      <c r="E180" s="54">
        <v>4898973</v>
      </c>
      <c r="F180" s="17" t="s">
        <v>5</v>
      </c>
      <c r="G180" s="40" t="s">
        <v>427</v>
      </c>
      <c r="H180" s="40" t="s">
        <v>26</v>
      </c>
      <c r="I180" s="18">
        <v>0</v>
      </c>
      <c r="J180" s="18">
        <v>0</v>
      </c>
      <c r="K180" s="18">
        <v>-3568545</v>
      </c>
      <c r="L180" s="18">
        <v>0</v>
      </c>
      <c r="M180" s="18">
        <v>0</v>
      </c>
      <c r="N180" s="18">
        <v>0</v>
      </c>
      <c r="O180" s="18">
        <v>0</v>
      </c>
      <c r="P180" s="18">
        <v>-1330428</v>
      </c>
      <c r="Q180" s="18">
        <v>0</v>
      </c>
      <c r="R180" s="18"/>
      <c r="S180" s="18">
        <f t="shared" si="6"/>
        <v>0</v>
      </c>
    </row>
    <row r="181" spans="1:19" s="20" customFormat="1" ht="15.95" customHeight="1">
      <c r="A181" s="16" t="s">
        <v>7</v>
      </c>
      <c r="B181" s="49">
        <v>2024</v>
      </c>
      <c r="C181" s="37" t="s">
        <v>34</v>
      </c>
      <c r="D181" s="40" t="s">
        <v>2195</v>
      </c>
      <c r="E181" s="54">
        <v>23821424</v>
      </c>
      <c r="F181" s="17" t="s">
        <v>5</v>
      </c>
      <c r="G181" s="40" t="s">
        <v>420</v>
      </c>
      <c r="H181" s="40" t="s">
        <v>26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-23821424</v>
      </c>
      <c r="Q181" s="18">
        <v>0</v>
      </c>
      <c r="R181" s="18"/>
      <c r="S181" s="18">
        <f t="shared" si="6"/>
        <v>0</v>
      </c>
    </row>
    <row r="182" spans="1:19" s="20" customFormat="1" ht="15.95" customHeight="1">
      <c r="A182" s="16" t="s">
        <v>7</v>
      </c>
      <c r="B182" s="49">
        <v>2024</v>
      </c>
      <c r="C182" s="37" t="s">
        <v>34</v>
      </c>
      <c r="D182" s="40" t="s">
        <v>2195</v>
      </c>
      <c r="E182" s="54">
        <v>32037507</v>
      </c>
      <c r="F182" s="17" t="s">
        <v>5</v>
      </c>
      <c r="G182" s="40" t="s">
        <v>395</v>
      </c>
      <c r="H182" s="40" t="s">
        <v>26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-32037507</v>
      </c>
      <c r="Q182" s="18">
        <v>0</v>
      </c>
      <c r="R182" s="18"/>
      <c r="S182" s="18">
        <f t="shared" si="6"/>
        <v>0</v>
      </c>
    </row>
    <row r="183" spans="1:19" s="20" customFormat="1" ht="15.95" customHeight="1">
      <c r="A183" s="16" t="s">
        <v>7</v>
      </c>
      <c r="B183" s="49">
        <v>2024</v>
      </c>
      <c r="C183" s="37" t="s">
        <v>34</v>
      </c>
      <c r="D183" s="40" t="s">
        <v>2195</v>
      </c>
      <c r="E183" s="54">
        <v>96693309</v>
      </c>
      <c r="F183" s="17" t="s">
        <v>5</v>
      </c>
      <c r="G183" s="40" t="s">
        <v>2198</v>
      </c>
      <c r="H183" s="40" t="s">
        <v>26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-96693309</v>
      </c>
      <c r="Q183" s="18">
        <v>0</v>
      </c>
      <c r="R183" s="18"/>
      <c r="S183" s="18">
        <f t="shared" si="6"/>
        <v>0</v>
      </c>
    </row>
    <row r="184" spans="1:19" s="20" customFormat="1" ht="15.95" customHeight="1">
      <c r="A184" s="16" t="s">
        <v>7</v>
      </c>
      <c r="B184" s="49">
        <v>2024</v>
      </c>
      <c r="C184" s="37" t="s">
        <v>34</v>
      </c>
      <c r="D184" s="40" t="s">
        <v>2195</v>
      </c>
      <c r="E184" s="54">
        <v>15573978</v>
      </c>
      <c r="F184" s="17" t="s">
        <v>5</v>
      </c>
      <c r="G184" s="40" t="s">
        <v>430</v>
      </c>
      <c r="H184" s="40" t="s">
        <v>26</v>
      </c>
      <c r="I184" s="18">
        <v>0</v>
      </c>
      <c r="J184" s="18">
        <v>0</v>
      </c>
      <c r="K184" s="18">
        <v>-354200</v>
      </c>
      <c r="L184" s="18">
        <v>0</v>
      </c>
      <c r="M184" s="18">
        <v>0</v>
      </c>
      <c r="N184" s="18">
        <v>0</v>
      </c>
      <c r="O184" s="18">
        <v>0</v>
      </c>
      <c r="P184" s="18">
        <v>-15219778</v>
      </c>
      <c r="Q184" s="18">
        <v>0</v>
      </c>
      <c r="R184" s="18"/>
      <c r="S184" s="18">
        <f t="shared" si="6"/>
        <v>0</v>
      </c>
    </row>
    <row r="185" spans="1:19" s="20" customFormat="1" ht="15.95" customHeight="1">
      <c r="A185" s="16" t="s">
        <v>7</v>
      </c>
      <c r="B185" s="49">
        <v>2024</v>
      </c>
      <c r="C185" s="37" t="s">
        <v>34</v>
      </c>
      <c r="D185" s="40" t="s">
        <v>2195</v>
      </c>
      <c r="E185" s="54">
        <v>1405635</v>
      </c>
      <c r="F185" s="17" t="s">
        <v>5</v>
      </c>
      <c r="G185" s="40" t="s">
        <v>2199</v>
      </c>
      <c r="H185" s="40" t="s">
        <v>26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-1405635</v>
      </c>
      <c r="Q185" s="18">
        <v>0</v>
      </c>
      <c r="R185" s="18"/>
      <c r="S185" s="18">
        <f t="shared" si="6"/>
        <v>0</v>
      </c>
    </row>
    <row r="186" spans="1:19" s="20" customFormat="1" ht="15.95" customHeight="1">
      <c r="A186" s="16" t="s">
        <v>7</v>
      </c>
      <c r="B186" s="49">
        <v>2024</v>
      </c>
      <c r="C186" s="37" t="s">
        <v>34</v>
      </c>
      <c r="D186" s="40" t="s">
        <v>2195</v>
      </c>
      <c r="E186" s="54">
        <v>4937500</v>
      </c>
      <c r="F186" s="17" t="s">
        <v>5</v>
      </c>
      <c r="G186" s="40" t="s">
        <v>439</v>
      </c>
      <c r="H186" s="40" t="s">
        <v>26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-4937500</v>
      </c>
      <c r="Q186" s="18">
        <v>0</v>
      </c>
      <c r="R186" s="18"/>
      <c r="S186" s="18">
        <f t="shared" si="6"/>
        <v>0</v>
      </c>
    </row>
    <row r="187" spans="1:19" s="20" customFormat="1" ht="15.95" customHeight="1">
      <c r="A187" s="16" t="s">
        <v>7</v>
      </c>
      <c r="B187" s="49">
        <v>2024</v>
      </c>
      <c r="C187" s="37" t="s">
        <v>34</v>
      </c>
      <c r="D187" s="40" t="s">
        <v>2195</v>
      </c>
      <c r="E187" s="54">
        <v>583049</v>
      </c>
      <c r="F187" s="17" t="s">
        <v>5</v>
      </c>
      <c r="G187" s="40" t="s">
        <v>2200</v>
      </c>
      <c r="H187" s="40" t="s">
        <v>26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-583049</v>
      </c>
      <c r="Q187" s="18">
        <v>0</v>
      </c>
      <c r="R187" s="18"/>
      <c r="S187" s="18">
        <f t="shared" si="6"/>
        <v>0</v>
      </c>
    </row>
    <row r="188" spans="1:19" s="20" customFormat="1" ht="15.95" customHeight="1">
      <c r="A188" s="16" t="s">
        <v>7</v>
      </c>
      <c r="B188" s="49">
        <v>2024</v>
      </c>
      <c r="C188" s="37" t="s">
        <v>34</v>
      </c>
      <c r="D188" s="40" t="s">
        <v>2195</v>
      </c>
      <c r="E188" s="54">
        <v>1911337</v>
      </c>
      <c r="F188" s="17" t="s">
        <v>5</v>
      </c>
      <c r="G188" s="40" t="s">
        <v>2201</v>
      </c>
      <c r="H188" s="40" t="s">
        <v>26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-1911337</v>
      </c>
      <c r="Q188" s="18">
        <v>0</v>
      </c>
      <c r="R188" s="18"/>
      <c r="S188" s="18">
        <f t="shared" si="6"/>
        <v>0</v>
      </c>
    </row>
    <row r="189" spans="1:19" s="20" customFormat="1" ht="15.95" customHeight="1">
      <c r="A189" s="16" t="s">
        <v>7</v>
      </c>
      <c r="B189" s="49">
        <v>2025</v>
      </c>
      <c r="C189" s="37" t="s">
        <v>7790</v>
      </c>
      <c r="D189" s="40" t="s">
        <v>7761</v>
      </c>
      <c r="E189" s="54">
        <v>0</v>
      </c>
      <c r="F189" s="17" t="s">
        <v>5</v>
      </c>
      <c r="G189" s="40" t="s">
        <v>5998</v>
      </c>
      <c r="H189" s="40" t="s">
        <v>26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14279600</v>
      </c>
      <c r="Q189" s="18">
        <v>0</v>
      </c>
      <c r="R189" s="18"/>
      <c r="S189" s="18">
        <f t="shared" si="6"/>
        <v>14279600</v>
      </c>
    </row>
    <row r="190" spans="1:19" s="20" customFormat="1" ht="15.95" customHeight="1">
      <c r="A190" s="16" t="s">
        <v>7</v>
      </c>
      <c r="B190" s="49">
        <v>2025</v>
      </c>
      <c r="C190" s="37" t="s">
        <v>7790</v>
      </c>
      <c r="D190" s="40" t="s">
        <v>7762</v>
      </c>
      <c r="E190" s="54">
        <v>0</v>
      </c>
      <c r="F190" s="17" t="s">
        <v>5</v>
      </c>
      <c r="G190" s="40" t="s">
        <v>5956</v>
      </c>
      <c r="H190" s="40" t="s">
        <v>26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7280000</v>
      </c>
      <c r="Q190" s="18">
        <v>0</v>
      </c>
      <c r="R190" s="18"/>
      <c r="S190" s="18">
        <f t="shared" si="6"/>
        <v>7280000</v>
      </c>
    </row>
    <row r="191" spans="1:19" s="20" customFormat="1" ht="15.95" customHeight="1">
      <c r="A191" s="16" t="s">
        <v>7</v>
      </c>
      <c r="B191" s="49">
        <v>2025</v>
      </c>
      <c r="C191" s="37" t="s">
        <v>7790</v>
      </c>
      <c r="D191" s="40" t="s">
        <v>7763</v>
      </c>
      <c r="E191" s="54">
        <v>0</v>
      </c>
      <c r="F191" s="17" t="s">
        <v>5</v>
      </c>
      <c r="G191" s="40" t="s">
        <v>6003</v>
      </c>
      <c r="H191" s="40" t="s">
        <v>26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1477475</v>
      </c>
      <c r="Q191" s="18">
        <v>0</v>
      </c>
      <c r="R191" s="18"/>
      <c r="S191" s="18">
        <f t="shared" si="6"/>
        <v>1477475</v>
      </c>
    </row>
    <row r="192" spans="1:19" s="20" customFormat="1" ht="15.95" customHeight="1">
      <c r="A192" s="16" t="s">
        <v>7</v>
      </c>
      <c r="B192" s="49">
        <v>2025</v>
      </c>
      <c r="C192" s="37" t="s">
        <v>7790</v>
      </c>
      <c r="D192" s="40" t="s">
        <v>7764</v>
      </c>
      <c r="E192" s="54">
        <v>0</v>
      </c>
      <c r="F192" s="17" t="s">
        <v>5</v>
      </c>
      <c r="G192" s="40" t="s">
        <v>4098</v>
      </c>
      <c r="H192" s="40" t="s">
        <v>26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1500000</v>
      </c>
      <c r="Q192" s="18">
        <v>0</v>
      </c>
      <c r="R192" s="18"/>
      <c r="S192" s="18">
        <f t="shared" si="6"/>
        <v>1500000</v>
      </c>
    </row>
    <row r="193" spans="1:19" s="20" customFormat="1" ht="15.95" customHeight="1">
      <c r="A193" s="16" t="s">
        <v>7</v>
      </c>
      <c r="B193" s="49">
        <v>2025</v>
      </c>
      <c r="C193" s="37" t="s">
        <v>7790</v>
      </c>
      <c r="D193" s="40" t="s">
        <v>7766</v>
      </c>
      <c r="E193" s="54">
        <v>0</v>
      </c>
      <c r="F193" s="17" t="s">
        <v>5</v>
      </c>
      <c r="G193" s="40" t="s">
        <v>6583</v>
      </c>
      <c r="H193" s="40" t="s">
        <v>26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3500000</v>
      </c>
      <c r="Q193" s="18">
        <v>0</v>
      </c>
      <c r="R193" s="18"/>
      <c r="S193" s="18">
        <f t="shared" si="6"/>
        <v>3500000</v>
      </c>
    </row>
    <row r="194" spans="1:19" s="20" customFormat="1" ht="15.95" customHeight="1">
      <c r="A194" s="16" t="s">
        <v>7</v>
      </c>
      <c r="B194" s="49">
        <v>2025</v>
      </c>
      <c r="C194" s="37" t="s">
        <v>7790</v>
      </c>
      <c r="D194" s="40" t="s">
        <v>7767</v>
      </c>
      <c r="E194" s="54">
        <v>0</v>
      </c>
      <c r="F194" s="17" t="s">
        <v>5</v>
      </c>
      <c r="G194" s="40" t="s">
        <v>6585</v>
      </c>
      <c r="H194" s="40" t="s">
        <v>26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2500000</v>
      </c>
      <c r="Q194" s="18">
        <v>0</v>
      </c>
      <c r="R194" s="18"/>
      <c r="S194" s="18">
        <f t="shared" si="6"/>
        <v>2500000</v>
      </c>
    </row>
    <row r="195" spans="1:19" s="20" customFormat="1" ht="15.95" customHeight="1">
      <c r="A195" s="16" t="s">
        <v>7</v>
      </c>
      <c r="B195" s="49">
        <v>2025</v>
      </c>
      <c r="C195" s="37" t="s">
        <v>7790</v>
      </c>
      <c r="D195" s="40" t="s">
        <v>7768</v>
      </c>
      <c r="E195" s="54">
        <v>0</v>
      </c>
      <c r="F195" s="17" t="s">
        <v>5</v>
      </c>
      <c r="G195" s="40" t="s">
        <v>6584</v>
      </c>
      <c r="H195" s="40" t="s">
        <v>26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1500000</v>
      </c>
      <c r="Q195" s="18">
        <v>0</v>
      </c>
      <c r="R195" s="18"/>
      <c r="S195" s="18">
        <f t="shared" si="6"/>
        <v>1500000</v>
      </c>
    </row>
    <row r="196" spans="1:19" s="20" customFormat="1" ht="15.95" customHeight="1">
      <c r="A196" s="16" t="s">
        <v>7</v>
      </c>
      <c r="B196" s="49">
        <v>2025</v>
      </c>
      <c r="C196" s="37" t="s">
        <v>7790</v>
      </c>
      <c r="D196" s="40" t="s">
        <v>7769</v>
      </c>
      <c r="E196" s="54">
        <v>0</v>
      </c>
      <c r="F196" s="17" t="s">
        <v>5</v>
      </c>
      <c r="G196" s="40" t="s">
        <v>2473</v>
      </c>
      <c r="H196" s="40" t="s">
        <v>26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3500000</v>
      </c>
      <c r="Q196" s="18">
        <v>0</v>
      </c>
      <c r="R196" s="18"/>
      <c r="S196" s="18">
        <f t="shared" si="6"/>
        <v>3500000</v>
      </c>
    </row>
    <row r="197" spans="1:19" s="20" customFormat="1" ht="15.95" customHeight="1">
      <c r="A197" s="16" t="s">
        <v>7</v>
      </c>
      <c r="B197" s="49">
        <v>2025</v>
      </c>
      <c r="C197" s="37" t="s">
        <v>7790</v>
      </c>
      <c r="D197" s="40" t="s">
        <v>7770</v>
      </c>
      <c r="E197" s="54">
        <v>0</v>
      </c>
      <c r="F197" s="17" t="s">
        <v>5</v>
      </c>
      <c r="G197" s="40" t="s">
        <v>6582</v>
      </c>
      <c r="H197" s="40" t="s">
        <v>26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3500000</v>
      </c>
      <c r="Q197" s="18">
        <v>0</v>
      </c>
      <c r="R197" s="18"/>
      <c r="S197" s="18">
        <f t="shared" si="6"/>
        <v>3500000</v>
      </c>
    </row>
    <row r="198" spans="1:19" s="20" customFormat="1" ht="15.95" customHeight="1">
      <c r="A198" s="16" t="s">
        <v>7</v>
      </c>
      <c r="B198" s="49">
        <v>2025</v>
      </c>
      <c r="C198" s="37" t="s">
        <v>7791</v>
      </c>
      <c r="D198" s="40" t="s">
        <v>7774</v>
      </c>
      <c r="E198" s="54">
        <v>0</v>
      </c>
      <c r="F198" s="17" t="s">
        <v>5</v>
      </c>
      <c r="G198" s="40" t="s">
        <v>2238</v>
      </c>
      <c r="H198" s="40" t="s">
        <v>26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2700000</v>
      </c>
      <c r="Q198" s="18">
        <v>0</v>
      </c>
      <c r="R198" s="18"/>
      <c r="S198" s="18">
        <f t="shared" si="6"/>
        <v>2700000</v>
      </c>
    </row>
    <row r="199" spans="1:19" s="20" customFormat="1" ht="15.95" customHeight="1">
      <c r="A199" s="16" t="s">
        <v>7</v>
      </c>
      <c r="B199" s="49">
        <v>2025</v>
      </c>
      <c r="C199" s="37" t="s">
        <v>7791</v>
      </c>
      <c r="D199" s="40" t="s">
        <v>7775</v>
      </c>
      <c r="E199" s="54">
        <v>0</v>
      </c>
      <c r="F199" s="17" t="s">
        <v>5</v>
      </c>
      <c r="G199" s="40" t="s">
        <v>2238</v>
      </c>
      <c r="H199" s="40" t="s">
        <v>26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8980000</v>
      </c>
      <c r="Q199" s="18">
        <v>0</v>
      </c>
      <c r="R199" s="18"/>
      <c r="S199" s="18">
        <f t="shared" si="6"/>
        <v>8980000</v>
      </c>
    </row>
    <row r="200" spans="1:19" s="20" customFormat="1" ht="15.95" customHeight="1">
      <c r="A200" s="16" t="s">
        <v>7</v>
      </c>
      <c r="B200" s="49">
        <v>2025</v>
      </c>
      <c r="C200" s="37" t="s">
        <v>7791</v>
      </c>
      <c r="D200" s="40" t="s">
        <v>7776</v>
      </c>
      <c r="E200" s="54">
        <v>0</v>
      </c>
      <c r="F200" s="17" t="s">
        <v>5</v>
      </c>
      <c r="G200" s="40" t="s">
        <v>2238</v>
      </c>
      <c r="H200" s="40" t="s">
        <v>26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3100000</v>
      </c>
      <c r="Q200" s="18">
        <v>0</v>
      </c>
      <c r="R200" s="18"/>
      <c r="S200" s="18">
        <f t="shared" si="6"/>
        <v>3100000</v>
      </c>
    </row>
    <row r="201" spans="1:19" s="20" customFormat="1" ht="15.95" customHeight="1">
      <c r="A201" s="16" t="s">
        <v>7</v>
      </c>
      <c r="B201" s="49">
        <v>2025</v>
      </c>
      <c r="C201" s="37" t="s">
        <v>7791</v>
      </c>
      <c r="D201" s="40" t="s">
        <v>7777</v>
      </c>
      <c r="E201" s="54">
        <v>0</v>
      </c>
      <c r="F201" s="17" t="s">
        <v>5</v>
      </c>
      <c r="G201" s="40" t="s">
        <v>2238</v>
      </c>
      <c r="H201" s="40" t="s">
        <v>26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12942000</v>
      </c>
      <c r="Q201" s="18">
        <v>0</v>
      </c>
      <c r="R201" s="18"/>
      <c r="S201" s="18">
        <f t="shared" si="6"/>
        <v>12942000</v>
      </c>
    </row>
    <row r="202" spans="1:19" s="20" customFormat="1" ht="15.95" customHeight="1">
      <c r="A202" s="16" t="s">
        <v>7</v>
      </c>
      <c r="B202" s="49">
        <v>2025</v>
      </c>
      <c r="C202" s="37" t="s">
        <v>7791</v>
      </c>
      <c r="D202" s="40" t="s">
        <v>7776</v>
      </c>
      <c r="E202" s="54">
        <v>0</v>
      </c>
      <c r="F202" s="17" t="s">
        <v>5</v>
      </c>
      <c r="G202" s="40" t="s">
        <v>2238</v>
      </c>
      <c r="H202" s="40" t="s">
        <v>26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331100</v>
      </c>
      <c r="Q202" s="18">
        <v>0</v>
      </c>
      <c r="R202" s="18"/>
      <c r="S202" s="18">
        <f t="shared" si="6"/>
        <v>331100</v>
      </c>
    </row>
    <row r="203" spans="1:19" s="20" customFormat="1" ht="15.95" customHeight="1">
      <c r="A203" s="16" t="s">
        <v>7</v>
      </c>
      <c r="B203" s="49">
        <v>2025</v>
      </c>
      <c r="C203" s="37" t="s">
        <v>7791</v>
      </c>
      <c r="D203" s="40" t="s">
        <v>7777</v>
      </c>
      <c r="E203" s="54">
        <v>0</v>
      </c>
      <c r="F203" s="17" t="s">
        <v>5</v>
      </c>
      <c r="G203" s="40" t="s">
        <v>2238</v>
      </c>
      <c r="H203" s="40" t="s">
        <v>26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1387155</v>
      </c>
      <c r="Q203" s="18">
        <v>0</v>
      </c>
      <c r="R203" s="18"/>
      <c r="S203" s="18">
        <f t="shared" si="6"/>
        <v>1387155</v>
      </c>
    </row>
    <row r="204" spans="1:19" s="20" customFormat="1" ht="15.95" customHeight="1">
      <c r="A204" s="16" t="s">
        <v>7</v>
      </c>
      <c r="B204" s="49">
        <v>2025</v>
      </c>
      <c r="C204" s="37" t="s">
        <v>7793</v>
      </c>
      <c r="D204" s="40" t="s">
        <v>7778</v>
      </c>
      <c r="E204" s="54">
        <v>0</v>
      </c>
      <c r="F204" s="17" t="s">
        <v>5</v>
      </c>
      <c r="G204" s="40" t="s">
        <v>5956</v>
      </c>
      <c r="H204" s="40" t="s">
        <v>26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2350000</v>
      </c>
      <c r="Q204" s="18">
        <v>0</v>
      </c>
      <c r="R204" s="18"/>
      <c r="S204" s="18">
        <f t="shared" si="6"/>
        <v>2350000</v>
      </c>
    </row>
    <row r="205" spans="1:19" s="20" customFormat="1" ht="15.95" customHeight="1">
      <c r="A205" s="16" t="s">
        <v>7</v>
      </c>
      <c r="B205" s="49">
        <v>2025</v>
      </c>
      <c r="C205" s="37" t="s">
        <v>7793</v>
      </c>
      <c r="D205" s="8" t="s">
        <v>7836</v>
      </c>
      <c r="E205" s="54">
        <v>0</v>
      </c>
      <c r="F205" s="17" t="s">
        <v>5</v>
      </c>
      <c r="G205" s="40" t="s">
        <v>5956</v>
      </c>
      <c r="H205" s="40" t="s">
        <v>26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50053500</v>
      </c>
      <c r="Q205" s="18">
        <v>0</v>
      </c>
      <c r="R205" s="18"/>
      <c r="S205" s="18">
        <f t="shared" si="6"/>
        <v>50053500</v>
      </c>
    </row>
    <row r="206" spans="1:19" s="20" customFormat="1" ht="15.95" customHeight="1">
      <c r="A206" s="16" t="s">
        <v>7</v>
      </c>
      <c r="B206" s="49">
        <v>2025</v>
      </c>
      <c r="C206" s="37" t="s">
        <v>7793</v>
      </c>
      <c r="D206" s="8" t="s">
        <v>7837</v>
      </c>
      <c r="E206" s="54">
        <v>0</v>
      </c>
      <c r="F206" s="17" t="s">
        <v>5</v>
      </c>
      <c r="G206" s="8" t="s">
        <v>6541</v>
      </c>
      <c r="H206" s="40" t="s">
        <v>26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5000000</v>
      </c>
      <c r="Q206" s="18">
        <v>0</v>
      </c>
      <c r="R206" s="18"/>
      <c r="S206" s="18">
        <f t="shared" si="6"/>
        <v>5000000</v>
      </c>
    </row>
    <row r="207" spans="1:19" s="20" customFormat="1" ht="15.95" customHeight="1">
      <c r="A207" s="16" t="s">
        <v>7</v>
      </c>
      <c r="B207" s="49">
        <v>2025</v>
      </c>
      <c r="C207" s="37" t="s">
        <v>7793</v>
      </c>
      <c r="D207" s="40" t="s">
        <v>7779</v>
      </c>
      <c r="E207" s="54">
        <v>0</v>
      </c>
      <c r="F207" s="17" t="s">
        <v>5</v>
      </c>
      <c r="G207" s="40" t="s">
        <v>2238</v>
      </c>
      <c r="H207" s="40" t="s">
        <v>26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3345000</v>
      </c>
      <c r="Q207" s="18">
        <v>0</v>
      </c>
      <c r="R207" s="18"/>
      <c r="S207" s="18">
        <f t="shared" si="6"/>
        <v>3345000</v>
      </c>
    </row>
    <row r="208" spans="1:19" s="20" customFormat="1" ht="15.95" customHeight="1">
      <c r="A208" s="16" t="s">
        <v>7</v>
      </c>
      <c r="B208" s="49">
        <v>2025</v>
      </c>
      <c r="C208" s="37" t="s">
        <v>7793</v>
      </c>
      <c r="D208" s="40" t="s">
        <v>7838</v>
      </c>
      <c r="E208" s="54">
        <v>0</v>
      </c>
      <c r="F208" s="17" t="s">
        <v>5</v>
      </c>
      <c r="G208" s="8" t="s">
        <v>6576</v>
      </c>
      <c r="H208" s="40" t="s">
        <v>26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119000</v>
      </c>
      <c r="Q208" s="18">
        <v>0</v>
      </c>
      <c r="R208" s="18"/>
      <c r="S208" s="18">
        <f t="shared" si="6"/>
        <v>119000</v>
      </c>
    </row>
    <row r="209" spans="1:19" s="20" customFormat="1" ht="15.95" customHeight="1">
      <c r="A209" s="16" t="s">
        <v>7</v>
      </c>
      <c r="B209" s="49">
        <v>2025</v>
      </c>
      <c r="C209" s="37" t="s">
        <v>7793</v>
      </c>
      <c r="D209" s="40" t="s">
        <v>7839</v>
      </c>
      <c r="E209" s="54">
        <v>0</v>
      </c>
      <c r="F209" s="17" t="s">
        <v>5</v>
      </c>
      <c r="G209" s="8" t="s">
        <v>6123</v>
      </c>
      <c r="H209" s="40" t="s">
        <v>26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18000000</v>
      </c>
      <c r="Q209" s="18">
        <v>0</v>
      </c>
      <c r="R209" s="18"/>
      <c r="S209" s="18">
        <f t="shared" si="6"/>
        <v>18000000</v>
      </c>
    </row>
    <row r="210" spans="1:19" s="20" customFormat="1" ht="15.95" customHeight="1">
      <c r="A210" s="16" t="s">
        <v>7</v>
      </c>
      <c r="B210" s="49">
        <v>2025</v>
      </c>
      <c r="C210" s="37" t="s">
        <v>7840</v>
      </c>
      <c r="D210" t="s">
        <v>7841</v>
      </c>
      <c r="E210" s="54">
        <v>0</v>
      </c>
      <c r="F210" s="17" t="s">
        <v>5</v>
      </c>
      <c r="G210" s="40" t="s">
        <v>2238</v>
      </c>
      <c r="H210" s="40" t="s">
        <v>26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183500</v>
      </c>
      <c r="Q210" s="18">
        <v>0</v>
      </c>
      <c r="R210" s="18"/>
      <c r="S210" s="18">
        <f t="shared" si="6"/>
        <v>183500</v>
      </c>
    </row>
    <row r="211" spans="1:19" s="20" customFormat="1" ht="15.95" customHeight="1">
      <c r="A211" s="16" t="s">
        <v>7</v>
      </c>
      <c r="B211" s="49">
        <v>2025</v>
      </c>
      <c r="C211" s="37" t="s">
        <v>7840</v>
      </c>
      <c r="D211" t="s">
        <v>7842</v>
      </c>
      <c r="E211" s="54">
        <v>0</v>
      </c>
      <c r="F211" s="17" t="s">
        <v>5</v>
      </c>
      <c r="G211" s="40" t="s">
        <v>2238</v>
      </c>
      <c r="H211" s="40" t="s">
        <v>26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21000</v>
      </c>
      <c r="Q211" s="18">
        <v>0</v>
      </c>
      <c r="R211" s="18"/>
      <c r="S211" s="18">
        <f t="shared" ref="S211:S242" si="7">E211+I211+J211+K211+L211+M211+N211+O211+P211</f>
        <v>21000</v>
      </c>
    </row>
    <row r="212" spans="1:19" s="20" customFormat="1" ht="15.95" customHeight="1">
      <c r="A212" s="16" t="s">
        <v>7</v>
      </c>
      <c r="B212" s="49">
        <v>2025</v>
      </c>
      <c r="C212" s="37" t="s">
        <v>7928</v>
      </c>
      <c r="D212" s="40" t="s">
        <v>7929</v>
      </c>
      <c r="E212" s="54">
        <v>0</v>
      </c>
      <c r="F212" s="17" t="s">
        <v>5</v>
      </c>
      <c r="G212" s="40" t="s">
        <v>1352</v>
      </c>
      <c r="H212" s="40" t="s">
        <v>26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327642222</v>
      </c>
      <c r="Q212" s="18">
        <v>0</v>
      </c>
      <c r="R212" s="18"/>
      <c r="S212" s="18">
        <f t="shared" si="7"/>
        <v>327642222</v>
      </c>
    </row>
    <row r="213" spans="1:19" s="20" customFormat="1" ht="15.95" customHeight="1">
      <c r="A213" s="16" t="s">
        <v>7</v>
      </c>
      <c r="B213" s="49">
        <v>2025</v>
      </c>
      <c r="C213" s="37" t="s">
        <v>7930</v>
      </c>
      <c r="D213" s="40" t="s">
        <v>7891</v>
      </c>
      <c r="E213" s="54">
        <v>0</v>
      </c>
      <c r="F213" s="17" t="s">
        <v>5</v>
      </c>
      <c r="G213" s="40" t="s">
        <v>6123</v>
      </c>
      <c r="H213" s="40" t="s">
        <v>26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163415</v>
      </c>
      <c r="Q213" s="18">
        <v>0</v>
      </c>
      <c r="R213" s="18"/>
      <c r="S213" s="18">
        <f t="shared" si="7"/>
        <v>163415</v>
      </c>
    </row>
    <row r="214" spans="1:19" s="20" customFormat="1" ht="15.95" customHeight="1">
      <c r="A214" s="16" t="s">
        <v>7</v>
      </c>
      <c r="B214" s="49">
        <v>2025</v>
      </c>
      <c r="C214" s="37" t="s">
        <v>7930</v>
      </c>
      <c r="D214" s="40" t="s">
        <v>7892</v>
      </c>
      <c r="E214" s="54">
        <v>0</v>
      </c>
      <c r="F214" s="17" t="s">
        <v>5</v>
      </c>
      <c r="G214" s="40" t="s">
        <v>2238</v>
      </c>
      <c r="H214" s="40" t="s">
        <v>26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6806591</v>
      </c>
      <c r="Q214" s="18">
        <v>0</v>
      </c>
      <c r="R214" s="18"/>
      <c r="S214" s="18">
        <f t="shared" si="7"/>
        <v>6806591</v>
      </c>
    </row>
    <row r="215" spans="1:19" s="20" customFormat="1" ht="15.95" customHeight="1">
      <c r="A215" s="16" t="s">
        <v>7</v>
      </c>
      <c r="B215" s="49">
        <v>2025</v>
      </c>
      <c r="C215" s="37" t="s">
        <v>7930</v>
      </c>
      <c r="D215" s="40" t="s">
        <v>7893</v>
      </c>
      <c r="E215" s="54">
        <v>0</v>
      </c>
      <c r="F215" s="17" t="s">
        <v>5</v>
      </c>
      <c r="G215" s="40" t="s">
        <v>2238</v>
      </c>
      <c r="H215" s="40" t="s">
        <v>26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1360325</v>
      </c>
      <c r="Q215" s="18">
        <v>0</v>
      </c>
      <c r="R215" s="18"/>
      <c r="S215" s="18">
        <f t="shared" si="7"/>
        <v>1360325</v>
      </c>
    </row>
    <row r="216" spans="1:19" s="20" customFormat="1" ht="15.95" customHeight="1">
      <c r="A216" s="16" t="s">
        <v>7</v>
      </c>
      <c r="B216" s="49">
        <v>2025</v>
      </c>
      <c r="C216" s="37" t="s">
        <v>7930</v>
      </c>
      <c r="D216" s="40" t="s">
        <v>7894</v>
      </c>
      <c r="E216" s="54">
        <v>0</v>
      </c>
      <c r="F216" s="17" t="s">
        <v>5</v>
      </c>
      <c r="G216" s="40" t="s">
        <v>2238</v>
      </c>
      <c r="H216" s="40" t="s">
        <v>26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307701</v>
      </c>
      <c r="Q216" s="18">
        <v>0</v>
      </c>
      <c r="R216" s="18"/>
      <c r="S216" s="18">
        <f t="shared" si="7"/>
        <v>307701</v>
      </c>
    </row>
    <row r="217" spans="1:19" s="20" customFormat="1" ht="15.95" customHeight="1">
      <c r="A217" s="16" t="s">
        <v>7</v>
      </c>
      <c r="B217" s="49">
        <v>2025</v>
      </c>
      <c r="C217" s="37" t="s">
        <v>7930</v>
      </c>
      <c r="D217" s="40" t="s">
        <v>7895</v>
      </c>
      <c r="E217" s="54">
        <v>0</v>
      </c>
      <c r="F217" s="17" t="s">
        <v>5</v>
      </c>
      <c r="G217" s="40" t="s">
        <v>2238</v>
      </c>
      <c r="H217" s="40" t="s">
        <v>26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309000</v>
      </c>
      <c r="Q217" s="18">
        <v>0</v>
      </c>
      <c r="R217" s="18"/>
      <c r="S217" s="18">
        <f t="shared" si="7"/>
        <v>309000</v>
      </c>
    </row>
    <row r="218" spans="1:19" s="20" customFormat="1" ht="15.95" customHeight="1">
      <c r="A218" s="16" t="s">
        <v>7</v>
      </c>
      <c r="B218" s="49">
        <v>2025</v>
      </c>
      <c r="C218" s="37" t="s">
        <v>7930</v>
      </c>
      <c r="D218" s="40" t="s">
        <v>7896</v>
      </c>
      <c r="E218" s="54">
        <v>0</v>
      </c>
      <c r="F218" s="17" t="s">
        <v>5</v>
      </c>
      <c r="G218" s="40" t="s">
        <v>2238</v>
      </c>
      <c r="H218" s="40" t="s">
        <v>26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2371450</v>
      </c>
      <c r="Q218" s="18">
        <v>0</v>
      </c>
      <c r="R218" s="18"/>
      <c r="S218" s="18">
        <f t="shared" si="7"/>
        <v>2371450</v>
      </c>
    </row>
    <row r="219" spans="1:19" s="20" customFormat="1" ht="15.95" customHeight="1">
      <c r="A219" s="16" t="s">
        <v>7</v>
      </c>
      <c r="B219" s="49">
        <v>2025</v>
      </c>
      <c r="C219" s="37" t="s">
        <v>7930</v>
      </c>
      <c r="D219" s="40" t="s">
        <v>7897</v>
      </c>
      <c r="E219" s="54">
        <v>0</v>
      </c>
      <c r="F219" s="17" t="s">
        <v>5</v>
      </c>
      <c r="G219" s="40" t="s">
        <v>2238</v>
      </c>
      <c r="H219" s="40" t="s">
        <v>26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137300</v>
      </c>
      <c r="Q219" s="18">
        <v>0</v>
      </c>
      <c r="R219" s="18"/>
      <c r="S219" s="18">
        <f t="shared" si="7"/>
        <v>137300</v>
      </c>
    </row>
    <row r="220" spans="1:19" s="20" customFormat="1" ht="15.95" customHeight="1">
      <c r="A220" s="16" t="s">
        <v>7</v>
      </c>
      <c r="B220" s="49">
        <v>2025</v>
      </c>
      <c r="C220" s="37" t="s">
        <v>7930</v>
      </c>
      <c r="D220" s="40" t="s">
        <v>7898</v>
      </c>
      <c r="E220" s="54">
        <v>0</v>
      </c>
      <c r="F220" s="17" t="s">
        <v>5</v>
      </c>
      <c r="G220" s="40" t="s">
        <v>5748</v>
      </c>
      <c r="H220" s="40" t="s">
        <v>26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80400</v>
      </c>
      <c r="Q220" s="18">
        <v>0</v>
      </c>
      <c r="R220" s="18"/>
      <c r="S220" s="18">
        <f t="shared" si="7"/>
        <v>80400</v>
      </c>
    </row>
    <row r="221" spans="1:19" s="20" customFormat="1" ht="15.95" customHeight="1">
      <c r="A221" s="16" t="s">
        <v>7</v>
      </c>
      <c r="B221" s="49">
        <v>2025</v>
      </c>
      <c r="C221" s="37" t="s">
        <v>7930</v>
      </c>
      <c r="D221" s="40" t="s">
        <v>7899</v>
      </c>
      <c r="E221" s="54">
        <v>0</v>
      </c>
      <c r="F221" s="17" t="s">
        <v>5</v>
      </c>
      <c r="G221" s="40" t="s">
        <v>5748</v>
      </c>
      <c r="H221" s="40" t="s">
        <v>26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35959</v>
      </c>
      <c r="Q221" s="18">
        <v>0</v>
      </c>
      <c r="R221" s="18"/>
      <c r="S221" s="18">
        <f t="shared" si="7"/>
        <v>35959</v>
      </c>
    </row>
    <row r="222" spans="1:19" s="20" customFormat="1" ht="15.95" customHeight="1">
      <c r="A222" s="16" t="s">
        <v>7</v>
      </c>
      <c r="B222" s="49">
        <v>2025</v>
      </c>
      <c r="C222" s="37" t="s">
        <v>7930</v>
      </c>
      <c r="D222" s="40" t="s">
        <v>7900</v>
      </c>
      <c r="E222" s="54">
        <v>0</v>
      </c>
      <c r="F222" s="17" t="s">
        <v>5</v>
      </c>
      <c r="G222" s="40" t="s">
        <v>5748</v>
      </c>
      <c r="H222" s="40" t="s">
        <v>26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76297</v>
      </c>
      <c r="Q222" s="18">
        <v>0</v>
      </c>
      <c r="R222" s="18"/>
      <c r="S222" s="18">
        <f t="shared" si="7"/>
        <v>76297</v>
      </c>
    </row>
    <row r="223" spans="1:19" s="20" customFormat="1" ht="15.95" customHeight="1">
      <c r="A223" s="16" t="s">
        <v>7</v>
      </c>
      <c r="B223" s="49">
        <v>2025</v>
      </c>
      <c r="C223" s="37" t="s">
        <v>7930</v>
      </c>
      <c r="D223" s="40" t="s">
        <v>7901</v>
      </c>
      <c r="E223" s="54">
        <v>0</v>
      </c>
      <c r="F223" s="17" t="s">
        <v>5</v>
      </c>
      <c r="G223" s="40" t="s">
        <v>5748</v>
      </c>
      <c r="H223" s="40" t="s">
        <v>26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120000</v>
      </c>
      <c r="Q223" s="18">
        <v>0</v>
      </c>
      <c r="R223" s="18"/>
      <c r="S223" s="18">
        <f t="shared" si="7"/>
        <v>120000</v>
      </c>
    </row>
    <row r="224" spans="1:19" s="20" customFormat="1" ht="15.95" customHeight="1">
      <c r="A224" s="16" t="s">
        <v>7</v>
      </c>
      <c r="B224" s="49">
        <v>2025</v>
      </c>
      <c r="C224" s="37" t="s">
        <v>7930</v>
      </c>
      <c r="D224" s="40" t="s">
        <v>7902</v>
      </c>
      <c r="E224" s="54">
        <v>0</v>
      </c>
      <c r="F224" s="17" t="s">
        <v>5</v>
      </c>
      <c r="G224" s="40" t="s">
        <v>5748</v>
      </c>
      <c r="H224" s="40" t="s">
        <v>26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10000</v>
      </c>
      <c r="Q224" s="18">
        <v>0</v>
      </c>
      <c r="R224" s="18"/>
      <c r="S224" s="18">
        <f t="shared" si="7"/>
        <v>10000</v>
      </c>
    </row>
    <row r="225" spans="1:19" s="20" customFormat="1" ht="15.95" customHeight="1">
      <c r="A225" s="16" t="s">
        <v>7</v>
      </c>
      <c r="B225" s="49">
        <v>2025</v>
      </c>
      <c r="C225" s="37" t="s">
        <v>7930</v>
      </c>
      <c r="D225" s="40" t="s">
        <v>7903</v>
      </c>
      <c r="E225" s="54">
        <v>0</v>
      </c>
      <c r="F225" s="17" t="s">
        <v>5</v>
      </c>
      <c r="G225" s="40" t="s">
        <v>5748</v>
      </c>
      <c r="H225" s="40" t="s">
        <v>26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54000</v>
      </c>
      <c r="Q225" s="18">
        <v>0</v>
      </c>
      <c r="R225" s="18"/>
      <c r="S225" s="18">
        <f t="shared" si="7"/>
        <v>54000</v>
      </c>
    </row>
    <row r="226" spans="1:19" s="20" customFormat="1" ht="15.95" customHeight="1">
      <c r="A226" s="16" t="s">
        <v>7</v>
      </c>
      <c r="B226" s="49">
        <v>2025</v>
      </c>
      <c r="C226" s="37" t="s">
        <v>7930</v>
      </c>
      <c r="D226" s="40" t="s">
        <v>7904</v>
      </c>
      <c r="E226" s="54">
        <v>0</v>
      </c>
      <c r="F226" s="17" t="s">
        <v>5</v>
      </c>
      <c r="G226" s="40" t="s">
        <v>5748</v>
      </c>
      <c r="H226" s="40" t="s">
        <v>26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30000</v>
      </c>
      <c r="Q226" s="18">
        <v>0</v>
      </c>
      <c r="R226" s="18"/>
      <c r="S226" s="18">
        <f t="shared" si="7"/>
        <v>30000</v>
      </c>
    </row>
    <row r="227" spans="1:19" s="20" customFormat="1" ht="15.95" customHeight="1">
      <c r="A227" s="16" t="s">
        <v>7</v>
      </c>
      <c r="B227" s="49">
        <v>2025</v>
      </c>
      <c r="C227" s="37" t="s">
        <v>7930</v>
      </c>
      <c r="D227" s="40" t="s">
        <v>7905</v>
      </c>
      <c r="E227" s="54">
        <v>0</v>
      </c>
      <c r="F227" s="17" t="s">
        <v>5</v>
      </c>
      <c r="G227" s="40" t="s">
        <v>5748</v>
      </c>
      <c r="H227" s="40" t="s">
        <v>26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25000</v>
      </c>
      <c r="Q227" s="18">
        <v>0</v>
      </c>
      <c r="R227" s="18"/>
      <c r="S227" s="18">
        <f t="shared" si="7"/>
        <v>25000</v>
      </c>
    </row>
    <row r="228" spans="1:19" s="20" customFormat="1" ht="15.95" customHeight="1">
      <c r="A228" s="16" t="s">
        <v>7</v>
      </c>
      <c r="B228" s="49">
        <v>2025</v>
      </c>
      <c r="C228" s="37" t="s">
        <v>7930</v>
      </c>
      <c r="D228" s="40" t="s">
        <v>5663</v>
      </c>
      <c r="E228" s="54">
        <v>0</v>
      </c>
      <c r="F228" s="17" t="s">
        <v>5</v>
      </c>
      <c r="G228" s="40" t="s">
        <v>5748</v>
      </c>
      <c r="H228" s="40" t="s">
        <v>26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88000</v>
      </c>
      <c r="Q228" s="18">
        <v>0</v>
      </c>
      <c r="R228" s="18"/>
      <c r="S228" s="18">
        <f t="shared" si="7"/>
        <v>88000</v>
      </c>
    </row>
    <row r="229" spans="1:19" s="20" customFormat="1" ht="15.95" customHeight="1">
      <c r="A229" s="16" t="s">
        <v>7</v>
      </c>
      <c r="B229" s="49">
        <v>2025</v>
      </c>
      <c r="C229" s="37" t="s">
        <v>7930</v>
      </c>
      <c r="D229" s="40" t="s">
        <v>5676</v>
      </c>
      <c r="E229" s="54">
        <v>0</v>
      </c>
      <c r="F229" s="17" t="s">
        <v>5</v>
      </c>
      <c r="G229" s="40" t="s">
        <v>5748</v>
      </c>
      <c r="H229" s="40" t="s">
        <v>26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150000</v>
      </c>
      <c r="Q229" s="18">
        <v>0</v>
      </c>
      <c r="R229" s="18"/>
      <c r="S229" s="18">
        <f t="shared" si="7"/>
        <v>150000</v>
      </c>
    </row>
    <row r="230" spans="1:19" s="20" customFormat="1" ht="15.95" customHeight="1">
      <c r="A230" s="16" t="s">
        <v>7</v>
      </c>
      <c r="B230" s="49">
        <v>2025</v>
      </c>
      <c r="C230" s="37" t="s">
        <v>7930</v>
      </c>
      <c r="D230" s="40" t="s">
        <v>7906</v>
      </c>
      <c r="E230" s="54">
        <v>0</v>
      </c>
      <c r="F230" s="17" t="s">
        <v>5</v>
      </c>
      <c r="G230" s="40" t="s">
        <v>5748</v>
      </c>
      <c r="H230" s="40" t="s">
        <v>26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96000</v>
      </c>
      <c r="Q230" s="18">
        <v>0</v>
      </c>
      <c r="R230" s="18"/>
      <c r="S230" s="18">
        <f t="shared" si="7"/>
        <v>96000</v>
      </c>
    </row>
    <row r="231" spans="1:19" s="20" customFormat="1" ht="15.95" customHeight="1">
      <c r="A231" s="16" t="s">
        <v>7</v>
      </c>
      <c r="B231" s="49">
        <v>2025</v>
      </c>
      <c r="C231" s="37" t="s">
        <v>7930</v>
      </c>
      <c r="D231" s="40" t="s">
        <v>7907</v>
      </c>
      <c r="E231" s="54">
        <v>0</v>
      </c>
      <c r="F231" s="17" t="s">
        <v>5</v>
      </c>
      <c r="G231" s="40" t="s">
        <v>5748</v>
      </c>
      <c r="H231" s="40" t="s">
        <v>26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315000</v>
      </c>
      <c r="Q231" s="18">
        <v>0</v>
      </c>
      <c r="R231" s="18"/>
      <c r="S231" s="18">
        <f t="shared" si="7"/>
        <v>315000</v>
      </c>
    </row>
    <row r="232" spans="1:19" s="20" customFormat="1" ht="15.95" customHeight="1">
      <c r="A232" s="16" t="s">
        <v>7</v>
      </c>
      <c r="B232" s="49">
        <v>2025</v>
      </c>
      <c r="C232" s="37" t="s">
        <v>7930</v>
      </c>
      <c r="D232" s="40" t="s">
        <v>7908</v>
      </c>
      <c r="E232" s="54">
        <v>0</v>
      </c>
      <c r="F232" s="17" t="s">
        <v>5</v>
      </c>
      <c r="G232" s="40" t="s">
        <v>5748</v>
      </c>
      <c r="H232" s="40" t="s">
        <v>26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55500</v>
      </c>
      <c r="Q232" s="18">
        <v>0</v>
      </c>
      <c r="R232" s="18"/>
      <c r="S232" s="18">
        <f t="shared" si="7"/>
        <v>55500</v>
      </c>
    </row>
    <row r="233" spans="1:19" s="20" customFormat="1" ht="15.95" customHeight="1">
      <c r="A233" s="16" t="s">
        <v>7</v>
      </c>
      <c r="B233" s="49">
        <v>2025</v>
      </c>
      <c r="C233" s="37" t="s">
        <v>7930</v>
      </c>
      <c r="D233" s="40" t="s">
        <v>7909</v>
      </c>
      <c r="E233" s="54">
        <v>0</v>
      </c>
      <c r="F233" s="17" t="s">
        <v>5</v>
      </c>
      <c r="G233" s="40" t="s">
        <v>5748</v>
      </c>
      <c r="H233" s="40" t="s">
        <v>26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60000</v>
      </c>
      <c r="Q233" s="18">
        <v>0</v>
      </c>
      <c r="R233" s="18"/>
      <c r="S233" s="18">
        <f t="shared" si="7"/>
        <v>60000</v>
      </c>
    </row>
    <row r="234" spans="1:19" s="20" customFormat="1" ht="15.95" customHeight="1">
      <c r="A234" s="16" t="s">
        <v>7</v>
      </c>
      <c r="B234" s="49">
        <v>2025</v>
      </c>
      <c r="C234" s="37" t="s">
        <v>7930</v>
      </c>
      <c r="D234" s="40" t="s">
        <v>7910</v>
      </c>
      <c r="E234" s="54">
        <v>0</v>
      </c>
      <c r="F234" s="17" t="s">
        <v>5</v>
      </c>
      <c r="G234" s="40" t="s">
        <v>5748</v>
      </c>
      <c r="H234" s="40" t="s">
        <v>26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12000</v>
      </c>
      <c r="Q234" s="18">
        <v>0</v>
      </c>
      <c r="R234" s="18"/>
      <c r="S234" s="18">
        <f t="shared" si="7"/>
        <v>12000</v>
      </c>
    </row>
    <row r="235" spans="1:19" s="20" customFormat="1" ht="15.95" customHeight="1">
      <c r="A235" s="16" t="s">
        <v>7</v>
      </c>
      <c r="B235" s="49">
        <v>2025</v>
      </c>
      <c r="C235" s="37" t="s">
        <v>7930</v>
      </c>
      <c r="D235" s="40" t="s">
        <v>7911</v>
      </c>
      <c r="E235" s="54">
        <v>0</v>
      </c>
      <c r="F235" s="17" t="s">
        <v>5</v>
      </c>
      <c r="G235" s="40" t="s">
        <v>6123</v>
      </c>
      <c r="H235" s="40" t="s">
        <v>26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184000</v>
      </c>
      <c r="Q235" s="18">
        <v>0</v>
      </c>
      <c r="R235" s="18"/>
      <c r="S235" s="18">
        <f t="shared" si="7"/>
        <v>184000</v>
      </c>
    </row>
    <row r="236" spans="1:19" s="20" customFormat="1" ht="15.95" customHeight="1">
      <c r="A236" s="16" t="s">
        <v>7</v>
      </c>
      <c r="B236" s="49">
        <v>2025</v>
      </c>
      <c r="C236" s="37" t="s">
        <v>7930</v>
      </c>
      <c r="D236" s="40" t="s">
        <v>7912</v>
      </c>
      <c r="E236" s="54">
        <v>0</v>
      </c>
      <c r="F236" s="17" t="s">
        <v>5</v>
      </c>
      <c r="G236" s="40" t="s">
        <v>6123</v>
      </c>
      <c r="H236" s="40" t="s">
        <v>26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66000</v>
      </c>
      <c r="Q236" s="18">
        <v>0</v>
      </c>
      <c r="R236" s="18"/>
      <c r="S236" s="18">
        <f t="shared" si="7"/>
        <v>66000</v>
      </c>
    </row>
    <row r="237" spans="1:19" s="20" customFormat="1" ht="15.95" customHeight="1">
      <c r="A237" s="16" t="s">
        <v>7</v>
      </c>
      <c r="B237" s="49">
        <v>2025</v>
      </c>
      <c r="C237" s="37" t="s">
        <v>7930</v>
      </c>
      <c r="D237" s="40" t="s">
        <v>7913</v>
      </c>
      <c r="E237" s="54">
        <v>0</v>
      </c>
      <c r="F237" s="17" t="s">
        <v>5</v>
      </c>
      <c r="G237" s="40" t="s">
        <v>6123</v>
      </c>
      <c r="H237" s="40" t="s">
        <v>26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50000</v>
      </c>
      <c r="Q237" s="18">
        <v>0</v>
      </c>
      <c r="R237" s="18"/>
      <c r="S237" s="18">
        <f t="shared" si="7"/>
        <v>50000</v>
      </c>
    </row>
    <row r="238" spans="1:19" s="20" customFormat="1" ht="15.95" customHeight="1">
      <c r="A238" s="16" t="s">
        <v>7</v>
      </c>
      <c r="B238" s="49">
        <v>2025</v>
      </c>
      <c r="C238" s="37" t="s">
        <v>7930</v>
      </c>
      <c r="D238" s="40" t="s">
        <v>7914</v>
      </c>
      <c r="E238" s="54">
        <v>0</v>
      </c>
      <c r="F238" s="17" t="s">
        <v>5</v>
      </c>
      <c r="G238" s="40" t="s">
        <v>6123</v>
      </c>
      <c r="H238" s="40" t="s">
        <v>26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50000</v>
      </c>
      <c r="Q238" s="18">
        <v>0</v>
      </c>
      <c r="R238" s="18"/>
      <c r="S238" s="18">
        <f t="shared" si="7"/>
        <v>50000</v>
      </c>
    </row>
    <row r="239" spans="1:19" s="20" customFormat="1" ht="15.95" customHeight="1">
      <c r="A239" s="16" t="s">
        <v>7</v>
      </c>
      <c r="B239" s="49">
        <v>2025</v>
      </c>
      <c r="C239" s="37" t="s">
        <v>7930</v>
      </c>
      <c r="D239" s="40" t="s">
        <v>7915</v>
      </c>
      <c r="E239" s="54">
        <v>0</v>
      </c>
      <c r="F239" s="17" t="s">
        <v>5</v>
      </c>
      <c r="G239" s="40" t="s">
        <v>6123</v>
      </c>
      <c r="H239" s="40" t="s">
        <v>26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650000</v>
      </c>
      <c r="Q239" s="18">
        <v>0</v>
      </c>
      <c r="R239" s="18"/>
      <c r="S239" s="18">
        <f t="shared" si="7"/>
        <v>650000</v>
      </c>
    </row>
    <row r="240" spans="1:19" s="20" customFormat="1" ht="15.95" customHeight="1">
      <c r="A240" s="16" t="s">
        <v>7</v>
      </c>
      <c r="B240" s="49">
        <v>2025</v>
      </c>
      <c r="C240" s="37" t="s">
        <v>7930</v>
      </c>
      <c r="D240" s="40" t="s">
        <v>7916</v>
      </c>
      <c r="E240" s="54">
        <v>0</v>
      </c>
      <c r="F240" s="17" t="s">
        <v>5</v>
      </c>
      <c r="G240" s="40" t="s">
        <v>6123</v>
      </c>
      <c r="H240" s="40" t="s">
        <v>26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19500</v>
      </c>
      <c r="Q240" s="18">
        <v>0</v>
      </c>
      <c r="R240" s="18"/>
      <c r="S240" s="18">
        <f t="shared" si="7"/>
        <v>19500</v>
      </c>
    </row>
    <row r="241" spans="1:20" s="20" customFormat="1" ht="15.95" customHeight="1">
      <c r="A241" s="16" t="s">
        <v>7</v>
      </c>
      <c r="B241" s="49">
        <v>2025</v>
      </c>
      <c r="C241" s="37" t="s">
        <v>7930</v>
      </c>
      <c r="D241" s="40" t="s">
        <v>7917</v>
      </c>
      <c r="E241" s="54">
        <v>0</v>
      </c>
      <c r="F241" s="17" t="s">
        <v>5</v>
      </c>
      <c r="G241" s="40" t="s">
        <v>6123</v>
      </c>
      <c r="H241" s="40" t="s">
        <v>26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19500</v>
      </c>
      <c r="Q241" s="18">
        <v>0</v>
      </c>
      <c r="R241" s="18"/>
      <c r="S241" s="18">
        <f t="shared" si="7"/>
        <v>19500</v>
      </c>
    </row>
    <row r="242" spans="1:20" s="20" customFormat="1" ht="15.95" customHeight="1">
      <c r="A242" s="16" t="s">
        <v>7</v>
      </c>
      <c r="B242" s="49">
        <v>2025</v>
      </c>
      <c r="C242" s="37" t="s">
        <v>7930</v>
      </c>
      <c r="D242" s="40" t="s">
        <v>7918</v>
      </c>
      <c r="E242" s="54">
        <v>0</v>
      </c>
      <c r="F242" s="17" t="s">
        <v>5</v>
      </c>
      <c r="G242" s="40" t="s">
        <v>6123</v>
      </c>
      <c r="H242" s="40" t="s">
        <v>26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270000</v>
      </c>
      <c r="Q242" s="18">
        <v>0</v>
      </c>
      <c r="R242" s="18"/>
      <c r="S242" s="18">
        <f t="shared" si="7"/>
        <v>270000</v>
      </c>
    </row>
    <row r="243" spans="1:20" s="20" customFormat="1" ht="15.95" customHeight="1">
      <c r="A243" s="16" t="s">
        <v>7</v>
      </c>
      <c r="B243" s="49">
        <v>2025</v>
      </c>
      <c r="C243" s="37" t="s">
        <v>7930</v>
      </c>
      <c r="D243" s="40" t="s">
        <v>7919</v>
      </c>
      <c r="E243" s="54">
        <v>0</v>
      </c>
      <c r="F243" s="17" t="s">
        <v>5</v>
      </c>
      <c r="G243" s="40" t="s">
        <v>6123</v>
      </c>
      <c r="H243" s="40" t="s">
        <v>26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200000</v>
      </c>
      <c r="Q243" s="18">
        <v>0</v>
      </c>
      <c r="R243" s="18"/>
      <c r="S243" s="18">
        <f t="shared" ref="S243:S250" si="8">E243+I243+J243+K243+L243+M243+N243+O243+P243</f>
        <v>200000</v>
      </c>
    </row>
    <row r="244" spans="1:20" s="20" customFormat="1" ht="15.95" customHeight="1">
      <c r="A244" s="16" t="s">
        <v>7</v>
      </c>
      <c r="B244" s="49">
        <v>2025</v>
      </c>
      <c r="C244" s="37" t="s">
        <v>7930</v>
      </c>
      <c r="D244" s="40" t="s">
        <v>7920</v>
      </c>
      <c r="E244" s="54">
        <v>0</v>
      </c>
      <c r="F244" s="17" t="s">
        <v>5</v>
      </c>
      <c r="G244" s="40" t="s">
        <v>6123</v>
      </c>
      <c r="H244" s="40" t="s">
        <v>26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134000</v>
      </c>
      <c r="Q244" s="18">
        <v>0</v>
      </c>
      <c r="R244" s="18"/>
      <c r="S244" s="18">
        <f t="shared" si="8"/>
        <v>134000</v>
      </c>
    </row>
    <row r="245" spans="1:20" s="20" customFormat="1" ht="15.95" customHeight="1">
      <c r="A245" s="16" t="s">
        <v>7</v>
      </c>
      <c r="B245" s="49">
        <v>2025</v>
      </c>
      <c r="C245" s="37" t="s">
        <v>7930</v>
      </c>
      <c r="D245" s="40" t="s">
        <v>7921</v>
      </c>
      <c r="E245" s="54">
        <v>0</v>
      </c>
      <c r="F245" s="17" t="s">
        <v>5</v>
      </c>
      <c r="G245" s="40" t="s">
        <v>6123</v>
      </c>
      <c r="H245" s="40" t="s">
        <v>26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150000</v>
      </c>
      <c r="Q245" s="18">
        <v>0</v>
      </c>
      <c r="R245" s="18"/>
      <c r="S245" s="18">
        <f t="shared" si="8"/>
        <v>150000</v>
      </c>
    </row>
    <row r="246" spans="1:20" s="20" customFormat="1" ht="15.95" customHeight="1">
      <c r="A246" s="16" t="s">
        <v>7</v>
      </c>
      <c r="B246" s="49">
        <v>2025</v>
      </c>
      <c r="C246" s="37" t="s">
        <v>7930</v>
      </c>
      <c r="D246" s="40" t="s">
        <v>7922</v>
      </c>
      <c r="E246" s="54">
        <v>0</v>
      </c>
      <c r="F246" s="17" t="s">
        <v>5</v>
      </c>
      <c r="G246" s="40" t="s">
        <v>6123</v>
      </c>
      <c r="H246" s="40" t="s">
        <v>26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7000</v>
      </c>
      <c r="Q246" s="18">
        <v>0</v>
      </c>
      <c r="R246" s="18"/>
      <c r="S246" s="18">
        <f t="shared" si="8"/>
        <v>7000</v>
      </c>
    </row>
    <row r="247" spans="1:20" s="20" customFormat="1" ht="15.95" customHeight="1">
      <c r="A247" s="16" t="s">
        <v>7</v>
      </c>
      <c r="B247" s="49">
        <v>2025</v>
      </c>
      <c r="C247" s="37" t="s">
        <v>7930</v>
      </c>
      <c r="D247" s="40" t="s">
        <v>7923</v>
      </c>
      <c r="E247" s="54">
        <v>0</v>
      </c>
      <c r="F247" s="17" t="s">
        <v>5</v>
      </c>
      <c r="G247" s="40" t="s">
        <v>6123</v>
      </c>
      <c r="H247" s="40" t="s">
        <v>26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27000</v>
      </c>
      <c r="Q247" s="18">
        <v>0</v>
      </c>
      <c r="R247" s="18"/>
      <c r="S247" s="18">
        <f t="shared" si="8"/>
        <v>27000</v>
      </c>
    </row>
    <row r="248" spans="1:20" s="20" customFormat="1" ht="15.95" customHeight="1">
      <c r="A248" s="16" t="s">
        <v>7</v>
      </c>
      <c r="B248" s="49">
        <v>2025</v>
      </c>
      <c r="C248" s="37" t="s">
        <v>7930</v>
      </c>
      <c r="D248" s="40" t="s">
        <v>7924</v>
      </c>
      <c r="E248" s="54">
        <v>0</v>
      </c>
      <c r="F248" s="17" t="s">
        <v>5</v>
      </c>
      <c r="G248" s="40" t="s">
        <v>6123</v>
      </c>
      <c r="H248" s="40" t="s">
        <v>26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27000</v>
      </c>
      <c r="Q248" s="18">
        <v>0</v>
      </c>
      <c r="R248" s="18"/>
      <c r="S248" s="18">
        <f t="shared" si="8"/>
        <v>27000</v>
      </c>
    </row>
    <row r="249" spans="1:20" s="20" customFormat="1" ht="15.95" customHeight="1">
      <c r="A249" s="16" t="s">
        <v>7</v>
      </c>
      <c r="B249" s="49">
        <v>2025</v>
      </c>
      <c r="C249" s="37" t="s">
        <v>7930</v>
      </c>
      <c r="D249" s="40" t="s">
        <v>7925</v>
      </c>
      <c r="E249" s="54">
        <v>0</v>
      </c>
      <c r="F249" s="17" t="s">
        <v>5</v>
      </c>
      <c r="G249" s="40" t="s">
        <v>2238</v>
      </c>
      <c r="H249" s="40" t="s">
        <v>26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4717000</v>
      </c>
      <c r="Q249" s="18">
        <v>0</v>
      </c>
      <c r="R249" s="18"/>
      <c r="S249" s="18">
        <f t="shared" si="8"/>
        <v>4717000</v>
      </c>
    </row>
    <row r="250" spans="1:20" s="20" customFormat="1" ht="15.95" customHeight="1">
      <c r="A250" s="16" t="s">
        <v>7</v>
      </c>
      <c r="B250" s="49">
        <v>2025</v>
      </c>
      <c r="C250" s="37" t="s">
        <v>7930</v>
      </c>
      <c r="D250" s="40" t="s">
        <v>7926</v>
      </c>
      <c r="E250" s="54">
        <v>0</v>
      </c>
      <c r="F250" s="17" t="s">
        <v>5</v>
      </c>
      <c r="G250" s="40" t="s">
        <v>2238</v>
      </c>
      <c r="H250" s="40" t="s">
        <v>26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170000</v>
      </c>
      <c r="Q250" s="18">
        <v>0</v>
      </c>
      <c r="R250" s="18"/>
      <c r="S250" s="18">
        <f t="shared" si="8"/>
        <v>170000</v>
      </c>
    </row>
    <row r="252" spans="1:20" s="38" customFormat="1">
      <c r="A252" s="26"/>
      <c r="B252" s="26"/>
      <c r="C252" s="17"/>
      <c r="D252" s="17"/>
      <c r="E252" s="131">
        <f>SUBTOTAL(9,E4:E251)</f>
        <v>7279486715.8400002</v>
      </c>
      <c r="F252" s="17"/>
      <c r="G252" s="17"/>
      <c r="H252" s="19"/>
      <c r="I252" s="140">
        <f t="shared" ref="I252:Q252" si="9">SUBTOTAL(9,I4:I251)</f>
        <v>686680889</v>
      </c>
      <c r="J252" s="140">
        <f t="shared" si="9"/>
        <v>149183884</v>
      </c>
      <c r="K252" s="140">
        <f t="shared" si="9"/>
        <v>-393065428</v>
      </c>
      <c r="L252" s="140">
        <f t="shared" si="9"/>
        <v>0</v>
      </c>
      <c r="M252" s="140">
        <f t="shared" si="9"/>
        <v>-1500000</v>
      </c>
      <c r="N252" s="140">
        <f t="shared" si="9"/>
        <v>-154034667</v>
      </c>
      <c r="O252" s="140">
        <f t="shared" si="9"/>
        <v>-2892500</v>
      </c>
      <c r="P252" s="140">
        <f t="shared" si="9"/>
        <v>1918040013.1600001</v>
      </c>
      <c r="Q252" s="140">
        <f t="shared" si="9"/>
        <v>-3323562928</v>
      </c>
      <c r="R252" s="45"/>
      <c r="S252" s="140">
        <f>SUBTOTAL(9,S4:S251)</f>
        <v>6158335979</v>
      </c>
    </row>
    <row r="253" spans="1:20" s="28" customFormat="1">
      <c r="A253" s="26"/>
      <c r="B253" s="26"/>
      <c r="C253" s="17"/>
      <c r="D253" s="17" t="s">
        <v>26</v>
      </c>
      <c r="E253" s="131"/>
      <c r="F253" s="17"/>
      <c r="G253" s="17"/>
      <c r="H253" s="19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38"/>
    </row>
    <row r="255" spans="1:20">
      <c r="P255" s="18" t="s">
        <v>26</v>
      </c>
    </row>
    <row r="256" spans="1:20">
      <c r="P256" s="18" t="s">
        <v>26</v>
      </c>
    </row>
  </sheetData>
  <autoFilter ref="A3:S250"/>
  <mergeCells count="1">
    <mergeCell ref="I2:Q2"/>
  </mergeCells>
  <pageMargins left="0.45" right="0.45" top="0.75" bottom="0.75" header="0.3" footer="0.3"/>
  <pageSetup scale="25" orientation="landscape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300"/>
  <sheetViews>
    <sheetView topLeftCell="A2" zoomScaleNormal="100" zoomScaleSheetLayoutView="100" workbookViewId="0">
      <selection activeCell="D1010" sqref="D1010"/>
    </sheetView>
  </sheetViews>
  <sheetFormatPr defaultColWidth="9.109375" defaultRowHeight="16.5"/>
  <cols>
    <col min="1" max="1" width="6" style="168" customWidth="1"/>
    <col min="2" max="2" width="22" style="35" customWidth="1"/>
    <col min="3" max="3" width="13.33203125" style="35" customWidth="1"/>
    <col min="4" max="4" width="59" style="17" customWidth="1"/>
    <col min="5" max="5" width="75" style="35" customWidth="1"/>
    <col min="6" max="6" width="22.44140625" style="182" customWidth="1"/>
    <col min="7" max="7" width="8" style="170" customWidth="1"/>
    <col min="8" max="8" width="20.6640625" style="170" customWidth="1"/>
    <col min="9" max="9" width="20.6640625" style="184" customWidth="1"/>
    <col min="10" max="10" width="19.6640625" style="17" customWidth="1"/>
    <col min="11" max="11" width="20.109375" style="17" customWidth="1"/>
    <col min="12" max="12" width="15.6640625" style="185" customWidth="1"/>
    <col min="13" max="13" width="21" style="17" customWidth="1"/>
    <col min="14" max="14" width="20.33203125" style="17" customWidth="1"/>
    <col min="15" max="15" width="2.109375" style="17" customWidth="1"/>
    <col min="16" max="16" width="19.77734375" style="17" customWidth="1"/>
    <col min="17" max="17" width="9.109375" style="17"/>
    <col min="18" max="18" width="11.44140625" style="17" bestFit="1" customWidth="1"/>
    <col min="19" max="21" width="9.109375" style="17"/>
    <col min="22" max="23" width="9.109375" style="163"/>
    <col min="24" max="16384" width="9.109375" style="164"/>
  </cols>
  <sheetData>
    <row r="1" spans="1:23" s="161" customFormat="1" ht="15.75">
      <c r="A1" s="17" t="s">
        <v>91</v>
      </c>
      <c r="B1" s="17"/>
      <c r="C1" s="17"/>
      <c r="D1" s="17"/>
      <c r="E1" s="17"/>
      <c r="F1" s="56" t="s">
        <v>26</v>
      </c>
      <c r="G1" s="157" t="s">
        <v>26</v>
      </c>
      <c r="H1" s="57" t="s">
        <v>26</v>
      </c>
      <c r="I1" s="158" t="s">
        <v>26</v>
      </c>
      <c r="J1" s="159" t="s">
        <v>26</v>
      </c>
      <c r="K1" s="57" t="s">
        <v>26</v>
      </c>
      <c r="L1" s="160" t="s">
        <v>26</v>
      </c>
      <c r="M1" s="57" t="s">
        <v>26</v>
      </c>
      <c r="N1" s="17"/>
      <c r="O1" s="17"/>
      <c r="P1" s="57" t="s">
        <v>26</v>
      </c>
      <c r="Q1" s="17"/>
      <c r="R1" s="17"/>
      <c r="S1" s="17"/>
      <c r="T1" s="17"/>
      <c r="U1" s="17"/>
      <c r="V1" s="17"/>
      <c r="W1" s="17"/>
    </row>
    <row r="2" spans="1:23" ht="15.75">
      <c r="A2" s="17"/>
      <c r="B2" s="17"/>
      <c r="C2" s="17"/>
      <c r="E2" s="17" t="s">
        <v>26</v>
      </c>
      <c r="F2" s="162"/>
      <c r="G2" s="17"/>
      <c r="H2" s="17"/>
      <c r="I2" s="158"/>
      <c r="L2" s="160"/>
    </row>
    <row r="3" spans="1:23" ht="15.75">
      <c r="A3" s="17"/>
      <c r="B3" s="17"/>
      <c r="C3" s="17"/>
      <c r="D3" s="17" t="s">
        <v>26</v>
      </c>
      <c r="E3" s="23" t="s">
        <v>443</v>
      </c>
      <c r="F3" s="165" t="s">
        <v>4231</v>
      </c>
      <c r="G3" s="166"/>
      <c r="H3" s="380" t="s">
        <v>444</v>
      </c>
      <c r="I3" s="381"/>
      <c r="J3" s="380"/>
      <c r="K3" s="380"/>
      <c r="L3" s="380"/>
      <c r="M3" s="380"/>
      <c r="N3" s="380"/>
      <c r="P3" s="23" t="s">
        <v>92</v>
      </c>
    </row>
    <row r="4" spans="1:23" ht="15.75">
      <c r="A4" s="17"/>
      <c r="B4" s="17"/>
      <c r="C4" s="17"/>
      <c r="E4" s="17"/>
      <c r="F4" s="165" t="s">
        <v>41</v>
      </c>
      <c r="G4" s="166"/>
      <c r="H4" s="121" t="s">
        <v>486</v>
      </c>
      <c r="I4" s="167" t="s">
        <v>457</v>
      </c>
      <c r="J4" s="121" t="s">
        <v>5914</v>
      </c>
      <c r="K4" s="121" t="s">
        <v>2154</v>
      </c>
      <c r="L4" s="121" t="s">
        <v>43</v>
      </c>
      <c r="M4" s="121" t="s">
        <v>44</v>
      </c>
      <c r="N4" s="121" t="s">
        <v>7863</v>
      </c>
      <c r="P4" s="23" t="s">
        <v>41</v>
      </c>
    </row>
    <row r="5" spans="1:23" s="17" customFormat="1">
      <c r="A5" s="168"/>
      <c r="B5" s="37" t="s">
        <v>11</v>
      </c>
      <c r="C5" s="35" t="s">
        <v>26</v>
      </c>
      <c r="D5" s="17" t="s">
        <v>55</v>
      </c>
      <c r="E5" s="37" t="s">
        <v>26</v>
      </c>
      <c r="F5" s="174">
        <v>0</v>
      </c>
      <c r="G5" s="170"/>
      <c r="H5" s="171">
        <v>0</v>
      </c>
      <c r="I5" s="172">
        <v>0</v>
      </c>
      <c r="J5" s="171">
        <v>0</v>
      </c>
      <c r="K5" s="171">
        <v>0</v>
      </c>
      <c r="L5" s="171">
        <v>0</v>
      </c>
      <c r="M5" s="171">
        <v>0</v>
      </c>
      <c r="N5" s="171">
        <v>0</v>
      </c>
      <c r="P5" s="173">
        <f t="shared" ref="P5:P68" si="0">F5-H5-I5-J5-K5-L5-M5</f>
        <v>0</v>
      </c>
      <c r="V5" s="163"/>
      <c r="W5" s="163"/>
    </row>
    <row r="6" spans="1:23" s="17" customFormat="1">
      <c r="A6" s="168"/>
      <c r="B6" s="37" t="s">
        <v>11</v>
      </c>
      <c r="C6" s="35" t="s">
        <v>26</v>
      </c>
      <c r="D6" s="17" t="s">
        <v>56</v>
      </c>
      <c r="E6" s="37" t="s">
        <v>26</v>
      </c>
      <c r="F6" s="169">
        <v>0</v>
      </c>
      <c r="G6" s="170"/>
      <c r="H6" s="171">
        <v>0</v>
      </c>
      <c r="I6" s="172">
        <v>0</v>
      </c>
      <c r="J6" s="171">
        <v>0</v>
      </c>
      <c r="K6" s="171">
        <v>0</v>
      </c>
      <c r="L6" s="171">
        <v>0</v>
      </c>
      <c r="M6" s="171">
        <v>0</v>
      </c>
      <c r="N6" s="171">
        <v>0</v>
      </c>
      <c r="P6" s="173">
        <f t="shared" si="0"/>
        <v>0</v>
      </c>
      <c r="V6" s="163"/>
      <c r="W6" s="163"/>
    </row>
    <row r="7" spans="1:23" s="17" customFormat="1">
      <c r="A7" s="168"/>
      <c r="B7" s="37" t="s">
        <v>11</v>
      </c>
      <c r="C7" s="35" t="s">
        <v>26</v>
      </c>
      <c r="D7" s="17" t="s">
        <v>45</v>
      </c>
      <c r="E7" s="37" t="s">
        <v>26</v>
      </c>
      <c r="F7" s="174">
        <v>0</v>
      </c>
      <c r="G7" s="170"/>
      <c r="H7" s="171">
        <v>0</v>
      </c>
      <c r="I7" s="172">
        <v>0</v>
      </c>
      <c r="J7" s="171">
        <v>0</v>
      </c>
      <c r="K7" s="171">
        <v>0</v>
      </c>
      <c r="L7" s="171">
        <v>0</v>
      </c>
      <c r="M7" s="171">
        <v>0</v>
      </c>
      <c r="N7" s="171">
        <v>0</v>
      </c>
      <c r="P7" s="173">
        <f t="shared" si="0"/>
        <v>0</v>
      </c>
      <c r="V7" s="163"/>
      <c r="W7" s="163"/>
    </row>
    <row r="8" spans="1:23" s="17" customFormat="1">
      <c r="A8" s="168"/>
      <c r="B8" s="37" t="s">
        <v>11</v>
      </c>
      <c r="C8" s="35" t="s">
        <v>26</v>
      </c>
      <c r="D8" s="17" t="s">
        <v>25</v>
      </c>
      <c r="E8" s="37" t="s">
        <v>26</v>
      </c>
      <c r="F8" s="174">
        <v>0</v>
      </c>
      <c r="G8" s="170"/>
      <c r="H8" s="171">
        <v>0</v>
      </c>
      <c r="I8" s="172">
        <v>0</v>
      </c>
      <c r="J8" s="171">
        <v>0</v>
      </c>
      <c r="K8" s="171">
        <v>0</v>
      </c>
      <c r="L8" s="171">
        <v>0</v>
      </c>
      <c r="M8" s="171">
        <v>0</v>
      </c>
      <c r="N8" s="171">
        <v>0</v>
      </c>
      <c r="P8" s="173">
        <f t="shared" si="0"/>
        <v>0</v>
      </c>
      <c r="V8" s="163"/>
      <c r="W8" s="163"/>
    </row>
    <row r="9" spans="1:23" s="17" customFormat="1">
      <c r="A9" s="168"/>
      <c r="B9" s="37" t="s">
        <v>11</v>
      </c>
      <c r="C9" s="35" t="s">
        <v>26</v>
      </c>
      <c r="D9" s="17" t="s">
        <v>57</v>
      </c>
      <c r="E9" s="37" t="s">
        <v>26</v>
      </c>
      <c r="F9" s="169">
        <v>0</v>
      </c>
      <c r="G9" s="170"/>
      <c r="H9" s="171">
        <v>0</v>
      </c>
      <c r="I9" s="172">
        <v>0</v>
      </c>
      <c r="J9" s="171">
        <v>0</v>
      </c>
      <c r="K9" s="171">
        <v>0</v>
      </c>
      <c r="L9" s="171">
        <v>0</v>
      </c>
      <c r="M9" s="171">
        <v>0</v>
      </c>
      <c r="N9" s="171">
        <v>0</v>
      </c>
      <c r="P9" s="173">
        <f t="shared" si="0"/>
        <v>0</v>
      </c>
      <c r="V9" s="163"/>
      <c r="W9" s="163"/>
    </row>
    <row r="10" spans="1:23" s="17" customFormat="1">
      <c r="A10" s="168"/>
      <c r="B10" s="37" t="s">
        <v>11</v>
      </c>
      <c r="C10" s="35" t="s">
        <v>26</v>
      </c>
      <c r="D10" s="17" t="s">
        <v>12</v>
      </c>
      <c r="E10" s="37" t="s">
        <v>26</v>
      </c>
      <c r="F10" s="169">
        <v>5000000</v>
      </c>
      <c r="G10" s="170"/>
      <c r="H10" s="171">
        <v>0</v>
      </c>
      <c r="I10" s="172">
        <v>-18096000</v>
      </c>
      <c r="J10" s="171">
        <v>0</v>
      </c>
      <c r="K10" s="171">
        <v>0</v>
      </c>
      <c r="L10" s="171">
        <v>0</v>
      </c>
      <c r="M10" s="171">
        <v>0</v>
      </c>
      <c r="N10" s="171">
        <v>0</v>
      </c>
      <c r="P10" s="173">
        <f t="shared" si="0"/>
        <v>23096000</v>
      </c>
      <c r="V10" s="163"/>
      <c r="W10" s="163"/>
    </row>
    <row r="11" spans="1:23" s="17" customFormat="1">
      <c r="A11" s="168"/>
      <c r="B11" s="37" t="s">
        <v>11</v>
      </c>
      <c r="C11" s="35" t="s">
        <v>26</v>
      </c>
      <c r="D11" s="17" t="s">
        <v>445</v>
      </c>
      <c r="E11" s="37" t="s">
        <v>26</v>
      </c>
      <c r="F11" s="169">
        <v>0</v>
      </c>
      <c r="G11" s="170"/>
      <c r="H11" s="171">
        <v>0</v>
      </c>
      <c r="I11" s="172">
        <v>0</v>
      </c>
      <c r="J11" s="171">
        <v>0</v>
      </c>
      <c r="K11" s="171">
        <v>0</v>
      </c>
      <c r="L11" s="171">
        <v>0</v>
      </c>
      <c r="M11" s="171">
        <v>0</v>
      </c>
      <c r="N11" s="171">
        <v>0</v>
      </c>
      <c r="P11" s="173">
        <f t="shared" si="0"/>
        <v>0</v>
      </c>
      <c r="V11" s="163"/>
      <c r="W11" s="163"/>
    </row>
    <row r="12" spans="1:23" s="17" customFormat="1">
      <c r="A12" s="168"/>
      <c r="B12" s="37" t="s">
        <v>11</v>
      </c>
      <c r="C12" s="35" t="s">
        <v>26</v>
      </c>
      <c r="D12" s="17" t="s">
        <v>270</v>
      </c>
      <c r="E12" s="37" t="s">
        <v>26</v>
      </c>
      <c r="F12" s="169">
        <v>0</v>
      </c>
      <c r="G12" s="170"/>
      <c r="H12" s="171">
        <v>0</v>
      </c>
      <c r="I12" s="172">
        <v>-5000000</v>
      </c>
      <c r="J12" s="171">
        <v>0</v>
      </c>
      <c r="K12" s="171">
        <v>0</v>
      </c>
      <c r="L12" s="171">
        <v>0</v>
      </c>
      <c r="M12" s="171">
        <v>0</v>
      </c>
      <c r="N12" s="171">
        <v>0</v>
      </c>
      <c r="P12" s="173">
        <f t="shared" si="0"/>
        <v>5000000</v>
      </c>
      <c r="V12" s="163"/>
      <c r="W12" s="163"/>
    </row>
    <row r="13" spans="1:23" s="17" customFormat="1">
      <c r="A13" s="168"/>
      <c r="B13" s="37" t="s">
        <v>11</v>
      </c>
      <c r="C13" s="35" t="s">
        <v>26</v>
      </c>
      <c r="D13" s="17" t="s">
        <v>96</v>
      </c>
      <c r="E13" s="37" t="s">
        <v>26</v>
      </c>
      <c r="F13" s="169">
        <v>0</v>
      </c>
      <c r="G13" s="170"/>
      <c r="H13" s="171">
        <v>0</v>
      </c>
      <c r="I13" s="172">
        <v>0</v>
      </c>
      <c r="J13" s="171">
        <v>0</v>
      </c>
      <c r="K13" s="171">
        <v>0</v>
      </c>
      <c r="L13" s="171">
        <v>0</v>
      </c>
      <c r="M13" s="171">
        <v>0</v>
      </c>
      <c r="N13" s="171">
        <v>0</v>
      </c>
      <c r="P13" s="173">
        <f t="shared" si="0"/>
        <v>0</v>
      </c>
      <c r="V13" s="163"/>
      <c r="W13" s="163"/>
    </row>
    <row r="14" spans="1:23" s="17" customFormat="1">
      <c r="A14" s="168"/>
      <c r="B14" s="37" t="s">
        <v>11</v>
      </c>
      <c r="C14" s="35" t="s">
        <v>26</v>
      </c>
      <c r="D14" s="17" t="s">
        <v>59</v>
      </c>
      <c r="E14" s="37" t="s">
        <v>26</v>
      </c>
      <c r="F14" s="169">
        <v>0</v>
      </c>
      <c r="G14" s="170"/>
      <c r="H14" s="171">
        <v>0</v>
      </c>
      <c r="I14" s="172">
        <v>0</v>
      </c>
      <c r="J14" s="171">
        <v>0</v>
      </c>
      <c r="K14" s="171">
        <v>0</v>
      </c>
      <c r="L14" s="171">
        <v>0</v>
      </c>
      <c r="M14" s="171">
        <v>0</v>
      </c>
      <c r="N14" s="171">
        <v>0</v>
      </c>
      <c r="P14" s="173">
        <f t="shared" si="0"/>
        <v>0</v>
      </c>
      <c r="V14" s="163"/>
      <c r="W14" s="163"/>
    </row>
    <row r="15" spans="1:23" s="17" customFormat="1">
      <c r="A15" s="168"/>
      <c r="B15" s="37" t="s">
        <v>11</v>
      </c>
      <c r="C15" s="35" t="s">
        <v>26</v>
      </c>
      <c r="D15" s="17" t="s">
        <v>60</v>
      </c>
      <c r="E15" s="37" t="s">
        <v>26</v>
      </c>
      <c r="F15" s="174">
        <v>0</v>
      </c>
      <c r="G15" s="170"/>
      <c r="H15" s="171">
        <v>0</v>
      </c>
      <c r="I15" s="172">
        <v>0</v>
      </c>
      <c r="J15" s="171">
        <v>0</v>
      </c>
      <c r="K15" s="171">
        <v>0</v>
      </c>
      <c r="L15" s="171">
        <v>0</v>
      </c>
      <c r="M15" s="171">
        <v>0</v>
      </c>
      <c r="N15" s="171">
        <v>0</v>
      </c>
      <c r="P15" s="173">
        <f t="shared" si="0"/>
        <v>0</v>
      </c>
      <c r="V15" s="163"/>
      <c r="W15" s="163"/>
    </row>
    <row r="16" spans="1:23" s="17" customFormat="1">
      <c r="A16" s="168"/>
      <c r="B16" s="37" t="s">
        <v>446</v>
      </c>
      <c r="C16" s="35">
        <v>2023</v>
      </c>
      <c r="D16" s="8" t="s">
        <v>2155</v>
      </c>
      <c r="E16" s="8" t="s">
        <v>2156</v>
      </c>
      <c r="F16" s="139">
        <v>7500000</v>
      </c>
      <c r="G16" s="170"/>
      <c r="H16" s="171">
        <v>0</v>
      </c>
      <c r="I16" s="172">
        <v>0</v>
      </c>
      <c r="J16" s="171">
        <v>0</v>
      </c>
      <c r="K16" s="171">
        <v>0</v>
      </c>
      <c r="L16" s="171">
        <v>0</v>
      </c>
      <c r="M16" s="171">
        <v>7500000</v>
      </c>
      <c r="N16" s="171">
        <v>0</v>
      </c>
      <c r="P16" s="173">
        <f t="shared" si="0"/>
        <v>0</v>
      </c>
      <c r="V16" s="163"/>
      <c r="W16" s="163"/>
    </row>
    <row r="17" spans="1:23" s="17" customFormat="1">
      <c r="A17" s="168"/>
      <c r="B17" s="37" t="s">
        <v>446</v>
      </c>
      <c r="C17" s="35">
        <v>2023</v>
      </c>
      <c r="D17" s="8" t="s">
        <v>2155</v>
      </c>
      <c r="E17" s="8" t="s">
        <v>2157</v>
      </c>
      <c r="F17" s="139">
        <v>7500000</v>
      </c>
      <c r="G17" s="170"/>
      <c r="H17" s="171">
        <v>0</v>
      </c>
      <c r="I17" s="172">
        <v>0</v>
      </c>
      <c r="J17" s="171">
        <v>0</v>
      </c>
      <c r="K17" s="171">
        <v>0</v>
      </c>
      <c r="L17" s="171">
        <v>0</v>
      </c>
      <c r="M17" s="171">
        <v>7500000</v>
      </c>
      <c r="N17" s="171">
        <v>0</v>
      </c>
      <c r="P17" s="173">
        <f t="shared" si="0"/>
        <v>0</v>
      </c>
      <c r="V17" s="163"/>
      <c r="W17" s="163"/>
    </row>
    <row r="18" spans="1:23" s="17" customFormat="1">
      <c r="A18" s="168"/>
      <c r="B18" s="37" t="s">
        <v>446</v>
      </c>
      <c r="C18" s="35">
        <v>2023</v>
      </c>
      <c r="D18" s="8" t="s">
        <v>2155</v>
      </c>
      <c r="E18" s="8" t="s">
        <v>2158</v>
      </c>
      <c r="F18" s="139">
        <v>500000</v>
      </c>
      <c r="G18" s="170"/>
      <c r="H18" s="171">
        <v>0</v>
      </c>
      <c r="I18" s="172">
        <v>0</v>
      </c>
      <c r="J18" s="171">
        <v>0</v>
      </c>
      <c r="K18" s="171">
        <v>0</v>
      </c>
      <c r="L18" s="171">
        <v>0</v>
      </c>
      <c r="M18" s="171">
        <v>500000</v>
      </c>
      <c r="N18" s="171">
        <v>0</v>
      </c>
      <c r="P18" s="173">
        <f t="shared" si="0"/>
        <v>0</v>
      </c>
      <c r="V18" s="163"/>
      <c r="W18" s="163"/>
    </row>
    <row r="19" spans="1:23" s="17" customFormat="1">
      <c r="A19" s="168"/>
      <c r="B19" s="37" t="s">
        <v>446</v>
      </c>
      <c r="C19" s="35">
        <v>2023</v>
      </c>
      <c r="D19" s="8" t="s">
        <v>2155</v>
      </c>
      <c r="E19" s="8" t="s">
        <v>2159</v>
      </c>
      <c r="F19" s="139">
        <v>400000</v>
      </c>
      <c r="G19" s="170"/>
      <c r="H19" s="171">
        <v>0</v>
      </c>
      <c r="I19" s="172">
        <v>0</v>
      </c>
      <c r="J19" s="171">
        <v>0</v>
      </c>
      <c r="K19" s="171">
        <v>0</v>
      </c>
      <c r="L19" s="171">
        <v>0</v>
      </c>
      <c r="M19" s="171">
        <v>400000</v>
      </c>
      <c r="N19" s="171">
        <v>0</v>
      </c>
      <c r="P19" s="173">
        <f t="shared" si="0"/>
        <v>0</v>
      </c>
      <c r="V19" s="163"/>
      <c r="W19" s="163"/>
    </row>
    <row r="20" spans="1:23" s="17" customFormat="1">
      <c r="A20" s="168"/>
      <c r="B20" s="37" t="s">
        <v>446</v>
      </c>
      <c r="C20" s="35">
        <v>2023</v>
      </c>
      <c r="D20" s="8" t="s">
        <v>2155</v>
      </c>
      <c r="E20" s="8" t="s">
        <v>2160</v>
      </c>
      <c r="F20" s="139">
        <v>6600000</v>
      </c>
      <c r="G20" s="170"/>
      <c r="H20" s="171">
        <v>0</v>
      </c>
      <c r="I20" s="172">
        <v>0</v>
      </c>
      <c r="J20" s="171">
        <v>0</v>
      </c>
      <c r="K20" s="171">
        <v>0</v>
      </c>
      <c r="L20" s="171">
        <v>0</v>
      </c>
      <c r="M20" s="171">
        <v>6600000</v>
      </c>
      <c r="N20" s="171">
        <v>0</v>
      </c>
      <c r="P20" s="173">
        <f t="shared" si="0"/>
        <v>0</v>
      </c>
      <c r="V20" s="163"/>
      <c r="W20" s="163"/>
    </row>
    <row r="21" spans="1:23" s="17" customFormat="1">
      <c r="A21" s="168"/>
      <c r="B21" s="37" t="s">
        <v>446</v>
      </c>
      <c r="C21" s="35">
        <v>2023</v>
      </c>
      <c r="D21" s="8" t="s">
        <v>2155</v>
      </c>
      <c r="E21" s="8" t="s">
        <v>2161</v>
      </c>
      <c r="F21" s="139">
        <v>92215</v>
      </c>
      <c r="G21" s="170"/>
      <c r="H21" s="171">
        <v>0</v>
      </c>
      <c r="I21" s="172">
        <v>0</v>
      </c>
      <c r="J21" s="171">
        <v>0</v>
      </c>
      <c r="K21" s="171">
        <v>0</v>
      </c>
      <c r="L21" s="171">
        <v>0</v>
      </c>
      <c r="M21" s="171">
        <v>92215</v>
      </c>
      <c r="N21" s="171">
        <v>0</v>
      </c>
      <c r="P21" s="173">
        <f t="shared" si="0"/>
        <v>0</v>
      </c>
      <c r="V21" s="163"/>
      <c r="W21" s="163"/>
    </row>
    <row r="22" spans="1:23" s="17" customFormat="1">
      <c r="A22" s="168"/>
      <c r="B22" s="37" t="s">
        <v>446</v>
      </c>
      <c r="C22" s="35">
        <v>2023</v>
      </c>
      <c r="D22" s="8" t="s">
        <v>2155</v>
      </c>
      <c r="E22" s="8" t="s">
        <v>2162</v>
      </c>
      <c r="F22" s="139">
        <v>192815</v>
      </c>
      <c r="G22" s="170"/>
      <c r="H22" s="171">
        <v>0</v>
      </c>
      <c r="I22" s="172">
        <v>0</v>
      </c>
      <c r="J22" s="171">
        <v>0</v>
      </c>
      <c r="K22" s="171">
        <v>0</v>
      </c>
      <c r="L22" s="171">
        <v>0</v>
      </c>
      <c r="M22" s="171">
        <v>192815</v>
      </c>
      <c r="N22" s="171">
        <v>0</v>
      </c>
      <c r="P22" s="173">
        <f t="shared" si="0"/>
        <v>0</v>
      </c>
      <c r="V22" s="163"/>
      <c r="W22" s="163"/>
    </row>
    <row r="23" spans="1:23" s="17" customFormat="1">
      <c r="A23" s="168"/>
      <c r="B23" s="37" t="s">
        <v>446</v>
      </c>
      <c r="C23" s="35">
        <v>2023</v>
      </c>
      <c r="D23" s="8" t="s">
        <v>2155</v>
      </c>
      <c r="E23" s="8" t="s">
        <v>2163</v>
      </c>
      <c r="F23" s="139">
        <v>83515</v>
      </c>
      <c r="G23" s="170"/>
      <c r="H23" s="171">
        <v>0</v>
      </c>
      <c r="I23" s="172">
        <v>0</v>
      </c>
      <c r="J23" s="171">
        <v>0</v>
      </c>
      <c r="K23" s="171">
        <v>0</v>
      </c>
      <c r="L23" s="171">
        <v>0</v>
      </c>
      <c r="M23" s="171">
        <v>83515</v>
      </c>
      <c r="N23" s="171">
        <v>0</v>
      </c>
      <c r="P23" s="173">
        <f t="shared" si="0"/>
        <v>0</v>
      </c>
      <c r="V23" s="163"/>
      <c r="W23" s="163"/>
    </row>
    <row r="24" spans="1:23" s="17" customFormat="1">
      <c r="A24" s="168"/>
      <c r="B24" s="37" t="s">
        <v>446</v>
      </c>
      <c r="C24" s="35">
        <v>2024</v>
      </c>
      <c r="D24" s="40" t="s">
        <v>2164</v>
      </c>
      <c r="E24" s="8" t="s">
        <v>2165</v>
      </c>
      <c r="F24" s="1">
        <v>100000000</v>
      </c>
      <c r="G24" s="170"/>
      <c r="H24" s="171">
        <v>0</v>
      </c>
      <c r="I24" s="172">
        <v>0</v>
      </c>
      <c r="J24" s="171">
        <v>0</v>
      </c>
      <c r="K24" s="171">
        <v>0</v>
      </c>
      <c r="L24" s="171">
        <v>0</v>
      </c>
      <c r="M24" s="171">
        <v>100000000</v>
      </c>
      <c r="N24" s="171">
        <v>0</v>
      </c>
      <c r="P24" s="173">
        <f t="shared" si="0"/>
        <v>0</v>
      </c>
      <c r="V24" s="163"/>
      <c r="W24" s="163"/>
    </row>
    <row r="25" spans="1:23" s="17" customFormat="1">
      <c r="A25" s="168"/>
      <c r="B25" s="37" t="s">
        <v>446</v>
      </c>
      <c r="C25" s="35">
        <v>2024</v>
      </c>
      <c r="D25" s="40" t="s">
        <v>2164</v>
      </c>
      <c r="E25" t="s">
        <v>2166</v>
      </c>
      <c r="F25" s="1">
        <v>33225000</v>
      </c>
      <c r="G25" s="170"/>
      <c r="H25" s="171">
        <v>0</v>
      </c>
      <c r="I25" s="172">
        <v>0</v>
      </c>
      <c r="J25" s="171">
        <v>0</v>
      </c>
      <c r="K25" s="171">
        <v>0</v>
      </c>
      <c r="L25" s="171">
        <v>0</v>
      </c>
      <c r="M25" s="171">
        <v>33225000</v>
      </c>
      <c r="N25" s="171">
        <v>0</v>
      </c>
      <c r="P25" s="173">
        <f t="shared" si="0"/>
        <v>0</v>
      </c>
      <c r="V25" s="163"/>
      <c r="W25" s="163"/>
    </row>
    <row r="26" spans="1:23" s="17" customFormat="1">
      <c r="A26" s="168"/>
      <c r="B26" s="37" t="s">
        <v>446</v>
      </c>
      <c r="C26" s="35">
        <v>2024</v>
      </c>
      <c r="D26" t="s">
        <v>1378</v>
      </c>
      <c r="E26" s="8" t="s">
        <v>2167</v>
      </c>
      <c r="F26" s="1">
        <v>150000</v>
      </c>
      <c r="G26" s="170"/>
      <c r="H26" s="171">
        <v>0</v>
      </c>
      <c r="I26" s="172">
        <v>0</v>
      </c>
      <c r="J26" s="171">
        <v>0</v>
      </c>
      <c r="K26" s="171">
        <v>0</v>
      </c>
      <c r="L26" s="171">
        <v>0</v>
      </c>
      <c r="M26" s="171">
        <v>150000</v>
      </c>
      <c r="N26" s="171">
        <v>0</v>
      </c>
      <c r="P26" s="173">
        <f t="shared" si="0"/>
        <v>0</v>
      </c>
      <c r="V26" s="163"/>
      <c r="W26" s="163"/>
    </row>
    <row r="27" spans="1:23" s="17" customFormat="1">
      <c r="A27" s="168"/>
      <c r="B27" s="37" t="s">
        <v>446</v>
      </c>
      <c r="C27" s="35">
        <v>2025</v>
      </c>
      <c r="D27" t="s">
        <v>2324</v>
      </c>
      <c r="E27" s="8" t="s">
        <v>1291</v>
      </c>
      <c r="F27" s="1">
        <v>0</v>
      </c>
      <c r="G27" s="170"/>
      <c r="H27" s="171">
        <v>-400000</v>
      </c>
      <c r="I27" s="172">
        <v>0</v>
      </c>
      <c r="J27" s="171">
        <v>0</v>
      </c>
      <c r="K27" s="171">
        <v>0</v>
      </c>
      <c r="L27" s="171">
        <v>0</v>
      </c>
      <c r="M27" s="171">
        <v>0</v>
      </c>
      <c r="N27" s="171">
        <v>0</v>
      </c>
      <c r="P27" s="173">
        <f t="shared" si="0"/>
        <v>400000</v>
      </c>
      <c r="V27" s="163"/>
      <c r="W27" s="163"/>
    </row>
    <row r="28" spans="1:23" s="17" customFormat="1">
      <c r="A28" s="168"/>
      <c r="B28" s="37" t="s">
        <v>446</v>
      </c>
      <c r="C28" s="35">
        <v>2025</v>
      </c>
      <c r="D28" t="s">
        <v>2324</v>
      </c>
      <c r="E28" s="8" t="s">
        <v>1892</v>
      </c>
      <c r="F28" s="1">
        <v>0</v>
      </c>
      <c r="G28" s="170"/>
      <c r="H28" s="171">
        <v>-800000</v>
      </c>
      <c r="I28" s="172">
        <v>0</v>
      </c>
      <c r="J28" s="171">
        <v>0</v>
      </c>
      <c r="K28" s="171">
        <v>0</v>
      </c>
      <c r="L28" s="171">
        <v>0</v>
      </c>
      <c r="M28" s="171">
        <v>0</v>
      </c>
      <c r="N28" s="171">
        <v>0</v>
      </c>
      <c r="P28" s="173">
        <f t="shared" si="0"/>
        <v>800000</v>
      </c>
      <c r="V28" s="163"/>
      <c r="W28" s="163"/>
    </row>
    <row r="29" spans="1:23" s="17" customFormat="1">
      <c r="A29" s="168"/>
      <c r="B29" s="37" t="s">
        <v>446</v>
      </c>
      <c r="C29" s="35">
        <v>2025</v>
      </c>
      <c r="D29" t="s">
        <v>2324</v>
      </c>
      <c r="E29" s="8" t="s">
        <v>1893</v>
      </c>
      <c r="F29" s="1">
        <v>0</v>
      </c>
      <c r="G29" s="170"/>
      <c r="H29" s="171">
        <v>-800000</v>
      </c>
      <c r="I29" s="172">
        <v>0</v>
      </c>
      <c r="J29" s="171">
        <v>0</v>
      </c>
      <c r="K29" s="171">
        <v>0</v>
      </c>
      <c r="L29" s="171">
        <v>0</v>
      </c>
      <c r="M29" s="171">
        <v>0</v>
      </c>
      <c r="N29" s="171">
        <v>0</v>
      </c>
      <c r="P29" s="173">
        <f t="shared" si="0"/>
        <v>800000</v>
      </c>
      <c r="V29" s="163"/>
      <c r="W29" s="163"/>
    </row>
    <row r="30" spans="1:23" s="17" customFormat="1">
      <c r="A30" s="168"/>
      <c r="B30" s="37" t="s">
        <v>446</v>
      </c>
      <c r="C30" s="35">
        <v>2025</v>
      </c>
      <c r="D30" t="s">
        <v>1461</v>
      </c>
      <c r="E30" s="8" t="s">
        <v>1894</v>
      </c>
      <c r="F30" s="1">
        <v>0</v>
      </c>
      <c r="G30" s="170"/>
      <c r="H30" s="171">
        <v>-400000</v>
      </c>
      <c r="I30" s="172">
        <v>0</v>
      </c>
      <c r="J30" s="171">
        <v>0</v>
      </c>
      <c r="K30" s="171">
        <v>0</v>
      </c>
      <c r="L30" s="171">
        <v>0</v>
      </c>
      <c r="M30" s="171">
        <v>0</v>
      </c>
      <c r="N30" s="171">
        <v>0</v>
      </c>
      <c r="P30" s="173">
        <f t="shared" si="0"/>
        <v>400000</v>
      </c>
      <c r="V30" s="163"/>
      <c r="W30" s="163"/>
    </row>
    <row r="31" spans="1:23" s="17" customFormat="1">
      <c r="A31" s="168"/>
      <c r="B31" s="37" t="s">
        <v>446</v>
      </c>
      <c r="C31" s="35">
        <v>2025</v>
      </c>
      <c r="D31" t="s">
        <v>2324</v>
      </c>
      <c r="E31" s="7" t="s">
        <v>1897</v>
      </c>
      <c r="F31" s="1">
        <v>0</v>
      </c>
      <c r="G31" s="170"/>
      <c r="H31" s="171">
        <v>-300000</v>
      </c>
      <c r="I31" s="172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P31" s="173">
        <f t="shared" si="0"/>
        <v>300000</v>
      </c>
      <c r="V31" s="163"/>
      <c r="W31" s="163"/>
    </row>
    <row r="32" spans="1:23" s="17" customFormat="1">
      <c r="A32" s="168"/>
      <c r="B32" s="37" t="s">
        <v>446</v>
      </c>
      <c r="C32" s="35">
        <v>2025</v>
      </c>
      <c r="D32" t="s">
        <v>2324</v>
      </c>
      <c r="E32" s="7" t="s">
        <v>1902</v>
      </c>
      <c r="F32" s="1">
        <v>0</v>
      </c>
      <c r="G32" s="170"/>
      <c r="H32" s="171">
        <v>-800000</v>
      </c>
      <c r="I32" s="172">
        <v>0</v>
      </c>
      <c r="J32" s="171">
        <v>0</v>
      </c>
      <c r="K32" s="171">
        <v>0</v>
      </c>
      <c r="L32" s="171">
        <v>0</v>
      </c>
      <c r="M32" s="171">
        <v>0</v>
      </c>
      <c r="N32" s="171">
        <v>0</v>
      </c>
      <c r="P32" s="173">
        <f t="shared" si="0"/>
        <v>800000</v>
      </c>
      <c r="V32" s="163"/>
      <c r="W32" s="163"/>
    </row>
    <row r="33" spans="1:23" s="17" customFormat="1">
      <c r="A33" s="168"/>
      <c r="B33" s="37" t="s">
        <v>446</v>
      </c>
      <c r="C33" s="35">
        <v>2025</v>
      </c>
      <c r="D33" t="s">
        <v>3470</v>
      </c>
      <c r="E33" s="8" t="s">
        <v>3482</v>
      </c>
      <c r="F33" s="1">
        <v>0</v>
      </c>
      <c r="G33" s="170"/>
      <c r="H33" s="171">
        <v>-1500000</v>
      </c>
      <c r="I33" s="172">
        <v>0</v>
      </c>
      <c r="J33" s="171">
        <v>0</v>
      </c>
      <c r="K33" s="171">
        <v>0</v>
      </c>
      <c r="L33" s="171">
        <v>0</v>
      </c>
      <c r="M33" s="171">
        <v>0</v>
      </c>
      <c r="N33" s="171">
        <v>0</v>
      </c>
      <c r="P33" s="173">
        <f t="shared" si="0"/>
        <v>1500000</v>
      </c>
      <c r="V33" s="163"/>
      <c r="W33" s="163"/>
    </row>
    <row r="34" spans="1:23" s="17" customFormat="1">
      <c r="A34" s="168"/>
      <c r="B34" s="37" t="s">
        <v>446</v>
      </c>
      <c r="C34" s="35">
        <v>2025</v>
      </c>
      <c r="D34" t="s">
        <v>3470</v>
      </c>
      <c r="E34" s="8" t="s">
        <v>3483</v>
      </c>
      <c r="F34" s="1">
        <v>0</v>
      </c>
      <c r="G34" s="170"/>
      <c r="H34" s="171">
        <v>-1500000</v>
      </c>
      <c r="I34" s="172">
        <v>0</v>
      </c>
      <c r="J34" s="171">
        <v>0</v>
      </c>
      <c r="K34" s="171">
        <v>0</v>
      </c>
      <c r="L34" s="171">
        <v>0</v>
      </c>
      <c r="M34" s="171">
        <v>0</v>
      </c>
      <c r="N34" s="171">
        <v>0</v>
      </c>
      <c r="P34" s="173">
        <f t="shared" si="0"/>
        <v>1500000</v>
      </c>
      <c r="V34" s="163"/>
      <c r="W34" s="163"/>
    </row>
    <row r="35" spans="1:23" s="17" customFormat="1">
      <c r="A35" s="168"/>
      <c r="B35" s="37" t="s">
        <v>446</v>
      </c>
      <c r="C35" s="35">
        <v>2025</v>
      </c>
      <c r="D35" t="s">
        <v>4092</v>
      </c>
      <c r="E35" s="8" t="s">
        <v>4559</v>
      </c>
      <c r="F35" s="1">
        <v>0</v>
      </c>
      <c r="G35" s="170"/>
      <c r="H35" s="171">
        <v>37500000</v>
      </c>
      <c r="I35" s="172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P35" s="173">
        <f t="shared" si="0"/>
        <v>-37500000</v>
      </c>
      <c r="V35" s="163"/>
      <c r="W35" s="163"/>
    </row>
    <row r="36" spans="1:23" s="17" customFormat="1">
      <c r="A36" s="168"/>
      <c r="B36" s="37" t="s">
        <v>446</v>
      </c>
      <c r="C36" s="35">
        <v>2025</v>
      </c>
      <c r="D36" t="s">
        <v>4095</v>
      </c>
      <c r="E36" s="8" t="s">
        <v>4006</v>
      </c>
      <c r="F36" s="1">
        <v>0</v>
      </c>
      <c r="G36" s="170"/>
      <c r="H36" s="171">
        <v>-2050000</v>
      </c>
      <c r="I36" s="172">
        <v>0</v>
      </c>
      <c r="J36" s="171">
        <v>0</v>
      </c>
      <c r="K36" s="171">
        <v>0</v>
      </c>
      <c r="L36" s="171">
        <v>0</v>
      </c>
      <c r="M36" s="171">
        <v>0</v>
      </c>
      <c r="N36" s="171">
        <v>0</v>
      </c>
      <c r="P36" s="173">
        <f t="shared" si="0"/>
        <v>2050000</v>
      </c>
      <c r="V36" s="163"/>
      <c r="W36" s="163"/>
    </row>
    <row r="37" spans="1:23" s="17" customFormat="1">
      <c r="A37" s="176"/>
      <c r="B37" s="120" t="s">
        <v>446</v>
      </c>
      <c r="C37" s="177">
        <v>2025</v>
      </c>
      <c r="D37" s="80" t="s">
        <v>4095</v>
      </c>
      <c r="E37" s="8" t="s">
        <v>4007</v>
      </c>
      <c r="F37" s="1">
        <v>0</v>
      </c>
      <c r="G37" s="170"/>
      <c r="H37" s="171">
        <v>-2050000</v>
      </c>
      <c r="I37" s="172">
        <v>0</v>
      </c>
      <c r="J37" s="171">
        <v>0</v>
      </c>
      <c r="K37" s="171">
        <v>0</v>
      </c>
      <c r="L37" s="171">
        <v>0</v>
      </c>
      <c r="M37" s="171">
        <v>0</v>
      </c>
      <c r="N37" s="171">
        <v>0</v>
      </c>
      <c r="P37" s="173">
        <f t="shared" si="0"/>
        <v>2050000</v>
      </c>
      <c r="V37" s="163"/>
      <c r="W37" s="163"/>
    </row>
    <row r="38" spans="1:23" s="17" customFormat="1">
      <c r="A38" s="176"/>
      <c r="B38" s="120" t="s">
        <v>446</v>
      </c>
      <c r="C38" s="177">
        <v>2025</v>
      </c>
      <c r="D38" s="80" t="s">
        <v>4095</v>
      </c>
      <c r="E38" s="8" t="s">
        <v>4008</v>
      </c>
      <c r="F38" s="1">
        <v>0</v>
      </c>
      <c r="G38" s="170"/>
      <c r="H38" s="171">
        <v>-2050000</v>
      </c>
      <c r="I38" s="172">
        <v>0</v>
      </c>
      <c r="J38" s="171">
        <v>0</v>
      </c>
      <c r="K38" s="171">
        <v>0</v>
      </c>
      <c r="L38" s="171">
        <v>0</v>
      </c>
      <c r="M38" s="171">
        <v>0</v>
      </c>
      <c r="N38" s="171">
        <v>0</v>
      </c>
      <c r="P38" s="173">
        <f t="shared" si="0"/>
        <v>2050000</v>
      </c>
      <c r="V38" s="163"/>
      <c r="W38" s="163"/>
    </row>
    <row r="39" spans="1:23" s="17" customFormat="1">
      <c r="A39" s="176"/>
      <c r="B39" s="120" t="s">
        <v>446</v>
      </c>
      <c r="C39" s="177">
        <v>2025</v>
      </c>
      <c r="D39" s="80" t="s">
        <v>3283</v>
      </c>
      <c r="E39" s="8" t="s">
        <v>4204</v>
      </c>
      <c r="F39" s="1">
        <v>0</v>
      </c>
      <c r="G39" s="170"/>
      <c r="H39" s="171">
        <v>-450000</v>
      </c>
      <c r="I39" s="172">
        <v>0</v>
      </c>
      <c r="J39" s="171">
        <v>0</v>
      </c>
      <c r="K39" s="171">
        <v>0</v>
      </c>
      <c r="L39" s="171">
        <v>0</v>
      </c>
      <c r="M39" s="171">
        <v>0</v>
      </c>
      <c r="N39" s="171">
        <v>0</v>
      </c>
      <c r="P39" s="173">
        <f t="shared" si="0"/>
        <v>450000</v>
      </c>
      <c r="V39" s="163"/>
      <c r="W39" s="163"/>
    </row>
    <row r="40" spans="1:23" s="17" customFormat="1">
      <c r="A40" s="176"/>
      <c r="B40" s="120" t="s">
        <v>446</v>
      </c>
      <c r="C40" s="177">
        <v>2025</v>
      </c>
      <c r="D40" s="80" t="s">
        <v>4631</v>
      </c>
      <c r="E40" s="8" t="s">
        <v>4620</v>
      </c>
      <c r="F40" s="1">
        <v>0</v>
      </c>
      <c r="G40" s="170"/>
      <c r="H40" s="171">
        <v>-150000</v>
      </c>
      <c r="I40" s="172">
        <v>0</v>
      </c>
      <c r="J40" s="171">
        <v>0</v>
      </c>
      <c r="K40" s="171">
        <v>0</v>
      </c>
      <c r="L40" s="171">
        <v>0</v>
      </c>
      <c r="M40" s="171">
        <v>0</v>
      </c>
      <c r="N40" s="171">
        <v>0</v>
      </c>
      <c r="P40" s="173">
        <f t="shared" si="0"/>
        <v>150000</v>
      </c>
      <c r="V40" s="163"/>
      <c r="W40" s="163"/>
    </row>
    <row r="41" spans="1:23" s="17" customFormat="1">
      <c r="A41" s="176"/>
      <c r="B41" s="120" t="s">
        <v>446</v>
      </c>
      <c r="C41" s="177">
        <v>2025</v>
      </c>
      <c r="D41" s="80" t="s">
        <v>5752</v>
      </c>
      <c r="E41" s="8" t="s">
        <v>6009</v>
      </c>
      <c r="F41" s="1">
        <v>0</v>
      </c>
      <c r="G41" s="170"/>
      <c r="H41" s="171">
        <v>-1400000</v>
      </c>
      <c r="I41" s="172">
        <v>0</v>
      </c>
      <c r="J41" s="171">
        <v>0</v>
      </c>
      <c r="K41" s="171">
        <v>0</v>
      </c>
      <c r="L41" s="171">
        <v>0</v>
      </c>
      <c r="M41" s="171">
        <v>0</v>
      </c>
      <c r="N41" s="171">
        <v>0</v>
      </c>
      <c r="P41" s="173">
        <f t="shared" si="0"/>
        <v>1400000</v>
      </c>
      <c r="V41" s="163"/>
      <c r="W41" s="163"/>
    </row>
    <row r="42" spans="1:23" s="17" customFormat="1">
      <c r="A42" s="176"/>
      <c r="B42" s="120" t="s">
        <v>446</v>
      </c>
      <c r="C42" s="177">
        <v>2025</v>
      </c>
      <c r="D42" s="80" t="s">
        <v>5999</v>
      </c>
      <c r="E42" s="8" t="s">
        <v>6010</v>
      </c>
      <c r="F42" s="1">
        <v>0</v>
      </c>
      <c r="G42" s="170"/>
      <c r="H42" s="171">
        <v>-1450000</v>
      </c>
      <c r="I42" s="172">
        <v>0</v>
      </c>
      <c r="J42" s="171">
        <v>0</v>
      </c>
      <c r="K42" s="171">
        <v>0</v>
      </c>
      <c r="L42" s="171">
        <v>0</v>
      </c>
      <c r="M42" s="171">
        <v>0</v>
      </c>
      <c r="N42" s="171">
        <v>0</v>
      </c>
      <c r="P42" s="173">
        <f t="shared" si="0"/>
        <v>1450000</v>
      </c>
      <c r="V42" s="163"/>
      <c r="W42" s="163"/>
    </row>
    <row r="43" spans="1:23" s="17" customFormat="1">
      <c r="A43" s="176"/>
      <c r="B43" s="120" t="s">
        <v>446</v>
      </c>
      <c r="C43" s="177">
        <v>2025</v>
      </c>
      <c r="D43" s="80" t="s">
        <v>4631</v>
      </c>
      <c r="E43" s="8" t="s">
        <v>6013</v>
      </c>
      <c r="F43" s="1">
        <v>0</v>
      </c>
      <c r="G43" s="170"/>
      <c r="H43" s="171">
        <v>-950000</v>
      </c>
      <c r="I43" s="172">
        <v>0</v>
      </c>
      <c r="J43" s="171">
        <v>0</v>
      </c>
      <c r="K43" s="171">
        <v>0</v>
      </c>
      <c r="L43" s="171">
        <v>0</v>
      </c>
      <c r="M43" s="171">
        <v>0</v>
      </c>
      <c r="N43" s="171">
        <v>0</v>
      </c>
      <c r="P43" s="173">
        <f t="shared" si="0"/>
        <v>950000</v>
      </c>
      <c r="V43" s="163"/>
      <c r="W43" s="163"/>
    </row>
    <row r="44" spans="1:23" s="17" customFormat="1">
      <c r="A44" s="176"/>
      <c r="B44" s="120" t="s">
        <v>446</v>
      </c>
      <c r="C44" s="177">
        <v>2025</v>
      </c>
      <c r="D44" s="80" t="s">
        <v>5751</v>
      </c>
      <c r="E44" s="8" t="s">
        <v>6014</v>
      </c>
      <c r="F44" s="1">
        <v>0</v>
      </c>
      <c r="G44" s="170"/>
      <c r="H44" s="171">
        <v>-950000</v>
      </c>
      <c r="I44" s="172">
        <v>0</v>
      </c>
      <c r="J44" s="171">
        <v>0</v>
      </c>
      <c r="K44" s="171">
        <v>0</v>
      </c>
      <c r="L44" s="171">
        <v>0</v>
      </c>
      <c r="M44" s="171">
        <v>0</v>
      </c>
      <c r="N44" s="171">
        <v>0</v>
      </c>
      <c r="P44" s="173">
        <f t="shared" si="0"/>
        <v>950000</v>
      </c>
      <c r="V44" s="163"/>
      <c r="W44" s="163"/>
    </row>
    <row r="45" spans="1:23" s="17" customFormat="1">
      <c r="A45" s="176"/>
      <c r="B45" s="120" t="s">
        <v>446</v>
      </c>
      <c r="C45" s="177">
        <v>2025</v>
      </c>
      <c r="D45" s="80" t="s">
        <v>4631</v>
      </c>
      <c r="E45" s="8" t="s">
        <v>6017</v>
      </c>
      <c r="F45" s="1">
        <v>0</v>
      </c>
      <c r="G45" s="170"/>
      <c r="H45" s="171">
        <v>-1350000</v>
      </c>
      <c r="I45" s="172">
        <v>0</v>
      </c>
      <c r="J45" s="171">
        <v>0</v>
      </c>
      <c r="K45" s="171">
        <v>0</v>
      </c>
      <c r="L45" s="171">
        <v>0</v>
      </c>
      <c r="M45" s="171">
        <v>0</v>
      </c>
      <c r="N45" s="171">
        <v>0</v>
      </c>
      <c r="P45" s="173">
        <f t="shared" si="0"/>
        <v>1350000</v>
      </c>
      <c r="V45" s="163"/>
      <c r="W45" s="163"/>
    </row>
    <row r="46" spans="1:23" s="17" customFormat="1">
      <c r="A46" s="176"/>
      <c r="B46" s="120" t="s">
        <v>446</v>
      </c>
      <c r="C46" s="177">
        <v>2025</v>
      </c>
      <c r="D46" s="80" t="s">
        <v>5751</v>
      </c>
      <c r="E46" s="8" t="s">
        <v>6019</v>
      </c>
      <c r="F46" s="1">
        <v>0</v>
      </c>
      <c r="G46" s="170"/>
      <c r="H46" s="171">
        <v>-950000</v>
      </c>
      <c r="I46" s="172">
        <v>0</v>
      </c>
      <c r="J46" s="171">
        <v>0</v>
      </c>
      <c r="K46" s="171">
        <v>0</v>
      </c>
      <c r="L46" s="171">
        <v>0</v>
      </c>
      <c r="M46" s="171">
        <v>0</v>
      </c>
      <c r="N46" s="171">
        <v>0</v>
      </c>
      <c r="P46" s="173">
        <f t="shared" si="0"/>
        <v>950000</v>
      </c>
      <c r="V46" s="163"/>
      <c r="W46" s="163"/>
    </row>
    <row r="47" spans="1:23" s="17" customFormat="1">
      <c r="A47" s="176"/>
      <c r="B47" s="120" t="s">
        <v>446</v>
      </c>
      <c r="C47" s="177">
        <v>2025</v>
      </c>
      <c r="D47" s="80" t="s">
        <v>5999</v>
      </c>
      <c r="E47" s="8" t="s">
        <v>6020</v>
      </c>
      <c r="F47" s="1">
        <v>0</v>
      </c>
      <c r="G47" s="170"/>
      <c r="H47" s="171">
        <v>-900000</v>
      </c>
      <c r="I47" s="172">
        <v>0</v>
      </c>
      <c r="J47" s="171">
        <v>0</v>
      </c>
      <c r="K47" s="171">
        <v>0</v>
      </c>
      <c r="L47" s="171">
        <v>0</v>
      </c>
      <c r="M47" s="171">
        <v>0</v>
      </c>
      <c r="N47" s="171">
        <v>0</v>
      </c>
      <c r="P47" s="173">
        <f t="shared" si="0"/>
        <v>900000</v>
      </c>
      <c r="V47" s="163"/>
      <c r="W47" s="163"/>
    </row>
    <row r="48" spans="1:23" s="17" customFormat="1">
      <c r="A48" s="176"/>
      <c r="B48" s="120" t="s">
        <v>446</v>
      </c>
      <c r="C48" s="177">
        <v>2025</v>
      </c>
      <c r="D48" s="80" t="s">
        <v>4631</v>
      </c>
      <c r="E48" s="8" t="s">
        <v>6022</v>
      </c>
      <c r="F48" s="1">
        <v>0</v>
      </c>
      <c r="G48" s="170"/>
      <c r="H48" s="171">
        <v>-900000</v>
      </c>
      <c r="I48" s="172">
        <v>0</v>
      </c>
      <c r="J48" s="171">
        <v>0</v>
      </c>
      <c r="K48" s="171">
        <v>0</v>
      </c>
      <c r="L48" s="171">
        <v>0</v>
      </c>
      <c r="M48" s="171">
        <v>0</v>
      </c>
      <c r="N48" s="171">
        <v>0</v>
      </c>
      <c r="P48" s="173">
        <f t="shared" si="0"/>
        <v>900000</v>
      </c>
      <c r="V48" s="163"/>
      <c r="W48" s="163"/>
    </row>
    <row r="49" spans="1:23" s="17" customFormat="1">
      <c r="A49" s="176"/>
      <c r="B49" s="120" t="s">
        <v>446</v>
      </c>
      <c r="C49" s="177">
        <v>2025</v>
      </c>
      <c r="D49" s="80" t="s">
        <v>4631</v>
      </c>
      <c r="E49" s="8" t="s">
        <v>6023</v>
      </c>
      <c r="F49" s="1">
        <v>0</v>
      </c>
      <c r="G49" s="170"/>
      <c r="H49" s="171">
        <v>-150000</v>
      </c>
      <c r="I49" s="172">
        <v>0</v>
      </c>
      <c r="J49" s="171">
        <v>0</v>
      </c>
      <c r="K49" s="171">
        <v>0</v>
      </c>
      <c r="L49" s="171">
        <v>0</v>
      </c>
      <c r="M49" s="171">
        <v>0</v>
      </c>
      <c r="N49" s="171">
        <v>0</v>
      </c>
      <c r="P49" s="173">
        <f t="shared" si="0"/>
        <v>150000</v>
      </c>
      <c r="V49" s="163"/>
      <c r="W49" s="163"/>
    </row>
    <row r="50" spans="1:23" s="17" customFormat="1">
      <c r="A50" s="176"/>
      <c r="B50" s="120" t="s">
        <v>446</v>
      </c>
      <c r="C50" s="177">
        <v>2025</v>
      </c>
      <c r="D50" s="80" t="s">
        <v>5752</v>
      </c>
      <c r="E50" s="8" t="s">
        <v>6397</v>
      </c>
      <c r="F50" s="1">
        <v>0</v>
      </c>
      <c r="G50" s="170"/>
      <c r="H50" s="171">
        <v>-2100000</v>
      </c>
      <c r="I50" s="172">
        <v>0</v>
      </c>
      <c r="J50" s="171">
        <v>0</v>
      </c>
      <c r="K50" s="171">
        <v>0</v>
      </c>
      <c r="L50" s="171">
        <v>0</v>
      </c>
      <c r="M50" s="171">
        <v>0</v>
      </c>
      <c r="N50" s="171">
        <v>0</v>
      </c>
      <c r="P50" s="173">
        <f t="shared" si="0"/>
        <v>2100000</v>
      </c>
      <c r="V50" s="163"/>
      <c r="W50" s="163"/>
    </row>
    <row r="51" spans="1:23" s="17" customFormat="1">
      <c r="A51" s="176"/>
      <c r="B51" s="120" t="s">
        <v>446</v>
      </c>
      <c r="C51" s="177">
        <v>2025</v>
      </c>
      <c r="D51" s="80" t="s">
        <v>7931</v>
      </c>
      <c r="E51" s="8" t="s">
        <v>6400</v>
      </c>
      <c r="F51" s="1">
        <v>0</v>
      </c>
      <c r="G51" s="170"/>
      <c r="H51" s="171">
        <v>-1250000</v>
      </c>
      <c r="I51" s="172">
        <v>0</v>
      </c>
      <c r="J51" s="171">
        <v>0</v>
      </c>
      <c r="K51" s="171">
        <v>0</v>
      </c>
      <c r="L51" s="171">
        <v>0</v>
      </c>
      <c r="M51" s="171">
        <v>0</v>
      </c>
      <c r="N51" s="171">
        <v>0</v>
      </c>
      <c r="P51" s="173">
        <f t="shared" si="0"/>
        <v>1250000</v>
      </c>
      <c r="V51" s="163"/>
      <c r="W51" s="163"/>
    </row>
    <row r="52" spans="1:23" s="17" customFormat="1">
      <c r="A52" s="176"/>
      <c r="B52" s="120" t="s">
        <v>446</v>
      </c>
      <c r="C52" s="177">
        <v>2025</v>
      </c>
      <c r="D52" s="80" t="s">
        <v>6001</v>
      </c>
      <c r="E52" s="8" t="s">
        <v>6401</v>
      </c>
      <c r="F52" s="1">
        <v>0</v>
      </c>
      <c r="G52" s="170"/>
      <c r="H52" s="171">
        <v>-2000000</v>
      </c>
      <c r="I52" s="172">
        <v>0</v>
      </c>
      <c r="J52" s="171">
        <v>0</v>
      </c>
      <c r="K52" s="171">
        <v>0</v>
      </c>
      <c r="L52" s="171">
        <v>0</v>
      </c>
      <c r="M52" s="171">
        <v>0</v>
      </c>
      <c r="N52" s="171">
        <v>0</v>
      </c>
      <c r="P52" s="173">
        <f t="shared" si="0"/>
        <v>2000000</v>
      </c>
      <c r="V52" s="163"/>
      <c r="W52" s="163"/>
    </row>
    <row r="53" spans="1:23" s="17" customFormat="1">
      <c r="A53" s="176"/>
      <c r="B53" s="120" t="s">
        <v>446</v>
      </c>
      <c r="C53" s="177">
        <v>2025</v>
      </c>
      <c r="D53" s="80" t="s">
        <v>6001</v>
      </c>
      <c r="E53" s="8" t="s">
        <v>6402</v>
      </c>
      <c r="F53" s="1">
        <v>0</v>
      </c>
      <c r="G53" s="170"/>
      <c r="H53" s="171">
        <v>-1450000</v>
      </c>
      <c r="I53" s="172">
        <v>0</v>
      </c>
      <c r="J53" s="171">
        <v>0</v>
      </c>
      <c r="K53" s="171">
        <v>0</v>
      </c>
      <c r="L53" s="171">
        <v>0</v>
      </c>
      <c r="M53" s="171">
        <v>0</v>
      </c>
      <c r="N53" s="171">
        <v>0</v>
      </c>
      <c r="P53" s="173">
        <f t="shared" si="0"/>
        <v>1450000</v>
      </c>
      <c r="V53" s="163"/>
      <c r="W53" s="163"/>
    </row>
    <row r="54" spans="1:23" s="17" customFormat="1">
      <c r="A54" s="176"/>
      <c r="B54" s="120" t="s">
        <v>446</v>
      </c>
      <c r="C54" s="177">
        <v>2025</v>
      </c>
      <c r="D54" s="80" t="s">
        <v>6001</v>
      </c>
      <c r="E54" s="8" t="s">
        <v>6406</v>
      </c>
      <c r="F54" s="1">
        <v>0</v>
      </c>
      <c r="G54" s="170"/>
      <c r="H54" s="171">
        <v>-1450000</v>
      </c>
      <c r="I54" s="172">
        <v>0</v>
      </c>
      <c r="J54" s="171">
        <v>0</v>
      </c>
      <c r="K54" s="171">
        <v>0</v>
      </c>
      <c r="L54" s="171">
        <v>0</v>
      </c>
      <c r="M54" s="171">
        <v>0</v>
      </c>
      <c r="N54" s="171">
        <v>0</v>
      </c>
      <c r="P54" s="173">
        <f t="shared" si="0"/>
        <v>1450000</v>
      </c>
      <c r="V54" s="163"/>
      <c r="W54" s="163"/>
    </row>
    <row r="55" spans="1:23" s="17" customFormat="1">
      <c r="A55" s="176"/>
      <c r="B55" s="120" t="s">
        <v>446</v>
      </c>
      <c r="C55" s="177">
        <v>2025</v>
      </c>
      <c r="D55" s="80" t="s">
        <v>1629</v>
      </c>
      <c r="E55" s="8" t="s">
        <v>813</v>
      </c>
      <c r="F55" s="1">
        <v>0</v>
      </c>
      <c r="G55" s="170"/>
      <c r="H55" s="171">
        <v>0</v>
      </c>
      <c r="I55" s="172">
        <v>-4080000</v>
      </c>
      <c r="J55" s="171">
        <v>0</v>
      </c>
      <c r="K55" s="171">
        <v>0</v>
      </c>
      <c r="L55" s="171">
        <v>0</v>
      </c>
      <c r="M55" s="171">
        <v>0</v>
      </c>
      <c r="N55" s="171">
        <v>0</v>
      </c>
      <c r="P55" s="173">
        <f t="shared" si="0"/>
        <v>4080000</v>
      </c>
      <c r="V55" s="163"/>
      <c r="W55" s="163"/>
    </row>
    <row r="56" spans="1:23" s="17" customFormat="1">
      <c r="A56" s="176"/>
      <c r="B56" s="120" t="s">
        <v>446</v>
      </c>
      <c r="C56" s="177">
        <v>2025</v>
      </c>
      <c r="D56" s="80" t="s">
        <v>1640</v>
      </c>
      <c r="E56" s="8" t="s">
        <v>1304</v>
      </c>
      <c r="F56" s="1">
        <v>0</v>
      </c>
      <c r="G56" s="170"/>
      <c r="H56" s="171">
        <v>0</v>
      </c>
      <c r="I56" s="172">
        <v>-3640000</v>
      </c>
      <c r="J56" s="171">
        <v>0</v>
      </c>
      <c r="K56" s="171">
        <v>0</v>
      </c>
      <c r="L56" s="171">
        <v>0</v>
      </c>
      <c r="M56" s="171">
        <v>0</v>
      </c>
      <c r="N56" s="171">
        <v>0</v>
      </c>
      <c r="P56" s="173">
        <f t="shared" si="0"/>
        <v>3640000</v>
      </c>
      <c r="V56" s="163"/>
      <c r="W56" s="163"/>
    </row>
    <row r="57" spans="1:23" s="17" customFormat="1">
      <c r="A57" s="176"/>
      <c r="B57" s="120" t="s">
        <v>446</v>
      </c>
      <c r="C57" s="177">
        <v>2025</v>
      </c>
      <c r="D57" s="80" t="s">
        <v>1640</v>
      </c>
      <c r="E57" s="8" t="s">
        <v>1305</v>
      </c>
      <c r="F57" s="1">
        <v>0</v>
      </c>
      <c r="G57" s="170"/>
      <c r="H57" s="171">
        <v>0</v>
      </c>
      <c r="I57" s="172">
        <v>-1432760</v>
      </c>
      <c r="J57" s="171">
        <v>0</v>
      </c>
      <c r="K57" s="171">
        <v>0</v>
      </c>
      <c r="L57" s="171">
        <v>0</v>
      </c>
      <c r="M57" s="171">
        <v>0</v>
      </c>
      <c r="N57" s="171">
        <v>0</v>
      </c>
      <c r="P57" s="173">
        <f t="shared" si="0"/>
        <v>1432760</v>
      </c>
      <c r="V57" s="163"/>
      <c r="W57" s="163"/>
    </row>
    <row r="58" spans="1:23" s="17" customFormat="1">
      <c r="A58" s="176"/>
      <c r="B58" s="120" t="s">
        <v>446</v>
      </c>
      <c r="C58" s="177">
        <v>2025</v>
      </c>
      <c r="D58" s="80" t="s">
        <v>1461</v>
      </c>
      <c r="E58" s="8" t="s">
        <v>1331</v>
      </c>
      <c r="F58" s="1">
        <v>0</v>
      </c>
      <c r="G58" s="170"/>
      <c r="H58" s="171">
        <v>0</v>
      </c>
      <c r="I58" s="171">
        <v>-16380000</v>
      </c>
      <c r="J58" s="171">
        <v>0</v>
      </c>
      <c r="K58" s="171">
        <v>0</v>
      </c>
      <c r="L58" s="171">
        <v>0</v>
      </c>
      <c r="M58" s="171">
        <v>0</v>
      </c>
      <c r="N58" s="171">
        <v>0</v>
      </c>
      <c r="P58" s="173">
        <f t="shared" si="0"/>
        <v>16380000</v>
      </c>
      <c r="V58" s="163"/>
      <c r="W58" s="163"/>
    </row>
    <row r="59" spans="1:23" s="17" customFormat="1">
      <c r="A59" s="176"/>
      <c r="B59" s="120" t="s">
        <v>446</v>
      </c>
      <c r="C59" s="177">
        <v>2025</v>
      </c>
      <c r="D59" s="80" t="s">
        <v>2324</v>
      </c>
      <c r="E59" s="8" t="s">
        <v>1920</v>
      </c>
      <c r="F59" s="1">
        <v>0</v>
      </c>
      <c r="G59" s="170"/>
      <c r="H59" s="171">
        <v>0</v>
      </c>
      <c r="I59" s="171">
        <v>-1500000</v>
      </c>
      <c r="J59" s="171">
        <v>0</v>
      </c>
      <c r="K59" s="171">
        <v>0</v>
      </c>
      <c r="L59" s="171">
        <v>0</v>
      </c>
      <c r="M59" s="171">
        <v>0</v>
      </c>
      <c r="N59" s="171">
        <v>0</v>
      </c>
      <c r="P59" s="173">
        <f t="shared" si="0"/>
        <v>1500000</v>
      </c>
      <c r="V59" s="163"/>
      <c r="W59" s="163"/>
    </row>
    <row r="60" spans="1:23" s="17" customFormat="1">
      <c r="A60" s="176"/>
      <c r="B60" s="120" t="s">
        <v>446</v>
      </c>
      <c r="C60" s="177">
        <v>2025</v>
      </c>
      <c r="D60" s="80" t="s">
        <v>2324</v>
      </c>
      <c r="E60" s="8" t="s">
        <v>1924</v>
      </c>
      <c r="F60" s="1">
        <v>0</v>
      </c>
      <c r="G60" s="170"/>
      <c r="H60" s="171">
        <v>0</v>
      </c>
      <c r="I60" s="171">
        <v>-1000000</v>
      </c>
      <c r="J60" s="171">
        <v>0</v>
      </c>
      <c r="K60" s="171">
        <v>0</v>
      </c>
      <c r="L60" s="171">
        <v>0</v>
      </c>
      <c r="M60" s="171">
        <v>0</v>
      </c>
      <c r="N60" s="171">
        <v>0</v>
      </c>
      <c r="P60" s="173">
        <f t="shared" si="0"/>
        <v>1000000</v>
      </c>
      <c r="V60" s="163"/>
      <c r="W60" s="163"/>
    </row>
    <row r="61" spans="1:23" s="17" customFormat="1">
      <c r="A61" s="176"/>
      <c r="B61" s="120" t="s">
        <v>446</v>
      </c>
      <c r="C61" s="177">
        <v>2025</v>
      </c>
      <c r="D61" s="80" t="s">
        <v>2324</v>
      </c>
      <c r="E61" s="8" t="s">
        <v>1926</v>
      </c>
      <c r="F61" s="1">
        <v>0</v>
      </c>
      <c r="G61" s="170"/>
      <c r="H61" s="171">
        <v>0</v>
      </c>
      <c r="I61" s="171">
        <v>-1000000</v>
      </c>
      <c r="J61" s="171">
        <v>0</v>
      </c>
      <c r="K61" s="171">
        <v>0</v>
      </c>
      <c r="L61" s="171">
        <v>0</v>
      </c>
      <c r="M61" s="171">
        <v>0</v>
      </c>
      <c r="N61" s="171">
        <v>0</v>
      </c>
      <c r="P61" s="173">
        <f t="shared" si="0"/>
        <v>1000000</v>
      </c>
      <c r="V61" s="163"/>
      <c r="W61" s="163"/>
    </row>
    <row r="62" spans="1:23" s="17" customFormat="1">
      <c r="A62" s="176"/>
      <c r="B62" s="120" t="s">
        <v>446</v>
      </c>
      <c r="C62" s="177">
        <v>2025</v>
      </c>
      <c r="D62" s="80" t="s">
        <v>2324</v>
      </c>
      <c r="E62" s="8" t="s">
        <v>1940</v>
      </c>
      <c r="F62" s="1">
        <v>0</v>
      </c>
      <c r="G62" s="170"/>
      <c r="H62" s="171">
        <v>0</v>
      </c>
      <c r="I62" s="171">
        <v>-2000000</v>
      </c>
      <c r="J62" s="171">
        <v>0</v>
      </c>
      <c r="K62" s="171">
        <v>0</v>
      </c>
      <c r="L62" s="171">
        <v>0</v>
      </c>
      <c r="M62" s="171">
        <v>0</v>
      </c>
      <c r="N62" s="171">
        <v>0</v>
      </c>
      <c r="P62" s="173">
        <f t="shared" si="0"/>
        <v>2000000</v>
      </c>
      <c r="V62" s="163"/>
      <c r="W62" s="163"/>
    </row>
    <row r="63" spans="1:23" s="17" customFormat="1">
      <c r="A63" s="176"/>
      <c r="B63" s="120" t="s">
        <v>446</v>
      </c>
      <c r="C63" s="177">
        <v>2025</v>
      </c>
      <c r="D63" s="80" t="s">
        <v>2324</v>
      </c>
      <c r="E63" s="8" t="s">
        <v>1941</v>
      </c>
      <c r="F63" s="1">
        <v>0</v>
      </c>
      <c r="G63" s="170"/>
      <c r="H63" s="171">
        <v>0</v>
      </c>
      <c r="I63" s="171">
        <v>-12800000</v>
      </c>
      <c r="J63" s="171">
        <v>0</v>
      </c>
      <c r="K63" s="171">
        <v>0</v>
      </c>
      <c r="L63" s="171">
        <v>0</v>
      </c>
      <c r="M63" s="171">
        <v>0</v>
      </c>
      <c r="N63" s="171">
        <v>0</v>
      </c>
      <c r="P63" s="173">
        <f t="shared" si="0"/>
        <v>12800000</v>
      </c>
      <c r="V63" s="163"/>
      <c r="W63" s="163"/>
    </row>
    <row r="64" spans="1:23" s="17" customFormat="1">
      <c r="A64" s="176"/>
      <c r="B64" s="120" t="s">
        <v>446</v>
      </c>
      <c r="C64" s="177">
        <v>2025</v>
      </c>
      <c r="D64" s="80" t="s">
        <v>2324</v>
      </c>
      <c r="E64" s="8" t="s">
        <v>1942</v>
      </c>
      <c r="F64" s="1">
        <v>0</v>
      </c>
      <c r="G64" s="170"/>
      <c r="H64" s="171">
        <v>0</v>
      </c>
      <c r="I64" s="171">
        <v>-560000</v>
      </c>
      <c r="J64" s="171">
        <v>0</v>
      </c>
      <c r="K64" s="171">
        <v>0</v>
      </c>
      <c r="L64" s="171">
        <v>0</v>
      </c>
      <c r="M64" s="171">
        <v>0</v>
      </c>
      <c r="N64" s="171">
        <v>0</v>
      </c>
      <c r="P64" s="173">
        <f t="shared" si="0"/>
        <v>560000</v>
      </c>
      <c r="V64" s="163"/>
      <c r="W64" s="163"/>
    </row>
    <row r="65" spans="1:23" s="17" customFormat="1">
      <c r="A65" s="176"/>
      <c r="B65" s="120" t="s">
        <v>446</v>
      </c>
      <c r="C65" s="177">
        <v>2025</v>
      </c>
      <c r="D65" s="80" t="s">
        <v>1461</v>
      </c>
      <c r="E65" s="8" t="s">
        <v>1954</v>
      </c>
      <c r="F65" s="1">
        <v>0</v>
      </c>
      <c r="G65" s="170"/>
      <c r="H65" s="171">
        <v>0</v>
      </c>
      <c r="I65" s="171">
        <v>780000</v>
      </c>
      <c r="J65" s="171">
        <v>0</v>
      </c>
      <c r="K65" s="171">
        <v>0</v>
      </c>
      <c r="L65" s="171">
        <v>0</v>
      </c>
      <c r="M65" s="171">
        <v>0</v>
      </c>
      <c r="N65" s="171">
        <v>0</v>
      </c>
      <c r="P65" s="173">
        <f t="shared" si="0"/>
        <v>-780000</v>
      </c>
      <c r="V65" s="163"/>
      <c r="W65" s="163"/>
    </row>
    <row r="66" spans="1:23" s="17" customFormat="1">
      <c r="A66" s="176"/>
      <c r="B66" s="120" t="s">
        <v>446</v>
      </c>
      <c r="C66" s="177">
        <v>2025</v>
      </c>
      <c r="D66" s="80" t="s">
        <v>3283</v>
      </c>
      <c r="E66" s="8" t="s">
        <v>5747</v>
      </c>
      <c r="F66" s="1">
        <v>0</v>
      </c>
      <c r="G66" s="170"/>
      <c r="H66" s="171">
        <v>0</v>
      </c>
      <c r="I66" s="171">
        <v>80000</v>
      </c>
      <c r="J66" s="171">
        <v>0</v>
      </c>
      <c r="K66" s="171">
        <v>0</v>
      </c>
      <c r="L66" s="171">
        <v>0</v>
      </c>
      <c r="M66" s="171">
        <v>0</v>
      </c>
      <c r="N66" s="171">
        <v>0</v>
      </c>
      <c r="P66" s="173">
        <f t="shared" si="0"/>
        <v>-80000</v>
      </c>
      <c r="V66" s="163"/>
      <c r="W66" s="163"/>
    </row>
    <row r="67" spans="1:23" s="17" customFormat="1">
      <c r="A67" s="176"/>
      <c r="B67" s="120" t="s">
        <v>446</v>
      </c>
      <c r="C67" s="177">
        <v>2025</v>
      </c>
      <c r="D67" s="80" t="s">
        <v>3470</v>
      </c>
      <c r="E67" s="8" t="s">
        <v>3491</v>
      </c>
      <c r="F67" s="1">
        <v>0</v>
      </c>
      <c r="G67" s="170"/>
      <c r="H67" s="171">
        <v>0</v>
      </c>
      <c r="I67" s="171">
        <v>-50050000</v>
      </c>
      <c r="J67" s="171">
        <v>0</v>
      </c>
      <c r="K67" s="171">
        <v>0</v>
      </c>
      <c r="L67" s="171">
        <v>0</v>
      </c>
      <c r="M67" s="171">
        <v>0</v>
      </c>
      <c r="N67" s="171">
        <v>0</v>
      </c>
      <c r="P67" s="173">
        <f t="shared" si="0"/>
        <v>50050000</v>
      </c>
      <c r="V67" s="163"/>
      <c r="W67" s="163"/>
    </row>
    <row r="68" spans="1:23" s="17" customFormat="1">
      <c r="A68" s="176"/>
      <c r="B68" s="120" t="s">
        <v>446</v>
      </c>
      <c r="C68" s="177">
        <v>2025</v>
      </c>
      <c r="D68" s="80" t="s">
        <v>4086</v>
      </c>
      <c r="E68" s="8" t="s">
        <v>5368</v>
      </c>
      <c r="F68" s="1">
        <v>0</v>
      </c>
      <c r="G68" s="170"/>
      <c r="H68" s="171">
        <v>0</v>
      </c>
      <c r="I68" s="171">
        <v>-14021500</v>
      </c>
      <c r="J68" s="171">
        <v>0</v>
      </c>
      <c r="K68" s="171">
        <v>0</v>
      </c>
      <c r="L68" s="171">
        <v>0</v>
      </c>
      <c r="M68" s="171">
        <v>0</v>
      </c>
      <c r="N68" s="171">
        <v>0</v>
      </c>
      <c r="P68" s="173">
        <f t="shared" si="0"/>
        <v>14021500</v>
      </c>
      <c r="V68" s="163"/>
      <c r="W68" s="163"/>
    </row>
    <row r="69" spans="1:23" s="17" customFormat="1">
      <c r="A69" s="176"/>
      <c r="B69" s="120" t="s">
        <v>446</v>
      </c>
      <c r="C69" s="177">
        <v>2025</v>
      </c>
      <c r="D69" s="80" t="s">
        <v>4086</v>
      </c>
      <c r="E69" s="8" t="s">
        <v>3514</v>
      </c>
      <c r="F69" s="1">
        <v>0</v>
      </c>
      <c r="G69" s="170"/>
      <c r="H69" s="171">
        <v>0</v>
      </c>
      <c r="I69" s="171">
        <v>-550000</v>
      </c>
      <c r="J69" s="171">
        <v>0</v>
      </c>
      <c r="K69" s="171">
        <v>0</v>
      </c>
      <c r="L69" s="171">
        <v>0</v>
      </c>
      <c r="M69" s="171">
        <v>0</v>
      </c>
      <c r="N69" s="171">
        <v>0</v>
      </c>
      <c r="P69" s="173">
        <f t="shared" ref="P69:P132" si="1">F69-H69-I69-J69-K69-L69-M69</f>
        <v>550000</v>
      </c>
      <c r="V69" s="163"/>
      <c r="W69" s="163"/>
    </row>
    <row r="70" spans="1:23" s="17" customFormat="1">
      <c r="A70" s="176"/>
      <c r="B70" s="120" t="s">
        <v>446</v>
      </c>
      <c r="C70" s="177">
        <v>2025</v>
      </c>
      <c r="D70" s="80" t="s">
        <v>4086</v>
      </c>
      <c r="E70" s="8" t="s">
        <v>3515</v>
      </c>
      <c r="F70" s="1">
        <v>0</v>
      </c>
      <c r="G70" s="170"/>
      <c r="H70" s="171">
        <v>0</v>
      </c>
      <c r="I70" s="171">
        <v>-4182300</v>
      </c>
      <c r="J70" s="171">
        <v>0</v>
      </c>
      <c r="K70" s="171">
        <v>0</v>
      </c>
      <c r="L70" s="171">
        <v>0</v>
      </c>
      <c r="M70" s="171">
        <v>0</v>
      </c>
      <c r="N70" s="171">
        <v>0</v>
      </c>
      <c r="P70" s="173">
        <f t="shared" si="1"/>
        <v>4182300</v>
      </c>
      <c r="V70" s="163"/>
      <c r="W70" s="163"/>
    </row>
    <row r="71" spans="1:23" s="17" customFormat="1">
      <c r="A71" s="176"/>
      <c r="B71" s="120" t="s">
        <v>446</v>
      </c>
      <c r="C71" s="177">
        <v>2025</v>
      </c>
      <c r="D71" s="80" t="s">
        <v>3470</v>
      </c>
      <c r="E71" s="8" t="s">
        <v>3516</v>
      </c>
      <c r="F71" s="1">
        <v>0</v>
      </c>
      <c r="G71" s="170"/>
      <c r="H71" s="171">
        <v>0</v>
      </c>
      <c r="I71" s="171">
        <v>-23512500</v>
      </c>
      <c r="J71" s="171">
        <v>0</v>
      </c>
      <c r="K71" s="171">
        <v>0</v>
      </c>
      <c r="L71" s="171">
        <v>0</v>
      </c>
      <c r="M71" s="171">
        <v>0</v>
      </c>
      <c r="N71" s="171">
        <v>0</v>
      </c>
      <c r="P71" s="173">
        <f t="shared" si="1"/>
        <v>23512500</v>
      </c>
      <c r="V71" s="163"/>
      <c r="W71" s="163"/>
    </row>
    <row r="72" spans="1:23" s="17" customFormat="1">
      <c r="A72" s="176"/>
      <c r="B72" s="120" t="s">
        <v>446</v>
      </c>
      <c r="C72" s="177">
        <v>2025</v>
      </c>
      <c r="D72" s="80" t="s">
        <v>4087</v>
      </c>
      <c r="E72" s="8" t="s">
        <v>3517</v>
      </c>
      <c r="F72" s="1">
        <v>0</v>
      </c>
      <c r="G72" s="170"/>
      <c r="H72" s="171">
        <v>0</v>
      </c>
      <c r="I72" s="171">
        <v>-3240000</v>
      </c>
      <c r="J72" s="171">
        <v>0</v>
      </c>
      <c r="K72" s="171">
        <v>0</v>
      </c>
      <c r="L72" s="171">
        <v>0</v>
      </c>
      <c r="M72" s="171">
        <v>0</v>
      </c>
      <c r="N72" s="171">
        <v>0</v>
      </c>
      <c r="P72" s="173">
        <f t="shared" si="1"/>
        <v>3240000</v>
      </c>
      <c r="V72" s="163"/>
      <c r="W72" s="163"/>
    </row>
    <row r="73" spans="1:23" s="17" customFormat="1">
      <c r="A73" s="176"/>
      <c r="B73" s="120" t="s">
        <v>446</v>
      </c>
      <c r="C73" s="177">
        <v>2025</v>
      </c>
      <c r="D73" s="80" t="s">
        <v>4093</v>
      </c>
      <c r="E73" s="8" t="s">
        <v>3518</v>
      </c>
      <c r="F73" s="1">
        <v>0</v>
      </c>
      <c r="G73" s="170"/>
      <c r="H73" s="171">
        <v>0</v>
      </c>
      <c r="I73" s="171">
        <v>-2400000</v>
      </c>
      <c r="J73" s="171">
        <v>0</v>
      </c>
      <c r="K73" s="171">
        <v>0</v>
      </c>
      <c r="L73" s="171">
        <v>0</v>
      </c>
      <c r="M73" s="171">
        <v>0</v>
      </c>
      <c r="N73" s="171">
        <v>0</v>
      </c>
      <c r="P73" s="173">
        <f t="shared" si="1"/>
        <v>2400000</v>
      </c>
      <c r="V73" s="163"/>
      <c r="W73" s="163"/>
    </row>
    <row r="74" spans="1:23" s="17" customFormat="1">
      <c r="A74" s="176"/>
      <c r="B74" s="120" t="s">
        <v>446</v>
      </c>
      <c r="C74" s="177">
        <v>2025</v>
      </c>
      <c r="D74" s="80" t="s">
        <v>4089</v>
      </c>
      <c r="E74" s="8" t="s">
        <v>3520</v>
      </c>
      <c r="F74" s="1">
        <v>0</v>
      </c>
      <c r="G74" s="170"/>
      <c r="H74" s="171">
        <v>0</v>
      </c>
      <c r="I74" s="171">
        <v>-23101903</v>
      </c>
      <c r="J74" s="171">
        <v>0</v>
      </c>
      <c r="K74" s="171">
        <v>0</v>
      </c>
      <c r="L74" s="171">
        <v>0</v>
      </c>
      <c r="M74" s="171">
        <v>0</v>
      </c>
      <c r="N74" s="171">
        <v>0</v>
      </c>
      <c r="P74" s="173">
        <f t="shared" si="1"/>
        <v>23101903</v>
      </c>
      <c r="V74" s="163"/>
      <c r="W74" s="163"/>
    </row>
    <row r="75" spans="1:23" s="17" customFormat="1">
      <c r="A75" s="176"/>
      <c r="B75" s="120" t="s">
        <v>446</v>
      </c>
      <c r="C75" s="177">
        <v>2025</v>
      </c>
      <c r="D75" s="80" t="s">
        <v>4087</v>
      </c>
      <c r="E75" s="8" t="s">
        <v>3521</v>
      </c>
      <c r="F75" s="1">
        <v>0</v>
      </c>
      <c r="G75" s="170"/>
      <c r="H75" s="171">
        <v>0</v>
      </c>
      <c r="I75" s="171">
        <v>-3202500</v>
      </c>
      <c r="J75" s="171">
        <v>0</v>
      </c>
      <c r="K75" s="171">
        <v>0</v>
      </c>
      <c r="L75" s="171">
        <v>0</v>
      </c>
      <c r="M75" s="171">
        <v>0</v>
      </c>
      <c r="N75" s="171">
        <v>0</v>
      </c>
      <c r="P75" s="173">
        <f t="shared" si="1"/>
        <v>3202500</v>
      </c>
      <c r="V75" s="163"/>
      <c r="W75" s="163"/>
    </row>
    <row r="76" spans="1:23" s="17" customFormat="1">
      <c r="A76" s="176"/>
      <c r="B76" s="120" t="s">
        <v>446</v>
      </c>
      <c r="C76" s="177">
        <v>2025</v>
      </c>
      <c r="D76" s="80" t="s">
        <v>4086</v>
      </c>
      <c r="E76" s="8" t="s">
        <v>5373</v>
      </c>
      <c r="F76" s="1">
        <v>0</v>
      </c>
      <c r="G76" s="170"/>
      <c r="H76" s="171">
        <v>0</v>
      </c>
      <c r="I76" s="171">
        <v>-701000</v>
      </c>
      <c r="J76" s="171">
        <v>0</v>
      </c>
      <c r="K76" s="171">
        <v>0</v>
      </c>
      <c r="L76" s="171">
        <v>0</v>
      </c>
      <c r="M76" s="171">
        <v>0</v>
      </c>
      <c r="N76" s="171">
        <v>0</v>
      </c>
      <c r="P76" s="173">
        <f t="shared" si="1"/>
        <v>701000</v>
      </c>
      <c r="V76" s="163"/>
      <c r="W76" s="163"/>
    </row>
    <row r="77" spans="1:23" s="17" customFormat="1">
      <c r="A77" s="176"/>
      <c r="B77" s="120" t="s">
        <v>446</v>
      </c>
      <c r="C77" s="177">
        <v>2025</v>
      </c>
      <c r="D77" s="80" t="s">
        <v>4087</v>
      </c>
      <c r="E77" s="8" t="s">
        <v>3522</v>
      </c>
      <c r="F77" s="1">
        <v>0</v>
      </c>
      <c r="G77" s="170"/>
      <c r="H77" s="171">
        <v>0</v>
      </c>
      <c r="I77" s="171">
        <v>-2800000</v>
      </c>
      <c r="J77" s="171">
        <v>0</v>
      </c>
      <c r="K77" s="171">
        <v>0</v>
      </c>
      <c r="L77" s="171">
        <v>0</v>
      </c>
      <c r="M77" s="171">
        <v>0</v>
      </c>
      <c r="N77" s="171">
        <v>0</v>
      </c>
      <c r="P77" s="173">
        <f t="shared" si="1"/>
        <v>2800000</v>
      </c>
      <c r="V77" s="163"/>
      <c r="W77" s="163"/>
    </row>
    <row r="78" spans="1:23" s="17" customFormat="1">
      <c r="A78" s="176"/>
      <c r="B78" s="120" t="s">
        <v>446</v>
      </c>
      <c r="C78" s="177">
        <v>2025</v>
      </c>
      <c r="D78" s="80" t="s">
        <v>6141</v>
      </c>
      <c r="E78" s="8" t="s">
        <v>2794</v>
      </c>
      <c r="F78" s="1">
        <v>0</v>
      </c>
      <c r="G78" s="170"/>
      <c r="H78" s="171">
        <v>0</v>
      </c>
      <c r="I78" s="171">
        <f>-1500000</f>
        <v>-1500000</v>
      </c>
      <c r="J78" s="171">
        <v>0</v>
      </c>
      <c r="K78" s="171">
        <v>0</v>
      </c>
      <c r="L78" s="171">
        <v>0</v>
      </c>
      <c r="M78" s="171">
        <v>0</v>
      </c>
      <c r="N78" s="171">
        <v>0</v>
      </c>
      <c r="P78" s="173">
        <f t="shared" si="1"/>
        <v>1500000</v>
      </c>
      <c r="V78" s="163"/>
      <c r="W78" s="163"/>
    </row>
    <row r="79" spans="1:23" s="17" customFormat="1">
      <c r="A79" s="176"/>
      <c r="B79" s="120" t="s">
        <v>446</v>
      </c>
      <c r="C79" s="177">
        <v>2025</v>
      </c>
      <c r="D79" s="80" t="s">
        <v>4095</v>
      </c>
      <c r="E79" s="8" t="s">
        <v>3837</v>
      </c>
      <c r="F79" s="1">
        <v>0</v>
      </c>
      <c r="G79" s="170"/>
      <c r="H79" s="171">
        <v>0</v>
      </c>
      <c r="I79" s="171">
        <v>-66790000</v>
      </c>
      <c r="J79" s="171">
        <v>0</v>
      </c>
      <c r="K79" s="171">
        <v>0</v>
      </c>
      <c r="L79" s="171">
        <v>0</v>
      </c>
      <c r="M79" s="171">
        <v>0</v>
      </c>
      <c r="N79" s="171">
        <v>0</v>
      </c>
      <c r="P79" s="173">
        <f t="shared" si="1"/>
        <v>66790000</v>
      </c>
      <c r="V79" s="163"/>
      <c r="W79" s="163"/>
    </row>
    <row r="80" spans="1:23" s="17" customFormat="1">
      <c r="A80" s="176"/>
      <c r="B80" s="120" t="s">
        <v>446</v>
      </c>
      <c r="C80" s="177">
        <v>2025</v>
      </c>
      <c r="D80" s="80" t="s">
        <v>4095</v>
      </c>
      <c r="E80" s="8" t="s">
        <v>3841</v>
      </c>
      <c r="F80" s="1">
        <v>0</v>
      </c>
      <c r="G80" s="170"/>
      <c r="H80" s="171">
        <v>0</v>
      </c>
      <c r="I80" s="171">
        <v>-68500000</v>
      </c>
      <c r="J80" s="171">
        <v>0</v>
      </c>
      <c r="K80" s="171">
        <v>0</v>
      </c>
      <c r="L80" s="171">
        <v>0</v>
      </c>
      <c r="M80" s="171">
        <v>0</v>
      </c>
      <c r="N80" s="171">
        <v>0</v>
      </c>
      <c r="P80" s="173">
        <f t="shared" si="1"/>
        <v>68500000</v>
      </c>
      <c r="V80" s="163"/>
      <c r="W80" s="163"/>
    </row>
    <row r="81" spans="1:23" s="17" customFormat="1">
      <c r="A81" s="176"/>
      <c r="B81" s="120" t="s">
        <v>446</v>
      </c>
      <c r="C81" s="177">
        <v>2025</v>
      </c>
      <c r="D81" s="80" t="s">
        <v>4095</v>
      </c>
      <c r="E81" s="8" t="s">
        <v>3843</v>
      </c>
      <c r="F81" s="1">
        <v>0</v>
      </c>
      <c r="G81" s="170"/>
      <c r="H81" s="171">
        <v>0</v>
      </c>
      <c r="I81" s="171">
        <v>-84375000</v>
      </c>
      <c r="J81" s="171">
        <v>0</v>
      </c>
      <c r="K81" s="171">
        <v>0</v>
      </c>
      <c r="L81" s="171">
        <v>0</v>
      </c>
      <c r="M81" s="171">
        <v>0</v>
      </c>
      <c r="N81" s="171">
        <v>0</v>
      </c>
      <c r="P81" s="173">
        <f t="shared" si="1"/>
        <v>84375000</v>
      </c>
      <c r="V81" s="163"/>
      <c r="W81" s="163"/>
    </row>
    <row r="82" spans="1:23" s="17" customFormat="1">
      <c r="A82" s="176"/>
      <c r="B82" s="120" t="s">
        <v>446</v>
      </c>
      <c r="C82" s="177">
        <v>2025</v>
      </c>
      <c r="D82" s="80" t="s">
        <v>4095</v>
      </c>
      <c r="E82" s="8" t="s">
        <v>3895</v>
      </c>
      <c r="F82" s="1">
        <v>0</v>
      </c>
      <c r="G82" s="170"/>
      <c r="H82" s="171">
        <v>0</v>
      </c>
      <c r="I82" s="171">
        <v>-65562000</v>
      </c>
      <c r="J82" s="171">
        <v>0</v>
      </c>
      <c r="K82" s="171">
        <v>0</v>
      </c>
      <c r="L82" s="171">
        <v>0</v>
      </c>
      <c r="M82" s="171">
        <v>0</v>
      </c>
      <c r="N82" s="171">
        <v>0</v>
      </c>
      <c r="P82" s="173">
        <f t="shared" si="1"/>
        <v>65562000</v>
      </c>
      <c r="V82" s="163"/>
      <c r="W82" s="163"/>
    </row>
    <row r="83" spans="1:23" s="17" customFormat="1">
      <c r="A83" s="176"/>
      <c r="B83" s="120" t="s">
        <v>446</v>
      </c>
      <c r="C83" s="177">
        <v>2025</v>
      </c>
      <c r="D83" s="80" t="s">
        <v>4095</v>
      </c>
      <c r="E83" s="8" t="s">
        <v>4170</v>
      </c>
      <c r="F83" s="1">
        <v>0</v>
      </c>
      <c r="G83" s="170"/>
      <c r="H83" s="171">
        <v>0</v>
      </c>
      <c r="I83" s="171">
        <v>-28750000</v>
      </c>
      <c r="J83" s="171">
        <v>0</v>
      </c>
      <c r="K83" s="171">
        <v>0</v>
      </c>
      <c r="L83" s="171">
        <v>0</v>
      </c>
      <c r="M83" s="171">
        <v>0</v>
      </c>
      <c r="N83" s="171">
        <v>0</v>
      </c>
      <c r="P83" s="173">
        <f t="shared" si="1"/>
        <v>28750000</v>
      </c>
      <c r="V83" s="163"/>
      <c r="W83" s="163"/>
    </row>
    <row r="84" spans="1:23" s="17" customFormat="1">
      <c r="A84" s="176"/>
      <c r="B84" s="120" t="s">
        <v>446</v>
      </c>
      <c r="C84" s="177">
        <v>2025</v>
      </c>
      <c r="D84" s="80" t="s">
        <v>3283</v>
      </c>
      <c r="E84" s="8" t="s">
        <v>4184</v>
      </c>
      <c r="F84" s="1">
        <v>0</v>
      </c>
      <c r="G84" s="170"/>
      <c r="H84" s="171">
        <v>0</v>
      </c>
      <c r="I84" s="171">
        <v>-1626910</v>
      </c>
      <c r="J84" s="171">
        <v>0</v>
      </c>
      <c r="K84" s="171">
        <v>0</v>
      </c>
      <c r="L84" s="171">
        <v>0</v>
      </c>
      <c r="M84" s="171">
        <v>0</v>
      </c>
      <c r="N84" s="171">
        <v>0</v>
      </c>
      <c r="P84" s="173">
        <f t="shared" si="1"/>
        <v>1626910</v>
      </c>
      <c r="V84" s="163"/>
      <c r="W84" s="163"/>
    </row>
    <row r="85" spans="1:23" s="17" customFormat="1">
      <c r="A85" s="176"/>
      <c r="B85" s="120" t="s">
        <v>446</v>
      </c>
      <c r="C85" s="177">
        <v>2025</v>
      </c>
      <c r="D85" s="80" t="s">
        <v>4631</v>
      </c>
      <c r="E85" s="8" t="s">
        <v>4187</v>
      </c>
      <c r="F85" s="1">
        <v>0</v>
      </c>
      <c r="G85" s="170"/>
      <c r="H85" s="171">
        <v>0</v>
      </c>
      <c r="I85" s="171">
        <v>-577000</v>
      </c>
      <c r="J85" s="171">
        <v>0</v>
      </c>
      <c r="K85" s="171">
        <v>0</v>
      </c>
      <c r="L85" s="171">
        <v>0</v>
      </c>
      <c r="M85" s="171">
        <v>0</v>
      </c>
      <c r="N85" s="171">
        <v>0</v>
      </c>
      <c r="P85" s="173">
        <f t="shared" si="1"/>
        <v>577000</v>
      </c>
      <c r="V85" s="163"/>
      <c r="W85" s="163"/>
    </row>
    <row r="86" spans="1:23" s="17" customFormat="1">
      <c r="A86" s="176"/>
      <c r="B86" s="120" t="s">
        <v>446</v>
      </c>
      <c r="C86" s="177">
        <v>2025</v>
      </c>
      <c r="D86" s="80" t="s">
        <v>4631</v>
      </c>
      <c r="E86" s="8" t="s">
        <v>4195</v>
      </c>
      <c r="F86" s="1">
        <v>0</v>
      </c>
      <c r="G86" s="170"/>
      <c r="H86" s="171">
        <v>0</v>
      </c>
      <c r="I86" s="171">
        <v>-1000000</v>
      </c>
      <c r="J86" s="171">
        <v>0</v>
      </c>
      <c r="K86" s="171">
        <v>0</v>
      </c>
      <c r="L86" s="171">
        <v>0</v>
      </c>
      <c r="M86" s="171">
        <v>0</v>
      </c>
      <c r="N86" s="171">
        <v>0</v>
      </c>
      <c r="P86" s="173">
        <f t="shared" si="1"/>
        <v>1000000</v>
      </c>
      <c r="V86" s="163"/>
      <c r="W86" s="163"/>
    </row>
    <row r="87" spans="1:23" s="17" customFormat="1">
      <c r="A87" s="176"/>
      <c r="B87" s="120" t="s">
        <v>446</v>
      </c>
      <c r="C87" s="177">
        <v>2025</v>
      </c>
      <c r="D87" s="80" t="s">
        <v>4631</v>
      </c>
      <c r="E87" s="8" t="s">
        <v>4196</v>
      </c>
      <c r="F87" s="1">
        <v>0</v>
      </c>
      <c r="G87" s="170"/>
      <c r="H87" s="171">
        <v>0</v>
      </c>
      <c r="I87" s="171">
        <v>-1500000</v>
      </c>
      <c r="J87" s="171">
        <v>0</v>
      </c>
      <c r="K87" s="171">
        <v>0</v>
      </c>
      <c r="L87" s="171">
        <v>0</v>
      </c>
      <c r="M87" s="171">
        <v>0</v>
      </c>
      <c r="N87" s="171">
        <v>0</v>
      </c>
      <c r="P87" s="173">
        <f t="shared" si="1"/>
        <v>1500000</v>
      </c>
      <c r="V87" s="163"/>
      <c r="W87" s="163"/>
    </row>
    <row r="88" spans="1:23" s="17" customFormat="1">
      <c r="A88" s="176"/>
      <c r="B88" s="120" t="s">
        <v>446</v>
      </c>
      <c r="C88" s="177">
        <v>2025</v>
      </c>
      <c r="D88" s="80" t="s">
        <v>4631</v>
      </c>
      <c r="E88" s="8" t="s">
        <v>4197</v>
      </c>
      <c r="F88" s="1">
        <v>0</v>
      </c>
      <c r="G88" s="170"/>
      <c r="H88" s="171">
        <v>0</v>
      </c>
      <c r="I88" s="171">
        <v>-1718500</v>
      </c>
      <c r="J88" s="171">
        <v>0</v>
      </c>
      <c r="K88" s="171">
        <v>0</v>
      </c>
      <c r="L88" s="171">
        <v>0</v>
      </c>
      <c r="M88" s="171">
        <v>0</v>
      </c>
      <c r="N88" s="171">
        <v>0</v>
      </c>
      <c r="P88" s="173">
        <f t="shared" si="1"/>
        <v>1718500</v>
      </c>
      <c r="V88" s="163"/>
      <c r="W88" s="163"/>
    </row>
    <row r="89" spans="1:23" s="17" customFormat="1">
      <c r="A89" s="176"/>
      <c r="B89" s="120" t="s">
        <v>446</v>
      </c>
      <c r="C89" s="177">
        <v>2025</v>
      </c>
      <c r="D89" s="80" t="s">
        <v>4089</v>
      </c>
      <c r="E89" s="8" t="s">
        <v>4200</v>
      </c>
      <c r="F89" s="1">
        <v>0</v>
      </c>
      <c r="G89" s="170"/>
      <c r="H89" s="171">
        <v>0</v>
      </c>
      <c r="I89" s="171">
        <v>-11848120</v>
      </c>
      <c r="J89" s="171">
        <v>0</v>
      </c>
      <c r="K89" s="171">
        <v>0</v>
      </c>
      <c r="L89" s="171">
        <v>0</v>
      </c>
      <c r="M89" s="171">
        <v>0</v>
      </c>
      <c r="N89" s="171">
        <v>0</v>
      </c>
      <c r="P89" s="173">
        <f t="shared" si="1"/>
        <v>11848120</v>
      </c>
      <c r="V89" s="163"/>
      <c r="W89" s="163"/>
    </row>
    <row r="90" spans="1:23" s="17" customFormat="1">
      <c r="A90" s="176"/>
      <c r="B90" s="120" t="s">
        <v>446</v>
      </c>
      <c r="C90" s="177">
        <v>2025</v>
      </c>
      <c r="D90" s="80" t="s">
        <v>4095</v>
      </c>
      <c r="E90" s="8" t="s">
        <v>5371</v>
      </c>
      <c r="F90" s="1">
        <v>0</v>
      </c>
      <c r="G90" s="170"/>
      <c r="H90" s="171">
        <v>0</v>
      </c>
      <c r="I90" s="171">
        <v>-717501</v>
      </c>
      <c r="J90" s="171">
        <v>0</v>
      </c>
      <c r="K90" s="171">
        <v>0</v>
      </c>
      <c r="L90" s="171">
        <v>0</v>
      </c>
      <c r="M90" s="171">
        <v>0</v>
      </c>
      <c r="N90" s="171">
        <v>0</v>
      </c>
      <c r="P90" s="173">
        <f t="shared" si="1"/>
        <v>717501</v>
      </c>
      <c r="V90" s="163"/>
      <c r="W90" s="163"/>
    </row>
    <row r="91" spans="1:23" s="17" customFormat="1">
      <c r="A91" s="176"/>
      <c r="B91" s="120" t="s">
        <v>446</v>
      </c>
      <c r="C91" s="177">
        <v>2025</v>
      </c>
      <c r="D91" s="80" t="s">
        <v>5999</v>
      </c>
      <c r="E91" s="8" t="s">
        <v>4641</v>
      </c>
      <c r="F91" s="1">
        <v>0</v>
      </c>
      <c r="G91" s="170"/>
      <c r="H91" s="171">
        <v>0</v>
      </c>
      <c r="I91" s="171">
        <v>-17500000</v>
      </c>
      <c r="J91" s="171">
        <v>0</v>
      </c>
      <c r="K91" s="171">
        <v>0</v>
      </c>
      <c r="L91" s="171">
        <v>0</v>
      </c>
      <c r="M91" s="171">
        <v>0</v>
      </c>
      <c r="N91" s="171">
        <v>0</v>
      </c>
      <c r="P91" s="173">
        <f t="shared" si="1"/>
        <v>17500000</v>
      </c>
      <c r="V91" s="163"/>
      <c r="W91" s="163"/>
    </row>
    <row r="92" spans="1:23" s="17" customFormat="1">
      <c r="A92" s="176"/>
      <c r="B92" s="120" t="s">
        <v>446</v>
      </c>
      <c r="C92" s="177">
        <v>2025</v>
      </c>
      <c r="D92" s="80" t="s">
        <v>5751</v>
      </c>
      <c r="E92" s="8" t="s">
        <v>4642</v>
      </c>
      <c r="F92" s="1">
        <v>0</v>
      </c>
      <c r="G92" s="170"/>
      <c r="H92" s="171">
        <v>0</v>
      </c>
      <c r="I92" s="171">
        <v>-200000000</v>
      </c>
      <c r="J92" s="171">
        <v>0</v>
      </c>
      <c r="K92" s="171">
        <v>0</v>
      </c>
      <c r="L92" s="171">
        <v>0</v>
      </c>
      <c r="M92" s="171">
        <v>0</v>
      </c>
      <c r="N92" s="171">
        <v>0</v>
      </c>
      <c r="P92" s="173">
        <f t="shared" si="1"/>
        <v>200000000</v>
      </c>
      <c r="V92" s="163"/>
      <c r="W92" s="163"/>
    </row>
    <row r="93" spans="1:23" s="17" customFormat="1">
      <c r="A93" s="176"/>
      <c r="B93" s="120" t="s">
        <v>446</v>
      </c>
      <c r="C93" s="177">
        <v>2025</v>
      </c>
      <c r="D93" s="80" t="s">
        <v>4631</v>
      </c>
      <c r="E93" s="8" t="s">
        <v>4648</v>
      </c>
      <c r="F93" s="1">
        <v>0</v>
      </c>
      <c r="G93" s="170"/>
      <c r="H93" s="171">
        <v>0</v>
      </c>
      <c r="I93" s="171">
        <v>-7000000</v>
      </c>
      <c r="J93" s="171">
        <v>0</v>
      </c>
      <c r="K93" s="171">
        <v>0</v>
      </c>
      <c r="L93" s="171">
        <v>0</v>
      </c>
      <c r="M93" s="171">
        <v>0</v>
      </c>
      <c r="N93" s="171">
        <v>0</v>
      </c>
      <c r="P93" s="173">
        <f t="shared" si="1"/>
        <v>7000000</v>
      </c>
      <c r="V93" s="163"/>
      <c r="W93" s="163"/>
    </row>
    <row r="94" spans="1:23" s="17" customFormat="1">
      <c r="A94" s="176"/>
      <c r="B94" s="120" t="s">
        <v>446</v>
      </c>
      <c r="C94" s="177">
        <v>2025</v>
      </c>
      <c r="D94" s="80" t="s">
        <v>4631</v>
      </c>
      <c r="E94" s="8" t="s">
        <v>4650</v>
      </c>
      <c r="F94" s="1">
        <v>0</v>
      </c>
      <c r="G94" s="170"/>
      <c r="H94" s="171">
        <v>0</v>
      </c>
      <c r="I94" s="171">
        <v>-7000000</v>
      </c>
      <c r="J94" s="171">
        <v>0</v>
      </c>
      <c r="K94" s="171">
        <v>0</v>
      </c>
      <c r="L94" s="171">
        <v>0</v>
      </c>
      <c r="M94" s="171">
        <v>0</v>
      </c>
      <c r="N94" s="171">
        <v>0</v>
      </c>
      <c r="P94" s="173">
        <f t="shared" si="1"/>
        <v>7000000</v>
      </c>
      <c r="V94" s="163"/>
      <c r="W94" s="163"/>
    </row>
    <row r="95" spans="1:23" s="17" customFormat="1">
      <c r="A95" s="176"/>
      <c r="B95" s="120" t="s">
        <v>446</v>
      </c>
      <c r="C95" s="177">
        <v>2025</v>
      </c>
      <c r="D95" s="80" t="s">
        <v>4631</v>
      </c>
      <c r="E95" s="8" t="s">
        <v>4651</v>
      </c>
      <c r="F95" s="1">
        <v>0</v>
      </c>
      <c r="G95" s="170"/>
      <c r="H95" s="171">
        <v>0</v>
      </c>
      <c r="I95" s="171">
        <v>-6125000</v>
      </c>
      <c r="J95" s="171">
        <v>0</v>
      </c>
      <c r="K95" s="171">
        <v>0</v>
      </c>
      <c r="L95" s="171">
        <v>0</v>
      </c>
      <c r="M95" s="171">
        <v>0</v>
      </c>
      <c r="N95" s="171">
        <v>0</v>
      </c>
      <c r="P95" s="173">
        <f t="shared" si="1"/>
        <v>6125000</v>
      </c>
      <c r="V95" s="163"/>
      <c r="W95" s="163"/>
    </row>
    <row r="96" spans="1:23" s="17" customFormat="1">
      <c r="A96" s="176"/>
      <c r="B96" s="120" t="s">
        <v>446</v>
      </c>
      <c r="C96" s="177">
        <v>2025</v>
      </c>
      <c r="D96" s="80" t="s">
        <v>4631</v>
      </c>
      <c r="E96" s="8" t="s">
        <v>4652</v>
      </c>
      <c r="F96" s="1">
        <v>0</v>
      </c>
      <c r="G96" s="170"/>
      <c r="H96" s="171">
        <v>0</v>
      </c>
      <c r="I96" s="171">
        <v>-5400000</v>
      </c>
      <c r="J96" s="171">
        <v>0</v>
      </c>
      <c r="K96" s="171">
        <v>0</v>
      </c>
      <c r="L96" s="171">
        <v>0</v>
      </c>
      <c r="M96" s="171">
        <v>0</v>
      </c>
      <c r="N96" s="171">
        <v>0</v>
      </c>
      <c r="P96" s="173">
        <f t="shared" si="1"/>
        <v>5400000</v>
      </c>
      <c r="V96" s="163"/>
      <c r="W96" s="163"/>
    </row>
    <row r="97" spans="1:23" s="17" customFormat="1">
      <c r="A97" s="176"/>
      <c r="B97" s="120" t="s">
        <v>446</v>
      </c>
      <c r="C97" s="177">
        <v>2025</v>
      </c>
      <c r="D97" s="80" t="s">
        <v>5752</v>
      </c>
      <c r="E97" s="8" t="s">
        <v>4657</v>
      </c>
      <c r="F97" s="1">
        <v>0</v>
      </c>
      <c r="G97" s="170"/>
      <c r="H97" s="171">
        <v>0</v>
      </c>
      <c r="I97" s="171">
        <v>-18639000</v>
      </c>
      <c r="J97" s="171">
        <v>0</v>
      </c>
      <c r="K97" s="171">
        <v>0</v>
      </c>
      <c r="L97" s="171">
        <v>0</v>
      </c>
      <c r="M97" s="171">
        <v>0</v>
      </c>
      <c r="N97" s="171">
        <v>0</v>
      </c>
      <c r="P97" s="173">
        <f t="shared" si="1"/>
        <v>18639000</v>
      </c>
      <c r="V97" s="163"/>
      <c r="W97" s="163"/>
    </row>
    <row r="98" spans="1:23" s="17" customFormat="1">
      <c r="A98" s="176"/>
      <c r="B98" s="120" t="s">
        <v>446</v>
      </c>
      <c r="C98" s="177">
        <v>2025</v>
      </c>
      <c r="D98" s="80" t="s">
        <v>4096</v>
      </c>
      <c r="E98" s="8" t="s">
        <v>4658</v>
      </c>
      <c r="F98" s="1">
        <v>0</v>
      </c>
      <c r="G98" s="170"/>
      <c r="H98" s="171">
        <v>0</v>
      </c>
      <c r="I98" s="171">
        <v>-550000</v>
      </c>
      <c r="J98" s="171">
        <v>0</v>
      </c>
      <c r="K98" s="171">
        <v>0</v>
      </c>
      <c r="L98" s="171">
        <v>0</v>
      </c>
      <c r="M98" s="171">
        <v>0</v>
      </c>
      <c r="N98" s="171">
        <v>0</v>
      </c>
      <c r="P98" s="173">
        <f t="shared" si="1"/>
        <v>550000</v>
      </c>
      <c r="V98" s="163"/>
      <c r="W98" s="163"/>
    </row>
    <row r="99" spans="1:23" s="17" customFormat="1">
      <c r="A99" s="176"/>
      <c r="B99" s="120" t="s">
        <v>446</v>
      </c>
      <c r="C99" s="177">
        <v>2025</v>
      </c>
      <c r="D99" s="80" t="s">
        <v>4096</v>
      </c>
      <c r="E99" s="8" t="s">
        <v>4659</v>
      </c>
      <c r="F99" s="1">
        <v>0</v>
      </c>
      <c r="G99" s="170"/>
      <c r="H99" s="171">
        <v>0</v>
      </c>
      <c r="I99" s="171">
        <v>-1985445</v>
      </c>
      <c r="J99" s="171">
        <v>0</v>
      </c>
      <c r="K99" s="171">
        <v>0</v>
      </c>
      <c r="L99" s="171">
        <v>0</v>
      </c>
      <c r="M99" s="171">
        <v>0</v>
      </c>
      <c r="N99" s="171">
        <v>0</v>
      </c>
      <c r="P99" s="173">
        <f t="shared" si="1"/>
        <v>1985445</v>
      </c>
      <c r="V99" s="163"/>
      <c r="W99" s="163"/>
    </row>
    <row r="100" spans="1:23" s="17" customFormat="1">
      <c r="A100" s="176"/>
      <c r="B100" s="120" t="s">
        <v>446</v>
      </c>
      <c r="C100" s="177">
        <v>2025</v>
      </c>
      <c r="D100" s="80" t="s">
        <v>4089</v>
      </c>
      <c r="E100" s="8" t="s">
        <v>4664</v>
      </c>
      <c r="F100" s="1">
        <v>0</v>
      </c>
      <c r="G100" s="170"/>
      <c r="H100" s="171">
        <v>0</v>
      </c>
      <c r="I100" s="171">
        <v>-17479820</v>
      </c>
      <c r="J100" s="171">
        <v>0</v>
      </c>
      <c r="K100" s="171">
        <v>0</v>
      </c>
      <c r="L100" s="171">
        <v>0</v>
      </c>
      <c r="M100" s="171">
        <v>0</v>
      </c>
      <c r="N100" s="171">
        <v>0</v>
      </c>
      <c r="P100" s="173">
        <f t="shared" si="1"/>
        <v>17479820</v>
      </c>
      <c r="V100" s="163"/>
      <c r="W100" s="163"/>
    </row>
    <row r="101" spans="1:23" s="17" customFormat="1">
      <c r="A101" s="176"/>
      <c r="B101" s="120" t="s">
        <v>446</v>
      </c>
      <c r="C101" s="177">
        <v>2025</v>
      </c>
      <c r="D101" s="80" t="s">
        <v>4631</v>
      </c>
      <c r="E101" s="8" t="s">
        <v>5911</v>
      </c>
      <c r="F101" s="1">
        <v>0</v>
      </c>
      <c r="G101" s="170"/>
      <c r="H101" s="171">
        <v>0</v>
      </c>
      <c r="I101" s="171">
        <v>-10625000</v>
      </c>
      <c r="J101" s="171">
        <v>0</v>
      </c>
      <c r="K101" s="171">
        <v>0</v>
      </c>
      <c r="L101" s="171">
        <v>0</v>
      </c>
      <c r="M101" s="171">
        <v>0</v>
      </c>
      <c r="N101" s="171">
        <v>0</v>
      </c>
      <c r="P101" s="173">
        <f t="shared" si="1"/>
        <v>10625000</v>
      </c>
      <c r="V101" s="163"/>
      <c r="W101" s="163"/>
    </row>
    <row r="102" spans="1:23" s="17" customFormat="1">
      <c r="A102" s="176"/>
      <c r="B102" s="120" t="s">
        <v>446</v>
      </c>
      <c r="C102" s="177">
        <v>2025</v>
      </c>
      <c r="D102" s="80" t="s">
        <v>5751</v>
      </c>
      <c r="E102" s="8" t="s">
        <v>6128</v>
      </c>
      <c r="F102" s="1">
        <v>0</v>
      </c>
      <c r="G102" s="170"/>
      <c r="H102" s="171">
        <v>0</v>
      </c>
      <c r="I102" s="171">
        <v>67948000</v>
      </c>
      <c r="J102" s="171">
        <v>0</v>
      </c>
      <c r="K102" s="171">
        <v>0</v>
      </c>
      <c r="L102" s="171">
        <v>0</v>
      </c>
      <c r="M102" s="171">
        <v>0</v>
      </c>
      <c r="N102" s="171">
        <v>0</v>
      </c>
      <c r="P102" s="173">
        <f t="shared" si="1"/>
        <v>-67948000</v>
      </c>
      <c r="V102" s="163"/>
      <c r="W102" s="163"/>
    </row>
    <row r="103" spans="1:23" s="17" customFormat="1">
      <c r="A103" s="176"/>
      <c r="B103" s="120" t="s">
        <v>446</v>
      </c>
      <c r="C103" s="177">
        <v>2025</v>
      </c>
      <c r="D103" s="80" t="s">
        <v>5752</v>
      </c>
      <c r="E103" s="8" t="s">
        <v>6105</v>
      </c>
      <c r="F103" s="1">
        <v>0</v>
      </c>
      <c r="G103" s="170"/>
      <c r="H103" s="171">
        <v>0</v>
      </c>
      <c r="I103" s="171">
        <v>-21819000</v>
      </c>
      <c r="J103" s="171">
        <v>0</v>
      </c>
      <c r="K103" s="171">
        <v>0</v>
      </c>
      <c r="L103" s="171">
        <v>0</v>
      </c>
      <c r="M103" s="171">
        <v>0</v>
      </c>
      <c r="N103" s="171">
        <v>0</v>
      </c>
      <c r="P103" s="173">
        <f t="shared" si="1"/>
        <v>21819000</v>
      </c>
      <c r="V103" s="163"/>
      <c r="W103" s="163"/>
    </row>
    <row r="104" spans="1:23" s="17" customFormat="1">
      <c r="A104" s="176"/>
      <c r="B104" s="120" t="s">
        <v>446</v>
      </c>
      <c r="C104" s="177">
        <v>2025</v>
      </c>
      <c r="D104" s="80" t="s">
        <v>5999</v>
      </c>
      <c r="E104" s="8" t="s">
        <v>6106</v>
      </c>
      <c r="F104" s="1">
        <v>0</v>
      </c>
      <c r="G104" s="170"/>
      <c r="H104" s="171">
        <v>0</v>
      </c>
      <c r="I104" s="171">
        <v>-31137000</v>
      </c>
      <c r="J104" s="171">
        <v>0</v>
      </c>
      <c r="K104" s="171">
        <v>0</v>
      </c>
      <c r="L104" s="171">
        <v>0</v>
      </c>
      <c r="M104" s="171">
        <v>0</v>
      </c>
      <c r="N104" s="171">
        <v>0</v>
      </c>
      <c r="P104" s="173">
        <f t="shared" si="1"/>
        <v>31137000</v>
      </c>
      <c r="V104" s="163"/>
      <c r="W104" s="163"/>
    </row>
    <row r="105" spans="1:23" s="17" customFormat="1">
      <c r="A105" s="176"/>
      <c r="B105" s="120" t="s">
        <v>446</v>
      </c>
      <c r="C105" s="177">
        <v>2025</v>
      </c>
      <c r="D105" s="80" t="s">
        <v>5752</v>
      </c>
      <c r="E105" s="8" t="s">
        <v>6107</v>
      </c>
      <c r="F105" s="1">
        <v>0</v>
      </c>
      <c r="G105" s="170"/>
      <c r="H105" s="171">
        <v>0</v>
      </c>
      <c r="I105" s="171">
        <v>-6000000</v>
      </c>
      <c r="J105" s="171">
        <v>0</v>
      </c>
      <c r="K105" s="171">
        <v>0</v>
      </c>
      <c r="L105" s="171">
        <v>0</v>
      </c>
      <c r="M105" s="171">
        <v>0</v>
      </c>
      <c r="N105" s="171">
        <v>0</v>
      </c>
      <c r="P105" s="173">
        <f t="shared" si="1"/>
        <v>6000000</v>
      </c>
      <c r="V105" s="163"/>
      <c r="W105" s="163"/>
    </row>
    <row r="106" spans="1:23" s="17" customFormat="1">
      <c r="A106" s="176"/>
      <c r="B106" s="120" t="s">
        <v>446</v>
      </c>
      <c r="C106" s="177">
        <v>2025</v>
      </c>
      <c r="D106" s="80" t="s">
        <v>5999</v>
      </c>
      <c r="E106" s="8" t="s">
        <v>6108</v>
      </c>
      <c r="F106" s="1">
        <v>0</v>
      </c>
      <c r="G106" s="170"/>
      <c r="H106" s="171">
        <v>0</v>
      </c>
      <c r="I106" s="171">
        <v>-6000000</v>
      </c>
      <c r="J106" s="171">
        <v>0</v>
      </c>
      <c r="K106" s="171">
        <v>0</v>
      </c>
      <c r="L106" s="171">
        <v>0</v>
      </c>
      <c r="M106" s="171">
        <v>0</v>
      </c>
      <c r="N106" s="171">
        <v>0</v>
      </c>
      <c r="P106" s="173">
        <f t="shared" si="1"/>
        <v>6000000</v>
      </c>
      <c r="V106" s="163"/>
      <c r="W106" s="163"/>
    </row>
    <row r="107" spans="1:23" s="17" customFormat="1">
      <c r="A107" s="176"/>
      <c r="B107" s="120" t="s">
        <v>446</v>
      </c>
      <c r="C107" s="177">
        <v>2025</v>
      </c>
      <c r="D107" s="80" t="s">
        <v>4631</v>
      </c>
      <c r="E107" s="8" t="s">
        <v>6110</v>
      </c>
      <c r="F107" s="1">
        <v>0</v>
      </c>
      <c r="G107" s="170"/>
      <c r="H107" s="171">
        <v>0</v>
      </c>
      <c r="I107" s="171">
        <v>-14700000</v>
      </c>
      <c r="J107" s="171">
        <v>0</v>
      </c>
      <c r="K107" s="171">
        <v>0</v>
      </c>
      <c r="L107" s="171">
        <v>0</v>
      </c>
      <c r="M107" s="171">
        <v>0</v>
      </c>
      <c r="N107" s="171">
        <v>0</v>
      </c>
      <c r="P107" s="173">
        <f t="shared" si="1"/>
        <v>14700000</v>
      </c>
      <c r="V107" s="163"/>
      <c r="W107" s="163"/>
    </row>
    <row r="108" spans="1:23" s="17" customFormat="1">
      <c r="A108" s="176"/>
      <c r="B108" s="120" t="s">
        <v>446</v>
      </c>
      <c r="C108" s="177">
        <v>2025</v>
      </c>
      <c r="D108" s="80" t="s">
        <v>5752</v>
      </c>
      <c r="E108" s="8" t="s">
        <v>6113</v>
      </c>
      <c r="F108" s="1">
        <v>0</v>
      </c>
      <c r="G108" s="170"/>
      <c r="H108" s="171">
        <v>0</v>
      </c>
      <c r="I108" s="171">
        <v>-6125000</v>
      </c>
      <c r="J108" s="171">
        <v>0</v>
      </c>
      <c r="K108" s="171">
        <v>0</v>
      </c>
      <c r="L108" s="171">
        <v>0</v>
      </c>
      <c r="M108" s="171">
        <v>0</v>
      </c>
      <c r="N108" s="171">
        <v>0</v>
      </c>
      <c r="P108" s="173">
        <f t="shared" si="1"/>
        <v>6125000</v>
      </c>
      <c r="V108" s="163"/>
      <c r="W108" s="163"/>
    </row>
    <row r="109" spans="1:23" s="17" customFormat="1">
      <c r="A109" s="176"/>
      <c r="B109" s="120" t="s">
        <v>446</v>
      </c>
      <c r="C109" s="177">
        <v>2025</v>
      </c>
      <c r="D109" s="80" t="s">
        <v>5751</v>
      </c>
      <c r="E109" s="8" t="s">
        <v>6443</v>
      </c>
      <c r="F109" s="1">
        <v>0</v>
      </c>
      <c r="G109" s="170"/>
      <c r="H109" s="171">
        <v>0</v>
      </c>
      <c r="I109" s="171">
        <v>-1000000</v>
      </c>
      <c r="J109" s="171">
        <v>0</v>
      </c>
      <c r="K109" s="171">
        <v>0</v>
      </c>
      <c r="L109" s="171">
        <v>0</v>
      </c>
      <c r="M109" s="171">
        <v>0</v>
      </c>
      <c r="N109" s="171">
        <v>0</v>
      </c>
      <c r="P109" s="173">
        <f t="shared" si="1"/>
        <v>1000000</v>
      </c>
      <c r="V109" s="163"/>
      <c r="W109" s="163"/>
    </row>
    <row r="110" spans="1:23" s="17" customFormat="1">
      <c r="A110" s="176"/>
      <c r="B110" s="120" t="s">
        <v>446</v>
      </c>
      <c r="C110" s="177">
        <v>2025</v>
      </c>
      <c r="D110" s="80" t="s">
        <v>5999</v>
      </c>
      <c r="E110" s="8" t="s">
        <v>6444</v>
      </c>
      <c r="F110" s="1">
        <v>0</v>
      </c>
      <c r="G110" s="170"/>
      <c r="H110" s="171">
        <v>0</v>
      </c>
      <c r="I110" s="171">
        <v>-2250000</v>
      </c>
      <c r="J110" s="171">
        <v>0</v>
      </c>
      <c r="K110" s="171">
        <v>0</v>
      </c>
      <c r="L110" s="171">
        <v>0</v>
      </c>
      <c r="M110" s="171">
        <v>0</v>
      </c>
      <c r="N110" s="171">
        <v>0</v>
      </c>
      <c r="P110" s="173">
        <f t="shared" si="1"/>
        <v>2250000</v>
      </c>
      <c r="V110" s="163"/>
      <c r="W110" s="163"/>
    </row>
    <row r="111" spans="1:23" s="17" customFormat="1">
      <c r="A111" s="176"/>
      <c r="B111" s="120" t="s">
        <v>446</v>
      </c>
      <c r="C111" s="177">
        <v>2025</v>
      </c>
      <c r="D111" s="80" t="s">
        <v>6472</v>
      </c>
      <c r="E111" s="8" t="s">
        <v>6446</v>
      </c>
      <c r="F111" s="1">
        <v>0</v>
      </c>
      <c r="G111" s="170"/>
      <c r="H111" s="171">
        <v>0</v>
      </c>
      <c r="I111" s="171">
        <v>-4100000</v>
      </c>
      <c r="J111" s="171">
        <v>0</v>
      </c>
      <c r="K111" s="171">
        <v>0</v>
      </c>
      <c r="L111" s="171">
        <v>0</v>
      </c>
      <c r="M111" s="171">
        <v>0</v>
      </c>
      <c r="N111" s="171">
        <v>0</v>
      </c>
      <c r="P111" s="173">
        <f t="shared" si="1"/>
        <v>4100000</v>
      </c>
      <c r="V111" s="163"/>
      <c r="W111" s="163"/>
    </row>
    <row r="112" spans="1:23" s="17" customFormat="1">
      <c r="A112" s="176"/>
      <c r="B112" s="120" t="s">
        <v>446</v>
      </c>
      <c r="C112" s="177">
        <v>2025</v>
      </c>
      <c r="D112" s="80" t="s">
        <v>6001</v>
      </c>
      <c r="E112" s="8" t="s">
        <v>6450</v>
      </c>
      <c r="F112" s="1">
        <v>0</v>
      </c>
      <c r="G112" s="170"/>
      <c r="H112" s="171">
        <v>0</v>
      </c>
      <c r="I112" s="171">
        <v>-7500000</v>
      </c>
      <c r="J112" s="171">
        <v>0</v>
      </c>
      <c r="K112" s="171">
        <v>0</v>
      </c>
      <c r="L112" s="171">
        <v>0</v>
      </c>
      <c r="M112" s="171">
        <v>0</v>
      </c>
      <c r="N112" s="171">
        <v>0</v>
      </c>
      <c r="P112" s="173">
        <f t="shared" si="1"/>
        <v>7500000</v>
      </c>
      <c r="V112" s="163"/>
      <c r="W112" s="163"/>
    </row>
    <row r="113" spans="1:23" s="17" customFormat="1">
      <c r="A113" s="176"/>
      <c r="B113" s="120" t="s">
        <v>446</v>
      </c>
      <c r="C113" s="177">
        <v>2025</v>
      </c>
      <c r="D113" s="80" t="s">
        <v>6472</v>
      </c>
      <c r="E113" s="8" t="s">
        <v>6451</v>
      </c>
      <c r="F113" s="1">
        <v>0</v>
      </c>
      <c r="G113" s="170"/>
      <c r="H113" s="171">
        <v>0</v>
      </c>
      <c r="I113" s="171">
        <v>-4480000</v>
      </c>
      <c r="J113" s="171">
        <v>0</v>
      </c>
      <c r="K113" s="171">
        <v>0</v>
      </c>
      <c r="L113" s="171">
        <v>0</v>
      </c>
      <c r="M113" s="171">
        <v>0</v>
      </c>
      <c r="N113" s="171">
        <v>0</v>
      </c>
      <c r="P113" s="173">
        <f t="shared" si="1"/>
        <v>4480000</v>
      </c>
      <c r="V113" s="163"/>
      <c r="W113" s="163"/>
    </row>
    <row r="114" spans="1:23" s="17" customFormat="1">
      <c r="A114" s="176"/>
      <c r="B114" s="120" t="s">
        <v>446</v>
      </c>
      <c r="C114" s="177">
        <v>2025</v>
      </c>
      <c r="D114" s="80" t="s">
        <v>6472</v>
      </c>
      <c r="E114" s="8" t="s">
        <v>6454</v>
      </c>
      <c r="F114" s="1">
        <v>0</v>
      </c>
      <c r="G114" s="170"/>
      <c r="H114" s="171">
        <v>0</v>
      </c>
      <c r="I114" s="171">
        <v>-1600000</v>
      </c>
      <c r="J114" s="171">
        <v>0</v>
      </c>
      <c r="K114" s="171">
        <v>0</v>
      </c>
      <c r="L114" s="171">
        <v>0</v>
      </c>
      <c r="M114" s="171">
        <v>0</v>
      </c>
      <c r="N114" s="171">
        <v>0</v>
      </c>
      <c r="P114" s="173">
        <f t="shared" si="1"/>
        <v>1600000</v>
      </c>
      <c r="V114" s="163"/>
      <c r="W114" s="163"/>
    </row>
    <row r="115" spans="1:23" s="17" customFormat="1">
      <c r="A115" s="176"/>
      <c r="B115" s="120" t="s">
        <v>446</v>
      </c>
      <c r="C115" s="177">
        <v>2025</v>
      </c>
      <c r="D115" s="80" t="s">
        <v>6001</v>
      </c>
      <c r="E115" s="8" t="s">
        <v>6455</v>
      </c>
      <c r="F115" s="1">
        <v>0</v>
      </c>
      <c r="G115" s="170"/>
      <c r="H115" s="171">
        <v>0</v>
      </c>
      <c r="I115" s="171">
        <v>-12250000</v>
      </c>
      <c r="J115" s="171">
        <v>0</v>
      </c>
      <c r="K115" s="171">
        <v>0</v>
      </c>
      <c r="L115" s="171">
        <v>0</v>
      </c>
      <c r="M115" s="171">
        <v>0</v>
      </c>
      <c r="N115" s="171">
        <v>0</v>
      </c>
      <c r="P115" s="173">
        <f t="shared" si="1"/>
        <v>12250000</v>
      </c>
      <c r="V115" s="163"/>
      <c r="W115" s="163"/>
    </row>
    <row r="116" spans="1:23" s="17" customFormat="1">
      <c r="A116" s="176"/>
      <c r="B116" s="120" t="s">
        <v>446</v>
      </c>
      <c r="C116" s="177">
        <v>2025</v>
      </c>
      <c r="D116" s="80" t="s">
        <v>6472</v>
      </c>
      <c r="E116" s="8" t="s">
        <v>6458</v>
      </c>
      <c r="F116" s="1">
        <v>0</v>
      </c>
      <c r="G116" s="170"/>
      <c r="H116" s="171">
        <v>0</v>
      </c>
      <c r="I116" s="171">
        <v>-700000</v>
      </c>
      <c r="J116" s="171">
        <v>0</v>
      </c>
      <c r="K116" s="171">
        <v>0</v>
      </c>
      <c r="L116" s="171">
        <v>0</v>
      </c>
      <c r="M116" s="171">
        <v>0</v>
      </c>
      <c r="N116" s="171">
        <v>0</v>
      </c>
      <c r="P116" s="173">
        <f t="shared" si="1"/>
        <v>700000</v>
      </c>
      <c r="V116" s="163"/>
      <c r="W116" s="163"/>
    </row>
    <row r="117" spans="1:23" s="17" customFormat="1">
      <c r="A117" s="176"/>
      <c r="B117" s="120" t="s">
        <v>446</v>
      </c>
      <c r="C117" s="177">
        <v>2025</v>
      </c>
      <c r="D117" s="80" t="s">
        <v>6001</v>
      </c>
      <c r="E117" s="8" t="s">
        <v>6459</v>
      </c>
      <c r="F117" s="1">
        <v>0</v>
      </c>
      <c r="G117" s="170"/>
      <c r="H117" s="171">
        <v>0</v>
      </c>
      <c r="I117" s="171">
        <v>-104954400</v>
      </c>
      <c r="J117" s="171">
        <v>0</v>
      </c>
      <c r="K117" s="171">
        <v>0</v>
      </c>
      <c r="L117" s="171">
        <v>0</v>
      </c>
      <c r="M117" s="171">
        <v>0</v>
      </c>
      <c r="N117" s="171">
        <v>0</v>
      </c>
      <c r="P117" s="173">
        <f t="shared" si="1"/>
        <v>104954400</v>
      </c>
      <c r="V117" s="163"/>
      <c r="W117" s="163"/>
    </row>
    <row r="118" spans="1:23" s="17" customFormat="1">
      <c r="A118" s="176"/>
      <c r="B118" s="120" t="s">
        <v>446</v>
      </c>
      <c r="C118" s="177">
        <v>2025</v>
      </c>
      <c r="D118" s="80" t="s">
        <v>6472</v>
      </c>
      <c r="E118" s="8" t="s">
        <v>6467</v>
      </c>
      <c r="F118" s="1">
        <v>0</v>
      </c>
      <c r="G118" s="170"/>
      <c r="H118" s="171">
        <v>0</v>
      </c>
      <c r="I118" s="171">
        <v>-1000000</v>
      </c>
      <c r="J118" s="171">
        <v>0</v>
      </c>
      <c r="K118" s="171">
        <v>0</v>
      </c>
      <c r="L118" s="171">
        <v>0</v>
      </c>
      <c r="M118" s="171">
        <v>0</v>
      </c>
      <c r="N118" s="171">
        <v>0</v>
      </c>
      <c r="P118" s="173">
        <f t="shared" si="1"/>
        <v>1000000</v>
      </c>
      <c r="V118" s="163"/>
      <c r="W118" s="163"/>
    </row>
    <row r="119" spans="1:23" s="17" customFormat="1">
      <c r="A119" s="176"/>
      <c r="B119" s="120" t="s">
        <v>446</v>
      </c>
      <c r="C119" s="177">
        <v>2025</v>
      </c>
      <c r="D119" s="80" t="s">
        <v>1629</v>
      </c>
      <c r="E119" s="8" t="s">
        <v>888</v>
      </c>
      <c r="F119" s="1">
        <v>0</v>
      </c>
      <c r="G119" s="170"/>
      <c r="H119" s="171">
        <v>0</v>
      </c>
      <c r="I119" s="171">
        <v>0</v>
      </c>
      <c r="J119" s="171">
        <v>-7067269</v>
      </c>
      <c r="K119" s="171">
        <v>0</v>
      </c>
      <c r="L119" s="171">
        <v>0</v>
      </c>
      <c r="M119" s="171">
        <v>0</v>
      </c>
      <c r="N119" s="171">
        <v>0</v>
      </c>
      <c r="P119" s="173">
        <f t="shared" si="1"/>
        <v>7067269</v>
      </c>
      <c r="V119" s="163"/>
      <c r="W119" s="163"/>
    </row>
    <row r="120" spans="1:23" s="17" customFormat="1">
      <c r="A120" s="176"/>
      <c r="B120" s="120" t="s">
        <v>446</v>
      </c>
      <c r="C120" s="177">
        <v>2025</v>
      </c>
      <c r="D120" s="80" t="s">
        <v>1629</v>
      </c>
      <c r="E120" s="8" t="s">
        <v>1102</v>
      </c>
      <c r="F120" s="1">
        <v>0</v>
      </c>
      <c r="G120" s="170"/>
      <c r="H120" s="171">
        <v>0</v>
      </c>
      <c r="I120" s="171">
        <v>0</v>
      </c>
      <c r="J120" s="171">
        <v>-907855</v>
      </c>
      <c r="K120" s="171">
        <v>0</v>
      </c>
      <c r="L120" s="171">
        <v>0</v>
      </c>
      <c r="M120" s="171">
        <v>0</v>
      </c>
      <c r="N120" s="171">
        <v>0</v>
      </c>
      <c r="P120" s="173">
        <f t="shared" si="1"/>
        <v>907855</v>
      </c>
      <c r="V120" s="163"/>
      <c r="W120" s="163"/>
    </row>
    <row r="121" spans="1:23" s="17" customFormat="1">
      <c r="A121" s="176"/>
      <c r="B121" s="120" t="s">
        <v>446</v>
      </c>
      <c r="C121" s="177">
        <v>2025</v>
      </c>
      <c r="D121" s="80" t="s">
        <v>1629</v>
      </c>
      <c r="E121" s="8" t="s">
        <v>1131</v>
      </c>
      <c r="F121" s="1">
        <v>0</v>
      </c>
      <c r="G121" s="170"/>
      <c r="H121" s="171">
        <v>0</v>
      </c>
      <c r="I121" s="171">
        <v>0</v>
      </c>
      <c r="J121" s="171">
        <v>-4945404</v>
      </c>
      <c r="K121" s="171">
        <v>0</v>
      </c>
      <c r="L121" s="171">
        <v>0</v>
      </c>
      <c r="M121" s="171">
        <v>0</v>
      </c>
      <c r="N121" s="171">
        <v>0</v>
      </c>
      <c r="P121" s="173">
        <f t="shared" si="1"/>
        <v>4945404</v>
      </c>
      <c r="V121" s="163"/>
      <c r="W121" s="163"/>
    </row>
    <row r="122" spans="1:23" s="17" customFormat="1">
      <c r="A122" s="176"/>
      <c r="B122" s="120" t="s">
        <v>446</v>
      </c>
      <c r="C122" s="177">
        <v>2025</v>
      </c>
      <c r="D122" s="80" t="s">
        <v>1629</v>
      </c>
      <c r="E122" s="8" t="s">
        <v>1145</v>
      </c>
      <c r="F122" s="1">
        <v>0</v>
      </c>
      <c r="G122" s="170"/>
      <c r="H122" s="171">
        <v>0</v>
      </c>
      <c r="I122" s="171">
        <v>0</v>
      </c>
      <c r="J122" s="171">
        <v>-10086420</v>
      </c>
      <c r="K122" s="171">
        <v>0</v>
      </c>
      <c r="L122" s="171">
        <v>0</v>
      </c>
      <c r="M122" s="171">
        <v>0</v>
      </c>
      <c r="N122" s="171">
        <v>0</v>
      </c>
      <c r="P122" s="173">
        <f t="shared" si="1"/>
        <v>10086420</v>
      </c>
      <c r="V122" s="163"/>
      <c r="W122" s="163"/>
    </row>
    <row r="123" spans="1:23" s="17" customFormat="1">
      <c r="A123" s="176"/>
      <c r="B123" s="120" t="s">
        <v>446</v>
      </c>
      <c r="C123" s="177">
        <v>2025</v>
      </c>
      <c r="D123" s="80" t="s">
        <v>1632</v>
      </c>
      <c r="E123" s="8" t="s">
        <v>1155</v>
      </c>
      <c r="F123" s="1">
        <v>0</v>
      </c>
      <c r="G123" s="170"/>
      <c r="H123" s="171">
        <v>0</v>
      </c>
      <c r="I123" s="171">
        <v>0</v>
      </c>
      <c r="J123" s="171">
        <v>-3518140</v>
      </c>
      <c r="K123" s="171">
        <v>0</v>
      </c>
      <c r="L123" s="171">
        <v>0</v>
      </c>
      <c r="M123" s="171">
        <v>0</v>
      </c>
      <c r="N123" s="171">
        <v>0</v>
      </c>
      <c r="P123" s="173">
        <f t="shared" si="1"/>
        <v>3518140</v>
      </c>
      <c r="V123" s="163"/>
      <c r="W123" s="163"/>
    </row>
    <row r="124" spans="1:23" s="17" customFormat="1">
      <c r="A124" s="176"/>
      <c r="B124" s="120" t="s">
        <v>446</v>
      </c>
      <c r="C124" s="177">
        <v>2025</v>
      </c>
      <c r="D124" s="80" t="s">
        <v>1632</v>
      </c>
      <c r="E124" s="8" t="s">
        <v>1159</v>
      </c>
      <c r="F124" s="1">
        <v>0</v>
      </c>
      <c r="G124" s="170"/>
      <c r="H124" s="171">
        <v>0</v>
      </c>
      <c r="I124" s="171">
        <v>0</v>
      </c>
      <c r="J124" s="171">
        <v>-2383958</v>
      </c>
      <c r="K124" s="171">
        <v>0</v>
      </c>
      <c r="L124" s="171">
        <v>0</v>
      </c>
      <c r="M124" s="171">
        <v>0</v>
      </c>
      <c r="N124" s="171">
        <v>0</v>
      </c>
      <c r="P124" s="173">
        <f t="shared" si="1"/>
        <v>2383958</v>
      </c>
      <c r="V124" s="163"/>
      <c r="W124" s="163"/>
    </row>
    <row r="125" spans="1:23" s="17" customFormat="1">
      <c r="A125" s="176"/>
      <c r="B125" s="120" t="s">
        <v>446</v>
      </c>
      <c r="C125" s="177">
        <v>2025</v>
      </c>
      <c r="D125" s="80" t="s">
        <v>1632</v>
      </c>
      <c r="E125" s="8" t="s">
        <v>1161</v>
      </c>
      <c r="F125" s="1">
        <v>0</v>
      </c>
      <c r="G125" s="170"/>
      <c r="H125" s="171">
        <v>0</v>
      </c>
      <c r="I125" s="171">
        <v>0</v>
      </c>
      <c r="J125" s="171">
        <v>-3037655</v>
      </c>
      <c r="K125" s="171">
        <v>0</v>
      </c>
      <c r="L125" s="171">
        <v>0</v>
      </c>
      <c r="M125" s="171">
        <v>0</v>
      </c>
      <c r="N125" s="171">
        <v>0</v>
      </c>
      <c r="P125" s="173">
        <f t="shared" si="1"/>
        <v>3037655</v>
      </c>
      <c r="V125" s="163"/>
      <c r="W125" s="163"/>
    </row>
    <row r="126" spans="1:23" s="17" customFormat="1">
      <c r="A126" s="176"/>
      <c r="B126" s="120" t="s">
        <v>446</v>
      </c>
      <c r="C126" s="177">
        <v>2025</v>
      </c>
      <c r="D126" s="80" t="s">
        <v>1632</v>
      </c>
      <c r="E126" s="8" t="s">
        <v>1167</v>
      </c>
      <c r="F126" s="1">
        <v>0</v>
      </c>
      <c r="G126" s="170"/>
      <c r="H126" s="171">
        <v>0</v>
      </c>
      <c r="I126" s="171">
        <v>0</v>
      </c>
      <c r="J126" s="171">
        <v>-2123130</v>
      </c>
      <c r="K126" s="171">
        <v>0</v>
      </c>
      <c r="L126" s="171">
        <v>0</v>
      </c>
      <c r="M126" s="171">
        <v>0</v>
      </c>
      <c r="N126" s="171">
        <v>0</v>
      </c>
      <c r="P126" s="173">
        <f t="shared" si="1"/>
        <v>2123130</v>
      </c>
      <c r="V126" s="163"/>
      <c r="W126" s="163"/>
    </row>
    <row r="127" spans="1:23" s="17" customFormat="1">
      <c r="A127" s="176"/>
      <c r="B127" s="120" t="s">
        <v>446</v>
      </c>
      <c r="C127" s="177">
        <v>2025</v>
      </c>
      <c r="D127" s="80" t="s">
        <v>1640</v>
      </c>
      <c r="E127" s="8" t="s">
        <v>1190</v>
      </c>
      <c r="F127" s="1">
        <v>0</v>
      </c>
      <c r="G127" s="170"/>
      <c r="H127" s="171">
        <v>0</v>
      </c>
      <c r="I127" s="171">
        <v>0</v>
      </c>
      <c r="J127" s="171">
        <v>-10000000</v>
      </c>
      <c r="K127" s="171">
        <v>0</v>
      </c>
      <c r="L127" s="171">
        <v>0</v>
      </c>
      <c r="M127" s="171">
        <v>0</v>
      </c>
      <c r="N127" s="171">
        <v>0</v>
      </c>
      <c r="P127" s="173">
        <f t="shared" si="1"/>
        <v>10000000</v>
      </c>
      <c r="V127" s="163"/>
      <c r="W127" s="163"/>
    </row>
    <row r="128" spans="1:23" s="17" customFormat="1">
      <c r="A128" s="176"/>
      <c r="B128" s="120" t="s">
        <v>446</v>
      </c>
      <c r="C128" s="177">
        <v>2025</v>
      </c>
      <c r="D128" s="80" t="s">
        <v>1640</v>
      </c>
      <c r="E128" s="8" t="s">
        <v>1192</v>
      </c>
      <c r="F128" s="1">
        <v>0</v>
      </c>
      <c r="G128" s="170"/>
      <c r="H128" s="171">
        <v>0</v>
      </c>
      <c r="I128" s="171">
        <v>0</v>
      </c>
      <c r="J128" s="171">
        <v>-1000000</v>
      </c>
      <c r="K128" s="171">
        <v>0</v>
      </c>
      <c r="L128" s="171">
        <v>0</v>
      </c>
      <c r="M128" s="171">
        <v>0</v>
      </c>
      <c r="N128" s="171">
        <v>0</v>
      </c>
      <c r="P128" s="173">
        <f t="shared" si="1"/>
        <v>1000000</v>
      </c>
      <c r="V128" s="163"/>
      <c r="W128" s="163"/>
    </row>
    <row r="129" spans="1:23" s="17" customFormat="1">
      <c r="A129" s="176"/>
      <c r="B129" s="120" t="s">
        <v>446</v>
      </c>
      <c r="C129" s="177">
        <v>2025</v>
      </c>
      <c r="D129" s="80" t="s">
        <v>1629</v>
      </c>
      <c r="E129" s="8" t="s">
        <v>1976</v>
      </c>
      <c r="F129" s="1">
        <v>0</v>
      </c>
      <c r="G129" s="170"/>
      <c r="H129" s="171">
        <v>0</v>
      </c>
      <c r="I129" s="171">
        <v>0</v>
      </c>
      <c r="J129" s="171">
        <v>-3972608</v>
      </c>
      <c r="K129" s="171">
        <v>0</v>
      </c>
      <c r="L129" s="171">
        <v>0</v>
      </c>
      <c r="M129" s="171">
        <v>0</v>
      </c>
      <c r="N129" s="171">
        <v>0</v>
      </c>
      <c r="P129" s="173">
        <f t="shared" si="1"/>
        <v>3972608</v>
      </c>
      <c r="V129" s="163"/>
      <c r="W129" s="163"/>
    </row>
    <row r="130" spans="1:23" s="17" customFormat="1">
      <c r="A130" s="176"/>
      <c r="B130" s="120" t="s">
        <v>446</v>
      </c>
      <c r="C130" s="177">
        <v>2025</v>
      </c>
      <c r="D130" s="80" t="s">
        <v>1640</v>
      </c>
      <c r="E130" s="8" t="s">
        <v>1978</v>
      </c>
      <c r="F130" s="1">
        <v>0</v>
      </c>
      <c r="G130" s="170"/>
      <c r="H130" s="171">
        <v>0</v>
      </c>
      <c r="I130" s="171">
        <v>0</v>
      </c>
      <c r="J130" s="171">
        <v>-1000000</v>
      </c>
      <c r="K130" s="171">
        <v>0</v>
      </c>
      <c r="L130" s="171">
        <v>0</v>
      </c>
      <c r="M130" s="171">
        <v>0</v>
      </c>
      <c r="N130" s="171">
        <v>0</v>
      </c>
      <c r="P130" s="173">
        <f t="shared" si="1"/>
        <v>1000000</v>
      </c>
      <c r="V130" s="163"/>
      <c r="W130" s="163"/>
    </row>
    <row r="131" spans="1:23" s="17" customFormat="1">
      <c r="A131" s="176"/>
      <c r="B131" s="120" t="s">
        <v>446</v>
      </c>
      <c r="C131" s="177">
        <v>2025</v>
      </c>
      <c r="D131" s="80" t="s">
        <v>1632</v>
      </c>
      <c r="E131" s="8" t="s">
        <v>1993</v>
      </c>
      <c r="F131" s="1">
        <v>0</v>
      </c>
      <c r="G131" s="170"/>
      <c r="H131" s="171">
        <v>0</v>
      </c>
      <c r="I131" s="171">
        <v>0</v>
      </c>
      <c r="J131" s="171">
        <v>-11904958</v>
      </c>
      <c r="K131" s="171">
        <v>0</v>
      </c>
      <c r="L131" s="171">
        <v>0</v>
      </c>
      <c r="M131" s="171">
        <v>0</v>
      </c>
      <c r="N131" s="171">
        <v>0</v>
      </c>
      <c r="P131" s="173">
        <f t="shared" si="1"/>
        <v>11904958</v>
      </c>
      <c r="V131" s="163"/>
      <c r="W131" s="163"/>
    </row>
    <row r="132" spans="1:23" s="17" customFormat="1">
      <c r="A132" s="176"/>
      <c r="B132" s="120" t="s">
        <v>446</v>
      </c>
      <c r="C132" s="177">
        <v>2025</v>
      </c>
      <c r="D132" s="80" t="s">
        <v>1640</v>
      </c>
      <c r="E132" s="8" t="s">
        <v>1996</v>
      </c>
      <c r="F132" s="1">
        <v>0</v>
      </c>
      <c r="G132" s="170"/>
      <c r="H132" s="171">
        <v>0</v>
      </c>
      <c r="I132" s="171">
        <v>0</v>
      </c>
      <c r="J132" s="171">
        <v>-600000</v>
      </c>
      <c r="K132" s="171">
        <v>0</v>
      </c>
      <c r="L132" s="171">
        <v>0</v>
      </c>
      <c r="M132" s="171">
        <v>0</v>
      </c>
      <c r="N132" s="171">
        <v>0</v>
      </c>
      <c r="P132" s="173">
        <f t="shared" si="1"/>
        <v>600000</v>
      </c>
      <c r="V132" s="163"/>
      <c r="W132" s="163"/>
    </row>
    <row r="133" spans="1:23" s="17" customFormat="1">
      <c r="A133" s="176"/>
      <c r="B133" s="120" t="s">
        <v>446</v>
      </c>
      <c r="C133" s="177">
        <v>2025</v>
      </c>
      <c r="D133" s="80" t="s">
        <v>1639</v>
      </c>
      <c r="E133" s="8" t="s">
        <v>2000</v>
      </c>
      <c r="F133" s="1">
        <v>0</v>
      </c>
      <c r="G133" s="170"/>
      <c r="H133" s="171">
        <v>0</v>
      </c>
      <c r="I133" s="172">
        <v>0</v>
      </c>
      <c r="J133" s="171">
        <v>-6178610</v>
      </c>
      <c r="K133" s="171">
        <v>0</v>
      </c>
      <c r="L133" s="171">
        <v>0</v>
      </c>
      <c r="M133" s="171">
        <v>0</v>
      </c>
      <c r="N133" s="171">
        <v>0</v>
      </c>
      <c r="P133" s="173">
        <f t="shared" ref="P133:P196" si="2">F133-H133-I133-J133-K133-L133-M133</f>
        <v>6178610</v>
      </c>
      <c r="V133" s="163"/>
      <c r="W133" s="163"/>
    </row>
    <row r="134" spans="1:23" s="17" customFormat="1">
      <c r="A134" s="176"/>
      <c r="B134" s="120" t="s">
        <v>446</v>
      </c>
      <c r="C134" s="177">
        <v>2025</v>
      </c>
      <c r="D134" s="80" t="s">
        <v>1640</v>
      </c>
      <c r="E134" s="8" t="s">
        <v>2001</v>
      </c>
      <c r="F134" s="1">
        <v>0</v>
      </c>
      <c r="G134" s="170"/>
      <c r="H134" s="171">
        <v>0</v>
      </c>
      <c r="I134" s="172">
        <v>0</v>
      </c>
      <c r="J134" s="171">
        <v>-5000000</v>
      </c>
      <c r="K134" s="171">
        <v>0</v>
      </c>
      <c r="L134" s="171">
        <v>0</v>
      </c>
      <c r="M134" s="171">
        <v>0</v>
      </c>
      <c r="N134" s="171">
        <v>0</v>
      </c>
      <c r="P134" s="173">
        <f t="shared" si="2"/>
        <v>5000000</v>
      </c>
      <c r="V134" s="163"/>
      <c r="W134" s="163"/>
    </row>
    <row r="135" spans="1:23" s="17" customFormat="1">
      <c r="A135" s="176"/>
      <c r="B135" s="120" t="s">
        <v>446</v>
      </c>
      <c r="C135" s="177">
        <v>2025</v>
      </c>
      <c r="D135" s="80" t="s">
        <v>1640</v>
      </c>
      <c r="E135" s="8" t="s">
        <v>2007</v>
      </c>
      <c r="F135" s="1">
        <v>0</v>
      </c>
      <c r="G135" s="170"/>
      <c r="H135" s="171">
        <v>0</v>
      </c>
      <c r="I135" s="172">
        <v>0</v>
      </c>
      <c r="J135" s="171">
        <v>-5000000</v>
      </c>
      <c r="K135" s="171">
        <v>0</v>
      </c>
      <c r="L135" s="171">
        <v>0</v>
      </c>
      <c r="M135" s="171">
        <v>0</v>
      </c>
      <c r="N135" s="171">
        <v>0</v>
      </c>
      <c r="P135" s="173">
        <f t="shared" si="2"/>
        <v>5000000</v>
      </c>
      <c r="V135" s="163"/>
      <c r="W135" s="163"/>
    </row>
    <row r="136" spans="1:23" s="17" customFormat="1">
      <c r="A136" s="176"/>
      <c r="B136" s="120" t="s">
        <v>446</v>
      </c>
      <c r="C136" s="177">
        <v>2025</v>
      </c>
      <c r="D136" s="80" t="s">
        <v>6539</v>
      </c>
      <c r="E136" s="8" t="s">
        <v>2010</v>
      </c>
      <c r="F136" s="1">
        <v>0</v>
      </c>
      <c r="G136" s="170"/>
      <c r="H136" s="171">
        <v>0</v>
      </c>
      <c r="I136" s="172">
        <v>0</v>
      </c>
      <c r="J136" s="171">
        <v>-5080000</v>
      </c>
      <c r="K136" s="171">
        <v>0</v>
      </c>
      <c r="L136" s="171">
        <v>0</v>
      </c>
      <c r="M136" s="171">
        <v>0</v>
      </c>
      <c r="N136" s="171">
        <v>0</v>
      </c>
      <c r="P136" s="173">
        <f t="shared" si="2"/>
        <v>5080000</v>
      </c>
      <c r="V136" s="163"/>
      <c r="W136" s="163"/>
    </row>
    <row r="137" spans="1:23" s="17" customFormat="1">
      <c r="A137" s="176"/>
      <c r="B137" s="120" t="s">
        <v>446</v>
      </c>
      <c r="C137" s="177">
        <v>2025</v>
      </c>
      <c r="D137" s="80" t="s">
        <v>1639</v>
      </c>
      <c r="E137" s="8" t="s">
        <v>2016</v>
      </c>
      <c r="F137" s="1">
        <v>0</v>
      </c>
      <c r="G137" s="170"/>
      <c r="H137" s="171">
        <v>0</v>
      </c>
      <c r="I137" s="172">
        <v>0</v>
      </c>
      <c r="J137" s="171">
        <v>-5200826</v>
      </c>
      <c r="K137" s="171">
        <v>0</v>
      </c>
      <c r="L137" s="171">
        <v>0</v>
      </c>
      <c r="M137" s="171">
        <v>0</v>
      </c>
      <c r="N137" s="171">
        <v>0</v>
      </c>
      <c r="P137" s="173">
        <f t="shared" si="2"/>
        <v>5200826</v>
      </c>
      <c r="V137" s="163"/>
      <c r="W137" s="163"/>
    </row>
    <row r="138" spans="1:23" s="17" customFormat="1">
      <c r="A138" s="176"/>
      <c r="B138" s="120" t="s">
        <v>446</v>
      </c>
      <c r="C138" s="177">
        <v>2025</v>
      </c>
      <c r="D138" s="80" t="s">
        <v>2324</v>
      </c>
      <c r="E138" s="8" t="s">
        <v>2038</v>
      </c>
      <c r="F138" s="1">
        <v>0</v>
      </c>
      <c r="G138" s="170"/>
      <c r="H138" s="171">
        <v>0</v>
      </c>
      <c r="I138" s="172">
        <v>0</v>
      </c>
      <c r="J138" s="171">
        <v>-5200000</v>
      </c>
      <c r="K138" s="171">
        <v>0</v>
      </c>
      <c r="L138" s="171">
        <v>0</v>
      </c>
      <c r="M138" s="171">
        <v>0</v>
      </c>
      <c r="N138" s="171">
        <v>0</v>
      </c>
      <c r="P138" s="173">
        <f t="shared" si="2"/>
        <v>5200000</v>
      </c>
      <c r="V138" s="163"/>
      <c r="W138" s="163"/>
    </row>
    <row r="139" spans="1:23" s="17" customFormat="1">
      <c r="A139" s="176"/>
      <c r="B139" s="120" t="s">
        <v>446</v>
      </c>
      <c r="C139" s="177">
        <v>2025</v>
      </c>
      <c r="D139" s="80" t="s">
        <v>1461</v>
      </c>
      <c r="E139" s="8" t="s">
        <v>2049</v>
      </c>
      <c r="F139" s="1">
        <v>0</v>
      </c>
      <c r="G139" s="170"/>
      <c r="H139" s="171">
        <v>0</v>
      </c>
      <c r="I139" s="172">
        <v>0</v>
      </c>
      <c r="J139" s="171">
        <v>-4237005</v>
      </c>
      <c r="K139" s="171">
        <v>0</v>
      </c>
      <c r="L139" s="171">
        <v>0</v>
      </c>
      <c r="M139" s="171">
        <v>0</v>
      </c>
      <c r="N139" s="171">
        <v>0</v>
      </c>
      <c r="P139" s="173">
        <f t="shared" si="2"/>
        <v>4237005</v>
      </c>
      <c r="V139" s="163"/>
      <c r="W139" s="163"/>
    </row>
    <row r="140" spans="1:23" s="17" customFormat="1">
      <c r="A140" s="176"/>
      <c r="B140" s="120" t="s">
        <v>446</v>
      </c>
      <c r="C140" s="177">
        <v>2025</v>
      </c>
      <c r="D140" s="80" t="s">
        <v>1632</v>
      </c>
      <c r="E140" s="8" t="s">
        <v>2051</v>
      </c>
      <c r="F140" s="1">
        <v>0</v>
      </c>
      <c r="G140" s="170"/>
      <c r="H140" s="171">
        <v>0</v>
      </c>
      <c r="I140" s="172">
        <v>0</v>
      </c>
      <c r="J140" s="171">
        <v>-1535095</v>
      </c>
      <c r="K140" s="171">
        <v>0</v>
      </c>
      <c r="L140" s="171">
        <v>0</v>
      </c>
      <c r="M140" s="171">
        <v>0</v>
      </c>
      <c r="N140" s="171">
        <v>0</v>
      </c>
      <c r="P140" s="173">
        <f t="shared" si="2"/>
        <v>1535095</v>
      </c>
      <c r="V140" s="163"/>
      <c r="W140" s="163"/>
    </row>
    <row r="141" spans="1:23" s="17" customFormat="1">
      <c r="A141" s="176"/>
      <c r="B141" s="120" t="s">
        <v>446</v>
      </c>
      <c r="C141" s="177">
        <v>2025</v>
      </c>
      <c r="D141" s="80" t="s">
        <v>1461</v>
      </c>
      <c r="E141" s="8" t="s">
        <v>2054</v>
      </c>
      <c r="F141" s="1">
        <v>0</v>
      </c>
      <c r="G141" s="170"/>
      <c r="H141" s="171">
        <v>0</v>
      </c>
      <c r="I141" s="172">
        <v>0</v>
      </c>
      <c r="J141" s="171">
        <v>-2387900</v>
      </c>
      <c r="K141" s="171">
        <v>0</v>
      </c>
      <c r="L141" s="171">
        <v>0</v>
      </c>
      <c r="M141" s="171">
        <v>0</v>
      </c>
      <c r="N141" s="171">
        <v>0</v>
      </c>
      <c r="P141" s="173">
        <f t="shared" si="2"/>
        <v>2387900</v>
      </c>
      <c r="V141" s="163"/>
      <c r="W141" s="163"/>
    </row>
    <row r="142" spans="1:23" s="17" customFormat="1">
      <c r="A142" s="176"/>
      <c r="B142" s="120" t="s">
        <v>446</v>
      </c>
      <c r="C142" s="177">
        <v>2025</v>
      </c>
      <c r="D142" s="80" t="s">
        <v>6539</v>
      </c>
      <c r="E142" s="8" t="s">
        <v>2056</v>
      </c>
      <c r="F142" s="1">
        <v>0</v>
      </c>
      <c r="G142" s="170"/>
      <c r="H142" s="171">
        <v>0</v>
      </c>
      <c r="I142" s="172">
        <v>0</v>
      </c>
      <c r="J142" s="171">
        <v>-12726060</v>
      </c>
      <c r="K142" s="171">
        <v>0</v>
      </c>
      <c r="L142" s="171">
        <v>0</v>
      </c>
      <c r="M142" s="171">
        <v>0</v>
      </c>
      <c r="N142" s="171">
        <v>0</v>
      </c>
      <c r="P142" s="173">
        <f t="shared" si="2"/>
        <v>12726060</v>
      </c>
      <c r="V142" s="163"/>
      <c r="W142" s="163"/>
    </row>
    <row r="143" spans="1:23" s="17" customFormat="1">
      <c r="A143" s="176"/>
      <c r="B143" s="120" t="s">
        <v>446</v>
      </c>
      <c r="C143" s="177">
        <v>2025</v>
      </c>
      <c r="D143" s="80" t="s">
        <v>6539</v>
      </c>
      <c r="E143" s="8" t="s">
        <v>2062</v>
      </c>
      <c r="F143" s="1">
        <v>0</v>
      </c>
      <c r="G143" s="170"/>
      <c r="H143" s="171">
        <v>0</v>
      </c>
      <c r="I143" s="172">
        <v>0</v>
      </c>
      <c r="J143" s="171">
        <v>-861770</v>
      </c>
      <c r="K143" s="171">
        <v>0</v>
      </c>
      <c r="L143" s="171">
        <v>0</v>
      </c>
      <c r="M143" s="171">
        <v>0</v>
      </c>
      <c r="N143" s="171">
        <v>0</v>
      </c>
      <c r="P143" s="173">
        <f t="shared" si="2"/>
        <v>861770</v>
      </c>
      <c r="V143" s="163"/>
      <c r="W143" s="163"/>
    </row>
    <row r="144" spans="1:23" s="17" customFormat="1">
      <c r="A144" s="176"/>
      <c r="B144" s="120" t="s">
        <v>446</v>
      </c>
      <c r="C144" s="177">
        <v>2025</v>
      </c>
      <c r="D144" s="80" t="s">
        <v>1640</v>
      </c>
      <c r="E144" s="8" t="s">
        <v>2063</v>
      </c>
      <c r="F144" s="1">
        <v>0</v>
      </c>
      <c r="G144" s="170"/>
      <c r="H144" s="171">
        <v>0</v>
      </c>
      <c r="I144" s="172">
        <v>0</v>
      </c>
      <c r="J144" s="171">
        <v>-600000</v>
      </c>
      <c r="K144" s="171">
        <v>0</v>
      </c>
      <c r="L144" s="171">
        <v>0</v>
      </c>
      <c r="M144" s="171">
        <v>0</v>
      </c>
      <c r="N144" s="171">
        <v>0</v>
      </c>
      <c r="P144" s="173">
        <f t="shared" si="2"/>
        <v>600000</v>
      </c>
      <c r="V144" s="163"/>
      <c r="W144" s="163"/>
    </row>
    <row r="145" spans="1:23" s="17" customFormat="1">
      <c r="A145" s="176"/>
      <c r="B145" s="120" t="s">
        <v>446</v>
      </c>
      <c r="C145" s="177">
        <v>2025</v>
      </c>
      <c r="D145" s="80" t="s">
        <v>6539</v>
      </c>
      <c r="E145" s="8" t="s">
        <v>2065</v>
      </c>
      <c r="F145" s="1">
        <v>0</v>
      </c>
      <c r="G145" s="170"/>
      <c r="H145" s="171">
        <v>0</v>
      </c>
      <c r="I145" s="172">
        <v>0</v>
      </c>
      <c r="J145" s="171">
        <v>-1447970</v>
      </c>
      <c r="K145" s="171">
        <v>0</v>
      </c>
      <c r="L145" s="171">
        <v>0</v>
      </c>
      <c r="M145" s="171">
        <v>0</v>
      </c>
      <c r="N145" s="171">
        <v>0</v>
      </c>
      <c r="P145" s="173">
        <f t="shared" si="2"/>
        <v>1447970</v>
      </c>
      <c r="V145" s="163"/>
      <c r="W145" s="163"/>
    </row>
    <row r="146" spans="1:23" s="17" customFormat="1">
      <c r="A146" s="176"/>
      <c r="B146" s="120" t="s">
        <v>446</v>
      </c>
      <c r="C146" s="177">
        <v>2025</v>
      </c>
      <c r="D146" s="80" t="s">
        <v>1640</v>
      </c>
      <c r="E146" s="8" t="s">
        <v>2069</v>
      </c>
      <c r="F146" s="1">
        <v>0</v>
      </c>
      <c r="G146" s="170"/>
      <c r="H146" s="171">
        <v>0</v>
      </c>
      <c r="I146" s="172">
        <v>0</v>
      </c>
      <c r="J146" s="171">
        <v>-1770000</v>
      </c>
      <c r="K146" s="171">
        <v>0</v>
      </c>
      <c r="L146" s="171">
        <v>0</v>
      </c>
      <c r="M146" s="171">
        <v>0</v>
      </c>
      <c r="N146" s="171">
        <v>0</v>
      </c>
      <c r="P146" s="173">
        <f t="shared" si="2"/>
        <v>1770000</v>
      </c>
      <c r="V146" s="163"/>
      <c r="W146" s="163"/>
    </row>
    <row r="147" spans="1:23" s="17" customFormat="1">
      <c r="A147" s="176"/>
      <c r="B147" s="120" t="s">
        <v>446</v>
      </c>
      <c r="C147" s="177">
        <v>2025</v>
      </c>
      <c r="D147" s="80" t="s">
        <v>6539</v>
      </c>
      <c r="E147" s="8" t="s">
        <v>2070</v>
      </c>
      <c r="F147" s="1">
        <v>0</v>
      </c>
      <c r="G147" s="170"/>
      <c r="H147" s="171">
        <v>0</v>
      </c>
      <c r="I147" s="172">
        <v>0</v>
      </c>
      <c r="J147" s="171">
        <v>-1038970</v>
      </c>
      <c r="K147" s="171">
        <v>0</v>
      </c>
      <c r="L147" s="171">
        <v>0</v>
      </c>
      <c r="M147" s="171">
        <v>0</v>
      </c>
      <c r="N147" s="171">
        <v>0</v>
      </c>
      <c r="P147" s="173">
        <f t="shared" si="2"/>
        <v>1038970</v>
      </c>
      <c r="V147" s="163"/>
      <c r="W147" s="163"/>
    </row>
    <row r="148" spans="1:23" s="17" customFormat="1">
      <c r="A148" s="176"/>
      <c r="B148" s="120" t="s">
        <v>446</v>
      </c>
      <c r="C148" s="177">
        <v>2025</v>
      </c>
      <c r="D148" s="80" t="s">
        <v>1461</v>
      </c>
      <c r="E148" s="8" t="s">
        <v>2073</v>
      </c>
      <c r="F148" s="1">
        <v>0</v>
      </c>
      <c r="G148" s="170"/>
      <c r="H148" s="171">
        <v>0</v>
      </c>
      <c r="I148" s="172">
        <v>0</v>
      </c>
      <c r="J148" s="171">
        <v>-3766800</v>
      </c>
      <c r="K148" s="171">
        <v>0</v>
      </c>
      <c r="L148" s="171">
        <v>0</v>
      </c>
      <c r="M148" s="171">
        <v>0</v>
      </c>
      <c r="N148" s="171">
        <v>0</v>
      </c>
      <c r="P148" s="173">
        <f t="shared" si="2"/>
        <v>3766800</v>
      </c>
      <c r="V148" s="163"/>
      <c r="W148" s="163"/>
    </row>
    <row r="149" spans="1:23" s="17" customFormat="1">
      <c r="A149" s="176"/>
      <c r="B149" s="120" t="s">
        <v>446</v>
      </c>
      <c r="C149" s="177">
        <v>2025</v>
      </c>
      <c r="D149" s="80" t="s">
        <v>1461</v>
      </c>
      <c r="E149" s="8" t="s">
        <v>2076</v>
      </c>
      <c r="F149" s="1">
        <v>0</v>
      </c>
      <c r="G149" s="170"/>
      <c r="H149" s="171">
        <v>0</v>
      </c>
      <c r="I149" s="172">
        <v>0</v>
      </c>
      <c r="J149" s="171">
        <v>-5702500</v>
      </c>
      <c r="K149" s="171">
        <v>0</v>
      </c>
      <c r="L149" s="171">
        <v>0</v>
      </c>
      <c r="M149" s="171">
        <v>0</v>
      </c>
      <c r="N149" s="171">
        <v>0</v>
      </c>
      <c r="P149" s="173">
        <f t="shared" si="2"/>
        <v>5702500</v>
      </c>
      <c r="V149" s="163"/>
      <c r="W149" s="163"/>
    </row>
    <row r="150" spans="1:23" s="17" customFormat="1">
      <c r="A150" s="176"/>
      <c r="B150" s="120" t="s">
        <v>446</v>
      </c>
      <c r="C150" s="177">
        <v>2025</v>
      </c>
      <c r="D150" s="80" t="s">
        <v>2324</v>
      </c>
      <c r="E150" s="8" t="s">
        <v>2080</v>
      </c>
      <c r="F150" s="1">
        <v>0</v>
      </c>
      <c r="G150" s="170"/>
      <c r="H150" s="171">
        <v>0</v>
      </c>
      <c r="I150" s="172">
        <v>0</v>
      </c>
      <c r="J150" s="171">
        <v>-246080</v>
      </c>
      <c r="K150" s="171">
        <v>0</v>
      </c>
      <c r="L150" s="171">
        <v>0</v>
      </c>
      <c r="M150" s="171">
        <v>0</v>
      </c>
      <c r="N150" s="171">
        <v>0</v>
      </c>
      <c r="P150" s="173">
        <f t="shared" si="2"/>
        <v>246080</v>
      </c>
      <c r="V150" s="163"/>
      <c r="W150" s="163"/>
    </row>
    <row r="151" spans="1:23" s="17" customFormat="1">
      <c r="A151" s="176"/>
      <c r="B151" s="120" t="s">
        <v>446</v>
      </c>
      <c r="C151" s="177">
        <v>2025</v>
      </c>
      <c r="D151" s="80" t="s">
        <v>2325</v>
      </c>
      <c r="E151" s="8" t="s">
        <v>2083</v>
      </c>
      <c r="F151" s="1">
        <v>0</v>
      </c>
      <c r="G151" s="170"/>
      <c r="H151" s="171">
        <v>0</v>
      </c>
      <c r="I151" s="172">
        <v>0</v>
      </c>
      <c r="J151" s="171">
        <v>-1795335</v>
      </c>
      <c r="K151" s="171">
        <v>0</v>
      </c>
      <c r="L151" s="171">
        <v>0</v>
      </c>
      <c r="M151" s="171">
        <v>0</v>
      </c>
      <c r="N151" s="171">
        <v>0</v>
      </c>
      <c r="P151" s="173">
        <f t="shared" si="2"/>
        <v>1795335</v>
      </c>
      <c r="V151" s="163"/>
      <c r="W151" s="163"/>
    </row>
    <row r="152" spans="1:23" s="17" customFormat="1">
      <c r="A152" s="176"/>
      <c r="B152" s="120" t="s">
        <v>446</v>
      </c>
      <c r="C152" s="177">
        <v>2025</v>
      </c>
      <c r="D152" s="80" t="s">
        <v>2324</v>
      </c>
      <c r="E152" s="8" t="s">
        <v>2084</v>
      </c>
      <c r="F152" s="1">
        <v>0</v>
      </c>
      <c r="G152" s="170"/>
      <c r="H152" s="171">
        <v>0</v>
      </c>
      <c r="I152" s="172">
        <v>0</v>
      </c>
      <c r="J152" s="171">
        <v>-13590245</v>
      </c>
      <c r="K152" s="171">
        <v>0</v>
      </c>
      <c r="L152" s="171">
        <v>0</v>
      </c>
      <c r="M152" s="171">
        <v>0</v>
      </c>
      <c r="N152" s="171">
        <v>0</v>
      </c>
      <c r="P152" s="173">
        <f t="shared" si="2"/>
        <v>13590245</v>
      </c>
      <c r="V152" s="163"/>
      <c r="W152" s="163"/>
    </row>
    <row r="153" spans="1:23" s="17" customFormat="1">
      <c r="A153" s="176"/>
      <c r="B153" s="120" t="s">
        <v>446</v>
      </c>
      <c r="C153" s="177">
        <v>2025</v>
      </c>
      <c r="D153" s="80" t="s">
        <v>1461</v>
      </c>
      <c r="E153" s="8" t="s">
        <v>2085</v>
      </c>
      <c r="F153" s="1">
        <v>0</v>
      </c>
      <c r="G153" s="170"/>
      <c r="H153" s="171">
        <v>0</v>
      </c>
      <c r="I153" s="172">
        <v>0</v>
      </c>
      <c r="J153" s="171">
        <v>-2839232</v>
      </c>
      <c r="K153" s="171">
        <v>0</v>
      </c>
      <c r="L153" s="171">
        <v>0</v>
      </c>
      <c r="M153" s="171">
        <v>0</v>
      </c>
      <c r="N153" s="171">
        <v>0</v>
      </c>
      <c r="P153" s="173">
        <f t="shared" si="2"/>
        <v>2839232</v>
      </c>
      <c r="V153" s="163"/>
      <c r="W153" s="163"/>
    </row>
    <row r="154" spans="1:23" s="17" customFormat="1">
      <c r="A154" s="176"/>
      <c r="B154" s="120" t="s">
        <v>446</v>
      </c>
      <c r="C154" s="177">
        <v>2025</v>
      </c>
      <c r="D154" s="80" t="s">
        <v>2325</v>
      </c>
      <c r="E154" s="8" t="s">
        <v>2087</v>
      </c>
      <c r="F154" s="1">
        <v>0</v>
      </c>
      <c r="G154" s="170"/>
      <c r="H154" s="171">
        <v>0</v>
      </c>
      <c r="I154" s="172">
        <v>0</v>
      </c>
      <c r="J154" s="171">
        <v>-6095260</v>
      </c>
      <c r="K154" s="171">
        <v>0</v>
      </c>
      <c r="L154" s="171">
        <v>0</v>
      </c>
      <c r="M154" s="171">
        <v>0</v>
      </c>
      <c r="N154" s="171">
        <v>0</v>
      </c>
      <c r="P154" s="173">
        <f t="shared" si="2"/>
        <v>6095260</v>
      </c>
      <c r="V154" s="163"/>
      <c r="W154" s="163"/>
    </row>
    <row r="155" spans="1:23" s="17" customFormat="1">
      <c r="A155" s="176"/>
      <c r="B155" s="120" t="s">
        <v>446</v>
      </c>
      <c r="C155" s="177">
        <v>2025</v>
      </c>
      <c r="D155" s="80" t="s">
        <v>1461</v>
      </c>
      <c r="E155" s="8" t="s">
        <v>2088</v>
      </c>
      <c r="F155" s="1">
        <v>0</v>
      </c>
      <c r="G155" s="170"/>
      <c r="H155" s="171">
        <v>0</v>
      </c>
      <c r="I155" s="172">
        <v>0</v>
      </c>
      <c r="J155" s="171">
        <v>-1760770</v>
      </c>
      <c r="K155" s="171">
        <v>0</v>
      </c>
      <c r="L155" s="171">
        <v>0</v>
      </c>
      <c r="M155" s="171">
        <v>0</v>
      </c>
      <c r="N155" s="171">
        <v>0</v>
      </c>
      <c r="P155" s="173">
        <f t="shared" si="2"/>
        <v>1760770</v>
      </c>
      <c r="V155" s="163"/>
      <c r="W155" s="163"/>
    </row>
    <row r="156" spans="1:23" s="17" customFormat="1">
      <c r="A156" s="176"/>
      <c r="B156" s="120" t="s">
        <v>446</v>
      </c>
      <c r="C156" s="177">
        <v>2025</v>
      </c>
      <c r="D156" s="80" t="s">
        <v>2324</v>
      </c>
      <c r="E156" s="8" t="s">
        <v>2089</v>
      </c>
      <c r="F156" s="1">
        <v>0</v>
      </c>
      <c r="G156" s="170"/>
      <c r="H156" s="171">
        <v>0</v>
      </c>
      <c r="I156" s="172">
        <v>0</v>
      </c>
      <c r="J156" s="171">
        <v>-8321360</v>
      </c>
      <c r="K156" s="171">
        <v>0</v>
      </c>
      <c r="L156" s="171">
        <v>0</v>
      </c>
      <c r="M156" s="171">
        <v>0</v>
      </c>
      <c r="N156" s="171">
        <v>0</v>
      </c>
      <c r="P156" s="173">
        <f t="shared" si="2"/>
        <v>8321360</v>
      </c>
      <c r="V156" s="163"/>
      <c r="W156" s="163"/>
    </row>
    <row r="157" spans="1:23" s="17" customFormat="1">
      <c r="A157" s="176"/>
      <c r="B157" s="120" t="s">
        <v>446</v>
      </c>
      <c r="C157" s="177">
        <v>2025</v>
      </c>
      <c r="D157" s="80" t="s">
        <v>1461</v>
      </c>
      <c r="E157" s="8" t="s">
        <v>2091</v>
      </c>
      <c r="F157" s="1">
        <v>0</v>
      </c>
      <c r="G157" s="170"/>
      <c r="H157" s="171">
        <v>0</v>
      </c>
      <c r="I157" s="172">
        <v>0</v>
      </c>
      <c r="J157" s="171">
        <v>-2289780</v>
      </c>
      <c r="K157" s="171">
        <v>0</v>
      </c>
      <c r="L157" s="171">
        <v>0</v>
      </c>
      <c r="M157" s="171">
        <v>0</v>
      </c>
      <c r="N157" s="171">
        <v>0</v>
      </c>
      <c r="P157" s="173">
        <f t="shared" si="2"/>
        <v>2289780</v>
      </c>
      <c r="V157" s="163"/>
      <c r="W157" s="163"/>
    </row>
    <row r="158" spans="1:23" s="17" customFormat="1">
      <c r="A158" s="176"/>
      <c r="B158" s="120" t="s">
        <v>446</v>
      </c>
      <c r="C158" s="177">
        <v>2025</v>
      </c>
      <c r="D158" s="80" t="s">
        <v>2324</v>
      </c>
      <c r="E158" s="8" t="s">
        <v>2093</v>
      </c>
      <c r="F158" s="1">
        <v>0</v>
      </c>
      <c r="G158" s="170"/>
      <c r="H158" s="171">
        <v>0</v>
      </c>
      <c r="I158" s="172">
        <v>0</v>
      </c>
      <c r="J158" s="171">
        <v>-2900350</v>
      </c>
      <c r="K158" s="171">
        <v>0</v>
      </c>
      <c r="L158" s="171">
        <v>0</v>
      </c>
      <c r="M158" s="171">
        <v>0</v>
      </c>
      <c r="N158" s="171">
        <v>0</v>
      </c>
      <c r="P158" s="173">
        <f t="shared" si="2"/>
        <v>2900350</v>
      </c>
      <c r="V158" s="163"/>
      <c r="W158" s="163"/>
    </row>
    <row r="159" spans="1:23" s="17" customFormat="1">
      <c r="A159" s="176"/>
      <c r="B159" s="120" t="s">
        <v>446</v>
      </c>
      <c r="C159" s="177">
        <v>2025</v>
      </c>
      <c r="D159" s="80" t="s">
        <v>2323</v>
      </c>
      <c r="E159" s="8" t="s">
        <v>2100</v>
      </c>
      <c r="F159" s="1">
        <v>0</v>
      </c>
      <c r="G159" s="170"/>
      <c r="H159" s="171">
        <v>0</v>
      </c>
      <c r="I159" s="172">
        <v>0</v>
      </c>
      <c r="J159" s="171">
        <v>-8800000</v>
      </c>
      <c r="K159" s="171">
        <v>0</v>
      </c>
      <c r="L159" s="171">
        <v>0</v>
      </c>
      <c r="M159" s="171">
        <v>0</v>
      </c>
      <c r="N159" s="171">
        <v>0</v>
      </c>
      <c r="P159" s="173">
        <f t="shared" si="2"/>
        <v>8800000</v>
      </c>
      <c r="V159" s="163"/>
      <c r="W159" s="163"/>
    </row>
    <row r="160" spans="1:23" s="17" customFormat="1">
      <c r="A160" s="176"/>
      <c r="B160" s="120" t="s">
        <v>446</v>
      </c>
      <c r="C160" s="177">
        <v>2025</v>
      </c>
      <c r="D160" s="80" t="s">
        <v>2323</v>
      </c>
      <c r="E160" s="8" t="s">
        <v>2114</v>
      </c>
      <c r="F160" s="1">
        <v>0</v>
      </c>
      <c r="G160" s="170"/>
      <c r="H160" s="171">
        <v>0</v>
      </c>
      <c r="I160" s="172">
        <v>0</v>
      </c>
      <c r="J160" s="171">
        <v>-44176926</v>
      </c>
      <c r="K160" s="171">
        <v>0</v>
      </c>
      <c r="L160" s="171">
        <v>0</v>
      </c>
      <c r="M160" s="171">
        <v>0</v>
      </c>
      <c r="N160" s="171">
        <v>0</v>
      </c>
      <c r="P160" s="173">
        <f t="shared" si="2"/>
        <v>44176926</v>
      </c>
      <c r="V160" s="163"/>
      <c r="W160" s="163"/>
    </row>
    <row r="161" spans="1:23" s="17" customFormat="1">
      <c r="A161" s="176"/>
      <c r="B161" s="120" t="s">
        <v>446</v>
      </c>
      <c r="C161" s="177">
        <v>2025</v>
      </c>
      <c r="D161" s="80" t="s">
        <v>1461</v>
      </c>
      <c r="E161" s="8" t="s">
        <v>2117</v>
      </c>
      <c r="F161" s="1">
        <v>0</v>
      </c>
      <c r="G161" s="170"/>
      <c r="H161" s="171">
        <v>0</v>
      </c>
      <c r="I161" s="172">
        <v>0</v>
      </c>
      <c r="J161" s="171">
        <v>-18023037</v>
      </c>
      <c r="K161" s="171">
        <v>0</v>
      </c>
      <c r="L161" s="171">
        <v>0</v>
      </c>
      <c r="M161" s="171">
        <v>0</v>
      </c>
      <c r="N161" s="171">
        <v>0</v>
      </c>
      <c r="P161" s="173">
        <f t="shared" si="2"/>
        <v>18023037</v>
      </c>
      <c r="V161" s="163"/>
      <c r="W161" s="163"/>
    </row>
    <row r="162" spans="1:23" s="17" customFormat="1">
      <c r="A162" s="176"/>
      <c r="B162" s="120" t="s">
        <v>446</v>
      </c>
      <c r="C162" s="177">
        <v>2025</v>
      </c>
      <c r="D162" s="80" t="s">
        <v>2325</v>
      </c>
      <c r="E162" s="8" t="s">
        <v>2118</v>
      </c>
      <c r="F162" s="1">
        <v>0</v>
      </c>
      <c r="G162" s="170"/>
      <c r="H162" s="171">
        <v>0</v>
      </c>
      <c r="I162" s="172">
        <v>0</v>
      </c>
      <c r="J162" s="171">
        <v>-1875125</v>
      </c>
      <c r="K162" s="171">
        <v>0</v>
      </c>
      <c r="L162" s="171">
        <v>0</v>
      </c>
      <c r="M162" s="171">
        <v>0</v>
      </c>
      <c r="N162" s="171">
        <v>0</v>
      </c>
      <c r="P162" s="173">
        <f t="shared" si="2"/>
        <v>1875125</v>
      </c>
      <c r="V162" s="163"/>
      <c r="W162" s="163"/>
    </row>
    <row r="163" spans="1:23" s="17" customFormat="1">
      <c r="A163" s="176"/>
      <c r="B163" s="120" t="s">
        <v>446</v>
      </c>
      <c r="C163" s="177">
        <v>2025</v>
      </c>
      <c r="D163" s="80" t="s">
        <v>2325</v>
      </c>
      <c r="E163" s="8" t="s">
        <v>2123</v>
      </c>
      <c r="F163" s="1">
        <v>0</v>
      </c>
      <c r="G163" s="170"/>
      <c r="H163" s="171">
        <v>0</v>
      </c>
      <c r="I163" s="172">
        <v>0</v>
      </c>
      <c r="J163" s="171">
        <v>-1131200</v>
      </c>
      <c r="K163" s="171">
        <v>0</v>
      </c>
      <c r="L163" s="171">
        <v>0</v>
      </c>
      <c r="M163" s="171">
        <v>0</v>
      </c>
      <c r="N163" s="171">
        <v>0</v>
      </c>
      <c r="P163" s="173">
        <f t="shared" si="2"/>
        <v>1131200</v>
      </c>
      <c r="V163" s="163"/>
      <c r="W163" s="163"/>
    </row>
    <row r="164" spans="1:23" s="17" customFormat="1">
      <c r="A164" s="176"/>
      <c r="B164" s="120" t="s">
        <v>446</v>
      </c>
      <c r="C164" s="177">
        <v>2025</v>
      </c>
      <c r="D164" s="80" t="s">
        <v>2324</v>
      </c>
      <c r="E164" s="8" t="s">
        <v>2126</v>
      </c>
      <c r="F164" s="1">
        <v>0</v>
      </c>
      <c r="G164" s="170"/>
      <c r="H164" s="171">
        <v>0</v>
      </c>
      <c r="I164" s="172">
        <v>0</v>
      </c>
      <c r="J164" s="171">
        <v>-4500000</v>
      </c>
      <c r="K164" s="171">
        <v>0</v>
      </c>
      <c r="L164" s="171">
        <v>0</v>
      </c>
      <c r="M164" s="171">
        <v>0</v>
      </c>
      <c r="N164" s="171">
        <v>0</v>
      </c>
      <c r="P164" s="173">
        <f t="shared" si="2"/>
        <v>4500000</v>
      </c>
      <c r="V164" s="163"/>
      <c r="W164" s="163"/>
    </row>
    <row r="165" spans="1:23" s="17" customFormat="1">
      <c r="A165" s="176"/>
      <c r="B165" s="120" t="s">
        <v>446</v>
      </c>
      <c r="C165" s="177">
        <v>2025</v>
      </c>
      <c r="D165" s="80" t="s">
        <v>1461</v>
      </c>
      <c r="E165" s="8" t="s">
        <v>2129</v>
      </c>
      <c r="F165" s="1">
        <v>0</v>
      </c>
      <c r="G165" s="170"/>
      <c r="H165" s="171">
        <v>0</v>
      </c>
      <c r="I165" s="172">
        <v>0</v>
      </c>
      <c r="J165" s="171">
        <v>-900500</v>
      </c>
      <c r="K165" s="171">
        <v>0</v>
      </c>
      <c r="L165" s="171">
        <v>0</v>
      </c>
      <c r="M165" s="171">
        <v>0</v>
      </c>
      <c r="N165" s="171">
        <v>0</v>
      </c>
      <c r="P165" s="173">
        <f t="shared" si="2"/>
        <v>900500</v>
      </c>
      <c r="V165" s="163"/>
      <c r="W165" s="163"/>
    </row>
    <row r="166" spans="1:23" s="17" customFormat="1">
      <c r="A166" s="176"/>
      <c r="B166" s="120" t="s">
        <v>446</v>
      </c>
      <c r="C166" s="177">
        <v>2025</v>
      </c>
      <c r="D166" s="80" t="s">
        <v>1461</v>
      </c>
      <c r="E166" s="8" t="s">
        <v>2132</v>
      </c>
      <c r="F166" s="1">
        <v>0</v>
      </c>
      <c r="G166" s="170"/>
      <c r="H166" s="171">
        <v>0</v>
      </c>
      <c r="I166" s="172">
        <v>0</v>
      </c>
      <c r="J166" s="171">
        <v>-2911700</v>
      </c>
      <c r="K166" s="171">
        <v>0</v>
      </c>
      <c r="L166" s="171">
        <v>0</v>
      </c>
      <c r="M166" s="171">
        <v>0</v>
      </c>
      <c r="N166" s="171">
        <v>0</v>
      </c>
      <c r="P166" s="173">
        <f t="shared" si="2"/>
        <v>2911700</v>
      </c>
      <c r="V166" s="163"/>
      <c r="W166" s="163"/>
    </row>
    <row r="167" spans="1:23" s="17" customFormat="1">
      <c r="A167" s="176"/>
      <c r="B167" s="120" t="s">
        <v>446</v>
      </c>
      <c r="C167" s="177">
        <v>2025</v>
      </c>
      <c r="D167" s="80" t="s">
        <v>2323</v>
      </c>
      <c r="E167" s="8" t="s">
        <v>2133</v>
      </c>
      <c r="F167" s="1">
        <v>0</v>
      </c>
      <c r="G167" s="170"/>
      <c r="H167" s="171">
        <v>0</v>
      </c>
      <c r="I167" s="172">
        <v>0</v>
      </c>
      <c r="J167" s="171">
        <v>-5070200</v>
      </c>
      <c r="K167" s="171">
        <v>0</v>
      </c>
      <c r="L167" s="171">
        <v>0</v>
      </c>
      <c r="M167" s="171">
        <v>0</v>
      </c>
      <c r="N167" s="171">
        <v>0</v>
      </c>
      <c r="P167" s="173">
        <f t="shared" si="2"/>
        <v>5070200</v>
      </c>
      <c r="V167" s="163"/>
      <c r="W167" s="163"/>
    </row>
    <row r="168" spans="1:23" s="17" customFormat="1">
      <c r="A168" s="176"/>
      <c r="B168" s="120" t="s">
        <v>446</v>
      </c>
      <c r="C168" s="177">
        <v>2025</v>
      </c>
      <c r="D168" s="80" t="s">
        <v>6539</v>
      </c>
      <c r="E168" s="8" t="s">
        <v>2503</v>
      </c>
      <c r="F168" s="1">
        <v>0</v>
      </c>
      <c r="G168" s="170"/>
      <c r="H168" s="171">
        <v>0</v>
      </c>
      <c r="I168" s="172">
        <v>0</v>
      </c>
      <c r="J168" s="171">
        <v>-8903470</v>
      </c>
      <c r="K168" s="171">
        <v>0</v>
      </c>
      <c r="L168" s="171">
        <v>0</v>
      </c>
      <c r="M168" s="171">
        <v>0</v>
      </c>
      <c r="N168" s="171">
        <v>0</v>
      </c>
      <c r="P168" s="173">
        <f t="shared" si="2"/>
        <v>8903470</v>
      </c>
      <c r="V168" s="163"/>
      <c r="W168" s="163"/>
    </row>
    <row r="169" spans="1:23" s="17" customFormat="1">
      <c r="A169" s="176"/>
      <c r="B169" s="120" t="s">
        <v>446</v>
      </c>
      <c r="C169" s="177">
        <v>2025</v>
      </c>
      <c r="D169" s="80" t="s">
        <v>1461</v>
      </c>
      <c r="E169" s="8" t="s">
        <v>2513</v>
      </c>
      <c r="F169" s="1">
        <v>0</v>
      </c>
      <c r="G169" s="170"/>
      <c r="H169" s="171">
        <v>0</v>
      </c>
      <c r="I169" s="172">
        <v>0</v>
      </c>
      <c r="J169" s="171">
        <v>-8381286</v>
      </c>
      <c r="K169" s="171">
        <v>0</v>
      </c>
      <c r="L169" s="171">
        <v>0</v>
      </c>
      <c r="M169" s="171">
        <v>0</v>
      </c>
      <c r="N169" s="171">
        <v>0</v>
      </c>
      <c r="P169" s="173">
        <f t="shared" si="2"/>
        <v>8381286</v>
      </c>
      <c r="V169" s="163"/>
      <c r="W169" s="163"/>
    </row>
    <row r="170" spans="1:23" s="17" customFormat="1">
      <c r="A170" s="176"/>
      <c r="B170" s="120" t="s">
        <v>446</v>
      </c>
      <c r="C170" s="177">
        <v>2025</v>
      </c>
      <c r="D170" s="80" t="s">
        <v>2323</v>
      </c>
      <c r="E170" s="8" t="s">
        <v>2520</v>
      </c>
      <c r="F170" s="1">
        <v>0</v>
      </c>
      <c r="G170" s="170"/>
      <c r="H170" s="171">
        <v>0</v>
      </c>
      <c r="I170" s="172">
        <v>0</v>
      </c>
      <c r="J170" s="171">
        <v>-1087180</v>
      </c>
      <c r="K170" s="171">
        <v>0</v>
      </c>
      <c r="L170" s="171">
        <v>0</v>
      </c>
      <c r="M170" s="171">
        <v>0</v>
      </c>
      <c r="N170" s="171">
        <v>0</v>
      </c>
      <c r="P170" s="173">
        <f t="shared" si="2"/>
        <v>1087180</v>
      </c>
      <c r="V170" s="163"/>
      <c r="W170" s="163"/>
    </row>
    <row r="171" spans="1:23" s="17" customFormat="1">
      <c r="A171" s="176"/>
      <c r="B171" s="120" t="s">
        <v>446</v>
      </c>
      <c r="C171" s="177">
        <v>2025</v>
      </c>
      <c r="D171" s="80" t="s">
        <v>2325</v>
      </c>
      <c r="E171" s="8" t="s">
        <v>2521</v>
      </c>
      <c r="F171" s="1">
        <v>0</v>
      </c>
      <c r="G171" s="170"/>
      <c r="H171" s="171">
        <v>0</v>
      </c>
      <c r="I171" s="172">
        <v>0</v>
      </c>
      <c r="J171" s="171">
        <v>-1875125</v>
      </c>
      <c r="K171" s="171">
        <v>0</v>
      </c>
      <c r="L171" s="171">
        <v>0</v>
      </c>
      <c r="M171" s="171">
        <v>0</v>
      </c>
      <c r="N171" s="171">
        <v>0</v>
      </c>
      <c r="P171" s="173">
        <f t="shared" si="2"/>
        <v>1875125</v>
      </c>
      <c r="V171" s="163"/>
      <c r="W171" s="163"/>
    </row>
    <row r="172" spans="1:23" s="17" customFormat="1">
      <c r="A172" s="176"/>
      <c r="B172" s="120" t="s">
        <v>446</v>
      </c>
      <c r="C172" s="177">
        <v>2025</v>
      </c>
      <c r="D172" s="80" t="s">
        <v>1461</v>
      </c>
      <c r="E172" s="8" t="s">
        <v>2522</v>
      </c>
      <c r="F172" s="1">
        <v>0</v>
      </c>
      <c r="G172" s="170"/>
      <c r="H172" s="171">
        <v>0</v>
      </c>
      <c r="I172" s="172">
        <v>0</v>
      </c>
      <c r="J172" s="171">
        <v>-4952188</v>
      </c>
      <c r="K172" s="171">
        <v>0</v>
      </c>
      <c r="L172" s="171">
        <v>0</v>
      </c>
      <c r="M172" s="171">
        <v>0</v>
      </c>
      <c r="N172" s="171">
        <v>0</v>
      </c>
      <c r="P172" s="173">
        <f t="shared" si="2"/>
        <v>4952188</v>
      </c>
      <c r="V172" s="163"/>
      <c r="W172" s="163"/>
    </row>
    <row r="173" spans="1:23" s="17" customFormat="1">
      <c r="A173" s="176"/>
      <c r="B173" s="120" t="s">
        <v>446</v>
      </c>
      <c r="C173" s="177">
        <v>2025</v>
      </c>
      <c r="D173" s="40" t="s">
        <v>6539</v>
      </c>
      <c r="E173" s="8" t="s">
        <v>5986</v>
      </c>
      <c r="F173" s="41">
        <v>0</v>
      </c>
      <c r="G173" s="170"/>
      <c r="H173" s="171">
        <v>0</v>
      </c>
      <c r="I173" s="172">
        <v>0</v>
      </c>
      <c r="J173" s="171">
        <v>582470</v>
      </c>
      <c r="K173" s="171">
        <v>0</v>
      </c>
      <c r="L173" s="171">
        <v>0</v>
      </c>
      <c r="M173" s="171">
        <v>0</v>
      </c>
      <c r="N173" s="171">
        <v>0</v>
      </c>
      <c r="P173" s="173">
        <f t="shared" si="2"/>
        <v>-582470</v>
      </c>
      <c r="V173" s="163"/>
      <c r="W173" s="163"/>
    </row>
    <row r="174" spans="1:23" s="17" customFormat="1">
      <c r="A174" s="176"/>
      <c r="B174" s="120" t="s">
        <v>446</v>
      </c>
      <c r="C174" s="177">
        <v>2025</v>
      </c>
      <c r="D174" s="80" t="s">
        <v>2323</v>
      </c>
      <c r="E174" s="8" t="s">
        <v>2534</v>
      </c>
      <c r="F174" s="1">
        <v>0</v>
      </c>
      <c r="G174" s="170"/>
      <c r="H174" s="171">
        <v>0</v>
      </c>
      <c r="I174" s="172">
        <v>0</v>
      </c>
      <c r="J174" s="171">
        <v>-7600000</v>
      </c>
      <c r="K174" s="171">
        <v>0</v>
      </c>
      <c r="L174" s="171">
        <v>0</v>
      </c>
      <c r="M174" s="171">
        <v>0</v>
      </c>
      <c r="N174" s="171">
        <v>0</v>
      </c>
      <c r="P174" s="173">
        <f t="shared" si="2"/>
        <v>7600000</v>
      </c>
      <c r="V174" s="163"/>
      <c r="W174" s="163"/>
    </row>
    <row r="175" spans="1:23" s="17" customFormat="1">
      <c r="A175" s="176"/>
      <c r="B175" s="120" t="s">
        <v>446</v>
      </c>
      <c r="C175" s="177">
        <v>2025</v>
      </c>
      <c r="D175" s="80" t="s">
        <v>1461</v>
      </c>
      <c r="E175" s="8" t="s">
        <v>2557</v>
      </c>
      <c r="F175" s="1">
        <v>0</v>
      </c>
      <c r="G175" s="170"/>
      <c r="H175" s="171">
        <v>0</v>
      </c>
      <c r="I175" s="172">
        <v>0</v>
      </c>
      <c r="J175" s="171">
        <v>-7308700</v>
      </c>
      <c r="K175" s="171">
        <v>0</v>
      </c>
      <c r="L175" s="171">
        <v>0</v>
      </c>
      <c r="M175" s="171">
        <v>0</v>
      </c>
      <c r="N175" s="171">
        <v>0</v>
      </c>
      <c r="P175" s="173">
        <f t="shared" si="2"/>
        <v>7308700</v>
      </c>
      <c r="V175" s="163"/>
      <c r="W175" s="163"/>
    </row>
    <row r="176" spans="1:23" s="17" customFormat="1">
      <c r="A176" s="176"/>
      <c r="B176" s="120" t="s">
        <v>446</v>
      </c>
      <c r="C176" s="177">
        <v>2025</v>
      </c>
      <c r="D176" s="80" t="s">
        <v>1461</v>
      </c>
      <c r="E176" s="8" t="s">
        <v>2558</v>
      </c>
      <c r="F176" s="1">
        <v>0</v>
      </c>
      <c r="G176" s="170"/>
      <c r="H176" s="171">
        <v>0</v>
      </c>
      <c r="I176" s="172">
        <v>0</v>
      </c>
      <c r="J176" s="171">
        <v>-364000</v>
      </c>
      <c r="K176" s="171">
        <v>0</v>
      </c>
      <c r="L176" s="171">
        <v>0</v>
      </c>
      <c r="M176" s="171">
        <v>0</v>
      </c>
      <c r="N176" s="171">
        <v>0</v>
      </c>
      <c r="P176" s="173">
        <f t="shared" si="2"/>
        <v>364000</v>
      </c>
      <c r="V176" s="163"/>
      <c r="W176" s="163"/>
    </row>
    <row r="177" spans="1:23" s="17" customFormat="1">
      <c r="A177" s="176"/>
      <c r="B177" s="120" t="s">
        <v>446</v>
      </c>
      <c r="C177" s="177">
        <v>2025</v>
      </c>
      <c r="D177" s="80" t="s">
        <v>2314</v>
      </c>
      <c r="E177" s="8" t="s">
        <v>2867</v>
      </c>
      <c r="F177" s="1">
        <v>0</v>
      </c>
      <c r="G177" s="170"/>
      <c r="H177" s="171">
        <v>0</v>
      </c>
      <c r="I177" s="172">
        <v>0</v>
      </c>
      <c r="J177" s="171">
        <v>-170811</v>
      </c>
      <c r="K177" s="171">
        <v>0</v>
      </c>
      <c r="L177" s="171">
        <v>0</v>
      </c>
      <c r="M177" s="171">
        <v>0</v>
      </c>
      <c r="N177" s="171">
        <v>0</v>
      </c>
      <c r="P177" s="173">
        <f t="shared" si="2"/>
        <v>170811</v>
      </c>
      <c r="V177" s="163"/>
      <c r="W177" s="163"/>
    </row>
    <row r="178" spans="1:23" s="17" customFormat="1">
      <c r="A178" s="176"/>
      <c r="B178" s="120" t="s">
        <v>446</v>
      </c>
      <c r="C178" s="177">
        <v>2025</v>
      </c>
      <c r="D178" s="80" t="s">
        <v>3475</v>
      </c>
      <c r="E178" s="80" t="s">
        <v>2877</v>
      </c>
      <c r="F178" s="1">
        <v>0</v>
      </c>
      <c r="G178" s="170"/>
      <c r="H178" s="171">
        <v>0</v>
      </c>
      <c r="I178" s="172">
        <v>0</v>
      </c>
      <c r="J178" s="171">
        <v>-7631766</v>
      </c>
      <c r="K178" s="171">
        <v>0</v>
      </c>
      <c r="L178" s="171">
        <v>0</v>
      </c>
      <c r="M178" s="171">
        <v>0</v>
      </c>
      <c r="N178" s="171">
        <v>0</v>
      </c>
      <c r="P178" s="173">
        <f t="shared" si="2"/>
        <v>7631766</v>
      </c>
      <c r="V178" s="163"/>
      <c r="W178" s="163"/>
    </row>
    <row r="179" spans="1:23" s="17" customFormat="1">
      <c r="A179" s="176"/>
      <c r="B179" s="120" t="s">
        <v>446</v>
      </c>
      <c r="C179" s="177">
        <v>2025</v>
      </c>
      <c r="D179" s="80" t="s">
        <v>3283</v>
      </c>
      <c r="E179" s="8" t="s">
        <v>2884</v>
      </c>
      <c r="F179" s="1">
        <v>0</v>
      </c>
      <c r="G179" s="170"/>
      <c r="H179" s="171">
        <v>0</v>
      </c>
      <c r="I179" s="172">
        <v>0</v>
      </c>
      <c r="J179" s="171">
        <v>-1452000</v>
      </c>
      <c r="K179" s="171">
        <v>0</v>
      </c>
      <c r="L179" s="171">
        <v>0</v>
      </c>
      <c r="M179" s="171">
        <v>0</v>
      </c>
      <c r="N179" s="171">
        <v>0</v>
      </c>
      <c r="P179" s="173">
        <f t="shared" si="2"/>
        <v>1452000</v>
      </c>
      <c r="V179" s="163"/>
      <c r="W179" s="163"/>
    </row>
    <row r="180" spans="1:23" s="17" customFormat="1">
      <c r="A180" s="176"/>
      <c r="B180" s="120" t="s">
        <v>446</v>
      </c>
      <c r="C180" s="177">
        <v>2025</v>
      </c>
      <c r="D180" s="80" t="s">
        <v>3283</v>
      </c>
      <c r="E180" s="8" t="s">
        <v>2885</v>
      </c>
      <c r="F180" s="1">
        <v>0</v>
      </c>
      <c r="G180" s="170"/>
      <c r="H180" s="171">
        <v>0</v>
      </c>
      <c r="I180" s="172">
        <v>0</v>
      </c>
      <c r="J180" s="171">
        <v>-11700000</v>
      </c>
      <c r="K180" s="171">
        <v>0</v>
      </c>
      <c r="L180" s="171">
        <v>0</v>
      </c>
      <c r="M180" s="171">
        <v>0</v>
      </c>
      <c r="N180" s="171">
        <v>0</v>
      </c>
      <c r="P180" s="173">
        <f t="shared" si="2"/>
        <v>11700000</v>
      </c>
      <c r="V180" s="163"/>
      <c r="W180" s="163"/>
    </row>
    <row r="181" spans="1:23" s="17" customFormat="1">
      <c r="A181" s="176"/>
      <c r="B181" s="120" t="s">
        <v>446</v>
      </c>
      <c r="C181" s="177">
        <v>2025</v>
      </c>
      <c r="D181" s="80" t="s">
        <v>3474</v>
      </c>
      <c r="E181" s="8" t="s">
        <v>2887</v>
      </c>
      <c r="F181" s="1">
        <v>0</v>
      </c>
      <c r="G181" s="170"/>
      <c r="H181" s="171">
        <v>0</v>
      </c>
      <c r="I181" s="172">
        <v>0</v>
      </c>
      <c r="J181" s="171">
        <v>-2904000</v>
      </c>
      <c r="K181" s="171">
        <v>0</v>
      </c>
      <c r="L181" s="171">
        <v>0</v>
      </c>
      <c r="M181" s="171">
        <v>0</v>
      </c>
      <c r="N181" s="171">
        <v>0</v>
      </c>
      <c r="P181" s="173">
        <f t="shared" si="2"/>
        <v>2904000</v>
      </c>
      <c r="V181" s="163"/>
      <c r="W181" s="163"/>
    </row>
    <row r="182" spans="1:23" s="17" customFormat="1">
      <c r="A182" s="176"/>
      <c r="B182" s="120" t="s">
        <v>446</v>
      </c>
      <c r="C182" s="177">
        <v>2025</v>
      </c>
      <c r="D182" s="80" t="s">
        <v>3283</v>
      </c>
      <c r="E182" s="8" t="s">
        <v>2895</v>
      </c>
      <c r="F182" s="1">
        <v>0</v>
      </c>
      <c r="G182" s="170"/>
      <c r="H182" s="171">
        <v>0</v>
      </c>
      <c r="I182" s="172">
        <v>0</v>
      </c>
      <c r="J182" s="171">
        <v>-5157771</v>
      </c>
      <c r="K182" s="171">
        <v>0</v>
      </c>
      <c r="L182" s="171">
        <v>0</v>
      </c>
      <c r="M182" s="171">
        <v>0</v>
      </c>
      <c r="N182" s="171">
        <v>0</v>
      </c>
      <c r="P182" s="173">
        <f t="shared" si="2"/>
        <v>5157771</v>
      </c>
      <c r="V182" s="163"/>
      <c r="W182" s="163"/>
    </row>
    <row r="183" spans="1:23" s="17" customFormat="1">
      <c r="A183" s="176"/>
      <c r="B183" s="120" t="s">
        <v>446</v>
      </c>
      <c r="C183" s="177">
        <v>2025</v>
      </c>
      <c r="D183" s="80" t="s">
        <v>3473</v>
      </c>
      <c r="E183" s="8" t="s">
        <v>2898</v>
      </c>
      <c r="F183" s="1">
        <v>0</v>
      </c>
      <c r="G183" s="170"/>
      <c r="H183" s="171">
        <v>0</v>
      </c>
      <c r="I183" s="172">
        <v>0</v>
      </c>
      <c r="J183" s="171">
        <v>-3884850</v>
      </c>
      <c r="K183" s="171">
        <v>0</v>
      </c>
      <c r="L183" s="171">
        <v>0</v>
      </c>
      <c r="M183" s="171">
        <v>0</v>
      </c>
      <c r="N183" s="171">
        <v>0</v>
      </c>
      <c r="P183" s="173">
        <f t="shared" si="2"/>
        <v>3884850</v>
      </c>
      <c r="V183" s="163"/>
      <c r="W183" s="163"/>
    </row>
    <row r="184" spans="1:23" s="17" customFormat="1">
      <c r="A184" s="176"/>
      <c r="B184" s="120" t="s">
        <v>446</v>
      </c>
      <c r="C184" s="177">
        <v>2025</v>
      </c>
      <c r="D184" s="80" t="s">
        <v>3283</v>
      </c>
      <c r="E184" s="8" t="s">
        <v>2901</v>
      </c>
      <c r="F184" s="1">
        <v>0</v>
      </c>
      <c r="G184" s="170"/>
      <c r="H184" s="171">
        <v>0</v>
      </c>
      <c r="I184" s="172">
        <v>0</v>
      </c>
      <c r="J184" s="171">
        <v>-8498830</v>
      </c>
      <c r="K184" s="171">
        <v>0</v>
      </c>
      <c r="L184" s="171">
        <v>0</v>
      </c>
      <c r="M184" s="171">
        <v>0</v>
      </c>
      <c r="N184" s="171">
        <v>0</v>
      </c>
      <c r="P184" s="173">
        <f t="shared" si="2"/>
        <v>8498830</v>
      </c>
      <c r="V184" s="163"/>
      <c r="W184" s="163"/>
    </row>
    <row r="185" spans="1:23" s="17" customFormat="1">
      <c r="A185" s="176"/>
      <c r="B185" s="120" t="s">
        <v>446</v>
      </c>
      <c r="C185" s="177">
        <v>2025</v>
      </c>
      <c r="D185" s="80" t="s">
        <v>1461</v>
      </c>
      <c r="E185" s="8" t="s">
        <v>2904</v>
      </c>
      <c r="F185" s="1">
        <v>0</v>
      </c>
      <c r="G185" s="170"/>
      <c r="H185" s="171">
        <v>0</v>
      </c>
      <c r="I185" s="172">
        <v>0</v>
      </c>
      <c r="J185" s="171">
        <v>-1900500</v>
      </c>
      <c r="K185" s="171">
        <v>0</v>
      </c>
      <c r="L185" s="171">
        <v>0</v>
      </c>
      <c r="M185" s="171">
        <v>0</v>
      </c>
      <c r="N185" s="171">
        <v>0</v>
      </c>
      <c r="P185" s="173">
        <f t="shared" si="2"/>
        <v>1900500</v>
      </c>
      <c r="V185" s="163"/>
      <c r="W185" s="163"/>
    </row>
    <row r="186" spans="1:23" s="17" customFormat="1">
      <c r="A186" s="176"/>
      <c r="B186" s="120" t="s">
        <v>446</v>
      </c>
      <c r="C186" s="177">
        <v>2025</v>
      </c>
      <c r="D186" s="80" t="s">
        <v>3283</v>
      </c>
      <c r="E186" s="8" t="s">
        <v>2907</v>
      </c>
      <c r="F186" s="1">
        <v>0</v>
      </c>
      <c r="G186" s="170"/>
      <c r="H186" s="171">
        <v>0</v>
      </c>
      <c r="I186" s="172">
        <v>0</v>
      </c>
      <c r="J186" s="171">
        <v>-8016000</v>
      </c>
      <c r="K186" s="171">
        <v>0</v>
      </c>
      <c r="L186" s="171">
        <v>0</v>
      </c>
      <c r="M186" s="171">
        <v>0</v>
      </c>
      <c r="N186" s="171">
        <v>0</v>
      </c>
      <c r="P186" s="173">
        <f t="shared" si="2"/>
        <v>8016000</v>
      </c>
      <c r="V186" s="163"/>
      <c r="W186" s="163"/>
    </row>
    <row r="187" spans="1:23" s="17" customFormat="1">
      <c r="A187" s="176"/>
      <c r="B187" s="120" t="s">
        <v>446</v>
      </c>
      <c r="C187" s="177">
        <v>2025</v>
      </c>
      <c r="D187" s="80" t="s">
        <v>3270</v>
      </c>
      <c r="E187" s="8" t="s">
        <v>2910</v>
      </c>
      <c r="F187" s="1">
        <v>0</v>
      </c>
      <c r="G187" s="170"/>
      <c r="H187" s="171">
        <v>0</v>
      </c>
      <c r="I187" s="172">
        <v>0</v>
      </c>
      <c r="J187" s="171">
        <v>-16802989</v>
      </c>
      <c r="K187" s="171">
        <v>0</v>
      </c>
      <c r="L187" s="171">
        <v>0</v>
      </c>
      <c r="M187" s="171">
        <v>0</v>
      </c>
      <c r="N187" s="171">
        <v>0</v>
      </c>
      <c r="P187" s="173">
        <f t="shared" si="2"/>
        <v>16802989</v>
      </c>
      <c r="V187" s="163"/>
      <c r="W187" s="163"/>
    </row>
    <row r="188" spans="1:23" s="17" customFormat="1">
      <c r="A188" s="176"/>
      <c r="B188" s="120" t="s">
        <v>446</v>
      </c>
      <c r="C188" s="177">
        <v>2025</v>
      </c>
      <c r="D188" s="80" t="s">
        <v>3270</v>
      </c>
      <c r="E188" s="8" t="s">
        <v>2914</v>
      </c>
      <c r="F188" s="1">
        <v>0</v>
      </c>
      <c r="G188" s="170"/>
      <c r="H188" s="171">
        <v>0</v>
      </c>
      <c r="I188" s="172">
        <v>0</v>
      </c>
      <c r="J188" s="171">
        <v>-22851673</v>
      </c>
      <c r="K188" s="171">
        <v>0</v>
      </c>
      <c r="L188" s="171">
        <v>0</v>
      </c>
      <c r="M188" s="171">
        <v>0</v>
      </c>
      <c r="N188" s="171">
        <v>0</v>
      </c>
      <c r="P188" s="173">
        <f t="shared" si="2"/>
        <v>22851673</v>
      </c>
      <c r="V188" s="163"/>
      <c r="W188" s="163"/>
    </row>
    <row r="189" spans="1:23" s="17" customFormat="1">
      <c r="A189" s="176"/>
      <c r="B189" s="120" t="s">
        <v>446</v>
      </c>
      <c r="C189" s="177">
        <v>2025</v>
      </c>
      <c r="D189" s="80" t="s">
        <v>3474</v>
      </c>
      <c r="E189" s="8" t="s">
        <v>2915</v>
      </c>
      <c r="F189" s="1">
        <v>0</v>
      </c>
      <c r="G189" s="170"/>
      <c r="H189" s="171">
        <v>0</v>
      </c>
      <c r="I189" s="172">
        <v>0</v>
      </c>
      <c r="J189" s="171">
        <v>-3199550</v>
      </c>
      <c r="K189" s="171">
        <v>0</v>
      </c>
      <c r="L189" s="171">
        <v>0</v>
      </c>
      <c r="M189" s="171">
        <v>0</v>
      </c>
      <c r="N189" s="171">
        <v>0</v>
      </c>
      <c r="P189" s="173">
        <f t="shared" si="2"/>
        <v>3199550</v>
      </c>
      <c r="V189" s="163"/>
      <c r="W189" s="163"/>
    </row>
    <row r="190" spans="1:23" s="17" customFormat="1">
      <c r="A190" s="176"/>
      <c r="B190" s="120" t="s">
        <v>446</v>
      </c>
      <c r="C190" s="177">
        <v>2025</v>
      </c>
      <c r="D190" s="80" t="s">
        <v>3283</v>
      </c>
      <c r="E190" s="8" t="s">
        <v>2916</v>
      </c>
      <c r="F190" s="1">
        <v>0</v>
      </c>
      <c r="G190" s="170"/>
      <c r="H190" s="171">
        <v>0</v>
      </c>
      <c r="I190" s="172">
        <v>0</v>
      </c>
      <c r="J190" s="171">
        <v>-7519700</v>
      </c>
      <c r="K190" s="171">
        <v>0</v>
      </c>
      <c r="L190" s="171">
        <v>0</v>
      </c>
      <c r="M190" s="171">
        <v>0</v>
      </c>
      <c r="N190" s="171">
        <v>0</v>
      </c>
      <c r="P190" s="173">
        <f t="shared" si="2"/>
        <v>7519700</v>
      </c>
      <c r="V190" s="163"/>
      <c r="W190" s="163"/>
    </row>
    <row r="191" spans="1:23" s="17" customFormat="1">
      <c r="A191" s="176"/>
      <c r="B191" s="120" t="s">
        <v>446</v>
      </c>
      <c r="C191" s="177">
        <v>2025</v>
      </c>
      <c r="D191" s="80" t="s">
        <v>3473</v>
      </c>
      <c r="E191" s="8" t="s">
        <v>2920</v>
      </c>
      <c r="F191" s="1">
        <v>0</v>
      </c>
      <c r="G191" s="170"/>
      <c r="H191" s="171">
        <v>0</v>
      </c>
      <c r="I191" s="172">
        <v>0</v>
      </c>
      <c r="J191" s="171">
        <v>-510000</v>
      </c>
      <c r="K191" s="171">
        <v>0</v>
      </c>
      <c r="L191" s="171">
        <v>0</v>
      </c>
      <c r="M191" s="171">
        <v>0</v>
      </c>
      <c r="N191" s="171">
        <v>0</v>
      </c>
      <c r="P191" s="173">
        <f t="shared" si="2"/>
        <v>510000</v>
      </c>
      <c r="V191" s="163"/>
      <c r="W191" s="163"/>
    </row>
    <row r="192" spans="1:23" s="17" customFormat="1">
      <c r="A192" s="176"/>
      <c r="B192" s="120" t="s">
        <v>446</v>
      </c>
      <c r="C192" s="177">
        <v>2025</v>
      </c>
      <c r="D192" s="80" t="s">
        <v>3474</v>
      </c>
      <c r="E192" s="8" t="s">
        <v>2921</v>
      </c>
      <c r="F192" s="1">
        <v>0</v>
      </c>
      <c r="G192" s="170"/>
      <c r="H192" s="171">
        <v>0</v>
      </c>
      <c r="I192" s="172">
        <v>0</v>
      </c>
      <c r="J192" s="171">
        <v>-3198350</v>
      </c>
      <c r="K192" s="171">
        <v>0</v>
      </c>
      <c r="L192" s="171">
        <v>0</v>
      </c>
      <c r="M192" s="171">
        <v>0</v>
      </c>
      <c r="N192" s="171">
        <v>0</v>
      </c>
      <c r="P192" s="173">
        <f t="shared" si="2"/>
        <v>3198350</v>
      </c>
      <c r="V192" s="163"/>
      <c r="W192" s="163"/>
    </row>
    <row r="193" spans="1:23" s="17" customFormat="1">
      <c r="A193" s="176"/>
      <c r="B193" s="120" t="s">
        <v>446</v>
      </c>
      <c r="C193" s="177">
        <v>2025</v>
      </c>
      <c r="D193" s="80" t="s">
        <v>3475</v>
      </c>
      <c r="E193" t="s">
        <v>2922</v>
      </c>
      <c r="F193" s="1">
        <v>0</v>
      </c>
      <c r="G193" s="170"/>
      <c r="H193" s="171">
        <v>0</v>
      </c>
      <c r="I193" s="172">
        <v>0</v>
      </c>
      <c r="J193" s="171">
        <v>-4838322</v>
      </c>
      <c r="K193" s="171">
        <v>0</v>
      </c>
      <c r="L193" s="171">
        <v>0</v>
      </c>
      <c r="M193" s="171">
        <v>0</v>
      </c>
      <c r="N193" s="171">
        <v>0</v>
      </c>
      <c r="P193" s="173">
        <f t="shared" si="2"/>
        <v>4838322</v>
      </c>
      <c r="V193" s="163"/>
      <c r="W193" s="163"/>
    </row>
    <row r="194" spans="1:23" s="17" customFormat="1">
      <c r="A194" s="176"/>
      <c r="B194" s="120" t="s">
        <v>446</v>
      </c>
      <c r="C194" s="177">
        <v>2025</v>
      </c>
      <c r="D194" s="80" t="s">
        <v>3471</v>
      </c>
      <c r="E194" t="s">
        <v>2926</v>
      </c>
      <c r="F194" s="1">
        <v>0</v>
      </c>
      <c r="G194" s="170"/>
      <c r="H194" s="171">
        <v>0</v>
      </c>
      <c r="I194" s="172">
        <v>0</v>
      </c>
      <c r="J194" s="171">
        <v>-3600000</v>
      </c>
      <c r="K194" s="171">
        <v>0</v>
      </c>
      <c r="L194" s="171">
        <v>0</v>
      </c>
      <c r="M194" s="171">
        <v>0</v>
      </c>
      <c r="N194" s="171">
        <v>0</v>
      </c>
      <c r="P194" s="173">
        <f t="shared" si="2"/>
        <v>3600000</v>
      </c>
      <c r="V194" s="163"/>
      <c r="W194" s="163"/>
    </row>
    <row r="195" spans="1:23" s="17" customFormat="1">
      <c r="A195" s="176"/>
      <c r="B195" s="120" t="s">
        <v>446</v>
      </c>
      <c r="C195" s="177">
        <v>2025</v>
      </c>
      <c r="D195" s="80" t="s">
        <v>3283</v>
      </c>
      <c r="E195" s="8" t="s">
        <v>2937</v>
      </c>
      <c r="F195" s="1">
        <v>0</v>
      </c>
      <c r="G195" s="170"/>
      <c r="H195" s="171">
        <v>0</v>
      </c>
      <c r="I195" s="172">
        <v>0</v>
      </c>
      <c r="J195" s="171">
        <v>-1708600</v>
      </c>
      <c r="K195" s="171">
        <v>0</v>
      </c>
      <c r="L195" s="171">
        <v>0</v>
      </c>
      <c r="M195" s="171">
        <v>0</v>
      </c>
      <c r="N195" s="171">
        <v>0</v>
      </c>
      <c r="P195" s="173">
        <f t="shared" si="2"/>
        <v>1708600</v>
      </c>
      <c r="V195" s="163"/>
      <c r="W195" s="163"/>
    </row>
    <row r="196" spans="1:23" s="17" customFormat="1">
      <c r="A196" s="176"/>
      <c r="B196" s="120" t="s">
        <v>446</v>
      </c>
      <c r="C196" s="177">
        <v>2025</v>
      </c>
      <c r="D196" s="80" t="s">
        <v>2314</v>
      </c>
      <c r="E196" s="8" t="s">
        <v>2940</v>
      </c>
      <c r="F196" s="1">
        <v>0</v>
      </c>
      <c r="G196" s="170"/>
      <c r="H196" s="171">
        <v>0</v>
      </c>
      <c r="I196" s="172">
        <v>0</v>
      </c>
      <c r="J196" s="171">
        <v>-3705170</v>
      </c>
      <c r="K196" s="171">
        <v>0</v>
      </c>
      <c r="L196" s="171">
        <v>0</v>
      </c>
      <c r="M196" s="171">
        <v>0</v>
      </c>
      <c r="N196" s="171">
        <v>0</v>
      </c>
      <c r="P196" s="173">
        <f t="shared" si="2"/>
        <v>3705170</v>
      </c>
      <c r="V196" s="163"/>
      <c r="W196" s="163"/>
    </row>
    <row r="197" spans="1:23" s="17" customFormat="1">
      <c r="A197" s="176"/>
      <c r="B197" s="120" t="s">
        <v>446</v>
      </c>
      <c r="C197" s="177">
        <v>2025</v>
      </c>
      <c r="D197" s="80" t="s">
        <v>3474</v>
      </c>
      <c r="E197" s="8" t="s">
        <v>2941</v>
      </c>
      <c r="F197" s="1">
        <v>0</v>
      </c>
      <c r="G197" s="170"/>
      <c r="H197" s="171">
        <v>0</v>
      </c>
      <c r="I197" s="172">
        <v>0</v>
      </c>
      <c r="J197" s="171">
        <v>-5916650</v>
      </c>
      <c r="K197" s="171">
        <v>0</v>
      </c>
      <c r="L197" s="171">
        <v>0</v>
      </c>
      <c r="M197" s="171">
        <v>0</v>
      </c>
      <c r="N197" s="171">
        <v>0</v>
      </c>
      <c r="P197" s="173">
        <f t="shared" ref="P197:P260" si="3">F197-H197-I197-J197-K197-L197-M197</f>
        <v>5916650</v>
      </c>
      <c r="V197" s="163"/>
      <c r="W197" s="163"/>
    </row>
    <row r="198" spans="1:23" s="17" customFormat="1">
      <c r="A198" s="176"/>
      <c r="B198" s="120" t="s">
        <v>446</v>
      </c>
      <c r="C198" s="177">
        <v>2025</v>
      </c>
      <c r="D198" s="80" t="s">
        <v>3474</v>
      </c>
      <c r="E198" s="8" t="s">
        <v>2942</v>
      </c>
      <c r="F198" s="1">
        <v>0</v>
      </c>
      <c r="G198" s="170"/>
      <c r="H198" s="171">
        <v>0</v>
      </c>
      <c r="I198" s="172">
        <v>0</v>
      </c>
      <c r="J198" s="171">
        <v>-3168270</v>
      </c>
      <c r="K198" s="171">
        <v>0</v>
      </c>
      <c r="L198" s="171">
        <v>0</v>
      </c>
      <c r="M198" s="171">
        <v>0</v>
      </c>
      <c r="N198" s="171">
        <v>0</v>
      </c>
      <c r="P198" s="173">
        <f t="shared" si="3"/>
        <v>3168270</v>
      </c>
      <c r="V198" s="163"/>
      <c r="W198" s="163"/>
    </row>
    <row r="199" spans="1:23" s="17" customFormat="1">
      <c r="A199" s="176"/>
      <c r="B199" s="120" t="s">
        <v>446</v>
      </c>
      <c r="C199" s="177">
        <v>2025</v>
      </c>
      <c r="D199" s="80" t="s">
        <v>3471</v>
      </c>
      <c r="E199" s="8" t="s">
        <v>3536</v>
      </c>
      <c r="F199" s="1">
        <v>0</v>
      </c>
      <c r="G199" s="170"/>
      <c r="H199" s="171">
        <v>0</v>
      </c>
      <c r="I199" s="172">
        <v>0</v>
      </c>
      <c r="J199" s="171">
        <v>-9002474</v>
      </c>
      <c r="K199" s="171">
        <v>0</v>
      </c>
      <c r="L199" s="171">
        <v>0</v>
      </c>
      <c r="M199" s="171">
        <v>0</v>
      </c>
      <c r="N199" s="171">
        <v>0</v>
      </c>
      <c r="P199" s="173">
        <f t="shared" si="3"/>
        <v>9002474</v>
      </c>
      <c r="V199" s="163"/>
      <c r="W199" s="163"/>
    </row>
    <row r="200" spans="1:23" s="17" customFormat="1">
      <c r="A200" s="176"/>
      <c r="B200" s="120" t="s">
        <v>446</v>
      </c>
      <c r="C200" s="177">
        <v>2025</v>
      </c>
      <c r="D200" s="80" t="s">
        <v>3283</v>
      </c>
      <c r="E200" s="8" t="s">
        <v>3540</v>
      </c>
      <c r="F200" s="1">
        <v>0</v>
      </c>
      <c r="G200" s="170"/>
      <c r="H200" s="171">
        <v>0</v>
      </c>
      <c r="I200" s="172">
        <v>0</v>
      </c>
      <c r="J200" s="171">
        <v>-3522000</v>
      </c>
      <c r="K200" s="171">
        <v>0</v>
      </c>
      <c r="L200" s="171">
        <v>0</v>
      </c>
      <c r="M200" s="171">
        <v>0</v>
      </c>
      <c r="N200" s="171">
        <v>0</v>
      </c>
      <c r="P200" s="173">
        <f t="shared" si="3"/>
        <v>3522000</v>
      </c>
      <c r="V200" s="163"/>
      <c r="W200" s="163"/>
    </row>
    <row r="201" spans="1:23" s="17" customFormat="1">
      <c r="A201" s="176"/>
      <c r="B201" s="120" t="s">
        <v>446</v>
      </c>
      <c r="C201" s="177">
        <v>2025</v>
      </c>
      <c r="D201" s="80" t="s">
        <v>3283</v>
      </c>
      <c r="E201" s="8" t="s">
        <v>3542</v>
      </c>
      <c r="F201" s="1">
        <v>0</v>
      </c>
      <c r="G201" s="170"/>
      <c r="H201" s="171">
        <v>0</v>
      </c>
      <c r="I201" s="172">
        <v>0</v>
      </c>
      <c r="J201" s="171">
        <v>-2867945</v>
      </c>
      <c r="K201" s="171">
        <v>0</v>
      </c>
      <c r="L201" s="171">
        <v>0</v>
      </c>
      <c r="M201" s="171">
        <v>0</v>
      </c>
      <c r="N201" s="171">
        <v>0</v>
      </c>
      <c r="P201" s="173">
        <f t="shared" si="3"/>
        <v>2867945</v>
      </c>
      <c r="V201" s="163"/>
      <c r="W201" s="163"/>
    </row>
    <row r="202" spans="1:23" s="17" customFormat="1">
      <c r="A202" s="176"/>
      <c r="B202" s="120" t="s">
        <v>446</v>
      </c>
      <c r="C202" s="177">
        <v>2025</v>
      </c>
      <c r="D202" s="80" t="s">
        <v>3471</v>
      </c>
      <c r="E202" s="8" t="s">
        <v>3544</v>
      </c>
      <c r="F202" s="1">
        <v>0</v>
      </c>
      <c r="G202" s="170"/>
      <c r="H202" s="171">
        <v>0</v>
      </c>
      <c r="I202" s="172">
        <v>0</v>
      </c>
      <c r="J202" s="171">
        <v>-3560294</v>
      </c>
      <c r="K202" s="171">
        <v>0</v>
      </c>
      <c r="L202" s="171">
        <v>0</v>
      </c>
      <c r="M202" s="171">
        <v>0</v>
      </c>
      <c r="N202" s="171">
        <v>0</v>
      </c>
      <c r="P202" s="173">
        <f t="shared" si="3"/>
        <v>3560294</v>
      </c>
      <c r="V202" s="163"/>
      <c r="W202" s="163"/>
    </row>
    <row r="203" spans="1:23" s="17" customFormat="1">
      <c r="A203" s="176"/>
      <c r="B203" s="120" t="s">
        <v>446</v>
      </c>
      <c r="C203" s="177">
        <v>2025</v>
      </c>
      <c r="D203" s="80" t="s">
        <v>3470</v>
      </c>
      <c r="E203" s="8" t="s">
        <v>3546</v>
      </c>
      <c r="F203" s="1">
        <v>0</v>
      </c>
      <c r="G203" s="170"/>
      <c r="H203" s="171">
        <v>0</v>
      </c>
      <c r="I203" s="172">
        <v>0</v>
      </c>
      <c r="J203" s="171">
        <v>-6500000</v>
      </c>
      <c r="K203" s="171">
        <v>0</v>
      </c>
      <c r="L203" s="171">
        <v>0</v>
      </c>
      <c r="M203" s="171">
        <v>0</v>
      </c>
      <c r="N203" s="171">
        <v>0</v>
      </c>
      <c r="P203" s="173">
        <f t="shared" si="3"/>
        <v>6500000</v>
      </c>
      <c r="V203" s="163"/>
      <c r="W203" s="163"/>
    </row>
    <row r="204" spans="1:23" s="17" customFormat="1">
      <c r="A204" s="176"/>
      <c r="B204" s="120" t="s">
        <v>446</v>
      </c>
      <c r="C204" s="177">
        <v>2025</v>
      </c>
      <c r="D204" s="80" t="s">
        <v>3283</v>
      </c>
      <c r="E204" s="8" t="s">
        <v>3548</v>
      </c>
      <c r="F204" s="1">
        <v>0</v>
      </c>
      <c r="G204" s="170"/>
      <c r="H204" s="171">
        <v>0</v>
      </c>
      <c r="I204" s="172">
        <v>0</v>
      </c>
      <c r="J204" s="171">
        <v>-6002690</v>
      </c>
      <c r="K204" s="171">
        <v>0</v>
      </c>
      <c r="L204" s="171">
        <v>0</v>
      </c>
      <c r="M204" s="171">
        <v>0</v>
      </c>
      <c r="N204" s="171">
        <v>0</v>
      </c>
      <c r="P204" s="173">
        <f t="shared" si="3"/>
        <v>6002690</v>
      </c>
      <c r="V204" s="163"/>
      <c r="W204" s="163"/>
    </row>
    <row r="205" spans="1:23" s="17" customFormat="1">
      <c r="A205" s="176"/>
      <c r="B205" s="120" t="s">
        <v>446</v>
      </c>
      <c r="C205" s="177">
        <v>2025</v>
      </c>
      <c r="D205" s="80" t="s">
        <v>3474</v>
      </c>
      <c r="E205" s="8" t="s">
        <v>3550</v>
      </c>
      <c r="F205" s="1">
        <v>0</v>
      </c>
      <c r="G205" s="170"/>
      <c r="H205" s="171">
        <v>0</v>
      </c>
      <c r="I205" s="172">
        <v>0</v>
      </c>
      <c r="J205" s="171">
        <v>-3980157</v>
      </c>
      <c r="K205" s="171">
        <v>0</v>
      </c>
      <c r="L205" s="171">
        <v>0</v>
      </c>
      <c r="M205" s="171">
        <v>0</v>
      </c>
      <c r="N205" s="171">
        <v>0</v>
      </c>
      <c r="P205" s="173">
        <f t="shared" si="3"/>
        <v>3980157</v>
      </c>
      <c r="V205" s="163"/>
      <c r="W205" s="163"/>
    </row>
    <row r="206" spans="1:23" s="17" customFormat="1">
      <c r="A206" s="176"/>
      <c r="B206" s="120" t="s">
        <v>446</v>
      </c>
      <c r="C206" s="177">
        <v>2025</v>
      </c>
      <c r="D206" s="80" t="s">
        <v>3470</v>
      </c>
      <c r="E206" s="8" t="s">
        <v>3551</v>
      </c>
      <c r="F206" s="1">
        <v>0</v>
      </c>
      <c r="G206" s="170"/>
      <c r="H206" s="171">
        <v>0</v>
      </c>
      <c r="I206" s="172">
        <v>0</v>
      </c>
      <c r="J206" s="171">
        <v>-6997284</v>
      </c>
      <c r="K206" s="171">
        <v>0</v>
      </c>
      <c r="L206" s="171">
        <v>0</v>
      </c>
      <c r="M206" s="171">
        <v>0</v>
      </c>
      <c r="N206" s="171">
        <v>0</v>
      </c>
      <c r="P206" s="173">
        <f t="shared" si="3"/>
        <v>6997284</v>
      </c>
      <c r="V206" s="163"/>
      <c r="W206" s="163"/>
    </row>
    <row r="207" spans="1:23" s="17" customFormat="1">
      <c r="A207" s="176"/>
      <c r="B207" s="120" t="s">
        <v>446</v>
      </c>
      <c r="C207" s="177">
        <v>2025</v>
      </c>
      <c r="D207" s="80" t="s">
        <v>3283</v>
      </c>
      <c r="E207" s="8" t="s">
        <v>3552</v>
      </c>
      <c r="F207" s="1">
        <v>0</v>
      </c>
      <c r="G207" s="170"/>
      <c r="H207" s="171">
        <v>0</v>
      </c>
      <c r="I207" s="172">
        <v>0</v>
      </c>
      <c r="J207" s="171">
        <v>-12938555</v>
      </c>
      <c r="K207" s="171">
        <v>0</v>
      </c>
      <c r="L207" s="171">
        <v>0</v>
      </c>
      <c r="M207" s="171">
        <v>0</v>
      </c>
      <c r="N207" s="171">
        <v>0</v>
      </c>
      <c r="P207" s="173">
        <f t="shared" si="3"/>
        <v>12938555</v>
      </c>
      <c r="V207" s="163"/>
      <c r="W207" s="163"/>
    </row>
    <row r="208" spans="1:23" s="17" customFormat="1">
      <c r="A208" s="176"/>
      <c r="B208" s="120" t="s">
        <v>446</v>
      </c>
      <c r="C208" s="177">
        <v>2025</v>
      </c>
      <c r="D208" s="80" t="s">
        <v>3283</v>
      </c>
      <c r="E208" s="8" t="s">
        <v>3553</v>
      </c>
      <c r="F208" s="1">
        <v>0</v>
      </c>
      <c r="G208" s="170"/>
      <c r="H208" s="171">
        <v>0</v>
      </c>
      <c r="I208" s="172">
        <v>0</v>
      </c>
      <c r="J208" s="171">
        <v>-2219105</v>
      </c>
      <c r="K208" s="171">
        <v>0</v>
      </c>
      <c r="L208" s="171">
        <v>0</v>
      </c>
      <c r="M208" s="171">
        <v>0</v>
      </c>
      <c r="N208" s="171">
        <v>0</v>
      </c>
      <c r="P208" s="173">
        <f t="shared" si="3"/>
        <v>2219105</v>
      </c>
      <c r="V208" s="163"/>
      <c r="W208" s="163"/>
    </row>
    <row r="209" spans="1:23" s="17" customFormat="1">
      <c r="A209" s="176"/>
      <c r="B209" s="120" t="s">
        <v>446</v>
      </c>
      <c r="C209" s="177">
        <v>2025</v>
      </c>
      <c r="D209" s="80" t="s">
        <v>3472</v>
      </c>
      <c r="E209" s="8" t="s">
        <v>3556</v>
      </c>
      <c r="F209" s="1">
        <v>0</v>
      </c>
      <c r="G209" s="170"/>
      <c r="H209" s="171">
        <v>0</v>
      </c>
      <c r="I209" s="172">
        <v>0</v>
      </c>
      <c r="J209" s="171">
        <v>-31956085</v>
      </c>
      <c r="K209" s="171">
        <v>0</v>
      </c>
      <c r="L209" s="171">
        <v>0</v>
      </c>
      <c r="M209" s="171">
        <v>0</v>
      </c>
      <c r="N209" s="171">
        <v>0</v>
      </c>
      <c r="P209" s="173">
        <f t="shared" si="3"/>
        <v>31956085</v>
      </c>
      <c r="V209" s="163"/>
      <c r="W209" s="163"/>
    </row>
    <row r="210" spans="1:23" s="17" customFormat="1">
      <c r="A210" s="176"/>
      <c r="B210" s="120" t="s">
        <v>446</v>
      </c>
      <c r="C210" s="177">
        <v>2025</v>
      </c>
      <c r="D210" s="80" t="s">
        <v>3283</v>
      </c>
      <c r="E210" s="8" t="s">
        <v>3562</v>
      </c>
      <c r="F210" s="1">
        <v>0</v>
      </c>
      <c r="G210" s="170"/>
      <c r="H210" s="171">
        <v>0</v>
      </c>
      <c r="I210" s="172">
        <v>0</v>
      </c>
      <c r="J210" s="171">
        <v>-7599633</v>
      </c>
      <c r="K210" s="171">
        <v>0</v>
      </c>
      <c r="L210" s="171">
        <v>0</v>
      </c>
      <c r="M210" s="171">
        <v>0</v>
      </c>
      <c r="N210" s="171">
        <v>0</v>
      </c>
      <c r="P210" s="173">
        <f t="shared" si="3"/>
        <v>7599633</v>
      </c>
      <c r="V210" s="163"/>
      <c r="W210" s="163"/>
    </row>
    <row r="211" spans="1:23" s="17" customFormat="1">
      <c r="A211" s="176"/>
      <c r="B211" s="120" t="s">
        <v>446</v>
      </c>
      <c r="C211" s="177">
        <v>2025</v>
      </c>
      <c r="D211" s="80" t="s">
        <v>3470</v>
      </c>
      <c r="E211" s="8" t="s">
        <v>3563</v>
      </c>
      <c r="F211" s="1">
        <v>0</v>
      </c>
      <c r="G211" s="170"/>
      <c r="H211" s="171">
        <v>0</v>
      </c>
      <c r="I211" s="172">
        <v>0</v>
      </c>
      <c r="J211" s="171">
        <v>-98919120</v>
      </c>
      <c r="K211" s="171">
        <v>0</v>
      </c>
      <c r="L211" s="171">
        <v>0</v>
      </c>
      <c r="M211" s="171">
        <v>0</v>
      </c>
      <c r="N211" s="171">
        <v>0</v>
      </c>
      <c r="P211" s="173">
        <f t="shared" si="3"/>
        <v>98919120</v>
      </c>
      <c r="V211" s="163"/>
      <c r="W211" s="163"/>
    </row>
    <row r="212" spans="1:23" s="17" customFormat="1">
      <c r="A212" s="176"/>
      <c r="B212" s="120" t="s">
        <v>446</v>
      </c>
      <c r="C212" s="177">
        <v>2025</v>
      </c>
      <c r="D212" s="80" t="s">
        <v>3270</v>
      </c>
      <c r="E212" s="8" t="s">
        <v>3565</v>
      </c>
      <c r="F212" s="1">
        <v>0</v>
      </c>
      <c r="G212" s="170"/>
      <c r="H212" s="171">
        <v>0</v>
      </c>
      <c r="I212" s="172">
        <v>0</v>
      </c>
      <c r="J212" s="171">
        <v>-3888028</v>
      </c>
      <c r="K212" s="171">
        <v>0</v>
      </c>
      <c r="L212" s="171">
        <v>0</v>
      </c>
      <c r="M212" s="171">
        <v>0</v>
      </c>
      <c r="N212" s="171">
        <v>0</v>
      </c>
      <c r="P212" s="173">
        <f t="shared" si="3"/>
        <v>3888028</v>
      </c>
      <c r="V212" s="163"/>
      <c r="W212" s="163"/>
    </row>
    <row r="213" spans="1:23" s="17" customFormat="1">
      <c r="A213" s="176"/>
      <c r="B213" s="120" t="s">
        <v>446</v>
      </c>
      <c r="C213" s="177">
        <v>2025</v>
      </c>
      <c r="D213" s="80" t="s">
        <v>4086</v>
      </c>
      <c r="E213" s="8" t="s">
        <v>3566</v>
      </c>
      <c r="F213" s="1">
        <v>0</v>
      </c>
      <c r="G213" s="170"/>
      <c r="H213" s="171">
        <v>0</v>
      </c>
      <c r="I213" s="172">
        <v>0</v>
      </c>
      <c r="J213" s="171">
        <v>-36299860</v>
      </c>
      <c r="K213" s="171">
        <v>0</v>
      </c>
      <c r="L213" s="171">
        <v>0</v>
      </c>
      <c r="M213" s="171">
        <v>0</v>
      </c>
      <c r="N213" s="171">
        <v>0</v>
      </c>
      <c r="P213" s="173">
        <f t="shared" si="3"/>
        <v>36299860</v>
      </c>
      <c r="V213" s="163"/>
      <c r="W213" s="163"/>
    </row>
    <row r="214" spans="1:23" s="17" customFormat="1">
      <c r="A214" s="176"/>
      <c r="B214" s="120" t="s">
        <v>446</v>
      </c>
      <c r="C214" s="177">
        <v>2025</v>
      </c>
      <c r="D214" s="80" t="s">
        <v>3283</v>
      </c>
      <c r="E214" s="8" t="s">
        <v>3568</v>
      </c>
      <c r="F214" s="1">
        <v>0</v>
      </c>
      <c r="G214" s="170"/>
      <c r="H214" s="171">
        <v>0</v>
      </c>
      <c r="I214" s="172">
        <v>0</v>
      </c>
      <c r="J214" s="171">
        <v>-1630000</v>
      </c>
      <c r="K214" s="171">
        <v>0</v>
      </c>
      <c r="L214" s="171">
        <v>0</v>
      </c>
      <c r="M214" s="171">
        <v>0</v>
      </c>
      <c r="N214" s="171">
        <v>0</v>
      </c>
      <c r="P214" s="173">
        <f t="shared" si="3"/>
        <v>1630000</v>
      </c>
      <c r="V214" s="163"/>
      <c r="W214" s="163"/>
    </row>
    <row r="215" spans="1:23" s="17" customFormat="1">
      <c r="A215" s="176"/>
      <c r="B215" s="120" t="s">
        <v>446</v>
      </c>
      <c r="C215" s="177">
        <v>2025</v>
      </c>
      <c r="D215" s="80" t="s">
        <v>4087</v>
      </c>
      <c r="E215" s="8" t="s">
        <v>3571</v>
      </c>
      <c r="F215" s="1">
        <v>0</v>
      </c>
      <c r="G215" s="170"/>
      <c r="H215" s="171">
        <v>0</v>
      </c>
      <c r="I215" s="172">
        <v>0</v>
      </c>
      <c r="J215" s="171">
        <v>-5808118</v>
      </c>
      <c r="K215" s="171">
        <v>0</v>
      </c>
      <c r="L215" s="171">
        <v>0</v>
      </c>
      <c r="M215" s="171">
        <v>0</v>
      </c>
      <c r="N215" s="171">
        <v>0</v>
      </c>
      <c r="P215" s="173">
        <f t="shared" si="3"/>
        <v>5808118</v>
      </c>
      <c r="V215" s="163"/>
      <c r="W215" s="163"/>
    </row>
    <row r="216" spans="1:23" s="17" customFormat="1">
      <c r="A216" s="176"/>
      <c r="B216" s="120" t="s">
        <v>446</v>
      </c>
      <c r="C216" s="177">
        <v>2025</v>
      </c>
      <c r="D216" s="80" t="s">
        <v>4084</v>
      </c>
      <c r="E216" s="8" t="s">
        <v>3577</v>
      </c>
      <c r="F216" s="1">
        <v>0</v>
      </c>
      <c r="G216" s="170"/>
      <c r="H216" s="171">
        <v>0</v>
      </c>
      <c r="I216" s="172">
        <v>0</v>
      </c>
      <c r="J216" s="171">
        <v>-15940190</v>
      </c>
      <c r="K216" s="171">
        <v>0</v>
      </c>
      <c r="L216" s="171">
        <v>0</v>
      </c>
      <c r="M216" s="171">
        <v>0</v>
      </c>
      <c r="N216" s="171">
        <v>0</v>
      </c>
      <c r="P216" s="173">
        <f t="shared" si="3"/>
        <v>15940190</v>
      </c>
      <c r="V216" s="163"/>
      <c r="W216" s="163"/>
    </row>
    <row r="217" spans="1:23" s="17" customFormat="1">
      <c r="A217" s="176"/>
      <c r="B217" s="120" t="s">
        <v>446</v>
      </c>
      <c r="C217" s="177">
        <v>2025</v>
      </c>
      <c r="D217" s="80" t="s">
        <v>2314</v>
      </c>
      <c r="E217" s="8" t="s">
        <v>3579</v>
      </c>
      <c r="F217" s="1">
        <v>0</v>
      </c>
      <c r="G217" s="170"/>
      <c r="H217" s="171">
        <v>0</v>
      </c>
      <c r="I217" s="172">
        <v>0</v>
      </c>
      <c r="J217" s="171">
        <v>-16000000</v>
      </c>
      <c r="K217" s="171">
        <v>0</v>
      </c>
      <c r="L217" s="171">
        <v>0</v>
      </c>
      <c r="M217" s="171">
        <v>0</v>
      </c>
      <c r="N217" s="171">
        <v>0</v>
      </c>
      <c r="P217" s="173">
        <f t="shared" si="3"/>
        <v>16000000</v>
      </c>
      <c r="V217" s="163"/>
      <c r="W217" s="163"/>
    </row>
    <row r="218" spans="1:23" s="17" customFormat="1">
      <c r="A218" s="176"/>
      <c r="B218" s="120" t="s">
        <v>446</v>
      </c>
      <c r="C218" s="177">
        <v>2025</v>
      </c>
      <c r="D218" s="80" t="s">
        <v>2323</v>
      </c>
      <c r="E218" s="8" t="s">
        <v>3581</v>
      </c>
      <c r="F218" s="1">
        <v>0</v>
      </c>
      <c r="G218" s="170"/>
      <c r="H218" s="171">
        <v>0</v>
      </c>
      <c r="I218" s="172">
        <v>0</v>
      </c>
      <c r="J218" s="171">
        <v>-1421082</v>
      </c>
      <c r="K218" s="171">
        <v>0</v>
      </c>
      <c r="L218" s="171">
        <v>0</v>
      </c>
      <c r="M218" s="171">
        <v>0</v>
      </c>
      <c r="N218" s="171">
        <v>0</v>
      </c>
      <c r="P218" s="173">
        <f t="shared" si="3"/>
        <v>1421082</v>
      </c>
      <c r="V218" s="163"/>
      <c r="W218" s="163"/>
    </row>
    <row r="219" spans="1:23" s="17" customFormat="1">
      <c r="A219" s="176"/>
      <c r="B219" s="120" t="s">
        <v>446</v>
      </c>
      <c r="C219" s="177">
        <v>2025</v>
      </c>
      <c r="D219" s="80" t="s">
        <v>4092</v>
      </c>
      <c r="E219" s="8" t="s">
        <v>3583</v>
      </c>
      <c r="F219" s="1">
        <v>0</v>
      </c>
      <c r="G219" s="170"/>
      <c r="H219" s="171">
        <v>0</v>
      </c>
      <c r="I219" s="172">
        <v>0</v>
      </c>
      <c r="J219" s="171">
        <v>-50000000</v>
      </c>
      <c r="K219" s="171">
        <v>0</v>
      </c>
      <c r="L219" s="171">
        <v>0</v>
      </c>
      <c r="M219" s="171">
        <v>0</v>
      </c>
      <c r="N219" s="171">
        <v>0</v>
      </c>
      <c r="P219" s="173">
        <f t="shared" si="3"/>
        <v>50000000</v>
      </c>
      <c r="V219" s="163"/>
      <c r="W219" s="163"/>
    </row>
    <row r="220" spans="1:23" s="17" customFormat="1">
      <c r="A220" s="176"/>
      <c r="B220" s="120" t="s">
        <v>446</v>
      </c>
      <c r="C220" s="177">
        <v>2025</v>
      </c>
      <c r="D220" s="80" t="s">
        <v>4091</v>
      </c>
      <c r="E220" s="8" t="s">
        <v>3585</v>
      </c>
      <c r="F220" s="1">
        <v>0</v>
      </c>
      <c r="G220" s="170"/>
      <c r="H220" s="171">
        <v>0</v>
      </c>
      <c r="I220" s="172">
        <v>0</v>
      </c>
      <c r="J220" s="171">
        <v>-55000000</v>
      </c>
      <c r="K220" s="171">
        <v>0</v>
      </c>
      <c r="L220" s="171">
        <v>0</v>
      </c>
      <c r="M220" s="171">
        <v>0</v>
      </c>
      <c r="N220" s="171">
        <v>0</v>
      </c>
      <c r="P220" s="173">
        <f t="shared" si="3"/>
        <v>55000000</v>
      </c>
      <c r="V220" s="163"/>
      <c r="W220" s="163"/>
    </row>
    <row r="221" spans="1:23" s="17" customFormat="1">
      <c r="A221" s="176"/>
      <c r="B221" s="120" t="s">
        <v>446</v>
      </c>
      <c r="C221" s="177">
        <v>2025</v>
      </c>
      <c r="D221" s="80" t="s">
        <v>4094</v>
      </c>
      <c r="E221" s="8" t="s">
        <v>4697</v>
      </c>
      <c r="F221" s="1">
        <v>0</v>
      </c>
      <c r="G221" s="170"/>
      <c r="H221" s="171">
        <v>0</v>
      </c>
      <c r="I221" s="172">
        <v>0</v>
      </c>
      <c r="J221" s="171">
        <v>-9896540</v>
      </c>
      <c r="K221" s="171">
        <v>0</v>
      </c>
      <c r="L221" s="171">
        <v>0</v>
      </c>
      <c r="M221" s="171">
        <v>0</v>
      </c>
      <c r="N221" s="171">
        <v>0</v>
      </c>
      <c r="P221" s="173">
        <f t="shared" si="3"/>
        <v>9896540</v>
      </c>
      <c r="V221" s="163"/>
      <c r="W221" s="163"/>
    </row>
    <row r="222" spans="1:23" s="17" customFormat="1">
      <c r="A222" s="176"/>
      <c r="B222" s="120" t="s">
        <v>446</v>
      </c>
      <c r="C222" s="177">
        <v>2025</v>
      </c>
      <c r="D222" s="80" t="s">
        <v>4085</v>
      </c>
      <c r="E222" s="8" t="s">
        <v>4698</v>
      </c>
      <c r="F222" s="1">
        <v>0</v>
      </c>
      <c r="G222" s="170"/>
      <c r="H222" s="171">
        <v>0</v>
      </c>
      <c r="I222" s="172">
        <v>0</v>
      </c>
      <c r="J222" s="171">
        <v>-11000000</v>
      </c>
      <c r="K222" s="171">
        <v>0</v>
      </c>
      <c r="L222" s="171">
        <v>0</v>
      </c>
      <c r="M222" s="171">
        <v>0</v>
      </c>
      <c r="N222" s="171">
        <v>0</v>
      </c>
      <c r="P222" s="173">
        <f t="shared" si="3"/>
        <v>11000000</v>
      </c>
      <c r="V222" s="163"/>
      <c r="W222" s="163"/>
    </row>
    <row r="223" spans="1:23" s="17" customFormat="1">
      <c r="A223" s="176"/>
      <c r="B223" s="120" t="s">
        <v>446</v>
      </c>
      <c r="C223" s="177">
        <v>2025</v>
      </c>
      <c r="D223" s="80" t="s">
        <v>4094</v>
      </c>
      <c r="E223" s="8" t="s">
        <v>4699</v>
      </c>
      <c r="F223" s="1">
        <v>0</v>
      </c>
      <c r="G223" s="170"/>
      <c r="H223" s="171">
        <v>0</v>
      </c>
      <c r="I223" s="172">
        <v>0</v>
      </c>
      <c r="J223" s="171">
        <v>-11192640</v>
      </c>
      <c r="K223" s="171">
        <v>0</v>
      </c>
      <c r="L223" s="171">
        <v>0</v>
      </c>
      <c r="M223" s="171">
        <v>0</v>
      </c>
      <c r="N223" s="171">
        <v>0</v>
      </c>
      <c r="P223" s="173">
        <f t="shared" si="3"/>
        <v>11192640</v>
      </c>
      <c r="V223" s="163"/>
      <c r="W223" s="163"/>
    </row>
    <row r="224" spans="1:23" s="17" customFormat="1">
      <c r="A224" s="176"/>
      <c r="B224" s="120" t="s">
        <v>446</v>
      </c>
      <c r="C224" s="177">
        <v>2025</v>
      </c>
      <c r="D224" s="80" t="s">
        <v>3283</v>
      </c>
      <c r="E224" s="8" t="s">
        <v>3920</v>
      </c>
      <c r="F224" s="1">
        <v>0</v>
      </c>
      <c r="G224" s="170"/>
      <c r="H224" s="171">
        <v>0</v>
      </c>
      <c r="I224" s="172">
        <v>0</v>
      </c>
      <c r="J224" s="171">
        <v>-2243230</v>
      </c>
      <c r="K224" s="171">
        <v>0</v>
      </c>
      <c r="L224" s="171">
        <v>0</v>
      </c>
      <c r="M224" s="171">
        <v>0</v>
      </c>
      <c r="N224" s="171">
        <v>0</v>
      </c>
      <c r="P224" s="173">
        <f t="shared" si="3"/>
        <v>2243230</v>
      </c>
      <c r="V224" s="163"/>
      <c r="W224" s="163"/>
    </row>
    <row r="225" spans="1:23" s="17" customFormat="1">
      <c r="A225" s="176"/>
      <c r="B225" s="120" t="s">
        <v>446</v>
      </c>
      <c r="C225" s="177">
        <v>2025</v>
      </c>
      <c r="D225" s="80" t="s">
        <v>4086</v>
      </c>
      <c r="E225" s="8" t="s">
        <v>3922</v>
      </c>
      <c r="F225" s="1">
        <v>0</v>
      </c>
      <c r="G225" s="170"/>
      <c r="H225" s="171">
        <v>0</v>
      </c>
      <c r="I225" s="172">
        <v>0</v>
      </c>
      <c r="J225" s="171">
        <v>-5685993</v>
      </c>
      <c r="K225" s="171">
        <v>0</v>
      </c>
      <c r="L225" s="171">
        <v>0</v>
      </c>
      <c r="M225" s="171">
        <v>0</v>
      </c>
      <c r="N225" s="171">
        <v>0</v>
      </c>
      <c r="P225" s="173">
        <f t="shared" si="3"/>
        <v>5685993</v>
      </c>
      <c r="V225" s="163"/>
      <c r="W225" s="163"/>
    </row>
    <row r="226" spans="1:23" s="17" customFormat="1">
      <c r="A226" s="176"/>
      <c r="B226" s="120" t="s">
        <v>446</v>
      </c>
      <c r="C226" s="177">
        <v>2025</v>
      </c>
      <c r="D226" s="80" t="s">
        <v>2323</v>
      </c>
      <c r="E226" s="8" t="s">
        <v>3925</v>
      </c>
      <c r="F226" s="1">
        <v>0</v>
      </c>
      <c r="G226" s="170"/>
      <c r="H226" s="171">
        <v>0</v>
      </c>
      <c r="I226" s="172">
        <v>0</v>
      </c>
      <c r="J226" s="171">
        <v>-993470</v>
      </c>
      <c r="K226" s="171">
        <v>0</v>
      </c>
      <c r="L226" s="171">
        <v>0</v>
      </c>
      <c r="M226" s="171">
        <v>0</v>
      </c>
      <c r="N226" s="171">
        <v>0</v>
      </c>
      <c r="P226" s="173">
        <f t="shared" si="3"/>
        <v>993470</v>
      </c>
      <c r="V226" s="163"/>
      <c r="W226" s="163"/>
    </row>
    <row r="227" spans="1:23" s="17" customFormat="1">
      <c r="A227" s="176"/>
      <c r="B227" s="120" t="s">
        <v>446</v>
      </c>
      <c r="C227" s="177">
        <v>2025</v>
      </c>
      <c r="D227" s="80" t="s">
        <v>3283</v>
      </c>
      <c r="E227" s="8" t="s">
        <v>3927</v>
      </c>
      <c r="F227" s="1">
        <v>0</v>
      </c>
      <c r="G227" s="170"/>
      <c r="H227" s="171">
        <v>0</v>
      </c>
      <c r="I227" s="172">
        <v>0</v>
      </c>
      <c r="J227" s="171">
        <v>-8696600</v>
      </c>
      <c r="K227" s="171">
        <v>0</v>
      </c>
      <c r="L227" s="171">
        <v>0</v>
      </c>
      <c r="M227" s="171">
        <v>0</v>
      </c>
      <c r="N227" s="171">
        <v>0</v>
      </c>
      <c r="P227" s="173">
        <f t="shared" si="3"/>
        <v>8696600</v>
      </c>
      <c r="V227" s="163"/>
      <c r="W227" s="163"/>
    </row>
    <row r="228" spans="1:23" s="17" customFormat="1">
      <c r="A228" s="176"/>
      <c r="B228" s="120" t="s">
        <v>446</v>
      </c>
      <c r="C228" s="177">
        <v>2025</v>
      </c>
      <c r="D228" s="80" t="s">
        <v>4095</v>
      </c>
      <c r="E228" s="8" t="s">
        <v>3931</v>
      </c>
      <c r="F228" s="1">
        <v>0</v>
      </c>
      <c r="G228" s="170"/>
      <c r="H228" s="171">
        <v>0</v>
      </c>
      <c r="I228" s="172">
        <v>0</v>
      </c>
      <c r="J228" s="171">
        <v>-66790000</v>
      </c>
      <c r="K228" s="171">
        <v>0</v>
      </c>
      <c r="L228" s="171">
        <v>0</v>
      </c>
      <c r="M228" s="171">
        <v>0</v>
      </c>
      <c r="N228" s="171">
        <v>0</v>
      </c>
      <c r="P228" s="173">
        <f t="shared" si="3"/>
        <v>66790000</v>
      </c>
      <c r="V228" s="163"/>
      <c r="W228" s="163"/>
    </row>
    <row r="229" spans="1:23" s="17" customFormat="1">
      <c r="A229" s="176"/>
      <c r="B229" s="120" t="s">
        <v>446</v>
      </c>
      <c r="C229" s="177">
        <v>2025</v>
      </c>
      <c r="D229" s="80" t="s">
        <v>4087</v>
      </c>
      <c r="E229" s="8" t="s">
        <v>3932</v>
      </c>
      <c r="F229" s="1">
        <v>0</v>
      </c>
      <c r="G229" s="170"/>
      <c r="H229" s="171">
        <v>0</v>
      </c>
      <c r="I229" s="172">
        <v>0</v>
      </c>
      <c r="J229" s="171">
        <v>-1187813</v>
      </c>
      <c r="K229" s="171">
        <v>0</v>
      </c>
      <c r="L229" s="171">
        <v>0</v>
      </c>
      <c r="M229" s="171">
        <v>0</v>
      </c>
      <c r="N229" s="171">
        <v>0</v>
      </c>
      <c r="P229" s="173">
        <f t="shared" si="3"/>
        <v>1187813</v>
      </c>
      <c r="V229" s="163"/>
      <c r="W229" s="163"/>
    </row>
    <row r="230" spans="1:23" s="17" customFormat="1">
      <c r="A230" s="176"/>
      <c r="B230" s="120" t="s">
        <v>446</v>
      </c>
      <c r="C230" s="177">
        <v>2025</v>
      </c>
      <c r="D230" s="80" t="s">
        <v>3470</v>
      </c>
      <c r="E230" s="8" t="s">
        <v>3933</v>
      </c>
      <c r="F230" s="1">
        <v>0</v>
      </c>
      <c r="G230" s="170"/>
      <c r="H230" s="171">
        <v>0</v>
      </c>
      <c r="I230" s="172">
        <v>0</v>
      </c>
      <c r="J230" s="171">
        <v>-2326350</v>
      </c>
      <c r="K230" s="171">
        <v>0</v>
      </c>
      <c r="L230" s="171">
        <v>0</v>
      </c>
      <c r="M230" s="171">
        <v>0</v>
      </c>
      <c r="N230" s="171">
        <v>0</v>
      </c>
      <c r="P230" s="173">
        <f t="shared" si="3"/>
        <v>2326350</v>
      </c>
      <c r="V230" s="163"/>
      <c r="W230" s="163"/>
    </row>
    <row r="231" spans="1:23" s="17" customFormat="1">
      <c r="A231" s="176"/>
      <c r="B231" s="120" t="s">
        <v>446</v>
      </c>
      <c r="C231" s="177">
        <v>2025</v>
      </c>
      <c r="D231" s="80" t="s">
        <v>4093</v>
      </c>
      <c r="E231" s="8" t="s">
        <v>3942</v>
      </c>
      <c r="F231" s="1">
        <v>0</v>
      </c>
      <c r="G231" s="170"/>
      <c r="H231" s="171">
        <v>0</v>
      </c>
      <c r="I231" s="172">
        <v>0</v>
      </c>
      <c r="J231" s="171">
        <v>-3476660</v>
      </c>
      <c r="K231" s="171">
        <v>0</v>
      </c>
      <c r="L231" s="171">
        <v>0</v>
      </c>
      <c r="M231" s="171">
        <v>0</v>
      </c>
      <c r="N231" s="171">
        <v>0</v>
      </c>
      <c r="P231" s="173">
        <f t="shared" si="3"/>
        <v>3476660</v>
      </c>
      <c r="V231" s="163"/>
      <c r="W231" s="163"/>
    </row>
    <row r="232" spans="1:23" s="17" customFormat="1">
      <c r="A232" s="176"/>
      <c r="B232" s="120" t="s">
        <v>446</v>
      </c>
      <c r="C232" s="177">
        <v>2025</v>
      </c>
      <c r="D232" s="80" t="s">
        <v>3283</v>
      </c>
      <c r="E232" s="8" t="s">
        <v>3944</v>
      </c>
      <c r="F232" s="1">
        <v>0</v>
      </c>
      <c r="G232" s="170"/>
      <c r="H232" s="171">
        <v>0</v>
      </c>
      <c r="I232" s="172">
        <v>0</v>
      </c>
      <c r="J232" s="171">
        <v>-2191500</v>
      </c>
      <c r="K232" s="171">
        <v>0</v>
      </c>
      <c r="L232" s="171">
        <v>0</v>
      </c>
      <c r="M232" s="171">
        <v>0</v>
      </c>
      <c r="N232" s="171">
        <v>0</v>
      </c>
      <c r="P232" s="173">
        <f t="shared" si="3"/>
        <v>2191500</v>
      </c>
      <c r="V232" s="163"/>
      <c r="W232" s="163"/>
    </row>
    <row r="233" spans="1:23" s="17" customFormat="1">
      <c r="A233" s="176"/>
      <c r="B233" s="120" t="s">
        <v>446</v>
      </c>
      <c r="C233" s="177">
        <v>2025</v>
      </c>
      <c r="D233" s="80" t="s">
        <v>4095</v>
      </c>
      <c r="E233" s="8" t="s">
        <v>3946</v>
      </c>
      <c r="F233" s="1">
        <v>0</v>
      </c>
      <c r="G233" s="170"/>
      <c r="H233" s="171">
        <v>0</v>
      </c>
      <c r="I233" s="172">
        <v>0</v>
      </c>
      <c r="J233" s="171">
        <v>-2100000</v>
      </c>
      <c r="K233" s="171">
        <v>0</v>
      </c>
      <c r="L233" s="171">
        <v>0</v>
      </c>
      <c r="M233" s="171">
        <v>0</v>
      </c>
      <c r="N233" s="171">
        <v>0</v>
      </c>
      <c r="P233" s="173">
        <f t="shared" si="3"/>
        <v>2100000</v>
      </c>
      <c r="V233" s="163"/>
      <c r="W233" s="163"/>
    </row>
    <row r="234" spans="1:23" s="17" customFormat="1">
      <c r="A234" s="176"/>
      <c r="B234" s="120" t="s">
        <v>446</v>
      </c>
      <c r="C234" s="177">
        <v>2025</v>
      </c>
      <c r="D234" s="80" t="s">
        <v>4095</v>
      </c>
      <c r="E234" s="8" t="s">
        <v>7028</v>
      </c>
      <c r="F234" s="1">
        <v>0</v>
      </c>
      <c r="G234" s="170"/>
      <c r="H234" s="171">
        <v>0</v>
      </c>
      <c r="I234" s="172">
        <v>0</v>
      </c>
      <c r="J234" s="171">
        <v>5000000</v>
      </c>
      <c r="K234" s="171">
        <v>0</v>
      </c>
      <c r="L234" s="171">
        <v>0</v>
      </c>
      <c r="M234" s="171">
        <v>0</v>
      </c>
      <c r="N234" s="171">
        <v>0</v>
      </c>
      <c r="P234" s="173">
        <f t="shared" si="3"/>
        <v>-5000000</v>
      </c>
      <c r="V234" s="163"/>
      <c r="W234" s="163"/>
    </row>
    <row r="235" spans="1:23" s="17" customFormat="1">
      <c r="A235" s="176"/>
      <c r="B235" s="120" t="s">
        <v>446</v>
      </c>
      <c r="C235" s="177">
        <v>2025</v>
      </c>
      <c r="D235" s="80" t="s">
        <v>4090</v>
      </c>
      <c r="E235" s="8" t="s">
        <v>3952</v>
      </c>
      <c r="F235" s="1">
        <v>0</v>
      </c>
      <c r="G235" s="170"/>
      <c r="H235" s="171">
        <v>0</v>
      </c>
      <c r="I235" s="172">
        <v>0</v>
      </c>
      <c r="J235" s="171">
        <v>-4205418</v>
      </c>
      <c r="K235" s="171">
        <v>0</v>
      </c>
      <c r="L235" s="171">
        <v>0</v>
      </c>
      <c r="M235" s="171">
        <v>0</v>
      </c>
      <c r="N235" s="171">
        <v>0</v>
      </c>
      <c r="P235" s="173">
        <f t="shared" si="3"/>
        <v>4205418</v>
      </c>
      <c r="V235" s="163"/>
      <c r="W235" s="163"/>
    </row>
    <row r="236" spans="1:23" s="17" customFormat="1">
      <c r="A236" s="176"/>
      <c r="B236" s="120" t="s">
        <v>446</v>
      </c>
      <c r="C236" s="177">
        <v>2025</v>
      </c>
      <c r="D236" s="80" t="s">
        <v>3270</v>
      </c>
      <c r="E236" s="8" t="s">
        <v>3953</v>
      </c>
      <c r="F236" s="1">
        <v>0</v>
      </c>
      <c r="G236" s="170"/>
      <c r="H236" s="171">
        <v>0</v>
      </c>
      <c r="I236" s="172">
        <v>0</v>
      </c>
      <c r="J236" s="171">
        <v>-8672674</v>
      </c>
      <c r="K236" s="171">
        <v>0</v>
      </c>
      <c r="L236" s="171">
        <v>0</v>
      </c>
      <c r="M236" s="171">
        <v>0</v>
      </c>
      <c r="N236" s="171">
        <v>0</v>
      </c>
      <c r="P236" s="173">
        <f t="shared" si="3"/>
        <v>8672674</v>
      </c>
      <c r="V236" s="163"/>
      <c r="W236" s="163"/>
    </row>
    <row r="237" spans="1:23" s="17" customFormat="1">
      <c r="A237" s="176"/>
      <c r="B237" s="120" t="s">
        <v>446</v>
      </c>
      <c r="C237" s="177">
        <v>2025</v>
      </c>
      <c r="D237" s="80" t="s">
        <v>3283</v>
      </c>
      <c r="E237" s="8" t="s">
        <v>3955</v>
      </c>
      <c r="F237" s="1">
        <v>0</v>
      </c>
      <c r="G237" s="170"/>
      <c r="H237" s="171">
        <v>0</v>
      </c>
      <c r="I237" s="172">
        <v>0</v>
      </c>
      <c r="J237" s="171">
        <v>-5315027</v>
      </c>
      <c r="K237" s="171">
        <v>0</v>
      </c>
      <c r="L237" s="171">
        <v>0</v>
      </c>
      <c r="M237" s="171">
        <v>0</v>
      </c>
      <c r="N237" s="171">
        <v>0</v>
      </c>
      <c r="P237" s="173">
        <f t="shared" si="3"/>
        <v>5315027</v>
      </c>
      <c r="V237" s="163"/>
      <c r="W237" s="163"/>
    </row>
    <row r="238" spans="1:23" s="17" customFormat="1">
      <c r="A238" s="176"/>
      <c r="B238" s="120" t="s">
        <v>446</v>
      </c>
      <c r="C238" s="177">
        <v>2025</v>
      </c>
      <c r="D238" s="80" t="s">
        <v>3283</v>
      </c>
      <c r="E238" s="8" t="s">
        <v>3957</v>
      </c>
      <c r="F238" s="1">
        <v>0</v>
      </c>
      <c r="G238" s="170"/>
      <c r="H238" s="171">
        <v>0</v>
      </c>
      <c r="I238" s="172">
        <v>0</v>
      </c>
      <c r="J238" s="171">
        <v>-8514010</v>
      </c>
      <c r="K238" s="171">
        <v>0</v>
      </c>
      <c r="L238" s="171">
        <v>0</v>
      </c>
      <c r="M238" s="171">
        <v>0</v>
      </c>
      <c r="N238" s="171">
        <v>0</v>
      </c>
      <c r="P238" s="173">
        <f t="shared" si="3"/>
        <v>8514010</v>
      </c>
      <c r="V238" s="163"/>
      <c r="W238" s="163"/>
    </row>
    <row r="239" spans="1:23" s="17" customFormat="1">
      <c r="A239" s="176"/>
      <c r="B239" s="120" t="s">
        <v>446</v>
      </c>
      <c r="C239" s="177">
        <v>2025</v>
      </c>
      <c r="D239" s="80" t="s">
        <v>4085</v>
      </c>
      <c r="E239" s="8" t="s">
        <v>3958</v>
      </c>
      <c r="F239" s="1">
        <v>0</v>
      </c>
      <c r="G239" s="170"/>
      <c r="H239" s="171">
        <v>0</v>
      </c>
      <c r="I239" s="172">
        <v>0</v>
      </c>
      <c r="J239" s="171">
        <v>-4315600</v>
      </c>
      <c r="K239" s="171">
        <v>0</v>
      </c>
      <c r="L239" s="171">
        <v>0</v>
      </c>
      <c r="M239" s="171">
        <v>0</v>
      </c>
      <c r="N239" s="171">
        <v>0</v>
      </c>
      <c r="P239" s="173">
        <f t="shared" si="3"/>
        <v>4315600</v>
      </c>
      <c r="V239" s="163"/>
      <c r="W239" s="163"/>
    </row>
    <row r="240" spans="1:23" s="17" customFormat="1">
      <c r="A240" s="176"/>
      <c r="B240" s="120" t="s">
        <v>446</v>
      </c>
      <c r="C240" s="177">
        <v>2025</v>
      </c>
      <c r="D240" s="80" t="s">
        <v>4087</v>
      </c>
      <c r="E240" s="8" t="s">
        <v>3960</v>
      </c>
      <c r="F240" s="1">
        <v>0</v>
      </c>
      <c r="G240" s="170"/>
      <c r="H240" s="171">
        <v>0</v>
      </c>
      <c r="I240" s="172">
        <v>0</v>
      </c>
      <c r="J240" s="171">
        <v>-760950</v>
      </c>
      <c r="K240" s="171">
        <v>0</v>
      </c>
      <c r="L240" s="171">
        <v>0</v>
      </c>
      <c r="M240" s="171">
        <v>0</v>
      </c>
      <c r="N240" s="171">
        <v>0</v>
      </c>
      <c r="P240" s="173">
        <f t="shared" si="3"/>
        <v>760950</v>
      </c>
      <c r="V240" s="163"/>
      <c r="W240" s="163"/>
    </row>
    <row r="241" spans="1:23" s="17" customFormat="1">
      <c r="A241" s="176"/>
      <c r="B241" s="120" t="s">
        <v>446</v>
      </c>
      <c r="C241" s="177">
        <v>2025</v>
      </c>
      <c r="D241" s="80" t="s">
        <v>4093</v>
      </c>
      <c r="E241" s="8" t="s">
        <v>3961</v>
      </c>
      <c r="F241" s="1">
        <v>0</v>
      </c>
      <c r="G241" s="170"/>
      <c r="H241" s="171">
        <v>0</v>
      </c>
      <c r="I241" s="172">
        <v>0</v>
      </c>
      <c r="J241" s="171">
        <v>-6831807</v>
      </c>
      <c r="K241" s="171">
        <v>0</v>
      </c>
      <c r="L241" s="171">
        <v>0</v>
      </c>
      <c r="M241" s="171">
        <v>0</v>
      </c>
      <c r="N241" s="171">
        <v>0</v>
      </c>
      <c r="P241" s="173">
        <f t="shared" si="3"/>
        <v>6831807</v>
      </c>
      <c r="V241" s="163"/>
      <c r="W241" s="163"/>
    </row>
    <row r="242" spans="1:23" s="17" customFormat="1">
      <c r="A242" s="176"/>
      <c r="B242" s="120" t="s">
        <v>446</v>
      </c>
      <c r="C242" s="177">
        <v>2025</v>
      </c>
      <c r="D242" s="80" t="s">
        <v>4093</v>
      </c>
      <c r="E242" s="8" t="s">
        <v>3962</v>
      </c>
      <c r="F242" s="1">
        <v>0</v>
      </c>
      <c r="G242" s="170"/>
      <c r="H242" s="171">
        <v>0</v>
      </c>
      <c r="I242" s="172">
        <v>0</v>
      </c>
      <c r="J242" s="171">
        <v>-6363479</v>
      </c>
      <c r="K242" s="171">
        <v>0</v>
      </c>
      <c r="L242" s="171">
        <v>0</v>
      </c>
      <c r="M242" s="171">
        <v>0</v>
      </c>
      <c r="N242" s="171">
        <v>0</v>
      </c>
      <c r="P242" s="173">
        <f t="shared" si="3"/>
        <v>6363479</v>
      </c>
      <c r="V242" s="163"/>
      <c r="W242" s="163"/>
    </row>
    <row r="243" spans="1:23" s="17" customFormat="1">
      <c r="A243" s="176"/>
      <c r="B243" s="120" t="s">
        <v>446</v>
      </c>
      <c r="C243" s="177">
        <v>2025</v>
      </c>
      <c r="D243" s="80" t="s">
        <v>4095</v>
      </c>
      <c r="E243" s="8" t="s">
        <v>3965</v>
      </c>
      <c r="F243" s="1">
        <v>0</v>
      </c>
      <c r="G243" s="170"/>
      <c r="H243" s="171">
        <v>0</v>
      </c>
      <c r="I243" s="172">
        <v>0</v>
      </c>
      <c r="J243" s="171">
        <v>-4350000</v>
      </c>
      <c r="K243" s="171">
        <v>0</v>
      </c>
      <c r="L243" s="171">
        <v>0</v>
      </c>
      <c r="M243" s="171">
        <v>0</v>
      </c>
      <c r="N243" s="171">
        <v>0</v>
      </c>
      <c r="P243" s="173">
        <f t="shared" si="3"/>
        <v>4350000</v>
      </c>
      <c r="V243" s="163"/>
      <c r="W243" s="163"/>
    </row>
    <row r="244" spans="1:23" s="17" customFormat="1">
      <c r="A244" s="176"/>
      <c r="B244" s="120" t="s">
        <v>446</v>
      </c>
      <c r="C244" s="177">
        <v>2025</v>
      </c>
      <c r="D244" s="80" t="s">
        <v>4093</v>
      </c>
      <c r="E244" s="8" t="s">
        <v>3974</v>
      </c>
      <c r="F244" s="1">
        <v>0</v>
      </c>
      <c r="G244" s="170"/>
      <c r="H244" s="171">
        <v>0</v>
      </c>
      <c r="I244" s="172">
        <v>0</v>
      </c>
      <c r="J244" s="171">
        <v>-1876190</v>
      </c>
      <c r="K244" s="171">
        <v>0</v>
      </c>
      <c r="L244" s="171">
        <v>0</v>
      </c>
      <c r="M244" s="171">
        <v>0</v>
      </c>
      <c r="N244" s="171">
        <v>0</v>
      </c>
      <c r="P244" s="173">
        <f t="shared" si="3"/>
        <v>1876190</v>
      </c>
      <c r="V244" s="163"/>
      <c r="W244" s="163"/>
    </row>
    <row r="245" spans="1:23" s="17" customFormat="1">
      <c r="A245" s="176"/>
      <c r="B245" s="120" t="s">
        <v>446</v>
      </c>
      <c r="C245" s="177">
        <v>2025</v>
      </c>
      <c r="D245" s="80" t="s">
        <v>4095</v>
      </c>
      <c r="E245" s="8" t="s">
        <v>3979</v>
      </c>
      <c r="F245" s="1">
        <v>0</v>
      </c>
      <c r="G245" s="170"/>
      <c r="H245" s="171">
        <v>0</v>
      </c>
      <c r="I245" s="172">
        <v>0</v>
      </c>
      <c r="J245" s="171">
        <v>-22629669</v>
      </c>
      <c r="K245" s="171">
        <v>0</v>
      </c>
      <c r="L245" s="171">
        <v>0</v>
      </c>
      <c r="M245" s="171">
        <v>0</v>
      </c>
      <c r="N245" s="171">
        <v>0</v>
      </c>
      <c r="P245" s="173">
        <f t="shared" si="3"/>
        <v>22629669</v>
      </c>
      <c r="V245" s="163"/>
      <c r="W245" s="163"/>
    </row>
    <row r="246" spans="1:23" s="17" customFormat="1">
      <c r="A246" s="176"/>
      <c r="B246" s="120" t="s">
        <v>446</v>
      </c>
      <c r="C246" s="177">
        <v>2025</v>
      </c>
      <c r="D246" s="80" t="s">
        <v>3283</v>
      </c>
      <c r="E246" s="8" t="s">
        <v>3980</v>
      </c>
      <c r="F246" s="1">
        <v>0</v>
      </c>
      <c r="G246" s="170"/>
      <c r="H246" s="171">
        <v>0</v>
      </c>
      <c r="I246" s="172">
        <v>0</v>
      </c>
      <c r="J246" s="171">
        <v>-2295280</v>
      </c>
      <c r="K246" s="171">
        <v>0</v>
      </c>
      <c r="L246" s="171">
        <v>0</v>
      </c>
      <c r="M246" s="171">
        <v>0</v>
      </c>
      <c r="N246" s="171">
        <v>0</v>
      </c>
      <c r="P246" s="173">
        <f t="shared" si="3"/>
        <v>2295280</v>
      </c>
      <c r="V246" s="163"/>
      <c r="W246" s="163"/>
    </row>
    <row r="247" spans="1:23" s="17" customFormat="1">
      <c r="A247" s="176"/>
      <c r="B247" s="120" t="s">
        <v>446</v>
      </c>
      <c r="C247" s="177">
        <v>2025</v>
      </c>
      <c r="D247" s="80" t="s">
        <v>4089</v>
      </c>
      <c r="E247" s="8" t="s">
        <v>3982</v>
      </c>
      <c r="F247" s="1">
        <v>0</v>
      </c>
      <c r="G247" s="170"/>
      <c r="H247" s="171">
        <v>0</v>
      </c>
      <c r="I247" s="172">
        <v>0</v>
      </c>
      <c r="J247" s="171">
        <v>-9290240</v>
      </c>
      <c r="K247" s="171">
        <v>0</v>
      </c>
      <c r="L247" s="171">
        <v>0</v>
      </c>
      <c r="M247" s="171">
        <v>0</v>
      </c>
      <c r="N247" s="171">
        <v>0</v>
      </c>
      <c r="P247" s="173">
        <f t="shared" si="3"/>
        <v>9290240</v>
      </c>
      <c r="V247" s="163"/>
      <c r="W247" s="163"/>
    </row>
    <row r="248" spans="1:23" s="17" customFormat="1">
      <c r="A248" s="176"/>
      <c r="B248" s="120" t="s">
        <v>446</v>
      </c>
      <c r="C248" s="177">
        <v>2025</v>
      </c>
      <c r="D248" s="80" t="s">
        <v>4093</v>
      </c>
      <c r="E248" s="8" t="s">
        <v>3693</v>
      </c>
      <c r="F248" s="1">
        <v>0</v>
      </c>
      <c r="G248" s="170"/>
      <c r="H248" s="171">
        <v>0</v>
      </c>
      <c r="I248" s="172">
        <v>0</v>
      </c>
      <c r="J248" s="171">
        <v>-4686624</v>
      </c>
      <c r="K248" s="171">
        <v>0</v>
      </c>
      <c r="L248" s="171">
        <v>0</v>
      </c>
      <c r="M248" s="171">
        <v>0</v>
      </c>
      <c r="N248" s="171">
        <v>0</v>
      </c>
      <c r="P248" s="173">
        <f t="shared" si="3"/>
        <v>4686624</v>
      </c>
      <c r="V248" s="163"/>
      <c r="W248" s="163"/>
    </row>
    <row r="249" spans="1:23" s="17" customFormat="1">
      <c r="A249" s="176"/>
      <c r="B249" s="120" t="s">
        <v>446</v>
      </c>
      <c r="C249" s="177">
        <v>2025</v>
      </c>
      <c r="D249" s="80" t="s">
        <v>4093</v>
      </c>
      <c r="E249" s="8" t="s">
        <v>3695</v>
      </c>
      <c r="F249" s="1">
        <v>0</v>
      </c>
      <c r="G249" s="170"/>
      <c r="H249" s="171">
        <v>0</v>
      </c>
      <c r="I249" s="172">
        <v>0</v>
      </c>
      <c r="J249" s="171">
        <v>-5707571</v>
      </c>
      <c r="K249" s="171">
        <v>0</v>
      </c>
      <c r="L249" s="171">
        <v>0</v>
      </c>
      <c r="M249" s="171">
        <v>0</v>
      </c>
      <c r="N249" s="171">
        <v>0</v>
      </c>
      <c r="P249" s="173">
        <f t="shared" si="3"/>
        <v>5707571</v>
      </c>
      <c r="V249" s="163"/>
      <c r="W249" s="163"/>
    </row>
    <row r="250" spans="1:23" s="17" customFormat="1">
      <c r="A250" s="176"/>
      <c r="B250" s="120" t="s">
        <v>446</v>
      </c>
      <c r="C250" s="177">
        <v>2025</v>
      </c>
      <c r="D250" s="80" t="s">
        <v>4095</v>
      </c>
      <c r="E250" s="8" t="s">
        <v>3701</v>
      </c>
      <c r="F250" s="1">
        <v>0</v>
      </c>
      <c r="G250" s="170"/>
      <c r="H250" s="171">
        <v>0</v>
      </c>
      <c r="I250" s="172">
        <v>0</v>
      </c>
      <c r="J250" s="171">
        <v>-188651295</v>
      </c>
      <c r="K250" s="171">
        <v>0</v>
      </c>
      <c r="L250" s="171">
        <v>0</v>
      </c>
      <c r="M250" s="171">
        <v>0</v>
      </c>
      <c r="N250" s="171">
        <v>0</v>
      </c>
      <c r="P250" s="173">
        <f t="shared" si="3"/>
        <v>188651295</v>
      </c>
      <c r="V250" s="163"/>
      <c r="W250" s="163"/>
    </row>
    <row r="251" spans="1:23" s="17" customFormat="1">
      <c r="A251" s="176"/>
      <c r="B251" s="120" t="s">
        <v>446</v>
      </c>
      <c r="C251" s="177">
        <v>2025</v>
      </c>
      <c r="D251" s="80" t="s">
        <v>4096</v>
      </c>
      <c r="E251" s="8" t="s">
        <v>4111</v>
      </c>
      <c r="F251" s="1">
        <v>0</v>
      </c>
      <c r="G251" s="170"/>
      <c r="H251" s="171">
        <v>0</v>
      </c>
      <c r="I251" s="172">
        <v>0</v>
      </c>
      <c r="J251" s="171">
        <v>-1399999</v>
      </c>
      <c r="K251" s="171">
        <v>0</v>
      </c>
      <c r="L251" s="171">
        <v>0</v>
      </c>
      <c r="M251" s="171">
        <v>0</v>
      </c>
      <c r="N251" s="171">
        <v>0</v>
      </c>
      <c r="P251" s="173">
        <f t="shared" si="3"/>
        <v>1399999</v>
      </c>
      <c r="V251" s="163"/>
      <c r="W251" s="163"/>
    </row>
    <row r="252" spans="1:23" s="17" customFormat="1">
      <c r="A252" s="176"/>
      <c r="B252" s="120" t="s">
        <v>446</v>
      </c>
      <c r="C252" s="177">
        <v>2025</v>
      </c>
      <c r="D252" s="80" t="s">
        <v>4096</v>
      </c>
      <c r="E252" s="8" t="s">
        <v>4113</v>
      </c>
      <c r="F252" s="1">
        <v>0</v>
      </c>
      <c r="G252" s="170"/>
      <c r="H252" s="171">
        <v>0</v>
      </c>
      <c r="I252" s="172">
        <v>0</v>
      </c>
      <c r="J252" s="171">
        <v>-1400000</v>
      </c>
      <c r="K252" s="171">
        <v>0</v>
      </c>
      <c r="L252" s="171">
        <v>0</v>
      </c>
      <c r="M252" s="171">
        <v>0</v>
      </c>
      <c r="N252" s="171">
        <v>0</v>
      </c>
      <c r="P252" s="173">
        <f t="shared" si="3"/>
        <v>1400000</v>
      </c>
      <c r="V252" s="163"/>
      <c r="W252" s="163"/>
    </row>
    <row r="253" spans="1:23" s="17" customFormat="1">
      <c r="A253" s="176"/>
      <c r="B253" s="120" t="s">
        <v>446</v>
      </c>
      <c r="C253" s="177">
        <v>2025</v>
      </c>
      <c r="D253" s="80" t="s">
        <v>3283</v>
      </c>
      <c r="E253" s="8" t="s">
        <v>4122</v>
      </c>
      <c r="F253" s="1">
        <v>0</v>
      </c>
      <c r="G253" s="170"/>
      <c r="H253" s="171">
        <v>0</v>
      </c>
      <c r="I253" s="172">
        <v>0</v>
      </c>
      <c r="J253" s="171">
        <v>-5400000</v>
      </c>
      <c r="K253" s="171">
        <v>0</v>
      </c>
      <c r="L253" s="171">
        <v>0</v>
      </c>
      <c r="M253" s="171">
        <v>0</v>
      </c>
      <c r="N253" s="171">
        <v>0</v>
      </c>
      <c r="P253" s="173">
        <f t="shared" si="3"/>
        <v>5400000</v>
      </c>
      <c r="V253" s="163"/>
      <c r="W253" s="163"/>
    </row>
    <row r="254" spans="1:23" s="17" customFormat="1">
      <c r="A254" s="176"/>
      <c r="B254" s="120" t="s">
        <v>446</v>
      </c>
      <c r="C254" s="177">
        <v>2025</v>
      </c>
      <c r="D254" s="80" t="s">
        <v>4095</v>
      </c>
      <c r="E254" s="8" t="s">
        <v>4124</v>
      </c>
      <c r="F254" s="1">
        <v>0</v>
      </c>
      <c r="G254" s="170"/>
      <c r="H254" s="171">
        <v>0</v>
      </c>
      <c r="I254" s="172">
        <v>0</v>
      </c>
      <c r="J254" s="171">
        <v>-67039880</v>
      </c>
      <c r="K254" s="171">
        <v>0</v>
      </c>
      <c r="L254" s="171">
        <v>0</v>
      </c>
      <c r="M254" s="171">
        <v>0</v>
      </c>
      <c r="N254" s="171">
        <v>0</v>
      </c>
      <c r="P254" s="173">
        <f t="shared" si="3"/>
        <v>67039880</v>
      </c>
      <c r="V254" s="163"/>
      <c r="W254" s="163"/>
    </row>
    <row r="255" spans="1:23" s="17" customFormat="1">
      <c r="A255" s="176"/>
      <c r="B255" s="120" t="s">
        <v>446</v>
      </c>
      <c r="C255" s="177">
        <v>2025</v>
      </c>
      <c r="D255" s="80" t="s">
        <v>4096</v>
      </c>
      <c r="E255" s="8" t="s">
        <v>4125</v>
      </c>
      <c r="F255" s="1">
        <v>0</v>
      </c>
      <c r="G255" s="170"/>
      <c r="H255" s="171">
        <v>0</v>
      </c>
      <c r="I255" s="172">
        <v>0</v>
      </c>
      <c r="J255" s="171">
        <v>-9625295</v>
      </c>
      <c r="K255" s="171">
        <v>0</v>
      </c>
      <c r="L255" s="171">
        <v>0</v>
      </c>
      <c r="M255" s="171">
        <v>0</v>
      </c>
      <c r="N255" s="171">
        <v>0</v>
      </c>
      <c r="P255" s="173">
        <f t="shared" si="3"/>
        <v>9625295</v>
      </c>
      <c r="V255" s="163"/>
      <c r="W255" s="163"/>
    </row>
    <row r="256" spans="1:23" s="17" customFormat="1">
      <c r="A256" s="176"/>
      <c r="B256" s="120" t="s">
        <v>446</v>
      </c>
      <c r="C256" s="177">
        <v>2025</v>
      </c>
      <c r="D256" s="80" t="s">
        <v>4092</v>
      </c>
      <c r="E256" s="8" t="s">
        <v>4104</v>
      </c>
      <c r="F256" s="1">
        <v>0</v>
      </c>
      <c r="G256" s="170"/>
      <c r="H256" s="171">
        <v>0</v>
      </c>
      <c r="I256" s="172">
        <v>0</v>
      </c>
      <c r="J256" s="171">
        <v>-20288382</v>
      </c>
      <c r="K256" s="171">
        <v>0</v>
      </c>
      <c r="L256" s="171">
        <v>0</v>
      </c>
      <c r="M256" s="171">
        <v>0</v>
      </c>
      <c r="N256" s="171">
        <v>0</v>
      </c>
      <c r="P256" s="173">
        <f t="shared" si="3"/>
        <v>20288382</v>
      </c>
      <c r="V256" s="163"/>
      <c r="W256" s="163"/>
    </row>
    <row r="257" spans="1:23" s="17" customFormat="1">
      <c r="A257" s="176"/>
      <c r="B257" s="120" t="s">
        <v>446</v>
      </c>
      <c r="C257" s="177">
        <v>2025</v>
      </c>
      <c r="D257" s="80" t="s">
        <v>4096</v>
      </c>
      <c r="E257" s="8" t="s">
        <v>4106</v>
      </c>
      <c r="F257" s="1">
        <v>0</v>
      </c>
      <c r="G257" s="170"/>
      <c r="H257" s="171">
        <v>0</v>
      </c>
      <c r="I257" s="172">
        <v>0</v>
      </c>
      <c r="J257" s="171">
        <v>-6293600</v>
      </c>
      <c r="K257" s="171">
        <v>0</v>
      </c>
      <c r="L257" s="171">
        <v>0</v>
      </c>
      <c r="M257" s="171">
        <v>0</v>
      </c>
      <c r="N257" s="171">
        <v>0</v>
      </c>
      <c r="P257" s="173">
        <f t="shared" si="3"/>
        <v>6293600</v>
      </c>
      <c r="V257" s="163"/>
      <c r="W257" s="163"/>
    </row>
    <row r="258" spans="1:23" s="17" customFormat="1">
      <c r="A258" s="176"/>
      <c r="B258" s="120" t="s">
        <v>446</v>
      </c>
      <c r="C258" s="177">
        <v>2025</v>
      </c>
      <c r="D258" s="80" t="s">
        <v>4096</v>
      </c>
      <c r="E258" s="8" t="s">
        <v>4142</v>
      </c>
      <c r="F258" s="1">
        <v>0</v>
      </c>
      <c r="G258" s="170"/>
      <c r="H258" s="171">
        <v>0</v>
      </c>
      <c r="I258" s="172">
        <v>0</v>
      </c>
      <c r="J258" s="171">
        <v>-5130400</v>
      </c>
      <c r="K258" s="171">
        <v>0</v>
      </c>
      <c r="L258" s="171">
        <v>0</v>
      </c>
      <c r="M258" s="171">
        <v>0</v>
      </c>
      <c r="N258" s="171">
        <v>0</v>
      </c>
      <c r="P258" s="173">
        <f t="shared" si="3"/>
        <v>5130400</v>
      </c>
      <c r="V258" s="163"/>
      <c r="W258" s="163"/>
    </row>
    <row r="259" spans="1:23" s="17" customFormat="1">
      <c r="A259" s="176"/>
      <c r="B259" s="120" t="s">
        <v>446</v>
      </c>
      <c r="C259" s="177">
        <v>2025</v>
      </c>
      <c r="D259" s="80" t="s">
        <v>4096</v>
      </c>
      <c r="E259" s="8" t="s">
        <v>4144</v>
      </c>
      <c r="F259" s="1">
        <v>0</v>
      </c>
      <c r="G259" s="170"/>
      <c r="H259" s="171">
        <v>0</v>
      </c>
      <c r="I259" s="172">
        <v>0</v>
      </c>
      <c r="J259" s="171">
        <v>-4124628</v>
      </c>
      <c r="K259" s="171">
        <v>0</v>
      </c>
      <c r="L259" s="171">
        <v>0</v>
      </c>
      <c r="M259" s="171">
        <v>0</v>
      </c>
      <c r="N259" s="171">
        <v>0</v>
      </c>
      <c r="P259" s="173">
        <f t="shared" si="3"/>
        <v>4124628</v>
      </c>
      <c r="V259" s="163"/>
      <c r="W259" s="163"/>
    </row>
    <row r="260" spans="1:23" s="17" customFormat="1">
      <c r="A260" s="176"/>
      <c r="B260" s="120" t="s">
        <v>446</v>
      </c>
      <c r="C260" s="177">
        <v>2025</v>
      </c>
      <c r="D260" s="80" t="s">
        <v>5755</v>
      </c>
      <c r="E260" s="8" t="s">
        <v>4145</v>
      </c>
      <c r="F260" s="1">
        <v>0</v>
      </c>
      <c r="G260" s="170"/>
      <c r="H260" s="171">
        <v>0</v>
      </c>
      <c r="I260" s="172">
        <v>0</v>
      </c>
      <c r="J260" s="171">
        <v>-28540540</v>
      </c>
      <c r="K260" s="171">
        <v>0</v>
      </c>
      <c r="L260" s="171">
        <v>0</v>
      </c>
      <c r="M260" s="171">
        <v>0</v>
      </c>
      <c r="N260" s="171">
        <v>0</v>
      </c>
      <c r="P260" s="173">
        <f t="shared" si="3"/>
        <v>28540540</v>
      </c>
      <c r="V260" s="163"/>
      <c r="W260" s="163"/>
    </row>
    <row r="261" spans="1:23" s="17" customFormat="1">
      <c r="A261" s="176"/>
      <c r="B261" s="120" t="s">
        <v>446</v>
      </c>
      <c r="C261" s="177">
        <v>2025</v>
      </c>
      <c r="D261" s="80" t="s">
        <v>4096</v>
      </c>
      <c r="E261" s="8" t="s">
        <v>4147</v>
      </c>
      <c r="F261" s="1">
        <v>0</v>
      </c>
      <c r="G261" s="170"/>
      <c r="H261" s="171">
        <v>0</v>
      </c>
      <c r="I261" s="172">
        <v>0</v>
      </c>
      <c r="J261" s="171">
        <v>-5486500</v>
      </c>
      <c r="K261" s="171">
        <v>0</v>
      </c>
      <c r="L261" s="171">
        <v>0</v>
      </c>
      <c r="M261" s="171">
        <v>0</v>
      </c>
      <c r="N261" s="171">
        <v>0</v>
      </c>
      <c r="P261" s="173">
        <f t="shared" ref="P261:P324" si="4">F261-H261-I261-J261-K261-L261-M261</f>
        <v>5486500</v>
      </c>
      <c r="V261" s="163"/>
      <c r="W261" s="163"/>
    </row>
    <row r="262" spans="1:23" s="17" customFormat="1">
      <c r="A262" s="176"/>
      <c r="B262" s="120" t="s">
        <v>446</v>
      </c>
      <c r="C262" s="177">
        <v>2025</v>
      </c>
      <c r="D262" s="80" t="s">
        <v>4089</v>
      </c>
      <c r="E262" s="8" t="s">
        <v>4149</v>
      </c>
      <c r="F262" s="1">
        <v>0</v>
      </c>
      <c r="G262" s="170"/>
      <c r="H262" s="171">
        <v>0</v>
      </c>
      <c r="I262" s="172">
        <v>0</v>
      </c>
      <c r="J262" s="171">
        <v>-26533230</v>
      </c>
      <c r="K262" s="171">
        <v>0</v>
      </c>
      <c r="L262" s="171">
        <v>0</v>
      </c>
      <c r="M262" s="171">
        <v>0</v>
      </c>
      <c r="N262" s="171">
        <v>0</v>
      </c>
      <c r="P262" s="173">
        <f t="shared" si="4"/>
        <v>26533230</v>
      </c>
      <c r="V262" s="163"/>
      <c r="W262" s="163"/>
    </row>
    <row r="263" spans="1:23" s="17" customFormat="1">
      <c r="A263" s="176"/>
      <c r="B263" s="120" t="s">
        <v>446</v>
      </c>
      <c r="C263" s="177">
        <v>2025</v>
      </c>
      <c r="D263" s="80" t="s">
        <v>4084</v>
      </c>
      <c r="E263" s="8" t="s">
        <v>4150</v>
      </c>
      <c r="F263" s="1">
        <v>0</v>
      </c>
      <c r="G263" s="170"/>
      <c r="H263" s="171">
        <v>0</v>
      </c>
      <c r="I263" s="172">
        <v>0</v>
      </c>
      <c r="J263" s="171">
        <v>-1701000</v>
      </c>
      <c r="K263" s="171">
        <v>0</v>
      </c>
      <c r="L263" s="171">
        <v>0</v>
      </c>
      <c r="M263" s="171">
        <v>0</v>
      </c>
      <c r="N263" s="171">
        <v>0</v>
      </c>
      <c r="P263" s="173">
        <f t="shared" si="4"/>
        <v>1701000</v>
      </c>
      <c r="V263" s="163"/>
      <c r="W263" s="163"/>
    </row>
    <row r="264" spans="1:23" s="17" customFormat="1">
      <c r="A264" s="176"/>
      <c r="B264" s="120" t="s">
        <v>446</v>
      </c>
      <c r="C264" s="177">
        <v>2025</v>
      </c>
      <c r="D264" s="80" t="s">
        <v>3283</v>
      </c>
      <c r="E264" s="8" t="s">
        <v>4153</v>
      </c>
      <c r="F264" s="1">
        <v>0</v>
      </c>
      <c r="G264" s="170"/>
      <c r="H264" s="171">
        <v>0</v>
      </c>
      <c r="I264" s="172">
        <v>0</v>
      </c>
      <c r="J264" s="171">
        <v>-4486652</v>
      </c>
      <c r="K264" s="171">
        <v>0</v>
      </c>
      <c r="L264" s="171">
        <v>0</v>
      </c>
      <c r="M264" s="171">
        <v>0</v>
      </c>
      <c r="N264" s="171">
        <v>0</v>
      </c>
      <c r="P264" s="173">
        <f t="shared" si="4"/>
        <v>4486652</v>
      </c>
      <c r="V264" s="163"/>
      <c r="W264" s="163"/>
    </row>
    <row r="265" spans="1:23" s="17" customFormat="1">
      <c r="A265" s="176"/>
      <c r="B265" s="120" t="s">
        <v>446</v>
      </c>
      <c r="C265" s="177">
        <v>2025</v>
      </c>
      <c r="D265" s="80" t="s">
        <v>4096</v>
      </c>
      <c r="E265" s="8" t="s">
        <v>4160</v>
      </c>
      <c r="F265" s="1">
        <v>0</v>
      </c>
      <c r="G265" s="170"/>
      <c r="H265" s="171">
        <v>0</v>
      </c>
      <c r="I265" s="172">
        <v>0</v>
      </c>
      <c r="J265" s="171">
        <v>-27361053</v>
      </c>
      <c r="K265" s="171">
        <v>0</v>
      </c>
      <c r="L265" s="171">
        <v>0</v>
      </c>
      <c r="M265" s="171">
        <v>0</v>
      </c>
      <c r="N265" s="171">
        <v>0</v>
      </c>
      <c r="P265" s="173">
        <f t="shared" si="4"/>
        <v>27361053</v>
      </c>
      <c r="V265" s="163"/>
      <c r="W265" s="163"/>
    </row>
    <row r="266" spans="1:23" s="17" customFormat="1">
      <c r="A266" s="176"/>
      <c r="B266" s="120" t="s">
        <v>446</v>
      </c>
      <c r="C266" s="177">
        <v>2025</v>
      </c>
      <c r="D266" s="80" t="s">
        <v>5756</v>
      </c>
      <c r="E266" s="8" t="s">
        <v>4671</v>
      </c>
      <c r="F266" s="1">
        <v>0</v>
      </c>
      <c r="G266" s="170"/>
      <c r="H266" s="171">
        <v>0</v>
      </c>
      <c r="I266" s="172">
        <v>0</v>
      </c>
      <c r="J266" s="171">
        <v>-7500000</v>
      </c>
      <c r="K266" s="171">
        <v>0</v>
      </c>
      <c r="L266" s="171">
        <v>0</v>
      </c>
      <c r="M266" s="171">
        <v>0</v>
      </c>
      <c r="N266" s="171">
        <v>0</v>
      </c>
      <c r="P266" s="173">
        <f t="shared" si="4"/>
        <v>7500000</v>
      </c>
      <c r="V266" s="163"/>
      <c r="W266" s="163"/>
    </row>
    <row r="267" spans="1:23" s="17" customFormat="1">
      <c r="A267" s="176"/>
      <c r="B267" s="120" t="s">
        <v>446</v>
      </c>
      <c r="C267" s="177">
        <v>2025</v>
      </c>
      <c r="D267" s="80" t="s">
        <v>5756</v>
      </c>
      <c r="E267" s="8" t="s">
        <v>4673</v>
      </c>
      <c r="F267" s="1">
        <v>0</v>
      </c>
      <c r="G267" s="170"/>
      <c r="H267" s="171">
        <v>0</v>
      </c>
      <c r="I267" s="172">
        <v>0</v>
      </c>
      <c r="J267" s="171">
        <v>-7500000</v>
      </c>
      <c r="K267" s="171">
        <v>0</v>
      </c>
      <c r="L267" s="171">
        <v>0</v>
      </c>
      <c r="M267" s="171">
        <v>0</v>
      </c>
      <c r="N267" s="171">
        <v>0</v>
      </c>
      <c r="P267" s="173">
        <f t="shared" si="4"/>
        <v>7500000</v>
      </c>
      <c r="V267" s="163"/>
      <c r="W267" s="163"/>
    </row>
    <row r="268" spans="1:23" s="17" customFormat="1">
      <c r="A268" s="176"/>
      <c r="B268" s="120" t="s">
        <v>446</v>
      </c>
      <c r="C268" s="177">
        <v>2025</v>
      </c>
      <c r="D268" s="80" t="s">
        <v>5756</v>
      </c>
      <c r="E268" s="8" t="s">
        <v>4677</v>
      </c>
      <c r="F268" s="1">
        <v>0</v>
      </c>
      <c r="G268" s="170"/>
      <c r="H268" s="171">
        <v>0</v>
      </c>
      <c r="I268" s="172">
        <v>0</v>
      </c>
      <c r="J268" s="171">
        <v>-5000000</v>
      </c>
      <c r="K268" s="171">
        <v>0</v>
      </c>
      <c r="L268" s="171">
        <v>0</v>
      </c>
      <c r="M268" s="171">
        <v>0</v>
      </c>
      <c r="N268" s="171">
        <v>0</v>
      </c>
      <c r="P268" s="173">
        <f t="shared" si="4"/>
        <v>5000000</v>
      </c>
      <c r="V268" s="163"/>
      <c r="W268" s="163"/>
    </row>
    <row r="269" spans="1:23" s="17" customFormat="1">
      <c r="A269" s="176"/>
      <c r="B269" s="120" t="s">
        <v>446</v>
      </c>
      <c r="C269" s="177">
        <v>2025</v>
      </c>
      <c r="D269" s="80" t="s">
        <v>5756</v>
      </c>
      <c r="E269" s="8" t="s">
        <v>4680</v>
      </c>
      <c r="F269" s="1">
        <v>0</v>
      </c>
      <c r="G269" s="170"/>
      <c r="H269" s="171">
        <v>0</v>
      </c>
      <c r="I269" s="172">
        <v>0</v>
      </c>
      <c r="J269" s="171">
        <v>-5000000</v>
      </c>
      <c r="K269" s="171">
        <v>0</v>
      </c>
      <c r="L269" s="171">
        <v>0</v>
      </c>
      <c r="M269" s="171">
        <v>0</v>
      </c>
      <c r="N269" s="171">
        <v>0</v>
      </c>
      <c r="P269" s="173">
        <f t="shared" si="4"/>
        <v>5000000</v>
      </c>
      <c r="V269" s="163"/>
      <c r="W269" s="163"/>
    </row>
    <row r="270" spans="1:23" s="17" customFormat="1">
      <c r="A270" s="176"/>
      <c r="B270" s="120" t="s">
        <v>446</v>
      </c>
      <c r="C270" s="177">
        <v>2025</v>
      </c>
      <c r="D270" s="80" t="s">
        <v>5756</v>
      </c>
      <c r="E270" s="8" t="s">
        <v>4682</v>
      </c>
      <c r="F270" s="1">
        <v>0</v>
      </c>
      <c r="G270" s="170"/>
      <c r="H270" s="171">
        <v>0</v>
      </c>
      <c r="I270" s="172">
        <v>0</v>
      </c>
      <c r="J270" s="171">
        <v>-7500000</v>
      </c>
      <c r="K270" s="171">
        <v>0</v>
      </c>
      <c r="L270" s="171">
        <v>0</v>
      </c>
      <c r="M270" s="171">
        <v>0</v>
      </c>
      <c r="N270" s="171">
        <v>0</v>
      </c>
      <c r="P270" s="173">
        <f t="shared" si="4"/>
        <v>7500000</v>
      </c>
      <c r="V270" s="163"/>
      <c r="W270" s="163"/>
    </row>
    <row r="271" spans="1:23" s="17" customFormat="1">
      <c r="A271" s="176"/>
      <c r="B271" s="120" t="s">
        <v>446</v>
      </c>
      <c r="C271" s="177">
        <v>2025</v>
      </c>
      <c r="D271" s="80" t="s">
        <v>5751</v>
      </c>
      <c r="E271" s="8" t="s">
        <v>4666</v>
      </c>
      <c r="F271" s="1">
        <v>0</v>
      </c>
      <c r="G271" s="170"/>
      <c r="H271" s="171">
        <v>0</v>
      </c>
      <c r="I271" s="172">
        <v>0</v>
      </c>
      <c r="J271" s="171">
        <v>-30000000</v>
      </c>
      <c r="K271" s="171">
        <v>0</v>
      </c>
      <c r="L271" s="171">
        <v>0</v>
      </c>
      <c r="M271" s="171">
        <v>0</v>
      </c>
      <c r="N271" s="171">
        <v>0</v>
      </c>
      <c r="P271" s="173">
        <f t="shared" si="4"/>
        <v>30000000</v>
      </c>
      <c r="V271" s="163"/>
      <c r="W271" s="163"/>
    </row>
    <row r="272" spans="1:23" s="17" customFormat="1">
      <c r="A272" s="176"/>
      <c r="B272" s="120" t="s">
        <v>446</v>
      </c>
      <c r="C272" s="177">
        <v>2025</v>
      </c>
      <c r="D272" s="80" t="s">
        <v>4096</v>
      </c>
      <c r="E272" s="8" t="s">
        <v>5869</v>
      </c>
      <c r="F272" s="1">
        <v>0</v>
      </c>
      <c r="G272" s="170"/>
      <c r="H272" s="171">
        <v>0</v>
      </c>
      <c r="I272" s="172">
        <v>0</v>
      </c>
      <c r="J272" s="171">
        <v>-9223260</v>
      </c>
      <c r="K272" s="171">
        <v>0</v>
      </c>
      <c r="L272" s="171">
        <v>0</v>
      </c>
      <c r="M272" s="171">
        <v>0</v>
      </c>
      <c r="N272" s="171">
        <v>0</v>
      </c>
      <c r="P272" s="173">
        <f t="shared" si="4"/>
        <v>9223260</v>
      </c>
      <c r="V272" s="163"/>
      <c r="W272" s="163"/>
    </row>
    <row r="273" spans="1:23" s="17" customFormat="1">
      <c r="A273" s="176"/>
      <c r="B273" s="120" t="s">
        <v>446</v>
      </c>
      <c r="C273" s="177">
        <v>2025</v>
      </c>
      <c r="D273" s="80" t="s">
        <v>4096</v>
      </c>
      <c r="E273" s="8" t="s">
        <v>5872</v>
      </c>
      <c r="F273" s="1">
        <v>0</v>
      </c>
      <c r="G273" s="170"/>
      <c r="H273" s="171">
        <v>0</v>
      </c>
      <c r="I273" s="172">
        <v>0</v>
      </c>
      <c r="J273" s="171">
        <v>-2896000</v>
      </c>
      <c r="K273" s="171">
        <v>0</v>
      </c>
      <c r="L273" s="171">
        <v>0</v>
      </c>
      <c r="M273" s="171">
        <v>0</v>
      </c>
      <c r="N273" s="171">
        <v>0</v>
      </c>
      <c r="P273" s="173">
        <f t="shared" si="4"/>
        <v>2896000</v>
      </c>
      <c r="V273" s="163"/>
      <c r="W273" s="163"/>
    </row>
    <row r="274" spans="1:23" s="17" customFormat="1">
      <c r="A274" s="176"/>
      <c r="B274" s="120" t="s">
        <v>446</v>
      </c>
      <c r="C274" s="177">
        <v>2025</v>
      </c>
      <c r="D274" s="80" t="s">
        <v>4096</v>
      </c>
      <c r="E274" s="8" t="s">
        <v>5873</v>
      </c>
      <c r="F274" s="1">
        <v>0</v>
      </c>
      <c r="G274" s="170"/>
      <c r="H274" s="171">
        <v>0</v>
      </c>
      <c r="I274" s="172">
        <v>0</v>
      </c>
      <c r="J274" s="171">
        <v>-9413596</v>
      </c>
      <c r="K274" s="171">
        <v>0</v>
      </c>
      <c r="L274" s="171">
        <v>0</v>
      </c>
      <c r="M274" s="171">
        <v>0</v>
      </c>
      <c r="N274" s="171">
        <v>0</v>
      </c>
      <c r="P274" s="173">
        <f t="shared" si="4"/>
        <v>9413596</v>
      </c>
      <c r="V274" s="163"/>
      <c r="W274" s="163"/>
    </row>
    <row r="275" spans="1:23" s="17" customFormat="1">
      <c r="A275" s="176"/>
      <c r="B275" s="120" t="s">
        <v>446</v>
      </c>
      <c r="C275" s="177">
        <v>2025</v>
      </c>
      <c r="D275" s="80" t="s">
        <v>4096</v>
      </c>
      <c r="E275" s="8" t="s">
        <v>5875</v>
      </c>
      <c r="F275" s="1">
        <v>0</v>
      </c>
      <c r="G275" s="170"/>
      <c r="H275" s="171">
        <v>0</v>
      </c>
      <c r="I275" s="172">
        <v>0</v>
      </c>
      <c r="J275" s="171">
        <v>-7209815</v>
      </c>
      <c r="K275" s="171">
        <v>0</v>
      </c>
      <c r="L275" s="171">
        <v>0</v>
      </c>
      <c r="M275" s="171">
        <v>0</v>
      </c>
      <c r="N275" s="171">
        <v>0</v>
      </c>
      <c r="P275" s="173">
        <f t="shared" si="4"/>
        <v>7209815</v>
      </c>
      <c r="V275" s="163"/>
      <c r="W275" s="163"/>
    </row>
    <row r="276" spans="1:23" s="17" customFormat="1">
      <c r="A276" s="176"/>
      <c r="B276" s="120" t="s">
        <v>446</v>
      </c>
      <c r="C276" s="177">
        <v>2025</v>
      </c>
      <c r="D276" s="80" t="s">
        <v>4096</v>
      </c>
      <c r="E276" s="8" t="s">
        <v>5877</v>
      </c>
      <c r="F276" s="1">
        <v>0</v>
      </c>
      <c r="G276" s="170"/>
      <c r="H276" s="171">
        <v>0</v>
      </c>
      <c r="I276" s="172">
        <v>0</v>
      </c>
      <c r="J276" s="171">
        <v>-396000</v>
      </c>
      <c r="K276" s="171">
        <v>0</v>
      </c>
      <c r="L276" s="171">
        <v>0</v>
      </c>
      <c r="M276" s="171">
        <v>0</v>
      </c>
      <c r="N276" s="171">
        <v>0</v>
      </c>
      <c r="P276" s="173">
        <f t="shared" si="4"/>
        <v>396000</v>
      </c>
      <c r="V276" s="163"/>
      <c r="W276" s="163"/>
    </row>
    <row r="277" spans="1:23" s="17" customFormat="1">
      <c r="A277" s="176"/>
      <c r="B277" s="120" t="s">
        <v>446</v>
      </c>
      <c r="C277" s="177">
        <v>2025</v>
      </c>
      <c r="D277" s="80" t="s">
        <v>4096</v>
      </c>
      <c r="E277" s="8" t="s">
        <v>6044</v>
      </c>
      <c r="F277" s="1">
        <v>0</v>
      </c>
      <c r="G277" s="170"/>
      <c r="H277" s="171">
        <v>0</v>
      </c>
      <c r="I277" s="172">
        <v>0</v>
      </c>
      <c r="J277" s="171">
        <v>-1728500</v>
      </c>
      <c r="K277" s="171">
        <v>0</v>
      </c>
      <c r="L277" s="171">
        <v>0</v>
      </c>
      <c r="M277" s="171">
        <v>0</v>
      </c>
      <c r="N277" s="171">
        <v>0</v>
      </c>
      <c r="P277" s="173">
        <f t="shared" si="4"/>
        <v>1728500</v>
      </c>
      <c r="V277" s="163"/>
      <c r="W277" s="163"/>
    </row>
    <row r="278" spans="1:23" s="17" customFormat="1">
      <c r="A278" s="176"/>
      <c r="B278" s="120" t="s">
        <v>446</v>
      </c>
      <c r="C278" s="177">
        <v>2025</v>
      </c>
      <c r="D278" s="80" t="s">
        <v>4096</v>
      </c>
      <c r="E278" s="8" t="s">
        <v>6049</v>
      </c>
      <c r="F278" s="1">
        <v>0</v>
      </c>
      <c r="G278" s="170"/>
      <c r="H278" s="171">
        <v>0</v>
      </c>
      <c r="I278" s="172">
        <v>0</v>
      </c>
      <c r="J278" s="171">
        <v>-5079922</v>
      </c>
      <c r="K278" s="171">
        <v>0</v>
      </c>
      <c r="L278" s="171">
        <v>0</v>
      </c>
      <c r="M278" s="171">
        <v>0</v>
      </c>
      <c r="N278" s="171">
        <v>0</v>
      </c>
      <c r="P278" s="173">
        <f t="shared" si="4"/>
        <v>5079922</v>
      </c>
      <c r="V278" s="163"/>
      <c r="W278" s="163"/>
    </row>
    <row r="279" spans="1:23" s="17" customFormat="1">
      <c r="A279" s="176"/>
      <c r="B279" s="120" t="s">
        <v>446</v>
      </c>
      <c r="C279" s="177">
        <v>2025</v>
      </c>
      <c r="D279" s="80" t="s">
        <v>6101</v>
      </c>
      <c r="E279" s="8" t="s">
        <v>6065</v>
      </c>
      <c r="F279" s="1">
        <v>0</v>
      </c>
      <c r="G279" s="170"/>
      <c r="H279" s="171">
        <v>0</v>
      </c>
      <c r="I279" s="172">
        <v>0</v>
      </c>
      <c r="J279" s="171">
        <v>-412500</v>
      </c>
      <c r="K279" s="171">
        <v>0</v>
      </c>
      <c r="L279" s="171">
        <v>0</v>
      </c>
      <c r="M279" s="171">
        <v>0</v>
      </c>
      <c r="N279" s="171">
        <v>0</v>
      </c>
      <c r="P279" s="173">
        <f t="shared" si="4"/>
        <v>412500</v>
      </c>
      <c r="V279" s="163"/>
      <c r="W279" s="163"/>
    </row>
    <row r="280" spans="1:23" s="17" customFormat="1">
      <c r="A280" s="176"/>
      <c r="B280" s="120" t="s">
        <v>446</v>
      </c>
      <c r="C280" s="177">
        <v>2025</v>
      </c>
      <c r="D280" s="80" t="s">
        <v>3283</v>
      </c>
      <c r="E280" s="8" t="s">
        <v>6067</v>
      </c>
      <c r="F280" s="1">
        <v>0</v>
      </c>
      <c r="G280" s="170"/>
      <c r="H280" s="171">
        <v>0</v>
      </c>
      <c r="I280" s="172">
        <v>0</v>
      </c>
      <c r="J280" s="171">
        <v>-1932020</v>
      </c>
      <c r="K280" s="171">
        <v>0</v>
      </c>
      <c r="L280" s="171">
        <v>0</v>
      </c>
      <c r="M280" s="171">
        <v>0</v>
      </c>
      <c r="N280" s="171">
        <v>0</v>
      </c>
      <c r="P280" s="173">
        <f t="shared" si="4"/>
        <v>1932020</v>
      </c>
      <c r="V280" s="163"/>
      <c r="W280" s="163"/>
    </row>
    <row r="281" spans="1:23" s="17" customFormat="1">
      <c r="A281" s="176"/>
      <c r="B281" s="120" t="s">
        <v>446</v>
      </c>
      <c r="C281" s="177">
        <v>2025</v>
      </c>
      <c r="D281" s="80" t="s">
        <v>4096</v>
      </c>
      <c r="E281" s="8" t="s">
        <v>6068</v>
      </c>
      <c r="F281" s="1">
        <v>0</v>
      </c>
      <c r="G281" s="170"/>
      <c r="H281" s="171">
        <v>0</v>
      </c>
      <c r="I281" s="172">
        <v>0</v>
      </c>
      <c r="J281" s="171">
        <v>-2586350</v>
      </c>
      <c r="K281" s="171">
        <v>0</v>
      </c>
      <c r="L281" s="171">
        <v>0</v>
      </c>
      <c r="M281" s="171">
        <v>0</v>
      </c>
      <c r="N281" s="171">
        <v>0</v>
      </c>
      <c r="P281" s="173">
        <f t="shared" si="4"/>
        <v>2586350</v>
      </c>
      <c r="V281" s="163"/>
      <c r="W281" s="163"/>
    </row>
    <row r="282" spans="1:23" s="17" customFormat="1">
      <c r="A282" s="176"/>
      <c r="B282" s="120" t="s">
        <v>446</v>
      </c>
      <c r="C282" s="177">
        <v>2025</v>
      </c>
      <c r="D282" s="80" t="s">
        <v>4090</v>
      </c>
      <c r="E282" s="8" t="s">
        <v>6070</v>
      </c>
      <c r="F282" s="1">
        <v>0</v>
      </c>
      <c r="G282" s="170"/>
      <c r="H282" s="171">
        <v>0</v>
      </c>
      <c r="I282" s="172">
        <v>0</v>
      </c>
      <c r="J282" s="171">
        <v>-11290500</v>
      </c>
      <c r="K282" s="171">
        <v>0</v>
      </c>
      <c r="L282" s="171">
        <v>0</v>
      </c>
      <c r="M282" s="171">
        <v>0</v>
      </c>
      <c r="N282" s="171">
        <v>0</v>
      </c>
      <c r="P282" s="173">
        <f t="shared" si="4"/>
        <v>11290500</v>
      </c>
      <c r="V282" s="163"/>
      <c r="W282" s="163"/>
    </row>
    <row r="283" spans="1:23" s="17" customFormat="1">
      <c r="A283" s="176"/>
      <c r="B283" s="120" t="s">
        <v>446</v>
      </c>
      <c r="C283" s="177">
        <v>2025</v>
      </c>
      <c r="D283" s="80" t="s">
        <v>4096</v>
      </c>
      <c r="E283" s="8" t="s">
        <v>6072</v>
      </c>
      <c r="F283" s="1">
        <v>0</v>
      </c>
      <c r="G283" s="170"/>
      <c r="H283" s="171">
        <v>0</v>
      </c>
      <c r="I283" s="172">
        <v>0</v>
      </c>
      <c r="J283" s="171">
        <v>-8393955</v>
      </c>
      <c r="K283" s="171">
        <v>0</v>
      </c>
      <c r="L283" s="171">
        <v>0</v>
      </c>
      <c r="M283" s="171">
        <v>0</v>
      </c>
      <c r="N283" s="171">
        <v>0</v>
      </c>
      <c r="P283" s="173">
        <f t="shared" si="4"/>
        <v>8393955</v>
      </c>
      <c r="V283" s="163"/>
      <c r="W283" s="163"/>
    </row>
    <row r="284" spans="1:23" s="17" customFormat="1">
      <c r="A284" s="176"/>
      <c r="B284" s="120" t="s">
        <v>446</v>
      </c>
      <c r="C284" s="177">
        <v>2025</v>
      </c>
      <c r="D284" s="80" t="s">
        <v>6101</v>
      </c>
      <c r="E284" s="8" t="s">
        <v>6074</v>
      </c>
      <c r="F284" s="1">
        <v>0</v>
      </c>
      <c r="G284" s="170"/>
      <c r="H284" s="171">
        <v>0</v>
      </c>
      <c r="I284" s="172">
        <v>0</v>
      </c>
      <c r="J284" s="171">
        <v>-15485760</v>
      </c>
      <c r="K284" s="171">
        <v>0</v>
      </c>
      <c r="L284" s="171">
        <v>0</v>
      </c>
      <c r="M284" s="171">
        <v>0</v>
      </c>
      <c r="N284" s="171">
        <v>0</v>
      </c>
      <c r="P284" s="173">
        <f t="shared" si="4"/>
        <v>15485760</v>
      </c>
      <c r="V284" s="163"/>
      <c r="W284" s="163"/>
    </row>
    <row r="285" spans="1:23" s="17" customFormat="1">
      <c r="A285" s="176"/>
      <c r="B285" s="120" t="s">
        <v>446</v>
      </c>
      <c r="C285" s="177">
        <v>2025</v>
      </c>
      <c r="D285" s="80" t="s">
        <v>4096</v>
      </c>
      <c r="E285" s="8" t="s">
        <v>6075</v>
      </c>
      <c r="F285" s="1">
        <v>0</v>
      </c>
      <c r="G285" s="170"/>
      <c r="H285" s="171">
        <v>0</v>
      </c>
      <c r="I285" s="172">
        <v>0</v>
      </c>
      <c r="J285" s="171">
        <v>-7961399</v>
      </c>
      <c r="K285" s="171">
        <v>0</v>
      </c>
      <c r="L285" s="171">
        <v>0</v>
      </c>
      <c r="M285" s="171">
        <v>0</v>
      </c>
      <c r="N285" s="171">
        <v>0</v>
      </c>
      <c r="P285" s="173">
        <f t="shared" si="4"/>
        <v>7961399</v>
      </c>
      <c r="V285" s="163"/>
      <c r="W285" s="163"/>
    </row>
    <row r="286" spans="1:23" s="17" customFormat="1">
      <c r="A286" s="176"/>
      <c r="B286" s="120" t="s">
        <v>446</v>
      </c>
      <c r="C286" s="177">
        <v>2025</v>
      </c>
      <c r="D286" s="80" t="s">
        <v>6540</v>
      </c>
      <c r="E286" s="8" t="s">
        <v>6102</v>
      </c>
      <c r="F286" s="1">
        <v>0</v>
      </c>
      <c r="G286" s="170"/>
      <c r="H286" s="171">
        <v>0</v>
      </c>
      <c r="I286" s="172">
        <v>0</v>
      </c>
      <c r="J286" s="171">
        <v>-10000000</v>
      </c>
      <c r="K286" s="171">
        <v>0</v>
      </c>
      <c r="L286" s="171">
        <v>0</v>
      </c>
      <c r="M286" s="171">
        <v>0</v>
      </c>
      <c r="N286" s="171">
        <v>0</v>
      </c>
      <c r="P286" s="173">
        <f t="shared" si="4"/>
        <v>10000000</v>
      </c>
      <c r="V286" s="163"/>
      <c r="W286" s="163"/>
    </row>
    <row r="287" spans="1:23" s="17" customFormat="1">
      <c r="A287" s="176"/>
      <c r="B287" s="120" t="s">
        <v>446</v>
      </c>
      <c r="C287" s="177">
        <v>2025</v>
      </c>
      <c r="D287" s="80" t="s">
        <v>4096</v>
      </c>
      <c r="E287" s="8" t="s">
        <v>6077</v>
      </c>
      <c r="F287" s="1">
        <v>0</v>
      </c>
      <c r="G287" s="170"/>
      <c r="H287" s="171">
        <v>0</v>
      </c>
      <c r="I287" s="172">
        <v>0</v>
      </c>
      <c r="J287" s="171">
        <v>-1872239</v>
      </c>
      <c r="K287" s="171">
        <v>0</v>
      </c>
      <c r="L287" s="171">
        <v>0</v>
      </c>
      <c r="M287" s="171">
        <v>0</v>
      </c>
      <c r="N287" s="171">
        <v>0</v>
      </c>
      <c r="P287" s="173">
        <f t="shared" si="4"/>
        <v>1872239</v>
      </c>
      <c r="V287" s="163"/>
      <c r="W287" s="163"/>
    </row>
    <row r="288" spans="1:23" s="17" customFormat="1">
      <c r="A288" s="176"/>
      <c r="B288" s="120" t="s">
        <v>446</v>
      </c>
      <c r="C288" s="177">
        <v>2025</v>
      </c>
      <c r="D288" s="80" t="s">
        <v>5999</v>
      </c>
      <c r="E288" s="8" t="s">
        <v>6078</v>
      </c>
      <c r="F288" s="1">
        <v>0</v>
      </c>
      <c r="G288" s="170"/>
      <c r="H288" s="171">
        <v>0</v>
      </c>
      <c r="I288" s="172">
        <v>0</v>
      </c>
      <c r="J288" s="171">
        <v>-1387800</v>
      </c>
      <c r="K288" s="171">
        <v>0</v>
      </c>
      <c r="L288" s="171">
        <v>0</v>
      </c>
      <c r="M288" s="171">
        <v>0</v>
      </c>
      <c r="N288" s="171">
        <v>0</v>
      </c>
      <c r="P288" s="173">
        <f t="shared" si="4"/>
        <v>1387800</v>
      </c>
      <c r="V288" s="163"/>
      <c r="W288" s="163"/>
    </row>
    <row r="289" spans="1:23" s="17" customFormat="1">
      <c r="A289" s="176"/>
      <c r="B289" s="120" t="s">
        <v>446</v>
      </c>
      <c r="C289" s="177">
        <v>2025</v>
      </c>
      <c r="D289" s="80" t="s">
        <v>4096</v>
      </c>
      <c r="E289" s="8" t="s">
        <v>6079</v>
      </c>
      <c r="F289" s="1">
        <v>0</v>
      </c>
      <c r="G289" s="170"/>
      <c r="H289" s="171">
        <v>0</v>
      </c>
      <c r="I289" s="172">
        <v>0</v>
      </c>
      <c r="J289" s="171">
        <v>-13749509</v>
      </c>
      <c r="K289" s="171">
        <v>0</v>
      </c>
      <c r="L289" s="171">
        <v>0</v>
      </c>
      <c r="M289" s="171">
        <v>0</v>
      </c>
      <c r="N289" s="171">
        <v>0</v>
      </c>
      <c r="P289" s="173">
        <f t="shared" si="4"/>
        <v>13749509</v>
      </c>
      <c r="V289" s="163"/>
      <c r="W289" s="163"/>
    </row>
    <row r="290" spans="1:23" s="17" customFormat="1">
      <c r="A290" s="176"/>
      <c r="B290" s="120" t="s">
        <v>446</v>
      </c>
      <c r="C290" s="177">
        <v>2025</v>
      </c>
      <c r="D290" s="80" t="s">
        <v>5999</v>
      </c>
      <c r="E290" s="8" t="s">
        <v>6080</v>
      </c>
      <c r="F290" s="1">
        <v>0</v>
      </c>
      <c r="G290" s="170"/>
      <c r="H290" s="171">
        <v>0</v>
      </c>
      <c r="I290" s="172">
        <v>0</v>
      </c>
      <c r="J290" s="171">
        <v>-9502310</v>
      </c>
      <c r="K290" s="171">
        <v>0</v>
      </c>
      <c r="L290" s="171">
        <v>0</v>
      </c>
      <c r="M290" s="171">
        <v>0</v>
      </c>
      <c r="N290" s="171">
        <v>0</v>
      </c>
      <c r="P290" s="173">
        <f t="shared" si="4"/>
        <v>9502310</v>
      </c>
      <c r="V290" s="163"/>
      <c r="W290" s="163"/>
    </row>
    <row r="291" spans="1:23" s="17" customFormat="1">
      <c r="A291" s="176"/>
      <c r="B291" s="120" t="s">
        <v>446</v>
      </c>
      <c r="C291" s="177">
        <v>2025</v>
      </c>
      <c r="D291" s="80" t="s">
        <v>5751</v>
      </c>
      <c r="E291" s="8" t="s">
        <v>6290</v>
      </c>
      <c r="F291" s="1">
        <v>0</v>
      </c>
      <c r="G291" s="170"/>
      <c r="H291" s="171">
        <v>0</v>
      </c>
      <c r="I291" s="172">
        <v>0</v>
      </c>
      <c r="J291" s="171">
        <v>-45612813</v>
      </c>
      <c r="K291" s="171">
        <v>0</v>
      </c>
      <c r="L291" s="171">
        <v>0</v>
      </c>
      <c r="M291" s="171">
        <v>0</v>
      </c>
      <c r="N291" s="171">
        <v>0</v>
      </c>
      <c r="P291" s="173">
        <f t="shared" si="4"/>
        <v>45612813</v>
      </c>
      <c r="V291" s="163"/>
      <c r="W291" s="163"/>
    </row>
    <row r="292" spans="1:23" s="17" customFormat="1">
      <c r="A292" s="176"/>
      <c r="B292" s="120" t="s">
        <v>446</v>
      </c>
      <c r="C292" s="177">
        <v>2025</v>
      </c>
      <c r="D292" s="80" t="s">
        <v>6101</v>
      </c>
      <c r="E292" s="8" t="s">
        <v>6417</v>
      </c>
      <c r="F292" s="1">
        <v>0</v>
      </c>
      <c r="G292" s="170"/>
      <c r="H292" s="171">
        <v>0</v>
      </c>
      <c r="I292" s="172">
        <v>0</v>
      </c>
      <c r="J292" s="171">
        <v>-1370000</v>
      </c>
      <c r="K292" s="171">
        <v>0</v>
      </c>
      <c r="L292" s="171">
        <v>0</v>
      </c>
      <c r="M292" s="171">
        <v>0</v>
      </c>
      <c r="N292" s="171">
        <v>0</v>
      </c>
      <c r="P292" s="173">
        <f t="shared" si="4"/>
        <v>1370000</v>
      </c>
      <c r="V292" s="163"/>
      <c r="W292" s="163"/>
    </row>
    <row r="293" spans="1:23" s="17" customFormat="1">
      <c r="A293" s="176"/>
      <c r="B293" s="120" t="s">
        <v>446</v>
      </c>
      <c r="C293" s="177">
        <v>2025</v>
      </c>
      <c r="D293" s="80" t="s">
        <v>5751</v>
      </c>
      <c r="E293" s="8" t="s">
        <v>6424</v>
      </c>
      <c r="F293" s="1">
        <v>0</v>
      </c>
      <c r="G293" s="170"/>
      <c r="H293" s="171">
        <v>0</v>
      </c>
      <c r="I293" s="172">
        <v>0</v>
      </c>
      <c r="J293" s="171">
        <v>-4175570</v>
      </c>
      <c r="K293" s="171">
        <v>0</v>
      </c>
      <c r="L293" s="171">
        <v>0</v>
      </c>
      <c r="M293" s="171">
        <v>0</v>
      </c>
      <c r="N293" s="171">
        <v>0</v>
      </c>
      <c r="P293" s="173">
        <f t="shared" si="4"/>
        <v>4175570</v>
      </c>
      <c r="V293" s="163"/>
      <c r="W293" s="163"/>
    </row>
    <row r="294" spans="1:23" s="17" customFormat="1">
      <c r="A294" s="176"/>
      <c r="B294" s="120" t="s">
        <v>446</v>
      </c>
      <c r="C294" s="177">
        <v>2025</v>
      </c>
      <c r="D294" s="80" t="s">
        <v>4096</v>
      </c>
      <c r="E294" s="8" t="s">
        <v>6425</v>
      </c>
      <c r="F294" s="1">
        <v>0</v>
      </c>
      <c r="G294" s="170"/>
      <c r="H294" s="171">
        <v>0</v>
      </c>
      <c r="I294" s="172">
        <v>0</v>
      </c>
      <c r="J294" s="171">
        <v>-12531000</v>
      </c>
      <c r="K294" s="171">
        <v>0</v>
      </c>
      <c r="L294" s="171">
        <v>0</v>
      </c>
      <c r="M294" s="171">
        <v>0</v>
      </c>
      <c r="N294" s="171">
        <v>0</v>
      </c>
      <c r="P294" s="173">
        <f t="shared" si="4"/>
        <v>12531000</v>
      </c>
      <c r="V294" s="163"/>
      <c r="W294" s="163"/>
    </row>
    <row r="295" spans="1:23" s="17" customFormat="1">
      <c r="A295" s="176"/>
      <c r="B295" s="120" t="s">
        <v>446</v>
      </c>
      <c r="C295" s="177">
        <v>2025</v>
      </c>
      <c r="D295" s="80" t="s">
        <v>4096</v>
      </c>
      <c r="E295" s="8" t="s">
        <v>6427</v>
      </c>
      <c r="F295" s="1">
        <v>0</v>
      </c>
      <c r="G295" s="170"/>
      <c r="H295" s="171">
        <v>0</v>
      </c>
      <c r="I295" s="172">
        <v>0</v>
      </c>
      <c r="J295" s="171">
        <v>-2281300</v>
      </c>
      <c r="K295" s="171">
        <v>0</v>
      </c>
      <c r="L295" s="171">
        <v>0</v>
      </c>
      <c r="M295" s="171">
        <v>0</v>
      </c>
      <c r="N295" s="171">
        <v>0</v>
      </c>
      <c r="P295" s="173">
        <f t="shared" si="4"/>
        <v>2281300</v>
      </c>
      <c r="V295" s="163"/>
      <c r="W295" s="163"/>
    </row>
    <row r="296" spans="1:23" s="17" customFormat="1">
      <c r="A296" s="176"/>
      <c r="B296" s="120" t="s">
        <v>446</v>
      </c>
      <c r="C296" s="177">
        <v>2025</v>
      </c>
      <c r="D296" s="80" t="s">
        <v>4089</v>
      </c>
      <c r="E296" s="8" t="s">
        <v>6431</v>
      </c>
      <c r="F296" s="1">
        <v>0</v>
      </c>
      <c r="G296" s="170"/>
      <c r="H296" s="171">
        <v>0</v>
      </c>
      <c r="I296" s="172">
        <v>0</v>
      </c>
      <c r="J296" s="171">
        <v>-4518484</v>
      </c>
      <c r="K296" s="171">
        <v>0</v>
      </c>
      <c r="L296" s="171">
        <v>0</v>
      </c>
      <c r="M296" s="171">
        <v>0</v>
      </c>
      <c r="N296" s="171">
        <v>0</v>
      </c>
      <c r="P296" s="173">
        <f t="shared" si="4"/>
        <v>4518484</v>
      </c>
      <c r="V296" s="163"/>
      <c r="W296" s="163"/>
    </row>
    <row r="297" spans="1:23" s="17" customFormat="1">
      <c r="A297" s="176"/>
      <c r="B297" s="120" t="s">
        <v>446</v>
      </c>
      <c r="C297" s="177">
        <v>2025</v>
      </c>
      <c r="D297" s="80" t="s">
        <v>6001</v>
      </c>
      <c r="E297" s="8" t="s">
        <v>6432</v>
      </c>
      <c r="F297" s="1">
        <v>0</v>
      </c>
      <c r="G297" s="170"/>
      <c r="H297" s="171">
        <v>0</v>
      </c>
      <c r="I297" s="172">
        <v>0</v>
      </c>
      <c r="J297" s="171">
        <v>-12765014</v>
      </c>
      <c r="K297" s="171">
        <v>0</v>
      </c>
      <c r="L297" s="171">
        <v>0</v>
      </c>
      <c r="M297" s="171">
        <v>0</v>
      </c>
      <c r="N297" s="171">
        <v>0</v>
      </c>
      <c r="P297" s="173">
        <f t="shared" si="4"/>
        <v>12765014</v>
      </c>
      <c r="V297" s="163"/>
      <c r="W297" s="163"/>
    </row>
    <row r="298" spans="1:23" s="17" customFormat="1">
      <c r="A298" s="176"/>
      <c r="B298" s="120" t="s">
        <v>446</v>
      </c>
      <c r="C298" s="177">
        <v>2025</v>
      </c>
      <c r="D298" s="80" t="s">
        <v>6101</v>
      </c>
      <c r="E298" s="8" t="s">
        <v>6433</v>
      </c>
      <c r="F298" s="1">
        <v>0</v>
      </c>
      <c r="G298" s="170"/>
      <c r="H298" s="171">
        <v>0</v>
      </c>
      <c r="I298" s="172">
        <v>0</v>
      </c>
      <c r="J298" s="171">
        <v>-1298545</v>
      </c>
      <c r="K298" s="171">
        <v>0</v>
      </c>
      <c r="L298" s="171">
        <v>0</v>
      </c>
      <c r="M298" s="171">
        <v>0</v>
      </c>
      <c r="N298" s="171">
        <v>0</v>
      </c>
      <c r="P298" s="173">
        <f t="shared" si="4"/>
        <v>1298545</v>
      </c>
      <c r="V298" s="163"/>
      <c r="W298" s="163"/>
    </row>
    <row r="299" spans="1:23" s="17" customFormat="1">
      <c r="A299" s="176"/>
      <c r="B299" s="120" t="s">
        <v>446</v>
      </c>
      <c r="C299" s="177">
        <v>2025</v>
      </c>
      <c r="D299" s="80" t="s">
        <v>6472</v>
      </c>
      <c r="E299" s="8" t="s">
        <v>6434</v>
      </c>
      <c r="F299" s="1">
        <v>0</v>
      </c>
      <c r="G299" s="170"/>
      <c r="H299" s="171">
        <v>0</v>
      </c>
      <c r="I299" s="172">
        <v>0</v>
      </c>
      <c r="J299" s="171">
        <v>-106558618</v>
      </c>
      <c r="K299" s="171">
        <v>0</v>
      </c>
      <c r="L299" s="171">
        <v>0</v>
      </c>
      <c r="M299" s="171">
        <v>0</v>
      </c>
      <c r="N299" s="171">
        <v>0</v>
      </c>
      <c r="P299" s="173">
        <f t="shared" si="4"/>
        <v>106558618</v>
      </c>
      <c r="V299" s="163"/>
      <c r="W299" s="163"/>
    </row>
    <row r="300" spans="1:23" s="17" customFormat="1">
      <c r="A300" s="176"/>
      <c r="B300" s="120" t="s">
        <v>446</v>
      </c>
      <c r="C300" s="177">
        <v>2025</v>
      </c>
      <c r="D300" s="80" t="s">
        <v>6101</v>
      </c>
      <c r="E300" s="8" t="s">
        <v>6435</v>
      </c>
      <c r="F300" s="1">
        <v>0</v>
      </c>
      <c r="G300" s="170"/>
      <c r="H300" s="171">
        <v>0</v>
      </c>
      <c r="I300" s="172">
        <v>0</v>
      </c>
      <c r="J300" s="171">
        <v>-1500745</v>
      </c>
      <c r="K300" s="171">
        <v>0</v>
      </c>
      <c r="L300" s="171">
        <v>0</v>
      </c>
      <c r="M300" s="171">
        <v>0</v>
      </c>
      <c r="N300" s="171">
        <v>0</v>
      </c>
      <c r="P300" s="173">
        <f t="shared" si="4"/>
        <v>1500745</v>
      </c>
      <c r="V300" s="163"/>
      <c r="W300" s="163"/>
    </row>
    <row r="301" spans="1:23" s="17" customFormat="1">
      <c r="A301" s="176"/>
      <c r="B301" s="120" t="s">
        <v>446</v>
      </c>
      <c r="C301" s="177">
        <v>2025</v>
      </c>
      <c r="D301" s="40" t="s">
        <v>2325</v>
      </c>
      <c r="E301" s="8" t="s">
        <v>1340</v>
      </c>
      <c r="F301" s="1">
        <v>0</v>
      </c>
      <c r="G301" s="170"/>
      <c r="H301" s="171">
        <v>0</v>
      </c>
      <c r="I301" s="172">
        <v>0</v>
      </c>
      <c r="J301" s="171">
        <v>0</v>
      </c>
      <c r="K301" s="171">
        <v>-9768000</v>
      </c>
      <c r="L301" s="171">
        <v>0</v>
      </c>
      <c r="M301" s="171">
        <v>0</v>
      </c>
      <c r="N301" s="171">
        <v>0</v>
      </c>
      <c r="P301" s="173">
        <f t="shared" si="4"/>
        <v>9768000</v>
      </c>
      <c r="V301" s="163"/>
      <c r="W301" s="163"/>
    </row>
    <row r="302" spans="1:23" s="17" customFormat="1">
      <c r="A302" s="176"/>
      <c r="B302" s="120" t="s">
        <v>446</v>
      </c>
      <c r="C302" s="177">
        <v>2025</v>
      </c>
      <c r="D302" s="40" t="s">
        <v>1639</v>
      </c>
      <c r="E302" s="8" t="s">
        <v>2374</v>
      </c>
      <c r="F302" s="1">
        <v>0</v>
      </c>
      <c r="G302" s="170"/>
      <c r="H302" s="171">
        <v>0</v>
      </c>
      <c r="I302" s="172">
        <v>0</v>
      </c>
      <c r="J302" s="171">
        <v>0</v>
      </c>
      <c r="K302" s="171">
        <v>-1565953</v>
      </c>
      <c r="L302" s="171">
        <v>0</v>
      </c>
      <c r="M302" s="171">
        <v>0</v>
      </c>
      <c r="N302" s="171">
        <v>0</v>
      </c>
      <c r="P302" s="173">
        <f t="shared" si="4"/>
        <v>1565953</v>
      </c>
      <c r="V302" s="163"/>
      <c r="W302" s="163"/>
    </row>
    <row r="303" spans="1:23" s="17" customFormat="1">
      <c r="A303" s="176"/>
      <c r="B303" s="120" t="s">
        <v>446</v>
      </c>
      <c r="C303" s="177">
        <v>2025</v>
      </c>
      <c r="D303" s="80" t="s">
        <v>1461</v>
      </c>
      <c r="E303" s="8" t="s">
        <v>5916</v>
      </c>
      <c r="F303" s="1">
        <v>0</v>
      </c>
      <c r="G303" s="170"/>
      <c r="H303" s="171">
        <v>0</v>
      </c>
      <c r="I303" s="172">
        <v>0</v>
      </c>
      <c r="J303" s="171">
        <v>0</v>
      </c>
      <c r="K303" s="171">
        <v>0</v>
      </c>
      <c r="L303" s="171">
        <v>-502500</v>
      </c>
      <c r="M303" s="171">
        <v>0</v>
      </c>
      <c r="N303" s="171">
        <v>0</v>
      </c>
      <c r="P303" s="173">
        <f t="shared" si="4"/>
        <v>502500</v>
      </c>
      <c r="V303" s="163"/>
      <c r="W303" s="163"/>
    </row>
    <row r="304" spans="1:23" s="17" customFormat="1">
      <c r="A304" s="176"/>
      <c r="B304" s="120" t="s">
        <v>446</v>
      </c>
      <c r="C304" s="177">
        <v>2025</v>
      </c>
      <c r="D304" s="80" t="s">
        <v>1461</v>
      </c>
      <c r="E304" s="8" t="s">
        <v>1462</v>
      </c>
      <c r="F304" s="1">
        <v>0</v>
      </c>
      <c r="G304" s="170"/>
      <c r="H304" s="171">
        <v>0</v>
      </c>
      <c r="I304" s="172">
        <v>0</v>
      </c>
      <c r="J304" s="171">
        <v>0</v>
      </c>
      <c r="K304" s="171">
        <v>0</v>
      </c>
      <c r="L304" s="171">
        <v>-28325</v>
      </c>
      <c r="M304" s="171">
        <v>0</v>
      </c>
      <c r="N304" s="171">
        <v>0</v>
      </c>
      <c r="P304" s="173">
        <f t="shared" si="4"/>
        <v>28325</v>
      </c>
      <c r="V304" s="163"/>
      <c r="W304" s="163"/>
    </row>
    <row r="305" spans="1:23" s="17" customFormat="1">
      <c r="A305" s="176"/>
      <c r="B305" s="120" t="s">
        <v>446</v>
      </c>
      <c r="C305" s="177">
        <v>2025</v>
      </c>
      <c r="D305" s="80" t="s">
        <v>1461</v>
      </c>
      <c r="E305" s="8" t="s">
        <v>1463</v>
      </c>
      <c r="F305" s="1">
        <v>0</v>
      </c>
      <c r="G305" s="170"/>
      <c r="H305" s="171">
        <v>0</v>
      </c>
      <c r="I305" s="172">
        <v>0</v>
      </c>
      <c r="J305" s="171">
        <v>0</v>
      </c>
      <c r="K305" s="171">
        <v>0</v>
      </c>
      <c r="L305" s="171">
        <v>-25000</v>
      </c>
      <c r="M305" s="171">
        <v>0</v>
      </c>
      <c r="N305" s="171">
        <v>0</v>
      </c>
      <c r="P305" s="173">
        <f t="shared" si="4"/>
        <v>25000</v>
      </c>
      <c r="V305" s="163"/>
      <c r="W305" s="163"/>
    </row>
    <row r="306" spans="1:23" s="17" customFormat="1">
      <c r="A306" s="176"/>
      <c r="B306" s="120" t="s">
        <v>446</v>
      </c>
      <c r="C306" s="177">
        <v>2025</v>
      </c>
      <c r="D306" s="80" t="s">
        <v>6539</v>
      </c>
      <c r="E306" s="8" t="s">
        <v>4311</v>
      </c>
      <c r="F306" s="1">
        <v>0</v>
      </c>
      <c r="G306" s="170"/>
      <c r="H306" s="171">
        <v>0</v>
      </c>
      <c r="I306" s="172">
        <v>0</v>
      </c>
      <c r="J306" s="171">
        <v>0</v>
      </c>
      <c r="K306" s="171">
        <v>0</v>
      </c>
      <c r="L306" s="171">
        <v>-202500</v>
      </c>
      <c r="M306" s="171">
        <v>0</v>
      </c>
      <c r="N306" s="171">
        <v>0</v>
      </c>
      <c r="P306" s="173">
        <f t="shared" si="4"/>
        <v>202500</v>
      </c>
      <c r="V306" s="163"/>
      <c r="W306" s="163"/>
    </row>
    <row r="307" spans="1:23" s="17" customFormat="1">
      <c r="A307" s="176"/>
      <c r="B307" s="120" t="s">
        <v>446</v>
      </c>
      <c r="C307" s="177">
        <v>2025</v>
      </c>
      <c r="D307" s="80" t="s">
        <v>2324</v>
      </c>
      <c r="E307" s="8" t="s">
        <v>4335</v>
      </c>
      <c r="F307" s="1">
        <v>0</v>
      </c>
      <c r="G307" s="170"/>
      <c r="H307" s="171">
        <v>0</v>
      </c>
      <c r="I307" s="172">
        <v>0</v>
      </c>
      <c r="J307" s="171">
        <v>0</v>
      </c>
      <c r="K307" s="171">
        <v>0</v>
      </c>
      <c r="L307" s="171">
        <v>-20000</v>
      </c>
      <c r="M307" s="171">
        <v>0</v>
      </c>
      <c r="N307" s="171">
        <v>0</v>
      </c>
      <c r="P307" s="173">
        <f t="shared" si="4"/>
        <v>20000</v>
      </c>
      <c r="V307" s="163"/>
      <c r="W307" s="163"/>
    </row>
    <row r="308" spans="1:23" s="17" customFormat="1">
      <c r="A308" s="176"/>
      <c r="B308" s="120" t="s">
        <v>446</v>
      </c>
      <c r="C308" s="177">
        <v>2025</v>
      </c>
      <c r="D308" s="80" t="s">
        <v>2324</v>
      </c>
      <c r="E308" s="8" t="s">
        <v>4336</v>
      </c>
      <c r="F308" s="1">
        <v>0</v>
      </c>
      <c r="G308" s="170"/>
      <c r="H308" s="171">
        <v>0</v>
      </c>
      <c r="I308" s="172">
        <v>0</v>
      </c>
      <c r="J308" s="171">
        <v>0</v>
      </c>
      <c r="K308" s="171">
        <v>0</v>
      </c>
      <c r="L308" s="171">
        <v>-100000</v>
      </c>
      <c r="M308" s="171">
        <v>0</v>
      </c>
      <c r="N308" s="171">
        <v>0</v>
      </c>
      <c r="P308" s="173">
        <f t="shared" si="4"/>
        <v>100000</v>
      </c>
      <c r="V308" s="163"/>
      <c r="W308" s="163"/>
    </row>
    <row r="309" spans="1:23" s="17" customFormat="1">
      <c r="A309" s="176"/>
      <c r="B309" s="120" t="s">
        <v>446</v>
      </c>
      <c r="C309" s="177">
        <v>2025</v>
      </c>
      <c r="D309" s="80" t="s">
        <v>2324</v>
      </c>
      <c r="E309" s="8" t="s">
        <v>4356</v>
      </c>
      <c r="F309" s="1">
        <v>0</v>
      </c>
      <c r="G309" s="170"/>
      <c r="H309" s="171">
        <v>0</v>
      </c>
      <c r="I309" s="172">
        <v>0</v>
      </c>
      <c r="J309" s="171">
        <v>0</v>
      </c>
      <c r="K309" s="171">
        <v>0</v>
      </c>
      <c r="L309" s="171">
        <v>-51000</v>
      </c>
      <c r="M309" s="171">
        <v>0</v>
      </c>
      <c r="N309" s="171">
        <v>0</v>
      </c>
      <c r="P309" s="173">
        <f t="shared" si="4"/>
        <v>51000</v>
      </c>
      <c r="V309" s="163"/>
      <c r="W309" s="163"/>
    </row>
    <row r="310" spans="1:23" s="17" customFormat="1">
      <c r="A310" s="176"/>
      <c r="B310" s="120" t="s">
        <v>446</v>
      </c>
      <c r="C310" s="177">
        <v>2025</v>
      </c>
      <c r="D310" s="80" t="s">
        <v>2324</v>
      </c>
      <c r="E310" s="8" t="s">
        <v>4357</v>
      </c>
      <c r="F310" s="1">
        <v>0</v>
      </c>
      <c r="G310" s="170"/>
      <c r="H310" s="171">
        <v>0</v>
      </c>
      <c r="I310" s="172">
        <v>0</v>
      </c>
      <c r="J310" s="171">
        <v>0</v>
      </c>
      <c r="K310" s="171">
        <v>0</v>
      </c>
      <c r="L310" s="171">
        <v>-50000</v>
      </c>
      <c r="M310" s="171">
        <v>0</v>
      </c>
      <c r="N310" s="171">
        <v>0</v>
      </c>
      <c r="P310" s="173">
        <f t="shared" si="4"/>
        <v>50000</v>
      </c>
      <c r="V310" s="163"/>
      <c r="W310" s="163"/>
    </row>
    <row r="311" spans="1:23" s="17" customFormat="1">
      <c r="A311" s="176"/>
      <c r="B311" s="120" t="s">
        <v>446</v>
      </c>
      <c r="C311" s="177">
        <v>2025</v>
      </c>
      <c r="D311" s="80" t="s">
        <v>2324</v>
      </c>
      <c r="E311" s="8" t="s">
        <v>4358</v>
      </c>
      <c r="F311" s="1">
        <v>0</v>
      </c>
      <c r="G311" s="170"/>
      <c r="H311" s="171">
        <v>0</v>
      </c>
      <c r="I311" s="172">
        <v>0</v>
      </c>
      <c r="J311" s="171">
        <v>0</v>
      </c>
      <c r="K311" s="171">
        <v>0</v>
      </c>
      <c r="L311" s="171">
        <v>-57600</v>
      </c>
      <c r="M311" s="171">
        <v>0</v>
      </c>
      <c r="N311" s="171">
        <v>0</v>
      </c>
      <c r="P311" s="173">
        <f t="shared" si="4"/>
        <v>57600</v>
      </c>
      <c r="V311" s="163"/>
      <c r="W311" s="163"/>
    </row>
    <row r="312" spans="1:23" s="17" customFormat="1">
      <c r="A312" s="176"/>
      <c r="B312" s="120" t="s">
        <v>446</v>
      </c>
      <c r="C312" s="177">
        <v>2025</v>
      </c>
      <c r="D312" s="80" t="s">
        <v>2324</v>
      </c>
      <c r="E312" s="8" t="s">
        <v>4359</v>
      </c>
      <c r="F312" s="1">
        <v>0</v>
      </c>
      <c r="G312" s="170"/>
      <c r="H312" s="171">
        <v>0</v>
      </c>
      <c r="I312" s="172">
        <v>0</v>
      </c>
      <c r="J312" s="171">
        <v>0</v>
      </c>
      <c r="K312" s="171">
        <v>0</v>
      </c>
      <c r="L312" s="171">
        <v>-30000</v>
      </c>
      <c r="M312" s="171">
        <v>0</v>
      </c>
      <c r="N312" s="171">
        <v>0</v>
      </c>
      <c r="P312" s="173">
        <f t="shared" si="4"/>
        <v>30000</v>
      </c>
      <c r="V312" s="163"/>
      <c r="W312" s="163"/>
    </row>
    <row r="313" spans="1:23" s="17" customFormat="1">
      <c r="A313" s="176"/>
      <c r="B313" s="120" t="s">
        <v>446</v>
      </c>
      <c r="C313" s="177">
        <v>2025</v>
      </c>
      <c r="D313" s="80" t="s">
        <v>2324</v>
      </c>
      <c r="E313" s="8" t="s">
        <v>4360</v>
      </c>
      <c r="F313" s="1">
        <v>0</v>
      </c>
      <c r="G313" s="170"/>
      <c r="H313" s="171">
        <v>0</v>
      </c>
      <c r="I313" s="172">
        <v>0</v>
      </c>
      <c r="J313" s="171">
        <v>0</v>
      </c>
      <c r="K313" s="171">
        <v>0</v>
      </c>
      <c r="L313" s="171">
        <v>-63600</v>
      </c>
      <c r="M313" s="171">
        <v>0</v>
      </c>
      <c r="N313" s="171">
        <v>0</v>
      </c>
      <c r="P313" s="173">
        <f t="shared" si="4"/>
        <v>63600</v>
      </c>
      <c r="V313" s="163"/>
      <c r="W313" s="163"/>
    </row>
    <row r="314" spans="1:23" s="17" customFormat="1">
      <c r="A314" s="176"/>
      <c r="B314" s="120" t="s">
        <v>446</v>
      </c>
      <c r="C314" s="177">
        <v>2025</v>
      </c>
      <c r="D314" s="80" t="s">
        <v>2324</v>
      </c>
      <c r="E314" s="8" t="s">
        <v>4361</v>
      </c>
      <c r="F314" s="1">
        <v>0</v>
      </c>
      <c r="G314" s="170"/>
      <c r="H314" s="171">
        <v>0</v>
      </c>
      <c r="I314" s="172">
        <v>0</v>
      </c>
      <c r="J314" s="171">
        <v>0</v>
      </c>
      <c r="K314" s="171">
        <v>0</v>
      </c>
      <c r="L314" s="171">
        <v>-50000</v>
      </c>
      <c r="M314" s="171">
        <v>0</v>
      </c>
      <c r="N314" s="171">
        <v>0</v>
      </c>
      <c r="P314" s="173">
        <f t="shared" si="4"/>
        <v>50000</v>
      </c>
      <c r="V314" s="163"/>
      <c r="W314" s="163"/>
    </row>
    <row r="315" spans="1:23" s="17" customFormat="1">
      <c r="A315" s="176"/>
      <c r="B315" s="120" t="s">
        <v>446</v>
      </c>
      <c r="C315" s="177">
        <v>2025</v>
      </c>
      <c r="D315" s="80" t="s">
        <v>4093</v>
      </c>
      <c r="E315" s="8" t="s">
        <v>4522</v>
      </c>
      <c r="F315" s="1">
        <v>0</v>
      </c>
      <c r="G315" s="170"/>
      <c r="H315" s="171">
        <v>0</v>
      </c>
      <c r="I315" s="172">
        <v>0</v>
      </c>
      <c r="J315" s="171">
        <v>0</v>
      </c>
      <c r="K315" s="171">
        <v>0</v>
      </c>
      <c r="L315" s="171">
        <v>-243982</v>
      </c>
      <c r="M315" s="171">
        <v>0</v>
      </c>
      <c r="N315" s="171">
        <v>0</v>
      </c>
      <c r="P315" s="173">
        <f t="shared" si="4"/>
        <v>243982</v>
      </c>
      <c r="V315" s="163"/>
      <c r="W315" s="163"/>
    </row>
    <row r="316" spans="1:23" s="17" customFormat="1">
      <c r="A316" s="176"/>
      <c r="B316" s="120" t="s">
        <v>446</v>
      </c>
      <c r="C316" s="177">
        <v>2025</v>
      </c>
      <c r="D316" s="80" t="s">
        <v>4631</v>
      </c>
      <c r="E316" s="8" t="s">
        <v>5763</v>
      </c>
      <c r="F316" s="1">
        <v>0</v>
      </c>
      <c r="G316" s="170"/>
      <c r="H316" s="171">
        <v>0</v>
      </c>
      <c r="I316" s="172">
        <v>0</v>
      </c>
      <c r="J316" s="171">
        <v>0</v>
      </c>
      <c r="K316" s="171">
        <v>0</v>
      </c>
      <c r="L316" s="171">
        <v>-120000</v>
      </c>
      <c r="M316" s="171">
        <v>0</v>
      </c>
      <c r="N316" s="171">
        <v>0</v>
      </c>
      <c r="P316" s="173">
        <f t="shared" si="4"/>
        <v>120000</v>
      </c>
      <c r="V316" s="163"/>
      <c r="W316" s="163"/>
    </row>
    <row r="317" spans="1:23" s="17" customFormat="1">
      <c r="A317" s="176"/>
      <c r="B317" s="120" t="s">
        <v>446</v>
      </c>
      <c r="C317" s="177">
        <v>2025</v>
      </c>
      <c r="D317" s="80" t="s">
        <v>4631</v>
      </c>
      <c r="E317" s="8" t="s">
        <v>5768</v>
      </c>
      <c r="F317" s="1">
        <v>0</v>
      </c>
      <c r="G317" s="170"/>
      <c r="H317" s="171">
        <v>0</v>
      </c>
      <c r="I317" s="172">
        <v>0</v>
      </c>
      <c r="J317" s="171">
        <v>0</v>
      </c>
      <c r="K317" s="171">
        <v>0</v>
      </c>
      <c r="L317" s="171">
        <v>-345000</v>
      </c>
      <c r="M317" s="171">
        <v>0</v>
      </c>
      <c r="N317" s="171">
        <v>0</v>
      </c>
      <c r="P317" s="173">
        <f t="shared" si="4"/>
        <v>345000</v>
      </c>
      <c r="V317" s="163"/>
      <c r="W317" s="163"/>
    </row>
    <row r="318" spans="1:23" s="17" customFormat="1">
      <c r="A318" s="176"/>
      <c r="B318" s="120" t="s">
        <v>446</v>
      </c>
      <c r="C318" s="177">
        <v>2025</v>
      </c>
      <c r="D318" s="80" t="s">
        <v>4096</v>
      </c>
      <c r="E318" s="8" t="s">
        <v>5774</v>
      </c>
      <c r="F318" s="1">
        <v>0</v>
      </c>
      <c r="G318" s="170"/>
      <c r="H318" s="171">
        <v>0</v>
      </c>
      <c r="I318" s="172">
        <v>0</v>
      </c>
      <c r="J318" s="171">
        <v>0</v>
      </c>
      <c r="K318" s="171">
        <v>0</v>
      </c>
      <c r="L318" s="171">
        <v>-153000</v>
      </c>
      <c r="M318" s="171">
        <v>0</v>
      </c>
      <c r="N318" s="171">
        <v>0</v>
      </c>
      <c r="P318" s="173">
        <f t="shared" si="4"/>
        <v>153000</v>
      </c>
      <c r="V318" s="163"/>
      <c r="W318" s="163"/>
    </row>
    <row r="319" spans="1:23" s="17" customFormat="1">
      <c r="A319" s="176"/>
      <c r="B319" s="120" t="s">
        <v>446</v>
      </c>
      <c r="C319" s="177">
        <v>2025</v>
      </c>
      <c r="D319" s="80" t="s">
        <v>4631</v>
      </c>
      <c r="E319" s="8" t="s">
        <v>5784</v>
      </c>
      <c r="F319" s="1">
        <v>0</v>
      </c>
      <c r="G319" s="170"/>
      <c r="H319" s="171">
        <v>0</v>
      </c>
      <c r="I319" s="172">
        <v>0</v>
      </c>
      <c r="J319" s="171">
        <v>0</v>
      </c>
      <c r="K319" s="171">
        <v>0</v>
      </c>
      <c r="L319" s="171">
        <v>-125000</v>
      </c>
      <c r="M319" s="171">
        <v>0</v>
      </c>
      <c r="N319" s="171">
        <v>0</v>
      </c>
      <c r="P319" s="173">
        <f t="shared" si="4"/>
        <v>125000</v>
      </c>
      <c r="V319" s="163"/>
      <c r="W319" s="163"/>
    </row>
    <row r="320" spans="1:23" s="17" customFormat="1">
      <c r="A320" s="176"/>
      <c r="B320" s="120" t="s">
        <v>446</v>
      </c>
      <c r="C320" s="177">
        <v>2025</v>
      </c>
      <c r="D320" s="80" t="s">
        <v>4631</v>
      </c>
      <c r="E320" s="8" t="s">
        <v>5785</v>
      </c>
      <c r="F320" s="1">
        <v>0</v>
      </c>
      <c r="G320" s="170"/>
      <c r="H320" s="171">
        <v>0</v>
      </c>
      <c r="I320" s="172">
        <v>0</v>
      </c>
      <c r="J320" s="171">
        <v>0</v>
      </c>
      <c r="K320" s="171">
        <v>0</v>
      </c>
      <c r="L320" s="172">
        <v>-274300</v>
      </c>
      <c r="M320" s="171">
        <v>0</v>
      </c>
      <c r="N320" s="171">
        <v>0</v>
      </c>
      <c r="P320" s="173">
        <f t="shared" si="4"/>
        <v>274300</v>
      </c>
      <c r="V320" s="163"/>
      <c r="W320" s="163"/>
    </row>
    <row r="321" spans="1:23" s="17" customFormat="1">
      <c r="A321" s="176"/>
      <c r="B321" s="120" t="s">
        <v>446</v>
      </c>
      <c r="C321" s="177">
        <v>2025</v>
      </c>
      <c r="D321" s="80" t="s">
        <v>4631</v>
      </c>
      <c r="E321" s="8" t="s">
        <v>5787</v>
      </c>
      <c r="F321" s="1">
        <v>0</v>
      </c>
      <c r="G321" s="170"/>
      <c r="H321" s="171">
        <v>0</v>
      </c>
      <c r="I321" s="172">
        <v>0</v>
      </c>
      <c r="J321" s="171">
        <v>0</v>
      </c>
      <c r="K321" s="171">
        <v>0</v>
      </c>
      <c r="L321" s="171">
        <v>-200000</v>
      </c>
      <c r="M321" s="171">
        <v>0</v>
      </c>
      <c r="N321" s="171">
        <v>0</v>
      </c>
      <c r="P321" s="173">
        <f t="shared" si="4"/>
        <v>200000</v>
      </c>
      <c r="V321" s="163"/>
      <c r="W321" s="163"/>
    </row>
    <row r="322" spans="1:23" s="17" customFormat="1">
      <c r="A322" s="176"/>
      <c r="B322" s="120" t="s">
        <v>446</v>
      </c>
      <c r="C322" s="177">
        <v>2025</v>
      </c>
      <c r="D322" s="80" t="s">
        <v>4631</v>
      </c>
      <c r="E322" s="8" t="s">
        <v>5788</v>
      </c>
      <c r="F322" s="1">
        <v>0</v>
      </c>
      <c r="G322" s="170"/>
      <c r="H322" s="171">
        <v>0</v>
      </c>
      <c r="I322" s="172">
        <v>0</v>
      </c>
      <c r="J322" s="171">
        <v>0</v>
      </c>
      <c r="K322" s="171">
        <v>0</v>
      </c>
      <c r="L322" s="171">
        <v>-40000</v>
      </c>
      <c r="M322" s="171">
        <v>0</v>
      </c>
      <c r="N322" s="171">
        <v>0</v>
      </c>
      <c r="P322" s="173">
        <f t="shared" si="4"/>
        <v>40000</v>
      </c>
      <c r="V322" s="163"/>
      <c r="W322" s="163"/>
    </row>
    <row r="323" spans="1:23" s="17" customFormat="1">
      <c r="A323" s="176"/>
      <c r="B323" s="120" t="s">
        <v>446</v>
      </c>
      <c r="C323" s="177">
        <v>2025</v>
      </c>
      <c r="D323" s="80" t="s">
        <v>4631</v>
      </c>
      <c r="E323" s="8" t="s">
        <v>6551</v>
      </c>
      <c r="F323" s="1">
        <v>0</v>
      </c>
      <c r="G323" s="170"/>
      <c r="H323" s="171">
        <v>0</v>
      </c>
      <c r="I323" s="172">
        <v>0</v>
      </c>
      <c r="J323" s="171">
        <v>0</v>
      </c>
      <c r="K323" s="171">
        <v>0</v>
      </c>
      <c r="L323" s="171">
        <v>-130834</v>
      </c>
      <c r="M323" s="171">
        <v>0</v>
      </c>
      <c r="N323" s="171">
        <v>0</v>
      </c>
      <c r="P323" s="173">
        <f t="shared" si="4"/>
        <v>130834</v>
      </c>
      <c r="V323" s="163"/>
      <c r="W323" s="163"/>
    </row>
    <row r="324" spans="1:23" s="17" customFormat="1">
      <c r="A324" s="176"/>
      <c r="B324" s="120" t="s">
        <v>446</v>
      </c>
      <c r="C324" s="177">
        <v>2025</v>
      </c>
      <c r="D324" s="80" t="s">
        <v>1629</v>
      </c>
      <c r="E324" s="8" t="s">
        <v>1774</v>
      </c>
      <c r="F324" s="1">
        <v>0</v>
      </c>
      <c r="G324" s="170"/>
      <c r="H324" s="171">
        <v>0</v>
      </c>
      <c r="I324" s="172">
        <v>0</v>
      </c>
      <c r="J324" s="171">
        <v>0</v>
      </c>
      <c r="K324" s="171">
        <v>0</v>
      </c>
      <c r="L324" s="171">
        <v>0</v>
      </c>
      <c r="M324" s="171">
        <v>-942405</v>
      </c>
      <c r="N324" s="171">
        <v>0</v>
      </c>
      <c r="P324" s="173">
        <f t="shared" si="4"/>
        <v>942405</v>
      </c>
      <c r="V324" s="163"/>
      <c r="W324" s="163"/>
    </row>
    <row r="325" spans="1:23" s="17" customFormat="1">
      <c r="A325" s="176"/>
      <c r="B325" s="120" t="s">
        <v>446</v>
      </c>
      <c r="C325" s="177">
        <v>2025</v>
      </c>
      <c r="D325" s="80" t="s">
        <v>1629</v>
      </c>
      <c r="E325" s="8" t="s">
        <v>1776</v>
      </c>
      <c r="F325" s="1">
        <v>0</v>
      </c>
      <c r="G325" s="170"/>
      <c r="H325" s="171">
        <v>0</v>
      </c>
      <c r="I325" s="172">
        <v>0</v>
      </c>
      <c r="J325" s="171">
        <v>0</v>
      </c>
      <c r="K325" s="171">
        <v>0</v>
      </c>
      <c r="L325" s="171">
        <v>0</v>
      </c>
      <c r="M325" s="171">
        <v>-1405700</v>
      </c>
      <c r="N325" s="171">
        <v>0</v>
      </c>
      <c r="P325" s="173">
        <f t="shared" ref="P325:P388" si="5">F325-H325-I325-J325-K325-L325-M325</f>
        <v>1405700</v>
      </c>
      <c r="V325" s="163"/>
      <c r="W325" s="163"/>
    </row>
    <row r="326" spans="1:23" s="17" customFormat="1">
      <c r="A326" s="176"/>
      <c r="B326" s="120" t="s">
        <v>446</v>
      </c>
      <c r="C326" s="177">
        <v>2025</v>
      </c>
      <c r="D326" s="80" t="s">
        <v>1629</v>
      </c>
      <c r="E326" s="8" t="s">
        <v>1777</v>
      </c>
      <c r="F326" s="1">
        <v>0</v>
      </c>
      <c r="G326" s="170"/>
      <c r="H326" s="171">
        <v>0</v>
      </c>
      <c r="I326" s="172">
        <v>0</v>
      </c>
      <c r="J326" s="171">
        <v>0</v>
      </c>
      <c r="K326" s="171">
        <v>0</v>
      </c>
      <c r="L326" s="171">
        <v>0</v>
      </c>
      <c r="M326" s="171">
        <v>-1463600</v>
      </c>
      <c r="N326" s="171">
        <v>0</v>
      </c>
      <c r="P326" s="173">
        <f t="shared" si="5"/>
        <v>1463600</v>
      </c>
      <c r="V326" s="163"/>
      <c r="W326" s="163"/>
    </row>
    <row r="327" spans="1:23" s="17" customFormat="1">
      <c r="A327" s="176"/>
      <c r="B327" s="120" t="s">
        <v>446</v>
      </c>
      <c r="C327" s="177">
        <v>2025</v>
      </c>
      <c r="D327" s="80" t="s">
        <v>1629</v>
      </c>
      <c r="E327" s="8" t="s">
        <v>1778</v>
      </c>
      <c r="F327" s="1">
        <v>0</v>
      </c>
      <c r="G327" s="170"/>
      <c r="H327" s="171">
        <v>0</v>
      </c>
      <c r="I327" s="172">
        <v>0</v>
      </c>
      <c r="J327" s="171">
        <v>0</v>
      </c>
      <c r="K327" s="171">
        <v>0</v>
      </c>
      <c r="L327" s="171">
        <v>0</v>
      </c>
      <c r="M327" s="171">
        <v>-1975100</v>
      </c>
      <c r="N327" s="171">
        <v>0</v>
      </c>
      <c r="P327" s="173">
        <f t="shared" si="5"/>
        <v>1975100</v>
      </c>
      <c r="V327" s="163"/>
      <c r="W327" s="163"/>
    </row>
    <row r="328" spans="1:23" s="17" customFormat="1">
      <c r="A328" s="176"/>
      <c r="B328" s="120" t="s">
        <v>446</v>
      </c>
      <c r="C328" s="177">
        <v>2025</v>
      </c>
      <c r="D328" s="80" t="s">
        <v>1629</v>
      </c>
      <c r="E328" s="8" t="s">
        <v>1782</v>
      </c>
      <c r="F328" s="1">
        <v>0</v>
      </c>
      <c r="G328" s="170"/>
      <c r="H328" s="171">
        <v>0</v>
      </c>
      <c r="I328" s="172">
        <v>0</v>
      </c>
      <c r="J328" s="171">
        <v>0</v>
      </c>
      <c r="K328" s="171">
        <v>0</v>
      </c>
      <c r="L328" s="171">
        <v>0</v>
      </c>
      <c r="M328" s="171">
        <v>-5000000</v>
      </c>
      <c r="N328" s="171">
        <v>0</v>
      </c>
      <c r="P328" s="173">
        <f t="shared" si="5"/>
        <v>5000000</v>
      </c>
      <c r="V328" s="163"/>
      <c r="W328" s="163"/>
    </row>
    <row r="329" spans="1:23" s="17" customFormat="1">
      <c r="A329" s="176"/>
      <c r="B329" s="120" t="s">
        <v>446</v>
      </c>
      <c r="C329" s="177">
        <v>2025</v>
      </c>
      <c r="D329" s="80" t="s">
        <v>1629</v>
      </c>
      <c r="E329" s="8" t="s">
        <v>1783</v>
      </c>
      <c r="F329" s="1">
        <v>0</v>
      </c>
      <c r="G329" s="170"/>
      <c r="H329" s="171">
        <v>0</v>
      </c>
      <c r="I329" s="172">
        <v>0</v>
      </c>
      <c r="J329" s="171">
        <v>0</v>
      </c>
      <c r="K329" s="171">
        <v>0</v>
      </c>
      <c r="L329" s="171">
        <v>0</v>
      </c>
      <c r="M329" s="171">
        <v>-1012455</v>
      </c>
      <c r="N329" s="171">
        <v>0</v>
      </c>
      <c r="P329" s="173">
        <f t="shared" si="5"/>
        <v>1012455</v>
      </c>
      <c r="V329" s="163"/>
      <c r="W329" s="163"/>
    </row>
    <row r="330" spans="1:23" s="17" customFormat="1">
      <c r="A330" s="176"/>
      <c r="B330" s="120" t="s">
        <v>446</v>
      </c>
      <c r="C330" s="177">
        <v>2025</v>
      </c>
      <c r="D330" s="80" t="s">
        <v>1629</v>
      </c>
      <c r="E330" s="8" t="s">
        <v>1784</v>
      </c>
      <c r="F330" s="1">
        <v>0</v>
      </c>
      <c r="G330" s="170"/>
      <c r="H330" s="171">
        <v>0</v>
      </c>
      <c r="I330" s="172">
        <v>0</v>
      </c>
      <c r="J330" s="171">
        <v>0</v>
      </c>
      <c r="K330" s="171">
        <v>0</v>
      </c>
      <c r="L330" s="171">
        <v>0</v>
      </c>
      <c r="M330" s="171">
        <v>-1140800</v>
      </c>
      <c r="N330" s="171">
        <v>0</v>
      </c>
      <c r="P330" s="173">
        <f t="shared" si="5"/>
        <v>1140800</v>
      </c>
      <c r="V330" s="163"/>
      <c r="W330" s="163"/>
    </row>
    <row r="331" spans="1:23" s="17" customFormat="1">
      <c r="A331" s="176"/>
      <c r="B331" s="120" t="s">
        <v>446</v>
      </c>
      <c r="C331" s="177">
        <v>2025</v>
      </c>
      <c r="D331" s="80" t="s">
        <v>1629</v>
      </c>
      <c r="E331" s="8" t="s">
        <v>1787</v>
      </c>
      <c r="F331" s="1">
        <v>0</v>
      </c>
      <c r="G331" s="170"/>
      <c r="H331" s="171">
        <v>0</v>
      </c>
      <c r="I331" s="172">
        <v>0</v>
      </c>
      <c r="J331" s="171">
        <v>0</v>
      </c>
      <c r="K331" s="171">
        <v>0</v>
      </c>
      <c r="L331" s="171">
        <v>0</v>
      </c>
      <c r="M331" s="171">
        <v>-959700</v>
      </c>
      <c r="N331" s="171">
        <v>0</v>
      </c>
      <c r="P331" s="173">
        <f t="shared" si="5"/>
        <v>959700</v>
      </c>
      <c r="V331" s="163"/>
      <c r="W331" s="163"/>
    </row>
    <row r="332" spans="1:23" s="17" customFormat="1">
      <c r="A332" s="176"/>
      <c r="B332" s="120" t="s">
        <v>446</v>
      </c>
      <c r="C332" s="177">
        <v>2025</v>
      </c>
      <c r="D332" s="80" t="s">
        <v>1812</v>
      </c>
      <c r="E332" s="8" t="s">
        <v>1811</v>
      </c>
      <c r="F332" s="1">
        <v>0</v>
      </c>
      <c r="G332" s="170"/>
      <c r="H332" s="171">
        <v>0</v>
      </c>
      <c r="I332" s="172">
        <v>0</v>
      </c>
      <c r="J332" s="171">
        <v>0</v>
      </c>
      <c r="K332" s="171">
        <v>0</v>
      </c>
      <c r="L332" s="171">
        <v>0</v>
      </c>
      <c r="M332" s="171">
        <v>-1410747</v>
      </c>
      <c r="N332" s="171">
        <v>0</v>
      </c>
      <c r="P332" s="173">
        <f t="shared" si="5"/>
        <v>1410747</v>
      </c>
      <c r="V332" s="163"/>
      <c r="W332" s="163"/>
    </row>
    <row r="333" spans="1:23" s="17" customFormat="1">
      <c r="A333" s="176"/>
      <c r="B333" s="120" t="s">
        <v>446</v>
      </c>
      <c r="C333" s="177">
        <v>2025</v>
      </c>
      <c r="D333" s="80" t="s">
        <v>1812</v>
      </c>
      <c r="E333" s="8" t="s">
        <v>1839</v>
      </c>
      <c r="F333" s="1">
        <v>0</v>
      </c>
      <c r="G333" s="170"/>
      <c r="H333" s="171">
        <v>0</v>
      </c>
      <c r="I333" s="172">
        <v>0</v>
      </c>
      <c r="J333" s="171">
        <v>0</v>
      </c>
      <c r="K333" s="171">
        <v>0</v>
      </c>
      <c r="L333" s="171">
        <v>0</v>
      </c>
      <c r="M333" s="171">
        <v>-1514930</v>
      </c>
      <c r="N333" s="171">
        <v>0</v>
      </c>
      <c r="P333" s="173">
        <f t="shared" si="5"/>
        <v>1514930</v>
      </c>
      <c r="V333" s="163"/>
      <c r="W333" s="163"/>
    </row>
    <row r="334" spans="1:23" s="17" customFormat="1">
      <c r="A334" s="176"/>
      <c r="B334" s="120" t="s">
        <v>446</v>
      </c>
      <c r="C334" s="177">
        <v>2025</v>
      </c>
      <c r="D334" s="80" t="s">
        <v>1812</v>
      </c>
      <c r="E334" s="8" t="s">
        <v>1840</v>
      </c>
      <c r="F334" s="1">
        <v>0</v>
      </c>
      <c r="G334" s="170"/>
      <c r="H334" s="171">
        <v>0</v>
      </c>
      <c r="I334" s="172">
        <v>0</v>
      </c>
      <c r="J334" s="171">
        <v>0</v>
      </c>
      <c r="K334" s="171">
        <v>0</v>
      </c>
      <c r="L334" s="171">
        <v>0</v>
      </c>
      <c r="M334" s="171">
        <v>-1646566</v>
      </c>
      <c r="N334" s="171">
        <v>0</v>
      </c>
      <c r="P334" s="173">
        <f t="shared" si="5"/>
        <v>1646566</v>
      </c>
      <c r="V334" s="163"/>
      <c r="W334" s="163"/>
    </row>
    <row r="335" spans="1:23" s="17" customFormat="1">
      <c r="A335" s="176"/>
      <c r="B335" s="120" t="s">
        <v>446</v>
      </c>
      <c r="C335" s="177">
        <v>2025</v>
      </c>
      <c r="D335" s="80" t="s">
        <v>1812</v>
      </c>
      <c r="E335" s="8" t="s">
        <v>1841</v>
      </c>
      <c r="F335" s="1">
        <v>0</v>
      </c>
      <c r="G335" s="170"/>
      <c r="H335" s="171">
        <v>0</v>
      </c>
      <c r="I335" s="172">
        <v>0</v>
      </c>
      <c r="J335" s="171">
        <v>0</v>
      </c>
      <c r="K335" s="171">
        <v>0</v>
      </c>
      <c r="L335" s="171">
        <v>0</v>
      </c>
      <c r="M335" s="171">
        <v>-1439183</v>
      </c>
      <c r="N335" s="171">
        <v>0</v>
      </c>
      <c r="P335" s="173">
        <f t="shared" si="5"/>
        <v>1439183</v>
      </c>
      <c r="V335" s="163"/>
      <c r="W335" s="163"/>
    </row>
    <row r="336" spans="1:23" s="17" customFormat="1">
      <c r="A336" s="176"/>
      <c r="B336" s="120" t="s">
        <v>446</v>
      </c>
      <c r="C336" s="177">
        <v>2025</v>
      </c>
      <c r="D336" s="80" t="s">
        <v>1812</v>
      </c>
      <c r="E336" s="8" t="s">
        <v>1842</v>
      </c>
      <c r="F336" s="1">
        <v>0</v>
      </c>
      <c r="G336" s="170"/>
      <c r="H336" s="171">
        <v>0</v>
      </c>
      <c r="I336" s="172">
        <v>0</v>
      </c>
      <c r="J336" s="171">
        <v>0</v>
      </c>
      <c r="K336" s="171">
        <v>0</v>
      </c>
      <c r="L336" s="171">
        <v>0</v>
      </c>
      <c r="M336" s="171">
        <v>-1048300</v>
      </c>
      <c r="N336" s="171">
        <v>0</v>
      </c>
      <c r="P336" s="173">
        <f t="shared" si="5"/>
        <v>1048300</v>
      </c>
      <c r="V336" s="163"/>
      <c r="W336" s="163"/>
    </row>
    <row r="337" spans="1:23" s="17" customFormat="1">
      <c r="A337" s="176"/>
      <c r="B337" s="120" t="s">
        <v>446</v>
      </c>
      <c r="C337" s="177">
        <v>2025</v>
      </c>
      <c r="D337" s="80" t="s">
        <v>1812</v>
      </c>
      <c r="E337" s="8" t="s">
        <v>1848</v>
      </c>
      <c r="F337" s="1">
        <v>0</v>
      </c>
      <c r="G337" s="170"/>
      <c r="H337" s="171">
        <v>0</v>
      </c>
      <c r="I337" s="172">
        <v>0</v>
      </c>
      <c r="J337" s="171">
        <v>0</v>
      </c>
      <c r="K337" s="171">
        <v>0</v>
      </c>
      <c r="L337" s="171">
        <v>0</v>
      </c>
      <c r="M337" s="171">
        <v>-1374605</v>
      </c>
      <c r="N337" s="171">
        <v>0</v>
      </c>
      <c r="P337" s="173">
        <f t="shared" si="5"/>
        <v>1374605</v>
      </c>
      <c r="V337" s="163"/>
      <c r="W337" s="163"/>
    </row>
    <row r="338" spans="1:23" s="17" customFormat="1">
      <c r="A338" s="176"/>
      <c r="B338" s="120" t="s">
        <v>446</v>
      </c>
      <c r="C338" s="177">
        <v>2025</v>
      </c>
      <c r="D338" s="80" t="s">
        <v>1812</v>
      </c>
      <c r="E338" s="8" t="s">
        <v>6159</v>
      </c>
      <c r="F338" s="1">
        <v>0</v>
      </c>
      <c r="G338" s="170"/>
      <c r="H338" s="171">
        <v>0</v>
      </c>
      <c r="I338" s="172">
        <v>0</v>
      </c>
      <c r="J338" s="171">
        <v>0</v>
      </c>
      <c r="K338" s="171">
        <v>0</v>
      </c>
      <c r="L338" s="171">
        <v>0</v>
      </c>
      <c r="M338" s="171">
        <v>-3316000</v>
      </c>
      <c r="N338" s="171">
        <v>0</v>
      </c>
      <c r="P338" s="173">
        <f t="shared" si="5"/>
        <v>3316000</v>
      </c>
      <c r="V338" s="163"/>
      <c r="W338" s="163"/>
    </row>
    <row r="339" spans="1:23" s="17" customFormat="1">
      <c r="A339" s="176"/>
      <c r="B339" s="120" t="s">
        <v>446</v>
      </c>
      <c r="C339" s="177">
        <v>2025</v>
      </c>
      <c r="D339" s="80" t="s">
        <v>1812</v>
      </c>
      <c r="E339" s="8" t="s">
        <v>6358</v>
      </c>
      <c r="F339" s="1">
        <v>0</v>
      </c>
      <c r="G339" s="170"/>
      <c r="H339" s="171">
        <v>0</v>
      </c>
      <c r="I339" s="172">
        <v>0</v>
      </c>
      <c r="J339" s="171">
        <v>0</v>
      </c>
      <c r="K339" s="171">
        <v>0</v>
      </c>
      <c r="L339" s="171">
        <v>0</v>
      </c>
      <c r="M339" s="171">
        <v>-3626000</v>
      </c>
      <c r="N339" s="171">
        <v>0</v>
      </c>
      <c r="P339" s="173">
        <f t="shared" si="5"/>
        <v>3626000</v>
      </c>
      <c r="V339" s="163"/>
      <c r="W339" s="163"/>
    </row>
    <row r="340" spans="1:23" s="17" customFormat="1">
      <c r="A340" s="176"/>
      <c r="B340" s="120" t="s">
        <v>446</v>
      </c>
      <c r="C340" s="177">
        <v>2025</v>
      </c>
      <c r="D340" s="80" t="s">
        <v>1812</v>
      </c>
      <c r="E340" s="8" t="s">
        <v>1851</v>
      </c>
      <c r="F340" s="1">
        <v>0</v>
      </c>
      <c r="G340" s="170"/>
      <c r="H340" s="171">
        <v>0</v>
      </c>
      <c r="I340" s="172">
        <v>0</v>
      </c>
      <c r="J340" s="171">
        <v>0</v>
      </c>
      <c r="K340" s="171">
        <v>0</v>
      </c>
      <c r="L340" s="171">
        <v>0</v>
      </c>
      <c r="M340" s="171">
        <v>-1628805</v>
      </c>
      <c r="N340" s="171">
        <v>0</v>
      </c>
      <c r="P340" s="173">
        <f t="shared" si="5"/>
        <v>1628805</v>
      </c>
      <c r="V340" s="163"/>
      <c r="W340" s="163"/>
    </row>
    <row r="341" spans="1:23" s="17" customFormat="1">
      <c r="A341" s="176"/>
      <c r="B341" s="120" t="s">
        <v>446</v>
      </c>
      <c r="C341" s="177">
        <v>2025</v>
      </c>
      <c r="D341" s="80" t="s">
        <v>1812</v>
      </c>
      <c r="E341" s="8" t="s">
        <v>1853</v>
      </c>
      <c r="F341" s="1">
        <v>0</v>
      </c>
      <c r="G341" s="170"/>
      <c r="H341" s="171">
        <v>0</v>
      </c>
      <c r="I341" s="172">
        <v>0</v>
      </c>
      <c r="J341" s="171">
        <v>0</v>
      </c>
      <c r="K341" s="171">
        <v>0</v>
      </c>
      <c r="L341" s="171">
        <v>0</v>
      </c>
      <c r="M341" s="171">
        <v>820219</v>
      </c>
      <c r="N341" s="171">
        <v>0</v>
      </c>
      <c r="P341" s="173">
        <f t="shared" si="5"/>
        <v>-820219</v>
      </c>
      <c r="V341" s="163"/>
      <c r="W341" s="163"/>
    </row>
    <row r="342" spans="1:23" s="17" customFormat="1">
      <c r="A342" s="176"/>
      <c r="B342" s="120" t="s">
        <v>446</v>
      </c>
      <c r="C342" s="177">
        <v>2025</v>
      </c>
      <c r="D342" s="80" t="s">
        <v>1639</v>
      </c>
      <c r="E342" s="8" t="s">
        <v>3055</v>
      </c>
      <c r="F342" s="1">
        <v>0</v>
      </c>
      <c r="G342" s="170"/>
      <c r="H342" s="171">
        <v>0</v>
      </c>
      <c r="I342" s="172">
        <v>0</v>
      </c>
      <c r="J342" s="171">
        <v>0</v>
      </c>
      <c r="K342" s="171">
        <v>0</v>
      </c>
      <c r="L342" s="171">
        <v>0</v>
      </c>
      <c r="M342" s="171">
        <v>-1488000</v>
      </c>
      <c r="N342" s="171">
        <v>0</v>
      </c>
      <c r="P342" s="173">
        <f t="shared" si="5"/>
        <v>1488000</v>
      </c>
      <c r="V342" s="163"/>
      <c r="W342" s="163"/>
    </row>
    <row r="343" spans="1:23" s="17" customFormat="1">
      <c r="A343" s="176"/>
      <c r="B343" s="120" t="s">
        <v>446</v>
      </c>
      <c r="C343" s="177">
        <v>2025</v>
      </c>
      <c r="D343" s="80" t="s">
        <v>1639</v>
      </c>
      <c r="E343" s="8" t="s">
        <v>3056</v>
      </c>
      <c r="F343" s="1">
        <v>0</v>
      </c>
      <c r="G343" s="170"/>
      <c r="H343" s="171">
        <v>0</v>
      </c>
      <c r="I343" s="172">
        <v>0</v>
      </c>
      <c r="J343" s="171">
        <v>0</v>
      </c>
      <c r="K343" s="171">
        <v>0</v>
      </c>
      <c r="L343" s="171">
        <v>0</v>
      </c>
      <c r="M343" s="171">
        <v>-1694026</v>
      </c>
      <c r="N343" s="171">
        <v>0</v>
      </c>
      <c r="P343" s="173">
        <f t="shared" si="5"/>
        <v>1694026</v>
      </c>
      <c r="V343" s="163"/>
      <c r="W343" s="163"/>
    </row>
    <row r="344" spans="1:23" s="17" customFormat="1">
      <c r="A344" s="176"/>
      <c r="B344" s="120" t="s">
        <v>446</v>
      </c>
      <c r="C344" s="177">
        <v>2025</v>
      </c>
      <c r="D344" s="80" t="s">
        <v>1639</v>
      </c>
      <c r="E344" s="8" t="s">
        <v>3057</v>
      </c>
      <c r="F344" s="1">
        <v>0</v>
      </c>
      <c r="G344" s="170"/>
      <c r="H344" s="171">
        <v>0</v>
      </c>
      <c r="I344" s="172">
        <v>0</v>
      </c>
      <c r="J344" s="171">
        <v>0</v>
      </c>
      <c r="K344" s="171">
        <v>0</v>
      </c>
      <c r="L344" s="171">
        <v>0</v>
      </c>
      <c r="M344" s="171">
        <v>-3156000</v>
      </c>
      <c r="N344" s="171">
        <v>0</v>
      </c>
      <c r="P344" s="173">
        <f t="shared" si="5"/>
        <v>3156000</v>
      </c>
      <c r="V344" s="163"/>
      <c r="W344" s="163"/>
    </row>
    <row r="345" spans="1:23" s="17" customFormat="1">
      <c r="A345" s="176"/>
      <c r="B345" s="120" t="s">
        <v>446</v>
      </c>
      <c r="C345" s="177">
        <v>2025</v>
      </c>
      <c r="D345" s="80" t="s">
        <v>1461</v>
      </c>
      <c r="E345" s="8" t="s">
        <v>3058</v>
      </c>
      <c r="F345" s="1">
        <v>0</v>
      </c>
      <c r="G345" s="170"/>
      <c r="H345" s="171">
        <v>0</v>
      </c>
      <c r="I345" s="172">
        <v>0</v>
      </c>
      <c r="J345" s="171">
        <v>0</v>
      </c>
      <c r="K345" s="171">
        <v>0</v>
      </c>
      <c r="L345" s="171">
        <v>0</v>
      </c>
      <c r="M345" s="171">
        <v>-2360900</v>
      </c>
      <c r="N345" s="171">
        <v>0</v>
      </c>
      <c r="P345" s="173">
        <f t="shared" si="5"/>
        <v>2360900</v>
      </c>
      <c r="V345" s="163"/>
      <c r="W345" s="163"/>
    </row>
    <row r="346" spans="1:23" s="17" customFormat="1">
      <c r="A346" s="176"/>
      <c r="B346" s="120" t="s">
        <v>446</v>
      </c>
      <c r="C346" s="177">
        <v>2025</v>
      </c>
      <c r="D346" s="80" t="s">
        <v>1461</v>
      </c>
      <c r="E346" s="8" t="s">
        <v>3059</v>
      </c>
      <c r="F346" s="1">
        <v>0</v>
      </c>
      <c r="G346" s="170"/>
      <c r="H346" s="171">
        <v>0</v>
      </c>
      <c r="I346" s="172">
        <v>0</v>
      </c>
      <c r="J346" s="171">
        <v>0</v>
      </c>
      <c r="K346" s="171">
        <v>0</v>
      </c>
      <c r="L346" s="171">
        <v>0</v>
      </c>
      <c r="M346" s="171">
        <v>-163152</v>
      </c>
      <c r="N346" s="171">
        <v>0</v>
      </c>
      <c r="P346" s="173">
        <f t="shared" si="5"/>
        <v>163152</v>
      </c>
      <c r="V346" s="163"/>
      <c r="W346" s="163"/>
    </row>
    <row r="347" spans="1:23" s="17" customFormat="1">
      <c r="A347" s="176"/>
      <c r="B347" s="120" t="s">
        <v>446</v>
      </c>
      <c r="C347" s="177">
        <v>2025</v>
      </c>
      <c r="D347" s="80" t="s">
        <v>1461</v>
      </c>
      <c r="E347" s="8" t="s">
        <v>3060</v>
      </c>
      <c r="F347" s="1">
        <v>0</v>
      </c>
      <c r="G347" s="170"/>
      <c r="H347" s="171">
        <v>0</v>
      </c>
      <c r="I347" s="172">
        <v>0</v>
      </c>
      <c r="J347" s="171">
        <v>0</v>
      </c>
      <c r="K347" s="171">
        <v>0</v>
      </c>
      <c r="L347" s="171">
        <v>0</v>
      </c>
      <c r="M347" s="171">
        <v>-169950</v>
      </c>
      <c r="N347" s="171">
        <v>0</v>
      </c>
      <c r="P347" s="173">
        <f t="shared" si="5"/>
        <v>169950</v>
      </c>
      <c r="V347" s="163"/>
      <c r="W347" s="163"/>
    </row>
    <row r="348" spans="1:23" s="17" customFormat="1">
      <c r="A348" s="176"/>
      <c r="B348" s="120" t="s">
        <v>446</v>
      </c>
      <c r="C348" s="177">
        <v>2025</v>
      </c>
      <c r="D348" s="80" t="s">
        <v>1461</v>
      </c>
      <c r="E348" s="8" t="s">
        <v>3061</v>
      </c>
      <c r="F348" s="1">
        <v>0</v>
      </c>
      <c r="G348" s="170"/>
      <c r="H348" s="171">
        <v>0</v>
      </c>
      <c r="I348" s="172">
        <v>0</v>
      </c>
      <c r="J348" s="171">
        <v>0</v>
      </c>
      <c r="K348" s="171">
        <v>0</v>
      </c>
      <c r="L348" s="171">
        <v>0</v>
      </c>
      <c r="M348" s="171">
        <v>-330270</v>
      </c>
      <c r="N348" s="171">
        <v>0</v>
      </c>
      <c r="P348" s="173">
        <f t="shared" si="5"/>
        <v>330270</v>
      </c>
      <c r="V348" s="163"/>
      <c r="W348" s="163"/>
    </row>
    <row r="349" spans="1:23" s="17" customFormat="1">
      <c r="A349" s="176"/>
      <c r="B349" s="120" t="s">
        <v>446</v>
      </c>
      <c r="C349" s="177">
        <v>2025</v>
      </c>
      <c r="D349" s="80" t="s">
        <v>1461</v>
      </c>
      <c r="E349" s="8" t="s">
        <v>3062</v>
      </c>
      <c r="F349" s="1">
        <v>0</v>
      </c>
      <c r="G349" s="170"/>
      <c r="H349" s="171">
        <v>0</v>
      </c>
      <c r="I349" s="172">
        <v>0</v>
      </c>
      <c r="J349" s="171">
        <v>0</v>
      </c>
      <c r="K349" s="171">
        <v>0</v>
      </c>
      <c r="L349" s="171">
        <v>0</v>
      </c>
      <c r="M349" s="171">
        <v>-339900</v>
      </c>
      <c r="N349" s="171">
        <v>0</v>
      </c>
      <c r="P349" s="173">
        <f t="shared" si="5"/>
        <v>339900</v>
      </c>
      <c r="V349" s="163"/>
      <c r="W349" s="163"/>
    </row>
    <row r="350" spans="1:23" s="17" customFormat="1">
      <c r="A350" s="176"/>
      <c r="B350" s="120" t="s">
        <v>446</v>
      </c>
      <c r="C350" s="177">
        <v>2025</v>
      </c>
      <c r="D350" s="80" t="s">
        <v>1812</v>
      </c>
      <c r="E350" s="8" t="s">
        <v>3090</v>
      </c>
      <c r="F350" s="1">
        <v>0</v>
      </c>
      <c r="G350" s="170"/>
      <c r="H350" s="171">
        <v>0</v>
      </c>
      <c r="I350" s="172">
        <v>0</v>
      </c>
      <c r="J350" s="171">
        <v>0</v>
      </c>
      <c r="K350" s="171">
        <v>0</v>
      </c>
      <c r="L350" s="171">
        <v>0</v>
      </c>
      <c r="M350" s="171">
        <v>298000</v>
      </c>
      <c r="N350" s="171">
        <v>0</v>
      </c>
      <c r="P350" s="173">
        <f t="shared" si="5"/>
        <v>-298000</v>
      </c>
      <c r="V350" s="163"/>
      <c r="W350" s="163"/>
    </row>
    <row r="351" spans="1:23" s="17" customFormat="1">
      <c r="A351" s="176"/>
      <c r="B351" s="120" t="s">
        <v>446</v>
      </c>
      <c r="C351" s="177">
        <v>2025</v>
      </c>
      <c r="D351" s="80" t="s">
        <v>6539</v>
      </c>
      <c r="E351" s="8" t="s">
        <v>3093</v>
      </c>
      <c r="F351" s="1">
        <v>0</v>
      </c>
      <c r="G351" s="170"/>
      <c r="H351" s="171">
        <v>0</v>
      </c>
      <c r="I351" s="172">
        <v>0</v>
      </c>
      <c r="J351" s="171">
        <v>0</v>
      </c>
      <c r="K351" s="171">
        <v>0</v>
      </c>
      <c r="L351" s="171">
        <v>0</v>
      </c>
      <c r="M351" s="171">
        <v>-411543</v>
      </c>
      <c r="N351" s="171">
        <v>0</v>
      </c>
      <c r="P351" s="173">
        <f t="shared" si="5"/>
        <v>411543</v>
      </c>
      <c r="V351" s="163"/>
      <c r="W351" s="163"/>
    </row>
    <row r="352" spans="1:23" s="17" customFormat="1">
      <c r="A352" s="176"/>
      <c r="B352" s="120" t="s">
        <v>446</v>
      </c>
      <c r="C352" s="177">
        <v>2025</v>
      </c>
      <c r="D352" s="80" t="s">
        <v>6539</v>
      </c>
      <c r="E352" s="8" t="s">
        <v>3093</v>
      </c>
      <c r="F352" s="1">
        <v>0</v>
      </c>
      <c r="G352" s="170"/>
      <c r="H352" s="171">
        <v>0</v>
      </c>
      <c r="I352" s="172">
        <v>0</v>
      </c>
      <c r="J352" s="171">
        <v>0</v>
      </c>
      <c r="K352" s="171">
        <v>0</v>
      </c>
      <c r="L352" s="171">
        <v>0</v>
      </c>
      <c r="M352" s="171">
        <v>-411543</v>
      </c>
      <c r="N352" s="171">
        <v>0</v>
      </c>
      <c r="P352" s="173">
        <f t="shared" si="5"/>
        <v>411543</v>
      </c>
      <c r="V352" s="163"/>
      <c r="W352" s="163"/>
    </row>
    <row r="353" spans="1:23" s="17" customFormat="1">
      <c r="A353" s="176"/>
      <c r="B353" s="120" t="s">
        <v>446</v>
      </c>
      <c r="C353" s="177">
        <v>2025</v>
      </c>
      <c r="D353" s="80" t="s">
        <v>6539</v>
      </c>
      <c r="E353" s="8" t="s">
        <v>3094</v>
      </c>
      <c r="F353" s="1">
        <v>0</v>
      </c>
      <c r="G353" s="170"/>
      <c r="H353" s="171">
        <v>0</v>
      </c>
      <c r="I353" s="172">
        <v>0</v>
      </c>
      <c r="J353" s="171">
        <v>0</v>
      </c>
      <c r="K353" s="171">
        <v>0</v>
      </c>
      <c r="L353" s="171">
        <v>0</v>
      </c>
      <c r="M353" s="171">
        <v>-718651</v>
      </c>
      <c r="N353" s="171">
        <v>0</v>
      </c>
      <c r="P353" s="173">
        <f t="shared" si="5"/>
        <v>718651</v>
      </c>
      <c r="V353" s="163"/>
      <c r="W353" s="163"/>
    </row>
    <row r="354" spans="1:23" s="17" customFormat="1">
      <c r="A354" s="176"/>
      <c r="B354" s="120" t="s">
        <v>446</v>
      </c>
      <c r="C354" s="177">
        <v>2025</v>
      </c>
      <c r="D354" s="80" t="s">
        <v>6539</v>
      </c>
      <c r="E354" s="8" t="s">
        <v>3095</v>
      </c>
      <c r="F354" s="1">
        <v>0</v>
      </c>
      <c r="G354" s="170"/>
      <c r="H354" s="171">
        <v>0</v>
      </c>
      <c r="I354" s="172">
        <v>0</v>
      </c>
      <c r="J354" s="171">
        <v>0</v>
      </c>
      <c r="K354" s="171">
        <v>0</v>
      </c>
      <c r="L354" s="171">
        <v>0</v>
      </c>
      <c r="M354" s="171">
        <v>-718651</v>
      </c>
      <c r="N354" s="171">
        <v>0</v>
      </c>
      <c r="P354" s="173">
        <f t="shared" si="5"/>
        <v>718651</v>
      </c>
      <c r="V354" s="163"/>
      <c r="W354" s="163"/>
    </row>
    <row r="355" spans="1:23" s="17" customFormat="1">
      <c r="A355" s="176"/>
      <c r="B355" s="120" t="s">
        <v>446</v>
      </c>
      <c r="C355" s="177">
        <v>2025</v>
      </c>
      <c r="D355" s="80" t="s">
        <v>6539</v>
      </c>
      <c r="E355" s="8" t="s">
        <v>3096</v>
      </c>
      <c r="F355" s="1">
        <v>0</v>
      </c>
      <c r="G355" s="170"/>
      <c r="H355" s="171">
        <v>0</v>
      </c>
      <c r="I355" s="172">
        <v>0</v>
      </c>
      <c r="J355" s="171">
        <v>0</v>
      </c>
      <c r="K355" s="171">
        <v>0</v>
      </c>
      <c r="L355" s="171">
        <v>0</v>
      </c>
      <c r="M355" s="171">
        <v>-403014</v>
      </c>
      <c r="N355" s="171">
        <v>0</v>
      </c>
      <c r="P355" s="173">
        <f t="shared" si="5"/>
        <v>403014</v>
      </c>
      <c r="V355" s="163"/>
      <c r="W355" s="163"/>
    </row>
    <row r="356" spans="1:23" s="17" customFormat="1">
      <c r="A356" s="176"/>
      <c r="B356" s="120" t="s">
        <v>446</v>
      </c>
      <c r="C356" s="177">
        <v>2025</v>
      </c>
      <c r="D356" s="80" t="s">
        <v>6539</v>
      </c>
      <c r="E356" s="8" t="s">
        <v>3097</v>
      </c>
      <c r="F356" s="1">
        <v>0</v>
      </c>
      <c r="G356" s="170"/>
      <c r="H356" s="171">
        <v>0</v>
      </c>
      <c r="I356" s="172">
        <v>0</v>
      </c>
      <c r="J356" s="171">
        <v>0</v>
      </c>
      <c r="K356" s="171">
        <v>0</v>
      </c>
      <c r="L356" s="171">
        <v>0</v>
      </c>
      <c r="M356" s="171">
        <v>-790516</v>
      </c>
      <c r="N356" s="171">
        <v>0</v>
      </c>
      <c r="P356" s="173">
        <f t="shared" si="5"/>
        <v>790516</v>
      </c>
      <c r="V356" s="163"/>
      <c r="W356" s="163"/>
    </row>
    <row r="357" spans="1:23" s="17" customFormat="1">
      <c r="A357" s="176"/>
      <c r="B357" s="120" t="s">
        <v>446</v>
      </c>
      <c r="C357" s="177">
        <v>2025</v>
      </c>
      <c r="D357" s="80" t="s">
        <v>1461</v>
      </c>
      <c r="E357" s="8" t="s">
        <v>3098</v>
      </c>
      <c r="F357" s="1">
        <v>0</v>
      </c>
      <c r="G357" s="170"/>
      <c r="H357" s="171">
        <v>0</v>
      </c>
      <c r="I357" s="172">
        <v>0</v>
      </c>
      <c r="J357" s="171">
        <v>0</v>
      </c>
      <c r="K357" s="171">
        <v>0</v>
      </c>
      <c r="L357" s="171">
        <v>0</v>
      </c>
      <c r="M357" s="171">
        <v>-3147800</v>
      </c>
      <c r="N357" s="171">
        <v>0</v>
      </c>
      <c r="P357" s="173">
        <f t="shared" si="5"/>
        <v>3147800</v>
      </c>
      <c r="V357" s="163"/>
      <c r="W357" s="163"/>
    </row>
    <row r="358" spans="1:23" s="17" customFormat="1">
      <c r="A358" s="176"/>
      <c r="B358" s="120" t="s">
        <v>446</v>
      </c>
      <c r="C358" s="177">
        <v>2025</v>
      </c>
      <c r="D358" s="80" t="s">
        <v>1461</v>
      </c>
      <c r="E358" s="8" t="s">
        <v>3102</v>
      </c>
      <c r="F358" s="1">
        <v>0</v>
      </c>
      <c r="G358" s="170"/>
      <c r="H358" s="171">
        <v>0</v>
      </c>
      <c r="I358" s="172">
        <v>0</v>
      </c>
      <c r="J358" s="171">
        <v>0</v>
      </c>
      <c r="K358" s="171">
        <v>0</v>
      </c>
      <c r="L358" s="171">
        <v>0</v>
      </c>
      <c r="M358" s="171">
        <v>-4569819</v>
      </c>
      <c r="N358" s="171">
        <v>0</v>
      </c>
      <c r="P358" s="173">
        <f t="shared" si="5"/>
        <v>4569819</v>
      </c>
      <c r="V358" s="163"/>
      <c r="W358" s="163"/>
    </row>
    <row r="359" spans="1:23" s="17" customFormat="1">
      <c r="A359" s="176"/>
      <c r="B359" s="120" t="s">
        <v>446</v>
      </c>
      <c r="C359" s="177">
        <v>2025</v>
      </c>
      <c r="D359" s="80" t="s">
        <v>2324</v>
      </c>
      <c r="E359" s="8" t="s">
        <v>3109</v>
      </c>
      <c r="F359" s="1">
        <v>0</v>
      </c>
      <c r="G359" s="170"/>
      <c r="H359" s="171">
        <v>0</v>
      </c>
      <c r="I359" s="172">
        <v>0</v>
      </c>
      <c r="J359" s="171">
        <v>0</v>
      </c>
      <c r="K359" s="171">
        <v>0</v>
      </c>
      <c r="L359" s="171">
        <v>0</v>
      </c>
      <c r="M359" s="171">
        <v>-1209000</v>
      </c>
      <c r="N359" s="171">
        <v>0</v>
      </c>
      <c r="P359" s="173">
        <f t="shared" si="5"/>
        <v>1209000</v>
      </c>
      <c r="V359" s="163"/>
      <c r="W359" s="163"/>
    </row>
    <row r="360" spans="1:23" s="17" customFormat="1">
      <c r="A360" s="176"/>
      <c r="B360" s="120" t="s">
        <v>446</v>
      </c>
      <c r="C360" s="177">
        <v>2025</v>
      </c>
      <c r="D360" s="80" t="s">
        <v>2324</v>
      </c>
      <c r="E360" s="8" t="s">
        <v>3114</v>
      </c>
      <c r="F360" s="1">
        <v>0</v>
      </c>
      <c r="G360" s="170"/>
      <c r="H360" s="171">
        <v>0</v>
      </c>
      <c r="I360" s="172">
        <v>0</v>
      </c>
      <c r="J360" s="171">
        <v>0</v>
      </c>
      <c r="K360" s="171">
        <v>0</v>
      </c>
      <c r="L360" s="171">
        <v>0</v>
      </c>
      <c r="M360" s="171">
        <v>-825344</v>
      </c>
      <c r="N360" s="171">
        <v>0</v>
      </c>
      <c r="P360" s="173">
        <f t="shared" si="5"/>
        <v>825344</v>
      </c>
      <c r="V360" s="163"/>
      <c r="W360" s="163"/>
    </row>
    <row r="361" spans="1:23" s="17" customFormat="1">
      <c r="A361" s="176"/>
      <c r="B361" s="120" t="s">
        <v>446</v>
      </c>
      <c r="C361" s="177">
        <v>2025</v>
      </c>
      <c r="D361" s="80" t="s">
        <v>2324</v>
      </c>
      <c r="E361" s="8" t="s">
        <v>3115</v>
      </c>
      <c r="F361" s="1">
        <v>0</v>
      </c>
      <c r="G361" s="170"/>
      <c r="H361" s="171">
        <v>0</v>
      </c>
      <c r="I361" s="172">
        <v>0</v>
      </c>
      <c r="J361" s="171">
        <v>0</v>
      </c>
      <c r="K361" s="171">
        <v>0</v>
      </c>
      <c r="L361" s="171">
        <v>0</v>
      </c>
      <c r="M361" s="171">
        <v>-26400000</v>
      </c>
      <c r="N361" s="171">
        <v>0</v>
      </c>
      <c r="P361" s="173">
        <f t="shared" si="5"/>
        <v>26400000</v>
      </c>
      <c r="V361" s="163"/>
      <c r="W361" s="163"/>
    </row>
    <row r="362" spans="1:23" s="17" customFormat="1">
      <c r="A362" s="176"/>
      <c r="B362" s="120" t="s">
        <v>446</v>
      </c>
      <c r="C362" s="177">
        <v>2025</v>
      </c>
      <c r="D362" s="80" t="s">
        <v>2324</v>
      </c>
      <c r="E362" s="8" t="s">
        <v>3116</v>
      </c>
      <c r="F362" s="1">
        <v>0</v>
      </c>
      <c r="G362" s="170"/>
      <c r="H362" s="171">
        <v>0</v>
      </c>
      <c r="I362" s="172">
        <v>0</v>
      </c>
      <c r="J362" s="171">
        <v>0</v>
      </c>
      <c r="K362" s="171">
        <v>0</v>
      </c>
      <c r="L362" s="171">
        <v>0</v>
      </c>
      <c r="M362" s="171">
        <v>-56300</v>
      </c>
      <c r="N362" s="171">
        <v>0</v>
      </c>
      <c r="P362" s="173">
        <f t="shared" si="5"/>
        <v>56300</v>
      </c>
      <c r="V362" s="163"/>
      <c r="W362" s="163"/>
    </row>
    <row r="363" spans="1:23" s="17" customFormat="1">
      <c r="A363" s="176"/>
      <c r="B363" s="120" t="s">
        <v>446</v>
      </c>
      <c r="C363" s="177">
        <v>2025</v>
      </c>
      <c r="D363" s="80" t="s">
        <v>1461</v>
      </c>
      <c r="E363" s="8" t="s">
        <v>3117</v>
      </c>
      <c r="F363" s="1">
        <v>0</v>
      </c>
      <c r="G363" s="170"/>
      <c r="H363" s="171">
        <v>0</v>
      </c>
      <c r="I363" s="172">
        <v>0</v>
      </c>
      <c r="J363" s="171">
        <v>0</v>
      </c>
      <c r="K363" s="171">
        <v>0</v>
      </c>
      <c r="L363" s="171">
        <v>0</v>
      </c>
      <c r="M363" s="171">
        <v>-1528000</v>
      </c>
      <c r="N363" s="171">
        <v>0</v>
      </c>
      <c r="P363" s="173">
        <f t="shared" si="5"/>
        <v>1528000</v>
      </c>
      <c r="V363" s="163"/>
      <c r="W363" s="163"/>
    </row>
    <row r="364" spans="1:23" s="17" customFormat="1">
      <c r="A364" s="176"/>
      <c r="B364" s="120" t="s">
        <v>446</v>
      </c>
      <c r="C364" s="177">
        <v>2025</v>
      </c>
      <c r="D364" s="8" t="s">
        <v>2324</v>
      </c>
      <c r="E364" s="8" t="s">
        <v>3118</v>
      </c>
      <c r="F364" s="1">
        <v>0</v>
      </c>
      <c r="G364" s="170"/>
      <c r="H364" s="171">
        <v>0</v>
      </c>
      <c r="I364" s="172">
        <v>0</v>
      </c>
      <c r="J364" s="171">
        <v>0</v>
      </c>
      <c r="K364" s="171">
        <v>0</v>
      </c>
      <c r="L364" s="171">
        <v>0</v>
      </c>
      <c r="M364" s="171">
        <v>-1658000</v>
      </c>
      <c r="N364" s="171">
        <v>0</v>
      </c>
      <c r="P364" s="173">
        <f t="shared" si="5"/>
        <v>1658000</v>
      </c>
      <c r="V364" s="163"/>
      <c r="W364" s="163"/>
    </row>
    <row r="365" spans="1:23" s="17" customFormat="1">
      <c r="A365" s="176"/>
      <c r="B365" s="120" t="s">
        <v>446</v>
      </c>
      <c r="C365" s="177">
        <v>2025</v>
      </c>
      <c r="D365" s="80" t="s">
        <v>1461</v>
      </c>
      <c r="E365" s="8" t="s">
        <v>3119</v>
      </c>
      <c r="F365" s="1">
        <v>0</v>
      </c>
      <c r="G365" s="170"/>
      <c r="H365" s="171">
        <v>0</v>
      </c>
      <c r="I365" s="172">
        <v>0</v>
      </c>
      <c r="J365" s="171">
        <v>0</v>
      </c>
      <c r="K365" s="171">
        <v>0</v>
      </c>
      <c r="L365" s="171">
        <v>0</v>
      </c>
      <c r="M365" s="171">
        <v>-1658000</v>
      </c>
      <c r="N365" s="171">
        <v>0</v>
      </c>
      <c r="P365" s="173">
        <f t="shared" si="5"/>
        <v>1658000</v>
      </c>
      <c r="V365" s="163"/>
      <c r="W365" s="163"/>
    </row>
    <row r="366" spans="1:23" s="17" customFormat="1">
      <c r="A366" s="176"/>
      <c r="B366" s="120" t="s">
        <v>446</v>
      </c>
      <c r="C366" s="177">
        <v>2025</v>
      </c>
      <c r="D366" s="80" t="s">
        <v>1461</v>
      </c>
      <c r="E366" s="8" t="s">
        <v>3120</v>
      </c>
      <c r="F366" s="1">
        <v>0</v>
      </c>
      <c r="G366" s="170"/>
      <c r="H366" s="171">
        <v>0</v>
      </c>
      <c r="I366" s="172">
        <v>0</v>
      </c>
      <c r="J366" s="171">
        <v>0</v>
      </c>
      <c r="K366" s="171">
        <v>0</v>
      </c>
      <c r="L366" s="171">
        <v>0</v>
      </c>
      <c r="M366" s="171">
        <v>-3056000</v>
      </c>
      <c r="N366" s="171">
        <v>0</v>
      </c>
      <c r="P366" s="173">
        <f t="shared" si="5"/>
        <v>3056000</v>
      </c>
      <c r="V366" s="163"/>
      <c r="W366" s="163"/>
    </row>
    <row r="367" spans="1:23" s="17" customFormat="1">
      <c r="A367" s="176"/>
      <c r="B367" s="120" t="s">
        <v>446</v>
      </c>
      <c r="C367" s="177">
        <v>2025</v>
      </c>
      <c r="D367" s="80" t="s">
        <v>1461</v>
      </c>
      <c r="E367" s="8" t="s">
        <v>3121</v>
      </c>
      <c r="F367" s="1">
        <v>0</v>
      </c>
      <c r="G367" s="170"/>
      <c r="H367" s="171">
        <v>0</v>
      </c>
      <c r="I367" s="172">
        <v>0</v>
      </c>
      <c r="J367" s="171">
        <v>0</v>
      </c>
      <c r="K367" s="171">
        <v>0</v>
      </c>
      <c r="L367" s="171">
        <v>0</v>
      </c>
      <c r="M367" s="171">
        <v>-7490000</v>
      </c>
      <c r="N367" s="171">
        <v>0</v>
      </c>
      <c r="P367" s="173">
        <f t="shared" si="5"/>
        <v>7490000</v>
      </c>
      <c r="V367" s="163"/>
      <c r="W367" s="163"/>
    </row>
    <row r="368" spans="1:23" s="17" customFormat="1">
      <c r="A368" s="176"/>
      <c r="B368" s="120" t="s">
        <v>446</v>
      </c>
      <c r="C368" s="177">
        <v>2025</v>
      </c>
      <c r="D368" s="80" t="s">
        <v>2325</v>
      </c>
      <c r="E368" s="8" t="s">
        <v>3122</v>
      </c>
      <c r="F368" s="1">
        <v>0</v>
      </c>
      <c r="G368" s="170"/>
      <c r="H368" s="171">
        <v>0</v>
      </c>
      <c r="I368" s="172">
        <v>0</v>
      </c>
      <c r="J368" s="171">
        <v>0</v>
      </c>
      <c r="K368" s="171">
        <v>0</v>
      </c>
      <c r="L368" s="171">
        <v>0</v>
      </c>
      <c r="M368" s="171">
        <v>-1257733</v>
      </c>
      <c r="N368" s="171">
        <v>0</v>
      </c>
      <c r="P368" s="173">
        <f t="shared" si="5"/>
        <v>1257733</v>
      </c>
      <c r="V368" s="163"/>
      <c r="W368" s="163"/>
    </row>
    <row r="369" spans="1:23" s="17" customFormat="1">
      <c r="A369" s="176"/>
      <c r="B369" s="120" t="s">
        <v>446</v>
      </c>
      <c r="C369" s="177">
        <v>2025</v>
      </c>
      <c r="D369" s="80" t="s">
        <v>2324</v>
      </c>
      <c r="E369" s="8" t="s">
        <v>3123</v>
      </c>
      <c r="F369" s="1">
        <v>0</v>
      </c>
      <c r="G369" s="170"/>
      <c r="H369" s="171">
        <v>0</v>
      </c>
      <c r="I369" s="172">
        <v>0</v>
      </c>
      <c r="J369" s="171">
        <v>0</v>
      </c>
      <c r="K369" s="171">
        <v>0</v>
      </c>
      <c r="L369" s="171">
        <v>0</v>
      </c>
      <c r="M369" s="171">
        <v>-59500</v>
      </c>
      <c r="N369" s="171">
        <v>0</v>
      </c>
      <c r="P369" s="173">
        <f t="shared" si="5"/>
        <v>59500</v>
      </c>
      <c r="V369" s="163"/>
      <c r="W369" s="163"/>
    </row>
    <row r="370" spans="1:23" s="17" customFormat="1">
      <c r="A370" s="176"/>
      <c r="B370" s="120" t="s">
        <v>446</v>
      </c>
      <c r="C370" s="177">
        <v>2025</v>
      </c>
      <c r="D370" s="80" t="s">
        <v>2324</v>
      </c>
      <c r="E370" s="8" t="s">
        <v>3124</v>
      </c>
      <c r="F370" s="1">
        <v>0</v>
      </c>
      <c r="G370" s="170"/>
      <c r="H370" s="171">
        <v>0</v>
      </c>
      <c r="I370" s="172">
        <v>0</v>
      </c>
      <c r="J370" s="171">
        <v>0</v>
      </c>
      <c r="K370" s="171">
        <v>0</v>
      </c>
      <c r="L370" s="171">
        <v>0</v>
      </c>
      <c r="M370" s="171">
        <v>-161700</v>
      </c>
      <c r="N370" s="171">
        <v>0</v>
      </c>
      <c r="P370" s="173">
        <f t="shared" si="5"/>
        <v>161700</v>
      </c>
      <c r="V370" s="163"/>
      <c r="W370" s="163"/>
    </row>
    <row r="371" spans="1:23" s="17" customFormat="1">
      <c r="A371" s="176"/>
      <c r="B371" s="120" t="s">
        <v>446</v>
      </c>
      <c r="C371" s="177">
        <v>2025</v>
      </c>
      <c r="D371" s="80" t="s">
        <v>2324</v>
      </c>
      <c r="E371" s="8" t="s">
        <v>3125</v>
      </c>
      <c r="F371" s="1">
        <v>0</v>
      </c>
      <c r="G371" s="170"/>
      <c r="H371" s="171">
        <v>0</v>
      </c>
      <c r="I371" s="172">
        <v>0</v>
      </c>
      <c r="J371" s="171">
        <v>0</v>
      </c>
      <c r="K371" s="171">
        <v>0</v>
      </c>
      <c r="L371" s="171">
        <v>0</v>
      </c>
      <c r="M371" s="171">
        <v>-48000</v>
      </c>
      <c r="N371" s="171">
        <v>0</v>
      </c>
      <c r="P371" s="173">
        <f t="shared" si="5"/>
        <v>48000</v>
      </c>
      <c r="V371" s="163"/>
      <c r="W371" s="163"/>
    </row>
    <row r="372" spans="1:23" s="17" customFormat="1">
      <c r="A372" s="176"/>
      <c r="B372" s="120" t="s">
        <v>446</v>
      </c>
      <c r="C372" s="177">
        <v>2025</v>
      </c>
      <c r="D372" s="80" t="s">
        <v>2325</v>
      </c>
      <c r="E372" s="8" t="s">
        <v>3126</v>
      </c>
      <c r="F372" s="1">
        <v>0</v>
      </c>
      <c r="G372" s="170"/>
      <c r="H372" s="171">
        <v>0</v>
      </c>
      <c r="I372" s="172">
        <v>0</v>
      </c>
      <c r="J372" s="171">
        <v>0</v>
      </c>
      <c r="K372" s="171">
        <v>0</v>
      </c>
      <c r="L372" s="171">
        <v>0</v>
      </c>
      <c r="M372" s="171">
        <v>-1086706</v>
      </c>
      <c r="N372" s="171">
        <v>0</v>
      </c>
      <c r="P372" s="173">
        <f t="shared" si="5"/>
        <v>1086706</v>
      </c>
      <c r="V372" s="163"/>
      <c r="W372" s="163"/>
    </row>
    <row r="373" spans="1:23" s="17" customFormat="1">
      <c r="A373" s="176"/>
      <c r="B373" s="120" t="s">
        <v>446</v>
      </c>
      <c r="C373" s="177">
        <v>2025</v>
      </c>
      <c r="D373" s="80" t="s">
        <v>2325</v>
      </c>
      <c r="E373" s="8" t="s">
        <v>3127</v>
      </c>
      <c r="F373" s="1">
        <v>0</v>
      </c>
      <c r="G373" s="170"/>
      <c r="H373" s="171">
        <v>0</v>
      </c>
      <c r="I373" s="172">
        <v>0</v>
      </c>
      <c r="J373" s="171">
        <v>0</v>
      </c>
      <c r="K373" s="171">
        <v>0</v>
      </c>
      <c r="L373" s="171">
        <v>0</v>
      </c>
      <c r="M373" s="171">
        <v>-1086706</v>
      </c>
      <c r="N373" s="171">
        <v>0</v>
      </c>
      <c r="P373" s="173">
        <f t="shared" si="5"/>
        <v>1086706</v>
      </c>
      <c r="V373" s="163"/>
      <c r="W373" s="163"/>
    </row>
    <row r="374" spans="1:23" s="17" customFormat="1">
      <c r="A374" s="176"/>
      <c r="B374" s="120" t="s">
        <v>446</v>
      </c>
      <c r="C374" s="177">
        <v>2025</v>
      </c>
      <c r="D374" s="80" t="s">
        <v>2325</v>
      </c>
      <c r="E374" s="8" t="s">
        <v>3128</v>
      </c>
      <c r="F374" s="1">
        <v>0</v>
      </c>
      <c r="G374" s="170"/>
      <c r="H374" s="171">
        <v>0</v>
      </c>
      <c r="I374" s="172">
        <v>0</v>
      </c>
      <c r="J374" s="171">
        <v>0</v>
      </c>
      <c r="K374" s="171">
        <v>0</v>
      </c>
      <c r="L374" s="171">
        <v>0</v>
      </c>
      <c r="M374" s="171">
        <v>-1086706</v>
      </c>
      <c r="N374" s="171">
        <v>0</v>
      </c>
      <c r="P374" s="173">
        <f t="shared" si="5"/>
        <v>1086706</v>
      </c>
      <c r="V374" s="163"/>
      <c r="W374" s="163"/>
    </row>
    <row r="375" spans="1:23" s="17" customFormat="1">
      <c r="A375" s="176"/>
      <c r="B375" s="120" t="s">
        <v>446</v>
      </c>
      <c r="C375" s="177">
        <v>2025</v>
      </c>
      <c r="D375" s="80" t="s">
        <v>2325</v>
      </c>
      <c r="E375" s="8" t="s">
        <v>3129</v>
      </c>
      <c r="F375" s="1">
        <v>0</v>
      </c>
      <c r="G375" s="170"/>
      <c r="H375" s="171">
        <v>0</v>
      </c>
      <c r="I375" s="172">
        <v>0</v>
      </c>
      <c r="J375" s="171">
        <v>0</v>
      </c>
      <c r="K375" s="171">
        <v>0</v>
      </c>
      <c r="L375" s="171">
        <v>0</v>
      </c>
      <c r="M375" s="171">
        <v>-1328000</v>
      </c>
      <c r="N375" s="171">
        <v>0</v>
      </c>
      <c r="P375" s="173">
        <f t="shared" si="5"/>
        <v>1328000</v>
      </c>
      <c r="V375" s="163"/>
      <c r="W375" s="163"/>
    </row>
    <row r="376" spans="1:23" s="17" customFormat="1">
      <c r="A376" s="176"/>
      <c r="B376" s="120" t="s">
        <v>446</v>
      </c>
      <c r="C376" s="177">
        <v>2025</v>
      </c>
      <c r="D376" s="80" t="s">
        <v>2325</v>
      </c>
      <c r="E376" s="8" t="s">
        <v>3130</v>
      </c>
      <c r="F376" s="1">
        <v>0</v>
      </c>
      <c r="G376" s="170"/>
      <c r="H376" s="171">
        <v>0</v>
      </c>
      <c r="I376" s="172">
        <v>0</v>
      </c>
      <c r="J376" s="171">
        <v>0</v>
      </c>
      <c r="K376" s="171">
        <v>0</v>
      </c>
      <c r="L376" s="171">
        <v>0</v>
      </c>
      <c r="M376" s="171">
        <v>-2626000</v>
      </c>
      <c r="N376" s="171">
        <v>0</v>
      </c>
      <c r="P376" s="173">
        <f t="shared" si="5"/>
        <v>2626000</v>
      </c>
      <c r="V376" s="163"/>
      <c r="W376" s="163"/>
    </row>
    <row r="377" spans="1:23" s="17" customFormat="1">
      <c r="A377" s="176"/>
      <c r="B377" s="120" t="s">
        <v>446</v>
      </c>
      <c r="C377" s="177">
        <v>2025</v>
      </c>
      <c r="D377" s="80" t="s">
        <v>2325</v>
      </c>
      <c r="E377" s="8" t="s">
        <v>3131</v>
      </c>
      <c r="F377" s="1">
        <v>0</v>
      </c>
      <c r="G377" s="170"/>
      <c r="H377" s="171">
        <v>0</v>
      </c>
      <c r="I377" s="172">
        <v>0</v>
      </c>
      <c r="J377" s="171">
        <v>0</v>
      </c>
      <c r="K377" s="171">
        <v>0</v>
      </c>
      <c r="L377" s="171">
        <v>0</v>
      </c>
      <c r="M377" s="171">
        <v>-1116987</v>
      </c>
      <c r="N377" s="171">
        <v>0</v>
      </c>
      <c r="P377" s="173">
        <f t="shared" si="5"/>
        <v>1116987</v>
      </c>
      <c r="V377" s="163"/>
      <c r="W377" s="163"/>
    </row>
    <row r="378" spans="1:23" s="17" customFormat="1">
      <c r="A378" s="176"/>
      <c r="B378" s="120" t="s">
        <v>446</v>
      </c>
      <c r="C378" s="177">
        <v>2025</v>
      </c>
      <c r="D378" s="80" t="s">
        <v>2325</v>
      </c>
      <c r="E378" s="8" t="s">
        <v>3133</v>
      </c>
      <c r="F378" s="1">
        <v>0</v>
      </c>
      <c r="G378" s="170"/>
      <c r="H378" s="171">
        <v>0</v>
      </c>
      <c r="I378" s="172">
        <v>0</v>
      </c>
      <c r="J378" s="171">
        <v>0</v>
      </c>
      <c r="K378" s="171">
        <v>0</v>
      </c>
      <c r="L378" s="171">
        <v>0</v>
      </c>
      <c r="M378" s="171">
        <v>-1177733</v>
      </c>
      <c r="N378" s="171">
        <v>0</v>
      </c>
      <c r="P378" s="173">
        <f t="shared" si="5"/>
        <v>1177733</v>
      </c>
      <c r="V378" s="163"/>
      <c r="W378" s="163"/>
    </row>
    <row r="379" spans="1:23" s="17" customFormat="1">
      <c r="A379" s="176"/>
      <c r="B379" s="120" t="s">
        <v>446</v>
      </c>
      <c r="C379" s="177">
        <v>2025</v>
      </c>
      <c r="D379" s="80" t="s">
        <v>1461</v>
      </c>
      <c r="E379" s="8" t="s">
        <v>3170</v>
      </c>
      <c r="F379" s="1">
        <v>0</v>
      </c>
      <c r="G379" s="170"/>
      <c r="H379" s="171">
        <v>0</v>
      </c>
      <c r="I379" s="172">
        <v>0</v>
      </c>
      <c r="J379" s="171">
        <v>0</v>
      </c>
      <c r="K379" s="171">
        <v>0</v>
      </c>
      <c r="L379" s="171">
        <v>0</v>
      </c>
      <c r="M379" s="171">
        <v>-1599994</v>
      </c>
      <c r="N379" s="171">
        <v>0</v>
      </c>
      <c r="P379" s="173">
        <f t="shared" si="5"/>
        <v>1599994</v>
      </c>
      <c r="V379" s="163"/>
      <c r="W379" s="163"/>
    </row>
    <row r="380" spans="1:23" s="17" customFormat="1">
      <c r="A380" s="176"/>
      <c r="B380" s="120" t="s">
        <v>446</v>
      </c>
      <c r="C380" s="177">
        <v>2025</v>
      </c>
      <c r="D380" s="80" t="s">
        <v>1461</v>
      </c>
      <c r="E380" s="8" t="s">
        <v>3171</v>
      </c>
      <c r="F380" s="1">
        <v>0</v>
      </c>
      <c r="G380" s="170"/>
      <c r="H380" s="171">
        <v>0</v>
      </c>
      <c r="I380" s="172">
        <v>0</v>
      </c>
      <c r="J380" s="171">
        <v>0</v>
      </c>
      <c r="K380" s="171">
        <v>0</v>
      </c>
      <c r="L380" s="171">
        <v>0</v>
      </c>
      <c r="M380" s="171">
        <v>-1600000</v>
      </c>
      <c r="N380" s="171">
        <v>0</v>
      </c>
      <c r="P380" s="173">
        <f t="shared" si="5"/>
        <v>1600000</v>
      </c>
      <c r="V380" s="163"/>
      <c r="W380" s="163"/>
    </row>
    <row r="381" spans="1:23" s="17" customFormat="1">
      <c r="A381" s="176"/>
      <c r="B381" s="120" t="s">
        <v>446</v>
      </c>
      <c r="C381" s="177">
        <v>2025</v>
      </c>
      <c r="D381" s="80" t="s">
        <v>2323</v>
      </c>
      <c r="E381" s="8" t="s">
        <v>3172</v>
      </c>
      <c r="F381" s="1">
        <v>0</v>
      </c>
      <c r="G381" s="170"/>
      <c r="H381" s="171">
        <v>0</v>
      </c>
      <c r="I381" s="172">
        <v>0</v>
      </c>
      <c r="J381" s="171">
        <v>0</v>
      </c>
      <c r="K381" s="171">
        <v>0</v>
      </c>
      <c r="L381" s="171">
        <v>0</v>
      </c>
      <c r="M381" s="171">
        <v>-199737</v>
      </c>
      <c r="N381" s="171">
        <v>0</v>
      </c>
      <c r="P381" s="173">
        <f t="shared" si="5"/>
        <v>199737</v>
      </c>
      <c r="V381" s="163"/>
      <c r="W381" s="163"/>
    </row>
    <row r="382" spans="1:23" s="17" customFormat="1">
      <c r="A382" s="176"/>
      <c r="B382" s="120" t="s">
        <v>446</v>
      </c>
      <c r="C382" s="177">
        <v>2025</v>
      </c>
      <c r="D382" s="80" t="s">
        <v>2323</v>
      </c>
      <c r="E382" s="8" t="s">
        <v>3173</v>
      </c>
      <c r="F382" s="1">
        <v>0</v>
      </c>
      <c r="G382" s="170"/>
      <c r="H382" s="171">
        <v>0</v>
      </c>
      <c r="I382" s="172">
        <v>0</v>
      </c>
      <c r="J382" s="171">
        <v>0</v>
      </c>
      <c r="K382" s="171">
        <v>0</v>
      </c>
      <c r="L382" s="171">
        <v>0</v>
      </c>
      <c r="M382" s="171">
        <v>-1066764</v>
      </c>
      <c r="N382" s="171">
        <v>0</v>
      </c>
      <c r="P382" s="173">
        <f t="shared" si="5"/>
        <v>1066764</v>
      </c>
      <c r="V382" s="163"/>
      <c r="W382" s="163"/>
    </row>
    <row r="383" spans="1:23" s="17" customFormat="1">
      <c r="A383" s="176"/>
      <c r="B383" s="120" t="s">
        <v>446</v>
      </c>
      <c r="C383" s="177">
        <v>2025</v>
      </c>
      <c r="D383" s="80" t="s">
        <v>2323</v>
      </c>
      <c r="E383" s="8" t="s">
        <v>3174</v>
      </c>
      <c r="F383" s="1">
        <v>0</v>
      </c>
      <c r="G383" s="170"/>
      <c r="H383" s="171">
        <v>0</v>
      </c>
      <c r="I383" s="172">
        <v>0</v>
      </c>
      <c r="J383" s="171">
        <v>0</v>
      </c>
      <c r="K383" s="171">
        <v>0</v>
      </c>
      <c r="L383" s="171">
        <v>0</v>
      </c>
      <c r="M383" s="171">
        <v>-1073566</v>
      </c>
      <c r="N383" s="171">
        <v>0</v>
      </c>
      <c r="P383" s="173">
        <f t="shared" si="5"/>
        <v>1073566</v>
      </c>
      <c r="V383" s="163"/>
      <c r="W383" s="163"/>
    </row>
    <row r="384" spans="1:23" s="17" customFormat="1">
      <c r="A384" s="176"/>
      <c r="B384" s="120" t="s">
        <v>446</v>
      </c>
      <c r="C384" s="177">
        <v>2025</v>
      </c>
      <c r="D384" s="80" t="s">
        <v>2323</v>
      </c>
      <c r="E384" s="8" t="s">
        <v>3175</v>
      </c>
      <c r="F384" s="1">
        <v>0</v>
      </c>
      <c r="G384" s="170"/>
      <c r="H384" s="171">
        <v>0</v>
      </c>
      <c r="I384" s="172">
        <v>0</v>
      </c>
      <c r="J384" s="171">
        <v>0</v>
      </c>
      <c r="K384" s="171">
        <v>0</v>
      </c>
      <c r="L384" s="171">
        <v>0</v>
      </c>
      <c r="M384" s="171">
        <v>-1073566</v>
      </c>
      <c r="N384" s="171">
        <v>0</v>
      </c>
      <c r="P384" s="173">
        <f t="shared" si="5"/>
        <v>1073566</v>
      </c>
      <c r="V384" s="163"/>
      <c r="W384" s="163"/>
    </row>
    <row r="385" spans="1:23" s="17" customFormat="1">
      <c r="A385" s="176"/>
      <c r="B385" s="120" t="s">
        <v>446</v>
      </c>
      <c r="C385" s="177">
        <v>2025</v>
      </c>
      <c r="D385" s="80" t="s">
        <v>2323</v>
      </c>
      <c r="E385" s="8" t="s">
        <v>3176</v>
      </c>
      <c r="F385" s="1">
        <v>0</v>
      </c>
      <c r="G385" s="170"/>
      <c r="H385" s="171">
        <v>0</v>
      </c>
      <c r="I385" s="172">
        <v>0</v>
      </c>
      <c r="J385" s="171">
        <v>0</v>
      </c>
      <c r="K385" s="171">
        <v>0</v>
      </c>
      <c r="L385" s="171">
        <v>0</v>
      </c>
      <c r="M385" s="171">
        <v>-1073566</v>
      </c>
      <c r="N385" s="171">
        <v>0</v>
      </c>
      <c r="P385" s="173">
        <f t="shared" si="5"/>
        <v>1073566</v>
      </c>
      <c r="V385" s="163"/>
      <c r="W385" s="163"/>
    </row>
    <row r="386" spans="1:23" s="17" customFormat="1">
      <c r="A386" s="176"/>
      <c r="B386" s="120" t="s">
        <v>446</v>
      </c>
      <c r="C386" s="177">
        <v>2025</v>
      </c>
      <c r="D386" s="80" t="s">
        <v>2323</v>
      </c>
      <c r="E386" s="8" t="s">
        <v>3177</v>
      </c>
      <c r="F386" s="1">
        <v>0</v>
      </c>
      <c r="G386" s="170"/>
      <c r="H386" s="171">
        <v>0</v>
      </c>
      <c r="I386" s="172">
        <v>0</v>
      </c>
      <c r="J386" s="171">
        <v>0</v>
      </c>
      <c r="K386" s="171">
        <v>0</v>
      </c>
      <c r="L386" s="171">
        <v>0</v>
      </c>
      <c r="M386" s="171">
        <v>-1117624</v>
      </c>
      <c r="N386" s="171">
        <v>0</v>
      </c>
      <c r="P386" s="173">
        <f t="shared" si="5"/>
        <v>1117624</v>
      </c>
      <c r="V386" s="163"/>
      <c r="W386" s="163"/>
    </row>
    <row r="387" spans="1:23" s="17" customFormat="1">
      <c r="A387" s="176"/>
      <c r="B387" s="120" t="s">
        <v>446</v>
      </c>
      <c r="C387" s="177">
        <v>2025</v>
      </c>
      <c r="D387" s="80" t="s">
        <v>2323</v>
      </c>
      <c r="E387" s="8" t="s">
        <v>3178</v>
      </c>
      <c r="F387" s="1">
        <v>0</v>
      </c>
      <c r="G387" s="170"/>
      <c r="H387" s="171">
        <v>0</v>
      </c>
      <c r="I387" s="172">
        <v>0</v>
      </c>
      <c r="J387" s="171">
        <v>0</v>
      </c>
      <c r="K387" s="171">
        <v>0</v>
      </c>
      <c r="L387" s="171">
        <v>0</v>
      </c>
      <c r="M387" s="171">
        <v>-707131</v>
      </c>
      <c r="N387" s="171">
        <v>0</v>
      </c>
      <c r="P387" s="173">
        <f t="shared" si="5"/>
        <v>707131</v>
      </c>
      <c r="V387" s="163"/>
      <c r="W387" s="163"/>
    </row>
    <row r="388" spans="1:23" s="17" customFormat="1">
      <c r="A388" s="176"/>
      <c r="B388" s="120" t="s">
        <v>446</v>
      </c>
      <c r="C388" s="177">
        <v>2025</v>
      </c>
      <c r="D388" s="80" t="s">
        <v>2323</v>
      </c>
      <c r="E388" s="8" t="s">
        <v>3179</v>
      </c>
      <c r="F388" s="1">
        <v>0</v>
      </c>
      <c r="G388" s="170"/>
      <c r="H388" s="171">
        <v>0</v>
      </c>
      <c r="I388" s="172">
        <v>0</v>
      </c>
      <c r="J388" s="171">
        <v>0</v>
      </c>
      <c r="K388" s="171">
        <v>0</v>
      </c>
      <c r="L388" s="171">
        <v>0</v>
      </c>
      <c r="M388" s="171">
        <v>-707131</v>
      </c>
      <c r="N388" s="171">
        <v>0</v>
      </c>
      <c r="P388" s="173">
        <f t="shared" si="5"/>
        <v>707131</v>
      </c>
      <c r="V388" s="163"/>
      <c r="W388" s="163"/>
    </row>
    <row r="389" spans="1:23" s="17" customFormat="1">
      <c r="A389" s="176"/>
      <c r="B389" s="120" t="s">
        <v>446</v>
      </c>
      <c r="C389" s="177">
        <v>2025</v>
      </c>
      <c r="D389" s="80" t="s">
        <v>2323</v>
      </c>
      <c r="E389" s="8" t="s">
        <v>3180</v>
      </c>
      <c r="F389" s="1">
        <v>0</v>
      </c>
      <c r="G389" s="170"/>
      <c r="H389" s="171">
        <v>0</v>
      </c>
      <c r="I389" s="172">
        <v>0</v>
      </c>
      <c r="J389" s="171">
        <v>0</v>
      </c>
      <c r="K389" s="171">
        <v>0</v>
      </c>
      <c r="L389" s="171">
        <v>0</v>
      </c>
      <c r="M389" s="171">
        <v>-707131</v>
      </c>
      <c r="N389" s="171">
        <v>0</v>
      </c>
      <c r="P389" s="173">
        <f t="shared" ref="P389:P452" si="6">F389-H389-I389-J389-K389-L389-M389</f>
        <v>707131</v>
      </c>
      <c r="V389" s="163"/>
      <c r="W389" s="163"/>
    </row>
    <row r="390" spans="1:23" s="17" customFormat="1">
      <c r="A390" s="176"/>
      <c r="B390" s="120" t="s">
        <v>446</v>
      </c>
      <c r="C390" s="177">
        <v>2025</v>
      </c>
      <c r="D390" s="80" t="s">
        <v>1461</v>
      </c>
      <c r="E390" s="8" t="s">
        <v>3181</v>
      </c>
      <c r="F390" s="1">
        <v>0</v>
      </c>
      <c r="G390" s="170"/>
      <c r="H390" s="171">
        <v>0</v>
      </c>
      <c r="I390" s="172">
        <v>0</v>
      </c>
      <c r="J390" s="171">
        <v>0</v>
      </c>
      <c r="K390" s="171">
        <v>0</v>
      </c>
      <c r="L390" s="171">
        <v>0</v>
      </c>
      <c r="M390" s="171">
        <v>-733082</v>
      </c>
      <c r="N390" s="171">
        <v>0</v>
      </c>
      <c r="P390" s="173">
        <f t="shared" si="6"/>
        <v>733082</v>
      </c>
      <c r="V390" s="163"/>
      <c r="W390" s="163"/>
    </row>
    <row r="391" spans="1:23" s="17" customFormat="1">
      <c r="A391" s="176"/>
      <c r="B391" s="120" t="s">
        <v>446</v>
      </c>
      <c r="C391" s="177">
        <v>2025</v>
      </c>
      <c r="D391" s="80" t="s">
        <v>1461</v>
      </c>
      <c r="E391" s="8" t="s">
        <v>3182</v>
      </c>
      <c r="F391" s="1">
        <v>0</v>
      </c>
      <c r="G391" s="170"/>
      <c r="H391" s="171">
        <v>0</v>
      </c>
      <c r="I391" s="172">
        <v>0</v>
      </c>
      <c r="J391" s="171">
        <v>0</v>
      </c>
      <c r="K391" s="171">
        <v>0</v>
      </c>
      <c r="L391" s="171">
        <v>0</v>
      </c>
      <c r="M391" s="171">
        <v>-810000</v>
      </c>
      <c r="N391" s="171">
        <v>0</v>
      </c>
      <c r="P391" s="173">
        <f t="shared" si="6"/>
        <v>810000</v>
      </c>
      <c r="V391" s="163"/>
      <c r="W391" s="163"/>
    </row>
    <row r="392" spans="1:23" s="17" customFormat="1">
      <c r="A392" s="176"/>
      <c r="B392" s="120" t="s">
        <v>446</v>
      </c>
      <c r="C392" s="177">
        <v>2025</v>
      </c>
      <c r="D392" s="80" t="s">
        <v>1461</v>
      </c>
      <c r="E392" s="8" t="s">
        <v>3183</v>
      </c>
      <c r="F392" s="1">
        <v>0</v>
      </c>
      <c r="G392" s="170"/>
      <c r="H392" s="171">
        <v>0</v>
      </c>
      <c r="I392" s="172">
        <v>0</v>
      </c>
      <c r="J392" s="171">
        <v>0</v>
      </c>
      <c r="K392" s="171">
        <v>0</v>
      </c>
      <c r="L392" s="171">
        <v>0</v>
      </c>
      <c r="M392" s="171">
        <v>-865251</v>
      </c>
      <c r="N392" s="171">
        <v>0</v>
      </c>
      <c r="P392" s="173">
        <f t="shared" si="6"/>
        <v>865251</v>
      </c>
      <c r="V392" s="163"/>
      <c r="W392" s="163"/>
    </row>
    <row r="393" spans="1:23" s="17" customFormat="1">
      <c r="A393" s="176"/>
      <c r="B393" s="120" t="s">
        <v>446</v>
      </c>
      <c r="C393" s="177">
        <v>2025</v>
      </c>
      <c r="D393" s="80" t="s">
        <v>2323</v>
      </c>
      <c r="E393" s="8" t="s">
        <v>3184</v>
      </c>
      <c r="F393" s="1">
        <v>0</v>
      </c>
      <c r="G393" s="170"/>
      <c r="H393" s="171">
        <v>0</v>
      </c>
      <c r="I393" s="172">
        <v>0</v>
      </c>
      <c r="J393" s="171">
        <v>0</v>
      </c>
      <c r="K393" s="171">
        <v>0</v>
      </c>
      <c r="L393" s="171">
        <v>0</v>
      </c>
      <c r="M393" s="171">
        <v>-707131</v>
      </c>
      <c r="N393" s="171">
        <v>0</v>
      </c>
      <c r="P393" s="173">
        <f t="shared" si="6"/>
        <v>707131</v>
      </c>
      <c r="V393" s="163"/>
      <c r="W393" s="163"/>
    </row>
    <row r="394" spans="1:23" s="17" customFormat="1">
      <c r="A394" s="176"/>
      <c r="B394" s="120" t="s">
        <v>446</v>
      </c>
      <c r="C394" s="177">
        <v>2025</v>
      </c>
      <c r="D394" s="80" t="s">
        <v>2323</v>
      </c>
      <c r="E394" s="8" t="s">
        <v>3185</v>
      </c>
      <c r="F394" s="1">
        <v>0</v>
      </c>
      <c r="G394" s="170"/>
      <c r="H394" s="171">
        <v>0</v>
      </c>
      <c r="I394" s="172">
        <v>0</v>
      </c>
      <c r="J394" s="171">
        <v>0</v>
      </c>
      <c r="K394" s="171">
        <v>0</v>
      </c>
      <c r="L394" s="171">
        <v>0</v>
      </c>
      <c r="M394" s="171">
        <v>-707131</v>
      </c>
      <c r="N394" s="171">
        <v>0</v>
      </c>
      <c r="P394" s="173">
        <f t="shared" si="6"/>
        <v>707131</v>
      </c>
      <c r="V394" s="163"/>
      <c r="W394" s="163"/>
    </row>
    <row r="395" spans="1:23" s="17" customFormat="1">
      <c r="A395" s="176"/>
      <c r="B395" s="120" t="s">
        <v>446</v>
      </c>
      <c r="C395" s="177">
        <v>2025</v>
      </c>
      <c r="D395" s="80" t="s">
        <v>2323</v>
      </c>
      <c r="E395" s="8" t="s">
        <v>3186</v>
      </c>
      <c r="F395" s="1">
        <v>0</v>
      </c>
      <c r="G395" s="170"/>
      <c r="H395" s="171">
        <v>0</v>
      </c>
      <c r="I395" s="172">
        <v>0</v>
      </c>
      <c r="J395" s="171">
        <v>0</v>
      </c>
      <c r="K395" s="171">
        <v>0</v>
      </c>
      <c r="L395" s="171">
        <v>0</v>
      </c>
      <c r="M395" s="171">
        <v>-707131</v>
      </c>
      <c r="N395" s="171">
        <v>0</v>
      </c>
      <c r="P395" s="173">
        <f t="shared" si="6"/>
        <v>707131</v>
      </c>
      <c r="V395" s="163"/>
      <c r="W395" s="163"/>
    </row>
    <row r="396" spans="1:23" s="17" customFormat="1">
      <c r="A396" s="176"/>
      <c r="B396" s="120" t="s">
        <v>446</v>
      </c>
      <c r="C396" s="177">
        <v>2025</v>
      </c>
      <c r="D396" s="80" t="s">
        <v>2323</v>
      </c>
      <c r="E396" s="8" t="s">
        <v>3189</v>
      </c>
      <c r="F396" s="1">
        <v>0</v>
      </c>
      <c r="G396" s="170"/>
      <c r="H396" s="171">
        <v>0</v>
      </c>
      <c r="I396" s="172">
        <v>0</v>
      </c>
      <c r="J396" s="171">
        <v>0</v>
      </c>
      <c r="K396" s="171">
        <v>0</v>
      </c>
      <c r="L396" s="171">
        <v>0</v>
      </c>
      <c r="M396" s="171">
        <v>-723571</v>
      </c>
      <c r="N396" s="171">
        <v>0</v>
      </c>
      <c r="P396" s="173">
        <f t="shared" si="6"/>
        <v>723571</v>
      </c>
      <c r="V396" s="163"/>
      <c r="W396" s="163"/>
    </row>
    <row r="397" spans="1:23" s="17" customFormat="1">
      <c r="A397" s="176"/>
      <c r="B397" s="120" t="s">
        <v>446</v>
      </c>
      <c r="C397" s="177">
        <v>2025</v>
      </c>
      <c r="D397" s="80" t="s">
        <v>1461</v>
      </c>
      <c r="E397" s="8" t="s">
        <v>3194</v>
      </c>
      <c r="F397" s="1">
        <v>0</v>
      </c>
      <c r="G397" s="170"/>
      <c r="H397" s="171">
        <v>0</v>
      </c>
      <c r="I397" s="172">
        <v>0</v>
      </c>
      <c r="J397" s="171">
        <v>0</v>
      </c>
      <c r="K397" s="171">
        <v>0</v>
      </c>
      <c r="L397" s="171">
        <v>0</v>
      </c>
      <c r="M397" s="171">
        <v>-3483081</v>
      </c>
      <c r="N397" s="171">
        <v>0</v>
      </c>
      <c r="P397" s="173">
        <f t="shared" si="6"/>
        <v>3483081</v>
      </c>
      <c r="V397" s="163"/>
      <c r="W397" s="163"/>
    </row>
    <row r="398" spans="1:23" s="17" customFormat="1">
      <c r="A398" s="176"/>
      <c r="B398" s="120" t="s">
        <v>446</v>
      </c>
      <c r="C398" s="177">
        <v>2025</v>
      </c>
      <c r="D398" s="80" t="s">
        <v>1461</v>
      </c>
      <c r="E398" s="8" t="s">
        <v>3196</v>
      </c>
      <c r="F398" s="1">
        <v>0</v>
      </c>
      <c r="G398" s="170"/>
      <c r="H398" s="171">
        <v>0</v>
      </c>
      <c r="I398" s="172">
        <v>0</v>
      </c>
      <c r="J398" s="171">
        <v>0</v>
      </c>
      <c r="K398" s="171">
        <v>0</v>
      </c>
      <c r="L398" s="171">
        <v>0</v>
      </c>
      <c r="M398" s="171">
        <v>-818084</v>
      </c>
      <c r="N398" s="171">
        <v>0</v>
      </c>
      <c r="P398" s="173">
        <f t="shared" si="6"/>
        <v>818084</v>
      </c>
      <c r="V398" s="163"/>
      <c r="W398" s="163"/>
    </row>
    <row r="399" spans="1:23" s="17" customFormat="1">
      <c r="A399" s="176"/>
      <c r="B399" s="120" t="s">
        <v>446</v>
      </c>
      <c r="C399" s="177">
        <v>2025</v>
      </c>
      <c r="D399" s="80" t="s">
        <v>1461</v>
      </c>
      <c r="E399" s="8" t="s">
        <v>3197</v>
      </c>
      <c r="F399" s="1">
        <v>0</v>
      </c>
      <c r="G399" s="170"/>
      <c r="H399" s="171">
        <v>0</v>
      </c>
      <c r="I399" s="172">
        <v>0</v>
      </c>
      <c r="J399" s="171">
        <v>0</v>
      </c>
      <c r="K399" s="171">
        <v>0</v>
      </c>
      <c r="L399" s="171">
        <v>0</v>
      </c>
      <c r="M399" s="171">
        <v>-818085</v>
      </c>
      <c r="N399" s="171">
        <v>0</v>
      </c>
      <c r="P399" s="173">
        <f t="shared" si="6"/>
        <v>818085</v>
      </c>
      <c r="V399" s="163"/>
      <c r="W399" s="163"/>
    </row>
    <row r="400" spans="1:23" s="17" customFormat="1">
      <c r="A400" s="176"/>
      <c r="B400" s="120" t="s">
        <v>446</v>
      </c>
      <c r="C400" s="177">
        <v>2025</v>
      </c>
      <c r="D400" s="80" t="s">
        <v>1461</v>
      </c>
      <c r="E400" s="8" t="s">
        <v>3201</v>
      </c>
      <c r="F400" s="1">
        <v>0</v>
      </c>
      <c r="G400" s="170"/>
      <c r="H400" s="171">
        <v>0</v>
      </c>
      <c r="I400" s="172">
        <v>0</v>
      </c>
      <c r="J400" s="171">
        <v>0</v>
      </c>
      <c r="K400" s="171">
        <v>0</v>
      </c>
      <c r="L400" s="171">
        <v>0</v>
      </c>
      <c r="M400" s="171">
        <v>-1539080</v>
      </c>
      <c r="N400" s="171">
        <v>0</v>
      </c>
      <c r="P400" s="173">
        <f t="shared" si="6"/>
        <v>1539080</v>
      </c>
      <c r="V400" s="163"/>
      <c r="W400" s="163"/>
    </row>
    <row r="401" spans="1:23" s="17" customFormat="1">
      <c r="A401" s="176"/>
      <c r="B401" s="120" t="s">
        <v>446</v>
      </c>
      <c r="C401" s="177">
        <v>2025</v>
      </c>
      <c r="D401" s="80" t="s">
        <v>1461</v>
      </c>
      <c r="E401" s="8" t="s">
        <v>3203</v>
      </c>
      <c r="F401" s="1">
        <v>0</v>
      </c>
      <c r="G401" s="170"/>
      <c r="H401" s="171">
        <v>0</v>
      </c>
      <c r="I401" s="172">
        <v>0</v>
      </c>
      <c r="J401" s="171">
        <v>0</v>
      </c>
      <c r="K401" s="171">
        <v>0</v>
      </c>
      <c r="L401" s="171">
        <v>0</v>
      </c>
      <c r="M401" s="171">
        <v>-1660080</v>
      </c>
      <c r="N401" s="171">
        <v>0</v>
      </c>
      <c r="P401" s="173">
        <f t="shared" si="6"/>
        <v>1660080</v>
      </c>
      <c r="V401" s="163"/>
      <c r="W401" s="163"/>
    </row>
    <row r="402" spans="1:23" s="17" customFormat="1">
      <c r="A402" s="176"/>
      <c r="B402" s="120" t="s">
        <v>446</v>
      </c>
      <c r="C402" s="177">
        <v>2025</v>
      </c>
      <c r="D402" s="80" t="s">
        <v>1461</v>
      </c>
      <c r="E402" s="8" t="s">
        <v>3205</v>
      </c>
      <c r="F402" s="1">
        <v>0</v>
      </c>
      <c r="G402" s="170"/>
      <c r="H402" s="171">
        <v>0</v>
      </c>
      <c r="I402" s="172">
        <v>0</v>
      </c>
      <c r="J402" s="171">
        <v>0</v>
      </c>
      <c r="K402" s="171">
        <v>0</v>
      </c>
      <c r="L402" s="171">
        <v>0</v>
      </c>
      <c r="M402" s="171">
        <v>-4478889</v>
      </c>
      <c r="N402" s="171">
        <v>0</v>
      </c>
      <c r="P402" s="173">
        <f t="shared" si="6"/>
        <v>4478889</v>
      </c>
      <c r="V402" s="163"/>
      <c r="W402" s="163"/>
    </row>
    <row r="403" spans="1:23" s="17" customFormat="1">
      <c r="A403" s="176"/>
      <c r="B403" s="120" t="s">
        <v>446</v>
      </c>
      <c r="C403" s="177">
        <v>2025</v>
      </c>
      <c r="D403" s="80" t="s">
        <v>1461</v>
      </c>
      <c r="E403" s="8" t="s">
        <v>3215</v>
      </c>
      <c r="F403" s="1">
        <v>0</v>
      </c>
      <c r="G403" s="170"/>
      <c r="H403" s="171">
        <v>0</v>
      </c>
      <c r="I403" s="172">
        <v>0</v>
      </c>
      <c r="J403" s="171">
        <v>0</v>
      </c>
      <c r="K403" s="171">
        <v>0</v>
      </c>
      <c r="L403" s="171">
        <v>0</v>
      </c>
      <c r="M403" s="171">
        <v>-1144695</v>
      </c>
      <c r="N403" s="171">
        <v>0</v>
      </c>
      <c r="P403" s="173">
        <f t="shared" si="6"/>
        <v>1144695</v>
      </c>
      <c r="V403" s="163"/>
      <c r="W403" s="163"/>
    </row>
    <row r="404" spans="1:23" s="17" customFormat="1">
      <c r="A404" s="176"/>
      <c r="B404" s="120" t="s">
        <v>446</v>
      </c>
      <c r="C404" s="177">
        <v>2025</v>
      </c>
      <c r="D404" s="80" t="s">
        <v>1461</v>
      </c>
      <c r="E404" s="8" t="s">
        <v>3218</v>
      </c>
      <c r="F404" s="1">
        <v>0</v>
      </c>
      <c r="G404" s="170"/>
      <c r="H404" s="171">
        <v>0</v>
      </c>
      <c r="I404" s="172">
        <v>0</v>
      </c>
      <c r="J404" s="171">
        <v>0</v>
      </c>
      <c r="K404" s="171">
        <v>0</v>
      </c>
      <c r="L404" s="171">
        <v>0</v>
      </c>
      <c r="M404" s="171">
        <v>-1704795</v>
      </c>
      <c r="N404" s="171">
        <v>0</v>
      </c>
      <c r="P404" s="173">
        <f t="shared" si="6"/>
        <v>1704795</v>
      </c>
      <c r="V404" s="163"/>
      <c r="W404" s="163"/>
    </row>
    <row r="405" spans="1:23" s="17" customFormat="1">
      <c r="A405" s="176"/>
      <c r="B405" s="120" t="s">
        <v>446</v>
      </c>
      <c r="C405" s="177">
        <v>2025</v>
      </c>
      <c r="D405" s="80" t="s">
        <v>1461</v>
      </c>
      <c r="E405" s="8" t="s">
        <v>3219</v>
      </c>
      <c r="F405" s="1">
        <v>0</v>
      </c>
      <c r="G405" s="170"/>
      <c r="H405" s="171">
        <v>0</v>
      </c>
      <c r="I405" s="172">
        <v>0</v>
      </c>
      <c r="J405" s="171">
        <v>0</v>
      </c>
      <c r="K405" s="171">
        <v>0</v>
      </c>
      <c r="L405" s="171">
        <v>0</v>
      </c>
      <c r="M405" s="171">
        <v>-1724725</v>
      </c>
      <c r="N405" s="171">
        <v>0</v>
      </c>
      <c r="P405" s="173">
        <f t="shared" si="6"/>
        <v>1724725</v>
      </c>
      <c r="V405" s="163"/>
      <c r="W405" s="163"/>
    </row>
    <row r="406" spans="1:23" s="17" customFormat="1">
      <c r="A406" s="176"/>
      <c r="B406" s="120" t="s">
        <v>446</v>
      </c>
      <c r="C406" s="177">
        <v>2025</v>
      </c>
      <c r="D406" s="80" t="s">
        <v>1461</v>
      </c>
      <c r="E406" s="8" t="s">
        <v>3220</v>
      </c>
      <c r="F406" s="1">
        <v>0</v>
      </c>
      <c r="G406" s="170"/>
      <c r="H406" s="171">
        <v>0</v>
      </c>
      <c r="I406" s="172">
        <v>0</v>
      </c>
      <c r="J406" s="171">
        <v>0</v>
      </c>
      <c r="K406" s="171">
        <v>0</v>
      </c>
      <c r="L406" s="171">
        <v>0</v>
      </c>
      <c r="M406" s="171">
        <v>-1948521</v>
      </c>
      <c r="N406" s="171">
        <v>0</v>
      </c>
      <c r="P406" s="173">
        <f t="shared" si="6"/>
        <v>1948521</v>
      </c>
      <c r="V406" s="163"/>
      <c r="W406" s="163"/>
    </row>
    <row r="407" spans="1:23" s="17" customFormat="1">
      <c r="A407" s="176"/>
      <c r="B407" s="120" t="s">
        <v>446</v>
      </c>
      <c r="C407" s="177">
        <v>2025</v>
      </c>
      <c r="D407" s="80" t="s">
        <v>2314</v>
      </c>
      <c r="E407" s="8" t="s">
        <v>3253</v>
      </c>
      <c r="F407" s="1">
        <v>0</v>
      </c>
      <c r="G407" s="170"/>
      <c r="H407" s="171">
        <v>0</v>
      </c>
      <c r="I407" s="172">
        <v>0</v>
      </c>
      <c r="J407" s="171">
        <v>0</v>
      </c>
      <c r="K407" s="171">
        <v>0</v>
      </c>
      <c r="L407" s="171">
        <v>0</v>
      </c>
      <c r="M407" s="171">
        <v>-1960081</v>
      </c>
      <c r="N407" s="171">
        <v>0</v>
      </c>
      <c r="P407" s="173">
        <f t="shared" si="6"/>
        <v>1960081</v>
      </c>
      <c r="V407" s="163"/>
      <c r="W407" s="163"/>
    </row>
    <row r="408" spans="1:23" s="17" customFormat="1">
      <c r="A408" s="176"/>
      <c r="B408" s="120" t="s">
        <v>446</v>
      </c>
      <c r="C408" s="177">
        <v>2025</v>
      </c>
      <c r="D408" s="80" t="s">
        <v>2314</v>
      </c>
      <c r="E408" s="8" t="s">
        <v>3260</v>
      </c>
      <c r="F408" s="1">
        <v>0</v>
      </c>
      <c r="G408" s="170"/>
      <c r="H408" s="171">
        <v>0</v>
      </c>
      <c r="I408" s="172">
        <v>0</v>
      </c>
      <c r="J408" s="171">
        <v>0</v>
      </c>
      <c r="K408" s="171">
        <v>0</v>
      </c>
      <c r="L408" s="171">
        <v>0</v>
      </c>
      <c r="M408" s="171">
        <v>-1526256</v>
      </c>
      <c r="N408" s="171">
        <v>0</v>
      </c>
      <c r="P408" s="173">
        <f t="shared" si="6"/>
        <v>1526256</v>
      </c>
      <c r="V408" s="163"/>
      <c r="W408" s="163"/>
    </row>
    <row r="409" spans="1:23" s="17" customFormat="1">
      <c r="A409" s="176"/>
      <c r="B409" s="120" t="s">
        <v>446</v>
      </c>
      <c r="C409" s="177">
        <v>2025</v>
      </c>
      <c r="D409" s="80" t="s">
        <v>2314</v>
      </c>
      <c r="E409" s="8" t="s">
        <v>3261</v>
      </c>
      <c r="F409" s="1">
        <v>0</v>
      </c>
      <c r="G409" s="170"/>
      <c r="H409" s="171">
        <v>0</v>
      </c>
      <c r="I409" s="172">
        <v>0</v>
      </c>
      <c r="J409" s="171">
        <v>0</v>
      </c>
      <c r="K409" s="171">
        <v>0</v>
      </c>
      <c r="L409" s="171">
        <v>0</v>
      </c>
      <c r="M409" s="171">
        <v>-1696258</v>
      </c>
      <c r="N409" s="171">
        <v>0</v>
      </c>
      <c r="P409" s="173">
        <f t="shared" si="6"/>
        <v>1696258</v>
      </c>
      <c r="V409" s="163"/>
      <c r="W409" s="163"/>
    </row>
    <row r="410" spans="1:23" s="17" customFormat="1">
      <c r="A410" s="176"/>
      <c r="B410" s="120" t="s">
        <v>446</v>
      </c>
      <c r="C410" s="177">
        <v>2025</v>
      </c>
      <c r="D410" s="80" t="s">
        <v>3270</v>
      </c>
      <c r="E410" s="8" t="s">
        <v>3269</v>
      </c>
      <c r="F410" s="1">
        <v>0</v>
      </c>
      <c r="G410" s="170"/>
      <c r="H410" s="171">
        <v>0</v>
      </c>
      <c r="I410" s="172">
        <v>0</v>
      </c>
      <c r="J410" s="171">
        <v>0</v>
      </c>
      <c r="K410" s="171">
        <v>0</v>
      </c>
      <c r="L410" s="171">
        <v>0</v>
      </c>
      <c r="M410" s="171">
        <v>-1648200</v>
      </c>
      <c r="N410" s="171">
        <v>0</v>
      </c>
      <c r="P410" s="173">
        <f t="shared" si="6"/>
        <v>1648200</v>
      </c>
      <c r="V410" s="163"/>
      <c r="W410" s="163"/>
    </row>
    <row r="411" spans="1:23" s="17" customFormat="1">
      <c r="A411" s="176"/>
      <c r="B411" s="120" t="s">
        <v>446</v>
      </c>
      <c r="C411" s="177">
        <v>2025</v>
      </c>
      <c r="D411" s="80" t="s">
        <v>3270</v>
      </c>
      <c r="E411" s="8" t="s">
        <v>3271</v>
      </c>
      <c r="F411" s="1">
        <v>0</v>
      </c>
      <c r="G411" s="170"/>
      <c r="H411" s="171">
        <v>0</v>
      </c>
      <c r="I411" s="172">
        <v>0</v>
      </c>
      <c r="J411" s="171">
        <v>0</v>
      </c>
      <c r="K411" s="171">
        <v>0</v>
      </c>
      <c r="L411" s="171">
        <v>0</v>
      </c>
      <c r="M411" s="171">
        <v>-977300</v>
      </c>
      <c r="N411" s="171">
        <v>0</v>
      </c>
      <c r="P411" s="173">
        <f t="shared" si="6"/>
        <v>977300</v>
      </c>
      <c r="V411" s="163"/>
      <c r="W411" s="163"/>
    </row>
    <row r="412" spans="1:23" s="17" customFormat="1">
      <c r="A412" s="176"/>
      <c r="B412" s="120" t="s">
        <v>446</v>
      </c>
      <c r="C412" s="177">
        <v>2025</v>
      </c>
      <c r="D412" s="80" t="s">
        <v>3270</v>
      </c>
      <c r="E412" s="8" t="s">
        <v>3272</v>
      </c>
      <c r="F412" s="1">
        <v>0</v>
      </c>
      <c r="G412" s="170"/>
      <c r="H412" s="171">
        <v>0</v>
      </c>
      <c r="I412" s="172">
        <v>0</v>
      </c>
      <c r="J412" s="171">
        <v>0</v>
      </c>
      <c r="K412" s="171">
        <v>0</v>
      </c>
      <c r="L412" s="171">
        <v>0</v>
      </c>
      <c r="M412" s="171">
        <v>-1441700</v>
      </c>
      <c r="N412" s="171">
        <v>0</v>
      </c>
      <c r="P412" s="173">
        <f t="shared" si="6"/>
        <v>1441700</v>
      </c>
      <c r="V412" s="163"/>
      <c r="W412" s="163"/>
    </row>
    <row r="413" spans="1:23" s="17" customFormat="1">
      <c r="A413" s="176"/>
      <c r="B413" s="120" t="s">
        <v>446</v>
      </c>
      <c r="C413" s="177">
        <v>2025</v>
      </c>
      <c r="D413" s="80" t="s">
        <v>3270</v>
      </c>
      <c r="E413" s="8" t="s">
        <v>3273</v>
      </c>
      <c r="F413" s="1">
        <v>0</v>
      </c>
      <c r="G413" s="170"/>
      <c r="H413" s="171">
        <v>0</v>
      </c>
      <c r="I413" s="172">
        <v>0</v>
      </c>
      <c r="J413" s="171">
        <v>0</v>
      </c>
      <c r="K413" s="171">
        <v>0</v>
      </c>
      <c r="L413" s="171">
        <v>0</v>
      </c>
      <c r="M413" s="171">
        <v>-1441700</v>
      </c>
      <c r="N413" s="171">
        <v>0</v>
      </c>
      <c r="P413" s="173">
        <f t="shared" si="6"/>
        <v>1441700</v>
      </c>
      <c r="V413" s="163"/>
      <c r="W413" s="163"/>
    </row>
    <row r="414" spans="1:23" s="17" customFormat="1">
      <c r="A414" s="176"/>
      <c r="B414" s="120" t="s">
        <v>446</v>
      </c>
      <c r="C414" s="177">
        <v>2025</v>
      </c>
      <c r="D414" s="80" t="s">
        <v>3270</v>
      </c>
      <c r="E414" s="8" t="s">
        <v>3274</v>
      </c>
      <c r="F414" s="1">
        <v>0</v>
      </c>
      <c r="G414" s="170"/>
      <c r="H414" s="171">
        <v>0</v>
      </c>
      <c r="I414" s="172">
        <v>0</v>
      </c>
      <c r="J414" s="171">
        <v>0</v>
      </c>
      <c r="K414" s="171">
        <v>0</v>
      </c>
      <c r="L414" s="171">
        <v>0</v>
      </c>
      <c r="M414" s="171">
        <v>-1175200</v>
      </c>
      <c r="N414" s="171">
        <v>0</v>
      </c>
      <c r="P414" s="173">
        <f t="shared" si="6"/>
        <v>1175200</v>
      </c>
      <c r="V414" s="163"/>
      <c r="W414" s="163"/>
    </row>
    <row r="415" spans="1:23" s="17" customFormat="1">
      <c r="A415" s="176"/>
      <c r="B415" s="120" t="s">
        <v>446</v>
      </c>
      <c r="C415" s="177">
        <v>2025</v>
      </c>
      <c r="D415" s="80" t="s">
        <v>3270</v>
      </c>
      <c r="E415" s="8" t="s">
        <v>3275</v>
      </c>
      <c r="F415" s="1">
        <v>0</v>
      </c>
      <c r="G415" s="170"/>
      <c r="H415" s="171">
        <v>0</v>
      </c>
      <c r="I415" s="172">
        <v>0</v>
      </c>
      <c r="J415" s="171">
        <v>0</v>
      </c>
      <c r="K415" s="171">
        <v>0</v>
      </c>
      <c r="L415" s="171">
        <v>0</v>
      </c>
      <c r="M415" s="171">
        <v>-995150</v>
      </c>
      <c r="N415" s="171">
        <v>0</v>
      </c>
      <c r="P415" s="173">
        <f t="shared" si="6"/>
        <v>995150</v>
      </c>
      <c r="V415" s="163"/>
      <c r="W415" s="163"/>
    </row>
    <row r="416" spans="1:23" s="17" customFormat="1">
      <c r="A416" s="176"/>
      <c r="B416" s="120" t="s">
        <v>446</v>
      </c>
      <c r="C416" s="177">
        <v>2025</v>
      </c>
      <c r="D416" s="80" t="s">
        <v>3283</v>
      </c>
      <c r="E416" s="8" t="s">
        <v>3282</v>
      </c>
      <c r="F416" s="1">
        <v>0</v>
      </c>
      <c r="G416" s="170"/>
      <c r="H416" s="171">
        <v>0</v>
      </c>
      <c r="I416" s="172">
        <v>0</v>
      </c>
      <c r="J416" s="171">
        <v>0</v>
      </c>
      <c r="K416" s="171">
        <v>0</v>
      </c>
      <c r="L416" s="171">
        <v>0</v>
      </c>
      <c r="M416" s="171">
        <v>-3056400</v>
      </c>
      <c r="N416" s="171">
        <v>0</v>
      </c>
      <c r="P416" s="173">
        <f t="shared" si="6"/>
        <v>3056400</v>
      </c>
      <c r="V416" s="163"/>
      <c r="W416" s="163"/>
    </row>
    <row r="417" spans="1:23" s="17" customFormat="1">
      <c r="A417" s="176"/>
      <c r="B417" s="120" t="s">
        <v>446</v>
      </c>
      <c r="C417" s="177">
        <v>2025</v>
      </c>
      <c r="D417" s="80" t="s">
        <v>3475</v>
      </c>
      <c r="E417" s="8" t="s">
        <v>4731</v>
      </c>
      <c r="F417" s="1">
        <v>0</v>
      </c>
      <c r="G417" s="170"/>
      <c r="H417" s="171">
        <v>0</v>
      </c>
      <c r="I417" s="172">
        <v>0</v>
      </c>
      <c r="J417" s="171">
        <v>0</v>
      </c>
      <c r="K417" s="171">
        <v>0</v>
      </c>
      <c r="L417" s="171">
        <v>0</v>
      </c>
      <c r="M417" s="171">
        <v>-1308000</v>
      </c>
      <c r="N417" s="171">
        <v>0</v>
      </c>
      <c r="P417" s="173">
        <f t="shared" si="6"/>
        <v>1308000</v>
      </c>
      <c r="V417" s="163"/>
      <c r="W417" s="163"/>
    </row>
    <row r="418" spans="1:23" s="17" customFormat="1">
      <c r="A418" s="176"/>
      <c r="B418" s="120" t="s">
        <v>446</v>
      </c>
      <c r="C418" s="177">
        <v>2025</v>
      </c>
      <c r="D418" s="80" t="s">
        <v>3474</v>
      </c>
      <c r="E418" s="8" t="s">
        <v>4736</v>
      </c>
      <c r="F418" s="1">
        <v>0</v>
      </c>
      <c r="G418" s="170"/>
      <c r="H418" s="171">
        <v>0</v>
      </c>
      <c r="I418" s="172">
        <v>0</v>
      </c>
      <c r="J418" s="171">
        <v>0</v>
      </c>
      <c r="K418" s="171">
        <v>0</v>
      </c>
      <c r="L418" s="171">
        <v>0</v>
      </c>
      <c r="M418" s="171">
        <v>-1567500</v>
      </c>
      <c r="N418" s="171">
        <v>0</v>
      </c>
      <c r="P418" s="173">
        <f t="shared" si="6"/>
        <v>1567500</v>
      </c>
      <c r="V418" s="163"/>
      <c r="W418" s="163"/>
    </row>
    <row r="419" spans="1:23" s="17" customFormat="1">
      <c r="A419" s="176"/>
      <c r="B419" s="120" t="s">
        <v>446</v>
      </c>
      <c r="C419" s="177">
        <v>2025</v>
      </c>
      <c r="D419" s="80" t="s">
        <v>3283</v>
      </c>
      <c r="E419" s="8" t="s">
        <v>4737</v>
      </c>
      <c r="F419" s="1">
        <v>0</v>
      </c>
      <c r="G419" s="170"/>
      <c r="H419" s="171">
        <v>0</v>
      </c>
      <c r="I419" s="172">
        <v>0</v>
      </c>
      <c r="J419" s="171">
        <v>0</v>
      </c>
      <c r="K419" s="171">
        <v>0</v>
      </c>
      <c r="L419" s="171">
        <v>0</v>
      </c>
      <c r="M419" s="171">
        <v>-1567500</v>
      </c>
      <c r="N419" s="171">
        <v>0</v>
      </c>
      <c r="P419" s="173">
        <f t="shared" si="6"/>
        <v>1567500</v>
      </c>
      <c r="V419" s="163"/>
      <c r="W419" s="163"/>
    </row>
    <row r="420" spans="1:23" s="17" customFormat="1">
      <c r="A420" s="176"/>
      <c r="B420" s="120" t="s">
        <v>446</v>
      </c>
      <c r="C420" s="177">
        <v>2025</v>
      </c>
      <c r="D420" s="80" t="s">
        <v>3283</v>
      </c>
      <c r="E420" s="8" t="s">
        <v>4738</v>
      </c>
      <c r="F420" s="1">
        <v>0</v>
      </c>
      <c r="G420" s="170"/>
      <c r="H420" s="171">
        <v>0</v>
      </c>
      <c r="I420" s="172">
        <v>0</v>
      </c>
      <c r="J420" s="171">
        <v>0</v>
      </c>
      <c r="K420" s="171">
        <v>0</v>
      </c>
      <c r="L420" s="171">
        <v>0</v>
      </c>
      <c r="M420" s="171">
        <v>-1478080</v>
      </c>
      <c r="N420" s="171">
        <v>0</v>
      </c>
      <c r="P420" s="173">
        <f t="shared" si="6"/>
        <v>1478080</v>
      </c>
      <c r="V420" s="163"/>
      <c r="W420" s="163"/>
    </row>
    <row r="421" spans="1:23" s="17" customFormat="1">
      <c r="A421" s="176"/>
      <c r="B421" s="120" t="s">
        <v>446</v>
      </c>
      <c r="C421" s="177">
        <v>2025</v>
      </c>
      <c r="D421" s="80" t="s">
        <v>3474</v>
      </c>
      <c r="E421" s="8" t="s">
        <v>4739</v>
      </c>
      <c r="F421" s="1">
        <v>0</v>
      </c>
      <c r="G421" s="170"/>
      <c r="H421" s="171">
        <v>0</v>
      </c>
      <c r="I421" s="172">
        <v>0</v>
      </c>
      <c r="J421" s="171">
        <v>0</v>
      </c>
      <c r="K421" s="171">
        <v>0</v>
      </c>
      <c r="L421" s="171">
        <v>0</v>
      </c>
      <c r="M421" s="171">
        <v>-1310203</v>
      </c>
      <c r="N421" s="171">
        <v>0</v>
      </c>
      <c r="P421" s="173">
        <f t="shared" si="6"/>
        <v>1310203</v>
      </c>
      <c r="V421" s="163"/>
      <c r="W421" s="163"/>
    </row>
    <row r="422" spans="1:23" s="17" customFormat="1">
      <c r="A422" s="176"/>
      <c r="B422" s="120" t="s">
        <v>446</v>
      </c>
      <c r="C422" s="177">
        <v>2025</v>
      </c>
      <c r="D422" s="80" t="s">
        <v>3474</v>
      </c>
      <c r="E422" s="8" t="s">
        <v>4739</v>
      </c>
      <c r="F422" s="1">
        <v>0</v>
      </c>
      <c r="G422" s="170"/>
      <c r="H422" s="171">
        <v>0</v>
      </c>
      <c r="I422" s="172">
        <v>0</v>
      </c>
      <c r="J422" s="171">
        <v>0</v>
      </c>
      <c r="K422" s="171">
        <v>0</v>
      </c>
      <c r="L422" s="171">
        <v>0</v>
      </c>
      <c r="M422" s="171">
        <v>-2607260</v>
      </c>
      <c r="N422" s="171">
        <v>0</v>
      </c>
      <c r="P422" s="173">
        <f t="shared" si="6"/>
        <v>2607260</v>
      </c>
      <c r="V422" s="163"/>
      <c r="W422" s="163"/>
    </row>
    <row r="423" spans="1:23" s="17" customFormat="1">
      <c r="A423" s="176"/>
      <c r="B423" s="120" t="s">
        <v>446</v>
      </c>
      <c r="C423" s="177">
        <v>2025</v>
      </c>
      <c r="D423" s="80" t="s">
        <v>3474</v>
      </c>
      <c r="E423" s="8" t="s">
        <v>4739</v>
      </c>
      <c r="F423" s="1">
        <v>0</v>
      </c>
      <c r="G423" s="170"/>
      <c r="H423" s="171">
        <v>0</v>
      </c>
      <c r="I423" s="172">
        <v>0</v>
      </c>
      <c r="J423" s="171">
        <v>0</v>
      </c>
      <c r="K423" s="171">
        <v>0</v>
      </c>
      <c r="L423" s="171">
        <v>0</v>
      </c>
      <c r="M423" s="171">
        <v>-2800654</v>
      </c>
      <c r="N423" s="171">
        <v>0</v>
      </c>
      <c r="P423" s="173">
        <f t="shared" si="6"/>
        <v>2800654</v>
      </c>
      <c r="V423" s="163"/>
      <c r="W423" s="163"/>
    </row>
    <row r="424" spans="1:23" s="17" customFormat="1">
      <c r="A424" s="176"/>
      <c r="B424" s="120" t="s">
        <v>446</v>
      </c>
      <c r="C424" s="177">
        <v>2025</v>
      </c>
      <c r="D424" s="80" t="s">
        <v>2318</v>
      </c>
      <c r="E424" s="8" t="s">
        <v>4743</v>
      </c>
      <c r="F424" s="1">
        <v>0</v>
      </c>
      <c r="G424" s="170"/>
      <c r="H424" s="171">
        <v>0</v>
      </c>
      <c r="I424" s="172">
        <v>0</v>
      </c>
      <c r="J424" s="171">
        <v>0</v>
      </c>
      <c r="K424" s="171">
        <v>0</v>
      </c>
      <c r="L424" s="171">
        <v>0</v>
      </c>
      <c r="M424" s="171">
        <v>-1356600</v>
      </c>
      <c r="N424" s="171">
        <v>0</v>
      </c>
      <c r="P424" s="173">
        <f t="shared" si="6"/>
        <v>1356600</v>
      </c>
      <c r="V424" s="163"/>
      <c r="W424" s="163"/>
    </row>
    <row r="425" spans="1:23" s="17" customFormat="1">
      <c r="A425" s="176"/>
      <c r="B425" s="120" t="s">
        <v>446</v>
      </c>
      <c r="C425" s="177">
        <v>2025</v>
      </c>
      <c r="D425" s="80" t="s">
        <v>3283</v>
      </c>
      <c r="E425" s="8" t="s">
        <v>4744</v>
      </c>
      <c r="F425" s="1">
        <v>0</v>
      </c>
      <c r="G425" s="170"/>
      <c r="H425" s="171">
        <v>0</v>
      </c>
      <c r="I425" s="172">
        <v>0</v>
      </c>
      <c r="J425" s="171">
        <v>0</v>
      </c>
      <c r="K425" s="171">
        <v>0</v>
      </c>
      <c r="L425" s="171">
        <v>0</v>
      </c>
      <c r="M425" s="171">
        <v>-1719998</v>
      </c>
      <c r="N425" s="171">
        <v>0</v>
      </c>
      <c r="P425" s="173">
        <f t="shared" si="6"/>
        <v>1719998</v>
      </c>
      <c r="V425" s="163"/>
      <c r="W425" s="163"/>
    </row>
    <row r="426" spans="1:23" s="17" customFormat="1">
      <c r="A426" s="176"/>
      <c r="B426" s="120" t="s">
        <v>446</v>
      </c>
      <c r="C426" s="177">
        <v>2025</v>
      </c>
      <c r="D426" s="80" t="s">
        <v>3283</v>
      </c>
      <c r="E426" s="8" t="s">
        <v>4745</v>
      </c>
      <c r="F426" s="1">
        <v>0</v>
      </c>
      <c r="G426" s="170"/>
      <c r="H426" s="171">
        <v>0</v>
      </c>
      <c r="I426" s="172">
        <v>0</v>
      </c>
      <c r="J426" s="171">
        <v>0</v>
      </c>
      <c r="K426" s="171">
        <v>0</v>
      </c>
      <c r="L426" s="171">
        <v>0</v>
      </c>
      <c r="M426" s="171">
        <v>-1488000</v>
      </c>
      <c r="N426" s="171">
        <v>0</v>
      </c>
      <c r="P426" s="173">
        <f t="shared" si="6"/>
        <v>1488000</v>
      </c>
      <c r="V426" s="163"/>
      <c r="W426" s="163"/>
    </row>
    <row r="427" spans="1:23" s="17" customFormat="1">
      <c r="A427" s="176"/>
      <c r="B427" s="120" t="s">
        <v>446</v>
      </c>
      <c r="C427" s="177">
        <v>2025</v>
      </c>
      <c r="D427" s="80" t="s">
        <v>3283</v>
      </c>
      <c r="E427" s="8" t="s">
        <v>4746</v>
      </c>
      <c r="F427" s="1">
        <v>0</v>
      </c>
      <c r="G427" s="170"/>
      <c r="H427" s="171">
        <v>0</v>
      </c>
      <c r="I427" s="172">
        <v>0</v>
      </c>
      <c r="J427" s="171">
        <v>0</v>
      </c>
      <c r="K427" s="171">
        <v>0</v>
      </c>
      <c r="L427" s="171">
        <v>0</v>
      </c>
      <c r="M427" s="171">
        <v>-770400</v>
      </c>
      <c r="N427" s="171">
        <v>0</v>
      </c>
      <c r="P427" s="173">
        <f t="shared" si="6"/>
        <v>770400</v>
      </c>
      <c r="V427" s="163"/>
      <c r="W427" s="163"/>
    </row>
    <row r="428" spans="1:23" s="17" customFormat="1">
      <c r="A428" s="176"/>
      <c r="B428" s="120" t="s">
        <v>446</v>
      </c>
      <c r="C428" s="177">
        <v>2025</v>
      </c>
      <c r="D428" s="80" t="s">
        <v>3283</v>
      </c>
      <c r="E428" s="8" t="s">
        <v>4747</v>
      </c>
      <c r="F428" s="1">
        <v>0</v>
      </c>
      <c r="G428" s="170"/>
      <c r="H428" s="171">
        <v>0</v>
      </c>
      <c r="I428" s="172">
        <v>0</v>
      </c>
      <c r="J428" s="171">
        <v>0</v>
      </c>
      <c r="K428" s="171">
        <v>0</v>
      </c>
      <c r="L428" s="171">
        <v>0</v>
      </c>
      <c r="M428" s="171">
        <v>-911842</v>
      </c>
      <c r="N428" s="171">
        <v>0</v>
      </c>
      <c r="P428" s="173">
        <f t="shared" si="6"/>
        <v>911842</v>
      </c>
      <c r="V428" s="163"/>
      <c r="W428" s="163"/>
    </row>
    <row r="429" spans="1:23" s="17" customFormat="1">
      <c r="A429" s="176"/>
      <c r="B429" s="120" t="s">
        <v>446</v>
      </c>
      <c r="C429" s="177">
        <v>2025</v>
      </c>
      <c r="D429" s="80" t="s">
        <v>4093</v>
      </c>
      <c r="E429" s="8" t="s">
        <v>6360</v>
      </c>
      <c r="F429" s="1">
        <v>0</v>
      </c>
      <c r="G429" s="170"/>
      <c r="H429" s="171">
        <v>0</v>
      </c>
      <c r="I429" s="172">
        <v>0</v>
      </c>
      <c r="J429" s="171">
        <v>0</v>
      </c>
      <c r="K429" s="171">
        <v>0</v>
      </c>
      <c r="L429" s="171">
        <v>0</v>
      </c>
      <c r="M429" s="171">
        <v>1105829</v>
      </c>
      <c r="N429" s="171">
        <v>0</v>
      </c>
      <c r="P429" s="173">
        <f t="shared" si="6"/>
        <v>-1105829</v>
      </c>
      <c r="V429" s="163"/>
      <c r="W429" s="163"/>
    </row>
    <row r="430" spans="1:23" s="17" customFormat="1">
      <c r="A430" s="176"/>
      <c r="B430" s="120" t="s">
        <v>446</v>
      </c>
      <c r="C430" s="177">
        <v>2025</v>
      </c>
      <c r="D430" s="80" t="s">
        <v>3283</v>
      </c>
      <c r="E430" s="8" t="s">
        <v>4771</v>
      </c>
      <c r="F430" s="1">
        <v>0</v>
      </c>
      <c r="G430" s="170"/>
      <c r="H430" s="171">
        <v>0</v>
      </c>
      <c r="I430" s="172">
        <v>0</v>
      </c>
      <c r="J430" s="171">
        <v>0</v>
      </c>
      <c r="K430" s="171">
        <v>0</v>
      </c>
      <c r="L430" s="171">
        <v>0</v>
      </c>
      <c r="M430" s="171">
        <v>-1472434</v>
      </c>
      <c r="N430" s="171">
        <v>0</v>
      </c>
      <c r="P430" s="173">
        <f t="shared" si="6"/>
        <v>1472434</v>
      </c>
      <c r="V430" s="163"/>
      <c r="W430" s="163"/>
    </row>
    <row r="431" spans="1:23" s="17" customFormat="1">
      <c r="A431" s="176"/>
      <c r="B431" s="120" t="s">
        <v>446</v>
      </c>
      <c r="C431" s="177">
        <v>2025</v>
      </c>
      <c r="D431" s="80" t="s">
        <v>3470</v>
      </c>
      <c r="E431" s="8" t="s">
        <v>4773</v>
      </c>
      <c r="F431" s="1">
        <v>0</v>
      </c>
      <c r="G431" s="170"/>
      <c r="H431" s="171">
        <v>0</v>
      </c>
      <c r="I431" s="172">
        <v>0</v>
      </c>
      <c r="J431" s="171">
        <v>0</v>
      </c>
      <c r="K431" s="171">
        <v>0</v>
      </c>
      <c r="L431" s="171">
        <v>0</v>
      </c>
      <c r="M431" s="171">
        <v>-908800</v>
      </c>
      <c r="N431" s="171">
        <v>0</v>
      </c>
      <c r="P431" s="173">
        <f t="shared" si="6"/>
        <v>908800</v>
      </c>
      <c r="V431" s="163"/>
      <c r="W431" s="163"/>
    </row>
    <row r="432" spans="1:23" s="17" customFormat="1">
      <c r="A432" s="176"/>
      <c r="B432" s="120" t="s">
        <v>446</v>
      </c>
      <c r="C432" s="177">
        <v>2025</v>
      </c>
      <c r="D432" s="80" t="s">
        <v>3470</v>
      </c>
      <c r="E432" s="8" t="s">
        <v>4776</v>
      </c>
      <c r="F432" s="1">
        <v>0</v>
      </c>
      <c r="G432" s="170"/>
      <c r="H432" s="171">
        <v>0</v>
      </c>
      <c r="I432" s="172">
        <v>0</v>
      </c>
      <c r="J432" s="171">
        <v>0</v>
      </c>
      <c r="K432" s="171">
        <v>0</v>
      </c>
      <c r="L432" s="171">
        <v>0</v>
      </c>
      <c r="M432" s="171">
        <v>-22102000</v>
      </c>
      <c r="N432" s="171">
        <v>0</v>
      </c>
      <c r="P432" s="173">
        <f t="shared" si="6"/>
        <v>22102000</v>
      </c>
      <c r="V432" s="163"/>
      <c r="W432" s="163"/>
    </row>
    <row r="433" spans="1:23" s="17" customFormat="1">
      <c r="A433" s="176"/>
      <c r="B433" s="120" t="s">
        <v>446</v>
      </c>
      <c r="C433" s="177">
        <v>2025</v>
      </c>
      <c r="D433" s="80" t="s">
        <v>3470</v>
      </c>
      <c r="E433" s="8" t="s">
        <v>4777</v>
      </c>
      <c r="F433" s="1">
        <v>0</v>
      </c>
      <c r="G433" s="170"/>
      <c r="H433" s="171">
        <v>0</v>
      </c>
      <c r="I433" s="172">
        <v>0</v>
      </c>
      <c r="J433" s="171">
        <v>0</v>
      </c>
      <c r="K433" s="171">
        <v>0</v>
      </c>
      <c r="L433" s="171">
        <v>0</v>
      </c>
      <c r="M433" s="171">
        <v>-65500</v>
      </c>
      <c r="N433" s="171">
        <v>0</v>
      </c>
      <c r="P433" s="173">
        <f t="shared" si="6"/>
        <v>65500</v>
      </c>
      <c r="V433" s="163"/>
      <c r="W433" s="163"/>
    </row>
    <row r="434" spans="1:23" s="17" customFormat="1">
      <c r="A434" s="176"/>
      <c r="B434" s="120" t="s">
        <v>446</v>
      </c>
      <c r="C434" s="177">
        <v>2025</v>
      </c>
      <c r="D434" s="80" t="s">
        <v>3470</v>
      </c>
      <c r="E434" s="8" t="s">
        <v>4778</v>
      </c>
      <c r="F434" s="1">
        <v>0</v>
      </c>
      <c r="G434" s="170"/>
      <c r="H434" s="171">
        <v>0</v>
      </c>
      <c r="I434" s="172">
        <v>0</v>
      </c>
      <c r="J434" s="171">
        <v>0</v>
      </c>
      <c r="K434" s="171">
        <v>0</v>
      </c>
      <c r="L434" s="171">
        <v>0</v>
      </c>
      <c r="M434" s="171">
        <v>-484014</v>
      </c>
      <c r="N434" s="171">
        <v>0</v>
      </c>
      <c r="P434" s="173">
        <f t="shared" si="6"/>
        <v>484014</v>
      </c>
      <c r="V434" s="163"/>
      <c r="W434" s="163"/>
    </row>
    <row r="435" spans="1:23" s="17" customFormat="1">
      <c r="A435" s="176"/>
      <c r="B435" s="120" t="s">
        <v>446</v>
      </c>
      <c r="C435" s="177">
        <v>2025</v>
      </c>
      <c r="D435" s="80" t="s">
        <v>3283</v>
      </c>
      <c r="E435" s="8" t="s">
        <v>4779</v>
      </c>
      <c r="F435" s="1">
        <v>0</v>
      </c>
      <c r="G435" s="170"/>
      <c r="H435" s="171">
        <v>0</v>
      </c>
      <c r="I435" s="172">
        <v>0</v>
      </c>
      <c r="J435" s="171">
        <v>0</v>
      </c>
      <c r="K435" s="171">
        <v>0</v>
      </c>
      <c r="L435" s="171">
        <v>0</v>
      </c>
      <c r="M435" s="171">
        <v>-3127288</v>
      </c>
      <c r="N435" s="171">
        <v>0</v>
      </c>
      <c r="P435" s="173">
        <f t="shared" si="6"/>
        <v>3127288</v>
      </c>
      <c r="V435" s="163"/>
      <c r="W435" s="163"/>
    </row>
    <row r="436" spans="1:23" s="17" customFormat="1">
      <c r="A436" s="176"/>
      <c r="B436" s="120" t="s">
        <v>446</v>
      </c>
      <c r="C436" s="177">
        <v>2025</v>
      </c>
      <c r="D436" s="80" t="s">
        <v>3470</v>
      </c>
      <c r="E436" s="8" t="s">
        <v>4781</v>
      </c>
      <c r="F436" s="1">
        <v>0</v>
      </c>
      <c r="G436" s="170"/>
      <c r="H436" s="171">
        <v>0</v>
      </c>
      <c r="I436" s="172">
        <v>0</v>
      </c>
      <c r="J436" s="171">
        <v>0</v>
      </c>
      <c r="K436" s="171">
        <v>0</v>
      </c>
      <c r="L436" s="171">
        <v>0</v>
      </c>
      <c r="M436" s="171">
        <v>-241700</v>
      </c>
      <c r="N436" s="171">
        <v>0</v>
      </c>
      <c r="P436" s="173">
        <f t="shared" si="6"/>
        <v>241700</v>
      </c>
      <c r="V436" s="163"/>
      <c r="W436" s="163"/>
    </row>
    <row r="437" spans="1:23" s="17" customFormat="1">
      <c r="A437" s="176"/>
      <c r="B437" s="120" t="s">
        <v>446</v>
      </c>
      <c r="C437" s="177">
        <v>2025</v>
      </c>
      <c r="D437" s="80" t="s">
        <v>3470</v>
      </c>
      <c r="E437" s="8" t="s">
        <v>4782</v>
      </c>
      <c r="F437" s="1">
        <v>0</v>
      </c>
      <c r="G437" s="170"/>
      <c r="H437" s="171">
        <v>0</v>
      </c>
      <c r="I437" s="172">
        <v>0</v>
      </c>
      <c r="J437" s="171">
        <v>0</v>
      </c>
      <c r="K437" s="171">
        <v>0</v>
      </c>
      <c r="L437" s="171">
        <v>0</v>
      </c>
      <c r="M437" s="171">
        <v>-489000</v>
      </c>
      <c r="N437" s="171">
        <v>0</v>
      </c>
      <c r="P437" s="173">
        <f t="shared" si="6"/>
        <v>489000</v>
      </c>
      <c r="V437" s="163"/>
      <c r="W437" s="163"/>
    </row>
    <row r="438" spans="1:23" s="17" customFormat="1">
      <c r="A438" s="176"/>
      <c r="B438" s="120" t="s">
        <v>446</v>
      </c>
      <c r="C438" s="177">
        <v>2025</v>
      </c>
      <c r="D438" s="80" t="s">
        <v>3470</v>
      </c>
      <c r="E438" s="8" t="s">
        <v>4784</v>
      </c>
      <c r="F438" s="1">
        <v>0</v>
      </c>
      <c r="G438" s="170"/>
      <c r="H438" s="171">
        <v>0</v>
      </c>
      <c r="I438" s="172">
        <v>0</v>
      </c>
      <c r="J438" s="171">
        <v>0</v>
      </c>
      <c r="K438" s="171">
        <v>0</v>
      </c>
      <c r="L438" s="171">
        <v>0</v>
      </c>
      <c r="M438" s="171">
        <v>-35000</v>
      </c>
      <c r="N438" s="171">
        <v>0</v>
      </c>
      <c r="P438" s="173">
        <f t="shared" si="6"/>
        <v>35000</v>
      </c>
      <c r="V438" s="163"/>
      <c r="W438" s="163"/>
    </row>
    <row r="439" spans="1:23" s="17" customFormat="1">
      <c r="A439" s="176"/>
      <c r="B439" s="120" t="s">
        <v>446</v>
      </c>
      <c r="C439" s="177">
        <v>2025</v>
      </c>
      <c r="D439" s="80" t="s">
        <v>4087</v>
      </c>
      <c r="E439" s="8" t="s">
        <v>4785</v>
      </c>
      <c r="F439" s="1">
        <v>0</v>
      </c>
      <c r="G439" s="170"/>
      <c r="H439" s="171">
        <v>0</v>
      </c>
      <c r="I439" s="172">
        <v>0</v>
      </c>
      <c r="J439" s="171">
        <v>0</v>
      </c>
      <c r="K439" s="171">
        <v>0</v>
      </c>
      <c r="L439" s="171">
        <v>0</v>
      </c>
      <c r="M439" s="171">
        <v>-607133</v>
      </c>
      <c r="N439" s="171">
        <v>0</v>
      </c>
      <c r="P439" s="173">
        <f t="shared" si="6"/>
        <v>607133</v>
      </c>
      <c r="V439" s="163"/>
      <c r="W439" s="163"/>
    </row>
    <row r="440" spans="1:23" s="17" customFormat="1">
      <c r="A440" s="176"/>
      <c r="B440" s="120" t="s">
        <v>446</v>
      </c>
      <c r="C440" s="177">
        <v>2025</v>
      </c>
      <c r="D440" s="80" t="s">
        <v>3283</v>
      </c>
      <c r="E440" s="8" t="s">
        <v>4786</v>
      </c>
      <c r="F440" s="1">
        <v>0</v>
      </c>
      <c r="G440" s="170"/>
      <c r="H440" s="171">
        <v>0</v>
      </c>
      <c r="I440" s="172">
        <v>0</v>
      </c>
      <c r="J440" s="171">
        <v>0</v>
      </c>
      <c r="K440" s="171">
        <v>0</v>
      </c>
      <c r="L440" s="171">
        <v>0</v>
      </c>
      <c r="M440" s="171">
        <v>-1449964</v>
      </c>
      <c r="N440" s="171">
        <v>0</v>
      </c>
      <c r="P440" s="173">
        <f t="shared" si="6"/>
        <v>1449964</v>
      </c>
      <c r="V440" s="163"/>
      <c r="W440" s="163"/>
    </row>
    <row r="441" spans="1:23" s="17" customFormat="1">
      <c r="A441" s="176"/>
      <c r="B441" s="120" t="s">
        <v>446</v>
      </c>
      <c r="C441" s="177">
        <v>2025</v>
      </c>
      <c r="D441" s="80" t="s">
        <v>4086</v>
      </c>
      <c r="E441" s="8" t="s">
        <v>4787</v>
      </c>
      <c r="F441" s="1">
        <v>0</v>
      </c>
      <c r="G441" s="170"/>
      <c r="H441" s="171">
        <v>0</v>
      </c>
      <c r="I441" s="172">
        <v>0</v>
      </c>
      <c r="J441" s="171">
        <v>0</v>
      </c>
      <c r="K441" s="171">
        <v>0</v>
      </c>
      <c r="L441" s="171">
        <v>0</v>
      </c>
      <c r="M441" s="171">
        <v>-504960</v>
      </c>
      <c r="N441" s="171">
        <v>0</v>
      </c>
      <c r="P441" s="173">
        <f t="shared" si="6"/>
        <v>504960</v>
      </c>
      <c r="V441" s="163"/>
      <c r="W441" s="163"/>
    </row>
    <row r="442" spans="1:23" s="17" customFormat="1">
      <c r="A442" s="176"/>
      <c r="B442" s="120" t="s">
        <v>446</v>
      </c>
      <c r="C442" s="177">
        <v>2025</v>
      </c>
      <c r="D442" s="80" t="s">
        <v>4087</v>
      </c>
      <c r="E442" s="8" t="s">
        <v>4788</v>
      </c>
      <c r="F442" s="1">
        <v>0</v>
      </c>
      <c r="G442" s="170"/>
      <c r="H442" s="171">
        <v>0</v>
      </c>
      <c r="I442" s="172">
        <v>0</v>
      </c>
      <c r="J442" s="171">
        <v>0</v>
      </c>
      <c r="K442" s="171">
        <v>0</v>
      </c>
      <c r="L442" s="171">
        <v>0</v>
      </c>
      <c r="M442" s="171">
        <v>-828830</v>
      </c>
      <c r="N442" s="171">
        <v>0</v>
      </c>
      <c r="P442" s="173">
        <f t="shared" si="6"/>
        <v>828830</v>
      </c>
      <c r="V442" s="163"/>
      <c r="W442" s="163"/>
    </row>
    <row r="443" spans="1:23" s="17" customFormat="1">
      <c r="A443" s="176"/>
      <c r="B443" s="120" t="s">
        <v>446</v>
      </c>
      <c r="C443" s="177">
        <v>2025</v>
      </c>
      <c r="D443" s="80" t="s">
        <v>4087</v>
      </c>
      <c r="E443" s="8" t="s">
        <v>4789</v>
      </c>
      <c r="F443" s="1">
        <v>0</v>
      </c>
      <c r="G443" s="170"/>
      <c r="H443" s="171">
        <v>0</v>
      </c>
      <c r="I443" s="172">
        <v>0</v>
      </c>
      <c r="J443" s="171">
        <v>0</v>
      </c>
      <c r="K443" s="171">
        <v>0</v>
      </c>
      <c r="L443" s="171">
        <v>0</v>
      </c>
      <c r="M443" s="171">
        <v>-828830</v>
      </c>
      <c r="N443" s="171">
        <v>0</v>
      </c>
      <c r="P443" s="173">
        <f t="shared" si="6"/>
        <v>828830</v>
      </c>
      <c r="V443" s="163"/>
      <c r="W443" s="163"/>
    </row>
    <row r="444" spans="1:23" s="17" customFormat="1">
      <c r="A444" s="176"/>
      <c r="B444" s="120" t="s">
        <v>446</v>
      </c>
      <c r="C444" s="177">
        <v>2025</v>
      </c>
      <c r="D444" s="80" t="s">
        <v>4087</v>
      </c>
      <c r="E444" s="8" t="s">
        <v>4790</v>
      </c>
      <c r="F444" s="1">
        <v>0</v>
      </c>
      <c r="G444" s="170"/>
      <c r="H444" s="171">
        <v>0</v>
      </c>
      <c r="I444" s="172">
        <v>0</v>
      </c>
      <c r="J444" s="171">
        <v>0</v>
      </c>
      <c r="K444" s="171">
        <v>0</v>
      </c>
      <c r="L444" s="171">
        <v>0</v>
      </c>
      <c r="M444" s="171">
        <v>-922432</v>
      </c>
      <c r="N444" s="171">
        <v>0</v>
      </c>
      <c r="P444" s="173">
        <f t="shared" si="6"/>
        <v>922432</v>
      </c>
      <c r="V444" s="163"/>
      <c r="W444" s="163"/>
    </row>
    <row r="445" spans="1:23" s="17" customFormat="1">
      <c r="A445" s="176"/>
      <c r="B445" s="120" t="s">
        <v>446</v>
      </c>
      <c r="C445" s="177">
        <v>2025</v>
      </c>
      <c r="D445" s="80" t="s">
        <v>4085</v>
      </c>
      <c r="E445" s="8" t="s">
        <v>4791</v>
      </c>
      <c r="F445" s="1">
        <v>0</v>
      </c>
      <c r="G445" s="170"/>
      <c r="H445" s="171">
        <v>0</v>
      </c>
      <c r="I445" s="172">
        <v>0</v>
      </c>
      <c r="J445" s="171">
        <v>0</v>
      </c>
      <c r="K445" s="171">
        <v>0</v>
      </c>
      <c r="L445" s="171">
        <v>0</v>
      </c>
      <c r="M445" s="171">
        <v>-1980000</v>
      </c>
      <c r="N445" s="171">
        <v>0</v>
      </c>
      <c r="P445" s="173">
        <f t="shared" si="6"/>
        <v>1980000</v>
      </c>
      <c r="V445" s="163"/>
      <c r="W445" s="163"/>
    </row>
    <row r="446" spans="1:23" s="17" customFormat="1">
      <c r="A446" s="176"/>
      <c r="B446" s="120" t="s">
        <v>446</v>
      </c>
      <c r="C446" s="177">
        <v>2025</v>
      </c>
      <c r="D446" s="80" t="s">
        <v>4085</v>
      </c>
      <c r="E446" s="8" t="s">
        <v>4792</v>
      </c>
      <c r="F446" s="1">
        <v>0</v>
      </c>
      <c r="G446" s="170"/>
      <c r="H446" s="171">
        <v>0</v>
      </c>
      <c r="I446" s="172">
        <v>0</v>
      </c>
      <c r="J446" s="171">
        <v>0</v>
      </c>
      <c r="K446" s="171">
        <v>0</v>
      </c>
      <c r="L446" s="171">
        <v>0</v>
      </c>
      <c r="M446" s="171">
        <v>-1919000</v>
      </c>
      <c r="N446" s="171">
        <v>0</v>
      </c>
      <c r="P446" s="173">
        <f t="shared" si="6"/>
        <v>1919000</v>
      </c>
      <c r="V446" s="163"/>
      <c r="W446" s="163"/>
    </row>
    <row r="447" spans="1:23" s="17" customFormat="1">
      <c r="A447" s="176"/>
      <c r="B447" s="120" t="s">
        <v>446</v>
      </c>
      <c r="C447" s="177">
        <v>2025</v>
      </c>
      <c r="D447" s="80" t="s">
        <v>4085</v>
      </c>
      <c r="E447" s="8" t="s">
        <v>4793</v>
      </c>
      <c r="F447" s="1">
        <v>0</v>
      </c>
      <c r="G447" s="170"/>
      <c r="H447" s="171">
        <v>0</v>
      </c>
      <c r="I447" s="172">
        <v>0</v>
      </c>
      <c r="J447" s="171">
        <v>0</v>
      </c>
      <c r="K447" s="171">
        <v>0</v>
      </c>
      <c r="L447" s="171">
        <v>0</v>
      </c>
      <c r="M447" s="171">
        <v>-1919000</v>
      </c>
      <c r="N447" s="171">
        <v>0</v>
      </c>
      <c r="P447" s="173">
        <f t="shared" si="6"/>
        <v>1919000</v>
      </c>
      <c r="V447" s="163"/>
      <c r="W447" s="163"/>
    </row>
    <row r="448" spans="1:23" s="17" customFormat="1">
      <c r="A448" s="176"/>
      <c r="B448" s="120" t="s">
        <v>446</v>
      </c>
      <c r="C448" s="177">
        <v>2025</v>
      </c>
      <c r="D448" s="80" t="s">
        <v>4087</v>
      </c>
      <c r="E448" s="8" t="s">
        <v>4795</v>
      </c>
      <c r="F448" s="1">
        <v>0</v>
      </c>
      <c r="G448" s="170"/>
      <c r="H448" s="171">
        <v>0</v>
      </c>
      <c r="I448" s="172">
        <v>0</v>
      </c>
      <c r="J448" s="171">
        <v>0</v>
      </c>
      <c r="K448" s="171">
        <v>0</v>
      </c>
      <c r="L448" s="171">
        <v>0</v>
      </c>
      <c r="M448" s="171">
        <v>215397</v>
      </c>
      <c r="N448" s="171">
        <v>0</v>
      </c>
      <c r="P448" s="173">
        <f t="shared" si="6"/>
        <v>-215397</v>
      </c>
      <c r="V448" s="163"/>
      <c r="W448" s="163"/>
    </row>
    <row r="449" spans="1:23" s="17" customFormat="1">
      <c r="A449" s="176"/>
      <c r="B449" s="120" t="s">
        <v>446</v>
      </c>
      <c r="C449" s="177">
        <v>2025</v>
      </c>
      <c r="D449" s="80" t="s">
        <v>4085</v>
      </c>
      <c r="E449" s="8" t="s">
        <v>4796</v>
      </c>
      <c r="F449" s="1">
        <v>0</v>
      </c>
      <c r="G449" s="170"/>
      <c r="H449" s="171">
        <v>0</v>
      </c>
      <c r="I449" s="172">
        <v>0</v>
      </c>
      <c r="J449" s="171">
        <v>0</v>
      </c>
      <c r="K449" s="171">
        <v>0</v>
      </c>
      <c r="L449" s="171">
        <v>0</v>
      </c>
      <c r="M449" s="171">
        <v>-632538</v>
      </c>
      <c r="N449" s="171">
        <v>0</v>
      </c>
      <c r="P449" s="173">
        <f t="shared" si="6"/>
        <v>632538</v>
      </c>
      <c r="V449" s="163"/>
      <c r="W449" s="163"/>
    </row>
    <row r="450" spans="1:23" s="17" customFormat="1">
      <c r="A450" s="176"/>
      <c r="B450" s="120" t="s">
        <v>446</v>
      </c>
      <c r="C450" s="177">
        <v>2025</v>
      </c>
      <c r="D450" s="80" t="s">
        <v>4085</v>
      </c>
      <c r="E450" s="8" t="s">
        <v>4797</v>
      </c>
      <c r="F450" s="1">
        <v>0</v>
      </c>
      <c r="G450" s="170"/>
      <c r="H450" s="171">
        <v>0</v>
      </c>
      <c r="I450" s="172">
        <v>0</v>
      </c>
      <c r="J450" s="171">
        <v>0</v>
      </c>
      <c r="K450" s="171">
        <v>0</v>
      </c>
      <c r="L450" s="171">
        <v>0</v>
      </c>
      <c r="M450" s="171">
        <v>-859008</v>
      </c>
      <c r="N450" s="171">
        <v>0</v>
      </c>
      <c r="P450" s="173">
        <f t="shared" si="6"/>
        <v>859008</v>
      </c>
      <c r="V450" s="163"/>
      <c r="W450" s="163"/>
    </row>
    <row r="451" spans="1:23" s="17" customFormat="1">
      <c r="A451" s="176"/>
      <c r="B451" s="120" t="s">
        <v>446</v>
      </c>
      <c r="C451" s="177">
        <v>2025</v>
      </c>
      <c r="D451" s="80" t="s">
        <v>4090</v>
      </c>
      <c r="E451" s="8" t="s">
        <v>4798</v>
      </c>
      <c r="F451" s="1">
        <v>0</v>
      </c>
      <c r="G451" s="170"/>
      <c r="H451" s="171">
        <v>0</v>
      </c>
      <c r="I451" s="172">
        <v>0</v>
      </c>
      <c r="J451" s="171">
        <v>0</v>
      </c>
      <c r="K451" s="171">
        <v>0</v>
      </c>
      <c r="L451" s="171">
        <v>0</v>
      </c>
      <c r="M451" s="171">
        <v>-1966931</v>
      </c>
      <c r="N451" s="171">
        <v>0</v>
      </c>
      <c r="P451" s="173">
        <f t="shared" si="6"/>
        <v>1966931</v>
      </c>
      <c r="V451" s="163"/>
      <c r="W451" s="163"/>
    </row>
    <row r="452" spans="1:23" s="17" customFormat="1">
      <c r="A452" s="176"/>
      <c r="B452" s="120" t="s">
        <v>446</v>
      </c>
      <c r="C452" s="177">
        <v>2025</v>
      </c>
      <c r="D452" s="80" t="s">
        <v>4090</v>
      </c>
      <c r="E452" s="8" t="s">
        <v>4801</v>
      </c>
      <c r="F452" s="1">
        <v>0</v>
      </c>
      <c r="G452" s="170"/>
      <c r="H452" s="171">
        <v>0</v>
      </c>
      <c r="I452" s="172">
        <v>0</v>
      </c>
      <c r="J452" s="171">
        <v>0</v>
      </c>
      <c r="K452" s="171">
        <v>0</v>
      </c>
      <c r="L452" s="171">
        <v>0</v>
      </c>
      <c r="M452" s="171">
        <v>-2174850</v>
      </c>
      <c r="N452" s="171">
        <v>0</v>
      </c>
      <c r="P452" s="173">
        <f t="shared" si="6"/>
        <v>2174850</v>
      </c>
      <c r="V452" s="163"/>
      <c r="W452" s="163"/>
    </row>
    <row r="453" spans="1:23" s="17" customFormat="1">
      <c r="A453" s="176"/>
      <c r="B453" s="120" t="s">
        <v>446</v>
      </c>
      <c r="C453" s="177">
        <v>2025</v>
      </c>
      <c r="D453" s="80" t="s">
        <v>4093</v>
      </c>
      <c r="E453" s="8" t="s">
        <v>4802</v>
      </c>
      <c r="F453" s="1">
        <v>0</v>
      </c>
      <c r="G453" s="170"/>
      <c r="H453" s="171">
        <v>0</v>
      </c>
      <c r="I453" s="172">
        <v>0</v>
      </c>
      <c r="J453" s="171">
        <v>0</v>
      </c>
      <c r="K453" s="171">
        <v>0</v>
      </c>
      <c r="L453" s="171">
        <v>0</v>
      </c>
      <c r="M453" s="171">
        <v>-2108000</v>
      </c>
      <c r="N453" s="171">
        <v>0</v>
      </c>
      <c r="P453" s="173">
        <f t="shared" ref="P453:P516" si="7">F453-H453-I453-J453-K453-L453-M453</f>
        <v>2108000</v>
      </c>
      <c r="V453" s="163"/>
      <c r="W453" s="163"/>
    </row>
    <row r="454" spans="1:23" s="17" customFormat="1">
      <c r="A454" s="176"/>
      <c r="B454" s="120" t="s">
        <v>446</v>
      </c>
      <c r="C454" s="177">
        <v>2025</v>
      </c>
      <c r="D454" s="80" t="s">
        <v>4093</v>
      </c>
      <c r="E454" s="8" t="s">
        <v>6359</v>
      </c>
      <c r="F454" s="1">
        <v>0</v>
      </c>
      <c r="G454" s="170"/>
      <c r="H454" s="171">
        <v>0</v>
      </c>
      <c r="I454" s="172">
        <v>0</v>
      </c>
      <c r="J454" s="171">
        <v>0</v>
      </c>
      <c r="K454" s="171">
        <v>0</v>
      </c>
      <c r="L454" s="171">
        <v>0</v>
      </c>
      <c r="M454" s="171">
        <v>-2128000</v>
      </c>
      <c r="N454" s="171">
        <v>0</v>
      </c>
      <c r="P454" s="173">
        <f t="shared" si="7"/>
        <v>2128000</v>
      </c>
      <c r="V454" s="163"/>
      <c r="W454" s="163"/>
    </row>
    <row r="455" spans="1:23" s="17" customFormat="1">
      <c r="A455" s="176"/>
      <c r="B455" s="120" t="s">
        <v>446</v>
      </c>
      <c r="C455" s="177">
        <v>2025</v>
      </c>
      <c r="D455" s="80" t="s">
        <v>4093</v>
      </c>
      <c r="E455" s="8" t="s">
        <v>4803</v>
      </c>
      <c r="F455" s="1">
        <v>0</v>
      </c>
      <c r="G455" s="170"/>
      <c r="H455" s="171">
        <v>0</v>
      </c>
      <c r="I455" s="172">
        <v>0</v>
      </c>
      <c r="J455" s="171">
        <v>0</v>
      </c>
      <c r="K455" s="171">
        <v>0</v>
      </c>
      <c r="L455" s="171">
        <v>0</v>
      </c>
      <c r="M455" s="171">
        <v>-620078</v>
      </c>
      <c r="N455" s="171">
        <v>0</v>
      </c>
      <c r="P455" s="173">
        <f t="shared" si="7"/>
        <v>620078</v>
      </c>
      <c r="V455" s="163"/>
      <c r="W455" s="163"/>
    </row>
    <row r="456" spans="1:23" s="17" customFormat="1">
      <c r="A456" s="176"/>
      <c r="B456" s="120" t="s">
        <v>446</v>
      </c>
      <c r="C456" s="177">
        <v>2025</v>
      </c>
      <c r="D456" s="80" t="s">
        <v>4093</v>
      </c>
      <c r="E456" s="8" t="s">
        <v>4804</v>
      </c>
      <c r="F456" s="1">
        <v>0</v>
      </c>
      <c r="G456" s="170"/>
      <c r="H456" s="171">
        <v>0</v>
      </c>
      <c r="I456" s="172">
        <v>0</v>
      </c>
      <c r="J456" s="171">
        <v>0</v>
      </c>
      <c r="K456" s="171">
        <v>0</v>
      </c>
      <c r="L456" s="171">
        <v>0</v>
      </c>
      <c r="M456" s="171">
        <v>-1489000</v>
      </c>
      <c r="N456" s="171">
        <v>0</v>
      </c>
      <c r="P456" s="173">
        <f t="shared" si="7"/>
        <v>1489000</v>
      </c>
      <c r="V456" s="163"/>
      <c r="W456" s="163"/>
    </row>
    <row r="457" spans="1:23" s="17" customFormat="1">
      <c r="A457" s="176"/>
      <c r="B457" s="120" t="s">
        <v>446</v>
      </c>
      <c r="C457" s="177">
        <v>2025</v>
      </c>
      <c r="D457" s="80" t="s">
        <v>4093</v>
      </c>
      <c r="E457" s="8" t="s">
        <v>4805</v>
      </c>
      <c r="F457" s="1">
        <v>0</v>
      </c>
      <c r="G457" s="170"/>
      <c r="H457" s="171">
        <v>0</v>
      </c>
      <c r="I457" s="172">
        <v>0</v>
      </c>
      <c r="J457" s="171">
        <v>0</v>
      </c>
      <c r="K457" s="171">
        <v>0</v>
      </c>
      <c r="L457" s="171">
        <v>0</v>
      </c>
      <c r="M457" s="171">
        <v>-1559000</v>
      </c>
      <c r="N457" s="171">
        <v>0</v>
      </c>
      <c r="P457" s="173">
        <f t="shared" si="7"/>
        <v>1559000</v>
      </c>
      <c r="V457" s="163"/>
      <c r="W457" s="163"/>
    </row>
    <row r="458" spans="1:23" s="17" customFormat="1">
      <c r="A458" s="176"/>
      <c r="B458" s="120" t="s">
        <v>446</v>
      </c>
      <c r="C458" s="177">
        <v>2025</v>
      </c>
      <c r="D458" s="80" t="s">
        <v>3283</v>
      </c>
      <c r="E458" s="8" t="s">
        <v>4806</v>
      </c>
      <c r="F458" s="1">
        <v>0</v>
      </c>
      <c r="G458" s="170"/>
      <c r="H458" s="171">
        <v>0</v>
      </c>
      <c r="I458" s="172">
        <v>0</v>
      </c>
      <c r="J458" s="171">
        <v>0</v>
      </c>
      <c r="K458" s="171">
        <v>0</v>
      </c>
      <c r="L458" s="171">
        <v>0</v>
      </c>
      <c r="M458" s="171">
        <v>-1306289</v>
      </c>
      <c r="N458" s="171">
        <v>0</v>
      </c>
      <c r="P458" s="173">
        <f t="shared" si="7"/>
        <v>1306289</v>
      </c>
      <c r="V458" s="163"/>
      <c r="W458" s="163"/>
    </row>
    <row r="459" spans="1:23" s="17" customFormat="1">
      <c r="A459" s="176"/>
      <c r="B459" s="120" t="s">
        <v>446</v>
      </c>
      <c r="C459" s="177">
        <v>2025</v>
      </c>
      <c r="D459" s="80" t="s">
        <v>4093</v>
      </c>
      <c r="E459" s="8" t="s">
        <v>6626</v>
      </c>
      <c r="F459" s="1">
        <v>0</v>
      </c>
      <c r="G459" s="170"/>
      <c r="H459" s="171">
        <v>0</v>
      </c>
      <c r="I459" s="172">
        <v>0</v>
      </c>
      <c r="J459" s="171">
        <v>0</v>
      </c>
      <c r="K459" s="171">
        <v>0</v>
      </c>
      <c r="L459" s="171">
        <v>0</v>
      </c>
      <c r="M459" s="171">
        <v>-1100000</v>
      </c>
      <c r="N459" s="171">
        <v>0</v>
      </c>
      <c r="P459" s="173">
        <f t="shared" si="7"/>
        <v>1100000</v>
      </c>
      <c r="V459" s="163"/>
      <c r="W459" s="163"/>
    </row>
    <row r="460" spans="1:23" s="17" customFormat="1">
      <c r="A460" s="176"/>
      <c r="B460" s="120" t="s">
        <v>446</v>
      </c>
      <c r="C460" s="177">
        <v>2025</v>
      </c>
      <c r="D460" s="80" t="s">
        <v>4093</v>
      </c>
      <c r="E460" s="8" t="s">
        <v>7030</v>
      </c>
      <c r="F460" s="1">
        <v>0</v>
      </c>
      <c r="G460" s="170"/>
      <c r="H460" s="171">
        <v>0</v>
      </c>
      <c r="I460" s="172">
        <v>0</v>
      </c>
      <c r="J460" s="171">
        <v>0</v>
      </c>
      <c r="K460" s="171">
        <v>0</v>
      </c>
      <c r="L460" s="171">
        <v>0</v>
      </c>
      <c r="M460" s="171">
        <v>1205869</v>
      </c>
      <c r="N460" s="171">
        <v>0</v>
      </c>
      <c r="P460" s="173">
        <f t="shared" si="7"/>
        <v>-1205869</v>
      </c>
      <c r="V460" s="163"/>
      <c r="W460" s="163"/>
    </row>
    <row r="461" spans="1:23" s="17" customFormat="1">
      <c r="A461" s="176"/>
      <c r="B461" s="120" t="s">
        <v>446</v>
      </c>
      <c r="C461" s="177">
        <v>2025</v>
      </c>
      <c r="D461" s="80" t="s">
        <v>4093</v>
      </c>
      <c r="E461" s="8" t="s">
        <v>6632</v>
      </c>
      <c r="F461" s="1">
        <v>0</v>
      </c>
      <c r="G461" s="170"/>
      <c r="H461" s="171">
        <v>0</v>
      </c>
      <c r="I461" s="172">
        <v>0</v>
      </c>
      <c r="J461" s="171">
        <v>0</v>
      </c>
      <c r="K461" s="171">
        <v>0</v>
      </c>
      <c r="L461" s="171">
        <v>0</v>
      </c>
      <c r="M461" s="171">
        <v>-2577280</v>
      </c>
      <c r="N461" s="171">
        <v>0</v>
      </c>
      <c r="P461" s="173">
        <f t="shared" si="7"/>
        <v>2577280</v>
      </c>
      <c r="V461" s="163"/>
      <c r="W461" s="163"/>
    </row>
    <row r="462" spans="1:23" s="17" customFormat="1">
      <c r="A462" s="176"/>
      <c r="B462" s="120" t="s">
        <v>446</v>
      </c>
      <c r="C462" s="177">
        <v>2025</v>
      </c>
      <c r="D462" s="80" t="s">
        <v>4093</v>
      </c>
      <c r="E462" s="8" t="s">
        <v>6632</v>
      </c>
      <c r="F462" s="1">
        <v>0</v>
      </c>
      <c r="G462" s="170"/>
      <c r="H462" s="171">
        <v>0</v>
      </c>
      <c r="I462" s="172">
        <v>0</v>
      </c>
      <c r="J462" s="171">
        <v>0</v>
      </c>
      <c r="K462" s="171">
        <v>0</v>
      </c>
      <c r="L462" s="171">
        <v>0</v>
      </c>
      <c r="M462" s="171">
        <v>-1932000</v>
      </c>
      <c r="N462" s="171">
        <v>0</v>
      </c>
      <c r="P462" s="173">
        <f t="shared" si="7"/>
        <v>1932000</v>
      </c>
      <c r="V462" s="163"/>
      <c r="W462" s="163"/>
    </row>
    <row r="463" spans="1:23" s="17" customFormat="1">
      <c r="A463" s="176"/>
      <c r="B463" s="120" t="s">
        <v>446</v>
      </c>
      <c r="C463" s="177">
        <v>2025</v>
      </c>
      <c r="D463" s="80" t="s">
        <v>4093</v>
      </c>
      <c r="E463" s="8" t="s">
        <v>6632</v>
      </c>
      <c r="F463" s="1">
        <v>0</v>
      </c>
      <c r="G463" s="170"/>
      <c r="H463" s="171">
        <v>0</v>
      </c>
      <c r="I463" s="172">
        <v>0</v>
      </c>
      <c r="J463" s="171">
        <v>0</v>
      </c>
      <c r="K463" s="171">
        <v>0</v>
      </c>
      <c r="L463" s="171">
        <v>0</v>
      </c>
      <c r="M463" s="171">
        <v>-1479000</v>
      </c>
      <c r="N463" s="171">
        <v>0</v>
      </c>
      <c r="P463" s="173">
        <f t="shared" si="7"/>
        <v>1479000</v>
      </c>
      <c r="V463" s="163"/>
      <c r="W463" s="163"/>
    </row>
    <row r="464" spans="1:23" s="17" customFormat="1">
      <c r="A464" s="176"/>
      <c r="B464" s="120" t="s">
        <v>446</v>
      </c>
      <c r="C464" s="177">
        <v>2025</v>
      </c>
      <c r="D464" s="80" t="s">
        <v>4093</v>
      </c>
      <c r="E464" s="8" t="s">
        <v>6632</v>
      </c>
      <c r="F464" s="1">
        <v>0</v>
      </c>
      <c r="G464" s="170"/>
      <c r="H464" s="171">
        <v>0</v>
      </c>
      <c r="I464" s="172">
        <v>0</v>
      </c>
      <c r="J464" s="171">
        <v>0</v>
      </c>
      <c r="K464" s="171">
        <v>0</v>
      </c>
      <c r="L464" s="171">
        <v>0</v>
      </c>
      <c r="M464" s="171">
        <v>-2168000</v>
      </c>
      <c r="N464" s="171">
        <v>0</v>
      </c>
      <c r="P464" s="173">
        <f t="shared" si="7"/>
        <v>2168000</v>
      </c>
      <c r="V464" s="163"/>
      <c r="W464" s="163"/>
    </row>
    <row r="465" spans="1:23" s="17" customFormat="1">
      <c r="A465" s="176"/>
      <c r="B465" s="120" t="s">
        <v>446</v>
      </c>
      <c r="C465" s="177">
        <v>2025</v>
      </c>
      <c r="D465" s="80" t="s">
        <v>4093</v>
      </c>
      <c r="E465" s="8" t="s">
        <v>6632</v>
      </c>
      <c r="F465" s="1">
        <v>0</v>
      </c>
      <c r="G465" s="170"/>
      <c r="H465" s="171">
        <v>0</v>
      </c>
      <c r="I465" s="172">
        <v>0</v>
      </c>
      <c r="J465" s="171">
        <v>0</v>
      </c>
      <c r="K465" s="171">
        <v>0</v>
      </c>
      <c r="L465" s="171">
        <v>0</v>
      </c>
      <c r="M465" s="171">
        <v>-1408000</v>
      </c>
      <c r="N465" s="171">
        <v>0</v>
      </c>
      <c r="P465" s="173">
        <f t="shared" si="7"/>
        <v>1408000</v>
      </c>
      <c r="V465" s="163"/>
      <c r="W465" s="163"/>
    </row>
    <row r="466" spans="1:23" s="17" customFormat="1">
      <c r="A466" s="176"/>
      <c r="B466" s="120" t="s">
        <v>446</v>
      </c>
      <c r="C466" s="177">
        <v>2025</v>
      </c>
      <c r="D466" s="80" t="s">
        <v>4093</v>
      </c>
      <c r="E466" s="8" t="s">
        <v>6632</v>
      </c>
      <c r="F466" s="1">
        <v>0</v>
      </c>
      <c r="G466" s="170"/>
      <c r="H466" s="171">
        <v>0</v>
      </c>
      <c r="I466" s="172">
        <v>0</v>
      </c>
      <c r="J466" s="171">
        <v>0</v>
      </c>
      <c r="K466" s="171">
        <v>0</v>
      </c>
      <c r="L466" s="171">
        <v>0</v>
      </c>
      <c r="M466" s="171">
        <v>-1209000</v>
      </c>
      <c r="N466" s="171">
        <v>0</v>
      </c>
      <c r="P466" s="173">
        <f t="shared" si="7"/>
        <v>1209000</v>
      </c>
      <c r="V466" s="163"/>
      <c r="W466" s="163"/>
    </row>
    <row r="467" spans="1:23" s="17" customFormat="1">
      <c r="A467" s="176"/>
      <c r="B467" s="120" t="s">
        <v>446</v>
      </c>
      <c r="C467" s="177">
        <v>2025</v>
      </c>
      <c r="D467" s="80" t="s">
        <v>4085</v>
      </c>
      <c r="E467" s="8" t="s">
        <v>6787</v>
      </c>
      <c r="F467" s="1">
        <v>0</v>
      </c>
      <c r="G467" s="170"/>
      <c r="H467" s="171">
        <v>0</v>
      </c>
      <c r="I467" s="172">
        <v>0</v>
      </c>
      <c r="J467" s="171">
        <v>0</v>
      </c>
      <c r="K467" s="171">
        <v>0</v>
      </c>
      <c r="L467" s="171">
        <v>0</v>
      </c>
      <c r="M467" s="171">
        <f>-1189000</f>
        <v>-1189000</v>
      </c>
      <c r="N467" s="171">
        <v>0</v>
      </c>
      <c r="P467" s="173">
        <f t="shared" si="7"/>
        <v>1189000</v>
      </c>
      <c r="V467" s="163"/>
      <c r="W467" s="163"/>
    </row>
    <row r="468" spans="1:23" s="17" customFormat="1">
      <c r="A468" s="176"/>
      <c r="B468" s="120" t="s">
        <v>446</v>
      </c>
      <c r="C468" s="177">
        <v>2025</v>
      </c>
      <c r="D468" s="80" t="s">
        <v>4085</v>
      </c>
      <c r="E468" s="8" t="s">
        <v>6787</v>
      </c>
      <c r="F468" s="1">
        <v>0</v>
      </c>
      <c r="G468" s="170"/>
      <c r="H468" s="171">
        <v>0</v>
      </c>
      <c r="I468" s="172">
        <v>0</v>
      </c>
      <c r="J468" s="171">
        <v>0</v>
      </c>
      <c r="K468" s="171">
        <v>0</v>
      </c>
      <c r="L468" s="171">
        <v>0</v>
      </c>
      <c r="M468" s="171">
        <v>-1040000</v>
      </c>
      <c r="N468" s="171">
        <v>0</v>
      </c>
      <c r="P468" s="173">
        <f t="shared" si="7"/>
        <v>1040000</v>
      </c>
      <c r="V468" s="163"/>
      <c r="W468" s="163"/>
    </row>
    <row r="469" spans="1:23" s="17" customFormat="1">
      <c r="A469" s="176"/>
      <c r="B469" s="120" t="s">
        <v>446</v>
      </c>
      <c r="C469" s="177">
        <v>2025</v>
      </c>
      <c r="D469" s="80" t="s">
        <v>3283</v>
      </c>
      <c r="E469" s="8" t="s">
        <v>6788</v>
      </c>
      <c r="F469" s="1">
        <v>0</v>
      </c>
      <c r="G469" s="170"/>
      <c r="H469" s="171">
        <v>0</v>
      </c>
      <c r="I469" s="172">
        <v>0</v>
      </c>
      <c r="J469" s="171">
        <v>0</v>
      </c>
      <c r="K469" s="171">
        <v>0</v>
      </c>
      <c r="L469" s="171">
        <v>0</v>
      </c>
      <c r="M469" s="171">
        <v>-653999</v>
      </c>
      <c r="N469" s="171">
        <v>0</v>
      </c>
      <c r="P469" s="173">
        <f t="shared" si="7"/>
        <v>653999</v>
      </c>
      <c r="V469" s="163"/>
      <c r="W469" s="163"/>
    </row>
    <row r="470" spans="1:23" s="17" customFormat="1">
      <c r="A470" s="176"/>
      <c r="B470" s="120" t="s">
        <v>446</v>
      </c>
      <c r="C470" s="177">
        <v>2025</v>
      </c>
      <c r="D470" s="80" t="s">
        <v>4096</v>
      </c>
      <c r="E470" s="8" t="s">
        <v>6601</v>
      </c>
      <c r="F470" s="1">
        <v>0</v>
      </c>
      <c r="G470" s="170"/>
      <c r="H470" s="171">
        <v>0</v>
      </c>
      <c r="I470" s="172">
        <v>0</v>
      </c>
      <c r="J470" s="171">
        <v>0</v>
      </c>
      <c r="K470" s="171">
        <v>0</v>
      </c>
      <c r="L470" s="171">
        <v>0</v>
      </c>
      <c r="M470" s="171">
        <v>-3749718</v>
      </c>
      <c r="N470" s="171">
        <v>0</v>
      </c>
      <c r="P470" s="173">
        <f t="shared" si="7"/>
        <v>3749718</v>
      </c>
      <c r="V470" s="163"/>
      <c r="W470" s="163"/>
    </row>
    <row r="471" spans="1:23" s="17" customFormat="1">
      <c r="A471" s="176"/>
      <c r="B471" s="120" t="s">
        <v>446</v>
      </c>
      <c r="C471" s="177">
        <v>2025</v>
      </c>
      <c r="D471" s="80" t="s">
        <v>4092</v>
      </c>
      <c r="E471" s="8" t="s">
        <v>6791</v>
      </c>
      <c r="F471" s="1">
        <v>0</v>
      </c>
      <c r="G471" s="170"/>
      <c r="H471" s="171">
        <v>0</v>
      </c>
      <c r="I471" s="172">
        <v>0</v>
      </c>
      <c r="J471" s="171">
        <v>0</v>
      </c>
      <c r="K471" s="171">
        <v>0</v>
      </c>
      <c r="L471" s="171">
        <v>0</v>
      </c>
      <c r="M471" s="171">
        <v>-175100</v>
      </c>
      <c r="N471" s="171">
        <v>0</v>
      </c>
      <c r="P471" s="173">
        <f t="shared" si="7"/>
        <v>175100</v>
      </c>
      <c r="V471" s="163"/>
      <c r="W471" s="163"/>
    </row>
    <row r="472" spans="1:23" s="17" customFormat="1">
      <c r="A472" s="176"/>
      <c r="B472" s="120" t="s">
        <v>446</v>
      </c>
      <c r="C472" s="177">
        <v>2025</v>
      </c>
      <c r="D472" s="80" t="s">
        <v>4092</v>
      </c>
      <c r="E472" s="8" t="s">
        <v>6791</v>
      </c>
      <c r="F472" s="1">
        <v>0</v>
      </c>
      <c r="G472" s="170"/>
      <c r="H472" s="171">
        <v>0</v>
      </c>
      <c r="I472" s="172">
        <v>0</v>
      </c>
      <c r="J472" s="171">
        <v>0</v>
      </c>
      <c r="K472" s="171">
        <v>0</v>
      </c>
      <c r="L472" s="171">
        <v>0</v>
      </c>
      <c r="M472" s="171">
        <v>-175100</v>
      </c>
      <c r="N472" s="171">
        <v>0</v>
      </c>
      <c r="P472" s="173">
        <f t="shared" si="7"/>
        <v>175100</v>
      </c>
      <c r="V472" s="163"/>
      <c r="W472" s="163"/>
    </row>
    <row r="473" spans="1:23" s="17" customFormat="1">
      <c r="A473" s="176"/>
      <c r="B473" s="120" t="s">
        <v>446</v>
      </c>
      <c r="C473" s="177">
        <v>2025</v>
      </c>
      <c r="D473" s="80" t="s">
        <v>6540</v>
      </c>
      <c r="E473" s="8" t="s">
        <v>6667</v>
      </c>
      <c r="F473" s="1">
        <v>0</v>
      </c>
      <c r="G473" s="170"/>
      <c r="H473" s="171">
        <v>0</v>
      </c>
      <c r="I473" s="172">
        <v>0</v>
      </c>
      <c r="J473" s="171">
        <v>0</v>
      </c>
      <c r="K473" s="171">
        <v>0</v>
      </c>
      <c r="L473" s="171">
        <v>0</v>
      </c>
      <c r="M473" s="171">
        <v>-4865400</v>
      </c>
      <c r="N473" s="171">
        <v>0</v>
      </c>
      <c r="P473" s="173">
        <f t="shared" si="7"/>
        <v>4865400</v>
      </c>
      <c r="V473" s="163"/>
      <c r="W473" s="163"/>
    </row>
    <row r="474" spans="1:23" s="17" customFormat="1">
      <c r="A474" s="176"/>
      <c r="B474" s="120" t="s">
        <v>446</v>
      </c>
      <c r="C474" s="177">
        <v>2025</v>
      </c>
      <c r="D474" s="80" t="s">
        <v>6540</v>
      </c>
      <c r="E474" s="8" t="s">
        <v>6668</v>
      </c>
      <c r="F474" s="1">
        <v>0</v>
      </c>
      <c r="G474" s="170"/>
      <c r="H474" s="171">
        <v>0</v>
      </c>
      <c r="I474" s="172">
        <v>0</v>
      </c>
      <c r="J474" s="171">
        <v>0</v>
      </c>
      <c r="K474" s="171">
        <v>0</v>
      </c>
      <c r="L474" s="171">
        <v>0</v>
      </c>
      <c r="M474" s="171">
        <v>-3481349</v>
      </c>
      <c r="N474" s="171">
        <v>0</v>
      </c>
      <c r="P474" s="173">
        <f t="shared" si="7"/>
        <v>3481349</v>
      </c>
      <c r="V474" s="163"/>
      <c r="W474" s="163"/>
    </row>
    <row r="475" spans="1:23" s="17" customFormat="1">
      <c r="A475" s="176"/>
      <c r="B475" s="120" t="s">
        <v>446</v>
      </c>
      <c r="C475" s="177">
        <v>2025</v>
      </c>
      <c r="D475" s="80" t="s">
        <v>6540</v>
      </c>
      <c r="E475" s="8" t="s">
        <v>6669</v>
      </c>
      <c r="F475" s="1">
        <v>0</v>
      </c>
      <c r="G475" s="170"/>
      <c r="H475" s="171">
        <v>0</v>
      </c>
      <c r="I475" s="172">
        <v>0</v>
      </c>
      <c r="J475" s="171">
        <v>0</v>
      </c>
      <c r="K475" s="171">
        <v>0</v>
      </c>
      <c r="L475" s="171">
        <v>0</v>
      </c>
      <c r="M475" s="171">
        <v>-2362007</v>
      </c>
      <c r="N475" s="171">
        <v>0</v>
      </c>
      <c r="P475" s="173">
        <f t="shared" si="7"/>
        <v>2362007</v>
      </c>
      <c r="V475" s="163"/>
      <c r="W475" s="163"/>
    </row>
    <row r="476" spans="1:23" s="17" customFormat="1">
      <c r="A476" s="176"/>
      <c r="B476" s="120" t="s">
        <v>446</v>
      </c>
      <c r="C476" s="177">
        <v>2025</v>
      </c>
      <c r="D476" s="80" t="s">
        <v>4096</v>
      </c>
      <c r="E476" s="8" t="s">
        <v>6671</v>
      </c>
      <c r="F476" s="1">
        <v>0</v>
      </c>
      <c r="G476" s="170"/>
      <c r="H476" s="171">
        <v>0</v>
      </c>
      <c r="I476" s="172">
        <v>0</v>
      </c>
      <c r="J476" s="171">
        <v>0</v>
      </c>
      <c r="K476" s="171">
        <v>0</v>
      </c>
      <c r="L476" s="171">
        <v>0</v>
      </c>
      <c r="M476" s="171">
        <v>-647660</v>
      </c>
      <c r="N476" s="171">
        <v>0</v>
      </c>
      <c r="P476" s="173">
        <f t="shared" si="7"/>
        <v>647660</v>
      </c>
      <c r="V476" s="163"/>
      <c r="W476" s="163"/>
    </row>
    <row r="477" spans="1:23" s="17" customFormat="1">
      <c r="A477" s="176"/>
      <c r="B477" s="120" t="s">
        <v>446</v>
      </c>
      <c r="C477" s="177">
        <v>2025</v>
      </c>
      <c r="D477" s="80" t="s">
        <v>4631</v>
      </c>
      <c r="E477" s="8" t="s">
        <v>6673</v>
      </c>
      <c r="F477" s="1">
        <v>0</v>
      </c>
      <c r="G477" s="170"/>
      <c r="H477" s="171">
        <v>0</v>
      </c>
      <c r="I477" s="172">
        <v>0</v>
      </c>
      <c r="J477" s="171">
        <v>0</v>
      </c>
      <c r="K477" s="171">
        <v>0</v>
      </c>
      <c r="L477" s="171">
        <v>0</v>
      </c>
      <c r="M477" s="50">
        <v>-1882060</v>
      </c>
      <c r="N477" s="171">
        <v>0</v>
      </c>
      <c r="P477" s="173">
        <f t="shared" si="7"/>
        <v>1882060</v>
      </c>
      <c r="R477" s="43"/>
      <c r="S477" s="43"/>
      <c r="T477" s="43"/>
      <c r="U477" s="43"/>
      <c r="V477" s="178"/>
      <c r="W477" s="178"/>
    </row>
    <row r="478" spans="1:23" s="17" customFormat="1">
      <c r="A478" s="176"/>
      <c r="B478" s="120" t="s">
        <v>446</v>
      </c>
      <c r="C478" s="177">
        <v>2025</v>
      </c>
      <c r="D478" s="80" t="s">
        <v>4631</v>
      </c>
      <c r="E478" s="8" t="s">
        <v>6674</v>
      </c>
      <c r="F478" s="1">
        <v>0</v>
      </c>
      <c r="G478" s="170"/>
      <c r="H478" s="171">
        <v>0</v>
      </c>
      <c r="I478" s="172">
        <v>0</v>
      </c>
      <c r="J478" s="171">
        <v>0</v>
      </c>
      <c r="K478" s="171">
        <v>0</v>
      </c>
      <c r="L478" s="171">
        <v>0</v>
      </c>
      <c r="M478" s="50">
        <v>-502800</v>
      </c>
      <c r="N478" s="171">
        <v>0</v>
      </c>
      <c r="P478" s="173">
        <f t="shared" si="7"/>
        <v>502800</v>
      </c>
      <c r="R478" s="43"/>
      <c r="S478" s="43"/>
      <c r="T478" s="43"/>
      <c r="U478" s="43"/>
      <c r="V478" s="178"/>
      <c r="W478" s="178"/>
    </row>
    <row r="479" spans="1:23" s="17" customFormat="1">
      <c r="A479" s="176"/>
      <c r="B479" s="120" t="s">
        <v>446</v>
      </c>
      <c r="C479" s="177">
        <v>2025</v>
      </c>
      <c r="D479" s="80" t="s">
        <v>4631</v>
      </c>
      <c r="E479" s="8" t="s">
        <v>6675</v>
      </c>
      <c r="F479" s="1">
        <v>0</v>
      </c>
      <c r="G479" s="170"/>
      <c r="H479" s="171">
        <v>0</v>
      </c>
      <c r="I479" s="172">
        <v>0</v>
      </c>
      <c r="J479" s="171">
        <v>0</v>
      </c>
      <c r="K479" s="171">
        <v>0</v>
      </c>
      <c r="L479" s="171">
        <v>0</v>
      </c>
      <c r="M479" s="50">
        <v>-1072188</v>
      </c>
      <c r="N479" s="171">
        <v>0</v>
      </c>
      <c r="P479" s="173">
        <f t="shared" si="7"/>
        <v>1072188</v>
      </c>
      <c r="R479" s="43"/>
      <c r="S479" s="43"/>
      <c r="T479" s="43"/>
      <c r="U479" s="43"/>
      <c r="V479" s="178"/>
      <c r="W479" s="178"/>
    </row>
    <row r="480" spans="1:23" s="17" customFormat="1">
      <c r="A480" s="176"/>
      <c r="B480" s="120" t="s">
        <v>446</v>
      </c>
      <c r="C480" s="177">
        <v>2025</v>
      </c>
      <c r="D480" s="80" t="s">
        <v>4096</v>
      </c>
      <c r="E480" s="8" t="s">
        <v>6677</v>
      </c>
      <c r="F480" s="1">
        <v>0</v>
      </c>
      <c r="G480" s="170"/>
      <c r="H480" s="171">
        <v>0</v>
      </c>
      <c r="I480" s="172">
        <v>0</v>
      </c>
      <c r="J480" s="171">
        <v>0</v>
      </c>
      <c r="K480" s="171">
        <v>0</v>
      </c>
      <c r="L480" s="171">
        <v>0</v>
      </c>
      <c r="M480" s="50">
        <v>-417000</v>
      </c>
      <c r="N480" s="171">
        <v>0</v>
      </c>
      <c r="P480" s="173">
        <f t="shared" si="7"/>
        <v>417000</v>
      </c>
      <c r="R480" s="43"/>
      <c r="S480" s="43"/>
      <c r="T480" s="43"/>
      <c r="U480" s="43"/>
      <c r="V480" s="178"/>
      <c r="W480" s="178"/>
    </row>
    <row r="481" spans="1:23" s="17" customFormat="1">
      <c r="A481" s="176"/>
      <c r="B481" s="120" t="s">
        <v>446</v>
      </c>
      <c r="C481" s="177">
        <v>2025</v>
      </c>
      <c r="D481" s="80" t="s">
        <v>4096</v>
      </c>
      <c r="E481" s="8" t="s">
        <v>6678</v>
      </c>
      <c r="F481" s="1">
        <v>0</v>
      </c>
      <c r="G481" s="170"/>
      <c r="H481" s="171">
        <v>0</v>
      </c>
      <c r="I481" s="172">
        <v>0</v>
      </c>
      <c r="J481" s="171">
        <v>0</v>
      </c>
      <c r="K481" s="171">
        <v>0</v>
      </c>
      <c r="L481" s="171">
        <v>0</v>
      </c>
      <c r="M481" s="50">
        <v>-297000</v>
      </c>
      <c r="N481" s="171">
        <v>0</v>
      </c>
      <c r="P481" s="173">
        <f t="shared" si="7"/>
        <v>297000</v>
      </c>
      <c r="R481" s="43"/>
      <c r="S481" s="43"/>
      <c r="T481" s="43"/>
      <c r="U481" s="43"/>
      <c r="V481" s="178"/>
      <c r="W481" s="178"/>
    </row>
    <row r="482" spans="1:23" s="17" customFormat="1">
      <c r="A482" s="176"/>
      <c r="B482" s="120" t="s">
        <v>446</v>
      </c>
      <c r="C482" s="177">
        <v>2025</v>
      </c>
      <c r="D482" s="80" t="s">
        <v>4096</v>
      </c>
      <c r="E482" s="8" t="s">
        <v>6682</v>
      </c>
      <c r="F482" s="1">
        <v>0</v>
      </c>
      <c r="G482" s="170"/>
      <c r="H482" s="171">
        <v>0</v>
      </c>
      <c r="I482" s="172">
        <v>0</v>
      </c>
      <c r="J482" s="171">
        <v>0</v>
      </c>
      <c r="K482" s="171">
        <v>0</v>
      </c>
      <c r="L482" s="171">
        <v>0</v>
      </c>
      <c r="M482" s="50">
        <v>-4514000</v>
      </c>
      <c r="N482" s="171">
        <v>0</v>
      </c>
      <c r="P482" s="173">
        <f t="shared" si="7"/>
        <v>4514000</v>
      </c>
      <c r="R482" s="43"/>
      <c r="S482" s="43"/>
      <c r="T482" s="43"/>
      <c r="U482" s="43"/>
      <c r="V482" s="178"/>
      <c r="W482" s="178"/>
    </row>
    <row r="483" spans="1:23" s="17" customFormat="1">
      <c r="A483" s="176"/>
      <c r="B483" s="120" t="s">
        <v>446</v>
      </c>
      <c r="C483" s="177">
        <v>2025</v>
      </c>
      <c r="D483" s="80" t="s">
        <v>3475</v>
      </c>
      <c r="E483" s="8" t="s">
        <v>4819</v>
      </c>
      <c r="F483" s="1">
        <v>0</v>
      </c>
      <c r="G483" s="170"/>
      <c r="H483" s="171">
        <v>0</v>
      </c>
      <c r="I483" s="172">
        <v>0</v>
      </c>
      <c r="J483" s="171">
        <v>0</v>
      </c>
      <c r="K483" s="171">
        <v>0</v>
      </c>
      <c r="L483" s="171">
        <v>0</v>
      </c>
      <c r="M483" s="171">
        <v>-13980000</v>
      </c>
      <c r="N483" s="171">
        <v>0</v>
      </c>
      <c r="P483" s="173">
        <f t="shared" si="7"/>
        <v>13980000</v>
      </c>
      <c r="V483" s="163"/>
      <c r="W483" s="163"/>
    </row>
    <row r="484" spans="1:23" s="17" customFormat="1">
      <c r="A484" s="176"/>
      <c r="B484" s="120" t="s">
        <v>446</v>
      </c>
      <c r="C484" s="177">
        <v>2025</v>
      </c>
      <c r="D484" s="80" t="s">
        <v>3283</v>
      </c>
      <c r="E484" s="8" t="s">
        <v>4820</v>
      </c>
      <c r="F484" s="1">
        <v>0</v>
      </c>
      <c r="G484" s="170"/>
      <c r="H484" s="171">
        <v>0</v>
      </c>
      <c r="I484" s="172">
        <v>0</v>
      </c>
      <c r="J484" s="171">
        <v>0</v>
      </c>
      <c r="K484" s="171">
        <v>0</v>
      </c>
      <c r="L484" s="171">
        <v>0</v>
      </c>
      <c r="M484" s="171">
        <v>-1050000</v>
      </c>
      <c r="N484" s="171">
        <v>0</v>
      </c>
      <c r="P484" s="173">
        <f t="shared" si="7"/>
        <v>1050000</v>
      </c>
      <c r="V484" s="163"/>
      <c r="W484" s="163"/>
    </row>
    <row r="485" spans="1:23" s="17" customFormat="1">
      <c r="A485" s="176"/>
      <c r="B485" s="120" t="s">
        <v>446</v>
      </c>
      <c r="C485" s="177">
        <v>2025</v>
      </c>
      <c r="D485" s="80" t="s">
        <v>3470</v>
      </c>
      <c r="E485" s="8" t="s">
        <v>4855</v>
      </c>
      <c r="F485" s="1">
        <v>0</v>
      </c>
      <c r="G485" s="170"/>
      <c r="H485" s="171">
        <v>0</v>
      </c>
      <c r="I485" s="172">
        <v>0</v>
      </c>
      <c r="J485" s="171">
        <v>0</v>
      </c>
      <c r="K485" s="171">
        <v>0</v>
      </c>
      <c r="L485" s="171">
        <v>0</v>
      </c>
      <c r="M485" s="171">
        <v>-76162000</v>
      </c>
      <c r="N485" s="171">
        <v>0</v>
      </c>
      <c r="P485" s="173">
        <f t="shared" si="7"/>
        <v>76162000</v>
      </c>
      <c r="V485" s="163"/>
      <c r="W485" s="163"/>
    </row>
    <row r="486" spans="1:23" s="17" customFormat="1">
      <c r="A486" s="176"/>
      <c r="B486" s="120" t="s">
        <v>446</v>
      </c>
      <c r="C486" s="177">
        <v>2025</v>
      </c>
      <c r="D486" s="80" t="s">
        <v>3470</v>
      </c>
      <c r="E486" s="8" t="s">
        <v>4856</v>
      </c>
      <c r="F486" s="1">
        <v>0</v>
      </c>
      <c r="G486" s="170"/>
      <c r="H486" s="171">
        <v>0</v>
      </c>
      <c r="I486" s="172">
        <v>0</v>
      </c>
      <c r="J486" s="171">
        <v>0</v>
      </c>
      <c r="K486" s="171">
        <v>0</v>
      </c>
      <c r="L486" s="171">
        <v>0</v>
      </c>
      <c r="M486" s="171">
        <v>-2219140</v>
      </c>
      <c r="N486" s="171">
        <v>0</v>
      </c>
      <c r="P486" s="173">
        <f t="shared" si="7"/>
        <v>2219140</v>
      </c>
      <c r="V486" s="163"/>
      <c r="W486" s="163"/>
    </row>
    <row r="487" spans="1:23" s="17" customFormat="1">
      <c r="A487" s="176"/>
      <c r="B487" s="120" t="s">
        <v>446</v>
      </c>
      <c r="C487" s="177">
        <v>2025</v>
      </c>
      <c r="D487" s="80" t="s">
        <v>3470</v>
      </c>
      <c r="E487" s="8" t="s">
        <v>4857</v>
      </c>
      <c r="F487" s="1">
        <v>0</v>
      </c>
      <c r="G487" s="170"/>
      <c r="H487" s="171">
        <v>0</v>
      </c>
      <c r="I487" s="172">
        <v>0</v>
      </c>
      <c r="J487" s="171">
        <v>0</v>
      </c>
      <c r="K487" s="171">
        <v>0</v>
      </c>
      <c r="L487" s="171">
        <v>0</v>
      </c>
      <c r="M487" s="171">
        <v>-8296800</v>
      </c>
      <c r="N487" s="171">
        <v>0</v>
      </c>
      <c r="P487" s="173">
        <f t="shared" si="7"/>
        <v>8296800</v>
      </c>
      <c r="V487" s="163"/>
      <c r="W487" s="163"/>
    </row>
    <row r="488" spans="1:23" s="17" customFormat="1">
      <c r="A488" s="176"/>
      <c r="B488" s="120" t="s">
        <v>446</v>
      </c>
      <c r="C488" s="177">
        <v>2025</v>
      </c>
      <c r="D488" s="80" t="s">
        <v>4095</v>
      </c>
      <c r="E488" s="8" t="s">
        <v>6798</v>
      </c>
      <c r="F488" s="1">
        <v>0</v>
      </c>
      <c r="G488" s="170"/>
      <c r="H488" s="171">
        <v>0</v>
      </c>
      <c r="I488" s="172">
        <v>0</v>
      </c>
      <c r="J488" s="171">
        <v>0</v>
      </c>
      <c r="K488" s="171">
        <v>0</v>
      </c>
      <c r="L488" s="171">
        <v>0</v>
      </c>
      <c r="M488" s="171">
        <v>-70190000</v>
      </c>
      <c r="N488" s="171">
        <v>0</v>
      </c>
      <c r="P488" s="173">
        <f t="shared" si="7"/>
        <v>70190000</v>
      </c>
      <c r="V488" s="163"/>
      <c r="W488" s="163"/>
    </row>
    <row r="489" spans="1:23" s="17" customFormat="1">
      <c r="A489" s="176"/>
      <c r="B489" s="120" t="s">
        <v>446</v>
      </c>
      <c r="C489" s="177">
        <v>2025</v>
      </c>
      <c r="D489" s="80" t="s">
        <v>4095</v>
      </c>
      <c r="E489" s="8" t="s">
        <v>6799</v>
      </c>
      <c r="F489" s="1">
        <v>0</v>
      </c>
      <c r="G489" s="170"/>
      <c r="H489" s="171">
        <v>0</v>
      </c>
      <c r="I489" s="172">
        <v>0</v>
      </c>
      <c r="J489" s="171">
        <v>0</v>
      </c>
      <c r="K489" s="171">
        <v>0</v>
      </c>
      <c r="L489" s="171">
        <v>0</v>
      </c>
      <c r="M489" s="171">
        <v>-10630400</v>
      </c>
      <c r="N489" s="171">
        <v>0</v>
      </c>
      <c r="P489" s="173">
        <f t="shared" si="7"/>
        <v>10630400</v>
      </c>
      <c r="V489" s="163"/>
      <c r="W489" s="163"/>
    </row>
    <row r="490" spans="1:23" s="17" customFormat="1">
      <c r="A490" s="176"/>
      <c r="B490" s="120" t="s">
        <v>446</v>
      </c>
      <c r="C490" s="177">
        <v>2025</v>
      </c>
      <c r="D490" s="80" t="s">
        <v>4095</v>
      </c>
      <c r="E490" s="8" t="s">
        <v>6800</v>
      </c>
      <c r="F490" s="1">
        <v>0</v>
      </c>
      <c r="G490" s="170"/>
      <c r="H490" s="171">
        <v>0</v>
      </c>
      <c r="I490" s="172">
        <v>0</v>
      </c>
      <c r="J490" s="171">
        <v>0</v>
      </c>
      <c r="K490" s="171">
        <v>0</v>
      </c>
      <c r="L490" s="171">
        <v>0</v>
      </c>
      <c r="M490" s="171">
        <v>-3185600</v>
      </c>
      <c r="N490" s="171">
        <v>0</v>
      </c>
      <c r="P490" s="173">
        <f t="shared" si="7"/>
        <v>3185600</v>
      </c>
      <c r="V490" s="163"/>
      <c r="W490" s="163"/>
    </row>
    <row r="491" spans="1:23" s="17" customFormat="1">
      <c r="A491" s="176"/>
      <c r="B491" s="120" t="s">
        <v>446</v>
      </c>
      <c r="C491" s="177">
        <v>2025</v>
      </c>
      <c r="D491" s="80" t="s">
        <v>4095</v>
      </c>
      <c r="E491" s="8" t="s">
        <v>6801</v>
      </c>
      <c r="F491" s="1">
        <v>0</v>
      </c>
      <c r="G491" s="170"/>
      <c r="H491" s="171">
        <v>0</v>
      </c>
      <c r="I491" s="172">
        <v>0</v>
      </c>
      <c r="J491" s="171">
        <v>0</v>
      </c>
      <c r="K491" s="171">
        <v>0</v>
      </c>
      <c r="L491" s="171">
        <v>0</v>
      </c>
      <c r="M491" s="171">
        <v>-1730000</v>
      </c>
      <c r="N491" s="171">
        <v>0</v>
      </c>
      <c r="P491" s="173">
        <f t="shared" si="7"/>
        <v>1730000</v>
      </c>
      <c r="V491" s="163"/>
      <c r="W491" s="163"/>
    </row>
    <row r="492" spans="1:23" s="17" customFormat="1">
      <c r="A492" s="176"/>
      <c r="B492" s="120" t="s">
        <v>446</v>
      </c>
      <c r="C492" s="177">
        <v>2025</v>
      </c>
      <c r="D492" s="80" t="s">
        <v>4089</v>
      </c>
      <c r="E492" s="8" t="s">
        <v>6718</v>
      </c>
      <c r="F492" s="1">
        <v>0</v>
      </c>
      <c r="G492" s="170"/>
      <c r="H492" s="171">
        <v>0</v>
      </c>
      <c r="I492" s="172">
        <v>0</v>
      </c>
      <c r="J492" s="171">
        <v>0</v>
      </c>
      <c r="K492" s="171">
        <v>0</v>
      </c>
      <c r="L492" s="171">
        <v>0</v>
      </c>
      <c r="M492" s="171">
        <v>-4516142</v>
      </c>
      <c r="N492" s="171">
        <v>0</v>
      </c>
      <c r="P492" s="173">
        <f t="shared" si="7"/>
        <v>4516142</v>
      </c>
      <c r="V492" s="163"/>
      <c r="W492" s="163"/>
    </row>
    <row r="493" spans="1:23" s="17" customFormat="1">
      <c r="A493" s="176"/>
      <c r="B493" s="120" t="s">
        <v>446</v>
      </c>
      <c r="C493" s="177">
        <v>2025</v>
      </c>
      <c r="D493" s="80" t="s">
        <v>4095</v>
      </c>
      <c r="E493" s="8" t="s">
        <v>6719</v>
      </c>
      <c r="F493" s="1">
        <v>0</v>
      </c>
      <c r="G493" s="170"/>
      <c r="H493" s="171">
        <v>0</v>
      </c>
      <c r="I493" s="172">
        <v>0</v>
      </c>
      <c r="J493" s="171">
        <v>0</v>
      </c>
      <c r="K493" s="171">
        <v>0</v>
      </c>
      <c r="L493" s="171">
        <v>0</v>
      </c>
      <c r="M493" s="171">
        <v>-657679</v>
      </c>
      <c r="N493" s="171">
        <v>0</v>
      </c>
      <c r="P493" s="173">
        <f t="shared" si="7"/>
        <v>657679</v>
      </c>
      <c r="V493" s="163"/>
      <c r="W493" s="163"/>
    </row>
    <row r="494" spans="1:23" s="17" customFormat="1">
      <c r="A494" s="176"/>
      <c r="B494" s="120" t="s">
        <v>446</v>
      </c>
      <c r="C494" s="177">
        <v>2025</v>
      </c>
      <c r="D494" s="80" t="s">
        <v>4095</v>
      </c>
      <c r="E494" s="8" t="s">
        <v>6722</v>
      </c>
      <c r="F494" s="1">
        <v>0</v>
      </c>
      <c r="G494" s="170"/>
      <c r="H494" s="171">
        <v>0</v>
      </c>
      <c r="I494" s="172">
        <v>0</v>
      </c>
      <c r="J494" s="171">
        <v>0</v>
      </c>
      <c r="K494" s="171">
        <v>0</v>
      </c>
      <c r="L494" s="171">
        <v>0</v>
      </c>
      <c r="M494" s="171">
        <v>-416123</v>
      </c>
      <c r="N494" s="171">
        <v>0</v>
      </c>
      <c r="P494" s="173">
        <f t="shared" si="7"/>
        <v>416123</v>
      </c>
      <c r="V494" s="163"/>
      <c r="W494" s="163"/>
    </row>
    <row r="495" spans="1:23" s="17" customFormat="1">
      <c r="A495" s="176"/>
      <c r="B495" s="120" t="s">
        <v>446</v>
      </c>
      <c r="C495" s="177">
        <v>2025</v>
      </c>
      <c r="D495" s="80" t="s">
        <v>3473</v>
      </c>
      <c r="E495" s="8" t="s">
        <v>6723</v>
      </c>
      <c r="F495" s="1">
        <v>0</v>
      </c>
      <c r="G495" s="170"/>
      <c r="H495" s="171">
        <v>0</v>
      </c>
      <c r="I495" s="172">
        <v>0</v>
      </c>
      <c r="J495" s="171">
        <v>0</v>
      </c>
      <c r="K495" s="171">
        <v>0</v>
      </c>
      <c r="L495" s="171">
        <v>0</v>
      </c>
      <c r="M495" s="171">
        <v>-2520000</v>
      </c>
      <c r="N495" s="171">
        <v>0</v>
      </c>
      <c r="P495" s="173">
        <f t="shared" si="7"/>
        <v>2520000</v>
      </c>
      <c r="V495" s="163"/>
      <c r="W495" s="163"/>
    </row>
    <row r="496" spans="1:23" s="17" customFormat="1">
      <c r="A496" s="176"/>
      <c r="B496" s="120" t="s">
        <v>446</v>
      </c>
      <c r="C496" s="177">
        <v>2025</v>
      </c>
      <c r="D496" s="80" t="s">
        <v>4095</v>
      </c>
      <c r="E496" s="8" t="s">
        <v>6808</v>
      </c>
      <c r="F496" s="1">
        <v>0</v>
      </c>
      <c r="G496" s="170"/>
      <c r="H496" s="171">
        <v>0</v>
      </c>
      <c r="I496" s="172">
        <v>0</v>
      </c>
      <c r="J496" s="171">
        <v>0</v>
      </c>
      <c r="K496" s="171">
        <v>0</v>
      </c>
      <c r="L496" s="171">
        <v>0</v>
      </c>
      <c r="M496" s="171">
        <v>-4668000</v>
      </c>
      <c r="N496" s="171">
        <v>0</v>
      </c>
      <c r="P496" s="173">
        <f t="shared" si="7"/>
        <v>4668000</v>
      </c>
      <c r="V496" s="163"/>
      <c r="W496" s="163"/>
    </row>
    <row r="497" spans="1:23" s="17" customFormat="1">
      <c r="A497" s="176"/>
      <c r="B497" s="120" t="s">
        <v>446</v>
      </c>
      <c r="C497" s="177">
        <v>2025</v>
      </c>
      <c r="D497" s="80" t="s">
        <v>4095</v>
      </c>
      <c r="E497" s="8" t="s">
        <v>6724</v>
      </c>
      <c r="F497" s="1">
        <v>0</v>
      </c>
      <c r="G497" s="170"/>
      <c r="H497" s="171">
        <v>0</v>
      </c>
      <c r="I497" s="172">
        <v>0</v>
      </c>
      <c r="J497" s="171">
        <v>0</v>
      </c>
      <c r="K497" s="171">
        <v>0</v>
      </c>
      <c r="L497" s="171">
        <v>0</v>
      </c>
      <c r="M497" s="171">
        <v>-432793</v>
      </c>
      <c r="N497" s="171">
        <v>0</v>
      </c>
      <c r="P497" s="173">
        <f t="shared" si="7"/>
        <v>432793</v>
      </c>
      <c r="V497" s="163"/>
      <c r="W497" s="163"/>
    </row>
    <row r="498" spans="1:23" s="17" customFormat="1">
      <c r="A498" s="176"/>
      <c r="B498" s="120" t="s">
        <v>446</v>
      </c>
      <c r="C498" s="177">
        <v>2025</v>
      </c>
      <c r="D498" s="80" t="s">
        <v>4095</v>
      </c>
      <c r="E498" s="8" t="s">
        <v>6728</v>
      </c>
      <c r="F498" s="1">
        <v>0</v>
      </c>
      <c r="G498" s="170"/>
      <c r="H498" s="171">
        <v>0</v>
      </c>
      <c r="I498" s="172">
        <v>0</v>
      </c>
      <c r="J498" s="171">
        <v>0</v>
      </c>
      <c r="K498" s="171">
        <v>0</v>
      </c>
      <c r="L498" s="171">
        <v>0</v>
      </c>
      <c r="M498" s="171">
        <v>-800000</v>
      </c>
      <c r="N498" s="171">
        <v>0</v>
      </c>
      <c r="P498" s="173">
        <f t="shared" si="7"/>
        <v>800000</v>
      </c>
      <c r="V498" s="163"/>
      <c r="W498" s="163"/>
    </row>
    <row r="499" spans="1:23" s="17" customFormat="1">
      <c r="A499" s="176"/>
      <c r="B499" s="120" t="s">
        <v>446</v>
      </c>
      <c r="C499" s="177">
        <v>2025</v>
      </c>
      <c r="D499" s="80" t="s">
        <v>4095</v>
      </c>
      <c r="E499" s="8" t="s">
        <v>6726</v>
      </c>
      <c r="F499" s="1">
        <v>0</v>
      </c>
      <c r="G499" s="170"/>
      <c r="H499" s="171">
        <v>0</v>
      </c>
      <c r="I499" s="172">
        <v>0</v>
      </c>
      <c r="J499" s="171">
        <v>0</v>
      </c>
      <c r="K499" s="171">
        <v>0</v>
      </c>
      <c r="L499" s="171">
        <v>0</v>
      </c>
      <c r="M499" s="171">
        <v>-210000</v>
      </c>
      <c r="N499" s="171">
        <v>0</v>
      </c>
      <c r="P499" s="173">
        <f t="shared" si="7"/>
        <v>210000</v>
      </c>
      <c r="V499" s="163"/>
      <c r="W499" s="163"/>
    </row>
    <row r="500" spans="1:23" s="17" customFormat="1">
      <c r="A500" s="176"/>
      <c r="B500" s="120" t="s">
        <v>446</v>
      </c>
      <c r="C500" s="177">
        <v>2025</v>
      </c>
      <c r="D500" s="80" t="s">
        <v>4095</v>
      </c>
      <c r="E500" s="8" t="s">
        <v>6727</v>
      </c>
      <c r="F500" s="1">
        <v>0</v>
      </c>
      <c r="G500" s="170"/>
      <c r="H500" s="171">
        <v>0</v>
      </c>
      <c r="I500" s="172">
        <v>0</v>
      </c>
      <c r="J500" s="171">
        <v>0</v>
      </c>
      <c r="K500" s="171">
        <v>0</v>
      </c>
      <c r="L500" s="171">
        <v>0</v>
      </c>
      <c r="M500" s="171">
        <v>-460000</v>
      </c>
      <c r="N500" s="171">
        <v>0</v>
      </c>
      <c r="P500" s="173">
        <f t="shared" si="7"/>
        <v>460000</v>
      </c>
      <c r="V500" s="163"/>
      <c r="W500" s="163"/>
    </row>
    <row r="501" spans="1:23" s="17" customFormat="1">
      <c r="A501" s="176"/>
      <c r="B501" s="120" t="s">
        <v>446</v>
      </c>
      <c r="C501" s="177">
        <v>2025</v>
      </c>
      <c r="D501" s="80" t="s">
        <v>4095</v>
      </c>
      <c r="E501" s="8" t="s">
        <v>6727</v>
      </c>
      <c r="F501" s="1">
        <v>0</v>
      </c>
      <c r="G501" s="170"/>
      <c r="H501" s="171">
        <v>0</v>
      </c>
      <c r="I501" s="172">
        <v>0</v>
      </c>
      <c r="J501" s="171">
        <v>0</v>
      </c>
      <c r="K501" s="171">
        <v>0</v>
      </c>
      <c r="L501" s="171">
        <v>0</v>
      </c>
      <c r="M501" s="171">
        <v>-160000</v>
      </c>
      <c r="N501" s="171">
        <v>0</v>
      </c>
      <c r="P501" s="173">
        <f t="shared" si="7"/>
        <v>160000</v>
      </c>
      <c r="V501" s="163"/>
      <c r="W501" s="163"/>
    </row>
    <row r="502" spans="1:23" s="17" customFormat="1">
      <c r="A502" s="176"/>
      <c r="B502" s="120" t="s">
        <v>446</v>
      </c>
      <c r="C502" s="177">
        <v>2025</v>
      </c>
      <c r="D502" s="80" t="s">
        <v>4096</v>
      </c>
      <c r="E502" s="8" t="s">
        <v>6729</v>
      </c>
      <c r="F502" s="1">
        <v>0</v>
      </c>
      <c r="G502" s="170"/>
      <c r="H502" s="171">
        <v>0</v>
      </c>
      <c r="I502" s="172">
        <v>0</v>
      </c>
      <c r="J502" s="171">
        <v>0</v>
      </c>
      <c r="K502" s="171">
        <v>0</v>
      </c>
      <c r="L502" s="171">
        <v>0</v>
      </c>
      <c r="M502" s="171">
        <v>-3990400</v>
      </c>
      <c r="N502" s="171">
        <v>0</v>
      </c>
      <c r="P502" s="173">
        <f t="shared" si="7"/>
        <v>3990400</v>
      </c>
      <c r="V502" s="163"/>
      <c r="W502" s="163"/>
    </row>
    <row r="503" spans="1:23" s="17" customFormat="1">
      <c r="A503" s="176"/>
      <c r="B503" s="120" t="s">
        <v>446</v>
      </c>
      <c r="C503" s="177">
        <v>2025</v>
      </c>
      <c r="D503" s="80" t="s">
        <v>4092</v>
      </c>
      <c r="E503" s="8" t="s">
        <v>6733</v>
      </c>
      <c r="F503" s="1">
        <v>0</v>
      </c>
      <c r="G503" s="170"/>
      <c r="H503" s="171">
        <v>0</v>
      </c>
      <c r="I503" s="172">
        <v>0</v>
      </c>
      <c r="J503" s="171">
        <v>0</v>
      </c>
      <c r="K503" s="171">
        <v>0</v>
      </c>
      <c r="L503" s="171">
        <v>0</v>
      </c>
      <c r="M503" s="171">
        <v>-11452000</v>
      </c>
      <c r="N503" s="171">
        <v>0</v>
      </c>
      <c r="P503" s="173">
        <f t="shared" si="7"/>
        <v>11452000</v>
      </c>
      <c r="V503" s="163"/>
      <c r="W503" s="163"/>
    </row>
    <row r="504" spans="1:23" s="17" customFormat="1">
      <c r="A504" s="176"/>
      <c r="B504" s="120" t="s">
        <v>446</v>
      </c>
      <c r="C504" s="177">
        <v>2025</v>
      </c>
      <c r="D504" s="80" t="s">
        <v>4092</v>
      </c>
      <c r="E504" s="8" t="s">
        <v>6809</v>
      </c>
      <c r="F504" s="1">
        <v>0</v>
      </c>
      <c r="G504" s="170"/>
      <c r="H504" s="171">
        <v>0</v>
      </c>
      <c r="I504" s="172">
        <v>0</v>
      </c>
      <c r="J504" s="171">
        <v>0</v>
      </c>
      <c r="K504" s="171">
        <v>0</v>
      </c>
      <c r="L504" s="171">
        <v>0</v>
      </c>
      <c r="M504" s="171">
        <v>-6000000</v>
      </c>
      <c r="N504" s="171">
        <v>0</v>
      </c>
      <c r="P504" s="173">
        <f t="shared" si="7"/>
        <v>6000000</v>
      </c>
      <c r="V504" s="163"/>
      <c r="W504" s="163"/>
    </row>
    <row r="505" spans="1:23" s="17" customFormat="1">
      <c r="A505" s="176"/>
      <c r="B505" s="120" t="s">
        <v>446</v>
      </c>
      <c r="C505" s="177">
        <v>2025</v>
      </c>
      <c r="D505" s="80" t="s">
        <v>4096</v>
      </c>
      <c r="E505" s="8" t="s">
        <v>6735</v>
      </c>
      <c r="F505" s="1">
        <v>0</v>
      </c>
      <c r="G505" s="170"/>
      <c r="H505" s="171">
        <v>0</v>
      </c>
      <c r="I505" s="172">
        <v>0</v>
      </c>
      <c r="J505" s="171">
        <v>0</v>
      </c>
      <c r="K505" s="171">
        <v>0</v>
      </c>
      <c r="L505" s="171">
        <v>0</v>
      </c>
      <c r="M505" s="171">
        <v>-3400000</v>
      </c>
      <c r="N505" s="171">
        <v>0</v>
      </c>
      <c r="P505" s="173">
        <f t="shared" si="7"/>
        <v>3400000</v>
      </c>
      <c r="V505" s="163"/>
      <c r="W505" s="163"/>
    </row>
    <row r="506" spans="1:23" s="17" customFormat="1">
      <c r="A506" s="176"/>
      <c r="B506" s="120" t="s">
        <v>446</v>
      </c>
      <c r="C506" s="177">
        <v>2025</v>
      </c>
      <c r="D506" s="80" t="s">
        <v>4096</v>
      </c>
      <c r="E506" s="8" t="s">
        <v>6736</v>
      </c>
      <c r="F506" s="1">
        <v>0</v>
      </c>
      <c r="G506" s="170"/>
      <c r="H506" s="171">
        <v>0</v>
      </c>
      <c r="I506" s="172">
        <v>0</v>
      </c>
      <c r="J506" s="171">
        <v>0</v>
      </c>
      <c r="K506" s="171">
        <v>0</v>
      </c>
      <c r="L506" s="171">
        <v>0</v>
      </c>
      <c r="M506" s="171">
        <v>-850000</v>
      </c>
      <c r="N506" s="171">
        <v>0</v>
      </c>
      <c r="P506" s="173">
        <f t="shared" si="7"/>
        <v>850000</v>
      </c>
      <c r="V506" s="163"/>
      <c r="W506" s="163"/>
    </row>
    <row r="507" spans="1:23" s="17" customFormat="1">
      <c r="A507" s="176"/>
      <c r="B507" s="120" t="s">
        <v>446</v>
      </c>
      <c r="C507" s="177">
        <v>2025</v>
      </c>
      <c r="D507" s="80" t="s">
        <v>4096</v>
      </c>
      <c r="E507" s="8" t="s">
        <v>6739</v>
      </c>
      <c r="F507" s="1">
        <v>0</v>
      </c>
      <c r="G507" s="170"/>
      <c r="H507" s="171">
        <v>0</v>
      </c>
      <c r="I507" s="172">
        <v>0</v>
      </c>
      <c r="J507" s="171">
        <v>0</v>
      </c>
      <c r="K507" s="171">
        <v>0</v>
      </c>
      <c r="L507" s="171">
        <v>0</v>
      </c>
      <c r="M507" s="171">
        <v>-1556947</v>
      </c>
      <c r="N507" s="171">
        <v>0</v>
      </c>
      <c r="P507" s="173">
        <f t="shared" si="7"/>
        <v>1556947</v>
      </c>
      <c r="V507" s="163"/>
      <c r="W507" s="163"/>
    </row>
    <row r="508" spans="1:23" s="17" customFormat="1">
      <c r="A508" s="176"/>
      <c r="B508" s="120" t="s">
        <v>446</v>
      </c>
      <c r="C508" s="177">
        <v>2025</v>
      </c>
      <c r="D508" s="80" t="s">
        <v>2318</v>
      </c>
      <c r="E508" s="8" t="s">
        <v>6740</v>
      </c>
      <c r="F508" s="1">
        <v>0</v>
      </c>
      <c r="G508" s="170"/>
      <c r="H508" s="171">
        <v>0</v>
      </c>
      <c r="I508" s="172">
        <v>0</v>
      </c>
      <c r="J508" s="171">
        <v>0</v>
      </c>
      <c r="K508" s="171">
        <v>0</v>
      </c>
      <c r="L508" s="171">
        <v>0</v>
      </c>
      <c r="M508" s="171">
        <v>-1635849</v>
      </c>
      <c r="N508" s="171">
        <v>0</v>
      </c>
      <c r="P508" s="173">
        <f t="shared" si="7"/>
        <v>1635849</v>
      </c>
      <c r="V508" s="163"/>
      <c r="W508" s="163"/>
    </row>
    <row r="509" spans="1:23" s="17" customFormat="1">
      <c r="A509" s="176"/>
      <c r="B509" s="120" t="s">
        <v>446</v>
      </c>
      <c r="C509" s="177">
        <v>2025</v>
      </c>
      <c r="D509" s="80" t="s">
        <v>4096</v>
      </c>
      <c r="E509" s="8" t="s">
        <v>6741</v>
      </c>
      <c r="F509" s="1">
        <v>0</v>
      </c>
      <c r="G509" s="170"/>
      <c r="H509" s="171">
        <v>0</v>
      </c>
      <c r="I509" s="172">
        <v>0</v>
      </c>
      <c r="J509" s="171">
        <v>0</v>
      </c>
      <c r="K509" s="171">
        <v>0</v>
      </c>
      <c r="L509" s="171">
        <v>0</v>
      </c>
      <c r="M509" s="171">
        <v>-5478720</v>
      </c>
      <c r="N509" s="171">
        <v>0</v>
      </c>
      <c r="P509" s="173">
        <f t="shared" si="7"/>
        <v>5478720</v>
      </c>
      <c r="V509" s="163"/>
      <c r="W509" s="163"/>
    </row>
    <row r="510" spans="1:23" s="17" customFormat="1">
      <c r="A510" s="176"/>
      <c r="B510" s="120" t="s">
        <v>446</v>
      </c>
      <c r="C510" s="177">
        <v>2025</v>
      </c>
      <c r="D510" s="80" t="s">
        <v>4096</v>
      </c>
      <c r="E510" s="8" t="s">
        <v>6742</v>
      </c>
      <c r="F510" s="1">
        <v>0</v>
      </c>
      <c r="G510" s="170"/>
      <c r="H510" s="171">
        <v>0</v>
      </c>
      <c r="I510" s="172">
        <v>0</v>
      </c>
      <c r="J510" s="171">
        <v>0</v>
      </c>
      <c r="K510" s="171">
        <v>0</v>
      </c>
      <c r="L510" s="171">
        <v>0</v>
      </c>
      <c r="M510" s="171">
        <v>-2836160</v>
      </c>
      <c r="N510" s="171">
        <v>0</v>
      </c>
      <c r="P510" s="173">
        <f t="shared" si="7"/>
        <v>2836160</v>
      </c>
      <c r="V510" s="163"/>
      <c r="W510" s="163"/>
    </row>
    <row r="511" spans="1:23" s="17" customFormat="1">
      <c r="A511" s="176"/>
      <c r="B511" s="120" t="s">
        <v>446</v>
      </c>
      <c r="C511" s="177">
        <v>2025</v>
      </c>
      <c r="D511" s="80" t="s">
        <v>4096</v>
      </c>
      <c r="E511" s="8" t="s">
        <v>6746</v>
      </c>
      <c r="F511" s="1">
        <v>0</v>
      </c>
      <c r="G511" s="170"/>
      <c r="H511" s="171">
        <v>0</v>
      </c>
      <c r="I511" s="172">
        <v>0</v>
      </c>
      <c r="J511" s="171">
        <v>0</v>
      </c>
      <c r="K511" s="171">
        <v>0</v>
      </c>
      <c r="L511" s="171">
        <v>0</v>
      </c>
      <c r="M511" s="171">
        <v>-2600000</v>
      </c>
      <c r="N511" s="171">
        <v>0</v>
      </c>
      <c r="P511" s="173">
        <f t="shared" si="7"/>
        <v>2600000</v>
      </c>
      <c r="V511" s="163"/>
      <c r="W511" s="163"/>
    </row>
    <row r="512" spans="1:23" s="17" customFormat="1">
      <c r="A512" s="176"/>
      <c r="B512" s="120" t="s">
        <v>446</v>
      </c>
      <c r="C512" s="177">
        <v>2025</v>
      </c>
      <c r="D512" s="80" t="s">
        <v>4631</v>
      </c>
      <c r="E512" s="8" t="s">
        <v>6759</v>
      </c>
      <c r="F512" s="1">
        <v>0</v>
      </c>
      <c r="G512" s="170"/>
      <c r="H512" s="171">
        <v>0</v>
      </c>
      <c r="I512" s="172">
        <v>0</v>
      </c>
      <c r="J512" s="171">
        <v>0</v>
      </c>
      <c r="K512" s="171">
        <v>0</v>
      </c>
      <c r="L512" s="171">
        <v>0</v>
      </c>
      <c r="M512" s="171">
        <v>-36662500</v>
      </c>
      <c r="N512" s="171">
        <v>0</v>
      </c>
      <c r="P512" s="173">
        <f t="shared" si="7"/>
        <v>36662500</v>
      </c>
      <c r="V512" s="163"/>
      <c r="W512" s="163"/>
    </row>
    <row r="513" spans="1:23" s="17" customFormat="1">
      <c r="A513" s="176"/>
      <c r="B513" s="120" t="s">
        <v>446</v>
      </c>
      <c r="C513" s="177">
        <v>2025</v>
      </c>
      <c r="D513" s="80" t="s">
        <v>4631</v>
      </c>
      <c r="E513" s="8" t="s">
        <v>6760</v>
      </c>
      <c r="F513" s="1">
        <v>0</v>
      </c>
      <c r="G513" s="170"/>
      <c r="H513" s="171">
        <v>0</v>
      </c>
      <c r="I513" s="172">
        <v>0</v>
      </c>
      <c r="J513" s="171">
        <v>0</v>
      </c>
      <c r="K513" s="171">
        <v>0</v>
      </c>
      <c r="L513" s="171">
        <v>0</v>
      </c>
      <c r="M513" s="171">
        <v>-284700</v>
      </c>
      <c r="N513" s="171">
        <v>0</v>
      </c>
      <c r="P513" s="173">
        <f t="shared" si="7"/>
        <v>284700</v>
      </c>
      <c r="V513" s="163"/>
      <c r="W513" s="163"/>
    </row>
    <row r="514" spans="1:23" s="17" customFormat="1">
      <c r="A514" s="176"/>
      <c r="B514" s="120" t="s">
        <v>446</v>
      </c>
      <c r="C514" s="177">
        <v>2025</v>
      </c>
      <c r="D514" s="80" t="s">
        <v>4631</v>
      </c>
      <c r="E514" s="8" t="s">
        <v>6761</v>
      </c>
      <c r="F514" s="1">
        <v>0</v>
      </c>
      <c r="G514" s="170"/>
      <c r="H514" s="171">
        <v>0</v>
      </c>
      <c r="I514" s="172">
        <v>0</v>
      </c>
      <c r="J514" s="171">
        <v>0</v>
      </c>
      <c r="K514" s="171">
        <v>0</v>
      </c>
      <c r="L514" s="171">
        <v>0</v>
      </c>
      <c r="M514" s="171">
        <v>-238600</v>
      </c>
      <c r="N514" s="171">
        <v>0</v>
      </c>
      <c r="P514" s="173">
        <f t="shared" si="7"/>
        <v>238600</v>
      </c>
      <c r="V514" s="163"/>
      <c r="W514" s="163"/>
    </row>
    <row r="515" spans="1:23" s="17" customFormat="1">
      <c r="A515" s="176"/>
      <c r="B515" s="120" t="s">
        <v>446</v>
      </c>
      <c r="C515" s="177">
        <v>2025</v>
      </c>
      <c r="D515" s="80" t="s">
        <v>4631</v>
      </c>
      <c r="E515" s="8" t="s">
        <v>6762</v>
      </c>
      <c r="F515" s="1">
        <v>0</v>
      </c>
      <c r="G515" s="170"/>
      <c r="H515" s="171">
        <v>0</v>
      </c>
      <c r="I515" s="172">
        <v>0</v>
      </c>
      <c r="J515" s="171">
        <v>0</v>
      </c>
      <c r="K515" s="171">
        <v>0</v>
      </c>
      <c r="L515" s="171">
        <v>0</v>
      </c>
      <c r="M515" s="171">
        <v>-184500</v>
      </c>
      <c r="N515" s="171">
        <v>0</v>
      </c>
      <c r="P515" s="173">
        <f t="shared" si="7"/>
        <v>184500</v>
      </c>
      <c r="V515" s="163"/>
      <c r="W515" s="163"/>
    </row>
    <row r="516" spans="1:23" s="17" customFormat="1">
      <c r="A516" s="176"/>
      <c r="B516" s="120" t="s">
        <v>446</v>
      </c>
      <c r="C516" s="177">
        <v>2025</v>
      </c>
      <c r="D516" s="80" t="s">
        <v>4631</v>
      </c>
      <c r="E516" s="8" t="s">
        <v>6763</v>
      </c>
      <c r="F516" s="1">
        <v>0</v>
      </c>
      <c r="G516" s="170"/>
      <c r="H516" s="171">
        <v>0</v>
      </c>
      <c r="I516" s="172">
        <v>0</v>
      </c>
      <c r="J516" s="171">
        <v>0</v>
      </c>
      <c r="K516" s="171">
        <v>0</v>
      </c>
      <c r="L516" s="171">
        <v>0</v>
      </c>
      <c r="M516" s="171">
        <v>-1674000</v>
      </c>
      <c r="N516" s="171">
        <v>0</v>
      </c>
      <c r="P516" s="173">
        <f t="shared" si="7"/>
        <v>1674000</v>
      </c>
      <c r="V516" s="163"/>
      <c r="W516" s="163"/>
    </row>
    <row r="517" spans="1:23" s="17" customFormat="1">
      <c r="A517" s="176"/>
      <c r="B517" s="120" t="s">
        <v>446</v>
      </c>
      <c r="C517" s="177">
        <v>2025</v>
      </c>
      <c r="D517" s="80" t="s">
        <v>4631</v>
      </c>
      <c r="E517" s="8" t="s">
        <v>6764</v>
      </c>
      <c r="F517" s="1">
        <v>0</v>
      </c>
      <c r="G517" s="170"/>
      <c r="H517" s="171">
        <v>0</v>
      </c>
      <c r="I517" s="172">
        <v>0</v>
      </c>
      <c r="J517" s="171">
        <v>0</v>
      </c>
      <c r="K517" s="171">
        <v>0</v>
      </c>
      <c r="L517" s="171">
        <v>0</v>
      </c>
      <c r="M517" s="171">
        <v>-15400</v>
      </c>
      <c r="N517" s="171">
        <v>0</v>
      </c>
      <c r="P517" s="173">
        <f t="shared" ref="P517:P580" si="8">F517-H517-I517-J517-K517-L517-M517</f>
        <v>15400</v>
      </c>
      <c r="V517" s="163"/>
      <c r="W517" s="163"/>
    </row>
    <row r="518" spans="1:23" s="17" customFormat="1">
      <c r="A518" s="176"/>
      <c r="B518" s="120" t="s">
        <v>446</v>
      </c>
      <c r="C518" s="177">
        <v>2025</v>
      </c>
      <c r="D518" s="80" t="s">
        <v>4631</v>
      </c>
      <c r="E518" s="8" t="s">
        <v>6764</v>
      </c>
      <c r="F518" s="1">
        <v>0</v>
      </c>
      <c r="G518" s="170"/>
      <c r="H518" s="171">
        <v>0</v>
      </c>
      <c r="I518" s="172">
        <v>0</v>
      </c>
      <c r="J518" s="171">
        <v>0</v>
      </c>
      <c r="K518" s="171">
        <v>0</v>
      </c>
      <c r="L518" s="171">
        <v>0</v>
      </c>
      <c r="M518" s="171">
        <v>-838200</v>
      </c>
      <c r="N518" s="171">
        <v>0</v>
      </c>
      <c r="P518" s="173">
        <f t="shared" si="8"/>
        <v>838200</v>
      </c>
      <c r="V518" s="163"/>
      <c r="W518" s="163"/>
    </row>
    <row r="519" spans="1:23" s="17" customFormat="1">
      <c r="A519" s="176"/>
      <c r="B519" s="120" t="s">
        <v>446</v>
      </c>
      <c r="C519" s="177">
        <v>2025</v>
      </c>
      <c r="D519" s="80" t="s">
        <v>4631</v>
      </c>
      <c r="E519" s="8" t="s">
        <v>6607</v>
      </c>
      <c r="F519" s="1">
        <v>0</v>
      </c>
      <c r="G519" s="170"/>
      <c r="H519" s="171">
        <v>0</v>
      </c>
      <c r="I519" s="172">
        <v>0</v>
      </c>
      <c r="J519" s="171">
        <v>0</v>
      </c>
      <c r="K519" s="171">
        <v>0</v>
      </c>
      <c r="L519" s="171">
        <v>0</v>
      </c>
      <c r="M519" s="171">
        <v>-19937010</v>
      </c>
      <c r="N519" s="171">
        <v>0</v>
      </c>
      <c r="P519" s="173">
        <f t="shared" si="8"/>
        <v>19937010</v>
      </c>
      <c r="V519" s="163"/>
      <c r="W519" s="163"/>
    </row>
    <row r="520" spans="1:23" s="17" customFormat="1">
      <c r="A520" s="176"/>
      <c r="B520" s="120" t="s">
        <v>446</v>
      </c>
      <c r="C520" s="177">
        <v>2025</v>
      </c>
      <c r="D520" s="80" t="s">
        <v>2324</v>
      </c>
      <c r="E520" s="8" t="s">
        <v>5241</v>
      </c>
      <c r="F520" s="1">
        <v>0</v>
      </c>
      <c r="G520" s="170"/>
      <c r="H520" s="171">
        <v>0</v>
      </c>
      <c r="I520" s="172">
        <v>0</v>
      </c>
      <c r="J520" s="171">
        <v>0</v>
      </c>
      <c r="K520" s="171">
        <v>0</v>
      </c>
      <c r="L520" s="171">
        <v>0</v>
      </c>
      <c r="M520" s="171">
        <v>-18000</v>
      </c>
      <c r="N520" s="171">
        <v>0</v>
      </c>
      <c r="P520" s="173">
        <f t="shared" si="8"/>
        <v>18000</v>
      </c>
      <c r="V520" s="163"/>
      <c r="W520" s="163"/>
    </row>
    <row r="521" spans="1:23" s="17" customFormat="1">
      <c r="A521" s="176"/>
      <c r="B521" s="120" t="s">
        <v>446</v>
      </c>
      <c r="C521" s="177">
        <v>2025</v>
      </c>
      <c r="D521" s="80" t="s">
        <v>2324</v>
      </c>
      <c r="E521" s="8" t="s">
        <v>5242</v>
      </c>
      <c r="F521" s="1">
        <v>0</v>
      </c>
      <c r="G521" s="170"/>
      <c r="H521" s="171">
        <v>0</v>
      </c>
      <c r="I521" s="172">
        <v>0</v>
      </c>
      <c r="J521" s="171">
        <v>0</v>
      </c>
      <c r="K521" s="171">
        <v>0</v>
      </c>
      <c r="L521" s="171">
        <v>0</v>
      </c>
      <c r="M521" s="171">
        <v>-22500</v>
      </c>
      <c r="N521" s="171">
        <v>0</v>
      </c>
      <c r="P521" s="173">
        <f t="shared" si="8"/>
        <v>22500</v>
      </c>
      <c r="V521" s="163"/>
      <c r="W521" s="163"/>
    </row>
    <row r="522" spans="1:23" s="17" customFormat="1">
      <c r="A522" s="176"/>
      <c r="B522" s="120" t="s">
        <v>446</v>
      </c>
      <c r="C522" s="177">
        <v>2025</v>
      </c>
      <c r="D522" s="80" t="s">
        <v>2324</v>
      </c>
      <c r="E522" s="8" t="s">
        <v>5243</v>
      </c>
      <c r="F522" s="1">
        <v>0</v>
      </c>
      <c r="G522" s="170"/>
      <c r="H522" s="171">
        <v>0</v>
      </c>
      <c r="I522" s="172">
        <v>0</v>
      </c>
      <c r="J522" s="171">
        <v>0</v>
      </c>
      <c r="K522" s="171">
        <v>0</v>
      </c>
      <c r="L522" s="171">
        <v>0</v>
      </c>
      <c r="M522" s="171">
        <v>-25000</v>
      </c>
      <c r="N522" s="171">
        <v>0</v>
      </c>
      <c r="P522" s="173">
        <f t="shared" si="8"/>
        <v>25000</v>
      </c>
      <c r="V522" s="163"/>
      <c r="W522" s="163"/>
    </row>
    <row r="523" spans="1:23" s="17" customFormat="1">
      <c r="A523" s="176"/>
      <c r="B523" s="120" t="s">
        <v>446</v>
      </c>
      <c r="C523" s="177">
        <v>2025</v>
      </c>
      <c r="D523" s="80" t="s">
        <v>2324</v>
      </c>
      <c r="E523" s="8" t="s">
        <v>5244</v>
      </c>
      <c r="F523" s="1">
        <v>0</v>
      </c>
      <c r="G523" s="170"/>
      <c r="H523" s="171">
        <v>0</v>
      </c>
      <c r="I523" s="172">
        <v>0</v>
      </c>
      <c r="J523" s="171">
        <v>0</v>
      </c>
      <c r="K523" s="171">
        <v>0</v>
      </c>
      <c r="L523" s="171">
        <v>0</v>
      </c>
      <c r="M523" s="171">
        <v>-15500</v>
      </c>
      <c r="N523" s="171">
        <v>0</v>
      </c>
      <c r="P523" s="173">
        <f t="shared" si="8"/>
        <v>15500</v>
      </c>
      <c r="V523" s="163"/>
      <c r="W523" s="163"/>
    </row>
    <row r="524" spans="1:23" s="17" customFormat="1">
      <c r="A524" s="176"/>
      <c r="B524" s="120" t="s">
        <v>446</v>
      </c>
      <c r="C524" s="177">
        <v>2025</v>
      </c>
      <c r="D524" s="80" t="s">
        <v>2324</v>
      </c>
      <c r="E524" s="8" t="s">
        <v>5245</v>
      </c>
      <c r="F524" s="1">
        <v>0</v>
      </c>
      <c r="G524" s="170"/>
      <c r="H524" s="171">
        <v>0</v>
      </c>
      <c r="I524" s="172">
        <v>0</v>
      </c>
      <c r="J524" s="171">
        <v>0</v>
      </c>
      <c r="K524" s="171">
        <v>0</v>
      </c>
      <c r="L524" s="171">
        <v>0</v>
      </c>
      <c r="M524" s="171">
        <v>-12000</v>
      </c>
      <c r="N524" s="171">
        <v>0</v>
      </c>
      <c r="P524" s="173">
        <f t="shared" si="8"/>
        <v>12000</v>
      </c>
      <c r="V524" s="163"/>
      <c r="W524" s="163"/>
    </row>
    <row r="525" spans="1:23" s="17" customFormat="1">
      <c r="A525" s="176"/>
      <c r="B525" s="120" t="s">
        <v>446</v>
      </c>
      <c r="C525" s="177">
        <v>2025</v>
      </c>
      <c r="D525" s="80" t="s">
        <v>2324</v>
      </c>
      <c r="E525" s="8" t="s">
        <v>5246</v>
      </c>
      <c r="F525" s="1">
        <v>0</v>
      </c>
      <c r="G525" s="170"/>
      <c r="H525" s="171">
        <v>0</v>
      </c>
      <c r="I525" s="172">
        <v>0</v>
      </c>
      <c r="J525" s="171">
        <v>0</v>
      </c>
      <c r="K525" s="171">
        <v>0</v>
      </c>
      <c r="L525" s="171">
        <v>0</v>
      </c>
      <c r="M525" s="171">
        <v>-50000</v>
      </c>
      <c r="N525" s="171">
        <v>0</v>
      </c>
      <c r="P525" s="173">
        <f t="shared" si="8"/>
        <v>50000</v>
      </c>
      <c r="V525" s="163"/>
      <c r="W525" s="163"/>
    </row>
    <row r="526" spans="1:23" s="17" customFormat="1">
      <c r="A526" s="176"/>
      <c r="B526" s="120" t="s">
        <v>446</v>
      </c>
      <c r="C526" s="177">
        <v>2025</v>
      </c>
      <c r="D526" s="80" t="s">
        <v>2324</v>
      </c>
      <c r="E526" s="8" t="s">
        <v>5247</v>
      </c>
      <c r="F526" s="1">
        <v>0</v>
      </c>
      <c r="G526" s="170"/>
      <c r="H526" s="171">
        <v>0</v>
      </c>
      <c r="I526" s="172">
        <v>0</v>
      </c>
      <c r="J526" s="171">
        <v>0</v>
      </c>
      <c r="K526" s="171">
        <v>0</v>
      </c>
      <c r="L526" s="171">
        <v>0</v>
      </c>
      <c r="M526" s="171">
        <v>-15000</v>
      </c>
      <c r="N526" s="171">
        <v>0</v>
      </c>
      <c r="P526" s="173">
        <f t="shared" si="8"/>
        <v>15000</v>
      </c>
      <c r="V526" s="163"/>
      <c r="W526" s="163"/>
    </row>
    <row r="527" spans="1:23" s="17" customFormat="1">
      <c r="A527" s="176"/>
      <c r="B527" s="120" t="s">
        <v>446</v>
      </c>
      <c r="C527" s="177">
        <v>2025</v>
      </c>
      <c r="D527" s="80" t="s">
        <v>2324</v>
      </c>
      <c r="E527" s="8" t="s">
        <v>5248</v>
      </c>
      <c r="F527" s="1">
        <v>0</v>
      </c>
      <c r="G527" s="170"/>
      <c r="H527" s="171">
        <v>0</v>
      </c>
      <c r="I527" s="172">
        <v>0</v>
      </c>
      <c r="J527" s="171">
        <v>0</v>
      </c>
      <c r="K527" s="171">
        <v>0</v>
      </c>
      <c r="L527" s="171">
        <v>0</v>
      </c>
      <c r="M527" s="171">
        <v>-21500</v>
      </c>
      <c r="N527" s="171">
        <v>0</v>
      </c>
      <c r="P527" s="173">
        <f t="shared" si="8"/>
        <v>21500</v>
      </c>
      <c r="V527" s="163"/>
      <c r="W527" s="163"/>
    </row>
    <row r="528" spans="1:23" s="17" customFormat="1">
      <c r="A528" s="176"/>
      <c r="B528" s="120" t="s">
        <v>446</v>
      </c>
      <c r="C528" s="177">
        <v>2025</v>
      </c>
      <c r="D528" s="80" t="s">
        <v>2324</v>
      </c>
      <c r="E528" s="8" t="s">
        <v>5249</v>
      </c>
      <c r="F528" s="1">
        <v>0</v>
      </c>
      <c r="G528" s="170"/>
      <c r="H528" s="171">
        <v>0</v>
      </c>
      <c r="I528" s="172">
        <v>0</v>
      </c>
      <c r="J528" s="171">
        <v>0</v>
      </c>
      <c r="K528" s="171">
        <v>0</v>
      </c>
      <c r="L528" s="171">
        <v>0</v>
      </c>
      <c r="M528" s="171">
        <v>-20000</v>
      </c>
      <c r="N528" s="171">
        <v>0</v>
      </c>
      <c r="P528" s="173">
        <f t="shared" si="8"/>
        <v>20000</v>
      </c>
      <c r="V528" s="163"/>
      <c r="W528" s="163"/>
    </row>
    <row r="529" spans="1:23" s="17" customFormat="1">
      <c r="A529" s="176"/>
      <c r="B529" s="120" t="s">
        <v>446</v>
      </c>
      <c r="C529" s="177">
        <v>2025</v>
      </c>
      <c r="D529" s="80" t="s">
        <v>2324</v>
      </c>
      <c r="E529" s="8" t="s">
        <v>5250</v>
      </c>
      <c r="F529" s="1">
        <v>0</v>
      </c>
      <c r="G529" s="170"/>
      <c r="H529" s="171">
        <v>0</v>
      </c>
      <c r="I529" s="172">
        <v>0</v>
      </c>
      <c r="J529" s="171">
        <v>0</v>
      </c>
      <c r="K529" s="171">
        <v>0</v>
      </c>
      <c r="L529" s="171">
        <v>0</v>
      </c>
      <c r="M529" s="171">
        <v>-10000</v>
      </c>
      <c r="N529" s="171">
        <v>0</v>
      </c>
      <c r="P529" s="173">
        <f t="shared" si="8"/>
        <v>10000</v>
      </c>
      <c r="V529" s="163"/>
      <c r="W529" s="163"/>
    </row>
    <row r="530" spans="1:23" s="17" customFormat="1">
      <c r="A530" s="176"/>
      <c r="B530" s="120" t="s">
        <v>446</v>
      </c>
      <c r="C530" s="177">
        <v>2025</v>
      </c>
      <c r="D530" s="80" t="s">
        <v>2324</v>
      </c>
      <c r="E530" s="8" t="s">
        <v>5251</v>
      </c>
      <c r="F530" s="1">
        <v>0</v>
      </c>
      <c r="G530" s="170"/>
      <c r="H530" s="171">
        <v>0</v>
      </c>
      <c r="I530" s="172">
        <v>0</v>
      </c>
      <c r="J530" s="171">
        <v>0</v>
      </c>
      <c r="K530" s="171">
        <v>0</v>
      </c>
      <c r="L530" s="171">
        <v>0</v>
      </c>
      <c r="M530" s="171">
        <v>-180000</v>
      </c>
      <c r="N530" s="171">
        <v>0</v>
      </c>
      <c r="P530" s="173">
        <f t="shared" si="8"/>
        <v>180000</v>
      </c>
      <c r="V530" s="163"/>
      <c r="W530" s="163"/>
    </row>
    <row r="531" spans="1:23" s="17" customFormat="1">
      <c r="A531" s="176"/>
      <c r="B531" s="120" t="s">
        <v>446</v>
      </c>
      <c r="C531" s="177">
        <v>2025</v>
      </c>
      <c r="D531" s="80" t="s">
        <v>2324</v>
      </c>
      <c r="E531" s="8" t="s">
        <v>5252</v>
      </c>
      <c r="F531" s="1">
        <v>0</v>
      </c>
      <c r="G531" s="170"/>
      <c r="H531" s="171">
        <v>0</v>
      </c>
      <c r="I531" s="172">
        <v>0</v>
      </c>
      <c r="J531" s="171">
        <v>0</v>
      </c>
      <c r="K531" s="171">
        <v>0</v>
      </c>
      <c r="L531" s="171">
        <v>0</v>
      </c>
      <c r="M531" s="171">
        <v>-21000</v>
      </c>
      <c r="N531" s="171">
        <v>0</v>
      </c>
      <c r="P531" s="173">
        <f t="shared" si="8"/>
        <v>21000</v>
      </c>
      <c r="V531" s="163"/>
      <c r="W531" s="163"/>
    </row>
    <row r="532" spans="1:23" s="17" customFormat="1">
      <c r="A532" s="176"/>
      <c r="B532" s="120" t="s">
        <v>446</v>
      </c>
      <c r="C532" s="177">
        <v>2025</v>
      </c>
      <c r="D532" s="80" t="s">
        <v>2324</v>
      </c>
      <c r="E532" s="8" t="s">
        <v>5253</v>
      </c>
      <c r="F532" s="1">
        <v>0</v>
      </c>
      <c r="G532" s="170"/>
      <c r="H532" s="171">
        <v>0</v>
      </c>
      <c r="I532" s="172">
        <v>0</v>
      </c>
      <c r="J532" s="171">
        <v>0</v>
      </c>
      <c r="K532" s="171">
        <v>0</v>
      </c>
      <c r="L532" s="171">
        <v>0</v>
      </c>
      <c r="M532" s="171">
        <v>-100000</v>
      </c>
      <c r="N532" s="171">
        <v>0</v>
      </c>
      <c r="P532" s="173">
        <f t="shared" si="8"/>
        <v>100000</v>
      </c>
      <c r="V532" s="163"/>
      <c r="W532" s="163"/>
    </row>
    <row r="533" spans="1:23" s="17" customFormat="1">
      <c r="A533" s="176"/>
      <c r="B533" s="120" t="s">
        <v>446</v>
      </c>
      <c r="C533" s="177">
        <v>2025</v>
      </c>
      <c r="D533" s="80" t="s">
        <v>2324</v>
      </c>
      <c r="E533" s="8" t="s">
        <v>5254</v>
      </c>
      <c r="F533" s="1">
        <v>0</v>
      </c>
      <c r="G533" s="170"/>
      <c r="H533" s="171">
        <v>0</v>
      </c>
      <c r="I533" s="172">
        <v>0</v>
      </c>
      <c r="J533" s="171">
        <v>0</v>
      </c>
      <c r="K533" s="171">
        <v>0</v>
      </c>
      <c r="L533" s="171">
        <v>0</v>
      </c>
      <c r="M533" s="171">
        <v>-100000</v>
      </c>
      <c r="N533" s="171">
        <v>0</v>
      </c>
      <c r="P533" s="173">
        <f t="shared" si="8"/>
        <v>100000</v>
      </c>
      <c r="V533" s="163"/>
      <c r="W533" s="163"/>
    </row>
    <row r="534" spans="1:23" s="17" customFormat="1">
      <c r="A534" s="176"/>
      <c r="B534" s="120" t="s">
        <v>446</v>
      </c>
      <c r="C534" s="177">
        <v>2025</v>
      </c>
      <c r="D534" s="80" t="s">
        <v>2324</v>
      </c>
      <c r="E534" s="8" t="s">
        <v>5255</v>
      </c>
      <c r="F534" s="1">
        <v>0</v>
      </c>
      <c r="G534" s="170"/>
      <c r="H534" s="171">
        <v>0</v>
      </c>
      <c r="I534" s="172">
        <v>0</v>
      </c>
      <c r="J534" s="171">
        <v>0</v>
      </c>
      <c r="K534" s="171">
        <v>0</v>
      </c>
      <c r="L534" s="171">
        <v>0</v>
      </c>
      <c r="M534" s="171">
        <v>-17500</v>
      </c>
      <c r="N534" s="171">
        <v>0</v>
      </c>
      <c r="P534" s="173">
        <f t="shared" si="8"/>
        <v>17500</v>
      </c>
      <c r="V534" s="163"/>
      <c r="W534" s="163"/>
    </row>
    <row r="535" spans="1:23" s="17" customFormat="1">
      <c r="A535" s="176"/>
      <c r="B535" s="120" t="s">
        <v>446</v>
      </c>
      <c r="C535" s="177">
        <v>2025</v>
      </c>
      <c r="D535" s="80" t="s">
        <v>2324</v>
      </c>
      <c r="E535" s="8" t="s">
        <v>5256</v>
      </c>
      <c r="F535" s="1">
        <v>0</v>
      </c>
      <c r="G535" s="170"/>
      <c r="H535" s="171">
        <v>0</v>
      </c>
      <c r="I535" s="172">
        <v>0</v>
      </c>
      <c r="J535" s="171">
        <v>0</v>
      </c>
      <c r="K535" s="171">
        <v>0</v>
      </c>
      <c r="L535" s="171">
        <v>0</v>
      </c>
      <c r="M535" s="171">
        <v>-15000</v>
      </c>
      <c r="N535" s="171">
        <v>0</v>
      </c>
      <c r="P535" s="173">
        <f t="shared" si="8"/>
        <v>15000</v>
      </c>
      <c r="V535" s="163"/>
      <c r="W535" s="163"/>
    </row>
    <row r="536" spans="1:23" s="17" customFormat="1">
      <c r="A536" s="176"/>
      <c r="B536" s="120" t="s">
        <v>446</v>
      </c>
      <c r="C536" s="177">
        <v>2025</v>
      </c>
      <c r="D536" s="80" t="s">
        <v>2324</v>
      </c>
      <c r="E536" s="8" t="s">
        <v>5257</v>
      </c>
      <c r="F536" s="1">
        <v>0</v>
      </c>
      <c r="G536" s="170"/>
      <c r="H536" s="171">
        <v>0</v>
      </c>
      <c r="I536" s="172">
        <v>0</v>
      </c>
      <c r="J536" s="171">
        <v>0</v>
      </c>
      <c r="K536" s="171">
        <v>0</v>
      </c>
      <c r="L536" s="171">
        <v>0</v>
      </c>
      <c r="M536" s="171">
        <v>-16000</v>
      </c>
      <c r="N536" s="171">
        <v>0</v>
      </c>
      <c r="P536" s="173">
        <f t="shared" si="8"/>
        <v>16000</v>
      </c>
      <c r="V536" s="163"/>
      <c r="W536" s="163"/>
    </row>
    <row r="537" spans="1:23" s="17" customFormat="1">
      <c r="A537" s="176"/>
      <c r="B537" s="120" t="s">
        <v>446</v>
      </c>
      <c r="C537" s="177">
        <v>2025</v>
      </c>
      <c r="D537" s="80" t="s">
        <v>2324</v>
      </c>
      <c r="E537" s="8" t="s">
        <v>5258</v>
      </c>
      <c r="F537" s="1">
        <v>0</v>
      </c>
      <c r="G537" s="170"/>
      <c r="H537" s="171">
        <v>0</v>
      </c>
      <c r="I537" s="172">
        <v>0</v>
      </c>
      <c r="J537" s="171">
        <v>0</v>
      </c>
      <c r="K537" s="171">
        <v>0</v>
      </c>
      <c r="L537" s="171">
        <v>0</v>
      </c>
      <c r="M537" s="171">
        <v>-240000</v>
      </c>
      <c r="N537" s="171">
        <v>0</v>
      </c>
      <c r="P537" s="173">
        <f t="shared" si="8"/>
        <v>240000</v>
      </c>
      <c r="V537" s="163"/>
      <c r="W537" s="163"/>
    </row>
    <row r="538" spans="1:23" s="17" customFormat="1">
      <c r="A538" s="176"/>
      <c r="B538" s="120" t="s">
        <v>446</v>
      </c>
      <c r="C538" s="177">
        <v>2025</v>
      </c>
      <c r="D538" s="80" t="s">
        <v>2324</v>
      </c>
      <c r="E538" s="8" t="s">
        <v>5259</v>
      </c>
      <c r="F538" s="1">
        <v>0</v>
      </c>
      <c r="G538" s="170"/>
      <c r="H538" s="171">
        <v>0</v>
      </c>
      <c r="I538" s="172">
        <v>0</v>
      </c>
      <c r="J538" s="171">
        <v>0</v>
      </c>
      <c r="K538" s="171">
        <v>0</v>
      </c>
      <c r="L538" s="171">
        <v>0</v>
      </c>
      <c r="M538" s="171">
        <v>-150000</v>
      </c>
      <c r="N538" s="171">
        <v>0</v>
      </c>
      <c r="P538" s="173">
        <f t="shared" si="8"/>
        <v>150000</v>
      </c>
      <c r="V538" s="163"/>
      <c r="W538" s="163"/>
    </row>
    <row r="539" spans="1:23" s="17" customFormat="1">
      <c r="A539" s="176"/>
      <c r="B539" s="120" t="s">
        <v>446</v>
      </c>
      <c r="C539" s="177">
        <v>2025</v>
      </c>
      <c r="D539" s="80" t="s">
        <v>2324</v>
      </c>
      <c r="E539" s="8" t="s">
        <v>5260</v>
      </c>
      <c r="F539" s="1">
        <v>0</v>
      </c>
      <c r="G539" s="170"/>
      <c r="H539" s="171">
        <v>0</v>
      </c>
      <c r="I539" s="172">
        <v>0</v>
      </c>
      <c r="J539" s="171">
        <v>0</v>
      </c>
      <c r="K539" s="171">
        <v>0</v>
      </c>
      <c r="L539" s="171">
        <v>0</v>
      </c>
      <c r="M539" s="171">
        <v>-38500</v>
      </c>
      <c r="N539" s="171">
        <v>0</v>
      </c>
      <c r="P539" s="173">
        <f t="shared" si="8"/>
        <v>38500</v>
      </c>
      <c r="V539" s="163"/>
      <c r="W539" s="163"/>
    </row>
    <row r="540" spans="1:23" s="17" customFormat="1">
      <c r="A540" s="176"/>
      <c r="B540" s="120" t="s">
        <v>446</v>
      </c>
      <c r="C540" s="177">
        <v>2025</v>
      </c>
      <c r="D540" s="80" t="s">
        <v>2324</v>
      </c>
      <c r="E540" s="8" t="s">
        <v>5261</v>
      </c>
      <c r="F540" s="1">
        <v>0</v>
      </c>
      <c r="G540" s="170"/>
      <c r="H540" s="171">
        <v>0</v>
      </c>
      <c r="I540" s="172">
        <v>0</v>
      </c>
      <c r="J540" s="171">
        <v>0</v>
      </c>
      <c r="K540" s="171">
        <v>0</v>
      </c>
      <c r="L540" s="171">
        <v>0</v>
      </c>
      <c r="M540" s="171">
        <v>-1200000</v>
      </c>
      <c r="N540" s="171">
        <v>0</v>
      </c>
      <c r="P540" s="173">
        <f t="shared" si="8"/>
        <v>1200000</v>
      </c>
      <c r="V540" s="163"/>
      <c r="W540" s="163"/>
    </row>
    <row r="541" spans="1:23" s="17" customFormat="1">
      <c r="A541" s="176"/>
      <c r="B541" s="120" t="s">
        <v>446</v>
      </c>
      <c r="C541" s="177">
        <v>2025</v>
      </c>
      <c r="D541" s="80" t="s">
        <v>2324</v>
      </c>
      <c r="E541" s="8" t="s">
        <v>5262</v>
      </c>
      <c r="F541" s="1">
        <v>0</v>
      </c>
      <c r="G541" s="170"/>
      <c r="H541" s="171">
        <v>0</v>
      </c>
      <c r="I541" s="172">
        <v>0</v>
      </c>
      <c r="J541" s="171">
        <v>0</v>
      </c>
      <c r="K541" s="171">
        <v>0</v>
      </c>
      <c r="L541" s="171">
        <v>0</v>
      </c>
      <c r="M541" s="171">
        <v>-693000</v>
      </c>
      <c r="N541" s="171">
        <v>0</v>
      </c>
      <c r="P541" s="173">
        <f t="shared" si="8"/>
        <v>693000</v>
      </c>
      <c r="V541" s="163"/>
      <c r="W541" s="163"/>
    </row>
    <row r="542" spans="1:23" s="17" customFormat="1">
      <c r="A542" s="176"/>
      <c r="B542" s="120" t="s">
        <v>446</v>
      </c>
      <c r="C542" s="177">
        <v>2025</v>
      </c>
      <c r="D542" s="80" t="s">
        <v>2324</v>
      </c>
      <c r="E542" s="8" t="s">
        <v>5263</v>
      </c>
      <c r="F542" s="1">
        <v>0</v>
      </c>
      <c r="G542" s="170"/>
      <c r="H542" s="171">
        <v>0</v>
      </c>
      <c r="I542" s="172">
        <v>0</v>
      </c>
      <c r="J542" s="171">
        <v>0</v>
      </c>
      <c r="K542" s="171">
        <v>0</v>
      </c>
      <c r="L542" s="171">
        <v>0</v>
      </c>
      <c r="M542" s="171">
        <v>-360000</v>
      </c>
      <c r="N542" s="171">
        <v>0</v>
      </c>
      <c r="P542" s="173">
        <f t="shared" si="8"/>
        <v>360000</v>
      </c>
      <c r="V542" s="163"/>
      <c r="W542" s="163"/>
    </row>
    <row r="543" spans="1:23" s="17" customFormat="1">
      <c r="A543" s="176"/>
      <c r="B543" s="120" t="s">
        <v>446</v>
      </c>
      <c r="C543" s="177">
        <v>2025</v>
      </c>
      <c r="D543" s="80" t="s">
        <v>2324</v>
      </c>
      <c r="E543" s="8" t="s">
        <v>5264</v>
      </c>
      <c r="F543" s="1">
        <v>0</v>
      </c>
      <c r="G543" s="170"/>
      <c r="H543" s="171">
        <v>0</v>
      </c>
      <c r="I543" s="172">
        <v>0</v>
      </c>
      <c r="J543" s="171">
        <v>0</v>
      </c>
      <c r="K543" s="171">
        <v>0</v>
      </c>
      <c r="L543" s="171">
        <v>0</v>
      </c>
      <c r="M543" s="171">
        <v>-336000</v>
      </c>
      <c r="N543" s="171">
        <v>0</v>
      </c>
      <c r="P543" s="173">
        <f t="shared" si="8"/>
        <v>336000</v>
      </c>
      <c r="V543" s="163"/>
      <c r="W543" s="163"/>
    </row>
    <row r="544" spans="1:23" s="17" customFormat="1">
      <c r="A544" s="176"/>
      <c r="B544" s="120" t="s">
        <v>446</v>
      </c>
      <c r="C544" s="177">
        <v>2025</v>
      </c>
      <c r="D544" s="80" t="s">
        <v>2324</v>
      </c>
      <c r="E544" s="8" t="s">
        <v>5265</v>
      </c>
      <c r="F544" s="1">
        <v>0</v>
      </c>
      <c r="G544" s="170"/>
      <c r="H544" s="171">
        <v>0</v>
      </c>
      <c r="I544" s="172">
        <v>0</v>
      </c>
      <c r="J544" s="171">
        <v>0</v>
      </c>
      <c r="K544" s="171">
        <v>0</v>
      </c>
      <c r="L544" s="171">
        <v>0</v>
      </c>
      <c r="M544" s="171">
        <v>-1000</v>
      </c>
      <c r="N544" s="171">
        <v>0</v>
      </c>
      <c r="P544" s="173">
        <f t="shared" si="8"/>
        <v>1000</v>
      </c>
      <c r="V544" s="163"/>
      <c r="W544" s="163"/>
    </row>
    <row r="545" spans="1:23" s="17" customFormat="1">
      <c r="A545" s="176"/>
      <c r="B545" s="120" t="s">
        <v>446</v>
      </c>
      <c r="C545" s="177">
        <v>2025</v>
      </c>
      <c r="D545" s="80" t="s">
        <v>2324</v>
      </c>
      <c r="E545" s="8" t="s">
        <v>5266</v>
      </c>
      <c r="F545" s="1">
        <v>0</v>
      </c>
      <c r="G545" s="170"/>
      <c r="H545" s="171">
        <v>0</v>
      </c>
      <c r="I545" s="172">
        <v>0</v>
      </c>
      <c r="J545" s="171">
        <v>0</v>
      </c>
      <c r="K545" s="171">
        <v>0</v>
      </c>
      <c r="L545" s="171">
        <v>0</v>
      </c>
      <c r="M545" s="171">
        <v>-1450000</v>
      </c>
      <c r="N545" s="171">
        <v>0</v>
      </c>
      <c r="P545" s="173">
        <f t="shared" si="8"/>
        <v>1450000</v>
      </c>
      <c r="V545" s="163"/>
      <c r="W545" s="163"/>
    </row>
    <row r="546" spans="1:23" s="17" customFormat="1">
      <c r="A546" s="176"/>
      <c r="B546" s="120" t="s">
        <v>446</v>
      </c>
      <c r="C546" s="177">
        <v>2025</v>
      </c>
      <c r="D546" s="80" t="s">
        <v>2324</v>
      </c>
      <c r="E546" s="8" t="s">
        <v>5267</v>
      </c>
      <c r="F546" s="1">
        <v>0</v>
      </c>
      <c r="G546" s="170"/>
      <c r="H546" s="171">
        <v>0</v>
      </c>
      <c r="I546" s="172">
        <v>0</v>
      </c>
      <c r="J546" s="171">
        <v>0</v>
      </c>
      <c r="K546" s="171">
        <v>0</v>
      </c>
      <c r="L546" s="171">
        <v>0</v>
      </c>
      <c r="M546" s="171">
        <v>-2500</v>
      </c>
      <c r="N546" s="171">
        <v>0</v>
      </c>
      <c r="P546" s="173">
        <f t="shared" si="8"/>
        <v>2500</v>
      </c>
      <c r="V546" s="163"/>
      <c r="W546" s="163"/>
    </row>
    <row r="547" spans="1:23" s="17" customFormat="1">
      <c r="A547" s="176"/>
      <c r="B547" s="120" t="s">
        <v>446</v>
      </c>
      <c r="C547" s="177">
        <v>2025</v>
      </c>
      <c r="D547" s="80" t="s">
        <v>2324</v>
      </c>
      <c r="E547" s="8" t="s">
        <v>5268</v>
      </c>
      <c r="F547" s="1">
        <v>0</v>
      </c>
      <c r="G547" s="170"/>
      <c r="H547" s="171">
        <v>0</v>
      </c>
      <c r="I547" s="172">
        <v>0</v>
      </c>
      <c r="J547" s="171">
        <v>0</v>
      </c>
      <c r="K547" s="171">
        <v>0</v>
      </c>
      <c r="L547" s="171">
        <v>0</v>
      </c>
      <c r="M547" s="171">
        <v>-360000</v>
      </c>
      <c r="N547" s="171">
        <v>0</v>
      </c>
      <c r="P547" s="173">
        <f t="shared" si="8"/>
        <v>360000</v>
      </c>
      <c r="V547" s="163"/>
      <c r="W547" s="163"/>
    </row>
    <row r="548" spans="1:23" s="17" customFormat="1">
      <c r="A548" s="176"/>
      <c r="B548" s="120" t="s">
        <v>446</v>
      </c>
      <c r="C548" s="177">
        <v>2025</v>
      </c>
      <c r="D548" s="80" t="s">
        <v>2324</v>
      </c>
      <c r="E548" s="8" t="s">
        <v>5269</v>
      </c>
      <c r="F548" s="1">
        <v>0</v>
      </c>
      <c r="G548" s="170"/>
      <c r="H548" s="171">
        <v>0</v>
      </c>
      <c r="I548" s="172">
        <v>0</v>
      </c>
      <c r="J548" s="171">
        <v>0</v>
      </c>
      <c r="K548" s="171">
        <v>0</v>
      </c>
      <c r="L548" s="171">
        <v>0</v>
      </c>
      <c r="M548" s="171">
        <v>-100000</v>
      </c>
      <c r="N548" s="171">
        <v>0</v>
      </c>
      <c r="P548" s="173">
        <f t="shared" si="8"/>
        <v>100000</v>
      </c>
      <c r="V548" s="163"/>
      <c r="W548" s="163"/>
    </row>
    <row r="549" spans="1:23" s="17" customFormat="1">
      <c r="A549" s="176"/>
      <c r="B549" s="120" t="s">
        <v>446</v>
      </c>
      <c r="C549" s="177">
        <v>2025</v>
      </c>
      <c r="D549" s="80" t="s">
        <v>2324</v>
      </c>
      <c r="E549" s="8" t="s">
        <v>5270</v>
      </c>
      <c r="F549" s="1">
        <v>0</v>
      </c>
      <c r="G549" s="170"/>
      <c r="H549" s="171">
        <v>0</v>
      </c>
      <c r="I549" s="172">
        <v>0</v>
      </c>
      <c r="J549" s="171">
        <v>0</v>
      </c>
      <c r="K549" s="171">
        <v>0</v>
      </c>
      <c r="L549" s="171">
        <v>0</v>
      </c>
      <c r="M549" s="171">
        <v>-4900000</v>
      </c>
      <c r="N549" s="171">
        <v>0</v>
      </c>
      <c r="P549" s="173">
        <f t="shared" si="8"/>
        <v>4900000</v>
      </c>
      <c r="V549" s="163"/>
      <c r="W549" s="163"/>
    </row>
    <row r="550" spans="1:23" s="17" customFormat="1">
      <c r="A550" s="176"/>
      <c r="B550" s="120" t="s">
        <v>446</v>
      </c>
      <c r="C550" s="177">
        <v>2025</v>
      </c>
      <c r="D550" s="80" t="s">
        <v>2324</v>
      </c>
      <c r="E550" s="8" t="s">
        <v>5271</v>
      </c>
      <c r="F550" s="1">
        <v>0</v>
      </c>
      <c r="G550" s="170"/>
      <c r="H550" s="171">
        <v>0</v>
      </c>
      <c r="I550" s="172">
        <v>0</v>
      </c>
      <c r="J550" s="171">
        <v>0</v>
      </c>
      <c r="K550" s="171">
        <v>0</v>
      </c>
      <c r="L550" s="171">
        <v>0</v>
      </c>
      <c r="M550" s="171">
        <v>-525000</v>
      </c>
      <c r="N550" s="171">
        <v>0</v>
      </c>
      <c r="P550" s="173">
        <f t="shared" si="8"/>
        <v>525000</v>
      </c>
      <c r="V550" s="163"/>
      <c r="W550" s="163"/>
    </row>
    <row r="551" spans="1:23" s="17" customFormat="1">
      <c r="A551" s="176"/>
      <c r="B551" s="120" t="s">
        <v>446</v>
      </c>
      <c r="C551" s="177">
        <v>2025</v>
      </c>
      <c r="D551" s="80" t="s">
        <v>2324</v>
      </c>
      <c r="E551" s="8" t="s">
        <v>5272</v>
      </c>
      <c r="F551" s="1">
        <v>0</v>
      </c>
      <c r="G551" s="170"/>
      <c r="H551" s="171">
        <v>0</v>
      </c>
      <c r="I551" s="172">
        <v>0</v>
      </c>
      <c r="J551" s="171">
        <v>0</v>
      </c>
      <c r="K551" s="171">
        <v>0</v>
      </c>
      <c r="L551" s="171">
        <v>0</v>
      </c>
      <c r="M551" s="171">
        <v>-45500</v>
      </c>
      <c r="N551" s="171">
        <v>0</v>
      </c>
      <c r="P551" s="173">
        <f t="shared" si="8"/>
        <v>45500</v>
      </c>
      <c r="V551" s="163"/>
      <c r="W551" s="163"/>
    </row>
    <row r="552" spans="1:23" s="17" customFormat="1">
      <c r="A552" s="176"/>
      <c r="B552" s="120" t="s">
        <v>446</v>
      </c>
      <c r="C552" s="177">
        <v>2025</v>
      </c>
      <c r="D552" s="80" t="s">
        <v>2324</v>
      </c>
      <c r="E552" s="8" t="s">
        <v>5273</v>
      </c>
      <c r="F552" s="1">
        <v>0</v>
      </c>
      <c r="G552" s="170"/>
      <c r="H552" s="171">
        <v>0</v>
      </c>
      <c r="I552" s="172">
        <v>0</v>
      </c>
      <c r="J552" s="171">
        <v>0</v>
      </c>
      <c r="K552" s="171">
        <v>0</v>
      </c>
      <c r="L552" s="171">
        <v>0</v>
      </c>
      <c r="M552" s="171">
        <v>-19500</v>
      </c>
      <c r="N552" s="171">
        <v>0</v>
      </c>
      <c r="P552" s="173">
        <f t="shared" si="8"/>
        <v>19500</v>
      </c>
      <c r="V552" s="163"/>
      <c r="W552" s="163"/>
    </row>
    <row r="553" spans="1:23" s="17" customFormat="1">
      <c r="A553" s="176"/>
      <c r="B553" s="120" t="s">
        <v>446</v>
      </c>
      <c r="C553" s="177">
        <v>2025</v>
      </c>
      <c r="D553" s="80" t="s">
        <v>2324</v>
      </c>
      <c r="E553" s="8" t="s">
        <v>5274</v>
      </c>
      <c r="F553" s="1">
        <v>0</v>
      </c>
      <c r="G553" s="170"/>
      <c r="H553" s="171">
        <v>0</v>
      </c>
      <c r="I553" s="172">
        <v>0</v>
      </c>
      <c r="J553" s="171">
        <v>0</v>
      </c>
      <c r="K553" s="171">
        <v>0</v>
      </c>
      <c r="L553" s="171">
        <v>0</v>
      </c>
      <c r="M553" s="171">
        <v>-222709</v>
      </c>
      <c r="N553" s="171">
        <v>0</v>
      </c>
      <c r="P553" s="173">
        <f t="shared" si="8"/>
        <v>222709</v>
      </c>
      <c r="V553" s="163"/>
      <c r="W553" s="163"/>
    </row>
    <row r="554" spans="1:23" s="17" customFormat="1">
      <c r="A554" s="176"/>
      <c r="B554" s="120" t="s">
        <v>446</v>
      </c>
      <c r="C554" s="177">
        <v>2025</v>
      </c>
      <c r="D554" s="80" t="s">
        <v>2324</v>
      </c>
      <c r="E554" s="8" t="s">
        <v>5275</v>
      </c>
      <c r="F554" s="1">
        <v>0</v>
      </c>
      <c r="G554" s="170"/>
      <c r="H554" s="171">
        <v>0</v>
      </c>
      <c r="I554" s="172">
        <v>0</v>
      </c>
      <c r="J554" s="171">
        <v>0</v>
      </c>
      <c r="K554" s="171">
        <v>0</v>
      </c>
      <c r="L554" s="171">
        <v>0</v>
      </c>
      <c r="M554" s="171">
        <v>-240000</v>
      </c>
      <c r="N554" s="171">
        <v>0</v>
      </c>
      <c r="P554" s="173">
        <f t="shared" si="8"/>
        <v>240000</v>
      </c>
      <c r="V554" s="163"/>
      <c r="W554" s="163"/>
    </row>
    <row r="555" spans="1:23" s="17" customFormat="1">
      <c r="A555" s="176"/>
      <c r="B555" s="120" t="s">
        <v>446</v>
      </c>
      <c r="C555" s="177">
        <v>2025</v>
      </c>
      <c r="D555" s="80" t="s">
        <v>2324</v>
      </c>
      <c r="E555" s="8" t="s">
        <v>5276</v>
      </c>
      <c r="F555" s="1">
        <v>0</v>
      </c>
      <c r="G555" s="170"/>
      <c r="H555" s="171">
        <v>0</v>
      </c>
      <c r="I555" s="172">
        <v>0</v>
      </c>
      <c r="J555" s="171">
        <v>0</v>
      </c>
      <c r="K555" s="171">
        <v>0</v>
      </c>
      <c r="L555" s="171">
        <v>0</v>
      </c>
      <c r="M555" s="171">
        <v>-473000</v>
      </c>
      <c r="N555" s="171">
        <v>0</v>
      </c>
      <c r="P555" s="173">
        <f t="shared" si="8"/>
        <v>473000</v>
      </c>
      <c r="V555" s="163"/>
      <c r="W555" s="163"/>
    </row>
    <row r="556" spans="1:23" s="17" customFormat="1">
      <c r="A556" s="176"/>
      <c r="B556" s="120" t="s">
        <v>446</v>
      </c>
      <c r="C556" s="177">
        <v>2025</v>
      </c>
      <c r="D556" s="80" t="s">
        <v>2324</v>
      </c>
      <c r="E556" s="8" t="s">
        <v>5277</v>
      </c>
      <c r="F556" s="1">
        <v>0</v>
      </c>
      <c r="G556" s="170"/>
      <c r="H556" s="171">
        <v>0</v>
      </c>
      <c r="I556" s="172">
        <v>0</v>
      </c>
      <c r="J556" s="171">
        <v>0</v>
      </c>
      <c r="K556" s="171">
        <v>0</v>
      </c>
      <c r="L556" s="171">
        <v>0</v>
      </c>
      <c r="M556" s="171">
        <v>-286000</v>
      </c>
      <c r="N556" s="171">
        <v>0</v>
      </c>
      <c r="P556" s="173">
        <f t="shared" si="8"/>
        <v>286000</v>
      </c>
      <c r="V556" s="163"/>
      <c r="W556" s="163"/>
    </row>
    <row r="557" spans="1:23" s="17" customFormat="1">
      <c r="A557" s="176"/>
      <c r="B557" s="120" t="s">
        <v>446</v>
      </c>
      <c r="C557" s="177">
        <v>2025</v>
      </c>
      <c r="D557" s="80" t="s">
        <v>2324</v>
      </c>
      <c r="E557" s="8" t="s">
        <v>5267</v>
      </c>
      <c r="F557" s="1">
        <v>0</v>
      </c>
      <c r="G557" s="170"/>
      <c r="H557" s="171">
        <v>0</v>
      </c>
      <c r="I557" s="172">
        <v>0</v>
      </c>
      <c r="J557" s="171">
        <v>0</v>
      </c>
      <c r="K557" s="171">
        <v>0</v>
      </c>
      <c r="L557" s="171">
        <v>0</v>
      </c>
      <c r="M557" s="171">
        <v>-2500</v>
      </c>
      <c r="N557" s="171">
        <v>0</v>
      </c>
      <c r="P557" s="173">
        <f t="shared" si="8"/>
        <v>2500</v>
      </c>
      <c r="V557" s="163"/>
      <c r="W557" s="163"/>
    </row>
    <row r="558" spans="1:23" s="17" customFormat="1">
      <c r="A558" s="176"/>
      <c r="B558" s="120" t="s">
        <v>446</v>
      </c>
      <c r="C558" s="177">
        <v>2025</v>
      </c>
      <c r="D558" s="80" t="s">
        <v>2324</v>
      </c>
      <c r="E558" s="8" t="s">
        <v>5278</v>
      </c>
      <c r="F558" s="1">
        <v>0</v>
      </c>
      <c r="G558" s="170"/>
      <c r="H558" s="171">
        <v>0</v>
      </c>
      <c r="I558" s="172">
        <v>0</v>
      </c>
      <c r="J558" s="171">
        <v>0</v>
      </c>
      <c r="K558" s="171">
        <v>0</v>
      </c>
      <c r="L558" s="171">
        <v>0</v>
      </c>
      <c r="M558" s="171">
        <v>-300000</v>
      </c>
      <c r="N558" s="171">
        <v>0</v>
      </c>
      <c r="P558" s="173">
        <f t="shared" si="8"/>
        <v>300000</v>
      </c>
      <c r="V558" s="163"/>
      <c r="W558" s="163"/>
    </row>
    <row r="559" spans="1:23" s="17" customFormat="1">
      <c r="A559" s="176"/>
      <c r="B559" s="120" t="s">
        <v>446</v>
      </c>
      <c r="C559" s="177">
        <v>2025</v>
      </c>
      <c r="D559" s="80" t="s">
        <v>2324</v>
      </c>
      <c r="E559" s="8" t="s">
        <v>5279</v>
      </c>
      <c r="F559" s="1">
        <v>0</v>
      </c>
      <c r="G559" s="170"/>
      <c r="H559" s="171">
        <v>0</v>
      </c>
      <c r="I559" s="172">
        <v>0</v>
      </c>
      <c r="J559" s="171">
        <v>0</v>
      </c>
      <c r="K559" s="171">
        <v>0</v>
      </c>
      <c r="L559" s="171">
        <v>0</v>
      </c>
      <c r="M559" s="171">
        <v>-10000000</v>
      </c>
      <c r="N559" s="171">
        <v>0</v>
      </c>
      <c r="P559" s="173">
        <f t="shared" si="8"/>
        <v>10000000</v>
      </c>
      <c r="V559" s="163"/>
      <c r="W559" s="163"/>
    </row>
    <row r="560" spans="1:23" s="17" customFormat="1">
      <c r="A560" s="176"/>
      <c r="B560" s="120" t="s">
        <v>446</v>
      </c>
      <c r="C560" s="177">
        <v>2025</v>
      </c>
      <c r="D560" s="80" t="s">
        <v>2324</v>
      </c>
      <c r="E560" s="8" t="s">
        <v>5267</v>
      </c>
      <c r="F560" s="1">
        <v>0</v>
      </c>
      <c r="G560" s="170"/>
      <c r="H560" s="171">
        <v>0</v>
      </c>
      <c r="I560" s="172">
        <v>0</v>
      </c>
      <c r="J560" s="171">
        <v>0</v>
      </c>
      <c r="K560" s="171">
        <v>0</v>
      </c>
      <c r="L560" s="171">
        <v>0</v>
      </c>
      <c r="M560" s="171">
        <v>-2500</v>
      </c>
      <c r="N560" s="171">
        <v>0</v>
      </c>
      <c r="P560" s="173">
        <f t="shared" si="8"/>
        <v>2500</v>
      </c>
      <c r="V560" s="163"/>
      <c r="W560" s="163"/>
    </row>
    <row r="561" spans="1:23" s="17" customFormat="1">
      <c r="A561" s="176"/>
      <c r="B561" s="120" t="s">
        <v>446</v>
      </c>
      <c r="C561" s="177">
        <v>2025</v>
      </c>
      <c r="D561" s="80" t="s">
        <v>2324</v>
      </c>
      <c r="E561" s="8" t="s">
        <v>5280</v>
      </c>
      <c r="F561" s="1">
        <v>0</v>
      </c>
      <c r="G561" s="170"/>
      <c r="H561" s="171">
        <v>0</v>
      </c>
      <c r="I561" s="172">
        <v>0</v>
      </c>
      <c r="J561" s="171">
        <v>0</v>
      </c>
      <c r="K561" s="171">
        <v>0</v>
      </c>
      <c r="L561" s="171">
        <v>0</v>
      </c>
      <c r="M561" s="171">
        <v>-228000</v>
      </c>
      <c r="N561" s="171">
        <v>0</v>
      </c>
      <c r="P561" s="173">
        <f t="shared" si="8"/>
        <v>228000</v>
      </c>
      <c r="V561" s="163"/>
      <c r="W561" s="163"/>
    </row>
    <row r="562" spans="1:23" s="17" customFormat="1">
      <c r="A562" s="176"/>
      <c r="B562" s="120" t="s">
        <v>446</v>
      </c>
      <c r="C562" s="177">
        <v>2025</v>
      </c>
      <c r="D562" s="80" t="s">
        <v>2324</v>
      </c>
      <c r="E562" s="8" t="s">
        <v>5267</v>
      </c>
      <c r="F562" s="1">
        <v>0</v>
      </c>
      <c r="G562" s="170"/>
      <c r="H562" s="171">
        <v>0</v>
      </c>
      <c r="I562" s="172">
        <v>0</v>
      </c>
      <c r="J562" s="171">
        <v>0</v>
      </c>
      <c r="K562" s="171">
        <v>0</v>
      </c>
      <c r="L562" s="171">
        <v>0</v>
      </c>
      <c r="M562" s="171">
        <v>-2500</v>
      </c>
      <c r="N562" s="171">
        <v>0</v>
      </c>
      <c r="P562" s="173">
        <f t="shared" si="8"/>
        <v>2500</v>
      </c>
      <c r="V562" s="163"/>
      <c r="W562" s="163"/>
    </row>
    <row r="563" spans="1:23" s="17" customFormat="1">
      <c r="A563" s="176"/>
      <c r="B563" s="120" t="s">
        <v>446</v>
      </c>
      <c r="C563" s="177">
        <v>2025</v>
      </c>
      <c r="D563" s="80" t="s">
        <v>2324</v>
      </c>
      <c r="E563" s="8" t="s">
        <v>5281</v>
      </c>
      <c r="F563" s="1">
        <v>0</v>
      </c>
      <c r="G563" s="170"/>
      <c r="H563" s="171">
        <v>0</v>
      </c>
      <c r="I563" s="172">
        <v>0</v>
      </c>
      <c r="J563" s="171">
        <v>0</v>
      </c>
      <c r="K563" s="171">
        <v>0</v>
      </c>
      <c r="L563" s="171">
        <v>0</v>
      </c>
      <c r="M563" s="171">
        <v>-21000</v>
      </c>
      <c r="N563" s="171">
        <v>0</v>
      </c>
      <c r="P563" s="173">
        <f t="shared" si="8"/>
        <v>21000</v>
      </c>
      <c r="V563" s="163"/>
      <c r="W563" s="163"/>
    </row>
    <row r="564" spans="1:23" s="17" customFormat="1">
      <c r="A564" s="176"/>
      <c r="B564" s="120" t="s">
        <v>446</v>
      </c>
      <c r="C564" s="177">
        <v>2025</v>
      </c>
      <c r="D564" s="80" t="s">
        <v>2324</v>
      </c>
      <c r="E564" s="8" t="s">
        <v>5282</v>
      </c>
      <c r="F564" s="1">
        <v>0</v>
      </c>
      <c r="G564" s="170"/>
      <c r="H564" s="171">
        <v>0</v>
      </c>
      <c r="I564" s="172">
        <v>0</v>
      </c>
      <c r="J564" s="171">
        <v>0</v>
      </c>
      <c r="K564" s="171">
        <v>0</v>
      </c>
      <c r="L564" s="171">
        <v>0</v>
      </c>
      <c r="M564" s="171">
        <v>-140000</v>
      </c>
      <c r="N564" s="171">
        <v>0</v>
      </c>
      <c r="P564" s="173">
        <f t="shared" si="8"/>
        <v>140000</v>
      </c>
      <c r="V564" s="163"/>
      <c r="W564" s="163"/>
    </row>
    <row r="565" spans="1:23" s="17" customFormat="1">
      <c r="A565" s="176"/>
      <c r="B565" s="120" t="s">
        <v>446</v>
      </c>
      <c r="C565" s="177">
        <v>2025</v>
      </c>
      <c r="D565" s="80" t="s">
        <v>2324</v>
      </c>
      <c r="E565" s="8" t="s">
        <v>5283</v>
      </c>
      <c r="F565" s="1">
        <v>0</v>
      </c>
      <c r="G565" s="170"/>
      <c r="H565" s="171">
        <v>0</v>
      </c>
      <c r="I565" s="172">
        <v>0</v>
      </c>
      <c r="J565" s="171">
        <v>0</v>
      </c>
      <c r="K565" s="171">
        <v>0</v>
      </c>
      <c r="L565" s="171">
        <v>0</v>
      </c>
      <c r="M565" s="171">
        <v>-4500000</v>
      </c>
      <c r="N565" s="171">
        <v>0</v>
      </c>
      <c r="P565" s="173">
        <f t="shared" si="8"/>
        <v>4500000</v>
      </c>
      <c r="V565" s="163"/>
      <c r="W565" s="163"/>
    </row>
    <row r="566" spans="1:23" s="17" customFormat="1">
      <c r="A566" s="176"/>
      <c r="B566" s="120" t="s">
        <v>446</v>
      </c>
      <c r="C566" s="177">
        <v>2025</v>
      </c>
      <c r="D566" s="80" t="s">
        <v>2324</v>
      </c>
      <c r="E566" s="8" t="s">
        <v>5284</v>
      </c>
      <c r="F566" s="1">
        <v>0</v>
      </c>
      <c r="G566" s="170"/>
      <c r="H566" s="171">
        <v>0</v>
      </c>
      <c r="I566" s="172">
        <v>0</v>
      </c>
      <c r="J566" s="171">
        <v>0</v>
      </c>
      <c r="K566" s="171">
        <v>0</v>
      </c>
      <c r="L566" s="171">
        <v>0</v>
      </c>
      <c r="M566" s="171">
        <v>-1800000</v>
      </c>
      <c r="N566" s="171">
        <v>0</v>
      </c>
      <c r="P566" s="173">
        <f t="shared" si="8"/>
        <v>1800000</v>
      </c>
      <c r="V566" s="163"/>
      <c r="W566" s="163"/>
    </row>
    <row r="567" spans="1:23" s="17" customFormat="1">
      <c r="A567" s="176"/>
      <c r="B567" s="120" t="s">
        <v>446</v>
      </c>
      <c r="C567" s="177">
        <v>2025</v>
      </c>
      <c r="D567" s="80" t="s">
        <v>2324</v>
      </c>
      <c r="E567" s="8" t="s">
        <v>5285</v>
      </c>
      <c r="F567" s="1">
        <v>0</v>
      </c>
      <c r="G567" s="170"/>
      <c r="H567" s="171">
        <v>0</v>
      </c>
      <c r="I567" s="172">
        <v>0</v>
      </c>
      <c r="J567" s="171">
        <v>0</v>
      </c>
      <c r="K567" s="171">
        <v>0</v>
      </c>
      <c r="L567" s="171">
        <v>0</v>
      </c>
      <c r="M567" s="171">
        <v>-900000</v>
      </c>
      <c r="N567" s="171">
        <v>0</v>
      </c>
      <c r="P567" s="173">
        <f t="shared" si="8"/>
        <v>900000</v>
      </c>
      <c r="V567" s="163"/>
      <c r="W567" s="163"/>
    </row>
    <row r="568" spans="1:23" s="17" customFormat="1">
      <c r="A568" s="176"/>
      <c r="B568" s="120" t="s">
        <v>446</v>
      </c>
      <c r="C568" s="177">
        <v>2025</v>
      </c>
      <c r="D568" s="80" t="s">
        <v>2324</v>
      </c>
      <c r="E568" s="8" t="s">
        <v>5286</v>
      </c>
      <c r="F568" s="1">
        <v>0</v>
      </c>
      <c r="G568" s="170"/>
      <c r="H568" s="171">
        <v>0</v>
      </c>
      <c r="I568" s="172">
        <v>0</v>
      </c>
      <c r="J568" s="171">
        <v>0</v>
      </c>
      <c r="K568" s="171">
        <v>0</v>
      </c>
      <c r="L568" s="171">
        <v>0</v>
      </c>
      <c r="M568" s="171">
        <v>-2000000</v>
      </c>
      <c r="N568" s="171">
        <v>0</v>
      </c>
      <c r="P568" s="173">
        <f t="shared" si="8"/>
        <v>2000000</v>
      </c>
      <c r="V568" s="163"/>
      <c r="W568" s="163"/>
    </row>
    <row r="569" spans="1:23" s="17" customFormat="1">
      <c r="A569" s="176"/>
      <c r="B569" s="120" t="s">
        <v>446</v>
      </c>
      <c r="C569" s="177">
        <v>2025</v>
      </c>
      <c r="D569" s="80" t="s">
        <v>2324</v>
      </c>
      <c r="E569" s="8" t="s">
        <v>5287</v>
      </c>
      <c r="F569" s="1">
        <v>0</v>
      </c>
      <c r="G569" s="170"/>
      <c r="H569" s="171">
        <v>0</v>
      </c>
      <c r="I569" s="172">
        <v>0</v>
      </c>
      <c r="J569" s="171">
        <v>0</v>
      </c>
      <c r="K569" s="171">
        <v>0</v>
      </c>
      <c r="L569" s="171">
        <v>0</v>
      </c>
      <c r="M569" s="171">
        <v>-21000</v>
      </c>
      <c r="N569" s="171">
        <v>0</v>
      </c>
      <c r="P569" s="173">
        <f t="shared" si="8"/>
        <v>21000</v>
      </c>
      <c r="V569" s="163"/>
      <c r="W569" s="163"/>
    </row>
    <row r="570" spans="1:23" s="17" customFormat="1">
      <c r="A570" s="176"/>
      <c r="B570" s="120" t="s">
        <v>446</v>
      </c>
      <c r="C570" s="177">
        <v>2025</v>
      </c>
      <c r="D570" s="80" t="s">
        <v>2324</v>
      </c>
      <c r="E570" s="8" t="s">
        <v>5288</v>
      </c>
      <c r="F570" s="1">
        <v>0</v>
      </c>
      <c r="G570" s="170"/>
      <c r="H570" s="171">
        <v>0</v>
      </c>
      <c r="I570" s="172">
        <v>0</v>
      </c>
      <c r="J570" s="171">
        <v>0</v>
      </c>
      <c r="K570" s="171">
        <v>0</v>
      </c>
      <c r="L570" s="171">
        <v>0</v>
      </c>
      <c r="M570" s="171">
        <v>-1830000</v>
      </c>
      <c r="N570" s="171">
        <v>0</v>
      </c>
      <c r="P570" s="173">
        <f t="shared" si="8"/>
        <v>1830000</v>
      </c>
      <c r="V570" s="163"/>
      <c r="W570" s="163"/>
    </row>
    <row r="571" spans="1:23" s="17" customFormat="1">
      <c r="A571" s="176"/>
      <c r="B571" s="120" t="s">
        <v>446</v>
      </c>
      <c r="C571" s="177">
        <v>2025</v>
      </c>
      <c r="D571" s="80" t="s">
        <v>2324</v>
      </c>
      <c r="E571" s="8" t="s">
        <v>5289</v>
      </c>
      <c r="F571" s="1">
        <v>0</v>
      </c>
      <c r="G571" s="170"/>
      <c r="H571" s="171">
        <v>0</v>
      </c>
      <c r="I571" s="172">
        <v>0</v>
      </c>
      <c r="J571" s="171">
        <v>0</v>
      </c>
      <c r="K571" s="171">
        <v>0</v>
      </c>
      <c r="L571" s="171">
        <v>0</v>
      </c>
      <c r="M571" s="171">
        <v>-5000</v>
      </c>
      <c r="N571" s="171">
        <v>0</v>
      </c>
      <c r="P571" s="173">
        <f t="shared" si="8"/>
        <v>5000</v>
      </c>
      <c r="V571" s="163"/>
      <c r="W571" s="163"/>
    </row>
    <row r="572" spans="1:23" s="17" customFormat="1">
      <c r="A572" s="176"/>
      <c r="B572" s="120" t="s">
        <v>446</v>
      </c>
      <c r="C572" s="177">
        <v>2025</v>
      </c>
      <c r="D572" s="80" t="s">
        <v>2324</v>
      </c>
      <c r="E572" s="8" t="s">
        <v>5290</v>
      </c>
      <c r="F572" s="1">
        <v>0</v>
      </c>
      <c r="G572" s="170"/>
      <c r="H572" s="171">
        <v>0</v>
      </c>
      <c r="I572" s="172">
        <v>0</v>
      </c>
      <c r="J572" s="171">
        <v>0</v>
      </c>
      <c r="K572" s="171">
        <v>0</v>
      </c>
      <c r="L572" s="171">
        <v>0</v>
      </c>
      <c r="M572" s="171">
        <v>-980000</v>
      </c>
      <c r="N572" s="171">
        <v>0</v>
      </c>
      <c r="P572" s="173">
        <f t="shared" si="8"/>
        <v>980000</v>
      </c>
      <c r="V572" s="163"/>
      <c r="W572" s="163"/>
    </row>
    <row r="573" spans="1:23" s="17" customFormat="1">
      <c r="A573" s="176"/>
      <c r="B573" s="120" t="s">
        <v>446</v>
      </c>
      <c r="C573" s="177">
        <v>2025</v>
      </c>
      <c r="D573" s="80" t="s">
        <v>2324</v>
      </c>
      <c r="E573" s="8" t="s">
        <v>5291</v>
      </c>
      <c r="F573" s="1">
        <v>0</v>
      </c>
      <c r="G573" s="170"/>
      <c r="H573" s="171">
        <v>0</v>
      </c>
      <c r="I573" s="172">
        <v>0</v>
      </c>
      <c r="J573" s="171">
        <v>0</v>
      </c>
      <c r="K573" s="171">
        <v>0</v>
      </c>
      <c r="L573" s="171">
        <v>0</v>
      </c>
      <c r="M573" s="171">
        <v>-427130</v>
      </c>
      <c r="N573" s="171">
        <v>0</v>
      </c>
      <c r="P573" s="173">
        <f t="shared" si="8"/>
        <v>427130</v>
      </c>
      <c r="V573" s="163"/>
      <c r="W573" s="163"/>
    </row>
    <row r="574" spans="1:23" s="17" customFormat="1">
      <c r="A574" s="176"/>
      <c r="B574" s="120" t="s">
        <v>446</v>
      </c>
      <c r="C574" s="177">
        <v>2025</v>
      </c>
      <c r="D574" s="80" t="s">
        <v>2324</v>
      </c>
      <c r="E574" s="8" t="s">
        <v>5292</v>
      </c>
      <c r="F574" s="1">
        <v>0</v>
      </c>
      <c r="G574" s="170"/>
      <c r="H574" s="171">
        <v>0</v>
      </c>
      <c r="I574" s="172">
        <v>0</v>
      </c>
      <c r="J574" s="171">
        <v>0</v>
      </c>
      <c r="K574" s="171">
        <v>0</v>
      </c>
      <c r="L574" s="171">
        <v>0</v>
      </c>
      <c r="M574" s="171">
        <v>-600000</v>
      </c>
      <c r="N574" s="171">
        <v>0</v>
      </c>
      <c r="P574" s="173">
        <f t="shared" si="8"/>
        <v>600000</v>
      </c>
      <c r="V574" s="163"/>
      <c r="W574" s="163"/>
    </row>
    <row r="575" spans="1:23" s="17" customFormat="1">
      <c r="A575" s="176"/>
      <c r="B575" s="120" t="s">
        <v>446</v>
      </c>
      <c r="C575" s="177">
        <v>2025</v>
      </c>
      <c r="D575" s="80" t="s">
        <v>2324</v>
      </c>
      <c r="E575" s="8" t="s">
        <v>5293</v>
      </c>
      <c r="F575" s="1">
        <v>0</v>
      </c>
      <c r="G575" s="170"/>
      <c r="H575" s="171">
        <v>0</v>
      </c>
      <c r="I575" s="172">
        <v>0</v>
      </c>
      <c r="J575" s="171">
        <v>0</v>
      </c>
      <c r="K575" s="171">
        <v>0</v>
      </c>
      <c r="L575" s="171">
        <v>0</v>
      </c>
      <c r="M575" s="171">
        <v>-100000</v>
      </c>
      <c r="N575" s="171">
        <v>0</v>
      </c>
      <c r="P575" s="173">
        <f t="shared" si="8"/>
        <v>100000</v>
      </c>
      <c r="V575" s="163"/>
      <c r="W575" s="163"/>
    </row>
    <row r="576" spans="1:23" s="17" customFormat="1">
      <c r="A576" s="176"/>
      <c r="B576" s="120" t="s">
        <v>446</v>
      </c>
      <c r="C576" s="177">
        <v>2025</v>
      </c>
      <c r="D576" s="80" t="s">
        <v>2318</v>
      </c>
      <c r="E576" s="8" t="s">
        <v>5467</v>
      </c>
      <c r="F576" s="1">
        <v>0</v>
      </c>
      <c r="G576" s="170"/>
      <c r="H576" s="171">
        <v>0</v>
      </c>
      <c r="I576" s="172">
        <v>0</v>
      </c>
      <c r="J576" s="171">
        <v>0</v>
      </c>
      <c r="K576" s="171">
        <v>0</v>
      </c>
      <c r="L576" s="171">
        <v>0</v>
      </c>
      <c r="M576" s="171">
        <v>-407000</v>
      </c>
      <c r="N576" s="171">
        <v>0</v>
      </c>
      <c r="P576" s="173">
        <f t="shared" si="8"/>
        <v>407000</v>
      </c>
      <c r="V576" s="163"/>
      <c r="W576" s="163"/>
    </row>
    <row r="577" spans="1:23" s="17" customFormat="1">
      <c r="A577" s="176"/>
      <c r="B577" s="120" t="s">
        <v>446</v>
      </c>
      <c r="C577" s="177">
        <v>2025</v>
      </c>
      <c r="D577" s="80" t="s">
        <v>2318</v>
      </c>
      <c r="E577" s="8" t="s">
        <v>5468</v>
      </c>
      <c r="F577" s="1">
        <v>0</v>
      </c>
      <c r="G577" s="170"/>
      <c r="H577" s="171">
        <v>0</v>
      </c>
      <c r="I577" s="172">
        <v>0</v>
      </c>
      <c r="J577" s="171">
        <v>0</v>
      </c>
      <c r="K577" s="171">
        <v>0</v>
      </c>
      <c r="L577" s="171">
        <v>0</v>
      </c>
      <c r="M577" s="171">
        <v>-287700</v>
      </c>
      <c r="N577" s="171">
        <v>0</v>
      </c>
      <c r="P577" s="173">
        <f t="shared" si="8"/>
        <v>287700</v>
      </c>
      <c r="V577" s="163"/>
      <c r="W577" s="163"/>
    </row>
    <row r="578" spans="1:23" s="17" customFormat="1">
      <c r="A578" s="176"/>
      <c r="B578" s="120" t="s">
        <v>446</v>
      </c>
      <c r="C578" s="177">
        <v>2025</v>
      </c>
      <c r="D578" s="80" t="s">
        <v>2318</v>
      </c>
      <c r="E578" s="8" t="s">
        <v>5469</v>
      </c>
      <c r="F578" s="1">
        <v>0</v>
      </c>
      <c r="G578" s="170"/>
      <c r="H578" s="171">
        <v>0</v>
      </c>
      <c r="I578" s="172">
        <v>0</v>
      </c>
      <c r="J578" s="171">
        <v>0</v>
      </c>
      <c r="K578" s="171">
        <v>0</v>
      </c>
      <c r="L578" s="171">
        <v>0</v>
      </c>
      <c r="M578" s="171">
        <v>-141000</v>
      </c>
      <c r="N578" s="171">
        <v>0</v>
      </c>
      <c r="P578" s="173">
        <f t="shared" si="8"/>
        <v>141000</v>
      </c>
      <c r="V578" s="163"/>
      <c r="W578" s="163"/>
    </row>
    <row r="579" spans="1:23" s="17" customFormat="1">
      <c r="A579" s="176"/>
      <c r="B579" s="120" t="s">
        <v>446</v>
      </c>
      <c r="C579" s="177">
        <v>2025</v>
      </c>
      <c r="D579" s="80" t="s">
        <v>2318</v>
      </c>
      <c r="E579" s="8" t="s">
        <v>5470</v>
      </c>
      <c r="F579" s="1">
        <v>0</v>
      </c>
      <c r="G579" s="170"/>
      <c r="H579" s="171">
        <v>0</v>
      </c>
      <c r="I579" s="172">
        <v>0</v>
      </c>
      <c r="J579" s="171">
        <v>0</v>
      </c>
      <c r="K579" s="171">
        <v>0</v>
      </c>
      <c r="L579" s="171">
        <v>0</v>
      </c>
      <c r="M579" s="171">
        <v>-115500</v>
      </c>
      <c r="N579" s="171">
        <v>0</v>
      </c>
      <c r="P579" s="173">
        <f t="shared" si="8"/>
        <v>115500</v>
      </c>
      <c r="V579" s="163"/>
      <c r="W579" s="163"/>
    </row>
    <row r="580" spans="1:23" s="17" customFormat="1">
      <c r="A580" s="176"/>
      <c r="B580" s="120" t="s">
        <v>446</v>
      </c>
      <c r="C580" s="177">
        <v>2025</v>
      </c>
      <c r="D580" s="80" t="s">
        <v>2318</v>
      </c>
      <c r="E580" s="8" t="s">
        <v>5471</v>
      </c>
      <c r="F580" s="1">
        <v>0</v>
      </c>
      <c r="G580" s="170"/>
      <c r="H580" s="171">
        <v>0</v>
      </c>
      <c r="I580" s="172">
        <v>0</v>
      </c>
      <c r="J580" s="171">
        <v>0</v>
      </c>
      <c r="K580" s="171">
        <v>0</v>
      </c>
      <c r="L580" s="171">
        <v>0</v>
      </c>
      <c r="M580" s="171">
        <v>-194500</v>
      </c>
      <c r="N580" s="171">
        <v>0</v>
      </c>
      <c r="P580" s="173">
        <f t="shared" si="8"/>
        <v>194500</v>
      </c>
      <c r="V580" s="163"/>
      <c r="W580" s="163"/>
    </row>
    <row r="581" spans="1:23" s="17" customFormat="1">
      <c r="A581" s="176"/>
      <c r="B581" s="120" t="s">
        <v>446</v>
      </c>
      <c r="C581" s="177">
        <v>2025</v>
      </c>
      <c r="D581" s="80" t="s">
        <v>2318</v>
      </c>
      <c r="E581" s="8" t="s">
        <v>5472</v>
      </c>
      <c r="F581" s="1">
        <v>0</v>
      </c>
      <c r="G581" s="170"/>
      <c r="H581" s="171">
        <v>0</v>
      </c>
      <c r="I581" s="172">
        <v>0</v>
      </c>
      <c r="J581" s="171">
        <v>0</v>
      </c>
      <c r="K581" s="171">
        <v>0</v>
      </c>
      <c r="L581" s="171">
        <v>0</v>
      </c>
      <c r="M581" s="171">
        <v>-220000</v>
      </c>
      <c r="N581" s="171">
        <v>0</v>
      </c>
      <c r="P581" s="173">
        <f t="shared" ref="P581:P644" si="9">F581-H581-I581-J581-K581-L581-M581</f>
        <v>220000</v>
      </c>
      <c r="V581" s="163"/>
      <c r="W581" s="163"/>
    </row>
    <row r="582" spans="1:23" s="17" customFormat="1">
      <c r="A582" s="176"/>
      <c r="B582" s="120" t="s">
        <v>446</v>
      </c>
      <c r="C582" s="177">
        <v>2025</v>
      </c>
      <c r="D582" s="80" t="s">
        <v>2318</v>
      </c>
      <c r="E582" s="8" t="s">
        <v>5473</v>
      </c>
      <c r="F582" s="1">
        <v>0</v>
      </c>
      <c r="G582" s="170"/>
      <c r="H582" s="171">
        <v>0</v>
      </c>
      <c r="I582" s="172">
        <v>0</v>
      </c>
      <c r="J582" s="171">
        <v>0</v>
      </c>
      <c r="K582" s="171">
        <v>0</v>
      </c>
      <c r="L582" s="171">
        <v>0</v>
      </c>
      <c r="M582" s="171">
        <v>-177000</v>
      </c>
      <c r="N582" s="171">
        <v>0</v>
      </c>
      <c r="P582" s="173">
        <f t="shared" si="9"/>
        <v>177000</v>
      </c>
      <c r="V582" s="163"/>
      <c r="W582" s="163"/>
    </row>
    <row r="583" spans="1:23" s="17" customFormat="1">
      <c r="A583" s="176"/>
      <c r="B583" s="120" t="s">
        <v>446</v>
      </c>
      <c r="C583" s="177">
        <v>2025</v>
      </c>
      <c r="D583" s="80" t="s">
        <v>2318</v>
      </c>
      <c r="E583" s="8" t="s">
        <v>5474</v>
      </c>
      <c r="F583" s="1">
        <v>0</v>
      </c>
      <c r="G583" s="170"/>
      <c r="H583" s="171">
        <v>0</v>
      </c>
      <c r="I583" s="172">
        <v>0</v>
      </c>
      <c r="J583" s="171">
        <v>0</v>
      </c>
      <c r="K583" s="171">
        <v>0</v>
      </c>
      <c r="L583" s="171">
        <v>0</v>
      </c>
      <c r="M583" s="171">
        <v>-230000</v>
      </c>
      <c r="N583" s="171">
        <v>0</v>
      </c>
      <c r="P583" s="173">
        <f t="shared" si="9"/>
        <v>230000</v>
      </c>
      <c r="V583" s="163"/>
      <c r="W583" s="163"/>
    </row>
    <row r="584" spans="1:23" s="17" customFormat="1">
      <c r="A584" s="176"/>
      <c r="B584" s="120" t="s">
        <v>446</v>
      </c>
      <c r="C584" s="177">
        <v>2025</v>
      </c>
      <c r="D584" s="80" t="s">
        <v>2318</v>
      </c>
      <c r="E584" s="8" t="s">
        <v>5468</v>
      </c>
      <c r="F584" s="1">
        <v>0</v>
      </c>
      <c r="G584" s="170"/>
      <c r="H584" s="171">
        <v>0</v>
      </c>
      <c r="I584" s="172">
        <v>0</v>
      </c>
      <c r="J584" s="171">
        <v>0</v>
      </c>
      <c r="K584" s="171">
        <v>0</v>
      </c>
      <c r="L584" s="171">
        <v>0</v>
      </c>
      <c r="M584" s="171">
        <v>-198000</v>
      </c>
      <c r="N584" s="171">
        <v>0</v>
      </c>
      <c r="P584" s="173">
        <f t="shared" si="9"/>
        <v>198000</v>
      </c>
      <c r="V584" s="163"/>
      <c r="W584" s="163"/>
    </row>
    <row r="585" spans="1:23" s="17" customFormat="1">
      <c r="A585" s="176"/>
      <c r="B585" s="120" t="s">
        <v>446</v>
      </c>
      <c r="C585" s="177">
        <v>2025</v>
      </c>
      <c r="D585" s="80" t="s">
        <v>2318</v>
      </c>
      <c r="E585" s="8" t="s">
        <v>5475</v>
      </c>
      <c r="F585" s="1">
        <v>0</v>
      </c>
      <c r="G585" s="170"/>
      <c r="H585" s="171">
        <v>0</v>
      </c>
      <c r="I585" s="172">
        <v>0</v>
      </c>
      <c r="J585" s="171">
        <v>0</v>
      </c>
      <c r="K585" s="171">
        <v>0</v>
      </c>
      <c r="L585" s="171">
        <v>0</v>
      </c>
      <c r="M585" s="171">
        <v>-580000</v>
      </c>
      <c r="N585" s="171">
        <v>0</v>
      </c>
      <c r="P585" s="173">
        <f t="shared" si="9"/>
        <v>580000</v>
      </c>
      <c r="V585" s="163"/>
      <c r="W585" s="163"/>
    </row>
    <row r="586" spans="1:23" s="17" customFormat="1">
      <c r="A586" s="176"/>
      <c r="B586" s="120" t="s">
        <v>446</v>
      </c>
      <c r="C586" s="177">
        <v>2025</v>
      </c>
      <c r="D586" s="80" t="s">
        <v>2318</v>
      </c>
      <c r="E586" s="8" t="s">
        <v>5476</v>
      </c>
      <c r="F586" s="1">
        <v>0</v>
      </c>
      <c r="G586" s="170"/>
      <c r="H586" s="171">
        <v>0</v>
      </c>
      <c r="I586" s="172">
        <v>0</v>
      </c>
      <c r="J586" s="171">
        <v>0</v>
      </c>
      <c r="K586" s="171">
        <v>0</v>
      </c>
      <c r="L586" s="171">
        <v>0</v>
      </c>
      <c r="M586" s="171">
        <v>-522665</v>
      </c>
      <c r="N586" s="171">
        <v>0</v>
      </c>
      <c r="P586" s="173">
        <f t="shared" si="9"/>
        <v>522665</v>
      </c>
      <c r="V586" s="163"/>
      <c r="W586" s="163"/>
    </row>
    <row r="587" spans="1:23" s="17" customFormat="1">
      <c r="A587" s="176"/>
      <c r="B587" s="120" t="s">
        <v>446</v>
      </c>
      <c r="C587" s="177">
        <v>2025</v>
      </c>
      <c r="D587" s="80" t="s">
        <v>2318</v>
      </c>
      <c r="E587" s="8" t="s">
        <v>5477</v>
      </c>
      <c r="F587" s="1">
        <v>0</v>
      </c>
      <c r="G587" s="170"/>
      <c r="H587" s="171">
        <v>0</v>
      </c>
      <c r="I587" s="172">
        <v>0</v>
      </c>
      <c r="J587" s="171">
        <v>0</v>
      </c>
      <c r="K587" s="171">
        <v>0</v>
      </c>
      <c r="L587" s="171">
        <v>0</v>
      </c>
      <c r="M587" s="171">
        <v>-113000</v>
      </c>
      <c r="N587" s="171">
        <v>0</v>
      </c>
      <c r="P587" s="173">
        <f t="shared" si="9"/>
        <v>113000</v>
      </c>
      <c r="V587" s="163"/>
      <c r="W587" s="163"/>
    </row>
    <row r="588" spans="1:23" s="17" customFormat="1">
      <c r="A588" s="176"/>
      <c r="B588" s="120" t="s">
        <v>446</v>
      </c>
      <c r="C588" s="177">
        <v>2025</v>
      </c>
      <c r="D588" s="80" t="s">
        <v>2318</v>
      </c>
      <c r="E588" s="8" t="s">
        <v>5474</v>
      </c>
      <c r="F588" s="1">
        <v>0</v>
      </c>
      <c r="G588" s="170"/>
      <c r="H588" s="171">
        <v>0</v>
      </c>
      <c r="I588" s="172">
        <v>0</v>
      </c>
      <c r="J588" s="171">
        <v>0</v>
      </c>
      <c r="K588" s="171">
        <v>0</v>
      </c>
      <c r="L588" s="171">
        <v>0</v>
      </c>
      <c r="M588" s="171">
        <v>-510000</v>
      </c>
      <c r="N588" s="171">
        <v>0</v>
      </c>
      <c r="P588" s="173">
        <f t="shared" si="9"/>
        <v>510000</v>
      </c>
      <c r="V588" s="163"/>
      <c r="W588" s="163"/>
    </row>
    <row r="589" spans="1:23" s="17" customFormat="1">
      <c r="A589" s="176"/>
      <c r="B589" s="120" t="s">
        <v>446</v>
      </c>
      <c r="C589" s="177">
        <v>2025</v>
      </c>
      <c r="D589" s="80" t="s">
        <v>2318</v>
      </c>
      <c r="E589" s="8" t="s">
        <v>5478</v>
      </c>
      <c r="F589" s="1">
        <v>0</v>
      </c>
      <c r="G589" s="170"/>
      <c r="H589" s="171">
        <v>0</v>
      </c>
      <c r="I589" s="172">
        <v>0</v>
      </c>
      <c r="J589" s="171">
        <v>0</v>
      </c>
      <c r="K589" s="171">
        <v>0</v>
      </c>
      <c r="L589" s="171">
        <v>0</v>
      </c>
      <c r="M589" s="171">
        <v>-184800</v>
      </c>
      <c r="N589" s="171">
        <v>0</v>
      </c>
      <c r="P589" s="173">
        <f t="shared" si="9"/>
        <v>184800</v>
      </c>
      <c r="V589" s="163"/>
      <c r="W589" s="163"/>
    </row>
    <row r="590" spans="1:23" s="17" customFormat="1">
      <c r="A590" s="176"/>
      <c r="B590" s="120" t="s">
        <v>446</v>
      </c>
      <c r="C590" s="177">
        <v>2025</v>
      </c>
      <c r="D590" s="80" t="s">
        <v>2318</v>
      </c>
      <c r="E590" s="8" t="s">
        <v>5472</v>
      </c>
      <c r="F590" s="1">
        <v>0</v>
      </c>
      <c r="G590" s="170"/>
      <c r="H590" s="171">
        <v>0</v>
      </c>
      <c r="I590" s="172">
        <v>0</v>
      </c>
      <c r="J590" s="171">
        <v>0</v>
      </c>
      <c r="K590" s="171">
        <v>0</v>
      </c>
      <c r="L590" s="171">
        <v>0</v>
      </c>
      <c r="M590" s="171">
        <v>-172000</v>
      </c>
      <c r="N590" s="171">
        <v>0</v>
      </c>
      <c r="P590" s="173">
        <f t="shared" si="9"/>
        <v>172000</v>
      </c>
      <c r="V590" s="163"/>
      <c r="W590" s="163"/>
    </row>
    <row r="591" spans="1:23" s="17" customFormat="1">
      <c r="A591" s="176"/>
      <c r="B591" s="120" t="s">
        <v>446</v>
      </c>
      <c r="C591" s="177">
        <v>2025</v>
      </c>
      <c r="D591" s="80" t="s">
        <v>2318</v>
      </c>
      <c r="E591" s="8" t="s">
        <v>5479</v>
      </c>
      <c r="F591" s="1">
        <v>0</v>
      </c>
      <c r="G591" s="170"/>
      <c r="H591" s="171">
        <v>0</v>
      </c>
      <c r="I591" s="172">
        <v>0</v>
      </c>
      <c r="J591" s="171">
        <v>0</v>
      </c>
      <c r="K591" s="171">
        <v>0</v>
      </c>
      <c r="L591" s="171">
        <v>0</v>
      </c>
      <c r="M591" s="171">
        <v>-1073150</v>
      </c>
      <c r="N591" s="171">
        <v>0</v>
      </c>
      <c r="P591" s="173">
        <f t="shared" si="9"/>
        <v>1073150</v>
      </c>
      <c r="V591" s="163"/>
      <c r="W591" s="163"/>
    </row>
    <row r="592" spans="1:23" s="17" customFormat="1">
      <c r="A592" s="176"/>
      <c r="B592" s="120" t="s">
        <v>446</v>
      </c>
      <c r="C592" s="177">
        <v>2025</v>
      </c>
      <c r="D592" s="80" t="s">
        <v>2318</v>
      </c>
      <c r="E592" s="8" t="s">
        <v>5480</v>
      </c>
      <c r="F592" s="1">
        <v>0</v>
      </c>
      <c r="G592" s="170"/>
      <c r="H592" s="171">
        <v>0</v>
      </c>
      <c r="I592" s="172">
        <v>0</v>
      </c>
      <c r="J592" s="171">
        <v>0</v>
      </c>
      <c r="K592" s="171">
        <v>0</v>
      </c>
      <c r="L592" s="171">
        <v>0</v>
      </c>
      <c r="M592" s="171">
        <v>-161700</v>
      </c>
      <c r="N592" s="171">
        <v>0</v>
      </c>
      <c r="P592" s="173">
        <f t="shared" si="9"/>
        <v>161700</v>
      </c>
      <c r="V592" s="163"/>
      <c r="W592" s="163"/>
    </row>
    <row r="593" spans="1:23" s="17" customFormat="1">
      <c r="A593" s="176"/>
      <c r="B593" s="120" t="s">
        <v>446</v>
      </c>
      <c r="C593" s="177">
        <v>2025</v>
      </c>
      <c r="D593" s="80" t="s">
        <v>2318</v>
      </c>
      <c r="E593" s="8" t="s">
        <v>5481</v>
      </c>
      <c r="F593" s="1">
        <v>0</v>
      </c>
      <c r="G593" s="170"/>
      <c r="H593" s="171">
        <v>0</v>
      </c>
      <c r="I593" s="172">
        <v>0</v>
      </c>
      <c r="J593" s="171">
        <v>0</v>
      </c>
      <c r="K593" s="171">
        <v>0</v>
      </c>
      <c r="L593" s="171">
        <v>0</v>
      </c>
      <c r="M593" s="171">
        <v>-346190</v>
      </c>
      <c r="N593" s="171">
        <v>0</v>
      </c>
      <c r="P593" s="173">
        <f t="shared" si="9"/>
        <v>346190</v>
      </c>
      <c r="V593" s="163"/>
      <c r="W593" s="163"/>
    </row>
    <row r="594" spans="1:23" s="17" customFormat="1">
      <c r="A594" s="176"/>
      <c r="B594" s="120" t="s">
        <v>446</v>
      </c>
      <c r="C594" s="177">
        <v>2025</v>
      </c>
      <c r="D594" s="80" t="s">
        <v>2318</v>
      </c>
      <c r="E594" s="8" t="s">
        <v>5482</v>
      </c>
      <c r="F594" s="1">
        <v>0</v>
      </c>
      <c r="G594" s="170"/>
      <c r="H594" s="171">
        <v>0</v>
      </c>
      <c r="I594" s="172">
        <v>0</v>
      </c>
      <c r="J594" s="171">
        <v>0</v>
      </c>
      <c r="K594" s="171">
        <v>0</v>
      </c>
      <c r="L594" s="171">
        <v>0</v>
      </c>
      <c r="M594" s="171">
        <v>-149000</v>
      </c>
      <c r="N594" s="171">
        <v>0</v>
      </c>
      <c r="P594" s="173">
        <f t="shared" si="9"/>
        <v>149000</v>
      </c>
      <c r="V594" s="163"/>
      <c r="W594" s="163"/>
    </row>
    <row r="595" spans="1:23" s="17" customFormat="1">
      <c r="A595" s="176"/>
      <c r="B595" s="120" t="s">
        <v>446</v>
      </c>
      <c r="C595" s="177">
        <v>2025</v>
      </c>
      <c r="D595" s="80" t="s">
        <v>2318</v>
      </c>
      <c r="E595" s="8" t="s">
        <v>5483</v>
      </c>
      <c r="F595" s="1">
        <v>0</v>
      </c>
      <c r="G595" s="170"/>
      <c r="H595" s="171">
        <v>0</v>
      </c>
      <c r="I595" s="172">
        <v>0</v>
      </c>
      <c r="J595" s="171">
        <v>0</v>
      </c>
      <c r="K595" s="171">
        <v>0</v>
      </c>
      <c r="L595" s="171">
        <v>0</v>
      </c>
      <c r="M595" s="171">
        <v>-307000</v>
      </c>
      <c r="N595" s="171">
        <v>0</v>
      </c>
      <c r="P595" s="173">
        <f t="shared" si="9"/>
        <v>307000</v>
      </c>
      <c r="V595" s="163"/>
      <c r="W595" s="163"/>
    </row>
    <row r="596" spans="1:23" s="17" customFormat="1">
      <c r="A596" s="176"/>
      <c r="B596" s="120" t="s">
        <v>446</v>
      </c>
      <c r="C596" s="177">
        <v>2025</v>
      </c>
      <c r="D596" s="80" t="s">
        <v>2318</v>
      </c>
      <c r="E596" s="8" t="s">
        <v>5484</v>
      </c>
      <c r="F596" s="1">
        <v>0</v>
      </c>
      <c r="G596" s="170"/>
      <c r="H596" s="171">
        <v>0</v>
      </c>
      <c r="I596" s="172">
        <v>0</v>
      </c>
      <c r="J596" s="171">
        <v>0</v>
      </c>
      <c r="K596" s="171">
        <v>0</v>
      </c>
      <c r="L596" s="171">
        <v>0</v>
      </c>
      <c r="M596" s="171">
        <v>-235000</v>
      </c>
      <c r="N596" s="171">
        <v>0</v>
      </c>
      <c r="P596" s="173">
        <f t="shared" si="9"/>
        <v>235000</v>
      </c>
      <c r="V596" s="163"/>
      <c r="W596" s="163"/>
    </row>
    <row r="597" spans="1:23" s="17" customFormat="1">
      <c r="A597" s="176"/>
      <c r="B597" s="120" t="s">
        <v>446</v>
      </c>
      <c r="C597" s="177">
        <v>2025</v>
      </c>
      <c r="D597" s="80" t="s">
        <v>2318</v>
      </c>
      <c r="E597" s="8" t="s">
        <v>5467</v>
      </c>
      <c r="F597" s="1">
        <v>0</v>
      </c>
      <c r="G597" s="170"/>
      <c r="H597" s="171">
        <v>0</v>
      </c>
      <c r="I597" s="172">
        <v>0</v>
      </c>
      <c r="J597" s="171">
        <v>0</v>
      </c>
      <c r="K597" s="171">
        <v>0</v>
      </c>
      <c r="L597" s="171">
        <v>0</v>
      </c>
      <c r="M597" s="171">
        <v>-132000</v>
      </c>
      <c r="N597" s="171">
        <v>0</v>
      </c>
      <c r="P597" s="173">
        <f t="shared" si="9"/>
        <v>132000</v>
      </c>
      <c r="V597" s="163"/>
      <c r="W597" s="163"/>
    </row>
    <row r="598" spans="1:23" s="17" customFormat="1">
      <c r="A598" s="176"/>
      <c r="B598" s="120" t="s">
        <v>446</v>
      </c>
      <c r="C598" s="177">
        <v>2025</v>
      </c>
      <c r="D598" s="80" t="s">
        <v>2318</v>
      </c>
      <c r="E598" s="8" t="s">
        <v>5467</v>
      </c>
      <c r="F598" s="1">
        <v>0</v>
      </c>
      <c r="G598" s="170"/>
      <c r="H598" s="171">
        <v>0</v>
      </c>
      <c r="I598" s="172">
        <v>0</v>
      </c>
      <c r="J598" s="171">
        <v>0</v>
      </c>
      <c r="K598" s="171">
        <v>0</v>
      </c>
      <c r="L598" s="171">
        <v>0</v>
      </c>
      <c r="M598" s="171">
        <v>-44000</v>
      </c>
      <c r="N598" s="171">
        <v>0</v>
      </c>
      <c r="P598" s="173">
        <f t="shared" si="9"/>
        <v>44000</v>
      </c>
      <c r="V598" s="163"/>
      <c r="W598" s="163"/>
    </row>
    <row r="599" spans="1:23" s="17" customFormat="1">
      <c r="A599" s="176"/>
      <c r="B599" s="120" t="s">
        <v>446</v>
      </c>
      <c r="C599" s="177">
        <v>2025</v>
      </c>
      <c r="D599" s="80" t="s">
        <v>2318</v>
      </c>
      <c r="E599" s="8" t="s">
        <v>5485</v>
      </c>
      <c r="F599" s="1">
        <v>0</v>
      </c>
      <c r="G599" s="170"/>
      <c r="H599" s="171">
        <v>0</v>
      </c>
      <c r="I599" s="172">
        <v>0</v>
      </c>
      <c r="J599" s="171">
        <v>0</v>
      </c>
      <c r="K599" s="171">
        <v>0</v>
      </c>
      <c r="L599" s="171">
        <v>0</v>
      </c>
      <c r="M599" s="171">
        <v>-255000</v>
      </c>
      <c r="N599" s="171">
        <v>0</v>
      </c>
      <c r="P599" s="173">
        <f t="shared" si="9"/>
        <v>255000</v>
      </c>
      <c r="V599" s="163"/>
      <c r="W599" s="163"/>
    </row>
    <row r="600" spans="1:23" s="17" customFormat="1">
      <c r="A600" s="176"/>
      <c r="B600" s="120" t="s">
        <v>446</v>
      </c>
      <c r="C600" s="177">
        <v>2025</v>
      </c>
      <c r="D600" s="80" t="s">
        <v>2318</v>
      </c>
      <c r="E600" s="8" t="s">
        <v>5486</v>
      </c>
      <c r="F600" s="1">
        <v>0</v>
      </c>
      <c r="G600" s="170"/>
      <c r="H600" s="171">
        <v>0</v>
      </c>
      <c r="I600" s="172">
        <v>0</v>
      </c>
      <c r="J600" s="171">
        <v>0</v>
      </c>
      <c r="K600" s="171">
        <v>0</v>
      </c>
      <c r="L600" s="171">
        <v>0</v>
      </c>
      <c r="M600" s="171">
        <v>-761200</v>
      </c>
      <c r="N600" s="171">
        <v>0</v>
      </c>
      <c r="P600" s="173">
        <f t="shared" si="9"/>
        <v>761200</v>
      </c>
      <c r="V600" s="163"/>
      <c r="W600" s="163"/>
    </row>
    <row r="601" spans="1:23" s="17" customFormat="1">
      <c r="A601" s="176"/>
      <c r="B601" s="120" t="s">
        <v>446</v>
      </c>
      <c r="C601" s="177">
        <v>2025</v>
      </c>
      <c r="D601" s="80" t="s">
        <v>2318</v>
      </c>
      <c r="E601" s="8" t="s">
        <v>5487</v>
      </c>
      <c r="F601" s="1">
        <v>0</v>
      </c>
      <c r="G601" s="170"/>
      <c r="H601" s="171">
        <v>0</v>
      </c>
      <c r="I601" s="172">
        <v>0</v>
      </c>
      <c r="J601" s="171">
        <v>0</v>
      </c>
      <c r="K601" s="171">
        <v>0</v>
      </c>
      <c r="L601" s="171">
        <v>0</v>
      </c>
      <c r="M601" s="171">
        <v>-203400</v>
      </c>
      <c r="N601" s="171">
        <v>0</v>
      </c>
      <c r="P601" s="173">
        <f t="shared" si="9"/>
        <v>203400</v>
      </c>
      <c r="V601" s="163"/>
      <c r="W601" s="163"/>
    </row>
    <row r="602" spans="1:23" s="17" customFormat="1">
      <c r="A602" s="176"/>
      <c r="B602" s="120" t="s">
        <v>446</v>
      </c>
      <c r="C602" s="177">
        <v>2025</v>
      </c>
      <c r="D602" s="80" t="s">
        <v>2318</v>
      </c>
      <c r="E602" s="8" t="s">
        <v>5488</v>
      </c>
      <c r="F602" s="1">
        <v>0</v>
      </c>
      <c r="G602" s="170"/>
      <c r="H602" s="171">
        <v>0</v>
      </c>
      <c r="I602" s="172">
        <v>0</v>
      </c>
      <c r="J602" s="171">
        <v>0</v>
      </c>
      <c r="K602" s="171">
        <v>0</v>
      </c>
      <c r="L602" s="171">
        <v>0</v>
      </c>
      <c r="M602" s="171">
        <v>-524400</v>
      </c>
      <c r="N602" s="171">
        <v>0</v>
      </c>
      <c r="P602" s="173">
        <f t="shared" si="9"/>
        <v>524400</v>
      </c>
      <c r="V602" s="163"/>
      <c r="W602" s="163"/>
    </row>
    <row r="603" spans="1:23" s="17" customFormat="1">
      <c r="A603" s="176"/>
      <c r="B603" s="120" t="s">
        <v>446</v>
      </c>
      <c r="C603" s="177">
        <v>2025</v>
      </c>
      <c r="D603" s="80" t="s">
        <v>2318</v>
      </c>
      <c r="E603" s="8" t="s">
        <v>5489</v>
      </c>
      <c r="F603" s="1">
        <v>0</v>
      </c>
      <c r="G603" s="170"/>
      <c r="H603" s="171">
        <v>0</v>
      </c>
      <c r="I603" s="172">
        <v>0</v>
      </c>
      <c r="J603" s="171">
        <v>0</v>
      </c>
      <c r="K603" s="171">
        <v>0</v>
      </c>
      <c r="L603" s="171">
        <v>0</v>
      </c>
      <c r="M603" s="171">
        <v>-44000</v>
      </c>
      <c r="N603" s="171">
        <v>0</v>
      </c>
      <c r="P603" s="173">
        <f t="shared" si="9"/>
        <v>44000</v>
      </c>
      <c r="V603" s="163"/>
      <c r="W603" s="163"/>
    </row>
    <row r="604" spans="1:23" s="17" customFormat="1">
      <c r="A604" s="176"/>
      <c r="B604" s="120" t="s">
        <v>446</v>
      </c>
      <c r="C604" s="177">
        <v>2025</v>
      </c>
      <c r="D604" s="80" t="s">
        <v>2318</v>
      </c>
      <c r="E604" s="8" t="s">
        <v>5490</v>
      </c>
      <c r="F604" s="1">
        <v>0</v>
      </c>
      <c r="G604" s="170"/>
      <c r="H604" s="171">
        <v>0</v>
      </c>
      <c r="I604" s="172">
        <v>0</v>
      </c>
      <c r="J604" s="171">
        <v>0</v>
      </c>
      <c r="K604" s="171">
        <v>0</v>
      </c>
      <c r="L604" s="171">
        <v>0</v>
      </c>
      <c r="M604" s="171">
        <v>-408000</v>
      </c>
      <c r="N604" s="171">
        <v>0</v>
      </c>
      <c r="P604" s="173">
        <f t="shared" si="9"/>
        <v>408000</v>
      </c>
      <c r="V604" s="163"/>
      <c r="W604" s="163"/>
    </row>
    <row r="605" spans="1:23" s="17" customFormat="1">
      <c r="A605" s="176"/>
      <c r="B605" s="120" t="s">
        <v>446</v>
      </c>
      <c r="C605" s="177">
        <v>2025</v>
      </c>
      <c r="D605" s="80" t="s">
        <v>2318</v>
      </c>
      <c r="E605" s="8" t="s">
        <v>5491</v>
      </c>
      <c r="F605" s="1">
        <v>0</v>
      </c>
      <c r="G605" s="170"/>
      <c r="H605" s="171">
        <v>0</v>
      </c>
      <c r="I605" s="172">
        <v>0</v>
      </c>
      <c r="J605" s="171">
        <v>0</v>
      </c>
      <c r="K605" s="171">
        <v>0</v>
      </c>
      <c r="L605" s="171">
        <v>0</v>
      </c>
      <c r="M605" s="171">
        <v>-655600</v>
      </c>
      <c r="N605" s="171">
        <v>0</v>
      </c>
      <c r="P605" s="173">
        <f t="shared" si="9"/>
        <v>655600</v>
      </c>
      <c r="V605" s="163"/>
      <c r="W605" s="163"/>
    </row>
    <row r="606" spans="1:23" s="17" customFormat="1">
      <c r="A606" s="176"/>
      <c r="B606" s="120" t="s">
        <v>446</v>
      </c>
      <c r="C606" s="177">
        <v>2025</v>
      </c>
      <c r="D606" s="80" t="s">
        <v>2318</v>
      </c>
      <c r="E606" s="8" t="s">
        <v>5492</v>
      </c>
      <c r="F606" s="1">
        <v>0</v>
      </c>
      <c r="G606" s="170"/>
      <c r="H606" s="171">
        <v>0</v>
      </c>
      <c r="I606" s="172">
        <v>0</v>
      </c>
      <c r="J606" s="171">
        <v>0</v>
      </c>
      <c r="K606" s="171">
        <v>0</v>
      </c>
      <c r="L606" s="171">
        <v>0</v>
      </c>
      <c r="M606" s="171">
        <v>-193700</v>
      </c>
      <c r="N606" s="171">
        <v>0</v>
      </c>
      <c r="P606" s="173">
        <f t="shared" si="9"/>
        <v>193700</v>
      </c>
      <c r="V606" s="163"/>
      <c r="W606" s="163"/>
    </row>
    <row r="607" spans="1:23" s="17" customFormat="1">
      <c r="A607" s="176"/>
      <c r="B607" s="120" t="s">
        <v>446</v>
      </c>
      <c r="C607" s="177">
        <v>2025</v>
      </c>
      <c r="D607" s="80" t="s">
        <v>2318</v>
      </c>
      <c r="E607" s="8" t="s">
        <v>5478</v>
      </c>
      <c r="F607" s="1">
        <v>0</v>
      </c>
      <c r="G607" s="170"/>
      <c r="H607" s="171">
        <v>0</v>
      </c>
      <c r="I607" s="172">
        <v>0</v>
      </c>
      <c r="J607" s="171">
        <v>0</v>
      </c>
      <c r="K607" s="171">
        <v>0</v>
      </c>
      <c r="L607" s="171">
        <v>0</v>
      </c>
      <c r="M607" s="171">
        <v>-366135</v>
      </c>
      <c r="N607" s="171">
        <v>0</v>
      </c>
      <c r="P607" s="173">
        <f t="shared" si="9"/>
        <v>366135</v>
      </c>
      <c r="V607" s="163"/>
      <c r="W607" s="163"/>
    </row>
    <row r="608" spans="1:23" s="17" customFormat="1">
      <c r="A608" s="176"/>
      <c r="B608" s="120" t="s">
        <v>446</v>
      </c>
      <c r="C608" s="177">
        <v>2025</v>
      </c>
      <c r="D608" s="80" t="s">
        <v>2318</v>
      </c>
      <c r="E608" s="8" t="s">
        <v>5493</v>
      </c>
      <c r="F608" s="1">
        <v>0</v>
      </c>
      <c r="G608" s="170"/>
      <c r="H608" s="171">
        <v>0</v>
      </c>
      <c r="I608" s="172">
        <v>0</v>
      </c>
      <c r="J608" s="171">
        <v>0</v>
      </c>
      <c r="K608" s="171">
        <v>0</v>
      </c>
      <c r="L608" s="171">
        <v>0</v>
      </c>
      <c r="M608" s="171">
        <v>-330000</v>
      </c>
      <c r="N608" s="171">
        <v>0</v>
      </c>
      <c r="P608" s="173">
        <f t="shared" si="9"/>
        <v>330000</v>
      </c>
      <c r="V608" s="163"/>
      <c r="W608" s="163"/>
    </row>
    <row r="609" spans="1:23" s="17" customFormat="1">
      <c r="A609" s="176"/>
      <c r="B609" s="120" t="s">
        <v>446</v>
      </c>
      <c r="C609" s="177">
        <v>2025</v>
      </c>
      <c r="D609" s="80" t="s">
        <v>2318</v>
      </c>
      <c r="E609" s="8" t="s">
        <v>5494</v>
      </c>
      <c r="F609" s="1">
        <v>0</v>
      </c>
      <c r="G609" s="170"/>
      <c r="H609" s="171">
        <v>0</v>
      </c>
      <c r="I609" s="172">
        <v>0</v>
      </c>
      <c r="J609" s="171">
        <v>0</v>
      </c>
      <c r="K609" s="171">
        <v>0</v>
      </c>
      <c r="L609" s="171">
        <v>0</v>
      </c>
      <c r="M609" s="171">
        <v>-112700</v>
      </c>
      <c r="N609" s="171">
        <v>0</v>
      </c>
      <c r="P609" s="173">
        <f t="shared" si="9"/>
        <v>112700</v>
      </c>
      <c r="V609" s="163"/>
      <c r="W609" s="163"/>
    </row>
    <row r="610" spans="1:23" s="17" customFormat="1">
      <c r="A610" s="176"/>
      <c r="B610" s="120" t="s">
        <v>446</v>
      </c>
      <c r="C610" s="177">
        <v>2025</v>
      </c>
      <c r="D610" s="80" t="s">
        <v>2318</v>
      </c>
      <c r="E610" s="8" t="s">
        <v>5495</v>
      </c>
      <c r="F610" s="1">
        <v>0</v>
      </c>
      <c r="G610" s="170"/>
      <c r="H610" s="171">
        <v>0</v>
      </c>
      <c r="I610" s="172">
        <v>0</v>
      </c>
      <c r="J610" s="171">
        <v>0</v>
      </c>
      <c r="K610" s="171">
        <v>0</v>
      </c>
      <c r="L610" s="171">
        <v>0</v>
      </c>
      <c r="M610" s="171">
        <v>-112500</v>
      </c>
      <c r="N610" s="171">
        <v>0</v>
      </c>
      <c r="P610" s="173">
        <f t="shared" si="9"/>
        <v>112500</v>
      </c>
      <c r="V610" s="163"/>
      <c r="W610" s="163"/>
    </row>
    <row r="611" spans="1:23" s="17" customFormat="1">
      <c r="A611" s="176"/>
      <c r="B611" s="120" t="s">
        <v>446</v>
      </c>
      <c r="C611" s="177">
        <v>2025</v>
      </c>
      <c r="D611" s="80" t="s">
        <v>2318</v>
      </c>
      <c r="E611" s="8" t="s">
        <v>5496</v>
      </c>
      <c r="F611" s="1">
        <v>0</v>
      </c>
      <c r="G611" s="170"/>
      <c r="H611" s="171">
        <v>0</v>
      </c>
      <c r="I611" s="172">
        <v>0</v>
      </c>
      <c r="J611" s="171">
        <v>0</v>
      </c>
      <c r="K611" s="171">
        <v>0</v>
      </c>
      <c r="L611" s="171">
        <v>0</v>
      </c>
      <c r="M611" s="171">
        <v>-271500</v>
      </c>
      <c r="N611" s="171">
        <v>0</v>
      </c>
      <c r="P611" s="173">
        <f t="shared" si="9"/>
        <v>271500</v>
      </c>
      <c r="V611" s="163"/>
      <c r="W611" s="163"/>
    </row>
    <row r="612" spans="1:23" s="17" customFormat="1">
      <c r="A612" s="176"/>
      <c r="B612" s="120" t="s">
        <v>446</v>
      </c>
      <c r="C612" s="177">
        <v>2025</v>
      </c>
      <c r="D612" s="80" t="s">
        <v>2318</v>
      </c>
      <c r="E612" s="8" t="s">
        <v>5497</v>
      </c>
      <c r="F612" s="1">
        <v>0</v>
      </c>
      <c r="G612" s="170"/>
      <c r="H612" s="171">
        <v>0</v>
      </c>
      <c r="I612" s="172">
        <v>0</v>
      </c>
      <c r="J612" s="171">
        <v>0</v>
      </c>
      <c r="K612" s="171">
        <v>0</v>
      </c>
      <c r="L612" s="171">
        <v>0</v>
      </c>
      <c r="M612" s="171">
        <v>-139000</v>
      </c>
      <c r="N612" s="171">
        <v>0</v>
      </c>
      <c r="P612" s="173">
        <f t="shared" si="9"/>
        <v>139000</v>
      </c>
      <c r="V612" s="163"/>
      <c r="W612" s="163"/>
    </row>
    <row r="613" spans="1:23" s="17" customFormat="1">
      <c r="A613" s="176"/>
      <c r="B613" s="120" t="s">
        <v>446</v>
      </c>
      <c r="C613" s="177">
        <v>2025</v>
      </c>
      <c r="D613" s="80" t="s">
        <v>2318</v>
      </c>
      <c r="E613" s="8" t="s">
        <v>5498</v>
      </c>
      <c r="F613" s="1">
        <v>0</v>
      </c>
      <c r="G613" s="170"/>
      <c r="H613" s="171">
        <v>0</v>
      </c>
      <c r="I613" s="172">
        <v>0</v>
      </c>
      <c r="J613" s="171">
        <v>0</v>
      </c>
      <c r="K613" s="171">
        <v>0</v>
      </c>
      <c r="L613" s="171">
        <v>0</v>
      </c>
      <c r="M613" s="171">
        <v>-379000</v>
      </c>
      <c r="N613" s="171">
        <v>0</v>
      </c>
      <c r="P613" s="173">
        <f t="shared" si="9"/>
        <v>379000</v>
      </c>
      <c r="V613" s="163"/>
      <c r="W613" s="163"/>
    </row>
    <row r="614" spans="1:23" s="17" customFormat="1">
      <c r="A614" s="176"/>
      <c r="B614" s="120" t="s">
        <v>446</v>
      </c>
      <c r="C614" s="177">
        <v>2025</v>
      </c>
      <c r="D614" s="80" t="s">
        <v>2318</v>
      </c>
      <c r="E614" s="8" t="s">
        <v>5499</v>
      </c>
      <c r="F614" s="1">
        <v>0</v>
      </c>
      <c r="G614" s="170"/>
      <c r="H614" s="171">
        <v>0</v>
      </c>
      <c r="I614" s="172">
        <v>0</v>
      </c>
      <c r="J614" s="171">
        <v>0</v>
      </c>
      <c r="K614" s="171">
        <v>0</v>
      </c>
      <c r="L614" s="171">
        <v>0</v>
      </c>
      <c r="M614" s="171">
        <v>-488800</v>
      </c>
      <c r="N614" s="171">
        <v>0</v>
      </c>
      <c r="P614" s="173">
        <f t="shared" si="9"/>
        <v>488800</v>
      </c>
      <c r="V614" s="163"/>
      <c r="W614" s="163"/>
    </row>
    <row r="615" spans="1:23" s="17" customFormat="1">
      <c r="A615" s="176"/>
      <c r="B615" s="120" t="s">
        <v>446</v>
      </c>
      <c r="C615" s="177">
        <v>2025</v>
      </c>
      <c r="D615" s="80" t="s">
        <v>2318</v>
      </c>
      <c r="E615" s="8" t="s">
        <v>5500</v>
      </c>
      <c r="F615" s="1">
        <v>0</v>
      </c>
      <c r="G615" s="170"/>
      <c r="H615" s="171">
        <v>0</v>
      </c>
      <c r="I615" s="172">
        <v>0</v>
      </c>
      <c r="J615" s="171">
        <v>0</v>
      </c>
      <c r="K615" s="171">
        <v>0</v>
      </c>
      <c r="L615" s="171">
        <v>0</v>
      </c>
      <c r="M615" s="171">
        <v>-368500</v>
      </c>
      <c r="N615" s="171">
        <v>0</v>
      </c>
      <c r="P615" s="173">
        <f t="shared" si="9"/>
        <v>368500</v>
      </c>
      <c r="V615" s="163"/>
      <c r="W615" s="163"/>
    </row>
    <row r="616" spans="1:23" s="17" customFormat="1">
      <c r="A616" s="176"/>
      <c r="B616" s="120" t="s">
        <v>446</v>
      </c>
      <c r="C616" s="177">
        <v>2025</v>
      </c>
      <c r="D616" s="80" t="s">
        <v>2318</v>
      </c>
      <c r="E616" s="8" t="s">
        <v>5501</v>
      </c>
      <c r="F616" s="1">
        <v>0</v>
      </c>
      <c r="G616" s="170"/>
      <c r="H616" s="171">
        <v>0</v>
      </c>
      <c r="I616" s="172">
        <v>0</v>
      </c>
      <c r="J616" s="171">
        <v>0</v>
      </c>
      <c r="K616" s="171">
        <v>0</v>
      </c>
      <c r="L616" s="171">
        <v>0</v>
      </c>
      <c r="M616" s="171">
        <v>-162000</v>
      </c>
      <c r="N616" s="171">
        <v>0</v>
      </c>
      <c r="P616" s="173">
        <f t="shared" si="9"/>
        <v>162000</v>
      </c>
      <c r="V616" s="163"/>
      <c r="W616" s="163"/>
    </row>
    <row r="617" spans="1:23" s="17" customFormat="1">
      <c r="A617" s="176"/>
      <c r="B617" s="120" t="s">
        <v>446</v>
      </c>
      <c r="C617" s="177">
        <v>2025</v>
      </c>
      <c r="D617" s="80" t="s">
        <v>2318</v>
      </c>
      <c r="E617" s="8" t="s">
        <v>5502</v>
      </c>
      <c r="F617" s="1">
        <v>0</v>
      </c>
      <c r="G617" s="170"/>
      <c r="H617" s="171">
        <v>0</v>
      </c>
      <c r="I617" s="172">
        <v>0</v>
      </c>
      <c r="J617" s="171">
        <v>0</v>
      </c>
      <c r="K617" s="171">
        <v>0</v>
      </c>
      <c r="L617" s="171">
        <v>0</v>
      </c>
      <c r="M617" s="171">
        <v>-759000</v>
      </c>
      <c r="N617" s="171">
        <v>0</v>
      </c>
      <c r="P617" s="173">
        <f t="shared" si="9"/>
        <v>759000</v>
      </c>
      <c r="V617" s="163"/>
      <c r="W617" s="163"/>
    </row>
    <row r="618" spans="1:23" s="17" customFormat="1">
      <c r="A618" s="176"/>
      <c r="B618" s="120" t="s">
        <v>446</v>
      </c>
      <c r="C618" s="177">
        <v>2025</v>
      </c>
      <c r="D618" s="80" t="s">
        <v>3470</v>
      </c>
      <c r="E618" s="8" t="s">
        <v>5613</v>
      </c>
      <c r="F618" s="1">
        <v>0</v>
      </c>
      <c r="G618" s="170"/>
      <c r="H618" s="171">
        <v>0</v>
      </c>
      <c r="I618" s="172">
        <v>0</v>
      </c>
      <c r="J618" s="171">
        <v>0</v>
      </c>
      <c r="K618" s="171">
        <v>0</v>
      </c>
      <c r="L618" s="171">
        <v>0</v>
      </c>
      <c r="M618" s="171">
        <v>-92000</v>
      </c>
      <c r="N618" s="171">
        <v>0</v>
      </c>
      <c r="P618" s="173">
        <f t="shared" si="9"/>
        <v>92000</v>
      </c>
      <c r="V618" s="163"/>
      <c r="W618" s="163"/>
    </row>
    <row r="619" spans="1:23" s="17" customFormat="1">
      <c r="A619" s="176"/>
      <c r="B619" s="120" t="s">
        <v>446</v>
      </c>
      <c r="C619" s="177">
        <v>2025</v>
      </c>
      <c r="D619" s="80" t="s">
        <v>3470</v>
      </c>
      <c r="E619" s="8" t="s">
        <v>5614</v>
      </c>
      <c r="F619" s="1">
        <v>0</v>
      </c>
      <c r="G619" s="170"/>
      <c r="H619" s="171">
        <v>0</v>
      </c>
      <c r="I619" s="172">
        <v>0</v>
      </c>
      <c r="J619" s="171">
        <v>0</v>
      </c>
      <c r="K619" s="171">
        <v>0</v>
      </c>
      <c r="L619" s="171">
        <v>0</v>
      </c>
      <c r="M619" s="171">
        <v>-2705000</v>
      </c>
      <c r="N619" s="171">
        <v>0</v>
      </c>
      <c r="P619" s="173">
        <f t="shared" si="9"/>
        <v>2705000</v>
      </c>
      <c r="V619" s="163"/>
      <c r="W619" s="163"/>
    </row>
    <row r="620" spans="1:23" s="17" customFormat="1">
      <c r="A620" s="176"/>
      <c r="B620" s="120" t="s">
        <v>446</v>
      </c>
      <c r="C620" s="177">
        <v>2025</v>
      </c>
      <c r="D620" s="80" t="s">
        <v>3470</v>
      </c>
      <c r="E620" s="8" t="s">
        <v>5615</v>
      </c>
      <c r="F620" s="1">
        <v>0</v>
      </c>
      <c r="G620" s="170"/>
      <c r="H620" s="171">
        <v>0</v>
      </c>
      <c r="I620" s="172">
        <v>0</v>
      </c>
      <c r="J620" s="171">
        <v>0</v>
      </c>
      <c r="K620" s="171">
        <v>0</v>
      </c>
      <c r="L620" s="171">
        <v>0</v>
      </c>
      <c r="M620" s="171">
        <v>-250000</v>
      </c>
      <c r="N620" s="171">
        <v>0</v>
      </c>
      <c r="P620" s="173">
        <f t="shared" si="9"/>
        <v>250000</v>
      </c>
      <c r="V620" s="163"/>
      <c r="W620" s="163"/>
    </row>
    <row r="621" spans="1:23" s="17" customFormat="1">
      <c r="A621" s="176"/>
      <c r="B621" s="120" t="s">
        <v>446</v>
      </c>
      <c r="C621" s="177">
        <v>2025</v>
      </c>
      <c r="D621" s="80" t="s">
        <v>3470</v>
      </c>
      <c r="E621" s="8" t="s">
        <v>5616</v>
      </c>
      <c r="F621" s="1">
        <v>0</v>
      </c>
      <c r="G621" s="170"/>
      <c r="H621" s="171">
        <v>0</v>
      </c>
      <c r="I621" s="172">
        <v>0</v>
      </c>
      <c r="J621" s="171">
        <v>0</v>
      </c>
      <c r="K621" s="171">
        <v>0</v>
      </c>
      <c r="L621" s="171">
        <v>0</v>
      </c>
      <c r="M621" s="171">
        <v>-685000</v>
      </c>
      <c r="N621" s="171">
        <v>0</v>
      </c>
      <c r="P621" s="173">
        <f t="shared" si="9"/>
        <v>685000</v>
      </c>
      <c r="V621" s="163"/>
      <c r="W621" s="163"/>
    </row>
    <row r="622" spans="1:23" s="17" customFormat="1">
      <c r="A622" s="176"/>
      <c r="B622" s="120" t="s">
        <v>446</v>
      </c>
      <c r="C622" s="177">
        <v>2025</v>
      </c>
      <c r="D622" s="80" t="s">
        <v>3470</v>
      </c>
      <c r="E622" s="8" t="s">
        <v>5617</v>
      </c>
      <c r="F622" s="1">
        <v>0</v>
      </c>
      <c r="G622" s="170"/>
      <c r="H622" s="171">
        <v>0</v>
      </c>
      <c r="I622" s="172">
        <v>0</v>
      </c>
      <c r="J622" s="171">
        <v>0</v>
      </c>
      <c r="K622" s="171">
        <v>0</v>
      </c>
      <c r="L622" s="171">
        <v>0</v>
      </c>
      <c r="M622" s="171">
        <v>-300000</v>
      </c>
      <c r="N622" s="171">
        <v>0</v>
      </c>
      <c r="P622" s="173">
        <f t="shared" si="9"/>
        <v>300000</v>
      </c>
      <c r="V622" s="163"/>
      <c r="W622" s="163"/>
    </row>
    <row r="623" spans="1:23" s="17" customFormat="1">
      <c r="A623" s="176"/>
      <c r="B623" s="120" t="s">
        <v>446</v>
      </c>
      <c r="C623" s="177">
        <v>2025</v>
      </c>
      <c r="D623" s="80" t="s">
        <v>3470</v>
      </c>
      <c r="E623" s="8" t="s">
        <v>5618</v>
      </c>
      <c r="F623" s="1">
        <v>0</v>
      </c>
      <c r="G623" s="170"/>
      <c r="H623" s="171">
        <v>0</v>
      </c>
      <c r="I623" s="172">
        <v>0</v>
      </c>
      <c r="J623" s="171">
        <v>0</v>
      </c>
      <c r="K623" s="171">
        <v>0</v>
      </c>
      <c r="L623" s="171">
        <v>0</v>
      </c>
      <c r="M623" s="171">
        <v>-238970</v>
      </c>
      <c r="N623" s="171">
        <v>0</v>
      </c>
      <c r="P623" s="173">
        <f t="shared" si="9"/>
        <v>238970</v>
      </c>
      <c r="V623" s="163"/>
      <c r="W623" s="163"/>
    </row>
    <row r="624" spans="1:23" s="17" customFormat="1">
      <c r="A624" s="176"/>
      <c r="B624" s="120" t="s">
        <v>446</v>
      </c>
      <c r="C624" s="177">
        <v>2025</v>
      </c>
      <c r="D624" s="80" t="s">
        <v>3470</v>
      </c>
      <c r="E624" s="8" t="s">
        <v>5619</v>
      </c>
      <c r="F624" s="1">
        <v>0</v>
      </c>
      <c r="G624" s="170"/>
      <c r="H624" s="171">
        <v>0</v>
      </c>
      <c r="I624" s="172">
        <v>0</v>
      </c>
      <c r="J624" s="171">
        <v>0</v>
      </c>
      <c r="K624" s="171">
        <v>0</v>
      </c>
      <c r="L624" s="171">
        <v>0</v>
      </c>
      <c r="M624" s="171">
        <v>-16645037</v>
      </c>
      <c r="N624" s="171">
        <v>0</v>
      </c>
      <c r="P624" s="173">
        <f t="shared" si="9"/>
        <v>16645037</v>
      </c>
      <c r="V624" s="163"/>
      <c r="W624" s="163"/>
    </row>
    <row r="625" spans="1:23" s="17" customFormat="1">
      <c r="A625" s="176"/>
      <c r="B625" s="120" t="s">
        <v>446</v>
      </c>
      <c r="C625" s="177">
        <v>2025</v>
      </c>
      <c r="D625" s="80" t="s">
        <v>3470</v>
      </c>
      <c r="E625" s="8" t="s">
        <v>5621</v>
      </c>
      <c r="F625" s="1">
        <v>0</v>
      </c>
      <c r="G625" s="170"/>
      <c r="H625" s="171">
        <v>0</v>
      </c>
      <c r="I625" s="172">
        <v>0</v>
      </c>
      <c r="J625" s="171">
        <v>0</v>
      </c>
      <c r="K625" s="171">
        <v>0</v>
      </c>
      <c r="L625" s="171">
        <v>0</v>
      </c>
      <c r="M625" s="171">
        <v>-50000</v>
      </c>
      <c r="N625" s="171">
        <v>0</v>
      </c>
      <c r="P625" s="173">
        <f t="shared" si="9"/>
        <v>50000</v>
      </c>
      <c r="V625" s="163"/>
      <c r="W625" s="163"/>
    </row>
    <row r="626" spans="1:23" s="17" customFormat="1">
      <c r="A626" s="176"/>
      <c r="B626" s="120" t="s">
        <v>446</v>
      </c>
      <c r="C626" s="177">
        <v>2025</v>
      </c>
      <c r="D626" s="80" t="s">
        <v>3470</v>
      </c>
      <c r="E626" s="8" t="s">
        <v>5622</v>
      </c>
      <c r="F626" s="1">
        <v>0</v>
      </c>
      <c r="G626" s="170"/>
      <c r="H626" s="171">
        <v>0</v>
      </c>
      <c r="I626" s="172">
        <v>0</v>
      </c>
      <c r="J626" s="171">
        <v>0</v>
      </c>
      <c r="K626" s="171">
        <v>0</v>
      </c>
      <c r="L626" s="171">
        <v>0</v>
      </c>
      <c r="M626" s="171">
        <v>-80000</v>
      </c>
      <c r="N626" s="171">
        <v>0</v>
      </c>
      <c r="P626" s="173">
        <f t="shared" si="9"/>
        <v>80000</v>
      </c>
      <c r="V626" s="163"/>
      <c r="W626" s="163"/>
    </row>
    <row r="627" spans="1:23" s="17" customFormat="1">
      <c r="A627" s="176"/>
      <c r="B627" s="120" t="s">
        <v>446</v>
      </c>
      <c r="C627" s="177">
        <v>2025</v>
      </c>
      <c r="D627" s="80" t="s">
        <v>3470</v>
      </c>
      <c r="E627" s="8" t="s">
        <v>5623</v>
      </c>
      <c r="F627" s="1">
        <v>0</v>
      </c>
      <c r="G627" s="170"/>
      <c r="H627" s="171">
        <v>0</v>
      </c>
      <c r="I627" s="172">
        <v>0</v>
      </c>
      <c r="J627" s="171">
        <v>0</v>
      </c>
      <c r="K627" s="171">
        <v>0</v>
      </c>
      <c r="L627" s="171">
        <v>0</v>
      </c>
      <c r="M627" s="171">
        <v>-145000</v>
      </c>
      <c r="N627" s="171">
        <v>0</v>
      </c>
      <c r="P627" s="173">
        <f t="shared" si="9"/>
        <v>145000</v>
      </c>
      <c r="V627" s="163"/>
      <c r="W627" s="163"/>
    </row>
    <row r="628" spans="1:23" s="17" customFormat="1">
      <c r="A628" s="176"/>
      <c r="B628" s="120" t="s">
        <v>446</v>
      </c>
      <c r="C628" s="177">
        <v>2025</v>
      </c>
      <c r="D628" s="80" t="s">
        <v>3470</v>
      </c>
      <c r="E628" s="8" t="s">
        <v>5358</v>
      </c>
      <c r="F628" s="1">
        <v>0</v>
      </c>
      <c r="G628" s="170"/>
      <c r="H628" s="171">
        <v>0</v>
      </c>
      <c r="I628" s="172">
        <v>0</v>
      </c>
      <c r="J628" s="171">
        <v>0</v>
      </c>
      <c r="K628" s="171">
        <v>0</v>
      </c>
      <c r="L628" s="171">
        <v>0</v>
      </c>
      <c r="M628" s="171">
        <v>-172000</v>
      </c>
      <c r="N628" s="171">
        <v>0</v>
      </c>
      <c r="P628" s="173">
        <f t="shared" si="9"/>
        <v>172000</v>
      </c>
      <c r="V628" s="163"/>
      <c r="W628" s="163"/>
    </row>
    <row r="629" spans="1:23" s="17" customFormat="1">
      <c r="A629" s="176"/>
      <c r="B629" s="120" t="s">
        <v>446</v>
      </c>
      <c r="C629" s="177">
        <v>2025</v>
      </c>
      <c r="D629" s="80" t="s">
        <v>3470</v>
      </c>
      <c r="E629" s="8" t="s">
        <v>5624</v>
      </c>
      <c r="F629" s="1">
        <v>0</v>
      </c>
      <c r="G629" s="170"/>
      <c r="H629" s="171">
        <v>0</v>
      </c>
      <c r="I629" s="172">
        <v>0</v>
      </c>
      <c r="J629" s="171">
        <v>0</v>
      </c>
      <c r="K629" s="171">
        <v>0</v>
      </c>
      <c r="L629" s="171">
        <v>0</v>
      </c>
      <c r="M629" s="171">
        <v>-85000</v>
      </c>
      <c r="N629" s="171">
        <v>0</v>
      </c>
      <c r="P629" s="173">
        <f t="shared" si="9"/>
        <v>85000</v>
      </c>
      <c r="V629" s="163"/>
      <c r="W629" s="163"/>
    </row>
    <row r="630" spans="1:23" s="17" customFormat="1">
      <c r="A630" s="176"/>
      <c r="B630" s="120" t="s">
        <v>446</v>
      </c>
      <c r="C630" s="177">
        <v>2025</v>
      </c>
      <c r="D630" s="80" t="s">
        <v>3470</v>
      </c>
      <c r="E630" s="8" t="s">
        <v>5150</v>
      </c>
      <c r="F630" s="1">
        <v>0</v>
      </c>
      <c r="G630" s="170"/>
      <c r="H630" s="171">
        <v>0</v>
      </c>
      <c r="I630" s="172">
        <v>0</v>
      </c>
      <c r="J630" s="171">
        <v>0</v>
      </c>
      <c r="K630" s="171">
        <v>0</v>
      </c>
      <c r="L630" s="171">
        <v>0</v>
      </c>
      <c r="M630" s="171">
        <v>-20000</v>
      </c>
      <c r="N630" s="171">
        <v>0</v>
      </c>
      <c r="P630" s="173">
        <f t="shared" si="9"/>
        <v>20000</v>
      </c>
      <c r="V630" s="163"/>
      <c r="W630" s="163"/>
    </row>
    <row r="631" spans="1:23" s="17" customFormat="1">
      <c r="A631" s="176"/>
      <c r="B631" s="120" t="s">
        <v>446</v>
      </c>
      <c r="C631" s="177">
        <v>2025</v>
      </c>
      <c r="D631" s="80" t="s">
        <v>3470</v>
      </c>
      <c r="E631" s="8" t="s">
        <v>5625</v>
      </c>
      <c r="F631" s="1">
        <v>0</v>
      </c>
      <c r="G631" s="170"/>
      <c r="H631" s="171">
        <v>0</v>
      </c>
      <c r="I631" s="172">
        <v>0</v>
      </c>
      <c r="J631" s="171">
        <v>0</v>
      </c>
      <c r="K631" s="171">
        <v>0</v>
      </c>
      <c r="L631" s="171">
        <v>0</v>
      </c>
      <c r="M631" s="171">
        <v>-44000</v>
      </c>
      <c r="N631" s="171">
        <v>0</v>
      </c>
      <c r="P631" s="173">
        <f t="shared" si="9"/>
        <v>44000</v>
      </c>
      <c r="V631" s="163"/>
      <c r="W631" s="163"/>
    </row>
    <row r="632" spans="1:23" s="17" customFormat="1">
      <c r="A632" s="176"/>
      <c r="B632" s="120" t="s">
        <v>446</v>
      </c>
      <c r="C632" s="177">
        <v>2025</v>
      </c>
      <c r="D632" s="80" t="s">
        <v>3470</v>
      </c>
      <c r="E632" s="8" t="s">
        <v>5626</v>
      </c>
      <c r="F632" s="1">
        <v>0</v>
      </c>
      <c r="G632" s="170"/>
      <c r="H632" s="171">
        <v>0</v>
      </c>
      <c r="I632" s="172">
        <v>0</v>
      </c>
      <c r="J632" s="171">
        <v>0</v>
      </c>
      <c r="K632" s="171">
        <v>0</v>
      </c>
      <c r="L632" s="171">
        <v>0</v>
      </c>
      <c r="M632" s="171">
        <v>-8000</v>
      </c>
      <c r="N632" s="171">
        <v>0</v>
      </c>
      <c r="P632" s="173">
        <f t="shared" si="9"/>
        <v>8000</v>
      </c>
      <c r="V632" s="163"/>
      <c r="W632" s="163"/>
    </row>
    <row r="633" spans="1:23" s="17" customFormat="1">
      <c r="A633" s="176"/>
      <c r="B633" s="120" t="s">
        <v>446</v>
      </c>
      <c r="C633" s="177">
        <v>2025</v>
      </c>
      <c r="D633" s="80" t="s">
        <v>3470</v>
      </c>
      <c r="E633" s="8" t="s">
        <v>5627</v>
      </c>
      <c r="F633" s="1">
        <v>0</v>
      </c>
      <c r="G633" s="170"/>
      <c r="H633" s="171">
        <v>0</v>
      </c>
      <c r="I633" s="172">
        <v>0</v>
      </c>
      <c r="J633" s="171">
        <v>0</v>
      </c>
      <c r="K633" s="171">
        <v>0</v>
      </c>
      <c r="L633" s="171">
        <v>0</v>
      </c>
      <c r="M633" s="171">
        <v>-15500</v>
      </c>
      <c r="N633" s="171">
        <v>0</v>
      </c>
      <c r="P633" s="173">
        <f t="shared" si="9"/>
        <v>15500</v>
      </c>
      <c r="V633" s="163"/>
      <c r="W633" s="163"/>
    </row>
    <row r="634" spans="1:23" s="17" customFormat="1">
      <c r="A634" s="176"/>
      <c r="B634" s="120" t="s">
        <v>446</v>
      </c>
      <c r="C634" s="177">
        <v>2025</v>
      </c>
      <c r="D634" s="80" t="s">
        <v>3470</v>
      </c>
      <c r="E634" s="8" t="s">
        <v>5628</v>
      </c>
      <c r="F634" s="1">
        <v>0</v>
      </c>
      <c r="G634" s="170"/>
      <c r="H634" s="171">
        <v>0</v>
      </c>
      <c r="I634" s="172">
        <v>0</v>
      </c>
      <c r="J634" s="171">
        <v>0</v>
      </c>
      <c r="K634" s="171">
        <v>0</v>
      </c>
      <c r="L634" s="171">
        <v>0</v>
      </c>
      <c r="M634" s="171">
        <v>-204000</v>
      </c>
      <c r="N634" s="171">
        <v>0</v>
      </c>
      <c r="P634" s="173">
        <f t="shared" si="9"/>
        <v>204000</v>
      </c>
      <c r="V634" s="163"/>
      <c r="W634" s="163"/>
    </row>
    <row r="635" spans="1:23" s="17" customFormat="1">
      <c r="A635" s="176"/>
      <c r="B635" s="120" t="s">
        <v>446</v>
      </c>
      <c r="C635" s="177">
        <v>2025</v>
      </c>
      <c r="D635" s="80" t="s">
        <v>3470</v>
      </c>
      <c r="E635" s="8" t="s">
        <v>5629</v>
      </c>
      <c r="F635" s="1">
        <v>0</v>
      </c>
      <c r="G635" s="170"/>
      <c r="H635" s="171">
        <v>0</v>
      </c>
      <c r="I635" s="172">
        <v>0</v>
      </c>
      <c r="J635" s="171">
        <v>0</v>
      </c>
      <c r="K635" s="171">
        <v>0</v>
      </c>
      <c r="L635" s="171">
        <v>0</v>
      </c>
      <c r="M635" s="171">
        <v>-11500</v>
      </c>
      <c r="N635" s="171">
        <v>0</v>
      </c>
      <c r="P635" s="173">
        <f t="shared" si="9"/>
        <v>11500</v>
      </c>
      <c r="V635" s="163"/>
      <c r="W635" s="163"/>
    </row>
    <row r="636" spans="1:23" s="17" customFormat="1">
      <c r="A636" s="176"/>
      <c r="B636" s="120" t="s">
        <v>446</v>
      </c>
      <c r="C636" s="177">
        <v>2025</v>
      </c>
      <c r="D636" s="80" t="s">
        <v>3470</v>
      </c>
      <c r="E636" s="8" t="s">
        <v>5630</v>
      </c>
      <c r="F636" s="1">
        <v>0</v>
      </c>
      <c r="G636" s="170"/>
      <c r="H636" s="171">
        <v>0</v>
      </c>
      <c r="I636" s="172">
        <v>0</v>
      </c>
      <c r="J636" s="171">
        <v>0</v>
      </c>
      <c r="K636" s="171">
        <v>0</v>
      </c>
      <c r="L636" s="171">
        <v>0</v>
      </c>
      <c r="M636" s="171">
        <v>-621206</v>
      </c>
      <c r="N636" s="171">
        <v>0</v>
      </c>
      <c r="P636" s="173">
        <f t="shared" si="9"/>
        <v>621206</v>
      </c>
      <c r="V636" s="163"/>
      <c r="W636" s="163"/>
    </row>
    <row r="637" spans="1:23" s="17" customFormat="1">
      <c r="A637" s="176"/>
      <c r="B637" s="120" t="s">
        <v>446</v>
      </c>
      <c r="C637" s="177">
        <v>2025</v>
      </c>
      <c r="D637" s="80" t="s">
        <v>3470</v>
      </c>
      <c r="E637" s="8" t="s">
        <v>5631</v>
      </c>
      <c r="F637" s="1">
        <v>0</v>
      </c>
      <c r="G637" s="170"/>
      <c r="H637" s="171">
        <v>0</v>
      </c>
      <c r="I637" s="172">
        <v>0</v>
      </c>
      <c r="J637" s="171">
        <v>0</v>
      </c>
      <c r="K637" s="171">
        <v>0</v>
      </c>
      <c r="L637" s="171">
        <v>0</v>
      </c>
      <c r="M637" s="171">
        <v>-13500</v>
      </c>
      <c r="N637" s="171">
        <v>0</v>
      </c>
      <c r="P637" s="173">
        <f t="shared" si="9"/>
        <v>13500</v>
      </c>
      <c r="V637" s="163"/>
      <c r="W637" s="163"/>
    </row>
    <row r="638" spans="1:23" s="17" customFormat="1">
      <c r="A638" s="176"/>
      <c r="B638" s="120" t="s">
        <v>446</v>
      </c>
      <c r="C638" s="177">
        <v>2025</v>
      </c>
      <c r="D638" s="80" t="s">
        <v>3470</v>
      </c>
      <c r="E638" s="8" t="s">
        <v>5632</v>
      </c>
      <c r="F638" s="1">
        <v>0</v>
      </c>
      <c r="G638" s="170"/>
      <c r="H638" s="171">
        <v>0</v>
      </c>
      <c r="I638" s="172">
        <v>0</v>
      </c>
      <c r="J638" s="171">
        <v>0</v>
      </c>
      <c r="K638" s="171">
        <v>0</v>
      </c>
      <c r="L638" s="171">
        <v>0</v>
      </c>
      <c r="M638" s="171">
        <v>-200000</v>
      </c>
      <c r="N638" s="171">
        <v>0</v>
      </c>
      <c r="P638" s="173">
        <f t="shared" si="9"/>
        <v>200000</v>
      </c>
      <c r="V638" s="163"/>
      <c r="W638" s="163"/>
    </row>
    <row r="639" spans="1:23" s="17" customFormat="1">
      <c r="A639" s="176"/>
      <c r="B639" s="120" t="s">
        <v>446</v>
      </c>
      <c r="C639" s="177">
        <v>2025</v>
      </c>
      <c r="D639" s="80" t="s">
        <v>3470</v>
      </c>
      <c r="E639" s="8" t="s">
        <v>5633</v>
      </c>
      <c r="F639" s="1">
        <v>0</v>
      </c>
      <c r="G639" s="170"/>
      <c r="H639" s="171">
        <v>0</v>
      </c>
      <c r="I639" s="172">
        <v>0</v>
      </c>
      <c r="J639" s="171">
        <v>0</v>
      </c>
      <c r="K639" s="171">
        <v>0</v>
      </c>
      <c r="L639" s="171">
        <v>0</v>
      </c>
      <c r="M639" s="171">
        <v>-50000</v>
      </c>
      <c r="N639" s="171">
        <v>0</v>
      </c>
      <c r="P639" s="173">
        <f t="shared" si="9"/>
        <v>50000</v>
      </c>
      <c r="V639" s="163"/>
      <c r="W639" s="163"/>
    </row>
    <row r="640" spans="1:23" s="17" customFormat="1">
      <c r="A640" s="176"/>
      <c r="B640" s="120" t="s">
        <v>446</v>
      </c>
      <c r="C640" s="177">
        <v>2025</v>
      </c>
      <c r="D640" s="80" t="s">
        <v>3470</v>
      </c>
      <c r="E640" s="8" t="s">
        <v>5634</v>
      </c>
      <c r="F640" s="1">
        <v>0</v>
      </c>
      <c r="G640" s="170"/>
      <c r="H640" s="171">
        <v>0</v>
      </c>
      <c r="I640" s="172">
        <v>0</v>
      </c>
      <c r="J640" s="171">
        <v>0</v>
      </c>
      <c r="K640" s="171">
        <v>0</v>
      </c>
      <c r="L640" s="171">
        <v>0</v>
      </c>
      <c r="M640" s="171">
        <v>-200000</v>
      </c>
      <c r="N640" s="171">
        <v>0</v>
      </c>
      <c r="P640" s="173">
        <f t="shared" si="9"/>
        <v>200000</v>
      </c>
      <c r="V640" s="163"/>
      <c r="W640" s="163"/>
    </row>
    <row r="641" spans="1:23" s="17" customFormat="1">
      <c r="A641" s="176"/>
      <c r="B641" s="120" t="s">
        <v>446</v>
      </c>
      <c r="C641" s="177">
        <v>2025</v>
      </c>
      <c r="D641" s="80" t="s">
        <v>3470</v>
      </c>
      <c r="E641" s="8" t="s">
        <v>5635</v>
      </c>
      <c r="F641" s="1">
        <v>0</v>
      </c>
      <c r="G641" s="170"/>
      <c r="H641" s="171">
        <v>0</v>
      </c>
      <c r="I641" s="172">
        <v>0</v>
      </c>
      <c r="J641" s="171">
        <v>0</v>
      </c>
      <c r="K641" s="171">
        <v>0</v>
      </c>
      <c r="L641" s="171">
        <v>0</v>
      </c>
      <c r="M641" s="171">
        <v>-140000</v>
      </c>
      <c r="N641" s="171">
        <v>0</v>
      </c>
      <c r="P641" s="173">
        <f t="shared" si="9"/>
        <v>140000</v>
      </c>
      <c r="V641" s="163"/>
      <c r="W641" s="163"/>
    </row>
    <row r="642" spans="1:23" s="17" customFormat="1">
      <c r="A642" s="176"/>
      <c r="B642" s="120" t="s">
        <v>446</v>
      </c>
      <c r="C642" s="177">
        <v>2025</v>
      </c>
      <c r="D642" s="80" t="s">
        <v>4095</v>
      </c>
      <c r="E642" s="8" t="s">
        <v>5702</v>
      </c>
      <c r="F642" s="1">
        <v>0</v>
      </c>
      <c r="G642" s="170"/>
      <c r="H642" s="171">
        <v>0</v>
      </c>
      <c r="I642" s="172">
        <v>0</v>
      </c>
      <c r="J642" s="171">
        <v>0</v>
      </c>
      <c r="K642" s="171">
        <v>0</v>
      </c>
      <c r="L642" s="171">
        <v>0</v>
      </c>
      <c r="M642" s="171">
        <v>-67500</v>
      </c>
      <c r="N642" s="171">
        <v>0</v>
      </c>
      <c r="P642" s="173">
        <f t="shared" si="9"/>
        <v>67500</v>
      </c>
      <c r="V642" s="163"/>
      <c r="W642" s="163"/>
    </row>
    <row r="643" spans="1:23" s="17" customFormat="1">
      <c r="A643" s="176"/>
      <c r="B643" s="120" t="s">
        <v>446</v>
      </c>
      <c r="C643" s="177">
        <v>2025</v>
      </c>
      <c r="D643" s="80" t="s">
        <v>4095</v>
      </c>
      <c r="E643" s="8" t="s">
        <v>5703</v>
      </c>
      <c r="F643" s="1">
        <v>0</v>
      </c>
      <c r="G643" s="170"/>
      <c r="H643" s="171">
        <v>0</v>
      </c>
      <c r="I643" s="172">
        <v>0</v>
      </c>
      <c r="J643" s="171">
        <v>0</v>
      </c>
      <c r="K643" s="171">
        <v>0</v>
      </c>
      <c r="L643" s="171">
        <v>0</v>
      </c>
      <c r="M643" s="171">
        <v>-1000000</v>
      </c>
      <c r="N643" s="171">
        <v>0</v>
      </c>
      <c r="P643" s="173">
        <f t="shared" si="9"/>
        <v>1000000</v>
      </c>
      <c r="V643" s="163"/>
      <c r="W643" s="163"/>
    </row>
    <row r="644" spans="1:23" s="17" customFormat="1">
      <c r="A644" s="176"/>
      <c r="B644" s="120" t="s">
        <v>446</v>
      </c>
      <c r="C644" s="177">
        <v>2025</v>
      </c>
      <c r="D644" s="80" t="s">
        <v>4095</v>
      </c>
      <c r="E644" s="8" t="s">
        <v>5704</v>
      </c>
      <c r="F644" s="1">
        <v>0</v>
      </c>
      <c r="G644" s="170"/>
      <c r="H644" s="171">
        <v>0</v>
      </c>
      <c r="I644" s="172">
        <v>0</v>
      </c>
      <c r="J644" s="171">
        <v>0</v>
      </c>
      <c r="K644" s="171">
        <v>0</v>
      </c>
      <c r="L644" s="171">
        <v>0</v>
      </c>
      <c r="M644" s="171">
        <v>-300000</v>
      </c>
      <c r="N644" s="171">
        <v>0</v>
      </c>
      <c r="P644" s="173">
        <f t="shared" si="9"/>
        <v>300000</v>
      </c>
      <c r="V644" s="163"/>
      <c r="W644" s="163"/>
    </row>
    <row r="645" spans="1:23" s="17" customFormat="1">
      <c r="A645" s="176"/>
      <c r="B645" s="120" t="s">
        <v>446</v>
      </c>
      <c r="C645" s="177">
        <v>2025</v>
      </c>
      <c r="D645" s="80" t="s">
        <v>4095</v>
      </c>
      <c r="E645" s="8" t="s">
        <v>5705</v>
      </c>
      <c r="F645" s="1">
        <v>0</v>
      </c>
      <c r="G645" s="170"/>
      <c r="H645" s="171">
        <v>0</v>
      </c>
      <c r="I645" s="172">
        <v>0</v>
      </c>
      <c r="J645" s="171">
        <v>0</v>
      </c>
      <c r="K645" s="171">
        <v>0</v>
      </c>
      <c r="L645" s="171">
        <v>0</v>
      </c>
      <c r="M645" s="171">
        <v>-1900000</v>
      </c>
      <c r="N645" s="171">
        <v>0</v>
      </c>
      <c r="P645" s="173">
        <f t="shared" ref="P645:P708" si="10">F645-H645-I645-J645-K645-L645-M645</f>
        <v>1900000</v>
      </c>
      <c r="V645" s="163"/>
      <c r="W645" s="163"/>
    </row>
    <row r="646" spans="1:23" s="17" customFormat="1">
      <c r="A646" s="176"/>
      <c r="B646" s="120" t="s">
        <v>446</v>
      </c>
      <c r="C646" s="177">
        <v>2025</v>
      </c>
      <c r="D646" s="80" t="s">
        <v>4095</v>
      </c>
      <c r="E646" s="8" t="s">
        <v>5706</v>
      </c>
      <c r="F646" s="1">
        <v>0</v>
      </c>
      <c r="G646" s="170"/>
      <c r="H646" s="171">
        <v>0</v>
      </c>
      <c r="I646" s="172">
        <v>0</v>
      </c>
      <c r="J646" s="171">
        <v>0</v>
      </c>
      <c r="K646" s="171">
        <v>0</v>
      </c>
      <c r="L646" s="171">
        <v>0</v>
      </c>
      <c r="M646" s="171">
        <v>-87000</v>
      </c>
      <c r="N646" s="171">
        <v>0</v>
      </c>
      <c r="P646" s="173">
        <f t="shared" si="10"/>
        <v>87000</v>
      </c>
      <c r="V646" s="163"/>
      <c r="W646" s="163"/>
    </row>
    <row r="647" spans="1:23" s="17" customFormat="1">
      <c r="A647" s="176"/>
      <c r="B647" s="120" t="s">
        <v>446</v>
      </c>
      <c r="C647" s="177">
        <v>2025</v>
      </c>
      <c r="D647" s="80" t="s">
        <v>4095</v>
      </c>
      <c r="E647" s="8" t="s">
        <v>5707</v>
      </c>
      <c r="F647" s="1">
        <v>0</v>
      </c>
      <c r="G647" s="170"/>
      <c r="H647" s="171">
        <v>0</v>
      </c>
      <c r="I647" s="172">
        <v>0</v>
      </c>
      <c r="J647" s="171">
        <v>0</v>
      </c>
      <c r="K647" s="171">
        <v>0</v>
      </c>
      <c r="L647" s="171">
        <v>0</v>
      </c>
      <c r="M647" s="171">
        <v>-109901</v>
      </c>
      <c r="N647" s="171">
        <v>0</v>
      </c>
      <c r="P647" s="173">
        <f t="shared" si="10"/>
        <v>109901</v>
      </c>
      <c r="V647" s="163"/>
      <c r="W647" s="163"/>
    </row>
    <row r="648" spans="1:23" s="17" customFormat="1">
      <c r="A648" s="176"/>
      <c r="B648" s="120" t="s">
        <v>446</v>
      </c>
      <c r="C648" s="177">
        <v>2025</v>
      </c>
      <c r="D648" s="80" t="s">
        <v>4095</v>
      </c>
      <c r="E648" s="8" t="s">
        <v>5708</v>
      </c>
      <c r="F648" s="1">
        <v>0</v>
      </c>
      <c r="G648" s="170"/>
      <c r="H648" s="171">
        <v>0</v>
      </c>
      <c r="I648" s="172">
        <v>0</v>
      </c>
      <c r="J648" s="171">
        <v>0</v>
      </c>
      <c r="K648" s="171">
        <v>0</v>
      </c>
      <c r="L648" s="171">
        <v>0</v>
      </c>
      <c r="M648" s="171">
        <v>-5725000</v>
      </c>
      <c r="N648" s="171">
        <v>0</v>
      </c>
      <c r="P648" s="173">
        <f t="shared" si="10"/>
        <v>5725000</v>
      </c>
      <c r="V648" s="163"/>
      <c r="W648" s="163"/>
    </row>
    <row r="649" spans="1:23" s="17" customFormat="1">
      <c r="A649" s="176"/>
      <c r="B649" s="120" t="s">
        <v>446</v>
      </c>
      <c r="C649" s="177">
        <v>2025</v>
      </c>
      <c r="D649" s="80" t="s">
        <v>4095</v>
      </c>
      <c r="E649" s="8" t="s">
        <v>5709</v>
      </c>
      <c r="F649" s="1">
        <v>0</v>
      </c>
      <c r="G649" s="170"/>
      <c r="H649" s="171">
        <v>0</v>
      </c>
      <c r="I649" s="172">
        <v>0</v>
      </c>
      <c r="J649" s="171">
        <v>0</v>
      </c>
      <c r="K649" s="171">
        <v>0</v>
      </c>
      <c r="L649" s="171">
        <v>0</v>
      </c>
      <c r="M649" s="171">
        <v>-1200000</v>
      </c>
      <c r="N649" s="171">
        <v>0</v>
      </c>
      <c r="P649" s="173">
        <f t="shared" si="10"/>
        <v>1200000</v>
      </c>
      <c r="V649" s="163"/>
      <c r="W649" s="163"/>
    </row>
    <row r="650" spans="1:23" s="17" customFormat="1">
      <c r="A650" s="176"/>
      <c r="B650" s="120" t="s">
        <v>446</v>
      </c>
      <c r="C650" s="177">
        <v>2025</v>
      </c>
      <c r="D650" s="80" t="s">
        <v>4095</v>
      </c>
      <c r="E650" s="8" t="s">
        <v>5710</v>
      </c>
      <c r="F650" s="1">
        <v>0</v>
      </c>
      <c r="G650" s="170"/>
      <c r="H650" s="171">
        <v>0</v>
      </c>
      <c r="I650" s="172">
        <v>0</v>
      </c>
      <c r="J650" s="171">
        <v>0</v>
      </c>
      <c r="K650" s="171">
        <v>0</v>
      </c>
      <c r="L650" s="171">
        <v>0</v>
      </c>
      <c r="M650" s="171">
        <v>-67000</v>
      </c>
      <c r="N650" s="171">
        <v>0</v>
      </c>
      <c r="P650" s="173">
        <f t="shared" si="10"/>
        <v>67000</v>
      </c>
      <c r="V650" s="163"/>
      <c r="W650" s="163"/>
    </row>
    <row r="651" spans="1:23" s="17" customFormat="1">
      <c r="A651" s="176"/>
      <c r="B651" s="120" t="s">
        <v>446</v>
      </c>
      <c r="C651" s="177">
        <v>2025</v>
      </c>
      <c r="D651" s="80" t="s">
        <v>4095</v>
      </c>
      <c r="E651" s="8" t="s">
        <v>5711</v>
      </c>
      <c r="F651" s="1">
        <v>0</v>
      </c>
      <c r="G651" s="170"/>
      <c r="H651" s="171">
        <v>0</v>
      </c>
      <c r="I651" s="172">
        <v>0</v>
      </c>
      <c r="J651" s="171">
        <v>0</v>
      </c>
      <c r="K651" s="171">
        <v>0</v>
      </c>
      <c r="L651" s="171">
        <v>0</v>
      </c>
      <c r="M651" s="171">
        <v>-181000</v>
      </c>
      <c r="N651" s="171">
        <v>0</v>
      </c>
      <c r="P651" s="173">
        <f t="shared" si="10"/>
        <v>181000</v>
      </c>
      <c r="V651" s="163"/>
      <c r="W651" s="163"/>
    </row>
    <row r="652" spans="1:23" s="17" customFormat="1">
      <c r="A652" s="176"/>
      <c r="B652" s="120" t="s">
        <v>446</v>
      </c>
      <c r="C652" s="177">
        <v>2025</v>
      </c>
      <c r="D652" s="80" t="s">
        <v>4095</v>
      </c>
      <c r="E652" s="8" t="s">
        <v>5712</v>
      </c>
      <c r="F652" s="1">
        <v>0</v>
      </c>
      <c r="G652" s="170"/>
      <c r="H652" s="171">
        <v>0</v>
      </c>
      <c r="I652" s="172">
        <v>0</v>
      </c>
      <c r="J652" s="171">
        <v>0</v>
      </c>
      <c r="K652" s="171">
        <v>0</v>
      </c>
      <c r="L652" s="171">
        <v>0</v>
      </c>
      <c r="M652" s="171">
        <v>-450000</v>
      </c>
      <c r="N652" s="171">
        <v>0</v>
      </c>
      <c r="P652" s="173">
        <f t="shared" si="10"/>
        <v>450000</v>
      </c>
      <c r="V652" s="163"/>
      <c r="W652" s="163"/>
    </row>
    <row r="653" spans="1:23" s="17" customFormat="1">
      <c r="A653" s="176"/>
      <c r="B653" s="120" t="s">
        <v>446</v>
      </c>
      <c r="C653" s="177">
        <v>2025</v>
      </c>
      <c r="D653" s="80" t="s">
        <v>4095</v>
      </c>
      <c r="E653" s="8" t="s">
        <v>5713</v>
      </c>
      <c r="F653" s="1">
        <v>0</v>
      </c>
      <c r="G653" s="170"/>
      <c r="H653" s="171">
        <v>0</v>
      </c>
      <c r="I653" s="172">
        <v>0</v>
      </c>
      <c r="J653" s="171">
        <v>0</v>
      </c>
      <c r="K653" s="171">
        <v>0</v>
      </c>
      <c r="L653" s="171">
        <v>0</v>
      </c>
      <c r="M653" s="171">
        <v>-70000</v>
      </c>
      <c r="N653" s="171">
        <v>0</v>
      </c>
      <c r="P653" s="173">
        <f t="shared" si="10"/>
        <v>70000</v>
      </c>
      <c r="V653" s="163"/>
      <c r="W653" s="163"/>
    </row>
    <row r="654" spans="1:23" s="17" customFormat="1">
      <c r="A654" s="176"/>
      <c r="B654" s="120" t="s">
        <v>446</v>
      </c>
      <c r="C654" s="177">
        <v>2025</v>
      </c>
      <c r="D654" s="80" t="s">
        <v>4095</v>
      </c>
      <c r="E654" s="8" t="s">
        <v>5714</v>
      </c>
      <c r="F654" s="1">
        <v>0</v>
      </c>
      <c r="G654" s="170"/>
      <c r="H654" s="171">
        <v>0</v>
      </c>
      <c r="I654" s="172">
        <v>0</v>
      </c>
      <c r="J654" s="171">
        <v>0</v>
      </c>
      <c r="K654" s="171">
        <v>0</v>
      </c>
      <c r="L654" s="171">
        <v>0</v>
      </c>
      <c r="M654" s="171">
        <v>-160000</v>
      </c>
      <c r="N654" s="171">
        <v>0</v>
      </c>
      <c r="P654" s="173">
        <f t="shared" si="10"/>
        <v>160000</v>
      </c>
      <c r="V654" s="163"/>
      <c r="W654" s="163"/>
    </row>
    <row r="655" spans="1:23" s="17" customFormat="1">
      <c r="A655" s="176"/>
      <c r="B655" s="120" t="s">
        <v>446</v>
      </c>
      <c r="C655" s="177">
        <v>2025</v>
      </c>
      <c r="D655" s="80" t="s">
        <v>4095</v>
      </c>
      <c r="E655" s="8" t="s">
        <v>5715</v>
      </c>
      <c r="F655" s="1">
        <v>0</v>
      </c>
      <c r="G655" s="170"/>
      <c r="H655" s="171">
        <v>0</v>
      </c>
      <c r="I655" s="172">
        <v>0</v>
      </c>
      <c r="J655" s="171">
        <v>0</v>
      </c>
      <c r="K655" s="171">
        <v>0</v>
      </c>
      <c r="L655" s="171">
        <v>0</v>
      </c>
      <c r="M655" s="171">
        <v>-111800</v>
      </c>
      <c r="N655" s="171">
        <v>0</v>
      </c>
      <c r="P655" s="173">
        <f t="shared" si="10"/>
        <v>111800</v>
      </c>
      <c r="V655" s="163"/>
      <c r="W655" s="163"/>
    </row>
    <row r="656" spans="1:23" s="17" customFormat="1">
      <c r="A656" s="176"/>
      <c r="B656" s="120" t="s">
        <v>446</v>
      </c>
      <c r="C656" s="177">
        <v>2025</v>
      </c>
      <c r="D656" s="80" t="s">
        <v>4095</v>
      </c>
      <c r="E656" s="8" t="s">
        <v>5717</v>
      </c>
      <c r="F656" s="1">
        <v>0</v>
      </c>
      <c r="G656" s="170"/>
      <c r="H656" s="171">
        <v>0</v>
      </c>
      <c r="I656" s="172">
        <v>0</v>
      </c>
      <c r="J656" s="171">
        <v>0</v>
      </c>
      <c r="K656" s="171">
        <v>0</v>
      </c>
      <c r="L656" s="171">
        <v>0</v>
      </c>
      <c r="M656" s="171">
        <v>-1801000</v>
      </c>
      <c r="N656" s="171">
        <v>0</v>
      </c>
      <c r="P656" s="173">
        <f t="shared" si="10"/>
        <v>1801000</v>
      </c>
      <c r="V656" s="163"/>
      <c r="W656" s="163"/>
    </row>
    <row r="657" spans="1:23" s="17" customFormat="1">
      <c r="A657" s="176"/>
      <c r="B657" s="120" t="s">
        <v>446</v>
      </c>
      <c r="C657" s="177">
        <v>2025</v>
      </c>
      <c r="D657" s="80" t="s">
        <v>4095</v>
      </c>
      <c r="E657" s="8" t="s">
        <v>5718</v>
      </c>
      <c r="F657" s="1">
        <v>0</v>
      </c>
      <c r="G657" s="170"/>
      <c r="H657" s="171">
        <v>0</v>
      </c>
      <c r="I657" s="172">
        <v>0</v>
      </c>
      <c r="J657" s="171">
        <v>0</v>
      </c>
      <c r="K657" s="171">
        <v>0</v>
      </c>
      <c r="L657" s="171">
        <v>0</v>
      </c>
      <c r="M657" s="171">
        <v>-3301000</v>
      </c>
      <c r="N657" s="171">
        <v>0</v>
      </c>
      <c r="P657" s="173">
        <f t="shared" si="10"/>
        <v>3301000</v>
      </c>
      <c r="V657" s="163"/>
      <c r="W657" s="163"/>
    </row>
    <row r="658" spans="1:23" s="17" customFormat="1">
      <c r="A658" s="176"/>
      <c r="B658" s="120" t="s">
        <v>446</v>
      </c>
      <c r="C658" s="177">
        <v>2025</v>
      </c>
      <c r="D658" s="80" t="s">
        <v>4095</v>
      </c>
      <c r="E658" s="8" t="s">
        <v>5719</v>
      </c>
      <c r="F658" s="1">
        <v>0</v>
      </c>
      <c r="G658" s="170"/>
      <c r="H658" s="171">
        <v>0</v>
      </c>
      <c r="I658" s="172">
        <v>0</v>
      </c>
      <c r="J658" s="171">
        <v>0</v>
      </c>
      <c r="K658" s="171">
        <v>0</v>
      </c>
      <c r="L658" s="171">
        <v>0</v>
      </c>
      <c r="M658" s="171">
        <v>-3001000</v>
      </c>
      <c r="N658" s="171">
        <v>0</v>
      </c>
      <c r="P658" s="173">
        <f t="shared" si="10"/>
        <v>3001000</v>
      </c>
      <c r="V658" s="163"/>
      <c r="W658" s="163"/>
    </row>
    <row r="659" spans="1:23" s="17" customFormat="1">
      <c r="A659" s="176"/>
      <c r="B659" s="120" t="s">
        <v>446</v>
      </c>
      <c r="C659" s="177">
        <v>2025</v>
      </c>
      <c r="D659" s="80" t="s">
        <v>4095</v>
      </c>
      <c r="E659" s="8" t="s">
        <v>5720</v>
      </c>
      <c r="F659" s="1">
        <v>0</v>
      </c>
      <c r="G659" s="170"/>
      <c r="H659" s="171">
        <v>0</v>
      </c>
      <c r="I659" s="172">
        <v>0</v>
      </c>
      <c r="J659" s="171">
        <v>0</v>
      </c>
      <c r="K659" s="171">
        <v>0</v>
      </c>
      <c r="L659" s="171">
        <v>0</v>
      </c>
      <c r="M659" s="171">
        <v>-2701000</v>
      </c>
      <c r="N659" s="171">
        <v>0</v>
      </c>
      <c r="P659" s="173">
        <f t="shared" si="10"/>
        <v>2701000</v>
      </c>
      <c r="V659" s="163"/>
      <c r="W659" s="163"/>
    </row>
    <row r="660" spans="1:23" s="17" customFormat="1">
      <c r="A660" s="176"/>
      <c r="B660" s="120" t="s">
        <v>446</v>
      </c>
      <c r="C660" s="177">
        <v>2025</v>
      </c>
      <c r="D660" s="80" t="s">
        <v>4095</v>
      </c>
      <c r="E660" s="8" t="s">
        <v>5721</v>
      </c>
      <c r="F660" s="1">
        <v>0</v>
      </c>
      <c r="G660" s="170"/>
      <c r="H660" s="171">
        <v>0</v>
      </c>
      <c r="I660" s="172">
        <v>0</v>
      </c>
      <c r="J660" s="171">
        <v>0</v>
      </c>
      <c r="K660" s="171">
        <v>0</v>
      </c>
      <c r="L660" s="171">
        <v>0</v>
      </c>
      <c r="M660" s="171">
        <v>-3001000</v>
      </c>
      <c r="N660" s="171">
        <v>0</v>
      </c>
      <c r="P660" s="173">
        <f t="shared" si="10"/>
        <v>3001000</v>
      </c>
      <c r="V660" s="163"/>
      <c r="W660" s="163"/>
    </row>
    <row r="661" spans="1:23" s="17" customFormat="1">
      <c r="A661" s="176"/>
      <c r="B661" s="120" t="s">
        <v>446</v>
      </c>
      <c r="C661" s="177">
        <v>2025</v>
      </c>
      <c r="D661" s="80" t="s">
        <v>4095</v>
      </c>
      <c r="E661" s="8" t="s">
        <v>5722</v>
      </c>
      <c r="F661" s="1">
        <v>0</v>
      </c>
      <c r="G661" s="170"/>
      <c r="H661" s="171">
        <v>0</v>
      </c>
      <c r="I661" s="172">
        <v>0</v>
      </c>
      <c r="J661" s="171">
        <v>0</v>
      </c>
      <c r="K661" s="171">
        <v>0</v>
      </c>
      <c r="L661" s="171">
        <v>0</v>
      </c>
      <c r="M661" s="171">
        <v>-2701000</v>
      </c>
      <c r="N661" s="171">
        <v>0</v>
      </c>
      <c r="P661" s="173">
        <f t="shared" si="10"/>
        <v>2701000</v>
      </c>
      <c r="V661" s="163"/>
      <c r="W661" s="163"/>
    </row>
    <row r="662" spans="1:23" s="17" customFormat="1">
      <c r="A662" s="176"/>
      <c r="B662" s="120" t="s">
        <v>446</v>
      </c>
      <c r="C662" s="177">
        <v>2025</v>
      </c>
      <c r="D662" s="80" t="s">
        <v>4095</v>
      </c>
      <c r="E662" s="8" t="s">
        <v>5723</v>
      </c>
      <c r="F662" s="1">
        <v>0</v>
      </c>
      <c r="G662" s="170"/>
      <c r="H662" s="171">
        <v>0</v>
      </c>
      <c r="I662" s="172">
        <v>0</v>
      </c>
      <c r="J662" s="171">
        <v>0</v>
      </c>
      <c r="K662" s="171">
        <v>0</v>
      </c>
      <c r="L662" s="171">
        <v>0</v>
      </c>
      <c r="M662" s="171">
        <v>-2701000</v>
      </c>
      <c r="N662" s="171">
        <v>0</v>
      </c>
      <c r="P662" s="173">
        <f t="shared" si="10"/>
        <v>2701000</v>
      </c>
      <c r="V662" s="163"/>
      <c r="W662" s="163"/>
    </row>
    <row r="663" spans="1:23" s="17" customFormat="1">
      <c r="A663" s="176"/>
      <c r="B663" s="120" t="s">
        <v>446</v>
      </c>
      <c r="C663" s="177">
        <v>2025</v>
      </c>
      <c r="D663" s="80" t="s">
        <v>4095</v>
      </c>
      <c r="E663" s="8" t="s">
        <v>5724</v>
      </c>
      <c r="F663" s="1">
        <v>0</v>
      </c>
      <c r="G663" s="170"/>
      <c r="H663" s="171">
        <v>0</v>
      </c>
      <c r="I663" s="172">
        <v>0</v>
      </c>
      <c r="J663" s="171">
        <v>0</v>
      </c>
      <c r="K663" s="171">
        <v>0</v>
      </c>
      <c r="L663" s="171">
        <v>0</v>
      </c>
      <c r="M663" s="171">
        <v>-2701500</v>
      </c>
      <c r="N663" s="171">
        <v>0</v>
      </c>
      <c r="P663" s="173">
        <f t="shared" si="10"/>
        <v>2701500</v>
      </c>
      <c r="V663" s="163"/>
      <c r="W663" s="163"/>
    </row>
    <row r="664" spans="1:23" s="17" customFormat="1">
      <c r="A664" s="176"/>
      <c r="B664" s="120" t="s">
        <v>446</v>
      </c>
      <c r="C664" s="177">
        <v>2025</v>
      </c>
      <c r="D664" s="80" t="s">
        <v>4095</v>
      </c>
      <c r="E664" s="8" t="s">
        <v>5725</v>
      </c>
      <c r="F664" s="1">
        <v>0</v>
      </c>
      <c r="G664" s="170"/>
      <c r="H664" s="171">
        <v>0</v>
      </c>
      <c r="I664" s="172">
        <v>0</v>
      </c>
      <c r="J664" s="171">
        <v>0</v>
      </c>
      <c r="K664" s="171">
        <v>0</v>
      </c>
      <c r="L664" s="171">
        <v>0</v>
      </c>
      <c r="M664" s="171">
        <v>-1150000</v>
      </c>
      <c r="N664" s="171">
        <v>0</v>
      </c>
      <c r="P664" s="173">
        <f t="shared" si="10"/>
        <v>1150000</v>
      </c>
      <c r="V664" s="163"/>
      <c r="W664" s="163"/>
    </row>
    <row r="665" spans="1:23" s="17" customFormat="1">
      <c r="A665" s="176"/>
      <c r="B665" s="120" t="s">
        <v>446</v>
      </c>
      <c r="C665" s="177">
        <v>2025</v>
      </c>
      <c r="D665" s="80" t="s">
        <v>4095</v>
      </c>
      <c r="E665" s="8" t="s">
        <v>5726</v>
      </c>
      <c r="F665" s="1">
        <v>0</v>
      </c>
      <c r="G665" s="170"/>
      <c r="H665" s="171">
        <v>0</v>
      </c>
      <c r="I665" s="172">
        <v>0</v>
      </c>
      <c r="J665" s="171">
        <v>0</v>
      </c>
      <c r="K665" s="171">
        <v>0</v>
      </c>
      <c r="L665" s="171">
        <v>0</v>
      </c>
      <c r="M665" s="171">
        <v>-1400000</v>
      </c>
      <c r="N665" s="171">
        <v>0</v>
      </c>
      <c r="P665" s="173">
        <f t="shared" si="10"/>
        <v>1400000</v>
      </c>
      <c r="V665" s="163"/>
      <c r="W665" s="163"/>
    </row>
    <row r="666" spans="1:23" s="17" customFormat="1">
      <c r="A666" s="176"/>
      <c r="B666" s="120" t="s">
        <v>446</v>
      </c>
      <c r="C666" s="177">
        <v>2025</v>
      </c>
      <c r="D666" s="80" t="s">
        <v>4095</v>
      </c>
      <c r="E666" s="8" t="s">
        <v>5727</v>
      </c>
      <c r="F666" s="1">
        <v>0</v>
      </c>
      <c r="G666" s="170"/>
      <c r="H666" s="171">
        <v>0</v>
      </c>
      <c r="I666" s="172">
        <v>0</v>
      </c>
      <c r="J666" s="171">
        <v>0</v>
      </c>
      <c r="K666" s="171">
        <v>0</v>
      </c>
      <c r="L666" s="171">
        <v>0</v>
      </c>
      <c r="M666" s="171">
        <v>-440000</v>
      </c>
      <c r="N666" s="171">
        <v>0</v>
      </c>
      <c r="P666" s="173">
        <f t="shared" si="10"/>
        <v>440000</v>
      </c>
      <c r="V666" s="163"/>
      <c r="W666" s="163"/>
    </row>
    <row r="667" spans="1:23" s="17" customFormat="1">
      <c r="A667" s="176"/>
      <c r="B667" s="120" t="s">
        <v>446</v>
      </c>
      <c r="C667" s="177">
        <v>2025</v>
      </c>
      <c r="D667" s="80" t="s">
        <v>4095</v>
      </c>
      <c r="E667" s="8" t="s">
        <v>5728</v>
      </c>
      <c r="F667" s="1">
        <v>0</v>
      </c>
      <c r="G667" s="170"/>
      <c r="H667" s="171">
        <v>0</v>
      </c>
      <c r="I667" s="172">
        <v>0</v>
      </c>
      <c r="J667" s="171">
        <v>0</v>
      </c>
      <c r="K667" s="171">
        <v>0</v>
      </c>
      <c r="L667" s="171">
        <v>0</v>
      </c>
      <c r="M667" s="171">
        <v>-541750</v>
      </c>
      <c r="N667" s="171">
        <v>0</v>
      </c>
      <c r="P667" s="173">
        <f t="shared" si="10"/>
        <v>541750</v>
      </c>
      <c r="V667" s="163"/>
      <c r="W667" s="163"/>
    </row>
    <row r="668" spans="1:23" s="17" customFormat="1">
      <c r="A668" s="176"/>
      <c r="B668" s="120" t="s">
        <v>446</v>
      </c>
      <c r="C668" s="177">
        <v>2025</v>
      </c>
      <c r="D668" s="80" t="s">
        <v>4095</v>
      </c>
      <c r="E668" s="8" t="s">
        <v>5729</v>
      </c>
      <c r="F668" s="1">
        <v>0</v>
      </c>
      <c r="G668" s="170"/>
      <c r="H668" s="171">
        <v>0</v>
      </c>
      <c r="I668" s="172">
        <v>0</v>
      </c>
      <c r="J668" s="171">
        <v>0</v>
      </c>
      <c r="K668" s="171">
        <v>0</v>
      </c>
      <c r="L668" s="171">
        <v>0</v>
      </c>
      <c r="M668" s="171">
        <v>-400000</v>
      </c>
      <c r="N668" s="171">
        <v>0</v>
      </c>
      <c r="P668" s="173">
        <f t="shared" si="10"/>
        <v>400000</v>
      </c>
      <c r="V668" s="163"/>
      <c r="W668" s="163"/>
    </row>
    <row r="669" spans="1:23" s="17" customFormat="1">
      <c r="A669" s="176"/>
      <c r="B669" s="120" t="s">
        <v>446</v>
      </c>
      <c r="C669" s="177">
        <v>2025</v>
      </c>
      <c r="D669" s="80" t="s">
        <v>4095</v>
      </c>
      <c r="E669" s="8" t="s">
        <v>5730</v>
      </c>
      <c r="F669" s="1">
        <v>0</v>
      </c>
      <c r="G669" s="170"/>
      <c r="H669" s="171">
        <v>0</v>
      </c>
      <c r="I669" s="172">
        <v>0</v>
      </c>
      <c r="J669" s="171">
        <v>0</v>
      </c>
      <c r="K669" s="171">
        <v>0</v>
      </c>
      <c r="L669" s="171">
        <v>0</v>
      </c>
      <c r="M669" s="171">
        <v>-1952500</v>
      </c>
      <c r="N669" s="171">
        <v>0</v>
      </c>
      <c r="P669" s="173">
        <f t="shared" si="10"/>
        <v>1952500</v>
      </c>
      <c r="V669" s="163"/>
      <c r="W669" s="163"/>
    </row>
    <row r="670" spans="1:23" s="17" customFormat="1">
      <c r="A670" s="176"/>
      <c r="B670" s="120" t="s">
        <v>446</v>
      </c>
      <c r="C670" s="177">
        <v>2025</v>
      </c>
      <c r="D670" s="80" t="s">
        <v>4095</v>
      </c>
      <c r="E670" s="8" t="s">
        <v>5731</v>
      </c>
      <c r="F670" s="1">
        <v>0</v>
      </c>
      <c r="G670" s="170"/>
      <c r="H670" s="171">
        <v>0</v>
      </c>
      <c r="I670" s="172">
        <v>0</v>
      </c>
      <c r="J670" s="171">
        <v>0</v>
      </c>
      <c r="K670" s="171">
        <v>0</v>
      </c>
      <c r="L670" s="171">
        <v>0</v>
      </c>
      <c r="M670" s="171">
        <v>-1096800</v>
      </c>
      <c r="N670" s="171">
        <v>0</v>
      </c>
      <c r="P670" s="173">
        <f t="shared" si="10"/>
        <v>1096800</v>
      </c>
      <c r="V670" s="163"/>
      <c r="W670" s="163"/>
    </row>
    <row r="671" spans="1:23" s="17" customFormat="1">
      <c r="A671" s="176"/>
      <c r="B671" s="120" t="s">
        <v>446</v>
      </c>
      <c r="C671" s="177">
        <v>2025</v>
      </c>
      <c r="D671" s="80" t="s">
        <v>4095</v>
      </c>
      <c r="E671" s="8" t="s">
        <v>5732</v>
      </c>
      <c r="F671" s="1">
        <v>0</v>
      </c>
      <c r="G671" s="170"/>
      <c r="H671" s="171">
        <v>0</v>
      </c>
      <c r="I671" s="172">
        <v>0</v>
      </c>
      <c r="J671" s="171">
        <v>0</v>
      </c>
      <c r="K671" s="171">
        <v>0</v>
      </c>
      <c r="L671" s="171">
        <v>0</v>
      </c>
      <c r="M671" s="171">
        <v>-2600000</v>
      </c>
      <c r="N671" s="171">
        <v>0</v>
      </c>
      <c r="P671" s="173">
        <f t="shared" si="10"/>
        <v>2600000</v>
      </c>
      <c r="V671" s="163"/>
      <c r="W671" s="163"/>
    </row>
    <row r="672" spans="1:23" s="17" customFormat="1">
      <c r="A672" s="176"/>
      <c r="B672" s="120" t="s">
        <v>446</v>
      </c>
      <c r="C672" s="177">
        <v>2025</v>
      </c>
      <c r="D672" s="80" t="s">
        <v>4095</v>
      </c>
      <c r="E672" s="8" t="s">
        <v>5733</v>
      </c>
      <c r="F672" s="1">
        <v>0</v>
      </c>
      <c r="G672" s="170"/>
      <c r="H672" s="171">
        <v>0</v>
      </c>
      <c r="I672" s="172">
        <v>0</v>
      </c>
      <c r="J672" s="171">
        <v>0</v>
      </c>
      <c r="K672" s="171">
        <v>0</v>
      </c>
      <c r="L672" s="171">
        <v>0</v>
      </c>
      <c r="M672" s="171">
        <v>-95000</v>
      </c>
      <c r="N672" s="171">
        <v>0</v>
      </c>
      <c r="P672" s="173">
        <f t="shared" si="10"/>
        <v>95000</v>
      </c>
      <c r="V672" s="163"/>
      <c r="W672" s="163"/>
    </row>
    <row r="673" spans="1:23" s="17" customFormat="1">
      <c r="A673" s="176"/>
      <c r="B673" s="120" t="s">
        <v>446</v>
      </c>
      <c r="C673" s="177">
        <v>2025</v>
      </c>
      <c r="D673" s="80" t="s">
        <v>4095</v>
      </c>
      <c r="E673" s="8" t="s">
        <v>5734</v>
      </c>
      <c r="F673" s="1">
        <v>0</v>
      </c>
      <c r="G673" s="170"/>
      <c r="H673" s="171">
        <v>0</v>
      </c>
      <c r="I673" s="172">
        <v>0</v>
      </c>
      <c r="J673" s="171">
        <v>0</v>
      </c>
      <c r="K673" s="171">
        <v>0</v>
      </c>
      <c r="L673" s="171">
        <v>0</v>
      </c>
      <c r="M673" s="171">
        <v>-99900</v>
      </c>
      <c r="N673" s="171">
        <v>0</v>
      </c>
      <c r="P673" s="173">
        <f t="shared" si="10"/>
        <v>99900</v>
      </c>
      <c r="V673" s="163"/>
      <c r="W673" s="163"/>
    </row>
    <row r="674" spans="1:23" s="17" customFormat="1">
      <c r="A674" s="176"/>
      <c r="B674" s="120" t="s">
        <v>446</v>
      </c>
      <c r="C674" s="177">
        <v>2025</v>
      </c>
      <c r="D674" s="80" t="s">
        <v>4095</v>
      </c>
      <c r="E674" s="8" t="s">
        <v>5735</v>
      </c>
      <c r="F674" s="1">
        <v>0</v>
      </c>
      <c r="G674" s="170"/>
      <c r="H674" s="171">
        <v>0</v>
      </c>
      <c r="I674" s="172">
        <v>0</v>
      </c>
      <c r="J674" s="171">
        <v>0</v>
      </c>
      <c r="K674" s="171">
        <v>0</v>
      </c>
      <c r="L674" s="171">
        <v>0</v>
      </c>
      <c r="M674" s="171">
        <v>-1700000</v>
      </c>
      <c r="N674" s="171">
        <v>0</v>
      </c>
      <c r="P674" s="173">
        <f t="shared" si="10"/>
        <v>1700000</v>
      </c>
      <c r="V674" s="163"/>
      <c r="W674" s="163"/>
    </row>
    <row r="675" spans="1:23" s="17" customFormat="1">
      <c r="A675" s="176"/>
      <c r="B675" s="120" t="s">
        <v>446</v>
      </c>
      <c r="C675" s="177">
        <v>2025</v>
      </c>
      <c r="D675" s="80" t="s">
        <v>4095</v>
      </c>
      <c r="E675" s="8" t="s">
        <v>5736</v>
      </c>
      <c r="F675" s="1">
        <v>0</v>
      </c>
      <c r="G675" s="170"/>
      <c r="H675" s="171">
        <v>0</v>
      </c>
      <c r="I675" s="172">
        <v>0</v>
      </c>
      <c r="J675" s="171">
        <v>0</v>
      </c>
      <c r="K675" s="171">
        <v>0</v>
      </c>
      <c r="L675" s="171">
        <v>0</v>
      </c>
      <c r="M675" s="171">
        <v>-200000</v>
      </c>
      <c r="N675" s="171">
        <v>0</v>
      </c>
      <c r="P675" s="173">
        <f t="shared" si="10"/>
        <v>200000</v>
      </c>
      <c r="V675" s="163"/>
      <c r="W675" s="163"/>
    </row>
    <row r="676" spans="1:23" s="17" customFormat="1">
      <c r="A676" s="176"/>
      <c r="B676" s="120" t="s">
        <v>446</v>
      </c>
      <c r="C676" s="177">
        <v>2025</v>
      </c>
      <c r="D676" s="80" t="s">
        <v>4095</v>
      </c>
      <c r="E676" s="8" t="s">
        <v>5737</v>
      </c>
      <c r="F676" s="1">
        <v>0</v>
      </c>
      <c r="G676" s="170"/>
      <c r="H676" s="171">
        <v>0</v>
      </c>
      <c r="I676" s="172">
        <v>0</v>
      </c>
      <c r="J676" s="171">
        <v>0</v>
      </c>
      <c r="K676" s="171">
        <v>0</v>
      </c>
      <c r="L676" s="171">
        <v>0</v>
      </c>
      <c r="M676" s="171">
        <v>-400000</v>
      </c>
      <c r="N676" s="171">
        <v>0</v>
      </c>
      <c r="P676" s="173">
        <f t="shared" si="10"/>
        <v>400000</v>
      </c>
      <c r="V676" s="163"/>
      <c r="W676" s="163"/>
    </row>
    <row r="677" spans="1:23" s="17" customFormat="1">
      <c r="A677" s="176"/>
      <c r="B677" s="120" t="s">
        <v>446</v>
      </c>
      <c r="C677" s="177">
        <v>2025</v>
      </c>
      <c r="D677" s="80" t="s">
        <v>4631</v>
      </c>
      <c r="E677" s="8" t="s">
        <v>6167</v>
      </c>
      <c r="F677" s="1">
        <v>0</v>
      </c>
      <c r="G677" s="170"/>
      <c r="H677" s="171">
        <v>0</v>
      </c>
      <c r="I677" s="172">
        <v>0</v>
      </c>
      <c r="J677" s="171">
        <v>0</v>
      </c>
      <c r="K677" s="171">
        <v>0</v>
      </c>
      <c r="L677" s="171">
        <v>0</v>
      </c>
      <c r="M677" s="171">
        <v>-15000000</v>
      </c>
      <c r="N677" s="171">
        <v>0</v>
      </c>
      <c r="P677" s="173">
        <f t="shared" si="10"/>
        <v>15000000</v>
      </c>
      <c r="V677" s="163"/>
      <c r="W677" s="163"/>
    </row>
    <row r="678" spans="1:23" s="17" customFormat="1">
      <c r="A678" s="176"/>
      <c r="B678" s="120" t="s">
        <v>446</v>
      </c>
      <c r="C678" s="177">
        <v>2025</v>
      </c>
      <c r="D678" s="80" t="s">
        <v>4631</v>
      </c>
      <c r="E678" s="8" t="s">
        <v>6168</v>
      </c>
      <c r="F678" s="1">
        <v>0</v>
      </c>
      <c r="G678" s="170"/>
      <c r="H678" s="171">
        <v>0</v>
      </c>
      <c r="I678" s="172">
        <v>0</v>
      </c>
      <c r="J678" s="171">
        <v>0</v>
      </c>
      <c r="K678" s="171">
        <v>0</v>
      </c>
      <c r="L678" s="171">
        <v>0</v>
      </c>
      <c r="M678" s="171">
        <v>-170000000</v>
      </c>
      <c r="N678" s="171">
        <v>0</v>
      </c>
      <c r="P678" s="173">
        <f t="shared" si="10"/>
        <v>170000000</v>
      </c>
      <c r="V678" s="163"/>
      <c r="W678" s="163"/>
    </row>
    <row r="679" spans="1:23" s="17" customFormat="1">
      <c r="A679" s="176"/>
      <c r="B679" s="120" t="s">
        <v>446</v>
      </c>
      <c r="C679" s="177">
        <v>2025</v>
      </c>
      <c r="D679" s="80" t="s">
        <v>4631</v>
      </c>
      <c r="E679" s="8" t="s">
        <v>6169</v>
      </c>
      <c r="F679" s="1">
        <v>0</v>
      </c>
      <c r="G679" s="170"/>
      <c r="H679" s="171">
        <v>0</v>
      </c>
      <c r="I679" s="172">
        <v>0</v>
      </c>
      <c r="J679" s="171">
        <v>0</v>
      </c>
      <c r="K679" s="171">
        <v>0</v>
      </c>
      <c r="L679" s="171">
        <v>0</v>
      </c>
      <c r="M679" s="171">
        <v>-5000000</v>
      </c>
      <c r="N679" s="171">
        <v>0</v>
      </c>
      <c r="P679" s="173">
        <f t="shared" si="10"/>
        <v>5000000</v>
      </c>
      <c r="V679" s="163"/>
      <c r="W679" s="163"/>
    </row>
    <row r="680" spans="1:23" s="17" customFormat="1">
      <c r="A680" s="176"/>
      <c r="B680" s="120" t="s">
        <v>446</v>
      </c>
      <c r="C680" s="177">
        <v>2025</v>
      </c>
      <c r="D680" s="80" t="s">
        <v>4631</v>
      </c>
      <c r="E680" s="8" t="s">
        <v>6170</v>
      </c>
      <c r="F680" s="1">
        <v>0</v>
      </c>
      <c r="G680" s="170"/>
      <c r="H680" s="171">
        <v>0</v>
      </c>
      <c r="I680" s="172">
        <v>0</v>
      </c>
      <c r="J680" s="171">
        <v>0</v>
      </c>
      <c r="K680" s="171">
        <v>0</v>
      </c>
      <c r="L680" s="171">
        <v>0</v>
      </c>
      <c r="M680" s="171">
        <v>-8000000</v>
      </c>
      <c r="N680" s="171">
        <v>0</v>
      </c>
      <c r="P680" s="173">
        <f t="shared" si="10"/>
        <v>8000000</v>
      </c>
      <c r="V680" s="163"/>
      <c r="W680" s="163"/>
    </row>
    <row r="681" spans="1:23" s="17" customFormat="1">
      <c r="A681" s="176"/>
      <c r="B681" s="120" t="s">
        <v>446</v>
      </c>
      <c r="C681" s="177">
        <v>2025</v>
      </c>
      <c r="D681" s="80" t="s">
        <v>4631</v>
      </c>
      <c r="E681" s="8" t="s">
        <v>6171</v>
      </c>
      <c r="F681" s="1">
        <v>0</v>
      </c>
      <c r="G681" s="170"/>
      <c r="H681" s="171">
        <v>0</v>
      </c>
      <c r="I681" s="172">
        <v>0</v>
      </c>
      <c r="J681" s="171">
        <v>0</v>
      </c>
      <c r="K681" s="171">
        <v>0</v>
      </c>
      <c r="L681" s="171">
        <v>0</v>
      </c>
      <c r="M681" s="171">
        <v>-9796250</v>
      </c>
      <c r="N681" s="171">
        <v>0</v>
      </c>
      <c r="P681" s="173">
        <f t="shared" si="10"/>
        <v>9796250</v>
      </c>
      <c r="V681" s="163"/>
      <c r="W681" s="163"/>
    </row>
    <row r="682" spans="1:23" s="17" customFormat="1">
      <c r="A682" s="176"/>
      <c r="B682" s="120" t="s">
        <v>446</v>
      </c>
      <c r="C682" s="177">
        <v>2025</v>
      </c>
      <c r="D682" s="80" t="s">
        <v>4631</v>
      </c>
      <c r="E682" s="8" t="s">
        <v>6172</v>
      </c>
      <c r="F682" s="1">
        <v>0</v>
      </c>
      <c r="G682" s="170"/>
      <c r="H682" s="171">
        <v>0</v>
      </c>
      <c r="I682" s="172">
        <v>0</v>
      </c>
      <c r="J682" s="171">
        <v>0</v>
      </c>
      <c r="K682" s="171">
        <v>0</v>
      </c>
      <c r="L682" s="171">
        <v>0</v>
      </c>
      <c r="M682" s="171">
        <v>-627500</v>
      </c>
      <c r="N682" s="171">
        <v>0</v>
      </c>
      <c r="P682" s="173">
        <f t="shared" si="10"/>
        <v>627500</v>
      </c>
      <c r="V682" s="163"/>
      <c r="W682" s="163"/>
    </row>
    <row r="683" spans="1:23" s="17" customFormat="1">
      <c r="A683" s="176"/>
      <c r="B683" s="120" t="s">
        <v>446</v>
      </c>
      <c r="C683" s="177">
        <v>2025</v>
      </c>
      <c r="D683" s="80" t="s">
        <v>4631</v>
      </c>
      <c r="E683" s="8" t="s">
        <v>6173</v>
      </c>
      <c r="F683" s="1">
        <v>0</v>
      </c>
      <c r="G683" s="170"/>
      <c r="H683" s="171">
        <v>0</v>
      </c>
      <c r="I683" s="172">
        <v>0</v>
      </c>
      <c r="J683" s="171">
        <v>0</v>
      </c>
      <c r="K683" s="171">
        <v>0</v>
      </c>
      <c r="L683" s="171">
        <v>0</v>
      </c>
      <c r="M683" s="171">
        <v>-101000</v>
      </c>
      <c r="N683" s="171">
        <v>0</v>
      </c>
      <c r="P683" s="173">
        <f t="shared" si="10"/>
        <v>101000</v>
      </c>
      <c r="V683" s="163"/>
      <c r="W683" s="163"/>
    </row>
    <row r="684" spans="1:23" s="17" customFormat="1">
      <c r="A684" s="176"/>
      <c r="B684" s="120" t="s">
        <v>446</v>
      </c>
      <c r="C684" s="177">
        <v>2025</v>
      </c>
      <c r="D684" s="80" t="s">
        <v>4631</v>
      </c>
      <c r="E684" s="8" t="s">
        <v>6174</v>
      </c>
      <c r="F684" s="1">
        <v>0</v>
      </c>
      <c r="G684" s="170"/>
      <c r="H684" s="171">
        <v>0</v>
      </c>
      <c r="I684" s="172">
        <v>0</v>
      </c>
      <c r="J684" s="171">
        <v>0</v>
      </c>
      <c r="K684" s="171">
        <v>0</v>
      </c>
      <c r="L684" s="171">
        <v>0</v>
      </c>
      <c r="M684" s="171">
        <v>-212500</v>
      </c>
      <c r="N684" s="171">
        <v>0</v>
      </c>
      <c r="P684" s="173">
        <f t="shared" si="10"/>
        <v>212500</v>
      </c>
      <c r="V684" s="163"/>
      <c r="W684" s="163"/>
    </row>
    <row r="685" spans="1:23" s="17" customFormat="1">
      <c r="A685" s="176"/>
      <c r="B685" s="120" t="s">
        <v>446</v>
      </c>
      <c r="C685" s="177">
        <v>2025</v>
      </c>
      <c r="D685" s="80" t="s">
        <v>4631</v>
      </c>
      <c r="E685" s="8" t="s">
        <v>6175</v>
      </c>
      <c r="F685" s="1">
        <v>0</v>
      </c>
      <c r="G685" s="170"/>
      <c r="H685" s="171">
        <v>0</v>
      </c>
      <c r="I685" s="172">
        <v>0</v>
      </c>
      <c r="J685" s="171">
        <v>0</v>
      </c>
      <c r="K685" s="171">
        <v>0</v>
      </c>
      <c r="L685" s="171">
        <v>0</v>
      </c>
      <c r="M685" s="171">
        <v>-118210</v>
      </c>
      <c r="N685" s="171">
        <v>0</v>
      </c>
      <c r="P685" s="173">
        <f t="shared" si="10"/>
        <v>118210</v>
      </c>
      <c r="V685" s="163"/>
      <c r="W685" s="163"/>
    </row>
    <row r="686" spans="1:23" s="17" customFormat="1">
      <c r="A686" s="176"/>
      <c r="B686" s="120" t="s">
        <v>446</v>
      </c>
      <c r="C686" s="177">
        <v>2025</v>
      </c>
      <c r="D686" s="80" t="s">
        <v>4631</v>
      </c>
      <c r="E686" s="8" t="s">
        <v>6176</v>
      </c>
      <c r="F686" s="1">
        <v>0</v>
      </c>
      <c r="G686" s="170"/>
      <c r="H686" s="171">
        <v>0</v>
      </c>
      <c r="I686" s="172">
        <v>0</v>
      </c>
      <c r="J686" s="171">
        <v>0</v>
      </c>
      <c r="K686" s="171">
        <v>0</v>
      </c>
      <c r="L686" s="171">
        <v>0</v>
      </c>
      <c r="M686" s="171">
        <v>-899500</v>
      </c>
      <c r="N686" s="171">
        <v>0</v>
      </c>
      <c r="P686" s="173">
        <f t="shared" si="10"/>
        <v>899500</v>
      </c>
      <c r="V686" s="163"/>
      <c r="W686" s="163"/>
    </row>
    <row r="687" spans="1:23" s="17" customFormat="1">
      <c r="A687" s="176"/>
      <c r="B687" s="120" t="s">
        <v>446</v>
      </c>
      <c r="C687" s="177">
        <v>2025</v>
      </c>
      <c r="D687" s="80" t="s">
        <v>4631</v>
      </c>
      <c r="E687" s="8" t="s">
        <v>6177</v>
      </c>
      <c r="F687" s="1">
        <v>0</v>
      </c>
      <c r="G687" s="170"/>
      <c r="H687" s="171">
        <v>0</v>
      </c>
      <c r="I687" s="172">
        <v>0</v>
      </c>
      <c r="J687" s="171">
        <v>0</v>
      </c>
      <c r="K687" s="171">
        <v>0</v>
      </c>
      <c r="L687" s="171">
        <v>0</v>
      </c>
      <c r="M687" s="171">
        <v>-77500</v>
      </c>
      <c r="N687" s="171">
        <v>0</v>
      </c>
      <c r="P687" s="173">
        <f t="shared" si="10"/>
        <v>77500</v>
      </c>
      <c r="V687" s="163"/>
      <c r="W687" s="163"/>
    </row>
    <row r="688" spans="1:23" s="17" customFormat="1">
      <c r="A688" s="176"/>
      <c r="B688" s="120" t="s">
        <v>446</v>
      </c>
      <c r="C688" s="177">
        <v>2025</v>
      </c>
      <c r="D688" s="80" t="s">
        <v>4631</v>
      </c>
      <c r="E688" s="8" t="s">
        <v>6178</v>
      </c>
      <c r="F688" s="1">
        <v>0</v>
      </c>
      <c r="G688" s="170"/>
      <c r="H688" s="171">
        <v>0</v>
      </c>
      <c r="I688" s="172">
        <v>0</v>
      </c>
      <c r="J688" s="171">
        <v>0</v>
      </c>
      <c r="K688" s="171">
        <v>0</v>
      </c>
      <c r="L688" s="171">
        <v>0</v>
      </c>
      <c r="M688" s="171">
        <v>-31800</v>
      </c>
      <c r="N688" s="171">
        <v>0</v>
      </c>
      <c r="P688" s="173">
        <f t="shared" si="10"/>
        <v>31800</v>
      </c>
      <c r="V688" s="163"/>
      <c r="W688" s="163"/>
    </row>
    <row r="689" spans="1:23" s="17" customFormat="1">
      <c r="A689" s="176"/>
      <c r="B689" s="120" t="s">
        <v>446</v>
      </c>
      <c r="C689" s="177">
        <v>2025</v>
      </c>
      <c r="D689" s="80" t="s">
        <v>4631</v>
      </c>
      <c r="E689" s="8" t="s">
        <v>6179</v>
      </c>
      <c r="F689" s="1">
        <v>0</v>
      </c>
      <c r="G689" s="170"/>
      <c r="H689" s="171">
        <v>0</v>
      </c>
      <c r="I689" s="172">
        <v>0</v>
      </c>
      <c r="J689" s="171">
        <v>0</v>
      </c>
      <c r="K689" s="171">
        <v>0</v>
      </c>
      <c r="L689" s="171">
        <v>0</v>
      </c>
      <c r="M689" s="171">
        <v>-93000</v>
      </c>
      <c r="N689" s="171">
        <v>0</v>
      </c>
      <c r="P689" s="173">
        <f t="shared" si="10"/>
        <v>93000</v>
      </c>
      <c r="V689" s="163"/>
      <c r="W689" s="163"/>
    </row>
    <row r="690" spans="1:23" s="17" customFormat="1">
      <c r="A690" s="176"/>
      <c r="B690" s="120" t="s">
        <v>446</v>
      </c>
      <c r="C690" s="177">
        <v>2025</v>
      </c>
      <c r="D690" s="80" t="s">
        <v>4631</v>
      </c>
      <c r="E690" s="8" t="s">
        <v>6180</v>
      </c>
      <c r="F690" s="1">
        <v>0</v>
      </c>
      <c r="G690" s="170"/>
      <c r="H690" s="171">
        <v>0</v>
      </c>
      <c r="I690" s="172">
        <v>0</v>
      </c>
      <c r="J690" s="171">
        <v>0</v>
      </c>
      <c r="K690" s="171">
        <v>0</v>
      </c>
      <c r="L690" s="171">
        <v>0</v>
      </c>
      <c r="M690" s="171">
        <v>-522500</v>
      </c>
      <c r="N690" s="171">
        <v>0</v>
      </c>
      <c r="P690" s="173">
        <f t="shared" si="10"/>
        <v>522500</v>
      </c>
      <c r="V690" s="163"/>
      <c r="W690" s="163"/>
    </row>
    <row r="691" spans="1:23" s="17" customFormat="1">
      <c r="A691" s="176"/>
      <c r="B691" s="120" t="s">
        <v>446</v>
      </c>
      <c r="C691" s="177">
        <v>2025</v>
      </c>
      <c r="D691" s="80" t="s">
        <v>4631</v>
      </c>
      <c r="E691" s="8" t="s">
        <v>6181</v>
      </c>
      <c r="F691" s="1">
        <v>0</v>
      </c>
      <c r="G691" s="170"/>
      <c r="H691" s="171">
        <v>0</v>
      </c>
      <c r="I691" s="172">
        <v>0</v>
      </c>
      <c r="J691" s="171">
        <v>0</v>
      </c>
      <c r="K691" s="171">
        <v>0</v>
      </c>
      <c r="L691" s="171">
        <v>0</v>
      </c>
      <c r="M691" s="171">
        <f>-1032500</f>
        <v>-1032500</v>
      </c>
      <c r="N691" s="171">
        <v>0</v>
      </c>
      <c r="P691" s="173">
        <f t="shared" si="10"/>
        <v>1032500</v>
      </c>
      <c r="V691" s="163"/>
      <c r="W691" s="163"/>
    </row>
    <row r="692" spans="1:23" s="17" customFormat="1">
      <c r="A692" s="176"/>
      <c r="B692" s="120" t="s">
        <v>446</v>
      </c>
      <c r="C692" s="177">
        <v>2025</v>
      </c>
      <c r="D692" s="80" t="s">
        <v>4631</v>
      </c>
      <c r="E692" s="8" t="s">
        <v>6182</v>
      </c>
      <c r="F692" s="1">
        <v>0</v>
      </c>
      <c r="G692" s="170"/>
      <c r="H692" s="171">
        <v>0</v>
      </c>
      <c r="I692" s="172">
        <v>0</v>
      </c>
      <c r="J692" s="171">
        <v>0</v>
      </c>
      <c r="K692" s="171">
        <v>0</v>
      </c>
      <c r="L692" s="171">
        <v>0</v>
      </c>
      <c r="M692" s="171">
        <v>-742500</v>
      </c>
      <c r="N692" s="171">
        <v>0</v>
      </c>
      <c r="P692" s="173">
        <f t="shared" si="10"/>
        <v>742500</v>
      </c>
      <c r="V692" s="163"/>
      <c r="W692" s="163"/>
    </row>
    <row r="693" spans="1:23" s="17" customFormat="1">
      <c r="A693" s="176"/>
      <c r="B693" s="120" t="s">
        <v>446</v>
      </c>
      <c r="C693" s="177">
        <v>2025</v>
      </c>
      <c r="D693" s="80" t="s">
        <v>4631</v>
      </c>
      <c r="E693" s="8" t="s">
        <v>6183</v>
      </c>
      <c r="F693" s="1">
        <v>0</v>
      </c>
      <c r="G693" s="170"/>
      <c r="H693" s="171">
        <v>0</v>
      </c>
      <c r="I693" s="172">
        <v>0</v>
      </c>
      <c r="J693" s="171">
        <v>0</v>
      </c>
      <c r="K693" s="171">
        <v>0</v>
      </c>
      <c r="L693" s="171">
        <v>0</v>
      </c>
      <c r="M693" s="171">
        <v>-392500</v>
      </c>
      <c r="N693" s="171">
        <v>0</v>
      </c>
      <c r="P693" s="173">
        <f t="shared" si="10"/>
        <v>392500</v>
      </c>
      <c r="V693" s="163"/>
      <c r="W693" s="163"/>
    </row>
    <row r="694" spans="1:23" s="17" customFormat="1">
      <c r="A694" s="176"/>
      <c r="B694" s="120" t="s">
        <v>446</v>
      </c>
      <c r="C694" s="177">
        <v>2025</v>
      </c>
      <c r="D694" s="80" t="s">
        <v>4631</v>
      </c>
      <c r="E694" s="8" t="s">
        <v>6184</v>
      </c>
      <c r="F694" s="1">
        <v>0</v>
      </c>
      <c r="G694" s="170"/>
      <c r="H694" s="171">
        <v>0</v>
      </c>
      <c r="I694" s="172">
        <v>0</v>
      </c>
      <c r="J694" s="171">
        <v>0</v>
      </c>
      <c r="K694" s="171">
        <v>0</v>
      </c>
      <c r="L694" s="171">
        <v>0</v>
      </c>
      <c r="M694" s="171">
        <v>-6100523</v>
      </c>
      <c r="N694" s="171">
        <v>0</v>
      </c>
      <c r="P694" s="173">
        <f t="shared" si="10"/>
        <v>6100523</v>
      </c>
      <c r="V694" s="163"/>
      <c r="W694" s="163"/>
    </row>
    <row r="695" spans="1:23" s="17" customFormat="1">
      <c r="A695" s="176"/>
      <c r="B695" s="120" t="s">
        <v>446</v>
      </c>
      <c r="C695" s="177">
        <v>2025</v>
      </c>
      <c r="D695" s="80" t="s">
        <v>4631</v>
      </c>
      <c r="E695" s="8" t="s">
        <v>6185</v>
      </c>
      <c r="F695" s="1">
        <v>0</v>
      </c>
      <c r="G695" s="170"/>
      <c r="H695" s="171">
        <v>0</v>
      </c>
      <c r="I695" s="172">
        <v>0</v>
      </c>
      <c r="J695" s="171">
        <v>0</v>
      </c>
      <c r="K695" s="171">
        <v>0</v>
      </c>
      <c r="L695" s="171">
        <v>0</v>
      </c>
      <c r="M695" s="171">
        <v>-273540</v>
      </c>
      <c r="N695" s="171">
        <v>0</v>
      </c>
      <c r="P695" s="173">
        <f t="shared" si="10"/>
        <v>273540</v>
      </c>
      <c r="V695" s="163"/>
      <c r="W695" s="163"/>
    </row>
    <row r="696" spans="1:23" s="17" customFormat="1">
      <c r="A696" s="176"/>
      <c r="B696" s="120" t="s">
        <v>446</v>
      </c>
      <c r="C696" s="177">
        <v>2025</v>
      </c>
      <c r="D696" s="80" t="s">
        <v>4631</v>
      </c>
      <c r="E696" s="8" t="s">
        <v>6186</v>
      </c>
      <c r="F696" s="1">
        <v>0</v>
      </c>
      <c r="G696" s="170"/>
      <c r="H696" s="171">
        <v>0</v>
      </c>
      <c r="I696" s="172">
        <v>0</v>
      </c>
      <c r="J696" s="171">
        <v>0</v>
      </c>
      <c r="K696" s="171">
        <v>0</v>
      </c>
      <c r="L696" s="171">
        <v>0</v>
      </c>
      <c r="M696" s="171">
        <v>-2130000</v>
      </c>
      <c r="N696" s="171">
        <v>0</v>
      </c>
      <c r="P696" s="173">
        <f t="shared" si="10"/>
        <v>2130000</v>
      </c>
      <c r="V696" s="163"/>
      <c r="W696" s="163"/>
    </row>
    <row r="697" spans="1:23" s="17" customFormat="1">
      <c r="A697" s="176"/>
      <c r="B697" s="120" t="s">
        <v>446</v>
      </c>
      <c r="C697" s="177">
        <v>2025</v>
      </c>
      <c r="D697" s="80" t="s">
        <v>4631</v>
      </c>
      <c r="E697" s="8" t="s">
        <v>6187</v>
      </c>
      <c r="F697" s="1">
        <v>0</v>
      </c>
      <c r="G697" s="170"/>
      <c r="H697" s="171">
        <v>0</v>
      </c>
      <c r="I697" s="172">
        <v>0</v>
      </c>
      <c r="J697" s="171">
        <v>0</v>
      </c>
      <c r="K697" s="171">
        <v>0</v>
      </c>
      <c r="L697" s="171">
        <v>0</v>
      </c>
      <c r="M697" s="171">
        <v>-2280000</v>
      </c>
      <c r="N697" s="171">
        <v>0</v>
      </c>
      <c r="P697" s="173">
        <f t="shared" si="10"/>
        <v>2280000</v>
      </c>
      <c r="V697" s="163"/>
      <c r="W697" s="163"/>
    </row>
    <row r="698" spans="1:23" s="17" customFormat="1">
      <c r="A698" s="176"/>
      <c r="B698" s="120" t="s">
        <v>446</v>
      </c>
      <c r="C698" s="177">
        <v>2025</v>
      </c>
      <c r="D698" s="80" t="s">
        <v>4631</v>
      </c>
      <c r="E698" s="8" t="s">
        <v>6188</v>
      </c>
      <c r="F698" s="1">
        <v>0</v>
      </c>
      <c r="G698" s="170"/>
      <c r="H698" s="171">
        <v>0</v>
      </c>
      <c r="I698" s="172">
        <v>0</v>
      </c>
      <c r="J698" s="171">
        <v>0</v>
      </c>
      <c r="K698" s="171">
        <v>0</v>
      </c>
      <c r="L698" s="171">
        <v>0</v>
      </c>
      <c r="M698" s="171">
        <v>-3050000</v>
      </c>
      <c r="N698" s="171">
        <v>0</v>
      </c>
      <c r="P698" s="173">
        <f t="shared" si="10"/>
        <v>3050000</v>
      </c>
      <c r="V698" s="163"/>
      <c r="W698" s="163"/>
    </row>
    <row r="699" spans="1:23" s="17" customFormat="1">
      <c r="A699" s="176"/>
      <c r="B699" s="120" t="s">
        <v>446</v>
      </c>
      <c r="C699" s="177">
        <v>2025</v>
      </c>
      <c r="D699" s="80" t="s">
        <v>4631</v>
      </c>
      <c r="E699" s="8" t="s">
        <v>6189</v>
      </c>
      <c r="F699" s="1">
        <v>0</v>
      </c>
      <c r="G699" s="170"/>
      <c r="H699" s="171">
        <v>0</v>
      </c>
      <c r="I699" s="172">
        <v>0</v>
      </c>
      <c r="J699" s="171">
        <v>0</v>
      </c>
      <c r="K699" s="171">
        <v>0</v>
      </c>
      <c r="L699" s="171">
        <v>0</v>
      </c>
      <c r="M699" s="171">
        <v>-8102500</v>
      </c>
      <c r="N699" s="171">
        <v>0</v>
      </c>
      <c r="P699" s="173">
        <f t="shared" si="10"/>
        <v>8102500</v>
      </c>
      <c r="V699" s="163"/>
      <c r="W699" s="163"/>
    </row>
    <row r="700" spans="1:23" s="17" customFormat="1">
      <c r="A700" s="176"/>
      <c r="B700" s="120" t="s">
        <v>446</v>
      </c>
      <c r="C700" s="177">
        <v>2025</v>
      </c>
      <c r="D700" s="80" t="s">
        <v>4631</v>
      </c>
      <c r="E700" s="8" t="s">
        <v>6190</v>
      </c>
      <c r="F700" s="1">
        <v>0</v>
      </c>
      <c r="G700" s="170"/>
      <c r="H700" s="171">
        <v>0</v>
      </c>
      <c r="I700" s="172">
        <v>0</v>
      </c>
      <c r="J700" s="171">
        <v>0</v>
      </c>
      <c r="K700" s="171">
        <v>0</v>
      </c>
      <c r="L700" s="171">
        <v>0</v>
      </c>
      <c r="M700" s="171">
        <v>-6348600</v>
      </c>
      <c r="N700" s="171">
        <v>0</v>
      </c>
      <c r="P700" s="173">
        <f t="shared" si="10"/>
        <v>6348600</v>
      </c>
      <c r="V700" s="163"/>
      <c r="W700" s="163"/>
    </row>
    <row r="701" spans="1:23" s="17" customFormat="1">
      <c r="A701" s="176"/>
      <c r="B701" s="120" t="s">
        <v>446</v>
      </c>
      <c r="C701" s="177">
        <v>2025</v>
      </c>
      <c r="D701" s="80" t="s">
        <v>4631</v>
      </c>
      <c r="E701" s="8" t="s">
        <v>6191</v>
      </c>
      <c r="F701" s="1">
        <v>0</v>
      </c>
      <c r="G701" s="170"/>
      <c r="H701" s="171">
        <v>0</v>
      </c>
      <c r="I701" s="172">
        <v>0</v>
      </c>
      <c r="J701" s="171">
        <v>0</v>
      </c>
      <c r="K701" s="171">
        <v>0</v>
      </c>
      <c r="L701" s="171">
        <v>0</v>
      </c>
      <c r="M701" s="171">
        <v>-300000</v>
      </c>
      <c r="N701" s="171">
        <v>0</v>
      </c>
      <c r="P701" s="173">
        <f t="shared" si="10"/>
        <v>300000</v>
      </c>
      <c r="V701" s="163"/>
      <c r="W701" s="163"/>
    </row>
    <row r="702" spans="1:23" s="17" customFormat="1">
      <c r="A702" s="176"/>
      <c r="B702" s="120" t="s">
        <v>446</v>
      </c>
      <c r="C702" s="177">
        <v>2025</v>
      </c>
      <c r="D702" s="80" t="s">
        <v>4631</v>
      </c>
      <c r="E702" s="8" t="s">
        <v>6192</v>
      </c>
      <c r="F702" s="1">
        <v>0</v>
      </c>
      <c r="G702" s="170"/>
      <c r="H702" s="171">
        <v>0</v>
      </c>
      <c r="I702" s="172">
        <v>0</v>
      </c>
      <c r="J702" s="171">
        <v>0</v>
      </c>
      <c r="K702" s="171">
        <v>0</v>
      </c>
      <c r="L702" s="171">
        <v>0</v>
      </c>
      <c r="M702" s="171">
        <v>-100000000</v>
      </c>
      <c r="N702" s="171">
        <v>0</v>
      </c>
      <c r="P702" s="173">
        <f t="shared" si="10"/>
        <v>100000000</v>
      </c>
      <c r="V702" s="163"/>
      <c r="W702" s="163"/>
    </row>
    <row r="703" spans="1:23" s="17" customFormat="1">
      <c r="A703" s="176"/>
      <c r="B703" s="120" t="s">
        <v>446</v>
      </c>
      <c r="C703" s="177">
        <v>2025</v>
      </c>
      <c r="D703" s="80" t="s">
        <v>7931</v>
      </c>
      <c r="E703" s="8" t="s">
        <v>6354</v>
      </c>
      <c r="F703" s="1">
        <v>0</v>
      </c>
      <c r="G703" s="170"/>
      <c r="H703" s="171">
        <v>0</v>
      </c>
      <c r="I703" s="172">
        <v>0</v>
      </c>
      <c r="J703" s="171">
        <v>0</v>
      </c>
      <c r="K703" s="171">
        <v>0</v>
      </c>
      <c r="L703" s="171">
        <v>0</v>
      </c>
      <c r="M703" s="171">
        <v>-136000000</v>
      </c>
      <c r="N703" s="171">
        <v>0</v>
      </c>
      <c r="P703" s="173">
        <f t="shared" si="10"/>
        <v>136000000</v>
      </c>
      <c r="V703" s="163"/>
      <c r="W703" s="163"/>
    </row>
    <row r="704" spans="1:23" s="17" customFormat="1">
      <c r="A704" s="176"/>
      <c r="B704" s="120" t="s">
        <v>446</v>
      </c>
      <c r="C704" s="177">
        <v>2025</v>
      </c>
      <c r="D704" s="80" t="s">
        <v>7931</v>
      </c>
      <c r="E704" s="8" t="s">
        <v>6355</v>
      </c>
      <c r="F704" s="1">
        <v>0</v>
      </c>
      <c r="G704" s="170"/>
      <c r="H704" s="171">
        <v>0</v>
      </c>
      <c r="I704" s="172">
        <v>0</v>
      </c>
      <c r="J704" s="171">
        <v>0</v>
      </c>
      <c r="K704" s="171">
        <v>0</v>
      </c>
      <c r="L704" s="171">
        <v>0</v>
      </c>
      <c r="M704" s="171">
        <v>-150000</v>
      </c>
      <c r="N704" s="171">
        <v>0</v>
      </c>
      <c r="P704" s="173">
        <f t="shared" si="10"/>
        <v>150000</v>
      </c>
      <c r="V704" s="163"/>
      <c r="W704" s="163"/>
    </row>
    <row r="705" spans="1:23" s="17" customFormat="1">
      <c r="A705" s="176"/>
      <c r="B705" s="120" t="s">
        <v>446</v>
      </c>
      <c r="C705" s="177">
        <v>2025</v>
      </c>
      <c r="D705" s="80" t="s">
        <v>5999</v>
      </c>
      <c r="E705" s="8" t="s">
        <v>6520</v>
      </c>
      <c r="F705" s="1">
        <v>0</v>
      </c>
      <c r="G705" s="170"/>
      <c r="H705" s="171">
        <v>0</v>
      </c>
      <c r="I705" s="172">
        <v>0</v>
      </c>
      <c r="J705" s="171">
        <v>0</v>
      </c>
      <c r="K705" s="171">
        <v>0</v>
      </c>
      <c r="L705" s="171">
        <v>0</v>
      </c>
      <c r="M705" s="171">
        <v>-15000000</v>
      </c>
      <c r="N705" s="171">
        <v>0</v>
      </c>
      <c r="P705" s="173">
        <f t="shared" si="10"/>
        <v>15000000</v>
      </c>
      <c r="V705" s="163"/>
      <c r="W705" s="163"/>
    </row>
    <row r="706" spans="1:23" s="17" customFormat="1">
      <c r="A706" s="176"/>
      <c r="B706" s="120" t="s">
        <v>446</v>
      </c>
      <c r="C706" s="177">
        <v>2025</v>
      </c>
      <c r="D706" s="80" t="s">
        <v>5999</v>
      </c>
      <c r="E706" s="8" t="s">
        <v>6521</v>
      </c>
      <c r="F706" s="1">
        <v>0</v>
      </c>
      <c r="G706" s="170"/>
      <c r="H706" s="171">
        <v>0</v>
      </c>
      <c r="I706" s="172">
        <v>0</v>
      </c>
      <c r="J706" s="171">
        <v>0</v>
      </c>
      <c r="K706" s="171">
        <v>0</v>
      </c>
      <c r="L706" s="171">
        <v>0</v>
      </c>
      <c r="M706" s="171">
        <v>-50000000</v>
      </c>
      <c r="N706" s="171">
        <v>0</v>
      </c>
      <c r="P706" s="173">
        <f t="shared" si="10"/>
        <v>50000000</v>
      </c>
      <c r="V706" s="163"/>
      <c r="W706" s="163"/>
    </row>
    <row r="707" spans="1:23" s="17" customFormat="1">
      <c r="A707" s="176"/>
      <c r="B707" s="120" t="s">
        <v>446</v>
      </c>
      <c r="C707" s="177">
        <v>2025</v>
      </c>
      <c r="D707" s="80" t="s">
        <v>5999</v>
      </c>
      <c r="E707" s="8" t="s">
        <v>6522</v>
      </c>
      <c r="F707" s="1">
        <v>0</v>
      </c>
      <c r="G707" s="170"/>
      <c r="H707" s="171">
        <v>0</v>
      </c>
      <c r="I707" s="172">
        <v>0</v>
      </c>
      <c r="J707" s="171">
        <v>0</v>
      </c>
      <c r="K707" s="171">
        <v>0</v>
      </c>
      <c r="L707" s="171">
        <v>0</v>
      </c>
      <c r="M707" s="171">
        <v>-5000000</v>
      </c>
      <c r="N707" s="171">
        <v>0</v>
      </c>
      <c r="P707" s="173">
        <f t="shared" si="10"/>
        <v>5000000</v>
      </c>
      <c r="V707" s="163"/>
      <c r="W707" s="163"/>
    </row>
    <row r="708" spans="1:23" s="17" customFormat="1">
      <c r="A708" s="176"/>
      <c r="B708" s="120" t="s">
        <v>446</v>
      </c>
      <c r="C708" s="177">
        <v>2025</v>
      </c>
      <c r="D708" s="80" t="s">
        <v>5999</v>
      </c>
      <c r="E708" s="8" t="s">
        <v>6204</v>
      </c>
      <c r="F708" s="1">
        <v>0</v>
      </c>
      <c r="G708" s="170"/>
      <c r="H708" s="171">
        <v>0</v>
      </c>
      <c r="I708" s="172">
        <v>0</v>
      </c>
      <c r="J708" s="171">
        <v>0</v>
      </c>
      <c r="K708" s="171">
        <v>0</v>
      </c>
      <c r="L708" s="171">
        <v>0</v>
      </c>
      <c r="M708" s="171">
        <v>-300000</v>
      </c>
      <c r="N708" s="171">
        <v>0</v>
      </c>
      <c r="P708" s="173">
        <f t="shared" si="10"/>
        <v>300000</v>
      </c>
      <c r="V708" s="163"/>
      <c r="W708" s="163"/>
    </row>
    <row r="709" spans="1:23" s="17" customFormat="1">
      <c r="A709" s="176"/>
      <c r="B709" s="120" t="s">
        <v>446</v>
      </c>
      <c r="C709" s="177">
        <v>2025</v>
      </c>
      <c r="D709" s="80" t="s">
        <v>5999</v>
      </c>
      <c r="E709" s="8" t="s">
        <v>6523</v>
      </c>
      <c r="F709" s="1">
        <v>0</v>
      </c>
      <c r="G709" s="170"/>
      <c r="H709" s="171">
        <v>0</v>
      </c>
      <c r="I709" s="172">
        <v>0</v>
      </c>
      <c r="J709" s="171">
        <v>0</v>
      </c>
      <c r="K709" s="171">
        <v>0</v>
      </c>
      <c r="L709" s="171">
        <v>0</v>
      </c>
      <c r="M709" s="171">
        <v>-100000</v>
      </c>
      <c r="N709" s="171">
        <v>0</v>
      </c>
      <c r="P709" s="173">
        <f t="shared" ref="P709:P772" si="11">F709-H709-I709-J709-K709-L709-M709</f>
        <v>100000</v>
      </c>
      <c r="V709" s="163"/>
      <c r="W709" s="163"/>
    </row>
    <row r="710" spans="1:23" s="17" customFormat="1">
      <c r="A710" s="176"/>
      <c r="B710" s="120" t="s">
        <v>446</v>
      </c>
      <c r="C710" s="177">
        <v>2025</v>
      </c>
      <c r="D710" s="80" t="s">
        <v>5999</v>
      </c>
      <c r="E710" s="8" t="s">
        <v>6200</v>
      </c>
      <c r="F710" s="1">
        <v>0</v>
      </c>
      <c r="G710" s="170"/>
      <c r="H710" s="171">
        <v>0</v>
      </c>
      <c r="I710" s="172">
        <v>0</v>
      </c>
      <c r="J710" s="171">
        <v>0</v>
      </c>
      <c r="K710" s="171">
        <v>0</v>
      </c>
      <c r="L710" s="171">
        <v>0</v>
      </c>
      <c r="M710" s="171">
        <v>-1000000</v>
      </c>
      <c r="N710" s="171">
        <v>0</v>
      </c>
      <c r="P710" s="173">
        <f t="shared" si="11"/>
        <v>1000000</v>
      </c>
      <c r="V710" s="163"/>
      <c r="W710" s="163"/>
    </row>
    <row r="711" spans="1:23" s="17" customFormat="1">
      <c r="A711" s="176"/>
      <c r="B711" s="120" t="s">
        <v>446</v>
      </c>
      <c r="C711" s="177">
        <v>2025</v>
      </c>
      <c r="D711" s="80" t="s">
        <v>5999</v>
      </c>
      <c r="E711" s="8" t="s">
        <v>6524</v>
      </c>
      <c r="F711" s="1">
        <v>0</v>
      </c>
      <c r="G711" s="170"/>
      <c r="H711" s="171">
        <v>0</v>
      </c>
      <c r="I711" s="172">
        <v>0</v>
      </c>
      <c r="J711" s="171">
        <v>0</v>
      </c>
      <c r="K711" s="171">
        <v>0</v>
      </c>
      <c r="L711" s="171">
        <v>0</v>
      </c>
      <c r="M711" s="171">
        <v>-500000</v>
      </c>
      <c r="N711" s="171">
        <v>0</v>
      </c>
      <c r="P711" s="173">
        <f t="shared" si="11"/>
        <v>500000</v>
      </c>
      <c r="V711" s="163"/>
      <c r="W711" s="163"/>
    </row>
    <row r="712" spans="1:23" s="17" customFormat="1">
      <c r="A712" s="176"/>
      <c r="B712" s="120" t="s">
        <v>446</v>
      </c>
      <c r="C712" s="177">
        <v>2025</v>
      </c>
      <c r="D712" s="80" t="s">
        <v>5999</v>
      </c>
      <c r="E712" s="8" t="s">
        <v>6525</v>
      </c>
      <c r="F712" s="1">
        <v>0</v>
      </c>
      <c r="G712" s="170"/>
      <c r="H712" s="171">
        <v>0</v>
      </c>
      <c r="I712" s="172">
        <v>0</v>
      </c>
      <c r="J712" s="171">
        <v>0</v>
      </c>
      <c r="K712" s="171">
        <v>0</v>
      </c>
      <c r="L712" s="171">
        <v>0</v>
      </c>
      <c r="M712" s="171">
        <v>-3000000</v>
      </c>
      <c r="N712" s="171">
        <v>0</v>
      </c>
      <c r="P712" s="173">
        <f t="shared" si="11"/>
        <v>3000000</v>
      </c>
      <c r="V712" s="163"/>
      <c r="W712" s="163"/>
    </row>
    <row r="713" spans="1:23" s="17" customFormat="1">
      <c r="A713" s="176"/>
      <c r="B713" s="120" t="s">
        <v>446</v>
      </c>
      <c r="C713" s="177">
        <v>2025</v>
      </c>
      <c r="D713" s="80" t="s">
        <v>5999</v>
      </c>
      <c r="E713" s="8" t="s">
        <v>6526</v>
      </c>
      <c r="F713" s="1">
        <v>0</v>
      </c>
      <c r="G713" s="170"/>
      <c r="H713" s="171">
        <v>0</v>
      </c>
      <c r="I713" s="172">
        <v>0</v>
      </c>
      <c r="J713" s="171">
        <v>0</v>
      </c>
      <c r="K713" s="171">
        <v>0</v>
      </c>
      <c r="L713" s="171">
        <v>0</v>
      </c>
      <c r="M713" s="171">
        <v>-90000</v>
      </c>
      <c r="N713" s="171">
        <v>0</v>
      </c>
      <c r="P713" s="173">
        <f t="shared" si="11"/>
        <v>90000</v>
      </c>
      <c r="V713" s="163"/>
      <c r="W713" s="163"/>
    </row>
    <row r="714" spans="1:23" s="17" customFormat="1">
      <c r="A714" s="176"/>
      <c r="B714" s="120" t="s">
        <v>446</v>
      </c>
      <c r="C714" s="177">
        <v>2025</v>
      </c>
      <c r="D714" s="80" t="s">
        <v>5999</v>
      </c>
      <c r="E714" s="8" t="s">
        <v>6527</v>
      </c>
      <c r="F714" s="1">
        <v>0</v>
      </c>
      <c r="G714" s="170"/>
      <c r="H714" s="171">
        <v>0</v>
      </c>
      <c r="I714" s="172">
        <v>0</v>
      </c>
      <c r="J714" s="171">
        <v>0</v>
      </c>
      <c r="K714" s="171">
        <v>0</v>
      </c>
      <c r="L714" s="171">
        <v>0</v>
      </c>
      <c r="M714" s="171">
        <v>-5277700</v>
      </c>
      <c r="N714" s="171">
        <v>0</v>
      </c>
      <c r="P714" s="173">
        <f t="shared" si="11"/>
        <v>5277700</v>
      </c>
      <c r="V714" s="163"/>
      <c r="W714" s="163"/>
    </row>
    <row r="715" spans="1:23" s="17" customFormat="1">
      <c r="A715" s="176"/>
      <c r="B715" s="120" t="s">
        <v>446</v>
      </c>
      <c r="C715" s="177">
        <v>2025</v>
      </c>
      <c r="D715" s="80" t="s">
        <v>5999</v>
      </c>
      <c r="E715" s="8" t="s">
        <v>6528</v>
      </c>
      <c r="F715" s="1">
        <v>0</v>
      </c>
      <c r="G715" s="170"/>
      <c r="H715" s="171">
        <v>0</v>
      </c>
      <c r="I715" s="172">
        <v>0</v>
      </c>
      <c r="J715" s="171">
        <v>0</v>
      </c>
      <c r="K715" s="171">
        <v>0</v>
      </c>
      <c r="L715" s="171">
        <v>0</v>
      </c>
      <c r="M715" s="171">
        <v>-502500</v>
      </c>
      <c r="N715" s="171">
        <v>0</v>
      </c>
      <c r="P715" s="173">
        <f t="shared" si="11"/>
        <v>502500</v>
      </c>
      <c r="V715" s="163"/>
      <c r="W715" s="163"/>
    </row>
    <row r="716" spans="1:23" s="17" customFormat="1">
      <c r="A716" s="176"/>
      <c r="B716" s="120" t="s">
        <v>446</v>
      </c>
      <c r="C716" s="177">
        <v>2025</v>
      </c>
      <c r="D716" s="80" t="s">
        <v>5999</v>
      </c>
      <c r="E716" s="8" t="s">
        <v>6529</v>
      </c>
      <c r="F716" s="1">
        <v>0</v>
      </c>
      <c r="G716" s="170"/>
      <c r="H716" s="171">
        <v>0</v>
      </c>
      <c r="I716" s="172">
        <v>0</v>
      </c>
      <c r="J716" s="171">
        <v>0</v>
      </c>
      <c r="K716" s="171">
        <v>0</v>
      </c>
      <c r="L716" s="171">
        <v>0</v>
      </c>
      <c r="M716" s="171">
        <v>-562500</v>
      </c>
      <c r="N716" s="171">
        <v>0</v>
      </c>
      <c r="P716" s="173">
        <f t="shared" si="11"/>
        <v>562500</v>
      </c>
      <c r="V716" s="163"/>
      <c r="W716" s="163"/>
    </row>
    <row r="717" spans="1:23" s="17" customFormat="1">
      <c r="A717" s="176"/>
      <c r="B717" s="120" t="s">
        <v>446</v>
      </c>
      <c r="C717" s="177">
        <v>2025</v>
      </c>
      <c r="D717" s="80" t="s">
        <v>5999</v>
      </c>
      <c r="E717" s="8" t="s">
        <v>6530</v>
      </c>
      <c r="F717" s="1">
        <v>0</v>
      </c>
      <c r="G717" s="170"/>
      <c r="H717" s="171">
        <v>0</v>
      </c>
      <c r="I717" s="172">
        <v>0</v>
      </c>
      <c r="J717" s="171">
        <v>0</v>
      </c>
      <c r="K717" s="171">
        <v>0</v>
      </c>
      <c r="L717" s="171">
        <v>0</v>
      </c>
      <c r="M717" s="171">
        <v>-32340000</v>
      </c>
      <c r="N717" s="171">
        <v>0</v>
      </c>
      <c r="P717" s="173">
        <f t="shared" si="11"/>
        <v>32340000</v>
      </c>
      <c r="V717" s="163"/>
      <c r="W717" s="163"/>
    </row>
    <row r="718" spans="1:23" s="17" customFormat="1">
      <c r="A718" s="176"/>
      <c r="B718" s="120" t="s">
        <v>446</v>
      </c>
      <c r="C718" s="177">
        <v>2025</v>
      </c>
      <c r="D718" s="80" t="s">
        <v>5752</v>
      </c>
      <c r="E718" s="8" t="s">
        <v>6207</v>
      </c>
      <c r="F718" s="1">
        <v>0</v>
      </c>
      <c r="G718" s="170"/>
      <c r="H718" s="171">
        <v>0</v>
      </c>
      <c r="I718" s="172">
        <v>0</v>
      </c>
      <c r="J718" s="171">
        <v>0</v>
      </c>
      <c r="K718" s="171">
        <v>0</v>
      </c>
      <c r="L718" s="171">
        <v>0</v>
      </c>
      <c r="M718" s="171">
        <v>-20000000</v>
      </c>
      <c r="N718" s="171">
        <v>0</v>
      </c>
      <c r="P718" s="173">
        <f t="shared" si="11"/>
        <v>20000000</v>
      </c>
      <c r="V718" s="163"/>
      <c r="W718" s="163"/>
    </row>
    <row r="719" spans="1:23" s="17" customFormat="1">
      <c r="A719" s="176"/>
      <c r="B719" s="120" t="s">
        <v>446</v>
      </c>
      <c r="C719" s="177">
        <v>2025</v>
      </c>
      <c r="D719" s="80" t="s">
        <v>5752</v>
      </c>
      <c r="E719" s="8" t="s">
        <v>6168</v>
      </c>
      <c r="F719" s="1">
        <v>0</v>
      </c>
      <c r="G719" s="170"/>
      <c r="H719" s="171">
        <v>0</v>
      </c>
      <c r="I719" s="172">
        <v>0</v>
      </c>
      <c r="J719" s="171">
        <v>0</v>
      </c>
      <c r="K719" s="171">
        <v>0</v>
      </c>
      <c r="L719" s="171">
        <v>0</v>
      </c>
      <c r="M719" s="171">
        <v>-170000000</v>
      </c>
      <c r="N719" s="171">
        <v>0</v>
      </c>
      <c r="P719" s="173">
        <f t="shared" si="11"/>
        <v>170000000</v>
      </c>
      <c r="V719" s="163"/>
      <c r="W719" s="163"/>
    </row>
    <row r="720" spans="1:23" s="17" customFormat="1">
      <c r="A720" s="176"/>
      <c r="B720" s="120" t="s">
        <v>446</v>
      </c>
      <c r="C720" s="177">
        <v>2025</v>
      </c>
      <c r="D720" s="80" t="s">
        <v>5752</v>
      </c>
      <c r="E720" s="8" t="s">
        <v>6198</v>
      </c>
      <c r="F720" s="1">
        <v>0</v>
      </c>
      <c r="G720" s="170"/>
      <c r="H720" s="171">
        <v>0</v>
      </c>
      <c r="I720" s="172">
        <v>0</v>
      </c>
      <c r="J720" s="171">
        <v>0</v>
      </c>
      <c r="K720" s="171">
        <v>0</v>
      </c>
      <c r="L720" s="171">
        <v>0</v>
      </c>
      <c r="M720" s="171">
        <v>-3000000</v>
      </c>
      <c r="N720" s="171">
        <v>0</v>
      </c>
      <c r="P720" s="173">
        <f t="shared" si="11"/>
        <v>3000000</v>
      </c>
      <c r="V720" s="163"/>
      <c r="W720" s="163"/>
    </row>
    <row r="721" spans="1:23" s="17" customFormat="1">
      <c r="A721" s="176"/>
      <c r="B721" s="120" t="s">
        <v>446</v>
      </c>
      <c r="C721" s="177">
        <v>2025</v>
      </c>
      <c r="D721" s="80" t="s">
        <v>5752</v>
      </c>
      <c r="E721" s="8" t="s">
        <v>6199</v>
      </c>
      <c r="F721" s="1">
        <v>0</v>
      </c>
      <c r="G721" s="170"/>
      <c r="H721" s="171">
        <v>0</v>
      </c>
      <c r="I721" s="172">
        <v>0</v>
      </c>
      <c r="J721" s="171">
        <v>0</v>
      </c>
      <c r="K721" s="171">
        <v>0</v>
      </c>
      <c r="L721" s="171">
        <v>0</v>
      </c>
      <c r="M721" s="171">
        <v>-8000000</v>
      </c>
      <c r="N721" s="171">
        <v>0</v>
      </c>
      <c r="P721" s="173">
        <f t="shared" si="11"/>
        <v>8000000</v>
      </c>
      <c r="V721" s="163"/>
      <c r="W721" s="163"/>
    </row>
    <row r="722" spans="1:23" s="17" customFormat="1">
      <c r="A722" s="176"/>
      <c r="B722" s="120" t="s">
        <v>446</v>
      </c>
      <c r="C722" s="177">
        <v>2025</v>
      </c>
      <c r="D722" s="80" t="s">
        <v>5752</v>
      </c>
      <c r="E722" s="8" t="s">
        <v>6208</v>
      </c>
      <c r="F722" s="1">
        <v>0</v>
      </c>
      <c r="G722" s="170"/>
      <c r="H722" s="171">
        <v>0</v>
      </c>
      <c r="I722" s="172">
        <v>0</v>
      </c>
      <c r="J722" s="171">
        <v>0</v>
      </c>
      <c r="K722" s="171">
        <v>0</v>
      </c>
      <c r="L722" s="171">
        <v>0</v>
      </c>
      <c r="M722" s="171">
        <v>-50000000</v>
      </c>
      <c r="N722" s="171">
        <v>0</v>
      </c>
      <c r="P722" s="173">
        <f t="shared" si="11"/>
        <v>50000000</v>
      </c>
      <c r="V722" s="163"/>
      <c r="W722" s="163"/>
    </row>
    <row r="723" spans="1:23" s="17" customFormat="1">
      <c r="A723" s="176"/>
      <c r="B723" s="120" t="s">
        <v>446</v>
      </c>
      <c r="C723" s="177">
        <v>2025</v>
      </c>
      <c r="D723" s="80" t="s">
        <v>5752</v>
      </c>
      <c r="E723" s="8" t="s">
        <v>6200</v>
      </c>
      <c r="F723" s="1">
        <v>0</v>
      </c>
      <c r="G723" s="170"/>
      <c r="H723" s="171">
        <v>0</v>
      </c>
      <c r="I723" s="172">
        <v>0</v>
      </c>
      <c r="J723" s="171">
        <v>0</v>
      </c>
      <c r="K723" s="171">
        <v>0</v>
      </c>
      <c r="L723" s="171">
        <v>0</v>
      </c>
      <c r="M723" s="171">
        <v>-2000000</v>
      </c>
      <c r="N723" s="171">
        <v>0</v>
      </c>
      <c r="P723" s="173">
        <f t="shared" si="11"/>
        <v>2000000</v>
      </c>
      <c r="V723" s="163"/>
      <c r="W723" s="163"/>
    </row>
    <row r="724" spans="1:23" s="17" customFormat="1">
      <c r="A724" s="176"/>
      <c r="B724" s="120" t="s">
        <v>446</v>
      </c>
      <c r="C724" s="177">
        <v>2025</v>
      </c>
      <c r="D724" s="80" t="s">
        <v>5752</v>
      </c>
      <c r="E724" s="8" t="s">
        <v>6209</v>
      </c>
      <c r="F724" s="1">
        <v>0</v>
      </c>
      <c r="G724" s="170"/>
      <c r="H724" s="171">
        <v>0</v>
      </c>
      <c r="I724" s="172">
        <v>0</v>
      </c>
      <c r="J724" s="171">
        <v>0</v>
      </c>
      <c r="K724" s="171">
        <v>0</v>
      </c>
      <c r="L724" s="171">
        <v>0</v>
      </c>
      <c r="M724" s="171">
        <v>-12278000</v>
      </c>
      <c r="N724" s="171">
        <v>0</v>
      </c>
      <c r="P724" s="173">
        <f t="shared" si="11"/>
        <v>12278000</v>
      </c>
      <c r="V724" s="163"/>
      <c r="W724" s="163"/>
    </row>
    <row r="725" spans="1:23" s="17" customFormat="1">
      <c r="A725" s="176"/>
      <c r="B725" s="120" t="s">
        <v>446</v>
      </c>
      <c r="C725" s="177">
        <v>2025</v>
      </c>
      <c r="D725" s="80" t="s">
        <v>5752</v>
      </c>
      <c r="E725" s="8" t="s">
        <v>6210</v>
      </c>
      <c r="F725" s="1">
        <v>0</v>
      </c>
      <c r="G725" s="170"/>
      <c r="H725" s="171">
        <v>0</v>
      </c>
      <c r="I725" s="172">
        <v>0</v>
      </c>
      <c r="J725" s="171">
        <v>0</v>
      </c>
      <c r="K725" s="171">
        <v>0</v>
      </c>
      <c r="L725" s="171">
        <v>0</v>
      </c>
      <c r="M725" s="171">
        <v>-1020650</v>
      </c>
      <c r="N725" s="171">
        <v>0</v>
      </c>
      <c r="P725" s="173">
        <f t="shared" si="11"/>
        <v>1020650</v>
      </c>
      <c r="V725" s="163"/>
      <c r="W725" s="163"/>
    </row>
    <row r="726" spans="1:23" s="17" customFormat="1">
      <c r="A726" s="176"/>
      <c r="B726" s="120" t="s">
        <v>446</v>
      </c>
      <c r="C726" s="177">
        <v>2025</v>
      </c>
      <c r="D726" s="80" t="s">
        <v>4096</v>
      </c>
      <c r="E726" s="8" t="s">
        <v>6475</v>
      </c>
      <c r="F726" s="1">
        <v>0</v>
      </c>
      <c r="G726" s="170"/>
      <c r="H726" s="171">
        <v>0</v>
      </c>
      <c r="I726" s="172">
        <v>0</v>
      </c>
      <c r="J726" s="171">
        <v>0</v>
      </c>
      <c r="K726" s="171">
        <v>0</v>
      </c>
      <c r="L726" s="171">
        <v>0</v>
      </c>
      <c r="M726" s="171">
        <v>-980000</v>
      </c>
      <c r="N726" s="171">
        <v>0</v>
      </c>
      <c r="P726" s="173">
        <f t="shared" si="11"/>
        <v>980000</v>
      </c>
      <c r="V726" s="163"/>
      <c r="W726" s="163"/>
    </row>
    <row r="727" spans="1:23" s="17" customFormat="1">
      <c r="A727" s="176"/>
      <c r="B727" s="120" t="s">
        <v>446</v>
      </c>
      <c r="C727" s="177">
        <v>2025</v>
      </c>
      <c r="D727" s="80" t="s">
        <v>4096</v>
      </c>
      <c r="E727" s="8" t="s">
        <v>6476</v>
      </c>
      <c r="F727" s="1">
        <v>0</v>
      </c>
      <c r="G727" s="170"/>
      <c r="H727" s="171">
        <v>0</v>
      </c>
      <c r="I727" s="172">
        <v>0</v>
      </c>
      <c r="J727" s="171">
        <v>0</v>
      </c>
      <c r="K727" s="171">
        <v>0</v>
      </c>
      <c r="L727" s="171">
        <v>0</v>
      </c>
      <c r="M727" s="171">
        <v>-135000</v>
      </c>
      <c r="N727" s="171">
        <v>0</v>
      </c>
      <c r="P727" s="173">
        <f t="shared" si="11"/>
        <v>135000</v>
      </c>
      <c r="V727" s="163"/>
      <c r="W727" s="163"/>
    </row>
    <row r="728" spans="1:23" s="17" customFormat="1">
      <c r="A728" s="176"/>
      <c r="B728" s="120" t="s">
        <v>446</v>
      </c>
      <c r="C728" s="177">
        <v>2025</v>
      </c>
      <c r="D728" s="80" t="s">
        <v>4096</v>
      </c>
      <c r="E728" s="8" t="s">
        <v>6477</v>
      </c>
      <c r="F728" s="1">
        <v>0</v>
      </c>
      <c r="G728" s="170"/>
      <c r="H728" s="171">
        <v>0</v>
      </c>
      <c r="I728" s="172">
        <v>0</v>
      </c>
      <c r="J728" s="171">
        <v>0</v>
      </c>
      <c r="K728" s="171">
        <v>0</v>
      </c>
      <c r="L728" s="171">
        <v>0</v>
      </c>
      <c r="M728" s="171">
        <v>-331200</v>
      </c>
      <c r="N728" s="171">
        <v>0</v>
      </c>
      <c r="P728" s="173">
        <f t="shared" si="11"/>
        <v>331200</v>
      </c>
      <c r="V728" s="163"/>
      <c r="W728" s="163"/>
    </row>
    <row r="729" spans="1:23" s="17" customFormat="1">
      <c r="A729" s="176"/>
      <c r="B729" s="120" t="s">
        <v>446</v>
      </c>
      <c r="C729" s="177">
        <v>2025</v>
      </c>
      <c r="D729" s="80" t="s">
        <v>4096</v>
      </c>
      <c r="E729" s="8" t="s">
        <v>6475</v>
      </c>
      <c r="F729" s="1">
        <v>0</v>
      </c>
      <c r="G729" s="170"/>
      <c r="H729" s="171">
        <v>0</v>
      </c>
      <c r="I729" s="172">
        <v>0</v>
      </c>
      <c r="J729" s="171">
        <v>0</v>
      </c>
      <c r="K729" s="171">
        <v>0</v>
      </c>
      <c r="L729" s="171">
        <v>0</v>
      </c>
      <c r="M729" s="171">
        <v>-1470000</v>
      </c>
      <c r="N729" s="171">
        <v>0</v>
      </c>
      <c r="P729" s="173">
        <f t="shared" si="11"/>
        <v>1470000</v>
      </c>
      <c r="V729" s="163"/>
      <c r="W729" s="163"/>
    </row>
    <row r="730" spans="1:23" s="17" customFormat="1">
      <c r="A730" s="176"/>
      <c r="B730" s="120" t="s">
        <v>446</v>
      </c>
      <c r="C730" s="177">
        <v>2025</v>
      </c>
      <c r="D730" s="80" t="s">
        <v>4096</v>
      </c>
      <c r="E730" s="8" t="s">
        <v>6478</v>
      </c>
      <c r="F730" s="1">
        <v>0</v>
      </c>
      <c r="G730" s="170"/>
      <c r="H730" s="171">
        <v>0</v>
      </c>
      <c r="I730" s="172">
        <v>0</v>
      </c>
      <c r="J730" s="171">
        <v>0</v>
      </c>
      <c r="K730" s="171">
        <v>0</v>
      </c>
      <c r="L730" s="171">
        <v>0</v>
      </c>
      <c r="M730" s="171">
        <v>-245000</v>
      </c>
      <c r="N730" s="171">
        <v>0</v>
      </c>
      <c r="P730" s="173">
        <f t="shared" si="11"/>
        <v>245000</v>
      </c>
      <c r="V730" s="163"/>
      <c r="W730" s="163"/>
    </row>
    <row r="731" spans="1:23" s="17" customFormat="1">
      <c r="A731" s="176"/>
      <c r="B731" s="120" t="s">
        <v>446</v>
      </c>
      <c r="C731" s="177">
        <v>2025</v>
      </c>
      <c r="D731" s="80" t="s">
        <v>4096</v>
      </c>
      <c r="E731" s="8" t="s">
        <v>6479</v>
      </c>
      <c r="F731" s="1">
        <v>0</v>
      </c>
      <c r="G731" s="170"/>
      <c r="H731" s="171">
        <v>0</v>
      </c>
      <c r="I731" s="172">
        <v>0</v>
      </c>
      <c r="J731" s="171">
        <v>0</v>
      </c>
      <c r="K731" s="171">
        <v>0</v>
      </c>
      <c r="L731" s="171">
        <v>0</v>
      </c>
      <c r="M731" s="171">
        <v>-71370</v>
      </c>
      <c r="N731" s="171">
        <v>0</v>
      </c>
      <c r="P731" s="173">
        <f t="shared" si="11"/>
        <v>71370</v>
      </c>
      <c r="V731" s="163"/>
      <c r="W731" s="163"/>
    </row>
    <row r="732" spans="1:23" s="17" customFormat="1">
      <c r="A732" s="176"/>
      <c r="B732" s="120" t="s">
        <v>446</v>
      </c>
      <c r="C732" s="177">
        <v>2025</v>
      </c>
      <c r="D732" s="80" t="s">
        <v>4096</v>
      </c>
      <c r="E732" s="8" t="s">
        <v>6480</v>
      </c>
      <c r="F732" s="1">
        <v>0</v>
      </c>
      <c r="G732" s="170"/>
      <c r="H732" s="171">
        <v>0</v>
      </c>
      <c r="I732" s="172">
        <v>0</v>
      </c>
      <c r="J732" s="171">
        <v>0</v>
      </c>
      <c r="K732" s="171">
        <v>0</v>
      </c>
      <c r="L732" s="171">
        <v>0</v>
      </c>
      <c r="M732" s="171">
        <v>-265000</v>
      </c>
      <c r="N732" s="171">
        <v>0</v>
      </c>
      <c r="P732" s="173">
        <f t="shared" si="11"/>
        <v>265000</v>
      </c>
      <c r="V732" s="163"/>
      <c r="W732" s="163"/>
    </row>
    <row r="733" spans="1:23" s="17" customFormat="1">
      <c r="A733" s="176"/>
      <c r="B733" s="120" t="s">
        <v>446</v>
      </c>
      <c r="C733" s="177">
        <v>2025</v>
      </c>
      <c r="D733" s="80" t="s">
        <v>4096</v>
      </c>
      <c r="E733" s="8" t="s">
        <v>6481</v>
      </c>
      <c r="F733" s="1">
        <v>0</v>
      </c>
      <c r="G733" s="170"/>
      <c r="H733" s="171">
        <v>0</v>
      </c>
      <c r="I733" s="172">
        <v>0</v>
      </c>
      <c r="J733" s="171">
        <v>0</v>
      </c>
      <c r="K733" s="171">
        <v>0</v>
      </c>
      <c r="L733" s="171">
        <v>0</v>
      </c>
      <c r="M733" s="171">
        <v>-175500</v>
      </c>
      <c r="N733" s="171">
        <v>0</v>
      </c>
      <c r="P733" s="173">
        <f t="shared" si="11"/>
        <v>175500</v>
      </c>
      <c r="V733" s="163"/>
      <c r="W733" s="163"/>
    </row>
    <row r="734" spans="1:23" s="17" customFormat="1">
      <c r="A734" s="176"/>
      <c r="B734" s="120" t="s">
        <v>446</v>
      </c>
      <c r="C734" s="177">
        <v>2025</v>
      </c>
      <c r="D734" s="80" t="s">
        <v>4096</v>
      </c>
      <c r="E734" s="8" t="s">
        <v>6482</v>
      </c>
      <c r="F734" s="1">
        <v>0</v>
      </c>
      <c r="G734" s="170"/>
      <c r="H734" s="171">
        <v>0</v>
      </c>
      <c r="I734" s="172">
        <v>0</v>
      </c>
      <c r="J734" s="171">
        <v>0</v>
      </c>
      <c r="K734" s="171">
        <v>0</v>
      </c>
      <c r="L734" s="171">
        <v>0</v>
      </c>
      <c r="M734" s="171">
        <v>-1009000</v>
      </c>
      <c r="N734" s="171">
        <v>0</v>
      </c>
      <c r="P734" s="173">
        <f t="shared" si="11"/>
        <v>1009000</v>
      </c>
      <c r="V734" s="163"/>
      <c r="W734" s="163"/>
    </row>
    <row r="735" spans="1:23" s="17" customFormat="1">
      <c r="A735" s="176"/>
      <c r="B735" s="120" t="s">
        <v>446</v>
      </c>
      <c r="C735" s="177">
        <v>2025</v>
      </c>
      <c r="D735" s="80" t="s">
        <v>4096</v>
      </c>
      <c r="E735" s="8" t="s">
        <v>6483</v>
      </c>
      <c r="F735" s="1">
        <v>0</v>
      </c>
      <c r="G735" s="170"/>
      <c r="H735" s="171">
        <v>0</v>
      </c>
      <c r="I735" s="172">
        <v>0</v>
      </c>
      <c r="J735" s="171">
        <v>0</v>
      </c>
      <c r="K735" s="171">
        <v>0</v>
      </c>
      <c r="L735" s="171">
        <v>0</v>
      </c>
      <c r="M735" s="171">
        <v>-213675</v>
      </c>
      <c r="N735" s="171">
        <v>0</v>
      </c>
      <c r="P735" s="173">
        <f t="shared" si="11"/>
        <v>213675</v>
      </c>
      <c r="V735" s="163"/>
      <c r="W735" s="163"/>
    </row>
    <row r="736" spans="1:23" s="17" customFormat="1">
      <c r="A736" s="176"/>
      <c r="B736" s="120" t="s">
        <v>446</v>
      </c>
      <c r="C736" s="177">
        <v>2025</v>
      </c>
      <c r="D736" s="80" t="s">
        <v>4096</v>
      </c>
      <c r="E736" s="8" t="s">
        <v>6484</v>
      </c>
      <c r="F736" s="1">
        <v>0</v>
      </c>
      <c r="G736" s="170"/>
      <c r="H736" s="171">
        <v>0</v>
      </c>
      <c r="I736" s="172">
        <v>0</v>
      </c>
      <c r="J736" s="171">
        <v>0</v>
      </c>
      <c r="K736" s="171">
        <v>0</v>
      </c>
      <c r="L736" s="171">
        <v>0</v>
      </c>
      <c r="M736" s="171">
        <v>-2500</v>
      </c>
      <c r="N736" s="171">
        <v>0</v>
      </c>
      <c r="P736" s="173">
        <f t="shared" si="11"/>
        <v>2500</v>
      </c>
      <c r="V736" s="163"/>
      <c r="W736" s="163"/>
    </row>
    <row r="737" spans="1:23" s="17" customFormat="1">
      <c r="A737" s="176"/>
      <c r="B737" s="120" t="s">
        <v>446</v>
      </c>
      <c r="C737" s="177">
        <v>2025</v>
      </c>
      <c r="D737" s="80" t="s">
        <v>6001</v>
      </c>
      <c r="E737" s="8" t="s">
        <v>6320</v>
      </c>
      <c r="F737" s="1">
        <v>0</v>
      </c>
      <c r="G737" s="170"/>
      <c r="H737" s="171">
        <v>0</v>
      </c>
      <c r="I737" s="172">
        <v>0</v>
      </c>
      <c r="J737" s="171">
        <v>0</v>
      </c>
      <c r="K737" s="171">
        <v>0</v>
      </c>
      <c r="L737" s="171">
        <v>0</v>
      </c>
      <c r="M737" s="171">
        <v>-90000000</v>
      </c>
      <c r="N737" s="171">
        <v>0</v>
      </c>
      <c r="P737" s="173">
        <f t="shared" si="11"/>
        <v>90000000</v>
      </c>
      <c r="V737" s="163"/>
      <c r="W737" s="163"/>
    </row>
    <row r="738" spans="1:23" s="17" customFormat="1">
      <c r="A738" s="176"/>
      <c r="B738" s="120" t="s">
        <v>446</v>
      </c>
      <c r="C738" s="177">
        <v>2025</v>
      </c>
      <c r="D738" s="80" t="s">
        <v>6001</v>
      </c>
      <c r="E738" s="8" t="s">
        <v>6321</v>
      </c>
      <c r="F738" s="1">
        <v>0</v>
      </c>
      <c r="G738" s="170"/>
      <c r="H738" s="171">
        <v>0</v>
      </c>
      <c r="I738" s="172">
        <v>0</v>
      </c>
      <c r="J738" s="171">
        <v>0</v>
      </c>
      <c r="K738" s="171">
        <v>0</v>
      </c>
      <c r="L738" s="171">
        <v>0</v>
      </c>
      <c r="M738" s="171">
        <v>-340000000</v>
      </c>
      <c r="N738" s="171">
        <v>0</v>
      </c>
      <c r="P738" s="173">
        <f t="shared" si="11"/>
        <v>340000000</v>
      </c>
      <c r="V738" s="163"/>
      <c r="W738" s="163"/>
    </row>
    <row r="739" spans="1:23" s="17" customFormat="1">
      <c r="A739" s="176"/>
      <c r="B739" s="120" t="s">
        <v>446</v>
      </c>
      <c r="C739" s="177">
        <v>2025</v>
      </c>
      <c r="D739" s="80" t="s">
        <v>6001</v>
      </c>
      <c r="E739" s="8" t="s">
        <v>6322</v>
      </c>
      <c r="F739" s="1">
        <v>0</v>
      </c>
      <c r="G739" s="170"/>
      <c r="H739" s="171">
        <v>0</v>
      </c>
      <c r="I739" s="172">
        <v>0</v>
      </c>
      <c r="J739" s="171">
        <v>0</v>
      </c>
      <c r="K739" s="171">
        <v>0</v>
      </c>
      <c r="L739" s="171">
        <v>0</v>
      </c>
      <c r="M739" s="171">
        <v>-3000000</v>
      </c>
      <c r="N739" s="171">
        <v>0</v>
      </c>
      <c r="P739" s="173">
        <f t="shared" si="11"/>
        <v>3000000</v>
      </c>
      <c r="V739" s="163"/>
      <c r="W739" s="163"/>
    </row>
    <row r="740" spans="1:23" s="17" customFormat="1">
      <c r="A740" s="176"/>
      <c r="B740" s="120" t="s">
        <v>446</v>
      </c>
      <c r="C740" s="177">
        <v>2025</v>
      </c>
      <c r="D740" s="80" t="s">
        <v>6001</v>
      </c>
      <c r="E740" s="8" t="s">
        <v>6323</v>
      </c>
      <c r="F740" s="1">
        <v>0</v>
      </c>
      <c r="G740" s="170"/>
      <c r="H740" s="171">
        <v>0</v>
      </c>
      <c r="I740" s="172">
        <v>0</v>
      </c>
      <c r="J740" s="171">
        <v>0</v>
      </c>
      <c r="K740" s="171">
        <v>0</v>
      </c>
      <c r="L740" s="171">
        <v>0</v>
      </c>
      <c r="M740" s="171">
        <v>-8000000</v>
      </c>
      <c r="N740" s="171">
        <v>0</v>
      </c>
      <c r="P740" s="173">
        <f t="shared" si="11"/>
        <v>8000000</v>
      </c>
      <c r="V740" s="163"/>
      <c r="W740" s="163"/>
    </row>
    <row r="741" spans="1:23" s="17" customFormat="1">
      <c r="A741" s="176"/>
      <c r="B741" s="120" t="s">
        <v>446</v>
      </c>
      <c r="C741" s="177">
        <v>2025</v>
      </c>
      <c r="D741" s="80" t="s">
        <v>6001</v>
      </c>
      <c r="E741" s="8" t="s">
        <v>6310</v>
      </c>
      <c r="F741" s="1">
        <v>0</v>
      </c>
      <c r="G741" s="170"/>
      <c r="H741" s="171">
        <v>0</v>
      </c>
      <c r="I741" s="172">
        <v>0</v>
      </c>
      <c r="J741" s="171">
        <v>0</v>
      </c>
      <c r="K741" s="171">
        <v>0</v>
      </c>
      <c r="L741" s="171">
        <v>0</v>
      </c>
      <c r="M741" s="171">
        <v>-1500000</v>
      </c>
      <c r="N741" s="171">
        <v>0</v>
      </c>
      <c r="P741" s="173">
        <f t="shared" si="11"/>
        <v>1500000</v>
      </c>
      <c r="V741" s="163"/>
      <c r="W741" s="163"/>
    </row>
    <row r="742" spans="1:23" s="17" customFormat="1">
      <c r="A742" s="176"/>
      <c r="B742" s="120" t="s">
        <v>446</v>
      </c>
      <c r="C742" s="177">
        <v>2025</v>
      </c>
      <c r="D742" s="80" t="s">
        <v>6001</v>
      </c>
      <c r="E742" s="8" t="s">
        <v>6311</v>
      </c>
      <c r="F742" s="1">
        <v>0</v>
      </c>
      <c r="G742" s="170"/>
      <c r="H742" s="171">
        <v>0</v>
      </c>
      <c r="I742" s="172">
        <v>0</v>
      </c>
      <c r="J742" s="171">
        <v>0</v>
      </c>
      <c r="K742" s="171">
        <v>0</v>
      </c>
      <c r="L742" s="171">
        <v>0</v>
      </c>
      <c r="M742" s="171">
        <v>-45000</v>
      </c>
      <c r="N742" s="171">
        <v>0</v>
      </c>
      <c r="P742" s="173">
        <f t="shared" si="11"/>
        <v>45000</v>
      </c>
      <c r="V742" s="163"/>
      <c r="W742" s="163"/>
    </row>
    <row r="743" spans="1:23" s="17" customFormat="1">
      <c r="A743" s="176"/>
      <c r="B743" s="120" t="s">
        <v>446</v>
      </c>
      <c r="C743" s="177">
        <v>2025</v>
      </c>
      <c r="D743" s="80" t="s">
        <v>6001</v>
      </c>
      <c r="E743" s="8" t="s">
        <v>6312</v>
      </c>
      <c r="F743" s="1">
        <v>0</v>
      </c>
      <c r="G743" s="170"/>
      <c r="H743" s="171">
        <v>0</v>
      </c>
      <c r="I743" s="172">
        <v>0</v>
      </c>
      <c r="J743" s="171">
        <v>0</v>
      </c>
      <c r="K743" s="171">
        <v>0</v>
      </c>
      <c r="L743" s="171">
        <v>0</v>
      </c>
      <c r="M743" s="171">
        <v>-3402500</v>
      </c>
      <c r="N743" s="171">
        <v>0</v>
      </c>
      <c r="P743" s="173">
        <f t="shared" si="11"/>
        <v>3402500</v>
      </c>
      <c r="V743" s="163"/>
      <c r="W743" s="163"/>
    </row>
    <row r="744" spans="1:23" s="17" customFormat="1">
      <c r="A744" s="176"/>
      <c r="B744" s="120" t="s">
        <v>446</v>
      </c>
      <c r="C744" s="177">
        <v>2025</v>
      </c>
      <c r="D744" s="80" t="s">
        <v>6001</v>
      </c>
      <c r="E744" s="8" t="s">
        <v>6313</v>
      </c>
      <c r="F744" s="1">
        <v>0</v>
      </c>
      <c r="G744" s="170"/>
      <c r="H744" s="171">
        <v>0</v>
      </c>
      <c r="I744" s="172">
        <v>0</v>
      </c>
      <c r="J744" s="171">
        <v>0</v>
      </c>
      <c r="K744" s="171">
        <v>0</v>
      </c>
      <c r="L744" s="171">
        <v>0</v>
      </c>
      <c r="M744" s="171">
        <v>-940000</v>
      </c>
      <c r="N744" s="171">
        <v>0</v>
      </c>
      <c r="P744" s="173">
        <f t="shared" si="11"/>
        <v>940000</v>
      </c>
      <c r="V744" s="163"/>
      <c r="W744" s="163"/>
    </row>
    <row r="745" spans="1:23" s="17" customFormat="1">
      <c r="A745" s="176"/>
      <c r="B745" s="120" t="s">
        <v>446</v>
      </c>
      <c r="C745" s="177">
        <v>2025</v>
      </c>
      <c r="D745" s="80" t="s">
        <v>6001</v>
      </c>
      <c r="E745" s="8" t="s">
        <v>6314</v>
      </c>
      <c r="F745" s="1">
        <v>0</v>
      </c>
      <c r="G745" s="170"/>
      <c r="H745" s="171">
        <v>0</v>
      </c>
      <c r="I745" s="172">
        <v>0</v>
      </c>
      <c r="J745" s="171">
        <v>0</v>
      </c>
      <c r="K745" s="171">
        <v>0</v>
      </c>
      <c r="L745" s="171">
        <v>0</v>
      </c>
      <c r="M745" s="171">
        <v>-80000</v>
      </c>
      <c r="N745" s="171">
        <v>0</v>
      </c>
      <c r="P745" s="173">
        <f t="shared" si="11"/>
        <v>80000</v>
      </c>
      <c r="V745" s="163"/>
      <c r="W745" s="163"/>
    </row>
    <row r="746" spans="1:23" s="17" customFormat="1">
      <c r="A746" s="176"/>
      <c r="B746" s="120" t="s">
        <v>446</v>
      </c>
      <c r="C746" s="177">
        <v>2025</v>
      </c>
      <c r="D746" s="80" t="s">
        <v>6001</v>
      </c>
      <c r="E746" s="8" t="s">
        <v>6315</v>
      </c>
      <c r="F746" s="1">
        <v>0</v>
      </c>
      <c r="G746" s="170"/>
      <c r="H746" s="171">
        <v>0</v>
      </c>
      <c r="I746" s="172">
        <v>0</v>
      </c>
      <c r="J746" s="171">
        <v>0</v>
      </c>
      <c r="K746" s="171">
        <v>0</v>
      </c>
      <c r="L746" s="171">
        <v>0</v>
      </c>
      <c r="M746" s="171">
        <v>-120000</v>
      </c>
      <c r="N746" s="171">
        <v>0</v>
      </c>
      <c r="P746" s="173">
        <f t="shared" si="11"/>
        <v>120000</v>
      </c>
      <c r="V746" s="163"/>
      <c r="W746" s="163"/>
    </row>
    <row r="747" spans="1:23" s="17" customFormat="1">
      <c r="A747" s="176"/>
      <c r="B747" s="120" t="s">
        <v>446</v>
      </c>
      <c r="C747" s="177">
        <v>2025</v>
      </c>
      <c r="D747" s="80" t="s">
        <v>6001</v>
      </c>
      <c r="E747" s="8" t="s">
        <v>6316</v>
      </c>
      <c r="F747" s="1">
        <v>0</v>
      </c>
      <c r="G747" s="170"/>
      <c r="H747" s="171">
        <v>0</v>
      </c>
      <c r="I747" s="172">
        <v>0</v>
      </c>
      <c r="J747" s="171">
        <v>0</v>
      </c>
      <c r="K747" s="171">
        <v>0</v>
      </c>
      <c r="L747" s="171">
        <v>0</v>
      </c>
      <c r="M747" s="171">
        <v>-200000</v>
      </c>
      <c r="N747" s="171">
        <v>0</v>
      </c>
      <c r="P747" s="173">
        <f t="shared" si="11"/>
        <v>200000</v>
      </c>
      <c r="V747" s="163"/>
      <c r="W747" s="163"/>
    </row>
    <row r="748" spans="1:23" s="17" customFormat="1">
      <c r="A748" s="176"/>
      <c r="B748" s="120" t="s">
        <v>446</v>
      </c>
      <c r="C748" s="177">
        <v>2025</v>
      </c>
      <c r="D748" s="80" t="s">
        <v>6001</v>
      </c>
      <c r="E748" s="8" t="s">
        <v>6317</v>
      </c>
      <c r="F748" s="1">
        <v>0</v>
      </c>
      <c r="G748" s="170"/>
      <c r="H748" s="171">
        <v>0</v>
      </c>
      <c r="I748" s="172">
        <v>0</v>
      </c>
      <c r="J748" s="171">
        <v>0</v>
      </c>
      <c r="K748" s="171">
        <v>0</v>
      </c>
      <c r="L748" s="171">
        <v>0</v>
      </c>
      <c r="M748" s="171">
        <v>-200000</v>
      </c>
      <c r="N748" s="171">
        <v>0</v>
      </c>
      <c r="P748" s="173">
        <f t="shared" si="11"/>
        <v>200000</v>
      </c>
      <c r="V748" s="163"/>
      <c r="W748" s="163"/>
    </row>
    <row r="749" spans="1:23" s="17" customFormat="1">
      <c r="A749" s="176"/>
      <c r="B749" s="120" t="s">
        <v>446</v>
      </c>
      <c r="C749" s="177">
        <v>2025</v>
      </c>
      <c r="D749" s="80" t="s">
        <v>6001</v>
      </c>
      <c r="E749" s="8" t="s">
        <v>6318</v>
      </c>
      <c r="F749" s="1">
        <v>0</v>
      </c>
      <c r="G749" s="170"/>
      <c r="H749" s="171">
        <v>0</v>
      </c>
      <c r="I749" s="172">
        <v>0</v>
      </c>
      <c r="J749" s="171">
        <v>0</v>
      </c>
      <c r="K749" s="171">
        <v>0</v>
      </c>
      <c r="L749" s="171">
        <v>0</v>
      </c>
      <c r="M749" s="171">
        <v>-3000000</v>
      </c>
      <c r="N749" s="171">
        <v>0</v>
      </c>
      <c r="P749" s="173">
        <f t="shared" si="11"/>
        <v>3000000</v>
      </c>
      <c r="V749" s="163"/>
      <c r="W749" s="163"/>
    </row>
    <row r="750" spans="1:23" s="17" customFormat="1">
      <c r="A750" s="176"/>
      <c r="B750" s="120" t="s">
        <v>446</v>
      </c>
      <c r="C750" s="177">
        <v>2025</v>
      </c>
      <c r="D750" s="80" t="s">
        <v>6001</v>
      </c>
      <c r="E750" s="8" t="s">
        <v>6319</v>
      </c>
      <c r="F750" s="1">
        <v>0</v>
      </c>
      <c r="G750" s="170"/>
      <c r="H750" s="171">
        <v>0</v>
      </c>
      <c r="I750" s="172">
        <v>0</v>
      </c>
      <c r="J750" s="171">
        <v>0</v>
      </c>
      <c r="K750" s="171">
        <v>0</v>
      </c>
      <c r="L750" s="171">
        <v>0</v>
      </c>
      <c r="M750" s="171">
        <v>-20000000</v>
      </c>
      <c r="N750" s="171">
        <v>0</v>
      </c>
      <c r="P750" s="173">
        <f t="shared" si="11"/>
        <v>20000000</v>
      </c>
      <c r="V750" s="163"/>
      <c r="W750" s="163"/>
    </row>
    <row r="751" spans="1:23" s="17" customFormat="1">
      <c r="A751" s="176"/>
      <c r="B751" s="120" t="s">
        <v>446</v>
      </c>
      <c r="C751" s="177">
        <v>2025</v>
      </c>
      <c r="D751" s="80" t="s">
        <v>7931</v>
      </c>
      <c r="E751" s="8" t="s">
        <v>6811</v>
      </c>
      <c r="F751" s="1">
        <v>0</v>
      </c>
      <c r="G751" s="170"/>
      <c r="H751" s="171">
        <v>0</v>
      </c>
      <c r="I751" s="172">
        <v>0</v>
      </c>
      <c r="J751" s="171">
        <v>0</v>
      </c>
      <c r="K751" s="171">
        <v>0</v>
      </c>
      <c r="L751" s="171">
        <v>0</v>
      </c>
      <c r="M751" s="171">
        <v>-1896800</v>
      </c>
      <c r="N751" s="171">
        <v>0</v>
      </c>
      <c r="P751" s="173">
        <f t="shared" si="11"/>
        <v>1896800</v>
      </c>
      <c r="V751" s="163"/>
      <c r="W751" s="163"/>
    </row>
    <row r="752" spans="1:23" s="17" customFormat="1">
      <c r="A752" s="176"/>
      <c r="B752" s="120" t="s">
        <v>446</v>
      </c>
      <c r="C752" s="177">
        <v>2025</v>
      </c>
      <c r="D752" s="80" t="s">
        <v>7931</v>
      </c>
      <c r="E752" s="8" t="s">
        <v>6812</v>
      </c>
      <c r="F752" s="1">
        <v>0</v>
      </c>
      <c r="G752" s="170"/>
      <c r="H752" s="171">
        <v>0</v>
      </c>
      <c r="I752" s="172">
        <v>0</v>
      </c>
      <c r="J752" s="171">
        <v>0</v>
      </c>
      <c r="K752" s="171">
        <v>0</v>
      </c>
      <c r="L752" s="171">
        <v>0</v>
      </c>
      <c r="M752" s="171">
        <v>-1998000</v>
      </c>
      <c r="N752" s="171">
        <v>0</v>
      </c>
      <c r="P752" s="173">
        <f t="shared" si="11"/>
        <v>1998000</v>
      </c>
      <c r="V752" s="163"/>
      <c r="W752" s="163"/>
    </row>
    <row r="753" spans="1:23" s="17" customFormat="1">
      <c r="A753" s="176"/>
      <c r="B753" s="120" t="s">
        <v>446</v>
      </c>
      <c r="C753" s="177">
        <v>2025</v>
      </c>
      <c r="D753" s="80" t="s">
        <v>4096</v>
      </c>
      <c r="E753" s="8" t="s">
        <v>6814</v>
      </c>
      <c r="F753" s="1">
        <v>0</v>
      </c>
      <c r="G753" s="170"/>
      <c r="H753" s="171">
        <v>0</v>
      </c>
      <c r="I753" s="172">
        <v>0</v>
      </c>
      <c r="J753" s="171">
        <v>0</v>
      </c>
      <c r="K753" s="171">
        <v>0</v>
      </c>
      <c r="L753" s="171">
        <v>0</v>
      </c>
      <c r="M753" s="171">
        <v>-1300000</v>
      </c>
      <c r="N753" s="171">
        <v>0</v>
      </c>
      <c r="P753" s="173">
        <f t="shared" si="11"/>
        <v>1300000</v>
      </c>
      <c r="V753" s="163"/>
      <c r="W753" s="163"/>
    </row>
    <row r="754" spans="1:23" s="17" customFormat="1">
      <c r="A754" s="176"/>
      <c r="B754" s="120" t="s">
        <v>446</v>
      </c>
      <c r="C754" s="177">
        <v>2025</v>
      </c>
      <c r="D754" s="80" t="s">
        <v>4096</v>
      </c>
      <c r="E754" s="8" t="s">
        <v>6815</v>
      </c>
      <c r="F754" s="1">
        <v>0</v>
      </c>
      <c r="G754" s="170"/>
      <c r="H754" s="171">
        <v>0</v>
      </c>
      <c r="I754" s="172">
        <v>0</v>
      </c>
      <c r="J754" s="171">
        <v>0</v>
      </c>
      <c r="K754" s="171">
        <v>0</v>
      </c>
      <c r="L754" s="171">
        <v>0</v>
      </c>
      <c r="M754" s="171">
        <v>-1300000</v>
      </c>
      <c r="N754" s="171">
        <v>0</v>
      </c>
      <c r="P754" s="173">
        <f t="shared" si="11"/>
        <v>1300000</v>
      </c>
      <c r="V754" s="163"/>
      <c r="W754" s="163"/>
    </row>
    <row r="755" spans="1:23" s="17" customFormat="1">
      <c r="A755" s="176"/>
      <c r="B755" s="120" t="s">
        <v>446</v>
      </c>
      <c r="C755" s="177">
        <v>2025</v>
      </c>
      <c r="D755" s="80" t="s">
        <v>4096</v>
      </c>
      <c r="E755" s="8" t="s">
        <v>6816</v>
      </c>
      <c r="F755" s="1">
        <v>0</v>
      </c>
      <c r="G755" s="170"/>
      <c r="H755" s="171">
        <v>0</v>
      </c>
      <c r="I755" s="172">
        <v>0</v>
      </c>
      <c r="J755" s="171">
        <v>0</v>
      </c>
      <c r="K755" s="171">
        <v>0</v>
      </c>
      <c r="L755" s="171">
        <v>0</v>
      </c>
      <c r="M755" s="171">
        <v>-1002964</v>
      </c>
      <c r="N755" s="171">
        <v>0</v>
      </c>
      <c r="P755" s="173">
        <f t="shared" si="11"/>
        <v>1002964</v>
      </c>
      <c r="V755" s="163"/>
      <c r="W755" s="163"/>
    </row>
    <row r="756" spans="1:23" s="17" customFormat="1">
      <c r="A756" s="176"/>
      <c r="B756" s="120" t="s">
        <v>446</v>
      </c>
      <c r="C756" s="177">
        <v>2025</v>
      </c>
      <c r="D756" s="80" t="s">
        <v>4096</v>
      </c>
      <c r="E756" s="8" t="s">
        <v>6817</v>
      </c>
      <c r="F756" s="1">
        <v>0</v>
      </c>
      <c r="G756" s="170"/>
      <c r="H756" s="171">
        <v>0</v>
      </c>
      <c r="I756" s="172">
        <v>0</v>
      </c>
      <c r="J756" s="171">
        <v>0</v>
      </c>
      <c r="K756" s="171">
        <v>0</v>
      </c>
      <c r="L756" s="171">
        <v>0</v>
      </c>
      <c r="M756" s="171">
        <v>-1300000</v>
      </c>
      <c r="N756" s="171">
        <v>0</v>
      </c>
      <c r="P756" s="173">
        <f t="shared" si="11"/>
        <v>1300000</v>
      </c>
      <c r="V756" s="163"/>
      <c r="W756" s="163"/>
    </row>
    <row r="757" spans="1:23" s="17" customFormat="1">
      <c r="A757" s="176"/>
      <c r="B757" s="120" t="s">
        <v>446</v>
      </c>
      <c r="C757" s="177">
        <v>2025</v>
      </c>
      <c r="D757" s="80" t="s">
        <v>4096</v>
      </c>
      <c r="E757" s="8" t="s">
        <v>6818</v>
      </c>
      <c r="F757" s="1">
        <v>0</v>
      </c>
      <c r="G757" s="170"/>
      <c r="H757" s="171">
        <v>0</v>
      </c>
      <c r="I757" s="172">
        <v>0</v>
      </c>
      <c r="J757" s="171">
        <v>0</v>
      </c>
      <c r="K757" s="171">
        <v>0</v>
      </c>
      <c r="L757" s="171">
        <v>0</v>
      </c>
      <c r="M757" s="171">
        <v>-1795236</v>
      </c>
      <c r="N757" s="171">
        <v>0</v>
      </c>
      <c r="P757" s="173">
        <f t="shared" si="11"/>
        <v>1795236</v>
      </c>
      <c r="V757" s="163"/>
      <c r="W757" s="163"/>
    </row>
    <row r="758" spans="1:23" s="17" customFormat="1">
      <c r="A758" s="176"/>
      <c r="B758" s="120" t="s">
        <v>446</v>
      </c>
      <c r="C758" s="177">
        <v>2025</v>
      </c>
      <c r="D758" s="80" t="s">
        <v>6101</v>
      </c>
      <c r="E758" s="8" t="s">
        <v>6819</v>
      </c>
      <c r="F758" s="1">
        <v>0</v>
      </c>
      <c r="G758" s="170"/>
      <c r="H758" s="171">
        <v>0</v>
      </c>
      <c r="I758" s="172">
        <v>0</v>
      </c>
      <c r="J758" s="171">
        <v>0</v>
      </c>
      <c r="K758" s="171">
        <v>0</v>
      </c>
      <c r="L758" s="171">
        <v>0</v>
      </c>
      <c r="M758" s="171">
        <v>-2671000</v>
      </c>
      <c r="N758" s="171">
        <v>0</v>
      </c>
      <c r="P758" s="173">
        <f t="shared" si="11"/>
        <v>2671000</v>
      </c>
      <c r="V758" s="163"/>
      <c r="W758" s="163"/>
    </row>
    <row r="759" spans="1:23" s="17" customFormat="1">
      <c r="A759" s="176"/>
      <c r="B759" s="120" t="s">
        <v>446</v>
      </c>
      <c r="C759" s="177">
        <v>2025</v>
      </c>
      <c r="D759" s="80" t="s">
        <v>4096</v>
      </c>
      <c r="E759" s="8" t="s">
        <v>6820</v>
      </c>
      <c r="F759" s="1">
        <v>0</v>
      </c>
      <c r="G759" s="170"/>
      <c r="H759" s="171">
        <v>0</v>
      </c>
      <c r="I759" s="172">
        <v>0</v>
      </c>
      <c r="J759" s="171">
        <v>0</v>
      </c>
      <c r="K759" s="171">
        <v>0</v>
      </c>
      <c r="L759" s="171">
        <v>0</v>
      </c>
      <c r="M759" s="171">
        <v>-143609</v>
      </c>
      <c r="N759" s="171">
        <v>0</v>
      </c>
      <c r="P759" s="173">
        <f t="shared" si="11"/>
        <v>143609</v>
      </c>
      <c r="V759" s="163"/>
      <c r="W759" s="163"/>
    </row>
    <row r="760" spans="1:23" s="17" customFormat="1">
      <c r="A760" s="176"/>
      <c r="B760" s="120" t="s">
        <v>446</v>
      </c>
      <c r="C760" s="177">
        <v>2025</v>
      </c>
      <c r="D760" s="80" t="s">
        <v>4096</v>
      </c>
      <c r="E760" s="8" t="s">
        <v>6821</v>
      </c>
      <c r="F760" s="1">
        <v>0</v>
      </c>
      <c r="G760" s="170"/>
      <c r="H760" s="171">
        <v>0</v>
      </c>
      <c r="I760" s="172">
        <v>0</v>
      </c>
      <c r="J760" s="171">
        <v>0</v>
      </c>
      <c r="K760" s="171">
        <v>0</v>
      </c>
      <c r="L760" s="171">
        <v>0</v>
      </c>
      <c r="M760" s="171">
        <v>-1203033</v>
      </c>
      <c r="N760" s="171">
        <v>0</v>
      </c>
      <c r="P760" s="173">
        <f t="shared" si="11"/>
        <v>1203033</v>
      </c>
      <c r="V760" s="163"/>
      <c r="W760" s="163"/>
    </row>
    <row r="761" spans="1:23" s="17" customFormat="1">
      <c r="A761" s="176"/>
      <c r="B761" s="120" t="s">
        <v>446</v>
      </c>
      <c r="C761" s="177">
        <v>2025</v>
      </c>
      <c r="D761" s="80" t="s">
        <v>5752</v>
      </c>
      <c r="E761" s="8" t="s">
        <v>6822</v>
      </c>
      <c r="F761" s="1">
        <v>0</v>
      </c>
      <c r="G761" s="170"/>
      <c r="H761" s="171">
        <v>0</v>
      </c>
      <c r="I761" s="172">
        <v>0</v>
      </c>
      <c r="J761" s="171">
        <v>0</v>
      </c>
      <c r="K761" s="171">
        <v>0</v>
      </c>
      <c r="L761" s="171">
        <v>0</v>
      </c>
      <c r="M761" s="171">
        <v>-984500</v>
      </c>
      <c r="N761" s="171">
        <v>0</v>
      </c>
      <c r="P761" s="173">
        <f t="shared" si="11"/>
        <v>984500</v>
      </c>
      <c r="V761" s="163"/>
      <c r="W761" s="163"/>
    </row>
    <row r="762" spans="1:23" s="17" customFormat="1">
      <c r="A762" s="176"/>
      <c r="B762" s="120" t="s">
        <v>446</v>
      </c>
      <c r="C762" s="177">
        <v>2025</v>
      </c>
      <c r="D762" s="80" t="s">
        <v>5752</v>
      </c>
      <c r="E762" s="8" t="s">
        <v>6823</v>
      </c>
      <c r="F762" s="1">
        <v>0</v>
      </c>
      <c r="G762" s="170"/>
      <c r="H762" s="171">
        <v>0</v>
      </c>
      <c r="I762" s="172">
        <v>0</v>
      </c>
      <c r="J762" s="171">
        <v>0</v>
      </c>
      <c r="K762" s="171">
        <v>0</v>
      </c>
      <c r="L762" s="171">
        <v>0</v>
      </c>
      <c r="M762" s="171">
        <v>-608400</v>
      </c>
      <c r="N762" s="171">
        <v>0</v>
      </c>
      <c r="P762" s="173">
        <f t="shared" si="11"/>
        <v>608400</v>
      </c>
      <c r="V762" s="163"/>
      <c r="W762" s="163"/>
    </row>
    <row r="763" spans="1:23" s="17" customFormat="1">
      <c r="A763" s="176"/>
      <c r="B763" s="120" t="s">
        <v>446</v>
      </c>
      <c r="C763" s="177">
        <v>2025</v>
      </c>
      <c r="D763" s="80" t="s">
        <v>4096</v>
      </c>
      <c r="E763" s="8" t="s">
        <v>6825</v>
      </c>
      <c r="F763" s="1">
        <v>0</v>
      </c>
      <c r="G763" s="170"/>
      <c r="H763" s="171">
        <v>0</v>
      </c>
      <c r="I763" s="172">
        <v>0</v>
      </c>
      <c r="J763" s="171">
        <v>0</v>
      </c>
      <c r="K763" s="171">
        <v>0</v>
      </c>
      <c r="L763" s="171">
        <v>0</v>
      </c>
      <c r="M763" s="171">
        <v>-1203033</v>
      </c>
      <c r="N763" s="171">
        <v>0</v>
      </c>
      <c r="P763" s="173">
        <f t="shared" si="11"/>
        <v>1203033</v>
      </c>
      <c r="V763" s="163"/>
      <c r="W763" s="163"/>
    </row>
    <row r="764" spans="1:23" s="17" customFormat="1">
      <c r="A764" s="176"/>
      <c r="B764" s="120" t="s">
        <v>446</v>
      </c>
      <c r="C764" s="177">
        <v>2025</v>
      </c>
      <c r="D764" s="80" t="s">
        <v>5751</v>
      </c>
      <c r="E764" s="8" t="s">
        <v>6826</v>
      </c>
      <c r="F764" s="1">
        <v>0</v>
      </c>
      <c r="G764" s="170"/>
      <c r="H764" s="171">
        <v>0</v>
      </c>
      <c r="I764" s="172">
        <v>0</v>
      </c>
      <c r="J764" s="171">
        <v>0</v>
      </c>
      <c r="K764" s="171">
        <v>0</v>
      </c>
      <c r="L764" s="171">
        <v>0</v>
      </c>
      <c r="M764" s="171">
        <v>-995001</v>
      </c>
      <c r="N764" s="171">
        <v>0</v>
      </c>
      <c r="P764" s="173">
        <f t="shared" si="11"/>
        <v>995001</v>
      </c>
      <c r="V764" s="163"/>
      <c r="W764" s="163"/>
    </row>
    <row r="765" spans="1:23" s="17" customFormat="1">
      <c r="A765" s="176"/>
      <c r="B765" s="120" t="s">
        <v>446</v>
      </c>
      <c r="C765" s="177">
        <v>2025</v>
      </c>
      <c r="D765" s="80" t="s">
        <v>4096</v>
      </c>
      <c r="E765" s="8" t="s">
        <v>6828</v>
      </c>
      <c r="F765" s="1">
        <v>0</v>
      </c>
      <c r="G765" s="170"/>
      <c r="H765" s="171">
        <v>0</v>
      </c>
      <c r="I765" s="172">
        <v>0</v>
      </c>
      <c r="J765" s="171">
        <v>0</v>
      </c>
      <c r="K765" s="171">
        <v>0</v>
      </c>
      <c r="L765" s="171">
        <v>0</v>
      </c>
      <c r="M765" s="171">
        <v>-3600000</v>
      </c>
      <c r="N765" s="171">
        <v>0</v>
      </c>
      <c r="P765" s="173">
        <f t="shared" si="11"/>
        <v>3600000</v>
      </c>
      <c r="V765" s="163"/>
      <c r="W765" s="163"/>
    </row>
    <row r="766" spans="1:23" s="17" customFormat="1">
      <c r="A766" s="176"/>
      <c r="B766" s="120" t="s">
        <v>446</v>
      </c>
      <c r="C766" s="177">
        <v>2025</v>
      </c>
      <c r="D766" s="80" t="s">
        <v>5752</v>
      </c>
      <c r="E766" s="8" t="s">
        <v>6829</v>
      </c>
      <c r="F766" s="1">
        <v>0</v>
      </c>
      <c r="G766" s="170"/>
      <c r="H766" s="171">
        <v>0</v>
      </c>
      <c r="I766" s="172">
        <v>0</v>
      </c>
      <c r="J766" s="171">
        <v>0</v>
      </c>
      <c r="K766" s="171">
        <v>0</v>
      </c>
      <c r="L766" s="171">
        <v>0</v>
      </c>
      <c r="M766" s="171">
        <v>-413400</v>
      </c>
      <c r="N766" s="171">
        <v>0</v>
      </c>
      <c r="P766" s="173">
        <f t="shared" si="11"/>
        <v>413400</v>
      </c>
      <c r="V766" s="163"/>
      <c r="W766" s="163"/>
    </row>
    <row r="767" spans="1:23" s="17" customFormat="1">
      <c r="A767" s="176"/>
      <c r="B767" s="120" t="s">
        <v>446</v>
      </c>
      <c r="C767" s="177">
        <v>2025</v>
      </c>
      <c r="D767" s="80" t="s">
        <v>4096</v>
      </c>
      <c r="E767" s="8" t="s">
        <v>6831</v>
      </c>
      <c r="F767" s="1">
        <v>0</v>
      </c>
      <c r="G767" s="170"/>
      <c r="H767" s="171">
        <v>0</v>
      </c>
      <c r="I767" s="172">
        <v>0</v>
      </c>
      <c r="J767" s="171">
        <v>0</v>
      </c>
      <c r="K767" s="171">
        <v>0</v>
      </c>
      <c r="L767" s="171">
        <v>0</v>
      </c>
      <c r="M767" s="171">
        <v>-1350233</v>
      </c>
      <c r="N767" s="171">
        <v>0</v>
      </c>
      <c r="P767" s="173">
        <f t="shared" si="11"/>
        <v>1350233</v>
      </c>
      <c r="V767" s="163"/>
      <c r="W767" s="163"/>
    </row>
    <row r="768" spans="1:23" s="17" customFormat="1">
      <c r="A768" s="176"/>
      <c r="B768" s="120" t="s">
        <v>446</v>
      </c>
      <c r="C768" s="177">
        <v>2025</v>
      </c>
      <c r="D768" s="80" t="s">
        <v>4096</v>
      </c>
      <c r="E768" s="8" t="s">
        <v>6832</v>
      </c>
      <c r="F768" s="1">
        <v>0</v>
      </c>
      <c r="G768" s="170"/>
      <c r="H768" s="171">
        <v>0</v>
      </c>
      <c r="I768" s="172">
        <v>0</v>
      </c>
      <c r="J768" s="171">
        <v>0</v>
      </c>
      <c r="K768" s="171">
        <v>0</v>
      </c>
      <c r="L768" s="171">
        <v>0</v>
      </c>
      <c r="M768" s="171">
        <v>-483702</v>
      </c>
      <c r="N768" s="171">
        <v>0</v>
      </c>
      <c r="P768" s="173">
        <f t="shared" si="11"/>
        <v>483702</v>
      </c>
      <c r="V768" s="163"/>
      <c r="W768" s="163"/>
    </row>
    <row r="769" spans="1:23" s="17" customFormat="1">
      <c r="A769" s="176"/>
      <c r="B769" s="120" t="s">
        <v>446</v>
      </c>
      <c r="C769" s="177">
        <v>2025</v>
      </c>
      <c r="D769" s="80" t="s">
        <v>4096</v>
      </c>
      <c r="E769" s="8" t="s">
        <v>6833</v>
      </c>
      <c r="F769" s="1">
        <v>0</v>
      </c>
      <c r="G769" s="170"/>
      <c r="H769" s="171">
        <v>0</v>
      </c>
      <c r="I769" s="172">
        <v>0</v>
      </c>
      <c r="J769" s="171">
        <v>0</v>
      </c>
      <c r="K769" s="171">
        <v>0</v>
      </c>
      <c r="L769" s="171">
        <v>0</v>
      </c>
      <c r="M769" s="171">
        <v>-1250000</v>
      </c>
      <c r="N769" s="171">
        <v>0</v>
      </c>
      <c r="P769" s="173">
        <f t="shared" si="11"/>
        <v>1250000</v>
      </c>
      <c r="V769" s="163"/>
      <c r="W769" s="163"/>
    </row>
    <row r="770" spans="1:23" s="17" customFormat="1">
      <c r="A770" s="176"/>
      <c r="B770" s="120" t="s">
        <v>446</v>
      </c>
      <c r="C770" s="177">
        <v>2025</v>
      </c>
      <c r="D770" s="80" t="s">
        <v>6472</v>
      </c>
      <c r="E770" s="8" t="s">
        <v>6839</v>
      </c>
      <c r="F770" s="1">
        <v>0</v>
      </c>
      <c r="G770" s="170"/>
      <c r="H770" s="171">
        <v>0</v>
      </c>
      <c r="I770" s="172">
        <v>0</v>
      </c>
      <c r="J770" s="171">
        <v>0</v>
      </c>
      <c r="K770" s="171">
        <v>0</v>
      </c>
      <c r="L770" s="171">
        <v>0</v>
      </c>
      <c r="M770" s="171">
        <v>-50000</v>
      </c>
      <c r="N770" s="171">
        <v>0</v>
      </c>
      <c r="P770" s="173">
        <f t="shared" si="11"/>
        <v>50000</v>
      </c>
      <c r="V770" s="163"/>
      <c r="W770" s="163"/>
    </row>
    <row r="771" spans="1:23" s="17" customFormat="1">
      <c r="A771" s="176"/>
      <c r="B771" s="120" t="s">
        <v>446</v>
      </c>
      <c r="C771" s="177">
        <v>2025</v>
      </c>
      <c r="D771" s="80" t="s">
        <v>6472</v>
      </c>
      <c r="E771" s="8" t="s">
        <v>6840</v>
      </c>
      <c r="F771" s="1">
        <v>0</v>
      </c>
      <c r="G771" s="170"/>
      <c r="H771" s="171">
        <v>0</v>
      </c>
      <c r="I771" s="172">
        <v>0</v>
      </c>
      <c r="J771" s="171">
        <v>0</v>
      </c>
      <c r="K771" s="171">
        <v>0</v>
      </c>
      <c r="L771" s="171">
        <v>0</v>
      </c>
      <c r="M771" s="171">
        <v>-20000</v>
      </c>
      <c r="N771" s="171">
        <v>0</v>
      </c>
      <c r="P771" s="173">
        <f t="shared" si="11"/>
        <v>20000</v>
      </c>
      <c r="V771" s="163"/>
      <c r="W771" s="163"/>
    </row>
    <row r="772" spans="1:23" s="17" customFormat="1">
      <c r="A772" s="176"/>
      <c r="B772" s="120" t="s">
        <v>446</v>
      </c>
      <c r="C772" s="177">
        <v>2025</v>
      </c>
      <c r="D772" s="80" t="s">
        <v>6001</v>
      </c>
      <c r="E772" s="8" t="s">
        <v>6842</v>
      </c>
      <c r="F772" s="1">
        <v>0</v>
      </c>
      <c r="G772" s="170"/>
      <c r="H772" s="171">
        <v>0</v>
      </c>
      <c r="I772" s="172">
        <v>0</v>
      </c>
      <c r="J772" s="171">
        <v>0</v>
      </c>
      <c r="K772" s="171">
        <v>0</v>
      </c>
      <c r="L772" s="171">
        <v>0</v>
      </c>
      <c r="M772" s="171">
        <v>-4100000</v>
      </c>
      <c r="N772" s="171">
        <v>0</v>
      </c>
      <c r="P772" s="173">
        <f t="shared" si="11"/>
        <v>4100000</v>
      </c>
      <c r="V772" s="163"/>
      <c r="W772" s="163"/>
    </row>
    <row r="773" spans="1:23" s="17" customFormat="1">
      <c r="A773" s="176"/>
      <c r="B773" s="120" t="s">
        <v>446</v>
      </c>
      <c r="C773" s="177">
        <v>2025</v>
      </c>
      <c r="D773" s="80" t="s">
        <v>6101</v>
      </c>
      <c r="E773" s="8" t="s">
        <v>6843</v>
      </c>
      <c r="F773" s="1">
        <v>0</v>
      </c>
      <c r="G773" s="170"/>
      <c r="H773" s="171">
        <v>0</v>
      </c>
      <c r="I773" s="172">
        <v>0</v>
      </c>
      <c r="J773" s="171">
        <v>0</v>
      </c>
      <c r="K773" s="171">
        <v>0</v>
      </c>
      <c r="L773" s="171">
        <v>0</v>
      </c>
      <c r="M773" s="171">
        <v>-4032000</v>
      </c>
      <c r="N773" s="171">
        <v>0</v>
      </c>
      <c r="P773" s="173">
        <f t="shared" ref="P773:P836" si="12">F773-H773-I773-J773-K773-L773-M773</f>
        <v>4032000</v>
      </c>
      <c r="V773" s="163"/>
      <c r="W773" s="163"/>
    </row>
    <row r="774" spans="1:23" s="17" customFormat="1">
      <c r="A774" s="176"/>
      <c r="B774" s="120" t="s">
        <v>446</v>
      </c>
      <c r="C774" s="177">
        <v>2025</v>
      </c>
      <c r="D774" s="80" t="s">
        <v>6472</v>
      </c>
      <c r="E774" s="8" t="s">
        <v>6845</v>
      </c>
      <c r="F774" s="1">
        <v>0</v>
      </c>
      <c r="G774" s="170"/>
      <c r="H774" s="171">
        <v>0</v>
      </c>
      <c r="I774" s="172">
        <v>0</v>
      </c>
      <c r="J774" s="171">
        <v>0</v>
      </c>
      <c r="K774" s="171">
        <v>0</v>
      </c>
      <c r="L774" s="171">
        <v>0</v>
      </c>
      <c r="M774" s="171">
        <v>-1583484</v>
      </c>
      <c r="N774" s="171">
        <v>0</v>
      </c>
      <c r="P774" s="173">
        <f t="shared" si="12"/>
        <v>1583484</v>
      </c>
      <c r="V774" s="163"/>
      <c r="W774" s="163"/>
    </row>
    <row r="775" spans="1:23" s="17" customFormat="1">
      <c r="A775" s="176"/>
      <c r="B775" s="120" t="s">
        <v>446</v>
      </c>
      <c r="C775" s="177">
        <v>2025</v>
      </c>
      <c r="D775" s="80" t="s">
        <v>6101</v>
      </c>
      <c r="E775" s="8" t="s">
        <v>6846</v>
      </c>
      <c r="F775" s="1">
        <v>0</v>
      </c>
      <c r="G775" s="170"/>
      <c r="H775" s="171">
        <v>0</v>
      </c>
      <c r="I775" s="172">
        <v>0</v>
      </c>
      <c r="J775" s="171">
        <v>0</v>
      </c>
      <c r="K775" s="171">
        <v>0</v>
      </c>
      <c r="L775" s="171">
        <v>0</v>
      </c>
      <c r="M775" s="171">
        <v>-2531200</v>
      </c>
      <c r="N775" s="171">
        <v>0</v>
      </c>
      <c r="P775" s="173">
        <f t="shared" si="12"/>
        <v>2531200</v>
      </c>
      <c r="V775" s="163"/>
      <c r="W775" s="163"/>
    </row>
    <row r="776" spans="1:23" s="17" customFormat="1">
      <c r="A776" s="176"/>
      <c r="B776" s="120" t="s">
        <v>446</v>
      </c>
      <c r="C776" s="177">
        <v>2025</v>
      </c>
      <c r="D776" s="80" t="s">
        <v>6472</v>
      </c>
      <c r="E776" s="8" t="s">
        <v>6847</v>
      </c>
      <c r="F776" s="1">
        <v>0</v>
      </c>
      <c r="G776" s="170"/>
      <c r="H776" s="171">
        <v>0</v>
      </c>
      <c r="I776" s="172">
        <v>0</v>
      </c>
      <c r="J776" s="171">
        <v>0</v>
      </c>
      <c r="K776" s="171">
        <v>0</v>
      </c>
      <c r="L776" s="171">
        <v>0</v>
      </c>
      <c r="M776" s="171">
        <v>-2662000</v>
      </c>
      <c r="N776" s="171">
        <v>0</v>
      </c>
      <c r="P776" s="173">
        <f t="shared" si="12"/>
        <v>2662000</v>
      </c>
      <c r="V776" s="163"/>
      <c r="W776" s="163"/>
    </row>
    <row r="777" spans="1:23" s="17" customFormat="1">
      <c r="A777" s="176"/>
      <c r="B777" s="120" t="s">
        <v>446</v>
      </c>
      <c r="C777" s="177">
        <v>2025</v>
      </c>
      <c r="D777" s="80" t="s">
        <v>6472</v>
      </c>
      <c r="E777" s="8" t="s">
        <v>6848</v>
      </c>
      <c r="F777" s="1">
        <v>0</v>
      </c>
      <c r="G777" s="170"/>
      <c r="H777" s="171">
        <v>0</v>
      </c>
      <c r="I777" s="172">
        <v>0</v>
      </c>
      <c r="J777" s="171">
        <v>0</v>
      </c>
      <c r="K777" s="171">
        <v>0</v>
      </c>
      <c r="L777" s="171">
        <v>0</v>
      </c>
      <c r="M777" s="171">
        <v>-18000000</v>
      </c>
      <c r="N777" s="171">
        <v>0</v>
      </c>
      <c r="P777" s="173">
        <f t="shared" si="12"/>
        <v>18000000</v>
      </c>
      <c r="V777" s="163"/>
      <c r="W777" s="163"/>
    </row>
    <row r="778" spans="1:23" s="17" customFormat="1">
      <c r="A778" s="176"/>
      <c r="B778" s="120" t="s">
        <v>446</v>
      </c>
      <c r="C778" s="177">
        <v>2025</v>
      </c>
      <c r="D778" s="80" t="s">
        <v>6472</v>
      </c>
      <c r="E778" s="8" t="s">
        <v>6849</v>
      </c>
      <c r="F778" s="1">
        <v>0</v>
      </c>
      <c r="G778" s="170"/>
      <c r="H778" s="171">
        <v>0</v>
      </c>
      <c r="I778" s="172">
        <v>0</v>
      </c>
      <c r="J778" s="171">
        <v>0</v>
      </c>
      <c r="K778" s="171">
        <v>0</v>
      </c>
      <c r="L778" s="171">
        <v>0</v>
      </c>
      <c r="M778" s="171">
        <v>-12000000</v>
      </c>
      <c r="N778" s="171">
        <v>0</v>
      </c>
      <c r="P778" s="173">
        <f t="shared" si="12"/>
        <v>12000000</v>
      </c>
      <c r="V778" s="163"/>
      <c r="W778" s="163"/>
    </row>
    <row r="779" spans="1:23" s="17" customFormat="1">
      <c r="A779" s="176"/>
      <c r="B779" s="120" t="s">
        <v>446</v>
      </c>
      <c r="C779" s="177">
        <v>2025</v>
      </c>
      <c r="D779" s="80" t="s">
        <v>6472</v>
      </c>
      <c r="E779" s="8" t="s">
        <v>6850</v>
      </c>
      <c r="F779" s="1">
        <v>0</v>
      </c>
      <c r="G779" s="170"/>
      <c r="H779" s="171">
        <v>0</v>
      </c>
      <c r="I779" s="172">
        <v>0</v>
      </c>
      <c r="J779" s="171">
        <v>0</v>
      </c>
      <c r="K779" s="171">
        <v>0</v>
      </c>
      <c r="L779" s="171">
        <v>0</v>
      </c>
      <c r="M779" s="171">
        <v>-1400000</v>
      </c>
      <c r="N779" s="171">
        <v>0</v>
      </c>
      <c r="P779" s="173">
        <f t="shared" si="12"/>
        <v>1400000</v>
      </c>
      <c r="V779" s="163"/>
      <c r="W779" s="163"/>
    </row>
    <row r="780" spans="1:23" s="17" customFormat="1">
      <c r="A780" s="176"/>
      <c r="B780" s="120" t="s">
        <v>446</v>
      </c>
      <c r="C780" s="177">
        <v>2025</v>
      </c>
      <c r="D780" s="80" t="s">
        <v>4089</v>
      </c>
      <c r="E780" s="8" t="s">
        <v>6851</v>
      </c>
      <c r="F780" s="1">
        <v>0</v>
      </c>
      <c r="G780" s="170"/>
      <c r="H780" s="171">
        <v>0</v>
      </c>
      <c r="I780" s="172">
        <v>0</v>
      </c>
      <c r="J780" s="171">
        <v>0</v>
      </c>
      <c r="K780" s="171">
        <v>0</v>
      </c>
      <c r="L780" s="171">
        <v>0</v>
      </c>
      <c r="M780" s="171">
        <v>-1393991</v>
      </c>
      <c r="N780" s="171">
        <v>0</v>
      </c>
      <c r="P780" s="173">
        <f t="shared" si="12"/>
        <v>1393991</v>
      </c>
      <c r="V780" s="163"/>
      <c r="W780" s="163"/>
    </row>
    <row r="781" spans="1:23" s="17" customFormat="1">
      <c r="A781" s="176"/>
      <c r="B781" s="120" t="s">
        <v>446</v>
      </c>
      <c r="C781" s="177">
        <v>2025</v>
      </c>
      <c r="D781" s="80" t="s">
        <v>4089</v>
      </c>
      <c r="E781" s="8" t="s">
        <v>6852</v>
      </c>
      <c r="F781" s="1">
        <v>0</v>
      </c>
      <c r="G781" s="170"/>
      <c r="H781" s="171">
        <v>0</v>
      </c>
      <c r="I781" s="172">
        <v>0</v>
      </c>
      <c r="J781" s="171">
        <v>0</v>
      </c>
      <c r="K781" s="171">
        <v>0</v>
      </c>
      <c r="L781" s="171">
        <v>0</v>
      </c>
      <c r="M781" s="171">
        <v>-1086337</v>
      </c>
      <c r="N781" s="171">
        <v>0</v>
      </c>
      <c r="P781" s="173">
        <f t="shared" si="12"/>
        <v>1086337</v>
      </c>
      <c r="V781" s="163"/>
      <c r="W781" s="163"/>
    </row>
    <row r="782" spans="1:23" s="17" customFormat="1">
      <c r="A782" s="176"/>
      <c r="B782" s="120" t="s">
        <v>446</v>
      </c>
      <c r="C782" s="177">
        <v>2025</v>
      </c>
      <c r="D782" s="80" t="s">
        <v>6472</v>
      </c>
      <c r="E782" s="8" t="s">
        <v>6853</v>
      </c>
      <c r="F782" s="1">
        <v>0</v>
      </c>
      <c r="G782" s="170"/>
      <c r="H782" s="171">
        <v>0</v>
      </c>
      <c r="I782" s="172">
        <v>0</v>
      </c>
      <c r="J782" s="171">
        <v>0</v>
      </c>
      <c r="K782" s="171">
        <v>0</v>
      </c>
      <c r="L782" s="171">
        <v>0</v>
      </c>
      <c r="M782" s="171">
        <v>-1630178</v>
      </c>
      <c r="N782" s="171">
        <v>0</v>
      </c>
      <c r="P782" s="173">
        <f t="shared" si="12"/>
        <v>1630178</v>
      </c>
      <c r="V782" s="163"/>
      <c r="W782" s="163"/>
    </row>
    <row r="783" spans="1:23" s="17" customFormat="1">
      <c r="A783" s="176"/>
      <c r="B783" s="120" t="s">
        <v>446</v>
      </c>
      <c r="C783" s="177">
        <v>2025</v>
      </c>
      <c r="D783" s="80" t="s">
        <v>4089</v>
      </c>
      <c r="E783" s="8" t="s">
        <v>6854</v>
      </c>
      <c r="F783" s="1">
        <v>0</v>
      </c>
      <c r="G783" s="170"/>
      <c r="H783" s="171">
        <v>0</v>
      </c>
      <c r="I783" s="172">
        <v>0</v>
      </c>
      <c r="J783" s="171">
        <v>0</v>
      </c>
      <c r="K783" s="171">
        <v>0</v>
      </c>
      <c r="L783" s="171">
        <v>0</v>
      </c>
      <c r="M783" s="171">
        <v>-1397717</v>
      </c>
      <c r="N783" s="171">
        <v>0</v>
      </c>
      <c r="P783" s="173">
        <f t="shared" si="12"/>
        <v>1397717</v>
      </c>
      <c r="V783" s="163"/>
      <c r="W783" s="163"/>
    </row>
    <row r="784" spans="1:23" s="17" customFormat="1">
      <c r="A784" s="176"/>
      <c r="B784" s="120" t="s">
        <v>446</v>
      </c>
      <c r="C784" s="177">
        <v>2025</v>
      </c>
      <c r="D784" s="80" t="s">
        <v>6472</v>
      </c>
      <c r="E784" s="8" t="s">
        <v>6858</v>
      </c>
      <c r="F784" s="1">
        <v>0</v>
      </c>
      <c r="G784" s="170"/>
      <c r="H784" s="171">
        <v>0</v>
      </c>
      <c r="I784" s="172">
        <v>0</v>
      </c>
      <c r="J784" s="171">
        <v>0</v>
      </c>
      <c r="K784" s="171">
        <v>0</v>
      </c>
      <c r="L784" s="171">
        <v>0</v>
      </c>
      <c r="M784" s="171">
        <v>-300000</v>
      </c>
      <c r="N784" s="171">
        <v>0</v>
      </c>
      <c r="P784" s="173">
        <f t="shared" si="12"/>
        <v>300000</v>
      </c>
      <c r="V784" s="163"/>
      <c r="W784" s="163"/>
    </row>
    <row r="785" spans="1:23" s="17" customFormat="1">
      <c r="A785" s="176"/>
      <c r="B785" s="120" t="s">
        <v>446</v>
      </c>
      <c r="C785" s="177">
        <v>2025</v>
      </c>
      <c r="D785" s="80" t="s">
        <v>3473</v>
      </c>
      <c r="E785" s="8" t="s">
        <v>6859</v>
      </c>
      <c r="F785" s="1">
        <v>0</v>
      </c>
      <c r="G785" s="170"/>
      <c r="H785" s="171">
        <v>0</v>
      </c>
      <c r="I785" s="172">
        <v>0</v>
      </c>
      <c r="J785" s="171">
        <v>0</v>
      </c>
      <c r="K785" s="171">
        <v>0</v>
      </c>
      <c r="L785" s="171">
        <v>0</v>
      </c>
      <c r="M785" s="171">
        <v>-1496257</v>
      </c>
      <c r="N785" s="171">
        <v>0</v>
      </c>
      <c r="P785" s="173">
        <f t="shared" si="12"/>
        <v>1496257</v>
      </c>
      <c r="V785" s="163"/>
      <c r="W785" s="163"/>
    </row>
    <row r="786" spans="1:23" s="17" customFormat="1">
      <c r="A786" s="176"/>
      <c r="B786" s="120" t="s">
        <v>446</v>
      </c>
      <c r="C786" s="177">
        <v>2025</v>
      </c>
      <c r="D786" s="80" t="s">
        <v>5751</v>
      </c>
      <c r="E786" s="8" t="s">
        <v>6875</v>
      </c>
      <c r="F786" s="1">
        <v>0</v>
      </c>
      <c r="G786" s="170"/>
      <c r="H786" s="171">
        <v>0</v>
      </c>
      <c r="I786" s="172">
        <v>0</v>
      </c>
      <c r="J786" s="171">
        <v>0</v>
      </c>
      <c r="K786" s="171">
        <v>0</v>
      </c>
      <c r="L786" s="171">
        <v>0</v>
      </c>
      <c r="M786" s="171">
        <v>-5324000</v>
      </c>
      <c r="N786" s="171">
        <v>0</v>
      </c>
      <c r="P786" s="173">
        <f t="shared" si="12"/>
        <v>5324000</v>
      </c>
      <c r="V786" s="163"/>
      <c r="W786" s="163"/>
    </row>
    <row r="787" spans="1:23" s="17" customFormat="1">
      <c r="A787" s="176"/>
      <c r="B787" s="120" t="s">
        <v>446</v>
      </c>
      <c r="C787" s="177">
        <v>2025</v>
      </c>
      <c r="D787" s="80" t="s">
        <v>5751</v>
      </c>
      <c r="E787" s="8" t="s">
        <v>6876</v>
      </c>
      <c r="F787" s="1">
        <v>0</v>
      </c>
      <c r="G787" s="170"/>
      <c r="H787" s="171">
        <v>0</v>
      </c>
      <c r="I787" s="172">
        <v>0</v>
      </c>
      <c r="J787" s="171">
        <v>0</v>
      </c>
      <c r="K787" s="171">
        <v>0</v>
      </c>
      <c r="L787" s="171">
        <v>0</v>
      </c>
      <c r="M787" s="171">
        <v>-18495000</v>
      </c>
      <c r="N787" s="171">
        <v>0</v>
      </c>
      <c r="P787" s="173">
        <f t="shared" si="12"/>
        <v>18495000</v>
      </c>
      <c r="V787" s="163"/>
      <c r="W787" s="163"/>
    </row>
    <row r="788" spans="1:23" s="17" customFormat="1">
      <c r="A788" s="176"/>
      <c r="B788" s="120" t="s">
        <v>446</v>
      </c>
      <c r="C788" s="177">
        <v>2025</v>
      </c>
      <c r="D788" s="80" t="s">
        <v>5751</v>
      </c>
      <c r="E788" s="8" t="s">
        <v>6876</v>
      </c>
      <c r="F788" s="1">
        <v>0</v>
      </c>
      <c r="G788" s="170"/>
      <c r="H788" s="171">
        <v>0</v>
      </c>
      <c r="I788" s="172">
        <v>0</v>
      </c>
      <c r="J788" s="171">
        <v>0</v>
      </c>
      <c r="K788" s="171">
        <v>0</v>
      </c>
      <c r="L788" s="171">
        <v>0</v>
      </c>
      <c r="M788" s="171">
        <v>-18495000</v>
      </c>
      <c r="N788" s="171">
        <v>0</v>
      </c>
      <c r="P788" s="173">
        <f t="shared" si="12"/>
        <v>18495000</v>
      </c>
      <c r="V788" s="163"/>
      <c r="W788" s="163"/>
    </row>
    <row r="789" spans="1:23" s="17" customFormat="1">
      <c r="A789" s="176"/>
      <c r="B789" s="120" t="s">
        <v>446</v>
      </c>
      <c r="C789" s="177">
        <v>2025</v>
      </c>
      <c r="D789" s="80" t="s">
        <v>5751</v>
      </c>
      <c r="E789" s="8" t="s">
        <v>6876</v>
      </c>
      <c r="F789" s="1">
        <v>0</v>
      </c>
      <c r="G789" s="170"/>
      <c r="H789" s="171">
        <v>0</v>
      </c>
      <c r="I789" s="172">
        <v>0</v>
      </c>
      <c r="J789" s="171">
        <v>0</v>
      </c>
      <c r="K789" s="171">
        <v>0</v>
      </c>
      <c r="L789" s="171">
        <v>0</v>
      </c>
      <c r="M789" s="171">
        <v>-18495000</v>
      </c>
      <c r="N789" s="171">
        <v>0</v>
      </c>
      <c r="P789" s="173">
        <f t="shared" si="12"/>
        <v>18495000</v>
      </c>
      <c r="V789" s="163"/>
      <c r="W789" s="163"/>
    </row>
    <row r="790" spans="1:23" s="17" customFormat="1">
      <c r="A790" s="176"/>
      <c r="B790" s="120" t="s">
        <v>446</v>
      </c>
      <c r="C790" s="177">
        <v>2025</v>
      </c>
      <c r="D790" s="80" t="s">
        <v>5751</v>
      </c>
      <c r="E790" s="8" t="s">
        <v>6876</v>
      </c>
      <c r="F790" s="1">
        <v>0</v>
      </c>
      <c r="G790" s="170"/>
      <c r="H790" s="171">
        <v>0</v>
      </c>
      <c r="I790" s="172">
        <v>0</v>
      </c>
      <c r="J790" s="171">
        <v>0</v>
      </c>
      <c r="K790" s="171">
        <v>0</v>
      </c>
      <c r="L790" s="171">
        <v>0</v>
      </c>
      <c r="M790" s="171">
        <v>-18495000</v>
      </c>
      <c r="N790" s="171">
        <v>0</v>
      </c>
      <c r="P790" s="173">
        <f t="shared" si="12"/>
        <v>18495000</v>
      </c>
      <c r="V790" s="163"/>
      <c r="W790" s="163"/>
    </row>
    <row r="791" spans="1:23" s="17" customFormat="1">
      <c r="A791" s="176"/>
      <c r="B791" s="120" t="s">
        <v>446</v>
      </c>
      <c r="C791" s="177">
        <v>2025</v>
      </c>
      <c r="D791" s="80" t="s">
        <v>5751</v>
      </c>
      <c r="E791" s="8" t="s">
        <v>6877</v>
      </c>
      <c r="F791" s="1">
        <v>0</v>
      </c>
      <c r="G791" s="170"/>
      <c r="H791" s="171">
        <v>0</v>
      </c>
      <c r="I791" s="172">
        <v>0</v>
      </c>
      <c r="J791" s="171">
        <v>0</v>
      </c>
      <c r="K791" s="171">
        <v>0</v>
      </c>
      <c r="L791" s="171">
        <v>0</v>
      </c>
      <c r="M791" s="171">
        <v>-2000000</v>
      </c>
      <c r="N791" s="171">
        <v>0</v>
      </c>
      <c r="P791" s="173">
        <f t="shared" si="12"/>
        <v>2000000</v>
      </c>
      <c r="V791" s="163"/>
      <c r="W791" s="163"/>
    </row>
    <row r="792" spans="1:23" s="17" customFormat="1">
      <c r="A792" s="176"/>
      <c r="B792" s="120" t="s">
        <v>446</v>
      </c>
      <c r="C792" s="177">
        <v>2025</v>
      </c>
      <c r="D792" s="80" t="s">
        <v>6001</v>
      </c>
      <c r="E792" s="8" t="s">
        <v>6878</v>
      </c>
      <c r="F792" s="1">
        <v>0</v>
      </c>
      <c r="G792" s="170"/>
      <c r="H792" s="171">
        <v>0</v>
      </c>
      <c r="I792" s="172">
        <v>0</v>
      </c>
      <c r="J792" s="171">
        <v>0</v>
      </c>
      <c r="K792" s="171">
        <v>0</v>
      </c>
      <c r="L792" s="171">
        <v>0</v>
      </c>
      <c r="M792" s="171">
        <v>-62750000</v>
      </c>
      <c r="N792" s="171">
        <v>0</v>
      </c>
      <c r="P792" s="173">
        <f t="shared" si="12"/>
        <v>62750000</v>
      </c>
      <c r="V792" s="163"/>
      <c r="W792" s="163"/>
    </row>
    <row r="793" spans="1:23" s="17" customFormat="1">
      <c r="A793" s="176"/>
      <c r="B793" s="120" t="s">
        <v>446</v>
      </c>
      <c r="C793" s="177">
        <v>2025</v>
      </c>
      <c r="D793" s="80" t="s">
        <v>6001</v>
      </c>
      <c r="E793" s="8" t="s">
        <v>6879</v>
      </c>
      <c r="F793" s="1">
        <v>0</v>
      </c>
      <c r="G793" s="170"/>
      <c r="H793" s="171">
        <v>0</v>
      </c>
      <c r="I793" s="172">
        <v>0</v>
      </c>
      <c r="J793" s="171">
        <v>0</v>
      </c>
      <c r="K793" s="171">
        <v>0</v>
      </c>
      <c r="L793" s="171">
        <v>0</v>
      </c>
      <c r="M793" s="171">
        <v>-6872500</v>
      </c>
      <c r="N793" s="171">
        <v>0</v>
      </c>
      <c r="P793" s="173">
        <f t="shared" si="12"/>
        <v>6872500</v>
      </c>
      <c r="V793" s="163"/>
      <c r="W793" s="163"/>
    </row>
    <row r="794" spans="1:23" s="17" customFormat="1">
      <c r="A794" s="176"/>
      <c r="B794" s="120" t="s">
        <v>446</v>
      </c>
      <c r="C794" s="177">
        <v>2025</v>
      </c>
      <c r="D794" s="80" t="s">
        <v>6001</v>
      </c>
      <c r="E794" s="8" t="s">
        <v>6881</v>
      </c>
      <c r="F794" s="1">
        <v>0</v>
      </c>
      <c r="G794" s="170"/>
      <c r="H794" s="171">
        <v>0</v>
      </c>
      <c r="I794" s="172">
        <v>0</v>
      </c>
      <c r="J794" s="171">
        <v>0</v>
      </c>
      <c r="K794" s="171">
        <v>0</v>
      </c>
      <c r="L794" s="171">
        <v>0</v>
      </c>
      <c r="M794" s="171">
        <v>-628500</v>
      </c>
      <c r="N794" s="171">
        <v>0</v>
      </c>
      <c r="P794" s="173">
        <f t="shared" si="12"/>
        <v>628500</v>
      </c>
      <c r="V794" s="163"/>
      <c r="W794" s="163"/>
    </row>
    <row r="795" spans="1:23" s="17" customFormat="1">
      <c r="A795" s="176"/>
      <c r="B795" s="120" t="s">
        <v>446</v>
      </c>
      <c r="C795" s="177">
        <v>2025</v>
      </c>
      <c r="D795" s="80" t="s">
        <v>6001</v>
      </c>
      <c r="E795" s="8" t="s">
        <v>6878</v>
      </c>
      <c r="F795" s="1">
        <v>0</v>
      </c>
      <c r="G795" s="170"/>
      <c r="H795" s="171">
        <v>0</v>
      </c>
      <c r="I795" s="172">
        <v>0</v>
      </c>
      <c r="J795" s="171">
        <v>0</v>
      </c>
      <c r="K795" s="171">
        <v>0</v>
      </c>
      <c r="L795" s="171">
        <v>0</v>
      </c>
      <c r="M795" s="171">
        <v>-26400000</v>
      </c>
      <c r="N795" s="171">
        <v>0</v>
      </c>
      <c r="P795" s="173">
        <f t="shared" si="12"/>
        <v>26400000</v>
      </c>
      <c r="V795" s="163"/>
      <c r="W795" s="163"/>
    </row>
    <row r="796" spans="1:23" s="17" customFormat="1">
      <c r="A796" s="176"/>
      <c r="B796" s="120" t="s">
        <v>446</v>
      </c>
      <c r="C796" s="177">
        <v>2025</v>
      </c>
      <c r="D796" s="80" t="s">
        <v>5999</v>
      </c>
      <c r="E796" s="8" t="s">
        <v>6866</v>
      </c>
      <c r="F796" s="1">
        <v>0</v>
      </c>
      <c r="G796" s="170"/>
      <c r="H796" s="171">
        <v>0</v>
      </c>
      <c r="I796" s="172">
        <v>0</v>
      </c>
      <c r="J796" s="171">
        <v>0</v>
      </c>
      <c r="K796" s="171">
        <v>0</v>
      </c>
      <c r="L796" s="171">
        <v>0</v>
      </c>
      <c r="M796" s="171">
        <v>-1995500</v>
      </c>
      <c r="N796" s="171">
        <v>0</v>
      </c>
      <c r="P796" s="173">
        <f t="shared" si="12"/>
        <v>1995500</v>
      </c>
      <c r="V796" s="163"/>
      <c r="W796" s="163"/>
    </row>
    <row r="797" spans="1:23" s="17" customFormat="1">
      <c r="A797" s="176"/>
      <c r="B797" s="120" t="s">
        <v>446</v>
      </c>
      <c r="C797" s="177">
        <v>2025</v>
      </c>
      <c r="D797" s="80" t="s">
        <v>5999</v>
      </c>
      <c r="E797" s="8" t="s">
        <v>6867</v>
      </c>
      <c r="F797" s="1">
        <v>0</v>
      </c>
      <c r="G797" s="170"/>
      <c r="H797" s="171">
        <v>0</v>
      </c>
      <c r="I797" s="172">
        <v>0</v>
      </c>
      <c r="J797" s="171">
        <v>0</v>
      </c>
      <c r="K797" s="171">
        <v>0</v>
      </c>
      <c r="L797" s="171">
        <v>0</v>
      </c>
      <c r="M797" s="171">
        <v>-17880000</v>
      </c>
      <c r="N797" s="171">
        <v>0</v>
      </c>
      <c r="P797" s="173">
        <f t="shared" si="12"/>
        <v>17880000</v>
      </c>
      <c r="V797" s="163"/>
      <c r="W797" s="163"/>
    </row>
    <row r="798" spans="1:23" s="17" customFormat="1">
      <c r="A798" s="176"/>
      <c r="B798" s="120" t="s">
        <v>446</v>
      </c>
      <c r="C798" s="177">
        <v>2025</v>
      </c>
      <c r="D798" s="80" t="s">
        <v>5752</v>
      </c>
      <c r="E798" s="8" t="s">
        <v>6887</v>
      </c>
      <c r="F798" s="1">
        <v>0</v>
      </c>
      <c r="G798" s="170"/>
      <c r="H798" s="171">
        <v>0</v>
      </c>
      <c r="I798" s="172">
        <v>0</v>
      </c>
      <c r="J798" s="171">
        <v>0</v>
      </c>
      <c r="K798" s="171">
        <v>0</v>
      </c>
      <c r="L798" s="171">
        <v>0</v>
      </c>
      <c r="M798" s="171">
        <v>-34630000</v>
      </c>
      <c r="N798" s="171">
        <v>0</v>
      </c>
      <c r="P798" s="173">
        <f t="shared" si="12"/>
        <v>34630000</v>
      </c>
      <c r="V798" s="163"/>
      <c r="W798" s="163"/>
    </row>
    <row r="799" spans="1:23" s="17" customFormat="1">
      <c r="A799" s="176"/>
      <c r="B799" s="120" t="s">
        <v>446</v>
      </c>
      <c r="C799" s="177">
        <v>2025</v>
      </c>
      <c r="D799" s="80" t="s">
        <v>5752</v>
      </c>
      <c r="E799" s="8" t="s">
        <v>6888</v>
      </c>
      <c r="F799" s="1">
        <v>0</v>
      </c>
      <c r="G799" s="170"/>
      <c r="H799" s="171">
        <v>0</v>
      </c>
      <c r="I799" s="172">
        <v>0</v>
      </c>
      <c r="J799" s="171">
        <v>0</v>
      </c>
      <c r="K799" s="171">
        <v>0</v>
      </c>
      <c r="L799" s="171">
        <v>0</v>
      </c>
      <c r="M799" s="171">
        <v>-13555000</v>
      </c>
      <c r="N799" s="171">
        <v>0</v>
      </c>
      <c r="P799" s="173">
        <f t="shared" si="12"/>
        <v>13555000</v>
      </c>
      <c r="V799" s="163"/>
      <c r="W799" s="163"/>
    </row>
    <row r="800" spans="1:23" s="17" customFormat="1">
      <c r="A800" s="176"/>
      <c r="B800" s="120" t="s">
        <v>446</v>
      </c>
      <c r="C800" s="177">
        <v>2025</v>
      </c>
      <c r="D800" s="80" t="s">
        <v>2325</v>
      </c>
      <c r="E800" s="8" t="s">
        <v>6905</v>
      </c>
      <c r="F800" s="1">
        <v>0</v>
      </c>
      <c r="G800" s="170"/>
      <c r="H800" s="171">
        <v>0</v>
      </c>
      <c r="I800" s="172">
        <v>0</v>
      </c>
      <c r="J800" s="171">
        <v>0</v>
      </c>
      <c r="K800" s="171">
        <v>0</v>
      </c>
      <c r="L800" s="171">
        <v>0</v>
      </c>
      <c r="M800" s="171">
        <v>1102505</v>
      </c>
      <c r="N800" s="171">
        <v>0</v>
      </c>
      <c r="P800" s="173">
        <f t="shared" si="12"/>
        <v>-1102505</v>
      </c>
      <c r="V800" s="163"/>
      <c r="W800" s="163"/>
    </row>
    <row r="801" spans="1:23" s="17" customFormat="1">
      <c r="A801" s="176"/>
      <c r="B801" s="120" t="s">
        <v>446</v>
      </c>
      <c r="C801" s="177">
        <v>2025</v>
      </c>
      <c r="D801" s="80" t="s">
        <v>2323</v>
      </c>
      <c r="E801" s="8" t="s">
        <v>6907</v>
      </c>
      <c r="F801" s="1">
        <v>0</v>
      </c>
      <c r="G801" s="170"/>
      <c r="H801" s="171">
        <v>0</v>
      </c>
      <c r="I801" s="172">
        <v>0</v>
      </c>
      <c r="J801" s="171">
        <v>0</v>
      </c>
      <c r="K801" s="171">
        <v>0</v>
      </c>
      <c r="L801" s="171">
        <v>0</v>
      </c>
      <c r="M801" s="171">
        <v>560205</v>
      </c>
      <c r="N801" s="171">
        <v>0</v>
      </c>
      <c r="P801" s="173">
        <f t="shared" si="12"/>
        <v>-560205</v>
      </c>
      <c r="V801" s="163"/>
      <c r="W801" s="163"/>
    </row>
    <row r="802" spans="1:23" s="17" customFormat="1">
      <c r="A802" s="176"/>
      <c r="B802" s="120" t="s">
        <v>446</v>
      </c>
      <c r="C802" s="177">
        <v>2025</v>
      </c>
      <c r="D802" s="80" t="s">
        <v>2323</v>
      </c>
      <c r="E802" s="8" t="s">
        <v>6908</v>
      </c>
      <c r="F802" s="1">
        <v>0</v>
      </c>
      <c r="G802" s="170"/>
      <c r="H802" s="171">
        <v>0</v>
      </c>
      <c r="I802" s="172">
        <v>0</v>
      </c>
      <c r="J802" s="171">
        <v>0</v>
      </c>
      <c r="K802" s="171">
        <v>0</v>
      </c>
      <c r="L802" s="171">
        <v>0</v>
      </c>
      <c r="M802" s="171">
        <v>560205</v>
      </c>
      <c r="N802" s="171">
        <v>0</v>
      </c>
      <c r="P802" s="173">
        <f t="shared" si="12"/>
        <v>-560205</v>
      </c>
      <c r="V802" s="163"/>
      <c r="W802" s="163"/>
    </row>
    <row r="803" spans="1:23" s="17" customFormat="1">
      <c r="A803" s="176"/>
      <c r="B803" s="120" t="s">
        <v>446</v>
      </c>
      <c r="C803" s="177">
        <v>2025</v>
      </c>
      <c r="D803" s="80" t="s">
        <v>2323</v>
      </c>
      <c r="E803" s="8" t="s">
        <v>6909</v>
      </c>
      <c r="F803" s="1">
        <v>0</v>
      </c>
      <c r="G803" s="170"/>
      <c r="H803" s="171">
        <v>0</v>
      </c>
      <c r="I803" s="172">
        <v>0</v>
      </c>
      <c r="J803" s="171">
        <v>0</v>
      </c>
      <c r="K803" s="171">
        <v>0</v>
      </c>
      <c r="L803" s="171">
        <v>0</v>
      </c>
      <c r="M803" s="171">
        <v>560205</v>
      </c>
      <c r="N803" s="171">
        <v>0</v>
      </c>
      <c r="P803" s="173">
        <f t="shared" si="12"/>
        <v>-560205</v>
      </c>
      <c r="V803" s="163"/>
      <c r="W803" s="163"/>
    </row>
    <row r="804" spans="1:23" s="17" customFormat="1">
      <c r="A804" s="176"/>
      <c r="B804" s="120" t="s">
        <v>446</v>
      </c>
      <c r="C804" s="177">
        <v>2025</v>
      </c>
      <c r="D804" s="80" t="s">
        <v>2323</v>
      </c>
      <c r="E804" s="8" t="s">
        <v>6910</v>
      </c>
      <c r="F804" s="1">
        <v>0</v>
      </c>
      <c r="G804" s="170"/>
      <c r="H804" s="171">
        <v>0</v>
      </c>
      <c r="I804" s="172">
        <v>0</v>
      </c>
      <c r="J804" s="171">
        <v>0</v>
      </c>
      <c r="K804" s="171">
        <v>0</v>
      </c>
      <c r="L804" s="171">
        <v>0</v>
      </c>
      <c r="M804" s="171">
        <v>560205</v>
      </c>
      <c r="N804" s="171">
        <v>0</v>
      </c>
      <c r="P804" s="173">
        <f t="shared" si="12"/>
        <v>-560205</v>
      </c>
      <c r="V804" s="163"/>
      <c r="W804" s="163"/>
    </row>
    <row r="805" spans="1:23" s="17" customFormat="1">
      <c r="A805" s="176"/>
      <c r="B805" s="120" t="s">
        <v>446</v>
      </c>
      <c r="C805" s="177">
        <v>2025</v>
      </c>
      <c r="D805" s="80" t="s">
        <v>2323</v>
      </c>
      <c r="E805" s="8" t="s">
        <v>6912</v>
      </c>
      <c r="F805" s="1">
        <v>0</v>
      </c>
      <c r="G805" s="170"/>
      <c r="H805" s="171">
        <v>0</v>
      </c>
      <c r="I805" s="172">
        <v>0</v>
      </c>
      <c r="J805" s="171">
        <v>0</v>
      </c>
      <c r="K805" s="171">
        <v>0</v>
      </c>
      <c r="L805" s="171">
        <v>0</v>
      </c>
      <c r="M805" s="171">
        <v>1069100</v>
      </c>
      <c r="N805" s="171">
        <v>0</v>
      </c>
      <c r="P805" s="173">
        <f t="shared" si="12"/>
        <v>-1069100</v>
      </c>
      <c r="V805" s="163"/>
      <c r="W805" s="163"/>
    </row>
    <row r="806" spans="1:23" s="17" customFormat="1">
      <c r="A806" s="176"/>
      <c r="B806" s="120" t="s">
        <v>446</v>
      </c>
      <c r="C806" s="177">
        <v>2025</v>
      </c>
      <c r="D806" s="80" t="s">
        <v>1461</v>
      </c>
      <c r="E806" s="8" t="s">
        <v>6917</v>
      </c>
      <c r="F806" s="1">
        <v>0</v>
      </c>
      <c r="G806" s="170"/>
      <c r="H806" s="171">
        <v>0</v>
      </c>
      <c r="I806" s="172">
        <v>0</v>
      </c>
      <c r="J806" s="171">
        <v>0</v>
      </c>
      <c r="K806" s="171">
        <v>0</v>
      </c>
      <c r="L806" s="171">
        <v>0</v>
      </c>
      <c r="M806" s="171">
        <v>845485</v>
      </c>
      <c r="N806" s="171">
        <v>0</v>
      </c>
      <c r="P806" s="173">
        <f t="shared" si="12"/>
        <v>-845485</v>
      </c>
      <c r="V806" s="163"/>
      <c r="W806" s="163"/>
    </row>
    <row r="807" spans="1:23" s="17" customFormat="1">
      <c r="A807" s="176"/>
      <c r="B807" s="120" t="s">
        <v>446</v>
      </c>
      <c r="C807" s="177">
        <v>2025</v>
      </c>
      <c r="D807" s="80" t="s">
        <v>3283</v>
      </c>
      <c r="E807" s="8" t="s">
        <v>6953</v>
      </c>
      <c r="F807" s="1">
        <v>0</v>
      </c>
      <c r="G807" s="170"/>
      <c r="H807" s="171">
        <v>0</v>
      </c>
      <c r="I807" s="172">
        <v>0</v>
      </c>
      <c r="J807" s="171">
        <v>0</v>
      </c>
      <c r="K807" s="171">
        <v>0</v>
      </c>
      <c r="L807" s="171">
        <v>0</v>
      </c>
      <c r="M807" s="171">
        <v>1191450</v>
      </c>
      <c r="N807" s="171">
        <v>0</v>
      </c>
      <c r="P807" s="173">
        <f t="shared" si="12"/>
        <v>-1191450</v>
      </c>
      <c r="V807" s="163"/>
      <c r="W807" s="163"/>
    </row>
    <row r="808" spans="1:23" s="17" customFormat="1">
      <c r="A808" s="176"/>
      <c r="B808" s="120" t="s">
        <v>446</v>
      </c>
      <c r="C808" s="177">
        <v>2025</v>
      </c>
      <c r="D808" s="80" t="s">
        <v>3474</v>
      </c>
      <c r="E808" s="8" t="s">
        <v>6954</v>
      </c>
      <c r="F808" s="1">
        <v>0</v>
      </c>
      <c r="G808" s="170"/>
      <c r="H808" s="171">
        <v>0</v>
      </c>
      <c r="I808" s="172">
        <v>0</v>
      </c>
      <c r="J808" s="171">
        <v>0</v>
      </c>
      <c r="K808" s="171">
        <v>0</v>
      </c>
      <c r="L808" s="171">
        <v>0</v>
      </c>
      <c r="M808" s="171">
        <v>791900</v>
      </c>
      <c r="N808" s="171">
        <v>0</v>
      </c>
      <c r="P808" s="173">
        <f t="shared" si="12"/>
        <v>-791900</v>
      </c>
      <c r="V808" s="163"/>
      <c r="W808" s="163"/>
    </row>
    <row r="809" spans="1:23" s="17" customFormat="1">
      <c r="A809" s="176"/>
      <c r="B809" s="120" t="s">
        <v>446</v>
      </c>
      <c r="C809" s="177">
        <v>2025</v>
      </c>
      <c r="D809" s="80" t="s">
        <v>3283</v>
      </c>
      <c r="E809" s="8" t="s">
        <v>6955</v>
      </c>
      <c r="F809" s="1">
        <v>0</v>
      </c>
      <c r="G809" s="170"/>
      <c r="H809" s="171">
        <v>0</v>
      </c>
      <c r="I809" s="172">
        <v>0</v>
      </c>
      <c r="J809" s="171">
        <v>0</v>
      </c>
      <c r="K809" s="171">
        <v>0</v>
      </c>
      <c r="L809" s="171">
        <v>0</v>
      </c>
      <c r="M809" s="171">
        <v>1776200</v>
      </c>
      <c r="N809" s="171">
        <v>0</v>
      </c>
      <c r="P809" s="173">
        <f t="shared" si="12"/>
        <v>-1776200</v>
      </c>
      <c r="V809" s="163"/>
      <c r="W809" s="163"/>
    </row>
    <row r="810" spans="1:23" s="17" customFormat="1">
      <c r="A810" s="176"/>
      <c r="B810" s="120" t="s">
        <v>446</v>
      </c>
      <c r="C810" s="177">
        <v>2025</v>
      </c>
      <c r="D810" s="80" t="s">
        <v>3283</v>
      </c>
      <c r="E810" s="8" t="s">
        <v>6956</v>
      </c>
      <c r="F810" s="1">
        <v>0</v>
      </c>
      <c r="G810" s="170"/>
      <c r="H810" s="171">
        <v>0</v>
      </c>
      <c r="I810" s="172">
        <v>0</v>
      </c>
      <c r="J810" s="171">
        <v>0</v>
      </c>
      <c r="K810" s="171">
        <v>0</v>
      </c>
      <c r="L810" s="171">
        <v>0</v>
      </c>
      <c r="M810" s="171">
        <v>1354250</v>
      </c>
      <c r="N810" s="171">
        <v>0</v>
      </c>
      <c r="P810" s="173">
        <f t="shared" si="12"/>
        <v>-1354250</v>
      </c>
      <c r="V810" s="163"/>
      <c r="W810" s="163"/>
    </row>
    <row r="811" spans="1:23" s="17" customFormat="1">
      <c r="A811" s="176"/>
      <c r="B811" s="120" t="s">
        <v>446</v>
      </c>
      <c r="C811" s="177">
        <v>2025</v>
      </c>
      <c r="D811" s="80" t="s">
        <v>3283</v>
      </c>
      <c r="E811" s="8" t="s">
        <v>6957</v>
      </c>
      <c r="F811" s="1">
        <v>0</v>
      </c>
      <c r="G811" s="170"/>
      <c r="H811" s="171">
        <v>0</v>
      </c>
      <c r="I811" s="172">
        <v>0</v>
      </c>
      <c r="J811" s="171">
        <v>0</v>
      </c>
      <c r="K811" s="171">
        <v>0</v>
      </c>
      <c r="L811" s="171">
        <v>0</v>
      </c>
      <c r="M811" s="171">
        <v>1004509</v>
      </c>
      <c r="N811" s="171">
        <v>0</v>
      </c>
      <c r="P811" s="173">
        <f t="shared" si="12"/>
        <v>-1004509</v>
      </c>
      <c r="V811" s="163"/>
      <c r="W811" s="163"/>
    </row>
    <row r="812" spans="1:23" s="17" customFormat="1">
      <c r="A812" s="176"/>
      <c r="B812" s="120" t="s">
        <v>446</v>
      </c>
      <c r="C812" s="177">
        <v>2025</v>
      </c>
      <c r="D812" s="80" t="s">
        <v>3283</v>
      </c>
      <c r="E812" s="8" t="s">
        <v>6958</v>
      </c>
      <c r="F812" s="1">
        <v>0</v>
      </c>
      <c r="G812" s="170"/>
      <c r="H812" s="171">
        <v>0</v>
      </c>
      <c r="I812" s="172">
        <v>0</v>
      </c>
      <c r="J812" s="171">
        <v>0</v>
      </c>
      <c r="K812" s="171">
        <v>0</v>
      </c>
      <c r="L812" s="171">
        <v>0</v>
      </c>
      <c r="M812" s="171">
        <v>664005</v>
      </c>
      <c r="N812" s="171">
        <v>0</v>
      </c>
      <c r="P812" s="173">
        <f t="shared" si="12"/>
        <v>-664005</v>
      </c>
      <c r="V812" s="163"/>
      <c r="W812" s="163"/>
    </row>
    <row r="813" spans="1:23" s="17" customFormat="1">
      <c r="A813" s="176"/>
      <c r="B813" s="120" t="s">
        <v>446</v>
      </c>
      <c r="C813" s="177">
        <v>2025</v>
      </c>
      <c r="D813" s="80" t="s">
        <v>3283</v>
      </c>
      <c r="E813" s="8" t="s">
        <v>6959</v>
      </c>
      <c r="F813" s="1">
        <v>0</v>
      </c>
      <c r="G813" s="170"/>
      <c r="H813" s="171">
        <v>0</v>
      </c>
      <c r="I813" s="172">
        <v>0</v>
      </c>
      <c r="J813" s="171">
        <v>0</v>
      </c>
      <c r="K813" s="171">
        <v>0</v>
      </c>
      <c r="L813" s="171">
        <v>0</v>
      </c>
      <c r="M813" s="171">
        <v>976600</v>
      </c>
      <c r="N813" s="171">
        <v>0</v>
      </c>
      <c r="P813" s="173">
        <f t="shared" si="12"/>
        <v>-976600</v>
      </c>
      <c r="V813" s="163"/>
      <c r="W813" s="163"/>
    </row>
    <row r="814" spans="1:23" s="17" customFormat="1">
      <c r="A814" s="176"/>
      <c r="B814" s="120" t="s">
        <v>446</v>
      </c>
      <c r="C814" s="177">
        <v>2025</v>
      </c>
      <c r="D814" s="80" t="s">
        <v>3283</v>
      </c>
      <c r="E814" s="8" t="s">
        <v>6960</v>
      </c>
      <c r="F814" s="1">
        <v>0</v>
      </c>
      <c r="G814" s="170"/>
      <c r="H814" s="171">
        <v>0</v>
      </c>
      <c r="I814" s="172">
        <v>0</v>
      </c>
      <c r="J814" s="171">
        <v>0</v>
      </c>
      <c r="K814" s="171">
        <v>0</v>
      </c>
      <c r="L814" s="171">
        <v>0</v>
      </c>
      <c r="M814" s="171">
        <v>590100</v>
      </c>
      <c r="N814" s="171">
        <v>0</v>
      </c>
      <c r="P814" s="173">
        <f t="shared" si="12"/>
        <v>-590100</v>
      </c>
      <c r="V814" s="163"/>
      <c r="W814" s="163"/>
    </row>
    <row r="815" spans="1:23" s="17" customFormat="1">
      <c r="A815" s="176"/>
      <c r="B815" s="120" t="s">
        <v>446</v>
      </c>
      <c r="C815" s="177">
        <v>2025</v>
      </c>
      <c r="D815" s="80" t="s">
        <v>3283</v>
      </c>
      <c r="E815" s="8" t="s">
        <v>6961</v>
      </c>
      <c r="F815" s="1">
        <v>0</v>
      </c>
      <c r="G815" s="170"/>
      <c r="H815" s="171">
        <v>0</v>
      </c>
      <c r="I815" s="172">
        <v>0</v>
      </c>
      <c r="J815" s="171">
        <v>0</v>
      </c>
      <c r="K815" s="171">
        <v>0</v>
      </c>
      <c r="L815" s="171">
        <v>0</v>
      </c>
      <c r="M815" s="171">
        <v>1015781</v>
      </c>
      <c r="N815" s="171">
        <v>0</v>
      </c>
      <c r="P815" s="173">
        <f t="shared" si="12"/>
        <v>-1015781</v>
      </c>
      <c r="V815" s="163"/>
      <c r="W815" s="163"/>
    </row>
    <row r="816" spans="1:23" s="17" customFormat="1">
      <c r="A816" s="176"/>
      <c r="B816" s="120" t="s">
        <v>446</v>
      </c>
      <c r="C816" s="177">
        <v>2025</v>
      </c>
      <c r="D816" s="80" t="s">
        <v>3283</v>
      </c>
      <c r="E816" s="8" t="s">
        <v>6962</v>
      </c>
      <c r="F816" s="1">
        <v>0</v>
      </c>
      <c r="G816" s="170"/>
      <c r="H816" s="171">
        <v>0</v>
      </c>
      <c r="I816" s="172">
        <v>0</v>
      </c>
      <c r="J816" s="171">
        <v>0</v>
      </c>
      <c r="K816" s="171">
        <v>0</v>
      </c>
      <c r="L816" s="171">
        <v>0</v>
      </c>
      <c r="M816" s="171">
        <v>1525850</v>
      </c>
      <c r="N816" s="171">
        <v>0</v>
      </c>
      <c r="P816" s="173">
        <f t="shared" si="12"/>
        <v>-1525850</v>
      </c>
      <c r="V816" s="163"/>
      <c r="W816" s="163"/>
    </row>
    <row r="817" spans="1:23" s="17" customFormat="1">
      <c r="A817" s="176"/>
      <c r="B817" s="120" t="s">
        <v>446</v>
      </c>
      <c r="C817" s="177">
        <v>2025</v>
      </c>
      <c r="D817" s="80" t="s">
        <v>3283</v>
      </c>
      <c r="E817" s="8" t="s">
        <v>6963</v>
      </c>
      <c r="F817" s="1">
        <v>0</v>
      </c>
      <c r="G817" s="170"/>
      <c r="H817" s="171">
        <v>0</v>
      </c>
      <c r="I817" s="172">
        <v>0</v>
      </c>
      <c r="J817" s="171">
        <v>0</v>
      </c>
      <c r="K817" s="171">
        <v>0</v>
      </c>
      <c r="L817" s="171">
        <v>0</v>
      </c>
      <c r="M817" s="171">
        <v>1267980</v>
      </c>
      <c r="N817" s="171">
        <v>0</v>
      </c>
      <c r="P817" s="173">
        <f t="shared" si="12"/>
        <v>-1267980</v>
      </c>
      <c r="V817" s="163"/>
      <c r="W817" s="163"/>
    </row>
    <row r="818" spans="1:23" s="17" customFormat="1">
      <c r="A818" s="176"/>
      <c r="B818" s="120" t="s">
        <v>446</v>
      </c>
      <c r="C818" s="177">
        <v>2025</v>
      </c>
      <c r="D818" s="80" t="s">
        <v>3283</v>
      </c>
      <c r="E818" s="8" t="s">
        <v>6964</v>
      </c>
      <c r="F818" s="1">
        <v>0</v>
      </c>
      <c r="G818" s="170"/>
      <c r="H818" s="171">
        <v>0</v>
      </c>
      <c r="I818" s="172">
        <v>0</v>
      </c>
      <c r="J818" s="171">
        <v>0</v>
      </c>
      <c r="K818" s="171">
        <v>0</v>
      </c>
      <c r="L818" s="171">
        <v>0</v>
      </c>
      <c r="M818" s="171">
        <v>590100</v>
      </c>
      <c r="N818" s="171">
        <v>0</v>
      </c>
      <c r="P818" s="173">
        <f t="shared" si="12"/>
        <v>-590100</v>
      </c>
      <c r="V818" s="163"/>
      <c r="W818" s="163"/>
    </row>
    <row r="819" spans="1:23" s="17" customFormat="1">
      <c r="A819" s="176"/>
      <c r="B819" s="120" t="s">
        <v>446</v>
      </c>
      <c r="C819" s="177">
        <v>2025</v>
      </c>
      <c r="D819" s="80" t="s">
        <v>3283</v>
      </c>
      <c r="E819" s="8" t="s">
        <v>6965</v>
      </c>
      <c r="F819" s="1">
        <v>0</v>
      </c>
      <c r="G819" s="170"/>
      <c r="H819" s="171">
        <v>0</v>
      </c>
      <c r="I819" s="172">
        <v>0</v>
      </c>
      <c r="J819" s="171">
        <v>0</v>
      </c>
      <c r="K819" s="171">
        <v>0</v>
      </c>
      <c r="L819" s="171">
        <v>0</v>
      </c>
      <c r="M819" s="171">
        <v>146300</v>
      </c>
      <c r="N819" s="171">
        <v>0</v>
      </c>
      <c r="P819" s="173">
        <f t="shared" si="12"/>
        <v>-146300</v>
      </c>
      <c r="V819" s="163"/>
      <c r="W819" s="163"/>
    </row>
    <row r="820" spans="1:23" s="17" customFormat="1">
      <c r="A820" s="176"/>
      <c r="B820" s="120" t="s">
        <v>446</v>
      </c>
      <c r="C820" s="177">
        <v>2025</v>
      </c>
      <c r="D820" s="80" t="s">
        <v>3283</v>
      </c>
      <c r="E820" s="8" t="s">
        <v>6966</v>
      </c>
      <c r="F820" s="1">
        <v>0</v>
      </c>
      <c r="G820" s="170"/>
      <c r="H820" s="171">
        <v>0</v>
      </c>
      <c r="I820" s="172">
        <v>0</v>
      </c>
      <c r="J820" s="171">
        <v>0</v>
      </c>
      <c r="K820" s="171">
        <v>0</v>
      </c>
      <c r="L820" s="171">
        <v>0</v>
      </c>
      <c r="M820" s="171">
        <v>2214620</v>
      </c>
      <c r="N820" s="171">
        <v>0</v>
      </c>
      <c r="P820" s="173">
        <f t="shared" si="12"/>
        <v>-2214620</v>
      </c>
      <c r="V820" s="163"/>
      <c r="W820" s="163"/>
    </row>
    <row r="821" spans="1:23" s="17" customFormat="1">
      <c r="A821" s="176"/>
      <c r="B821" s="120" t="s">
        <v>446</v>
      </c>
      <c r="C821" s="177">
        <v>2025</v>
      </c>
      <c r="D821" s="80" t="s">
        <v>3283</v>
      </c>
      <c r="E821" s="8" t="s">
        <v>6967</v>
      </c>
      <c r="F821" s="1">
        <v>0</v>
      </c>
      <c r="G821" s="170"/>
      <c r="H821" s="171">
        <v>0</v>
      </c>
      <c r="I821" s="172">
        <v>0</v>
      </c>
      <c r="J821" s="171">
        <v>0</v>
      </c>
      <c r="K821" s="171">
        <v>0</v>
      </c>
      <c r="L821" s="171">
        <v>0</v>
      </c>
      <c r="M821" s="171">
        <v>2214620</v>
      </c>
      <c r="N821" s="171">
        <v>0</v>
      </c>
      <c r="P821" s="173">
        <f t="shared" si="12"/>
        <v>-2214620</v>
      </c>
      <c r="V821" s="163"/>
      <c r="W821" s="163"/>
    </row>
    <row r="822" spans="1:23" s="17" customFormat="1">
      <c r="A822" s="176"/>
      <c r="B822" s="120" t="s">
        <v>446</v>
      </c>
      <c r="C822" s="177">
        <v>2025</v>
      </c>
      <c r="D822" s="80" t="s">
        <v>3283</v>
      </c>
      <c r="E822" s="8" t="s">
        <v>6968</v>
      </c>
      <c r="F822" s="1">
        <v>0</v>
      </c>
      <c r="G822" s="170"/>
      <c r="H822" s="171">
        <v>0</v>
      </c>
      <c r="I822" s="172">
        <v>0</v>
      </c>
      <c r="J822" s="171">
        <v>0</v>
      </c>
      <c r="K822" s="171">
        <v>0</v>
      </c>
      <c r="L822" s="171">
        <v>0</v>
      </c>
      <c r="M822" s="171">
        <v>2621818</v>
      </c>
      <c r="N822" s="171">
        <v>0</v>
      </c>
      <c r="P822" s="173">
        <f t="shared" si="12"/>
        <v>-2621818</v>
      </c>
      <c r="V822" s="163"/>
      <c r="W822" s="163"/>
    </row>
    <row r="823" spans="1:23" s="17" customFormat="1">
      <c r="A823" s="176"/>
      <c r="B823" s="120" t="s">
        <v>446</v>
      </c>
      <c r="C823" s="177">
        <v>2025</v>
      </c>
      <c r="D823" s="80" t="s">
        <v>3283</v>
      </c>
      <c r="E823" s="8" t="s">
        <v>6969</v>
      </c>
      <c r="F823" s="1">
        <v>0</v>
      </c>
      <c r="G823" s="170"/>
      <c r="H823" s="171">
        <v>0</v>
      </c>
      <c r="I823" s="172">
        <v>0</v>
      </c>
      <c r="J823" s="171">
        <v>0</v>
      </c>
      <c r="K823" s="171">
        <v>0</v>
      </c>
      <c r="L823" s="171">
        <v>0</v>
      </c>
      <c r="M823" s="171">
        <v>4036650</v>
      </c>
      <c r="N823" s="171">
        <v>0</v>
      </c>
      <c r="P823" s="173">
        <f t="shared" si="12"/>
        <v>-4036650</v>
      </c>
      <c r="V823" s="163"/>
      <c r="W823" s="163"/>
    </row>
    <row r="824" spans="1:23" s="17" customFormat="1">
      <c r="A824" s="176"/>
      <c r="B824" s="120" t="s">
        <v>446</v>
      </c>
      <c r="C824" s="177">
        <v>2025</v>
      </c>
      <c r="D824" s="80" t="s">
        <v>3283</v>
      </c>
      <c r="E824" s="8" t="s">
        <v>6970</v>
      </c>
      <c r="F824" s="1">
        <v>0</v>
      </c>
      <c r="G824" s="170"/>
      <c r="H824" s="171">
        <v>0</v>
      </c>
      <c r="I824" s="172">
        <v>0</v>
      </c>
      <c r="J824" s="171">
        <v>0</v>
      </c>
      <c r="K824" s="171">
        <v>0</v>
      </c>
      <c r="L824" s="171">
        <v>0</v>
      </c>
      <c r="M824" s="171">
        <v>1776200</v>
      </c>
      <c r="N824" s="171">
        <v>0</v>
      </c>
      <c r="P824" s="173">
        <f t="shared" si="12"/>
        <v>-1776200</v>
      </c>
      <c r="V824" s="163"/>
      <c r="W824" s="163"/>
    </row>
    <row r="825" spans="1:23" s="17" customFormat="1">
      <c r="A825" s="176"/>
      <c r="B825" s="120" t="s">
        <v>446</v>
      </c>
      <c r="C825" s="177">
        <v>2025</v>
      </c>
      <c r="D825" s="80" t="s">
        <v>3283</v>
      </c>
      <c r="E825" s="8" t="s">
        <v>6971</v>
      </c>
      <c r="F825" s="1">
        <v>0</v>
      </c>
      <c r="G825" s="170"/>
      <c r="H825" s="171">
        <v>0</v>
      </c>
      <c r="I825" s="172">
        <v>0</v>
      </c>
      <c r="J825" s="171">
        <v>0</v>
      </c>
      <c r="K825" s="171">
        <v>0</v>
      </c>
      <c r="L825" s="171">
        <v>0</v>
      </c>
      <c r="M825" s="171">
        <v>1004509</v>
      </c>
      <c r="N825" s="171">
        <v>0</v>
      </c>
      <c r="P825" s="173">
        <f t="shared" si="12"/>
        <v>-1004509</v>
      </c>
      <c r="V825" s="163"/>
      <c r="W825" s="163"/>
    </row>
    <row r="826" spans="1:23" s="17" customFormat="1">
      <c r="A826" s="176"/>
      <c r="B826" s="120" t="s">
        <v>446</v>
      </c>
      <c r="C826" s="177">
        <v>2025</v>
      </c>
      <c r="D826" s="80" t="s">
        <v>3283</v>
      </c>
      <c r="E826" s="8" t="s">
        <v>6972</v>
      </c>
      <c r="F826" s="1">
        <v>0</v>
      </c>
      <c r="G826" s="170"/>
      <c r="H826" s="171">
        <v>0</v>
      </c>
      <c r="I826" s="172">
        <v>0</v>
      </c>
      <c r="J826" s="171">
        <v>0</v>
      </c>
      <c r="K826" s="171">
        <v>0</v>
      </c>
      <c r="L826" s="171">
        <v>0</v>
      </c>
      <c r="M826" s="171">
        <v>2214620</v>
      </c>
      <c r="N826" s="171">
        <v>0</v>
      </c>
      <c r="P826" s="173">
        <f t="shared" si="12"/>
        <v>-2214620</v>
      </c>
      <c r="V826" s="163"/>
      <c r="W826" s="163"/>
    </row>
    <row r="827" spans="1:23" s="17" customFormat="1">
      <c r="A827" s="176"/>
      <c r="B827" s="120" t="s">
        <v>446</v>
      </c>
      <c r="C827" s="177">
        <v>2025</v>
      </c>
      <c r="D827" s="80" t="s">
        <v>3470</v>
      </c>
      <c r="E827" s="8" t="s">
        <v>6973</v>
      </c>
      <c r="F827" s="1">
        <v>0</v>
      </c>
      <c r="G827" s="170"/>
      <c r="H827" s="171">
        <v>0</v>
      </c>
      <c r="I827" s="172">
        <v>0</v>
      </c>
      <c r="J827" s="171">
        <v>0</v>
      </c>
      <c r="K827" s="171">
        <v>0</v>
      </c>
      <c r="L827" s="171">
        <v>0</v>
      </c>
      <c r="M827" s="171">
        <v>2492798</v>
      </c>
      <c r="N827" s="171">
        <v>0</v>
      </c>
      <c r="P827" s="173">
        <f t="shared" si="12"/>
        <v>-2492798</v>
      </c>
      <c r="V827" s="163"/>
      <c r="W827" s="163"/>
    </row>
    <row r="828" spans="1:23" s="17" customFormat="1">
      <c r="A828" s="176"/>
      <c r="B828" s="120" t="s">
        <v>446</v>
      </c>
      <c r="C828" s="177">
        <v>2025</v>
      </c>
      <c r="D828" s="80" t="s">
        <v>3470</v>
      </c>
      <c r="E828" s="8" t="s">
        <v>6974</v>
      </c>
      <c r="F828" s="1">
        <v>0</v>
      </c>
      <c r="G828" s="170"/>
      <c r="H828" s="171">
        <v>0</v>
      </c>
      <c r="I828" s="172">
        <v>0</v>
      </c>
      <c r="J828" s="171">
        <v>0</v>
      </c>
      <c r="K828" s="171">
        <v>0</v>
      </c>
      <c r="L828" s="171">
        <v>0</v>
      </c>
      <c r="M828" s="171">
        <v>2492798</v>
      </c>
      <c r="N828" s="171">
        <v>0</v>
      </c>
      <c r="P828" s="173">
        <f t="shared" si="12"/>
        <v>-2492798</v>
      </c>
      <c r="V828" s="163"/>
      <c r="W828" s="163"/>
    </row>
    <row r="829" spans="1:23" s="17" customFormat="1">
      <c r="A829" s="176"/>
      <c r="B829" s="120" t="s">
        <v>446</v>
      </c>
      <c r="C829" s="177">
        <v>2025</v>
      </c>
      <c r="D829" s="80" t="s">
        <v>3470</v>
      </c>
      <c r="E829" s="8" t="s">
        <v>7020</v>
      </c>
      <c r="F829" s="1">
        <v>0</v>
      </c>
      <c r="G829" s="170"/>
      <c r="H829" s="171">
        <v>0</v>
      </c>
      <c r="I829" s="172">
        <v>0</v>
      </c>
      <c r="J829" s="171">
        <v>0</v>
      </c>
      <c r="K829" s="171">
        <v>0</v>
      </c>
      <c r="L829" s="171">
        <v>0</v>
      </c>
      <c r="M829" s="171">
        <v>762769</v>
      </c>
      <c r="N829" s="171">
        <v>0</v>
      </c>
      <c r="P829" s="173">
        <f t="shared" si="12"/>
        <v>-762769</v>
      </c>
      <c r="V829" s="163"/>
      <c r="W829" s="163"/>
    </row>
    <row r="830" spans="1:23" s="17" customFormat="1">
      <c r="A830" s="176"/>
      <c r="B830" s="120" t="s">
        <v>446</v>
      </c>
      <c r="C830" s="177">
        <v>2025</v>
      </c>
      <c r="D830" s="80" t="s">
        <v>3283</v>
      </c>
      <c r="E830" s="8" t="s">
        <v>6975</v>
      </c>
      <c r="F830" s="1">
        <v>0</v>
      </c>
      <c r="G830" s="170"/>
      <c r="H830" s="171">
        <v>0</v>
      </c>
      <c r="I830" s="172">
        <v>0</v>
      </c>
      <c r="J830" s="171">
        <v>0</v>
      </c>
      <c r="K830" s="171">
        <v>0</v>
      </c>
      <c r="L830" s="171">
        <v>0</v>
      </c>
      <c r="M830" s="171">
        <v>594517</v>
      </c>
      <c r="N830" s="171">
        <v>0</v>
      </c>
      <c r="P830" s="173">
        <f t="shared" si="12"/>
        <v>-594517</v>
      </c>
      <c r="V830" s="163"/>
      <c r="W830" s="163"/>
    </row>
    <row r="831" spans="1:23" s="17" customFormat="1">
      <c r="A831" s="176"/>
      <c r="B831" s="120" t="s">
        <v>446</v>
      </c>
      <c r="C831" s="177">
        <v>2025</v>
      </c>
      <c r="D831" s="80" t="s">
        <v>3470</v>
      </c>
      <c r="E831" s="8" t="s">
        <v>6970</v>
      </c>
      <c r="F831" s="1">
        <v>0</v>
      </c>
      <c r="G831" s="170"/>
      <c r="H831" s="171">
        <v>0</v>
      </c>
      <c r="I831" s="172">
        <v>0</v>
      </c>
      <c r="J831" s="171">
        <v>0</v>
      </c>
      <c r="K831" s="171">
        <v>0</v>
      </c>
      <c r="L831" s="171">
        <v>0</v>
      </c>
      <c r="M831" s="171">
        <v>1185059</v>
      </c>
      <c r="N831" s="171">
        <v>0</v>
      </c>
      <c r="P831" s="173">
        <f t="shared" si="12"/>
        <v>-1185059</v>
      </c>
      <c r="V831" s="163"/>
      <c r="W831" s="163"/>
    </row>
    <row r="832" spans="1:23" s="17" customFormat="1">
      <c r="A832" s="176"/>
      <c r="B832" s="120" t="s">
        <v>446</v>
      </c>
      <c r="C832" s="177">
        <v>2025</v>
      </c>
      <c r="D832" s="80" t="s">
        <v>4086</v>
      </c>
      <c r="E832" s="8" t="s">
        <v>6976</v>
      </c>
      <c r="F832" s="1">
        <v>0</v>
      </c>
      <c r="G832" s="170"/>
      <c r="H832" s="171">
        <v>0</v>
      </c>
      <c r="I832" s="172">
        <v>0</v>
      </c>
      <c r="J832" s="171">
        <v>0</v>
      </c>
      <c r="K832" s="171">
        <v>0</v>
      </c>
      <c r="L832" s="171">
        <v>0</v>
      </c>
      <c r="M832" s="171">
        <v>837025</v>
      </c>
      <c r="N832" s="171">
        <v>0</v>
      </c>
      <c r="P832" s="173">
        <f t="shared" si="12"/>
        <v>-837025</v>
      </c>
      <c r="V832" s="163"/>
      <c r="W832" s="163"/>
    </row>
    <row r="833" spans="1:23" s="17" customFormat="1">
      <c r="A833" s="176"/>
      <c r="B833" s="120" t="s">
        <v>446</v>
      </c>
      <c r="C833" s="177">
        <v>2025</v>
      </c>
      <c r="D833" s="80" t="s">
        <v>4095</v>
      </c>
      <c r="E833" s="8" t="s">
        <v>6977</v>
      </c>
      <c r="F833" s="1">
        <v>0</v>
      </c>
      <c r="G833" s="170"/>
      <c r="H833" s="171">
        <v>0</v>
      </c>
      <c r="I833" s="172">
        <v>0</v>
      </c>
      <c r="J833" s="171">
        <v>0</v>
      </c>
      <c r="K833" s="171">
        <v>0</v>
      </c>
      <c r="L833" s="171">
        <v>0</v>
      </c>
      <c r="M833" s="171">
        <v>1297195</v>
      </c>
      <c r="N833" s="171">
        <v>0</v>
      </c>
      <c r="P833" s="173">
        <f t="shared" si="12"/>
        <v>-1297195</v>
      </c>
      <c r="V833" s="163"/>
      <c r="W833" s="163"/>
    </row>
    <row r="834" spans="1:23" s="17" customFormat="1">
      <c r="A834" s="176"/>
      <c r="B834" s="120" t="s">
        <v>446</v>
      </c>
      <c r="C834" s="177">
        <v>2025</v>
      </c>
      <c r="D834" s="80" t="s">
        <v>4095</v>
      </c>
      <c r="E834" s="8" t="s">
        <v>6978</v>
      </c>
      <c r="F834" s="1">
        <v>0</v>
      </c>
      <c r="G834" s="170"/>
      <c r="H834" s="171">
        <v>0</v>
      </c>
      <c r="I834" s="172">
        <v>0</v>
      </c>
      <c r="J834" s="171">
        <v>0</v>
      </c>
      <c r="K834" s="171">
        <v>0</v>
      </c>
      <c r="L834" s="171">
        <v>0</v>
      </c>
      <c r="M834" s="171">
        <v>1236580</v>
      </c>
      <c r="N834" s="171">
        <v>0</v>
      </c>
      <c r="P834" s="173">
        <f t="shared" si="12"/>
        <v>-1236580</v>
      </c>
      <c r="V834" s="163"/>
      <c r="W834" s="163"/>
    </row>
    <row r="835" spans="1:23" s="17" customFormat="1">
      <c r="A835" s="176"/>
      <c r="B835" s="120" t="s">
        <v>446</v>
      </c>
      <c r="C835" s="177">
        <v>2025</v>
      </c>
      <c r="D835" s="80" t="s">
        <v>4095</v>
      </c>
      <c r="E835" s="8" t="s">
        <v>6979</v>
      </c>
      <c r="F835" s="1">
        <v>0</v>
      </c>
      <c r="G835" s="170"/>
      <c r="H835" s="171">
        <v>0</v>
      </c>
      <c r="I835" s="172">
        <v>0</v>
      </c>
      <c r="J835" s="171">
        <v>0</v>
      </c>
      <c r="K835" s="171">
        <v>0</v>
      </c>
      <c r="L835" s="171">
        <v>0</v>
      </c>
      <c r="M835" s="171">
        <v>1307172</v>
      </c>
      <c r="N835" s="171">
        <v>0</v>
      </c>
      <c r="P835" s="173">
        <f t="shared" si="12"/>
        <v>-1307172</v>
      </c>
      <c r="V835" s="163"/>
      <c r="W835" s="163"/>
    </row>
    <row r="836" spans="1:23" s="17" customFormat="1">
      <c r="A836" s="176"/>
      <c r="B836" s="120" t="s">
        <v>446</v>
      </c>
      <c r="C836" s="177">
        <v>2025</v>
      </c>
      <c r="D836" s="80" t="s">
        <v>4095</v>
      </c>
      <c r="E836" s="8" t="s">
        <v>6980</v>
      </c>
      <c r="F836" s="1">
        <v>0</v>
      </c>
      <c r="G836" s="170"/>
      <c r="H836" s="171">
        <v>0</v>
      </c>
      <c r="I836" s="172">
        <v>0</v>
      </c>
      <c r="J836" s="171">
        <v>0</v>
      </c>
      <c r="K836" s="171">
        <v>0</v>
      </c>
      <c r="L836" s="171">
        <v>0</v>
      </c>
      <c r="M836" s="171">
        <v>1554514</v>
      </c>
      <c r="N836" s="171">
        <v>0</v>
      </c>
      <c r="P836" s="173">
        <f t="shared" si="12"/>
        <v>-1554514</v>
      </c>
      <c r="V836" s="163"/>
      <c r="W836" s="163"/>
    </row>
    <row r="837" spans="1:23" s="17" customFormat="1">
      <c r="A837" s="176"/>
      <c r="B837" s="120" t="s">
        <v>446</v>
      </c>
      <c r="C837" s="177">
        <v>2025</v>
      </c>
      <c r="D837" s="80" t="s">
        <v>4095</v>
      </c>
      <c r="E837" s="8" t="s">
        <v>6981</v>
      </c>
      <c r="F837" s="1">
        <v>0</v>
      </c>
      <c r="G837" s="170"/>
      <c r="H837" s="171">
        <v>0</v>
      </c>
      <c r="I837" s="172">
        <v>0</v>
      </c>
      <c r="J837" s="171">
        <v>0</v>
      </c>
      <c r="K837" s="171">
        <v>0</v>
      </c>
      <c r="L837" s="171">
        <v>0</v>
      </c>
      <c r="M837" s="171">
        <v>1567309</v>
      </c>
      <c r="N837" s="171">
        <v>0</v>
      </c>
      <c r="P837" s="173">
        <f t="shared" ref="P837:P877" si="13">F837-H837-I837-J837-K837-L837-M837</f>
        <v>-1567309</v>
      </c>
      <c r="V837" s="163"/>
      <c r="W837" s="163"/>
    </row>
    <row r="838" spans="1:23" s="17" customFormat="1">
      <c r="A838" s="176"/>
      <c r="B838" s="120" t="s">
        <v>446</v>
      </c>
      <c r="C838" s="177">
        <v>2025</v>
      </c>
      <c r="D838" s="80" t="s">
        <v>4095</v>
      </c>
      <c r="E838" s="8" t="s">
        <v>6982</v>
      </c>
      <c r="F838" s="1">
        <v>0</v>
      </c>
      <c r="G838" s="170"/>
      <c r="H838" s="171">
        <v>0</v>
      </c>
      <c r="I838" s="172">
        <v>0</v>
      </c>
      <c r="J838" s="171">
        <v>0</v>
      </c>
      <c r="K838" s="171">
        <v>0</v>
      </c>
      <c r="L838" s="171">
        <v>0</v>
      </c>
      <c r="M838" s="171">
        <v>1567309</v>
      </c>
      <c r="N838" s="171">
        <v>0</v>
      </c>
      <c r="P838" s="173">
        <f t="shared" si="13"/>
        <v>-1567309</v>
      </c>
      <c r="V838" s="163"/>
      <c r="W838" s="163"/>
    </row>
    <row r="839" spans="1:23" s="17" customFormat="1">
      <c r="A839" s="176"/>
      <c r="B839" s="120" t="s">
        <v>446</v>
      </c>
      <c r="C839" s="177">
        <v>2025</v>
      </c>
      <c r="D839" s="80" t="s">
        <v>4095</v>
      </c>
      <c r="E839" s="8" t="s">
        <v>6983</v>
      </c>
      <c r="F839" s="1">
        <v>0</v>
      </c>
      <c r="G839" s="170"/>
      <c r="H839" s="171">
        <v>0</v>
      </c>
      <c r="I839" s="172">
        <v>0</v>
      </c>
      <c r="J839" s="171">
        <v>0</v>
      </c>
      <c r="K839" s="171">
        <v>0</v>
      </c>
      <c r="L839" s="171">
        <v>0</v>
      </c>
      <c r="M839" s="171">
        <v>756551</v>
      </c>
      <c r="N839" s="171">
        <v>0</v>
      </c>
      <c r="P839" s="173">
        <f t="shared" si="13"/>
        <v>-756551</v>
      </c>
      <c r="V839" s="163"/>
      <c r="W839" s="163"/>
    </row>
    <row r="840" spans="1:23" s="17" customFormat="1">
      <c r="A840" s="176"/>
      <c r="B840" s="120" t="s">
        <v>446</v>
      </c>
      <c r="C840" s="177">
        <v>2025</v>
      </c>
      <c r="D840" s="80" t="s">
        <v>4095</v>
      </c>
      <c r="E840" s="8" t="s">
        <v>6984</v>
      </c>
      <c r="F840" s="1">
        <v>0</v>
      </c>
      <c r="G840" s="170"/>
      <c r="H840" s="171">
        <v>0</v>
      </c>
      <c r="I840" s="172">
        <v>0</v>
      </c>
      <c r="J840" s="171">
        <v>0</v>
      </c>
      <c r="K840" s="171">
        <v>0</v>
      </c>
      <c r="L840" s="171">
        <v>0</v>
      </c>
      <c r="M840" s="171">
        <v>756551</v>
      </c>
      <c r="N840" s="171">
        <v>0</v>
      </c>
      <c r="P840" s="173">
        <f t="shared" si="13"/>
        <v>-756551</v>
      </c>
      <c r="V840" s="163"/>
      <c r="W840" s="163"/>
    </row>
    <row r="841" spans="1:23" s="17" customFormat="1">
      <c r="A841" s="176"/>
      <c r="B841" s="120" t="s">
        <v>446</v>
      </c>
      <c r="C841" s="177">
        <v>2025</v>
      </c>
      <c r="D841" s="80" t="s">
        <v>4095</v>
      </c>
      <c r="E841" s="8" t="s">
        <v>6985</v>
      </c>
      <c r="F841" s="1">
        <v>0</v>
      </c>
      <c r="G841" s="170"/>
      <c r="H841" s="171">
        <v>0</v>
      </c>
      <c r="I841" s="172">
        <v>0</v>
      </c>
      <c r="J841" s="171">
        <v>0</v>
      </c>
      <c r="K841" s="171">
        <v>0</v>
      </c>
      <c r="L841" s="171">
        <v>0</v>
      </c>
      <c r="M841" s="171">
        <v>711611</v>
      </c>
      <c r="N841" s="171">
        <v>0</v>
      </c>
      <c r="P841" s="173">
        <f t="shared" si="13"/>
        <v>-711611</v>
      </c>
      <c r="V841" s="163"/>
      <c r="W841" s="163"/>
    </row>
    <row r="842" spans="1:23" s="17" customFormat="1">
      <c r="A842" s="176"/>
      <c r="B842" s="120" t="s">
        <v>446</v>
      </c>
      <c r="C842" s="177">
        <v>2025</v>
      </c>
      <c r="D842" s="80" t="s">
        <v>4095</v>
      </c>
      <c r="E842" s="8" t="s">
        <v>6986</v>
      </c>
      <c r="F842" s="1">
        <v>0</v>
      </c>
      <c r="G842" s="170"/>
      <c r="H842" s="171">
        <v>0</v>
      </c>
      <c r="I842" s="172">
        <v>0</v>
      </c>
      <c r="J842" s="171">
        <v>0</v>
      </c>
      <c r="K842" s="171">
        <v>0</v>
      </c>
      <c r="L842" s="171">
        <v>0</v>
      </c>
      <c r="M842" s="171">
        <v>1853050</v>
      </c>
      <c r="N842" s="171">
        <v>0</v>
      </c>
      <c r="P842" s="173">
        <f t="shared" si="13"/>
        <v>-1853050</v>
      </c>
      <c r="V842" s="163"/>
      <c r="W842" s="163"/>
    </row>
    <row r="843" spans="1:23" s="17" customFormat="1">
      <c r="A843" s="176"/>
      <c r="B843" s="120" t="s">
        <v>446</v>
      </c>
      <c r="C843" s="177">
        <v>2025</v>
      </c>
      <c r="D843" s="80" t="s">
        <v>4095</v>
      </c>
      <c r="E843" s="8" t="s">
        <v>6987</v>
      </c>
      <c r="F843" s="1">
        <v>0</v>
      </c>
      <c r="G843" s="170"/>
      <c r="H843" s="171">
        <v>0</v>
      </c>
      <c r="I843" s="172">
        <v>0</v>
      </c>
      <c r="J843" s="171">
        <v>0</v>
      </c>
      <c r="K843" s="171">
        <v>0</v>
      </c>
      <c r="L843" s="171">
        <v>0</v>
      </c>
      <c r="M843" s="171">
        <v>1916050</v>
      </c>
      <c r="N843" s="171">
        <v>0</v>
      </c>
      <c r="P843" s="173">
        <f t="shared" si="13"/>
        <v>-1916050</v>
      </c>
      <c r="V843" s="163"/>
      <c r="W843" s="163"/>
    </row>
    <row r="844" spans="1:23" s="17" customFormat="1">
      <c r="A844" s="176"/>
      <c r="B844" s="120" t="s">
        <v>446</v>
      </c>
      <c r="C844" s="177">
        <v>2025</v>
      </c>
      <c r="D844" s="80" t="s">
        <v>4095</v>
      </c>
      <c r="E844" s="8" t="s">
        <v>6988</v>
      </c>
      <c r="F844" s="1">
        <v>0</v>
      </c>
      <c r="G844" s="170"/>
      <c r="H844" s="171">
        <v>0</v>
      </c>
      <c r="I844" s="172">
        <v>0</v>
      </c>
      <c r="J844" s="171">
        <v>0</v>
      </c>
      <c r="K844" s="171">
        <v>0</v>
      </c>
      <c r="L844" s="171">
        <v>0</v>
      </c>
      <c r="M844" s="171">
        <v>575500</v>
      </c>
      <c r="N844" s="171">
        <v>0</v>
      </c>
      <c r="P844" s="173">
        <f t="shared" si="13"/>
        <v>-575500</v>
      </c>
      <c r="V844" s="163"/>
      <c r="W844" s="163"/>
    </row>
    <row r="845" spans="1:23" s="17" customFormat="1">
      <c r="A845" s="176"/>
      <c r="B845" s="120" t="s">
        <v>446</v>
      </c>
      <c r="C845" s="177">
        <v>2025</v>
      </c>
      <c r="D845" s="80" t="s">
        <v>4095</v>
      </c>
      <c r="E845" s="8" t="s">
        <v>6989</v>
      </c>
      <c r="F845" s="1">
        <v>0</v>
      </c>
      <c r="G845" s="170"/>
      <c r="H845" s="171">
        <v>0</v>
      </c>
      <c r="I845" s="172">
        <v>0</v>
      </c>
      <c r="J845" s="171">
        <v>0</v>
      </c>
      <c r="K845" s="171">
        <v>0</v>
      </c>
      <c r="L845" s="171">
        <v>0</v>
      </c>
      <c r="M845" s="171">
        <v>680781</v>
      </c>
      <c r="N845" s="171">
        <v>0</v>
      </c>
      <c r="P845" s="173">
        <f t="shared" si="13"/>
        <v>-680781</v>
      </c>
      <c r="V845" s="163"/>
      <c r="W845" s="163"/>
    </row>
    <row r="846" spans="1:23" s="17" customFormat="1">
      <c r="A846" s="176"/>
      <c r="B846" s="120" t="s">
        <v>446</v>
      </c>
      <c r="C846" s="177">
        <v>2025</v>
      </c>
      <c r="D846" s="80" t="s">
        <v>4096</v>
      </c>
      <c r="E846" s="8" t="s">
        <v>6991</v>
      </c>
      <c r="F846" s="1">
        <v>0</v>
      </c>
      <c r="G846" s="170"/>
      <c r="H846" s="171">
        <v>0</v>
      </c>
      <c r="I846" s="172">
        <v>0</v>
      </c>
      <c r="J846" s="171">
        <v>0</v>
      </c>
      <c r="K846" s="171">
        <v>0</v>
      </c>
      <c r="L846" s="171">
        <v>0</v>
      </c>
      <c r="M846" s="171">
        <v>713999</v>
      </c>
      <c r="N846" s="171">
        <v>0</v>
      </c>
      <c r="P846" s="173">
        <f t="shared" si="13"/>
        <v>-713999</v>
      </c>
      <c r="V846" s="163"/>
      <c r="W846" s="163"/>
    </row>
    <row r="847" spans="1:23" s="17" customFormat="1">
      <c r="A847" s="176"/>
      <c r="B847" s="120" t="s">
        <v>446</v>
      </c>
      <c r="C847" s="177">
        <v>2025</v>
      </c>
      <c r="D847" s="80" t="s">
        <v>4096</v>
      </c>
      <c r="E847" s="8" t="s">
        <v>6992</v>
      </c>
      <c r="F847" s="1">
        <v>0</v>
      </c>
      <c r="G847" s="170"/>
      <c r="H847" s="171">
        <v>0</v>
      </c>
      <c r="I847" s="172">
        <v>0</v>
      </c>
      <c r="J847" s="171">
        <v>0</v>
      </c>
      <c r="K847" s="171">
        <v>0</v>
      </c>
      <c r="L847" s="171">
        <v>0</v>
      </c>
      <c r="M847" s="171">
        <v>713999</v>
      </c>
      <c r="N847" s="171">
        <v>0</v>
      </c>
      <c r="P847" s="173">
        <f t="shared" si="13"/>
        <v>-713999</v>
      </c>
      <c r="V847" s="163"/>
      <c r="W847" s="163"/>
    </row>
    <row r="848" spans="1:23" s="17" customFormat="1">
      <c r="A848" s="176"/>
      <c r="B848" s="120" t="s">
        <v>446</v>
      </c>
      <c r="C848" s="177">
        <v>2025</v>
      </c>
      <c r="D848" s="80" t="s">
        <v>4092</v>
      </c>
      <c r="E848" s="8" t="s">
        <v>6993</v>
      </c>
      <c r="F848" s="1">
        <v>0</v>
      </c>
      <c r="G848" s="170"/>
      <c r="H848" s="171">
        <v>0</v>
      </c>
      <c r="I848" s="172">
        <v>0</v>
      </c>
      <c r="J848" s="171">
        <v>0</v>
      </c>
      <c r="K848" s="171">
        <v>0</v>
      </c>
      <c r="L848" s="171">
        <v>0</v>
      </c>
      <c r="M848" s="171">
        <v>609400</v>
      </c>
      <c r="N848" s="171">
        <v>0</v>
      </c>
      <c r="P848" s="173">
        <f t="shared" si="13"/>
        <v>-609400</v>
      </c>
      <c r="V848" s="163"/>
      <c r="W848" s="163"/>
    </row>
    <row r="849" spans="1:23" s="17" customFormat="1">
      <c r="A849" s="176"/>
      <c r="B849" s="120" t="s">
        <v>446</v>
      </c>
      <c r="C849" s="177">
        <v>2025</v>
      </c>
      <c r="D849" s="80" t="s">
        <v>4096</v>
      </c>
      <c r="E849" s="8" t="s">
        <v>6994</v>
      </c>
      <c r="F849" s="1">
        <v>0</v>
      </c>
      <c r="G849" s="170"/>
      <c r="H849" s="171">
        <v>0</v>
      </c>
      <c r="I849" s="172">
        <v>0</v>
      </c>
      <c r="J849" s="171">
        <v>0</v>
      </c>
      <c r="K849" s="171">
        <v>0</v>
      </c>
      <c r="L849" s="171">
        <v>0</v>
      </c>
      <c r="M849" s="171">
        <v>816529</v>
      </c>
      <c r="N849" s="171">
        <v>0</v>
      </c>
      <c r="P849" s="173">
        <f t="shared" si="13"/>
        <v>-816529</v>
      </c>
      <c r="V849" s="163"/>
      <c r="W849" s="163"/>
    </row>
    <row r="850" spans="1:23" s="17" customFormat="1">
      <c r="A850" s="176"/>
      <c r="B850" s="120" t="s">
        <v>446</v>
      </c>
      <c r="C850" s="177">
        <v>2025</v>
      </c>
      <c r="D850" s="80" t="s">
        <v>6101</v>
      </c>
      <c r="E850" s="8" t="s">
        <v>6995</v>
      </c>
      <c r="F850" s="1">
        <v>0</v>
      </c>
      <c r="G850" s="170"/>
      <c r="H850" s="171">
        <v>0</v>
      </c>
      <c r="I850" s="172">
        <v>0</v>
      </c>
      <c r="J850" s="171">
        <v>0</v>
      </c>
      <c r="K850" s="171">
        <v>0</v>
      </c>
      <c r="L850" s="171">
        <v>0</v>
      </c>
      <c r="M850" s="171">
        <v>1177500</v>
      </c>
      <c r="N850" s="171">
        <v>0</v>
      </c>
      <c r="P850" s="173">
        <f t="shared" si="13"/>
        <v>-1177500</v>
      </c>
      <c r="V850" s="163"/>
      <c r="W850" s="163"/>
    </row>
    <row r="851" spans="1:23" s="17" customFormat="1">
      <c r="A851" s="176"/>
      <c r="B851" s="120" t="s">
        <v>446</v>
      </c>
      <c r="C851" s="177">
        <v>2025</v>
      </c>
      <c r="D851" s="80" t="s">
        <v>6101</v>
      </c>
      <c r="E851" s="8" t="s">
        <v>6996</v>
      </c>
      <c r="F851" s="1">
        <v>0</v>
      </c>
      <c r="G851" s="170"/>
      <c r="H851" s="171">
        <v>0</v>
      </c>
      <c r="I851" s="172">
        <v>0</v>
      </c>
      <c r="J851" s="171">
        <v>0</v>
      </c>
      <c r="K851" s="171">
        <v>0</v>
      </c>
      <c r="L851" s="171">
        <v>0</v>
      </c>
      <c r="M851" s="171">
        <v>554160</v>
      </c>
      <c r="N851" s="171">
        <v>0</v>
      </c>
      <c r="P851" s="173">
        <f t="shared" si="13"/>
        <v>-554160</v>
      </c>
      <c r="V851" s="163"/>
      <c r="W851" s="163"/>
    </row>
    <row r="852" spans="1:23" s="17" customFormat="1">
      <c r="A852" s="176"/>
      <c r="B852" s="120" t="s">
        <v>446</v>
      </c>
      <c r="C852" s="177">
        <v>2025</v>
      </c>
      <c r="D852" s="80" t="s">
        <v>6101</v>
      </c>
      <c r="E852" s="8" t="s">
        <v>6997</v>
      </c>
      <c r="F852" s="1">
        <v>0</v>
      </c>
      <c r="G852" s="170"/>
      <c r="H852" s="171">
        <v>0</v>
      </c>
      <c r="I852" s="172">
        <v>0</v>
      </c>
      <c r="J852" s="171">
        <v>0</v>
      </c>
      <c r="K852" s="171">
        <v>0</v>
      </c>
      <c r="L852" s="171">
        <v>0</v>
      </c>
      <c r="M852" s="171">
        <v>554160</v>
      </c>
      <c r="N852" s="171">
        <v>0</v>
      </c>
      <c r="P852" s="173">
        <f t="shared" si="13"/>
        <v>-554160</v>
      </c>
      <c r="V852" s="163"/>
      <c r="W852" s="163"/>
    </row>
    <row r="853" spans="1:23" s="17" customFormat="1">
      <c r="A853" s="176"/>
      <c r="B853" s="120" t="s">
        <v>446</v>
      </c>
      <c r="C853" s="177">
        <v>2025</v>
      </c>
      <c r="D853" s="80" t="s">
        <v>6101</v>
      </c>
      <c r="E853" s="8" t="s">
        <v>6998</v>
      </c>
      <c r="F853" s="1">
        <v>0</v>
      </c>
      <c r="G853" s="170"/>
      <c r="H853" s="171">
        <v>0</v>
      </c>
      <c r="I853" s="172">
        <v>0</v>
      </c>
      <c r="J853" s="171">
        <v>0</v>
      </c>
      <c r="K853" s="171">
        <v>0</v>
      </c>
      <c r="L853" s="171">
        <v>0</v>
      </c>
      <c r="M853" s="171">
        <v>554160</v>
      </c>
      <c r="N853" s="171">
        <v>0</v>
      </c>
      <c r="P853" s="173">
        <f t="shared" si="13"/>
        <v>-554160</v>
      </c>
      <c r="V853" s="163"/>
      <c r="W853" s="163"/>
    </row>
    <row r="854" spans="1:23" s="17" customFormat="1">
      <c r="A854" s="176"/>
      <c r="B854" s="120" t="s">
        <v>446</v>
      </c>
      <c r="C854" s="177">
        <v>2025</v>
      </c>
      <c r="D854" s="80" t="s">
        <v>6101</v>
      </c>
      <c r="E854" s="8" t="s">
        <v>6999</v>
      </c>
      <c r="F854" s="1">
        <v>0</v>
      </c>
      <c r="G854" s="170"/>
      <c r="H854" s="171">
        <v>0</v>
      </c>
      <c r="I854" s="172">
        <v>0</v>
      </c>
      <c r="J854" s="171">
        <v>0</v>
      </c>
      <c r="K854" s="171">
        <v>0</v>
      </c>
      <c r="L854" s="171">
        <v>0</v>
      </c>
      <c r="M854" s="171">
        <v>554160</v>
      </c>
      <c r="N854" s="171">
        <v>0</v>
      </c>
      <c r="P854" s="173">
        <f t="shared" si="13"/>
        <v>-554160</v>
      </c>
      <c r="V854" s="163"/>
      <c r="W854" s="163"/>
    </row>
    <row r="855" spans="1:23" s="17" customFormat="1">
      <c r="A855" s="176"/>
      <c r="B855" s="120" t="s">
        <v>446</v>
      </c>
      <c r="C855" s="177">
        <v>2025</v>
      </c>
      <c r="D855" s="80" t="s">
        <v>6101</v>
      </c>
      <c r="E855" s="8" t="s">
        <v>7000</v>
      </c>
      <c r="F855" s="1">
        <v>0</v>
      </c>
      <c r="G855" s="170"/>
      <c r="H855" s="171">
        <v>0</v>
      </c>
      <c r="I855" s="172">
        <v>0</v>
      </c>
      <c r="J855" s="171">
        <v>0</v>
      </c>
      <c r="K855" s="171">
        <v>0</v>
      </c>
      <c r="L855" s="171">
        <v>0</v>
      </c>
      <c r="M855" s="171">
        <v>554160</v>
      </c>
      <c r="N855" s="171">
        <v>0</v>
      </c>
      <c r="P855" s="173">
        <f t="shared" si="13"/>
        <v>-554160</v>
      </c>
      <c r="V855" s="163"/>
      <c r="W855" s="163"/>
    </row>
    <row r="856" spans="1:23" s="17" customFormat="1">
      <c r="A856" s="176"/>
      <c r="B856" s="120" t="s">
        <v>446</v>
      </c>
      <c r="C856" s="177">
        <v>2025</v>
      </c>
      <c r="D856" s="80" t="s">
        <v>6472</v>
      </c>
      <c r="E856" s="8" t="s">
        <v>7001</v>
      </c>
      <c r="F856" s="1">
        <v>0</v>
      </c>
      <c r="G856" s="170"/>
      <c r="H856" s="171">
        <v>0</v>
      </c>
      <c r="I856" s="172">
        <v>0</v>
      </c>
      <c r="J856" s="171">
        <v>0</v>
      </c>
      <c r="K856" s="171">
        <v>0</v>
      </c>
      <c r="L856" s="171">
        <v>0</v>
      </c>
      <c r="M856" s="171">
        <v>632575</v>
      </c>
      <c r="N856" s="171">
        <v>0</v>
      </c>
      <c r="P856" s="173">
        <f t="shared" si="13"/>
        <v>-632575</v>
      </c>
      <c r="V856" s="163"/>
      <c r="W856" s="163"/>
    </row>
    <row r="857" spans="1:23" s="17" customFormat="1">
      <c r="A857" s="176"/>
      <c r="B857" s="120" t="s">
        <v>446</v>
      </c>
      <c r="C857" s="177">
        <v>2025</v>
      </c>
      <c r="D857" s="80" t="s">
        <v>4096</v>
      </c>
      <c r="E857" s="8" t="s">
        <v>7002</v>
      </c>
      <c r="F857" s="1">
        <v>0</v>
      </c>
      <c r="G857" s="170"/>
      <c r="H857" s="171">
        <v>0</v>
      </c>
      <c r="I857" s="172">
        <v>0</v>
      </c>
      <c r="J857" s="171">
        <v>0</v>
      </c>
      <c r="K857" s="171">
        <v>0</v>
      </c>
      <c r="L857" s="171">
        <v>0</v>
      </c>
      <c r="M857" s="171">
        <v>291433</v>
      </c>
      <c r="N857" s="171">
        <v>0</v>
      </c>
      <c r="P857" s="173">
        <f t="shared" si="13"/>
        <v>-291433</v>
      </c>
      <c r="V857" s="163"/>
      <c r="W857" s="163"/>
    </row>
    <row r="858" spans="1:23" s="17" customFormat="1">
      <c r="A858" s="176"/>
      <c r="B858" s="120" t="s">
        <v>446</v>
      </c>
      <c r="C858" s="177">
        <v>2025</v>
      </c>
      <c r="D858" s="80" t="s">
        <v>4096</v>
      </c>
      <c r="E858" s="8" t="s">
        <v>7003</v>
      </c>
      <c r="F858" s="1">
        <v>0</v>
      </c>
      <c r="G858" s="170"/>
      <c r="H858" s="171">
        <v>0</v>
      </c>
      <c r="I858" s="172">
        <v>0</v>
      </c>
      <c r="J858" s="171">
        <v>0</v>
      </c>
      <c r="K858" s="171">
        <v>0</v>
      </c>
      <c r="L858" s="171">
        <v>0</v>
      </c>
      <c r="M858" s="171">
        <v>669675</v>
      </c>
      <c r="N858" s="171">
        <v>0</v>
      </c>
      <c r="P858" s="173">
        <f t="shared" si="13"/>
        <v>-669675</v>
      </c>
      <c r="V858" s="163"/>
      <c r="W858" s="163"/>
    </row>
    <row r="859" spans="1:23" s="17" customFormat="1">
      <c r="A859" s="176"/>
      <c r="B859" s="120" t="s">
        <v>446</v>
      </c>
      <c r="C859" s="177">
        <v>2025</v>
      </c>
      <c r="D859" s="80" t="s">
        <v>4096</v>
      </c>
      <c r="E859" s="8" t="s">
        <v>7004</v>
      </c>
      <c r="F859" s="1">
        <v>0</v>
      </c>
      <c r="G859" s="170"/>
      <c r="H859" s="171">
        <v>0</v>
      </c>
      <c r="I859" s="172">
        <v>0</v>
      </c>
      <c r="J859" s="171">
        <v>0</v>
      </c>
      <c r="K859" s="171">
        <v>0</v>
      </c>
      <c r="L859" s="171">
        <v>0</v>
      </c>
      <c r="M859" s="171">
        <v>669675</v>
      </c>
      <c r="N859" s="171">
        <v>0</v>
      </c>
      <c r="P859" s="173">
        <f t="shared" si="13"/>
        <v>-669675</v>
      </c>
      <c r="V859" s="163"/>
      <c r="W859" s="163"/>
    </row>
    <row r="860" spans="1:23" s="17" customFormat="1">
      <c r="A860" s="176"/>
      <c r="B860" s="120" t="s">
        <v>446</v>
      </c>
      <c r="C860" s="177">
        <v>2025</v>
      </c>
      <c r="D860" s="80" t="s">
        <v>4096</v>
      </c>
      <c r="E860" s="8" t="s">
        <v>7005</v>
      </c>
      <c r="F860" s="1">
        <v>0</v>
      </c>
      <c r="G860" s="170"/>
      <c r="H860" s="171">
        <v>0</v>
      </c>
      <c r="I860" s="172">
        <v>0</v>
      </c>
      <c r="J860" s="171">
        <v>0</v>
      </c>
      <c r="K860" s="171">
        <v>0</v>
      </c>
      <c r="L860" s="171">
        <v>0</v>
      </c>
      <c r="M860" s="171">
        <v>1539659</v>
      </c>
      <c r="N860" s="171">
        <v>0</v>
      </c>
      <c r="P860" s="173">
        <f t="shared" si="13"/>
        <v>-1539659</v>
      </c>
      <c r="V860" s="163"/>
      <c r="W860" s="163"/>
    </row>
    <row r="861" spans="1:23" s="17" customFormat="1">
      <c r="A861" s="176"/>
      <c r="B861" s="120" t="s">
        <v>446</v>
      </c>
      <c r="C861" s="177">
        <v>2025</v>
      </c>
      <c r="D861" s="80" t="s">
        <v>4096</v>
      </c>
      <c r="E861" s="8" t="s">
        <v>7006</v>
      </c>
      <c r="F861" s="1">
        <v>0</v>
      </c>
      <c r="G861" s="170"/>
      <c r="H861" s="171">
        <v>0</v>
      </c>
      <c r="I861" s="172">
        <v>0</v>
      </c>
      <c r="J861" s="171">
        <v>0</v>
      </c>
      <c r="K861" s="171">
        <v>0</v>
      </c>
      <c r="L861" s="171">
        <v>0</v>
      </c>
      <c r="M861" s="171">
        <v>1746814</v>
      </c>
      <c r="N861" s="171">
        <v>0</v>
      </c>
      <c r="P861" s="173">
        <f t="shared" si="13"/>
        <v>-1746814</v>
      </c>
      <c r="V861" s="163"/>
      <c r="W861" s="163"/>
    </row>
    <row r="862" spans="1:23" s="17" customFormat="1">
      <c r="A862" s="176"/>
      <c r="B862" s="120" t="s">
        <v>446</v>
      </c>
      <c r="C862" s="177">
        <v>2025</v>
      </c>
      <c r="D862" s="80" t="s">
        <v>4096</v>
      </c>
      <c r="E862" s="8" t="s">
        <v>7007</v>
      </c>
      <c r="F862" s="1">
        <v>0</v>
      </c>
      <c r="G862" s="170"/>
      <c r="H862" s="171">
        <v>0</v>
      </c>
      <c r="I862" s="172">
        <v>0</v>
      </c>
      <c r="J862" s="171">
        <v>0</v>
      </c>
      <c r="K862" s="171">
        <v>0</v>
      </c>
      <c r="L862" s="171">
        <v>0</v>
      </c>
      <c r="M862" s="171">
        <v>959687</v>
      </c>
      <c r="N862" s="171">
        <v>0</v>
      </c>
      <c r="P862" s="173">
        <f t="shared" si="13"/>
        <v>-959687</v>
      </c>
      <c r="V862" s="163"/>
      <c r="W862" s="163"/>
    </row>
    <row r="863" spans="1:23" s="17" customFormat="1">
      <c r="A863" s="176"/>
      <c r="B863" s="120" t="s">
        <v>446</v>
      </c>
      <c r="C863" s="177">
        <v>2025</v>
      </c>
      <c r="D863" s="80" t="s">
        <v>6101</v>
      </c>
      <c r="E863" s="8" t="s">
        <v>7008</v>
      </c>
      <c r="F863" s="1">
        <v>0</v>
      </c>
      <c r="G863" s="170"/>
      <c r="H863" s="171">
        <v>0</v>
      </c>
      <c r="I863" s="172">
        <v>0</v>
      </c>
      <c r="J863" s="171">
        <v>0</v>
      </c>
      <c r="K863" s="171">
        <v>0</v>
      </c>
      <c r="L863" s="171">
        <v>0</v>
      </c>
      <c r="M863" s="171">
        <v>1177500</v>
      </c>
      <c r="N863" s="171">
        <v>0</v>
      </c>
      <c r="P863" s="173">
        <f t="shared" si="13"/>
        <v>-1177500</v>
      </c>
      <c r="V863" s="163"/>
      <c r="W863" s="163"/>
    </row>
    <row r="864" spans="1:23" s="17" customFormat="1">
      <c r="A864" s="176"/>
      <c r="B864" s="120" t="s">
        <v>446</v>
      </c>
      <c r="C864" s="177">
        <v>2025</v>
      </c>
      <c r="D864" s="80" t="s">
        <v>6101</v>
      </c>
      <c r="E864" s="8" t="s">
        <v>7009</v>
      </c>
      <c r="F864" s="1">
        <v>0</v>
      </c>
      <c r="G864" s="170"/>
      <c r="H864" s="171">
        <v>0</v>
      </c>
      <c r="I864" s="172">
        <v>0</v>
      </c>
      <c r="J864" s="171">
        <v>0</v>
      </c>
      <c r="K864" s="171">
        <v>0</v>
      </c>
      <c r="L864" s="171">
        <v>0</v>
      </c>
      <c r="M864" s="171">
        <v>1177500</v>
      </c>
      <c r="N864" s="171">
        <v>0</v>
      </c>
      <c r="P864" s="173">
        <f t="shared" si="13"/>
        <v>-1177500</v>
      </c>
      <c r="V864" s="163"/>
      <c r="W864" s="163"/>
    </row>
    <row r="865" spans="1:23" s="17" customFormat="1">
      <c r="A865" s="176"/>
      <c r="B865" s="120" t="s">
        <v>446</v>
      </c>
      <c r="C865" s="177">
        <v>2025</v>
      </c>
      <c r="D865" s="80" t="s">
        <v>6101</v>
      </c>
      <c r="E865" s="8" t="s">
        <v>7010</v>
      </c>
      <c r="F865" s="1">
        <v>0</v>
      </c>
      <c r="G865" s="170"/>
      <c r="H865" s="171">
        <v>0</v>
      </c>
      <c r="I865" s="172">
        <v>0</v>
      </c>
      <c r="J865" s="171">
        <v>0</v>
      </c>
      <c r="K865" s="171">
        <v>0</v>
      </c>
      <c r="L865" s="171">
        <v>0</v>
      </c>
      <c r="M865" s="171">
        <v>1177500</v>
      </c>
      <c r="N865" s="171">
        <v>0</v>
      </c>
      <c r="P865" s="173">
        <f t="shared" si="13"/>
        <v>-1177500</v>
      </c>
      <c r="V865" s="163"/>
      <c r="W865" s="163"/>
    </row>
    <row r="866" spans="1:23" s="17" customFormat="1">
      <c r="A866" s="176"/>
      <c r="B866" s="120" t="s">
        <v>446</v>
      </c>
      <c r="C866" s="177">
        <v>2025</v>
      </c>
      <c r="D866" s="80" t="s">
        <v>4093</v>
      </c>
      <c r="E866" s="8" t="s">
        <v>7023</v>
      </c>
      <c r="F866" s="1">
        <v>0</v>
      </c>
      <c r="G866" s="170"/>
      <c r="H866" s="171">
        <v>0</v>
      </c>
      <c r="I866" s="172">
        <v>0</v>
      </c>
      <c r="J866" s="171">
        <v>0</v>
      </c>
      <c r="K866" s="171">
        <v>0</v>
      </c>
      <c r="L866" s="171">
        <v>0</v>
      </c>
      <c r="M866" s="171">
        <v>723800</v>
      </c>
      <c r="N866" s="171">
        <v>0</v>
      </c>
      <c r="P866" s="173">
        <f t="shared" si="13"/>
        <v>-723800</v>
      </c>
      <c r="V866" s="163"/>
      <c r="W866" s="163"/>
    </row>
    <row r="867" spans="1:23" s="17" customFormat="1">
      <c r="A867" s="176"/>
      <c r="B867" s="120" t="s">
        <v>446</v>
      </c>
      <c r="C867" s="177">
        <v>2025</v>
      </c>
      <c r="D867" s="80" t="s">
        <v>3475</v>
      </c>
      <c r="E867" s="8" t="s">
        <v>7012</v>
      </c>
      <c r="F867" s="1">
        <v>0</v>
      </c>
      <c r="G867" s="170"/>
      <c r="H867" s="171">
        <v>0</v>
      </c>
      <c r="I867" s="172">
        <v>0</v>
      </c>
      <c r="J867" s="171">
        <v>0</v>
      </c>
      <c r="K867" s="171">
        <v>0</v>
      </c>
      <c r="L867" s="171">
        <v>0</v>
      </c>
      <c r="M867" s="171">
        <v>1384880</v>
      </c>
      <c r="N867" s="171">
        <v>0</v>
      </c>
      <c r="P867" s="173">
        <f t="shared" si="13"/>
        <v>-1384880</v>
      </c>
      <c r="V867" s="163"/>
      <c r="W867" s="163"/>
    </row>
    <row r="868" spans="1:23" s="17" customFormat="1">
      <c r="A868" s="176"/>
      <c r="B868" s="120" t="s">
        <v>446</v>
      </c>
      <c r="C868" s="177">
        <v>2025</v>
      </c>
      <c r="D868" s="80" t="s">
        <v>6472</v>
      </c>
      <c r="E868" s="8" t="s">
        <v>7013</v>
      </c>
      <c r="F868" s="1">
        <v>0</v>
      </c>
      <c r="G868" s="170"/>
      <c r="H868" s="171">
        <v>0</v>
      </c>
      <c r="I868" s="172">
        <v>0</v>
      </c>
      <c r="J868" s="171">
        <v>0</v>
      </c>
      <c r="K868" s="171">
        <v>0</v>
      </c>
      <c r="L868" s="171">
        <v>0</v>
      </c>
      <c r="M868" s="171">
        <v>959687</v>
      </c>
      <c r="N868" s="171">
        <v>0</v>
      </c>
      <c r="P868" s="173">
        <f t="shared" si="13"/>
        <v>-959687</v>
      </c>
      <c r="V868" s="163"/>
      <c r="W868" s="163"/>
    </row>
    <row r="869" spans="1:23" s="17" customFormat="1">
      <c r="A869" s="176"/>
      <c r="B869" s="120" t="s">
        <v>446</v>
      </c>
      <c r="C869" s="177">
        <v>2025</v>
      </c>
      <c r="D869" s="80" t="s">
        <v>6472</v>
      </c>
      <c r="E869" s="8" t="s">
        <v>7014</v>
      </c>
      <c r="F869" s="1">
        <v>0</v>
      </c>
      <c r="G869" s="170"/>
      <c r="H869" s="171">
        <v>0</v>
      </c>
      <c r="I869" s="172">
        <v>0</v>
      </c>
      <c r="J869" s="171">
        <v>0</v>
      </c>
      <c r="K869" s="171">
        <v>0</v>
      </c>
      <c r="L869" s="171">
        <v>0</v>
      </c>
      <c r="M869" s="171">
        <v>339718</v>
      </c>
      <c r="N869" s="171">
        <v>0</v>
      </c>
      <c r="P869" s="173">
        <f t="shared" si="13"/>
        <v>-339718</v>
      </c>
      <c r="V869" s="163"/>
      <c r="W869" s="163"/>
    </row>
    <row r="870" spans="1:23" s="17" customFormat="1">
      <c r="A870" s="176"/>
      <c r="B870" s="120" t="s">
        <v>446</v>
      </c>
      <c r="C870" s="177">
        <v>2025</v>
      </c>
      <c r="D870" s="80" t="s">
        <v>6472</v>
      </c>
      <c r="E870" s="8" t="s">
        <v>7015</v>
      </c>
      <c r="F870" s="1">
        <v>0</v>
      </c>
      <c r="G870" s="170"/>
      <c r="H870" s="171">
        <v>0</v>
      </c>
      <c r="I870" s="172">
        <v>0</v>
      </c>
      <c r="J870" s="171">
        <v>0</v>
      </c>
      <c r="K870" s="171">
        <v>0</v>
      </c>
      <c r="L870" s="171">
        <v>0</v>
      </c>
      <c r="M870" s="171">
        <v>291433</v>
      </c>
      <c r="N870" s="171">
        <v>0</v>
      </c>
      <c r="P870" s="173">
        <f t="shared" si="13"/>
        <v>-291433</v>
      </c>
      <c r="V870" s="163"/>
      <c r="W870" s="163"/>
    </row>
    <row r="871" spans="1:23" s="17" customFormat="1">
      <c r="A871" s="176"/>
      <c r="B871" s="120" t="s">
        <v>446</v>
      </c>
      <c r="C871" s="177">
        <v>2025</v>
      </c>
      <c r="D871" s="80" t="s">
        <v>6472</v>
      </c>
      <c r="E871" s="8" t="s">
        <v>7016</v>
      </c>
      <c r="F871" s="1">
        <v>0</v>
      </c>
      <c r="G871" s="170"/>
      <c r="H871" s="171">
        <v>0</v>
      </c>
      <c r="I871" s="172">
        <v>0</v>
      </c>
      <c r="J871" s="171">
        <v>0</v>
      </c>
      <c r="K871" s="171">
        <v>0</v>
      </c>
      <c r="L871" s="171">
        <v>0</v>
      </c>
      <c r="M871" s="171">
        <v>959687</v>
      </c>
      <c r="N871" s="171">
        <v>0</v>
      </c>
      <c r="P871" s="173">
        <f t="shared" si="13"/>
        <v>-959687</v>
      </c>
      <c r="V871" s="163"/>
      <c r="W871" s="163"/>
    </row>
    <row r="872" spans="1:23" s="17" customFormat="1">
      <c r="A872" s="176"/>
      <c r="B872" s="120" t="s">
        <v>446</v>
      </c>
      <c r="C872" s="177">
        <v>2025</v>
      </c>
      <c r="D872" s="80" t="s">
        <v>6472</v>
      </c>
      <c r="E872" s="8" t="s">
        <v>7017</v>
      </c>
      <c r="F872" s="1">
        <v>0</v>
      </c>
      <c r="G872" s="170"/>
      <c r="H872" s="171">
        <v>0</v>
      </c>
      <c r="I872" s="172">
        <v>0</v>
      </c>
      <c r="J872" s="171">
        <v>0</v>
      </c>
      <c r="K872" s="171">
        <v>0</v>
      </c>
      <c r="L872" s="171">
        <v>0</v>
      </c>
      <c r="M872" s="171">
        <v>339718</v>
      </c>
      <c r="N872" s="171">
        <v>0</v>
      </c>
      <c r="P872" s="173">
        <f t="shared" si="13"/>
        <v>-339718</v>
      </c>
      <c r="V872" s="163"/>
      <c r="W872" s="163"/>
    </row>
    <row r="873" spans="1:23" s="17" customFormat="1">
      <c r="A873" s="176"/>
      <c r="B873" s="120" t="s">
        <v>446</v>
      </c>
      <c r="C873" s="177">
        <v>2025</v>
      </c>
      <c r="D873" s="80" t="s">
        <v>6472</v>
      </c>
      <c r="E873" s="8" t="s">
        <v>7018</v>
      </c>
      <c r="F873" s="1">
        <v>0</v>
      </c>
      <c r="G873" s="170"/>
      <c r="H873" s="171">
        <v>0</v>
      </c>
      <c r="I873" s="172">
        <v>0</v>
      </c>
      <c r="J873" s="171">
        <v>0</v>
      </c>
      <c r="K873" s="171">
        <v>0</v>
      </c>
      <c r="L873" s="171">
        <v>0</v>
      </c>
      <c r="M873" s="171">
        <v>291433</v>
      </c>
      <c r="N873" s="171">
        <v>0</v>
      </c>
      <c r="P873" s="173">
        <f t="shared" si="13"/>
        <v>-291433</v>
      </c>
      <c r="V873" s="163"/>
      <c r="W873" s="163"/>
    </row>
    <row r="874" spans="1:23" s="17" customFormat="1">
      <c r="A874" s="176"/>
      <c r="B874" s="120" t="s">
        <v>446</v>
      </c>
      <c r="C874" s="177">
        <v>2025</v>
      </c>
      <c r="D874" s="80" t="s">
        <v>7821</v>
      </c>
      <c r="E874" s="8" t="s">
        <v>7820</v>
      </c>
      <c r="F874" s="1">
        <v>0</v>
      </c>
      <c r="G874" s="170"/>
      <c r="H874" s="171">
        <v>0</v>
      </c>
      <c r="I874" s="172">
        <v>0</v>
      </c>
      <c r="J874" s="171">
        <v>0</v>
      </c>
      <c r="K874" s="171">
        <v>0</v>
      </c>
      <c r="L874" s="171">
        <v>0</v>
      </c>
      <c r="M874" s="171">
        <v>-17423286</v>
      </c>
      <c r="N874" s="171">
        <v>0</v>
      </c>
      <c r="P874" s="173">
        <f t="shared" si="13"/>
        <v>17423286</v>
      </c>
      <c r="V874" s="163"/>
      <c r="W874" s="163"/>
    </row>
    <row r="875" spans="1:23" s="17" customFormat="1">
      <c r="A875" s="176"/>
      <c r="B875" s="120" t="s">
        <v>446</v>
      </c>
      <c r="C875" s="177">
        <v>2025</v>
      </c>
      <c r="D875" s="80" t="s">
        <v>7821</v>
      </c>
      <c r="E875" s="8" t="s">
        <v>7822</v>
      </c>
      <c r="F875" s="1">
        <v>0</v>
      </c>
      <c r="G875" s="170"/>
      <c r="H875" s="171">
        <v>0</v>
      </c>
      <c r="I875" s="172">
        <v>0</v>
      </c>
      <c r="J875" s="171">
        <v>0</v>
      </c>
      <c r="K875" s="171">
        <v>0</v>
      </c>
      <c r="L875" s="171">
        <v>0</v>
      </c>
      <c r="M875" s="171">
        <v>-2857143</v>
      </c>
      <c r="N875" s="171">
        <v>0</v>
      </c>
      <c r="P875" s="173">
        <f t="shared" si="13"/>
        <v>2857143</v>
      </c>
      <c r="V875" s="163"/>
      <c r="W875" s="163"/>
    </row>
    <row r="876" spans="1:23" s="17" customFormat="1">
      <c r="A876" s="168"/>
      <c r="B876" s="37" t="s">
        <v>93</v>
      </c>
      <c r="C876" s="35" t="s">
        <v>26</v>
      </c>
      <c r="D876" s="40" t="s">
        <v>12</v>
      </c>
      <c r="E876" s="40" t="s">
        <v>5745</v>
      </c>
      <c r="F876" s="39">
        <v>271000</v>
      </c>
      <c r="G876" s="170"/>
      <c r="H876" s="171">
        <v>0</v>
      </c>
      <c r="I876" s="172">
        <v>271000</v>
      </c>
      <c r="J876" s="171">
        <v>0</v>
      </c>
      <c r="K876" s="171">
        <v>0</v>
      </c>
      <c r="L876" s="171">
        <v>0</v>
      </c>
      <c r="M876" s="171">
        <v>0</v>
      </c>
      <c r="N876" s="171">
        <v>0</v>
      </c>
      <c r="P876" s="173">
        <f t="shared" si="13"/>
        <v>0</v>
      </c>
      <c r="V876" s="163"/>
      <c r="W876" s="163"/>
    </row>
    <row r="877" spans="1:23" s="17" customFormat="1">
      <c r="A877" s="168"/>
      <c r="B877" s="37" t="s">
        <v>93</v>
      </c>
      <c r="C877" s="35" t="s">
        <v>26</v>
      </c>
      <c r="D877" s="40" t="s">
        <v>25</v>
      </c>
      <c r="E877" s="40" t="s">
        <v>6533</v>
      </c>
      <c r="F877" s="39">
        <v>0</v>
      </c>
      <c r="G877" s="170"/>
      <c r="H877" s="171">
        <v>-1385000000</v>
      </c>
      <c r="I877" s="172">
        <v>0</v>
      </c>
      <c r="J877" s="171">
        <v>0</v>
      </c>
      <c r="K877" s="171">
        <v>0</v>
      </c>
      <c r="L877" s="171">
        <v>0</v>
      </c>
      <c r="M877" s="171">
        <v>0</v>
      </c>
      <c r="N877" s="171">
        <v>0</v>
      </c>
      <c r="P877" s="173">
        <f t="shared" si="13"/>
        <v>1385000000</v>
      </c>
      <c r="V877" s="163"/>
      <c r="W877" s="163"/>
    </row>
    <row r="878" spans="1:23" s="17" customFormat="1">
      <c r="A878" s="168"/>
      <c r="B878" s="37" t="s">
        <v>94</v>
      </c>
      <c r="C878" s="35" t="s">
        <v>447</v>
      </c>
      <c r="D878" s="17" t="s">
        <v>2168</v>
      </c>
      <c r="E878" s="17" t="s">
        <v>26</v>
      </c>
      <c r="F878" s="174">
        <v>261800</v>
      </c>
      <c r="G878" s="170"/>
      <c r="H878" s="171">
        <v>0</v>
      </c>
      <c r="I878" s="172">
        <v>0</v>
      </c>
      <c r="J878" s="171">
        <v>0</v>
      </c>
      <c r="K878" s="171">
        <v>0</v>
      </c>
      <c r="L878" s="171">
        <v>0</v>
      </c>
      <c r="M878" s="171">
        <v>261800</v>
      </c>
      <c r="N878" s="171">
        <v>0</v>
      </c>
      <c r="P878" s="173">
        <f t="shared" ref="P878:P885" si="14">F878-H878-I878-J878-K878-L878-M878-N878</f>
        <v>0</v>
      </c>
      <c r="V878" s="163"/>
      <c r="W878" s="163"/>
    </row>
    <row r="879" spans="1:23" s="17" customFormat="1">
      <c r="A879" s="168"/>
      <c r="B879" s="37" t="s">
        <v>94</v>
      </c>
      <c r="C879" s="35" t="s">
        <v>447</v>
      </c>
      <c r="D879" s="17" t="s">
        <v>2169</v>
      </c>
      <c r="E879" s="17" t="s">
        <v>26</v>
      </c>
      <c r="F879" s="174">
        <v>3870257</v>
      </c>
      <c r="G879" s="170"/>
      <c r="H879" s="171">
        <v>0</v>
      </c>
      <c r="I879" s="172">
        <v>0</v>
      </c>
      <c r="J879" s="171">
        <v>-1981982</v>
      </c>
      <c r="K879" s="171">
        <v>0</v>
      </c>
      <c r="L879" s="171">
        <v>0</v>
      </c>
      <c r="M879" s="171">
        <v>0</v>
      </c>
      <c r="N879" s="171">
        <v>0</v>
      </c>
      <c r="P879" s="173">
        <f t="shared" si="14"/>
        <v>5852239</v>
      </c>
      <c r="V879" s="163"/>
      <c r="W879" s="163"/>
    </row>
    <row r="880" spans="1:23" s="17" customFormat="1">
      <c r="A880" s="168"/>
      <c r="B880" s="37" t="s">
        <v>94</v>
      </c>
      <c r="C880" s="35" t="s">
        <v>5980</v>
      </c>
      <c r="D880" s="17" t="s">
        <v>2171</v>
      </c>
      <c r="E880" s="17" t="s">
        <v>2172</v>
      </c>
      <c r="F880" s="174">
        <v>29068615</v>
      </c>
      <c r="G880" s="170"/>
      <c r="H880" s="171">
        <v>0</v>
      </c>
      <c r="I880" s="172">
        <v>0</v>
      </c>
      <c r="J880" s="171">
        <v>0</v>
      </c>
      <c r="K880" s="171">
        <v>0</v>
      </c>
      <c r="L880" s="171">
        <v>0</v>
      </c>
      <c r="M880" s="171">
        <v>29068615</v>
      </c>
      <c r="N880" s="171">
        <v>0</v>
      </c>
      <c r="P880" s="173">
        <f t="shared" si="14"/>
        <v>0</v>
      </c>
      <c r="V880" s="163"/>
      <c r="W880" s="163"/>
    </row>
    <row r="881" spans="1:23" s="17" customFormat="1">
      <c r="A881" s="168"/>
      <c r="B881" s="37" t="s">
        <v>94</v>
      </c>
      <c r="C881" s="35" t="s">
        <v>5980</v>
      </c>
      <c r="D881" s="17" t="s">
        <v>2173</v>
      </c>
      <c r="E881" s="17" t="s">
        <v>2172</v>
      </c>
      <c r="F881" s="174">
        <v>109953796</v>
      </c>
      <c r="G881" s="170"/>
      <c r="H881" s="171">
        <v>0</v>
      </c>
      <c r="I881" s="172">
        <v>0</v>
      </c>
      <c r="J881" s="171">
        <v>0</v>
      </c>
      <c r="K881" s="171">
        <v>0</v>
      </c>
      <c r="L881" s="171">
        <v>0</v>
      </c>
      <c r="M881" s="171">
        <v>109953796</v>
      </c>
      <c r="N881" s="171">
        <v>0</v>
      </c>
      <c r="P881" s="173">
        <f t="shared" si="14"/>
        <v>0</v>
      </c>
      <c r="V881" s="163"/>
      <c r="W881" s="163"/>
    </row>
    <row r="882" spans="1:23" s="17" customFormat="1">
      <c r="A882" s="168"/>
      <c r="B882" s="37" t="s">
        <v>94</v>
      </c>
      <c r="C882" s="35" t="s">
        <v>5980</v>
      </c>
      <c r="D882" s="17" t="s">
        <v>2174</v>
      </c>
      <c r="E882" s="17" t="s">
        <v>2172</v>
      </c>
      <c r="F882" s="174">
        <v>773186182</v>
      </c>
      <c r="G882" s="170"/>
      <c r="H882" s="171">
        <v>0</v>
      </c>
      <c r="I882" s="172">
        <v>0</v>
      </c>
      <c r="J882" s="171">
        <v>0</v>
      </c>
      <c r="K882" s="171">
        <v>0</v>
      </c>
      <c r="L882" s="171">
        <v>0</v>
      </c>
      <c r="M882" s="171">
        <v>773186182</v>
      </c>
      <c r="N882" s="171">
        <v>0</v>
      </c>
      <c r="P882" s="173">
        <f t="shared" si="14"/>
        <v>0</v>
      </c>
      <c r="V882" s="163"/>
      <c r="W882" s="163"/>
    </row>
    <row r="883" spans="1:23" s="17" customFormat="1">
      <c r="A883" s="168"/>
      <c r="B883" s="37" t="s">
        <v>94</v>
      </c>
      <c r="C883" s="35" t="s">
        <v>5980</v>
      </c>
      <c r="D883" s="17" t="s">
        <v>5982</v>
      </c>
      <c r="E883" s="17" t="s">
        <v>26</v>
      </c>
      <c r="F883" s="174">
        <v>0</v>
      </c>
      <c r="G883" s="170"/>
      <c r="H883" s="171">
        <v>0</v>
      </c>
      <c r="I883" s="172">
        <v>0</v>
      </c>
      <c r="J883" s="171">
        <v>0</v>
      </c>
      <c r="K883" s="171">
        <v>0</v>
      </c>
      <c r="L883" s="171">
        <v>0</v>
      </c>
      <c r="M883" s="171">
        <v>-661753441</v>
      </c>
      <c r="N883" s="171">
        <v>0</v>
      </c>
      <c r="P883" s="173">
        <f t="shared" si="14"/>
        <v>661753441</v>
      </c>
      <c r="V883" s="163"/>
      <c r="W883" s="163"/>
    </row>
    <row r="884" spans="1:23" s="17" customFormat="1">
      <c r="A884" s="168"/>
      <c r="B884" s="37" t="s">
        <v>94</v>
      </c>
      <c r="C884" s="35" t="s">
        <v>5980</v>
      </c>
      <c r="D884" s="17" t="s">
        <v>2175</v>
      </c>
      <c r="E884" s="17" t="s">
        <v>2176</v>
      </c>
      <c r="F884" s="174">
        <v>1721836</v>
      </c>
      <c r="G884" s="170"/>
      <c r="H884" s="171">
        <v>0</v>
      </c>
      <c r="I884" s="172">
        <v>0</v>
      </c>
      <c r="J884" s="171">
        <v>0</v>
      </c>
      <c r="K884" s="171">
        <v>0</v>
      </c>
      <c r="L884" s="171">
        <v>0</v>
      </c>
      <c r="M884" s="171">
        <v>1721836</v>
      </c>
      <c r="N884" s="171">
        <v>0</v>
      </c>
      <c r="P884" s="173">
        <f t="shared" si="14"/>
        <v>0</v>
      </c>
      <c r="V884" s="163"/>
      <c r="W884" s="163"/>
    </row>
    <row r="885" spans="1:23" s="17" customFormat="1">
      <c r="A885" s="168"/>
      <c r="B885" s="37" t="s">
        <v>94</v>
      </c>
      <c r="C885" s="35" t="s">
        <v>2170</v>
      </c>
      <c r="D885" s="17" t="s">
        <v>2177</v>
      </c>
      <c r="E885" s="17" t="s">
        <v>2178</v>
      </c>
      <c r="F885" s="174">
        <v>2701801</v>
      </c>
      <c r="G885" s="170"/>
      <c r="H885" s="171">
        <v>0</v>
      </c>
      <c r="I885" s="172">
        <v>0</v>
      </c>
      <c r="J885" s="171">
        <v>0</v>
      </c>
      <c r="K885" s="171">
        <v>0</v>
      </c>
      <c r="L885" s="171">
        <v>0</v>
      </c>
      <c r="M885" s="171">
        <v>0</v>
      </c>
      <c r="N885" s="171">
        <v>0</v>
      </c>
      <c r="P885" s="173">
        <f t="shared" si="14"/>
        <v>2701801</v>
      </c>
      <c r="V885" s="163"/>
      <c r="W885" s="163"/>
    </row>
    <row r="886" spans="1:23" s="17" customFormat="1">
      <c r="A886" s="168"/>
      <c r="B886" s="37" t="s">
        <v>99</v>
      </c>
      <c r="C886" s="35" t="s">
        <v>6378</v>
      </c>
      <c r="D886" s="37" t="s">
        <v>2179</v>
      </c>
      <c r="E886" s="205" t="s">
        <v>2180</v>
      </c>
      <c r="F886" s="179">
        <v>20094957</v>
      </c>
      <c r="G886" s="181" t="s">
        <v>26</v>
      </c>
      <c r="H886" s="171">
        <v>0</v>
      </c>
      <c r="I886" s="172">
        <v>0</v>
      </c>
      <c r="J886" s="171">
        <v>20094957</v>
      </c>
      <c r="K886" s="171">
        <v>0</v>
      </c>
      <c r="L886" s="171">
        <v>0</v>
      </c>
      <c r="M886" s="171">
        <v>0</v>
      </c>
      <c r="N886" s="171">
        <v>0</v>
      </c>
      <c r="P886" s="173">
        <f t="shared" ref="P886:P917" si="15">F886-H886-I886-J886-K886-L886-M886</f>
        <v>0</v>
      </c>
      <c r="V886" s="163"/>
      <c r="W886" s="163"/>
    </row>
    <row r="887" spans="1:23" s="17" customFormat="1">
      <c r="A887" s="168"/>
      <c r="B887" s="37" t="s">
        <v>99</v>
      </c>
      <c r="C887" s="35" t="s">
        <v>6378</v>
      </c>
      <c r="D887" s="37" t="s">
        <v>2179</v>
      </c>
      <c r="E887" s="205" t="s">
        <v>6379</v>
      </c>
      <c r="F887" s="179">
        <v>101246448.40000001</v>
      </c>
      <c r="G887" s="181" t="s">
        <v>26</v>
      </c>
      <c r="H887" s="171">
        <v>0</v>
      </c>
      <c r="I887" s="172">
        <v>0</v>
      </c>
      <c r="J887" s="171">
        <v>101246448.40000001</v>
      </c>
      <c r="K887" s="171">
        <v>0</v>
      </c>
      <c r="L887" s="171">
        <v>0</v>
      </c>
      <c r="M887" s="171">
        <v>0</v>
      </c>
      <c r="N887" s="171">
        <v>0</v>
      </c>
      <c r="P887" s="173">
        <f t="shared" si="15"/>
        <v>0</v>
      </c>
      <c r="V887" s="163"/>
      <c r="W887" s="163"/>
    </row>
    <row r="888" spans="1:23" s="17" customFormat="1">
      <c r="A888" s="168"/>
      <c r="B888" s="37" t="s">
        <v>99</v>
      </c>
      <c r="C888" s="35" t="s">
        <v>7024</v>
      </c>
      <c r="D888" s="37" t="s">
        <v>2179</v>
      </c>
      <c r="E888" s="205" t="s">
        <v>7025</v>
      </c>
      <c r="F888" s="179">
        <v>0</v>
      </c>
      <c r="G888" s="181" t="s">
        <v>26</v>
      </c>
      <c r="H888" s="171">
        <v>0</v>
      </c>
      <c r="I888" s="172">
        <v>0</v>
      </c>
      <c r="J888" s="171">
        <v>0</v>
      </c>
      <c r="K888" s="171">
        <v>0</v>
      </c>
      <c r="L888" s="171">
        <v>0</v>
      </c>
      <c r="M888" s="171">
        <v>-191526878</v>
      </c>
      <c r="N888" s="171">
        <v>0</v>
      </c>
      <c r="P888" s="173">
        <f t="shared" si="15"/>
        <v>191526878</v>
      </c>
      <c r="V888" s="163"/>
      <c r="W888" s="163"/>
    </row>
    <row r="889" spans="1:23" s="17" customFormat="1">
      <c r="A889" s="168"/>
      <c r="B889" s="37" t="s">
        <v>99</v>
      </c>
      <c r="C889" s="35" t="s">
        <v>7024</v>
      </c>
      <c r="D889" s="37" t="s">
        <v>7755</v>
      </c>
      <c r="E889" s="205" t="s">
        <v>7134</v>
      </c>
      <c r="F889" s="179">
        <v>0</v>
      </c>
      <c r="G889" s="181" t="s">
        <v>26</v>
      </c>
      <c r="H889" s="171">
        <v>0</v>
      </c>
      <c r="I889" s="172">
        <v>0</v>
      </c>
      <c r="J889" s="171">
        <v>0</v>
      </c>
      <c r="K889" s="171">
        <v>0</v>
      </c>
      <c r="L889" s="171">
        <v>0</v>
      </c>
      <c r="M889" s="171">
        <v>-546599</v>
      </c>
      <c r="N889" s="171">
        <v>0</v>
      </c>
      <c r="P889" s="173">
        <f t="shared" si="15"/>
        <v>546599</v>
      </c>
      <c r="V889" s="163"/>
      <c r="W889" s="163"/>
    </row>
    <row r="890" spans="1:23" s="17" customFormat="1">
      <c r="A890" s="168"/>
      <c r="B890" s="37" t="s">
        <v>76</v>
      </c>
      <c r="C890" s="35" t="s">
        <v>26</v>
      </c>
      <c r="D890" s="17" t="s">
        <v>448</v>
      </c>
      <c r="E890" s="37" t="s">
        <v>26</v>
      </c>
      <c r="F890" s="169">
        <v>0</v>
      </c>
      <c r="G890" s="170"/>
      <c r="H890" s="171">
        <v>0</v>
      </c>
      <c r="I890" s="172">
        <v>0</v>
      </c>
      <c r="J890" s="171">
        <v>0</v>
      </c>
      <c r="K890" s="171">
        <v>0</v>
      </c>
      <c r="L890" s="171">
        <v>0</v>
      </c>
      <c r="M890" s="171">
        <v>0</v>
      </c>
      <c r="N890" s="171">
        <v>0</v>
      </c>
      <c r="P890" s="173">
        <f t="shared" si="15"/>
        <v>0</v>
      </c>
      <c r="V890" s="163"/>
      <c r="W890" s="163"/>
    </row>
    <row r="891" spans="1:23" s="17" customFormat="1">
      <c r="A891" s="168"/>
      <c r="B891" s="37" t="s">
        <v>76</v>
      </c>
      <c r="C891" s="35" t="s">
        <v>26</v>
      </c>
      <c r="D891" s="17" t="s">
        <v>3240</v>
      </c>
      <c r="E891" s="37" t="s">
        <v>26</v>
      </c>
      <c r="F891" s="169">
        <v>0</v>
      </c>
      <c r="G891" s="170"/>
      <c r="H891" s="171">
        <v>0</v>
      </c>
      <c r="I891" s="172">
        <v>0</v>
      </c>
      <c r="J891" s="171">
        <v>0</v>
      </c>
      <c r="K891" s="171">
        <v>0</v>
      </c>
      <c r="L891" s="171">
        <v>0</v>
      </c>
      <c r="M891" s="171">
        <v>0</v>
      </c>
      <c r="N891" s="171">
        <v>0</v>
      </c>
      <c r="P891" s="173">
        <f t="shared" si="15"/>
        <v>0</v>
      </c>
      <c r="V891" s="163"/>
      <c r="W891" s="163"/>
    </row>
    <row r="892" spans="1:23" s="17" customFormat="1">
      <c r="A892" s="168"/>
      <c r="B892" s="37" t="s">
        <v>76</v>
      </c>
      <c r="C892" s="35" t="s">
        <v>26</v>
      </c>
      <c r="D892" s="17" t="s">
        <v>55</v>
      </c>
      <c r="E892" s="37" t="s">
        <v>26</v>
      </c>
      <c r="F892" s="169">
        <v>0</v>
      </c>
      <c r="G892" s="170"/>
      <c r="H892" s="171">
        <v>0</v>
      </c>
      <c r="I892" s="172">
        <v>0</v>
      </c>
      <c r="J892" s="171">
        <v>0</v>
      </c>
      <c r="K892" s="171">
        <v>0</v>
      </c>
      <c r="L892" s="171">
        <v>0</v>
      </c>
      <c r="M892" s="171">
        <v>0</v>
      </c>
      <c r="N892" s="171">
        <v>0</v>
      </c>
      <c r="P892" s="173">
        <f t="shared" si="15"/>
        <v>0</v>
      </c>
      <c r="V892" s="163"/>
      <c r="W892" s="163"/>
    </row>
    <row r="893" spans="1:23" s="17" customFormat="1">
      <c r="A893" s="168"/>
      <c r="B893" s="37" t="s">
        <v>76</v>
      </c>
      <c r="C893" s="35" t="s">
        <v>26</v>
      </c>
      <c r="D893" s="17" t="s">
        <v>56</v>
      </c>
      <c r="E893" s="37" t="s">
        <v>26</v>
      </c>
      <c r="F893" s="169">
        <v>402537</v>
      </c>
      <c r="G893" s="170"/>
      <c r="H893" s="171">
        <v>0</v>
      </c>
      <c r="I893" s="172">
        <v>402537</v>
      </c>
      <c r="J893" s="171">
        <v>0</v>
      </c>
      <c r="K893" s="171">
        <v>0</v>
      </c>
      <c r="L893" s="171">
        <v>0</v>
      </c>
      <c r="M893" s="171">
        <v>0</v>
      </c>
      <c r="N893" s="171">
        <v>0</v>
      </c>
      <c r="P893" s="173">
        <f t="shared" si="15"/>
        <v>0</v>
      </c>
      <c r="V893" s="163"/>
      <c r="W893" s="163"/>
    </row>
    <row r="894" spans="1:23" s="17" customFormat="1">
      <c r="A894" s="168"/>
      <c r="B894" s="37" t="s">
        <v>76</v>
      </c>
      <c r="C894" s="35" t="s">
        <v>26</v>
      </c>
      <c r="D894" s="17" t="s">
        <v>45</v>
      </c>
      <c r="E894" s="37" t="s">
        <v>26</v>
      </c>
      <c r="F894" s="169">
        <v>73995512</v>
      </c>
      <c r="G894" s="170"/>
      <c r="H894" s="171">
        <v>-280000000</v>
      </c>
      <c r="I894" s="172">
        <v>73995512</v>
      </c>
      <c r="J894" s="171">
        <v>0</v>
      </c>
      <c r="K894" s="171">
        <v>0</v>
      </c>
      <c r="L894" s="171">
        <v>0</v>
      </c>
      <c r="M894" s="171">
        <v>-5829606</v>
      </c>
      <c r="N894" s="171">
        <v>0</v>
      </c>
      <c r="P894" s="173">
        <f t="shared" si="15"/>
        <v>285829606</v>
      </c>
      <c r="V894" s="163"/>
      <c r="W894" s="163"/>
    </row>
    <row r="895" spans="1:23" s="17" customFormat="1">
      <c r="A895" s="168"/>
      <c r="B895" s="37" t="s">
        <v>76</v>
      </c>
      <c r="C895" s="35" t="s">
        <v>26</v>
      </c>
      <c r="D895" s="17" t="s">
        <v>449</v>
      </c>
      <c r="E895" s="37" t="s">
        <v>26</v>
      </c>
      <c r="F895" s="182">
        <v>0</v>
      </c>
      <c r="G895" s="170"/>
      <c r="H895" s="171">
        <v>40000000</v>
      </c>
      <c r="I895" s="172">
        <v>-236000000</v>
      </c>
      <c r="J895" s="171">
        <v>0</v>
      </c>
      <c r="K895" s="171">
        <v>0</v>
      </c>
      <c r="L895" s="171">
        <v>0</v>
      </c>
      <c r="M895" s="171">
        <v>0</v>
      </c>
      <c r="N895" s="171">
        <v>0</v>
      </c>
      <c r="P895" s="173">
        <f t="shared" si="15"/>
        <v>196000000</v>
      </c>
      <c r="V895" s="163"/>
      <c r="W895" s="163"/>
    </row>
    <row r="896" spans="1:23" s="17" customFormat="1">
      <c r="A896" s="168"/>
      <c r="B896" s="37" t="s">
        <v>76</v>
      </c>
      <c r="C896" s="35" t="s">
        <v>26</v>
      </c>
      <c r="D896" s="17" t="s">
        <v>25</v>
      </c>
      <c r="E896" s="37" t="s">
        <v>26</v>
      </c>
      <c r="F896" s="180">
        <v>3101962</v>
      </c>
      <c r="G896" s="170"/>
      <c r="H896" s="171">
        <v>3101962</v>
      </c>
      <c r="I896" s="172">
        <v>0</v>
      </c>
      <c r="J896" s="171">
        <v>0</v>
      </c>
      <c r="K896" s="171">
        <v>0</v>
      </c>
      <c r="L896" s="171">
        <v>0</v>
      </c>
      <c r="M896" s="171">
        <v>0</v>
      </c>
      <c r="N896" s="171">
        <v>0</v>
      </c>
      <c r="P896" s="173">
        <f t="shared" si="15"/>
        <v>0</v>
      </c>
      <c r="V896" s="163"/>
      <c r="W896" s="163"/>
    </row>
    <row r="897" spans="1:23" s="17" customFormat="1">
      <c r="A897" s="168"/>
      <c r="B897" s="37" t="s">
        <v>76</v>
      </c>
      <c r="C897" s="35" t="s">
        <v>26</v>
      </c>
      <c r="D897" s="17" t="s">
        <v>57</v>
      </c>
      <c r="E897" s="37" t="s">
        <v>26</v>
      </c>
      <c r="F897" s="169">
        <v>50172550</v>
      </c>
      <c r="G897" s="170"/>
      <c r="H897" s="171">
        <v>27528150</v>
      </c>
      <c r="I897" s="172">
        <v>13116260</v>
      </c>
      <c r="J897" s="171">
        <v>0</v>
      </c>
      <c r="K897" s="171">
        <v>0</v>
      </c>
      <c r="L897" s="171">
        <v>0</v>
      </c>
      <c r="M897" s="171">
        <v>-10471860</v>
      </c>
      <c r="N897" s="171">
        <v>0</v>
      </c>
      <c r="P897" s="173">
        <f t="shared" si="15"/>
        <v>20000000</v>
      </c>
      <c r="V897" s="163"/>
      <c r="W897" s="163"/>
    </row>
    <row r="898" spans="1:23" s="17" customFormat="1">
      <c r="A898" s="168"/>
      <c r="B898" s="37" t="s">
        <v>76</v>
      </c>
      <c r="C898" s="35" t="s">
        <v>26</v>
      </c>
      <c r="D898" s="17" t="s">
        <v>1881</v>
      </c>
      <c r="E898" s="37" t="s">
        <v>26</v>
      </c>
      <c r="F898" s="169">
        <v>0</v>
      </c>
      <c r="G898" s="170"/>
      <c r="H898" s="171">
        <v>-4000000</v>
      </c>
      <c r="I898" s="172">
        <v>0</v>
      </c>
      <c r="J898" s="171">
        <v>0</v>
      </c>
      <c r="K898" s="171">
        <v>0</v>
      </c>
      <c r="L898" s="171">
        <v>0</v>
      </c>
      <c r="M898" s="171">
        <v>0</v>
      </c>
      <c r="N898" s="171">
        <v>0</v>
      </c>
      <c r="P898" s="173">
        <f t="shared" si="15"/>
        <v>4000000</v>
      </c>
      <c r="V898" s="163"/>
      <c r="W898" s="163"/>
    </row>
    <row r="899" spans="1:23" s="17" customFormat="1">
      <c r="A899" s="168"/>
      <c r="B899" s="37" t="s">
        <v>76</v>
      </c>
      <c r="C899" s="35" t="s">
        <v>26</v>
      </c>
      <c r="D899" s="17" t="s">
        <v>12</v>
      </c>
      <c r="E899" s="37" t="s">
        <v>26</v>
      </c>
      <c r="F899" s="169">
        <v>48104900</v>
      </c>
      <c r="G899" s="170"/>
      <c r="H899" s="171">
        <v>26000000</v>
      </c>
      <c r="I899" s="172">
        <v>104900</v>
      </c>
      <c r="J899" s="171">
        <v>0</v>
      </c>
      <c r="K899" s="171">
        <v>0</v>
      </c>
      <c r="L899" s="171">
        <v>0</v>
      </c>
      <c r="M899" s="171">
        <v>0</v>
      </c>
      <c r="N899" s="171">
        <v>0</v>
      </c>
      <c r="P899" s="173">
        <f t="shared" si="15"/>
        <v>22000000</v>
      </c>
      <c r="V899" s="163"/>
      <c r="W899" s="163"/>
    </row>
    <row r="900" spans="1:23" s="17" customFormat="1">
      <c r="A900" s="168"/>
      <c r="B900" s="37" t="s">
        <v>76</v>
      </c>
      <c r="C900" s="35" t="s">
        <v>26</v>
      </c>
      <c r="D900" s="17" t="s">
        <v>445</v>
      </c>
      <c r="E900" s="37" t="s">
        <v>26</v>
      </c>
      <c r="F900" s="169">
        <v>0</v>
      </c>
      <c r="G900" s="170"/>
      <c r="H900" s="171">
        <v>0</v>
      </c>
      <c r="I900" s="172">
        <v>0</v>
      </c>
      <c r="J900" s="171">
        <v>0</v>
      </c>
      <c r="K900" s="171">
        <v>0</v>
      </c>
      <c r="L900" s="171">
        <v>0</v>
      </c>
      <c r="M900" s="171">
        <v>0</v>
      </c>
      <c r="N900" s="171">
        <v>0</v>
      </c>
      <c r="P900" s="173">
        <f t="shared" si="15"/>
        <v>0</v>
      </c>
      <c r="V900" s="163"/>
      <c r="W900" s="163"/>
    </row>
    <row r="901" spans="1:23" s="17" customFormat="1">
      <c r="A901" s="168"/>
      <c r="B901" s="37" t="s">
        <v>76</v>
      </c>
      <c r="C901" s="35" t="s">
        <v>26</v>
      </c>
      <c r="D901" s="17" t="s">
        <v>95</v>
      </c>
      <c r="E901" s="37" t="s">
        <v>26</v>
      </c>
      <c r="F901" s="169">
        <v>1200000</v>
      </c>
      <c r="G901" s="170"/>
      <c r="H901" s="171">
        <v>1200000</v>
      </c>
      <c r="I901" s="172">
        <v>0</v>
      </c>
      <c r="J901" s="171">
        <v>0</v>
      </c>
      <c r="K901" s="171">
        <v>0</v>
      </c>
      <c r="L901" s="171">
        <v>0</v>
      </c>
      <c r="M901" s="171">
        <v>0</v>
      </c>
      <c r="N901" s="171">
        <v>0</v>
      </c>
      <c r="P901" s="173">
        <f t="shared" si="15"/>
        <v>0</v>
      </c>
      <c r="V901" s="163"/>
      <c r="W901" s="163"/>
    </row>
    <row r="902" spans="1:23" s="17" customFormat="1">
      <c r="A902" s="168"/>
      <c r="B902" s="37" t="s">
        <v>76</v>
      </c>
      <c r="C902" s="35" t="s">
        <v>26</v>
      </c>
      <c r="D902" s="17" t="s">
        <v>270</v>
      </c>
      <c r="E902" s="37" t="s">
        <v>26</v>
      </c>
      <c r="F902" s="169">
        <v>0</v>
      </c>
      <c r="G902" s="170"/>
      <c r="H902" s="171">
        <v>0</v>
      </c>
      <c r="I902" s="172">
        <v>0</v>
      </c>
      <c r="J902" s="171">
        <v>0</v>
      </c>
      <c r="K902" s="171">
        <v>0</v>
      </c>
      <c r="L902" s="171">
        <v>0</v>
      </c>
      <c r="M902" s="171">
        <v>0</v>
      </c>
      <c r="N902" s="171">
        <v>0</v>
      </c>
      <c r="P902" s="173">
        <f t="shared" si="15"/>
        <v>0</v>
      </c>
      <c r="V902" s="163"/>
      <c r="W902" s="163"/>
    </row>
    <row r="903" spans="1:23" s="17" customFormat="1">
      <c r="A903" s="168"/>
      <c r="B903" s="37" t="s">
        <v>76</v>
      </c>
      <c r="C903" s="35" t="s">
        <v>26</v>
      </c>
      <c r="D903" s="17" t="s">
        <v>96</v>
      </c>
      <c r="E903" s="37" t="s">
        <v>26</v>
      </c>
      <c r="F903" s="174">
        <v>3000000</v>
      </c>
      <c r="G903" s="170"/>
      <c r="H903" s="171">
        <v>3000000</v>
      </c>
      <c r="I903" s="172">
        <v>0</v>
      </c>
      <c r="J903" s="171">
        <v>0</v>
      </c>
      <c r="K903" s="171">
        <v>0</v>
      </c>
      <c r="L903" s="171">
        <v>0</v>
      </c>
      <c r="M903" s="171">
        <v>0</v>
      </c>
      <c r="N903" s="171">
        <v>0</v>
      </c>
      <c r="P903" s="173">
        <f t="shared" si="15"/>
        <v>0</v>
      </c>
      <c r="V903" s="163"/>
      <c r="W903" s="163"/>
    </row>
    <row r="904" spans="1:23" s="17" customFormat="1">
      <c r="A904" s="168"/>
      <c r="B904" s="37" t="s">
        <v>76</v>
      </c>
      <c r="C904" s="35" t="s">
        <v>26</v>
      </c>
      <c r="D904" s="17" t="s">
        <v>97</v>
      </c>
      <c r="E904" s="37" t="s">
        <v>26</v>
      </c>
      <c r="F904" s="169">
        <v>0</v>
      </c>
      <c r="G904" s="170"/>
      <c r="H904" s="171">
        <v>0</v>
      </c>
      <c r="I904" s="172">
        <v>0</v>
      </c>
      <c r="J904" s="171">
        <v>0</v>
      </c>
      <c r="K904" s="171">
        <v>0</v>
      </c>
      <c r="L904" s="171">
        <v>0</v>
      </c>
      <c r="M904" s="171">
        <v>0</v>
      </c>
      <c r="N904" s="171">
        <v>0</v>
      </c>
      <c r="P904" s="173">
        <f t="shared" si="15"/>
        <v>0</v>
      </c>
      <c r="V904" s="163"/>
      <c r="W904" s="163"/>
    </row>
    <row r="905" spans="1:23" s="17" customFormat="1">
      <c r="A905" s="168"/>
      <c r="B905" s="37" t="s">
        <v>76</v>
      </c>
      <c r="C905" s="35" t="s">
        <v>26</v>
      </c>
      <c r="D905" s="17" t="s">
        <v>59</v>
      </c>
      <c r="E905" s="37" t="s">
        <v>26</v>
      </c>
      <c r="F905" s="169">
        <v>0</v>
      </c>
      <c r="G905" s="170"/>
      <c r="H905" s="171">
        <v>0</v>
      </c>
      <c r="I905" s="172">
        <v>0</v>
      </c>
      <c r="J905" s="171">
        <v>0</v>
      </c>
      <c r="K905" s="171">
        <v>0</v>
      </c>
      <c r="L905" s="171">
        <v>0</v>
      </c>
      <c r="M905" s="171">
        <v>0</v>
      </c>
      <c r="N905" s="171">
        <v>0</v>
      </c>
      <c r="P905" s="173">
        <f t="shared" si="15"/>
        <v>0</v>
      </c>
      <c r="V905" s="163"/>
      <c r="W905" s="163"/>
    </row>
    <row r="906" spans="1:23" s="17" customFormat="1">
      <c r="A906" s="168"/>
      <c r="B906" s="37" t="s">
        <v>76</v>
      </c>
      <c r="C906" s="35" t="s">
        <v>26</v>
      </c>
      <c r="D906" s="17" t="s">
        <v>450</v>
      </c>
      <c r="E906" s="37" t="s">
        <v>26</v>
      </c>
      <c r="F906" s="169">
        <v>1000000</v>
      </c>
      <c r="G906" s="170"/>
      <c r="H906" s="171">
        <v>1000000</v>
      </c>
      <c r="I906" s="172">
        <v>0</v>
      </c>
      <c r="J906" s="171">
        <v>0</v>
      </c>
      <c r="K906" s="171">
        <v>0</v>
      </c>
      <c r="L906" s="171">
        <v>0</v>
      </c>
      <c r="M906" s="171">
        <v>0</v>
      </c>
      <c r="N906" s="171">
        <v>0</v>
      </c>
      <c r="P906" s="173">
        <f t="shared" si="15"/>
        <v>0</v>
      </c>
      <c r="V906" s="163"/>
      <c r="W906" s="163"/>
    </row>
    <row r="907" spans="1:23" s="17" customFormat="1">
      <c r="A907" s="168"/>
      <c r="B907" s="37" t="s">
        <v>76</v>
      </c>
      <c r="C907" s="35" t="s">
        <v>26</v>
      </c>
      <c r="D907" s="17" t="s">
        <v>60</v>
      </c>
      <c r="E907" s="37" t="s">
        <v>26</v>
      </c>
      <c r="F907" s="174">
        <v>355500</v>
      </c>
      <c r="G907" s="170"/>
      <c r="H907" s="171">
        <v>355500</v>
      </c>
      <c r="I907" s="172">
        <v>0</v>
      </c>
      <c r="J907" s="171">
        <v>0</v>
      </c>
      <c r="K907" s="171">
        <v>0</v>
      </c>
      <c r="L907" s="171">
        <v>0</v>
      </c>
      <c r="M907" s="171">
        <v>0</v>
      </c>
      <c r="N907" s="171">
        <v>0</v>
      </c>
      <c r="P907" s="173">
        <f t="shared" si="15"/>
        <v>0</v>
      </c>
      <c r="V907" s="163"/>
      <c r="W907" s="163"/>
    </row>
    <row r="908" spans="1:23" s="17" customFormat="1">
      <c r="A908" s="168"/>
      <c r="B908" s="37" t="s">
        <v>76</v>
      </c>
      <c r="C908" s="35" t="s">
        <v>26</v>
      </c>
      <c r="D908" s="17" t="s">
        <v>2181</v>
      </c>
      <c r="E908" s="37" t="s">
        <v>26</v>
      </c>
      <c r="F908" s="174">
        <v>0</v>
      </c>
      <c r="G908" s="170"/>
      <c r="H908" s="171">
        <v>0</v>
      </c>
      <c r="I908" s="172">
        <v>0</v>
      </c>
      <c r="J908" s="171">
        <v>0</v>
      </c>
      <c r="K908" s="171">
        <v>0</v>
      </c>
      <c r="L908" s="171">
        <v>0</v>
      </c>
      <c r="M908" s="171">
        <v>0</v>
      </c>
      <c r="N908" s="171">
        <v>0</v>
      </c>
      <c r="P908" s="173">
        <f t="shared" si="15"/>
        <v>0</v>
      </c>
      <c r="V908" s="163"/>
      <c r="W908" s="163"/>
    </row>
    <row r="909" spans="1:23" s="17" customFormat="1">
      <c r="A909" s="168"/>
      <c r="B909" s="37" t="s">
        <v>98</v>
      </c>
      <c r="C909" s="35" t="s">
        <v>26</v>
      </c>
      <c r="D909" s="17" t="s">
        <v>4101</v>
      </c>
      <c r="E909" s="37" t="s">
        <v>26</v>
      </c>
      <c r="F909" s="169">
        <v>0</v>
      </c>
      <c r="G909" s="170"/>
      <c r="H909" s="171">
        <v>0</v>
      </c>
      <c r="I909" s="172">
        <v>0</v>
      </c>
      <c r="J909" s="171">
        <v>0</v>
      </c>
      <c r="K909" s="171">
        <v>0</v>
      </c>
      <c r="L909" s="171">
        <v>0</v>
      </c>
      <c r="M909" s="171">
        <v>-32854000</v>
      </c>
      <c r="N909" s="171">
        <v>0</v>
      </c>
      <c r="P909" s="173">
        <f t="shared" si="15"/>
        <v>32854000</v>
      </c>
      <c r="V909" s="163"/>
      <c r="W909" s="163"/>
    </row>
    <row r="910" spans="1:23" s="17" customFormat="1">
      <c r="A910" s="176"/>
      <c r="B910" s="120" t="s">
        <v>18</v>
      </c>
      <c r="C910" s="177">
        <v>2022</v>
      </c>
      <c r="D910" s="120" t="s">
        <v>4305</v>
      </c>
      <c r="E910" s="120" t="s">
        <v>248</v>
      </c>
      <c r="F910" s="25">
        <v>6693495</v>
      </c>
      <c r="G910" s="183" t="s">
        <v>451</v>
      </c>
      <c r="H910" s="171">
        <v>6693495</v>
      </c>
      <c r="I910" s="172">
        <v>0</v>
      </c>
      <c r="J910" s="171">
        <v>0</v>
      </c>
      <c r="K910" s="171">
        <v>0</v>
      </c>
      <c r="L910" s="171">
        <v>0</v>
      </c>
      <c r="M910" s="171">
        <v>0</v>
      </c>
      <c r="N910" s="171">
        <v>0</v>
      </c>
      <c r="O910" s="43"/>
      <c r="P910" s="173">
        <f t="shared" si="15"/>
        <v>0</v>
      </c>
      <c r="Q910" s="43"/>
      <c r="R910" s="43"/>
      <c r="S910" s="43"/>
      <c r="T910" s="43"/>
      <c r="U910" s="43"/>
      <c r="V910" s="178"/>
      <c r="W910" s="178"/>
    </row>
    <row r="911" spans="1:23" s="17" customFormat="1">
      <c r="A911" s="168"/>
      <c r="B911" s="37" t="s">
        <v>18</v>
      </c>
      <c r="C911" s="35">
        <v>2023</v>
      </c>
      <c r="D911" s="37" t="s">
        <v>5913</v>
      </c>
      <c r="E911" s="37" t="s">
        <v>452</v>
      </c>
      <c r="F911" s="25">
        <v>194322150</v>
      </c>
      <c r="G911" s="175" t="s">
        <v>26</v>
      </c>
      <c r="H911" s="171">
        <v>0</v>
      </c>
      <c r="I911" s="172">
        <v>0</v>
      </c>
      <c r="J911" s="171">
        <v>171563700</v>
      </c>
      <c r="K911" s="171">
        <v>0</v>
      </c>
      <c r="L911" s="171">
        <v>0</v>
      </c>
      <c r="M911" s="171">
        <v>22758450</v>
      </c>
      <c r="N911" s="171">
        <v>0</v>
      </c>
      <c r="P911" s="173">
        <f t="shared" si="15"/>
        <v>0</v>
      </c>
      <c r="V911" s="163"/>
      <c r="W911" s="163"/>
    </row>
    <row r="912" spans="1:23" s="17" customFormat="1">
      <c r="A912" s="168"/>
      <c r="B912" s="37" t="s">
        <v>18</v>
      </c>
      <c r="C912" s="35">
        <v>2023</v>
      </c>
      <c r="D912" s="37" t="s">
        <v>5912</v>
      </c>
      <c r="E912" s="219" t="s">
        <v>281</v>
      </c>
      <c r="F912" s="25">
        <v>22411461</v>
      </c>
      <c r="G912" s="175" t="s">
        <v>26</v>
      </c>
      <c r="H912" s="171">
        <v>22411461</v>
      </c>
      <c r="I912" s="172">
        <v>0</v>
      </c>
      <c r="J912" s="171">
        <v>0</v>
      </c>
      <c r="K912" s="171">
        <v>0</v>
      </c>
      <c r="L912" s="171">
        <v>0</v>
      </c>
      <c r="M912" s="171">
        <v>0</v>
      </c>
      <c r="N912" s="171">
        <v>0</v>
      </c>
      <c r="P912" s="173">
        <f t="shared" si="15"/>
        <v>0</v>
      </c>
      <c r="V912" s="163"/>
      <c r="W912" s="163"/>
    </row>
    <row r="913" spans="1:23" s="17" customFormat="1">
      <c r="A913" s="168"/>
      <c r="B913" s="37" t="s">
        <v>18</v>
      </c>
      <c r="C913" s="35">
        <v>2023</v>
      </c>
      <c r="D913" s="37" t="s">
        <v>4304</v>
      </c>
      <c r="E913" s="219" t="s">
        <v>309</v>
      </c>
      <c r="F913" s="25">
        <v>40375000</v>
      </c>
      <c r="G913" s="175" t="s">
        <v>26</v>
      </c>
      <c r="H913" s="171">
        <v>40375000</v>
      </c>
      <c r="I913" s="172">
        <v>0</v>
      </c>
      <c r="J913" s="171">
        <v>0</v>
      </c>
      <c r="K913" s="171">
        <v>0</v>
      </c>
      <c r="L913" s="171">
        <v>0</v>
      </c>
      <c r="M913" s="171">
        <v>0</v>
      </c>
      <c r="N913" s="171">
        <v>0</v>
      </c>
      <c r="P913" s="173">
        <f t="shared" si="15"/>
        <v>0</v>
      </c>
      <c r="V913" s="163"/>
      <c r="W913" s="163"/>
    </row>
    <row r="914" spans="1:23" s="17" customFormat="1">
      <c r="A914" s="168"/>
      <c r="B914" s="37" t="s">
        <v>18</v>
      </c>
      <c r="C914" s="35">
        <v>2023</v>
      </c>
      <c r="D914" s="37" t="s">
        <v>5807</v>
      </c>
      <c r="E914" s="219" t="s">
        <v>313</v>
      </c>
      <c r="F914" s="25">
        <v>24883000</v>
      </c>
      <c r="G914" s="175" t="s">
        <v>26</v>
      </c>
      <c r="H914" s="171">
        <v>24883000</v>
      </c>
      <c r="I914" s="172">
        <v>0</v>
      </c>
      <c r="J914" s="171">
        <v>0</v>
      </c>
      <c r="K914" s="171">
        <v>0</v>
      </c>
      <c r="L914" s="171">
        <v>0</v>
      </c>
      <c r="M914" s="171">
        <v>0</v>
      </c>
      <c r="N914" s="171">
        <v>0</v>
      </c>
      <c r="P914" s="173">
        <f t="shared" si="15"/>
        <v>0</v>
      </c>
      <c r="V914" s="163"/>
      <c r="W914" s="163"/>
    </row>
    <row r="915" spans="1:23" s="17" customFormat="1">
      <c r="A915" s="168"/>
      <c r="B915" s="37" t="s">
        <v>18</v>
      </c>
      <c r="C915" s="35">
        <v>2024</v>
      </c>
      <c r="D915" s="37" t="s">
        <v>6269</v>
      </c>
      <c r="E915" s="37" t="s">
        <v>2201</v>
      </c>
      <c r="F915" s="25">
        <v>117218486</v>
      </c>
      <c r="G915" s="175" t="s">
        <v>26</v>
      </c>
      <c r="H915" s="171">
        <v>0</v>
      </c>
      <c r="I915" s="172">
        <v>0</v>
      </c>
      <c r="J915" s="171">
        <v>0</v>
      </c>
      <c r="K915" s="171">
        <v>0</v>
      </c>
      <c r="L915" s="171">
        <v>0</v>
      </c>
      <c r="M915" s="171">
        <v>0</v>
      </c>
      <c r="N915" s="171">
        <v>0</v>
      </c>
      <c r="P915" s="173">
        <f t="shared" si="15"/>
        <v>117218486</v>
      </c>
      <c r="V915" s="163"/>
      <c r="W915" s="163"/>
    </row>
    <row r="916" spans="1:23" s="17" customFormat="1">
      <c r="A916" s="168"/>
      <c r="B916" s="37" t="s">
        <v>18</v>
      </c>
      <c r="C916" s="35">
        <v>2024</v>
      </c>
      <c r="D916" s="37" t="s">
        <v>2376</v>
      </c>
      <c r="E916" s="37" t="s">
        <v>2421</v>
      </c>
      <c r="F916" s="25">
        <v>2300000</v>
      </c>
      <c r="G916" s="175" t="s">
        <v>26</v>
      </c>
      <c r="H916" s="171">
        <v>0</v>
      </c>
      <c r="I916" s="172">
        <v>0</v>
      </c>
      <c r="J916" s="171">
        <v>2300000</v>
      </c>
      <c r="K916" s="171">
        <v>0</v>
      </c>
      <c r="L916" s="171">
        <v>0</v>
      </c>
      <c r="M916" s="171">
        <v>0</v>
      </c>
      <c r="N916" s="171">
        <v>0</v>
      </c>
      <c r="P916" s="173">
        <f t="shared" si="15"/>
        <v>0</v>
      </c>
      <c r="V916" s="163"/>
      <c r="W916" s="163"/>
    </row>
    <row r="917" spans="1:23" s="17" customFormat="1">
      <c r="A917" s="168"/>
      <c r="B917" s="37" t="s">
        <v>18</v>
      </c>
      <c r="C917" s="35">
        <v>2024</v>
      </c>
      <c r="D917" s="37" t="s">
        <v>2377</v>
      </c>
      <c r="E917" s="37" t="s">
        <v>2421</v>
      </c>
      <c r="F917" s="25">
        <v>37475000</v>
      </c>
      <c r="G917" s="175" t="s">
        <v>26</v>
      </c>
      <c r="H917" s="171">
        <v>0</v>
      </c>
      <c r="I917" s="172">
        <v>0</v>
      </c>
      <c r="J917" s="171">
        <v>37475000</v>
      </c>
      <c r="K917" s="171">
        <v>0</v>
      </c>
      <c r="L917" s="171">
        <v>0</v>
      </c>
      <c r="M917" s="171">
        <v>0</v>
      </c>
      <c r="N917" s="171">
        <v>0</v>
      </c>
      <c r="P917" s="173">
        <f t="shared" si="15"/>
        <v>0</v>
      </c>
      <c r="V917" s="163"/>
      <c r="W917" s="163"/>
    </row>
    <row r="918" spans="1:23" s="17" customFormat="1">
      <c r="A918" s="168"/>
      <c r="B918" s="37" t="s">
        <v>18</v>
      </c>
      <c r="C918" s="35">
        <v>2024</v>
      </c>
      <c r="D918" s="37" t="s">
        <v>6264</v>
      </c>
      <c r="E918" s="37" t="s">
        <v>420</v>
      </c>
      <c r="F918" s="25">
        <v>204341018</v>
      </c>
      <c r="G918" s="175" t="s">
        <v>26</v>
      </c>
      <c r="H918" s="171">
        <v>0</v>
      </c>
      <c r="I918" s="172">
        <v>0</v>
      </c>
      <c r="J918" s="171">
        <v>180409187</v>
      </c>
      <c r="K918" s="171">
        <v>0</v>
      </c>
      <c r="L918" s="171">
        <v>0</v>
      </c>
      <c r="M918" s="171">
        <v>23931831</v>
      </c>
      <c r="N918" s="171">
        <v>0</v>
      </c>
      <c r="P918" s="173">
        <f t="shared" ref="P918:P949" si="16">F918-H918-I918-J918-K918-L918-M918</f>
        <v>0</v>
      </c>
      <c r="V918" s="163"/>
      <c r="W918" s="163"/>
    </row>
    <row r="919" spans="1:23" s="17" customFormat="1">
      <c r="A919" s="168"/>
      <c r="B919" s="37" t="s">
        <v>18</v>
      </c>
      <c r="C919" s="35">
        <v>2024</v>
      </c>
      <c r="D919" s="37" t="s">
        <v>6267</v>
      </c>
      <c r="E919" s="37" t="s">
        <v>395</v>
      </c>
      <c r="F919" s="25">
        <v>178037394</v>
      </c>
      <c r="G919" s="175" t="s">
        <v>26</v>
      </c>
      <c r="H919" s="171">
        <v>0</v>
      </c>
      <c r="I919" s="172">
        <v>0</v>
      </c>
      <c r="J919" s="171">
        <v>157186168</v>
      </c>
      <c r="K919" s="171">
        <v>0</v>
      </c>
      <c r="L919" s="171">
        <v>0</v>
      </c>
      <c r="M919" s="171">
        <v>20851226</v>
      </c>
      <c r="N919" s="171">
        <v>0</v>
      </c>
      <c r="P919" s="173">
        <f t="shared" si="16"/>
        <v>0</v>
      </c>
      <c r="V919" s="163"/>
      <c r="W919" s="163"/>
    </row>
    <row r="920" spans="1:23" s="17" customFormat="1">
      <c r="A920" s="168"/>
      <c r="B920" s="37" t="s">
        <v>18</v>
      </c>
      <c r="C920" s="35">
        <v>2024</v>
      </c>
      <c r="D920" s="37" t="s">
        <v>6268</v>
      </c>
      <c r="E920" s="37" t="s">
        <v>2198</v>
      </c>
      <c r="F920" s="25">
        <v>177519966</v>
      </c>
      <c r="G920" s="175" t="s">
        <v>26</v>
      </c>
      <c r="H920" s="171">
        <v>0</v>
      </c>
      <c r="I920" s="172">
        <v>0</v>
      </c>
      <c r="J920" s="171">
        <v>156729339</v>
      </c>
      <c r="K920" s="171">
        <v>0</v>
      </c>
      <c r="L920" s="171">
        <v>0</v>
      </c>
      <c r="M920" s="171">
        <v>20790627</v>
      </c>
      <c r="N920" s="171">
        <v>0</v>
      </c>
      <c r="P920" s="173">
        <f t="shared" si="16"/>
        <v>0</v>
      </c>
      <c r="V920" s="163"/>
      <c r="W920" s="163"/>
    </row>
    <row r="921" spans="1:23" s="17" customFormat="1">
      <c r="A921" s="168"/>
      <c r="B921" s="37" t="s">
        <v>18</v>
      </c>
      <c r="C921" s="35">
        <v>2024</v>
      </c>
      <c r="D921" s="37" t="s">
        <v>2378</v>
      </c>
      <c r="E921" s="37" t="s">
        <v>438</v>
      </c>
      <c r="F921" s="25">
        <v>800000</v>
      </c>
      <c r="G921" s="175" t="s">
        <v>26</v>
      </c>
      <c r="H921" s="171">
        <v>800000</v>
      </c>
      <c r="I921" s="172">
        <v>0</v>
      </c>
      <c r="J921" s="171">
        <v>0</v>
      </c>
      <c r="K921" s="171">
        <v>0</v>
      </c>
      <c r="L921" s="171">
        <v>0</v>
      </c>
      <c r="M921" s="171">
        <v>0</v>
      </c>
      <c r="N921" s="171">
        <v>0</v>
      </c>
      <c r="P921" s="173">
        <f t="shared" si="16"/>
        <v>0</v>
      </c>
      <c r="V921" s="163"/>
      <c r="W921" s="163"/>
    </row>
    <row r="922" spans="1:23" s="17" customFormat="1">
      <c r="A922" s="168"/>
      <c r="B922" s="37" t="s">
        <v>18</v>
      </c>
      <c r="C922" s="35">
        <v>2024</v>
      </c>
      <c r="D922" s="37" t="s">
        <v>2379</v>
      </c>
      <c r="E922" s="37" t="s">
        <v>2422</v>
      </c>
      <c r="F922" s="25">
        <v>482236270</v>
      </c>
      <c r="G922" s="175" t="s">
        <v>26</v>
      </c>
      <c r="H922" s="171">
        <v>0</v>
      </c>
      <c r="I922" s="172">
        <v>0</v>
      </c>
      <c r="J922" s="171">
        <v>425758149</v>
      </c>
      <c r="K922" s="171">
        <v>0</v>
      </c>
      <c r="L922" s="171">
        <v>0</v>
      </c>
      <c r="M922" s="171">
        <v>56478121</v>
      </c>
      <c r="N922" s="171">
        <v>0</v>
      </c>
      <c r="P922" s="173">
        <f t="shared" si="16"/>
        <v>0</v>
      </c>
      <c r="V922" s="163"/>
      <c r="W922" s="163"/>
    </row>
    <row r="923" spans="1:23" s="17" customFormat="1">
      <c r="A923" s="168"/>
      <c r="B923" s="37" t="s">
        <v>18</v>
      </c>
      <c r="C923" s="35">
        <v>2024</v>
      </c>
      <c r="D923" s="37" t="s">
        <v>2380</v>
      </c>
      <c r="E923" s="37" t="s">
        <v>428</v>
      </c>
      <c r="F923" s="25">
        <v>201465000</v>
      </c>
      <c r="G923" s="175" t="s">
        <v>26</v>
      </c>
      <c r="H923" s="171">
        <v>0</v>
      </c>
      <c r="I923" s="172">
        <v>0</v>
      </c>
      <c r="J923" s="171">
        <v>177870000</v>
      </c>
      <c r="K923" s="171">
        <v>0</v>
      </c>
      <c r="L923" s="171">
        <v>0</v>
      </c>
      <c r="M923" s="171">
        <v>23595000</v>
      </c>
      <c r="N923" s="171">
        <v>0</v>
      </c>
      <c r="P923" s="173">
        <f t="shared" si="16"/>
        <v>0</v>
      </c>
      <c r="V923" s="163"/>
      <c r="W923" s="163"/>
    </row>
    <row r="924" spans="1:23" s="17" customFormat="1">
      <c r="A924" s="168"/>
      <c r="B924" s="37" t="s">
        <v>18</v>
      </c>
      <c r="C924" s="35">
        <v>2024</v>
      </c>
      <c r="D924" s="37" t="s">
        <v>2381</v>
      </c>
      <c r="E924" s="37" t="s">
        <v>2423</v>
      </c>
      <c r="F924" s="25">
        <v>711580475</v>
      </c>
      <c r="G924" s="175" t="s">
        <v>26</v>
      </c>
      <c r="H924" s="171">
        <v>0</v>
      </c>
      <c r="I924" s="172">
        <v>628242221</v>
      </c>
      <c r="J924" s="171">
        <v>0</v>
      </c>
      <c r="K924" s="171">
        <v>0</v>
      </c>
      <c r="L924" s="171">
        <v>0</v>
      </c>
      <c r="M924" s="171">
        <v>83338254</v>
      </c>
      <c r="N924" s="171">
        <v>0</v>
      </c>
      <c r="P924" s="173">
        <f t="shared" si="16"/>
        <v>0</v>
      </c>
      <c r="V924" s="163"/>
      <c r="W924" s="163"/>
    </row>
    <row r="925" spans="1:23" s="17" customFormat="1">
      <c r="A925" s="168"/>
      <c r="B925" s="37" t="s">
        <v>18</v>
      </c>
      <c r="C925" s="35">
        <v>2024</v>
      </c>
      <c r="D925" s="37" t="s">
        <v>2382</v>
      </c>
      <c r="E925" s="37" t="s">
        <v>429</v>
      </c>
      <c r="F925" s="25">
        <v>27214857</v>
      </c>
      <c r="G925" s="175" t="s">
        <v>26</v>
      </c>
      <c r="H925" s="171">
        <v>0</v>
      </c>
      <c r="I925" s="172">
        <v>0</v>
      </c>
      <c r="J925" s="171">
        <v>24027532</v>
      </c>
      <c r="K925" s="171">
        <v>0</v>
      </c>
      <c r="L925" s="171">
        <v>0</v>
      </c>
      <c r="M925" s="171">
        <v>3187325</v>
      </c>
      <c r="N925" s="171">
        <v>0</v>
      </c>
      <c r="P925" s="173">
        <f t="shared" si="16"/>
        <v>0</v>
      </c>
      <c r="V925" s="163"/>
      <c r="W925" s="163"/>
    </row>
    <row r="926" spans="1:23" s="17" customFormat="1">
      <c r="A926" s="168"/>
      <c r="B926" s="37" t="s">
        <v>18</v>
      </c>
      <c r="C926" s="35">
        <v>2024</v>
      </c>
      <c r="D926" s="37" t="s">
        <v>2383</v>
      </c>
      <c r="E926" s="37" t="s">
        <v>2424</v>
      </c>
      <c r="F926" s="25">
        <v>141731832</v>
      </c>
      <c r="G926" s="175" t="s">
        <v>26</v>
      </c>
      <c r="H926" s="171">
        <v>0</v>
      </c>
      <c r="I926" s="172">
        <v>0</v>
      </c>
      <c r="J926" s="171">
        <v>125132608</v>
      </c>
      <c r="K926" s="171">
        <v>0</v>
      </c>
      <c r="L926" s="171">
        <v>0</v>
      </c>
      <c r="M926" s="171">
        <v>16599224</v>
      </c>
      <c r="N926" s="171">
        <v>0</v>
      </c>
      <c r="P926" s="173">
        <f t="shared" si="16"/>
        <v>0</v>
      </c>
      <c r="V926" s="163"/>
      <c r="W926" s="163"/>
    </row>
    <row r="927" spans="1:23" s="17" customFormat="1">
      <c r="A927" s="168"/>
      <c r="B927" s="37" t="s">
        <v>18</v>
      </c>
      <c r="C927" s="35">
        <v>2024</v>
      </c>
      <c r="D927" s="37" t="s">
        <v>2384</v>
      </c>
      <c r="E927" s="37" t="s">
        <v>440</v>
      </c>
      <c r="F927" s="25">
        <v>1724570925</v>
      </c>
      <c r="G927" s="175" t="s">
        <v>26</v>
      </c>
      <c r="H927" s="171">
        <v>0</v>
      </c>
      <c r="I927" s="172">
        <v>0</v>
      </c>
      <c r="J927" s="171">
        <v>1522574150</v>
      </c>
      <c r="K927" s="171">
        <v>0</v>
      </c>
      <c r="L927" s="171">
        <v>0</v>
      </c>
      <c r="M927" s="171">
        <v>201996775</v>
      </c>
      <c r="N927" s="171">
        <v>0</v>
      </c>
      <c r="P927" s="173">
        <f t="shared" si="16"/>
        <v>0</v>
      </c>
      <c r="V927" s="163"/>
      <c r="W927" s="163"/>
    </row>
    <row r="928" spans="1:23" s="17" customFormat="1">
      <c r="A928" s="168"/>
      <c r="B928" s="37" t="s">
        <v>18</v>
      </c>
      <c r="C928" s="35">
        <v>2024</v>
      </c>
      <c r="D928" s="37" t="s">
        <v>2385</v>
      </c>
      <c r="E928" s="37" t="s">
        <v>2425</v>
      </c>
      <c r="F928" s="25">
        <v>232567200</v>
      </c>
      <c r="G928" s="175" t="s">
        <v>26</v>
      </c>
      <c r="H928" s="171">
        <v>0</v>
      </c>
      <c r="I928" s="172">
        <v>0</v>
      </c>
      <c r="J928" s="171">
        <v>205329600</v>
      </c>
      <c r="K928" s="171">
        <v>0</v>
      </c>
      <c r="L928" s="171">
        <v>0</v>
      </c>
      <c r="M928" s="171">
        <v>27237600</v>
      </c>
      <c r="N928" s="171">
        <v>0</v>
      </c>
      <c r="P928" s="173">
        <f t="shared" si="16"/>
        <v>0</v>
      </c>
      <c r="V928" s="163"/>
      <c r="W928" s="163"/>
    </row>
    <row r="929" spans="1:23" s="17" customFormat="1">
      <c r="A929" s="176"/>
      <c r="B929" s="120" t="s">
        <v>18</v>
      </c>
      <c r="C929" s="177">
        <v>2024</v>
      </c>
      <c r="D929" s="120" t="s">
        <v>2386</v>
      </c>
      <c r="E929" s="120" t="s">
        <v>426</v>
      </c>
      <c r="F929" s="217">
        <v>23308533</v>
      </c>
      <c r="G929" s="183" t="s">
        <v>451</v>
      </c>
      <c r="H929" s="171">
        <v>0</v>
      </c>
      <c r="I929" s="172">
        <v>0</v>
      </c>
      <c r="J929" s="171">
        <v>20578704</v>
      </c>
      <c r="K929" s="171">
        <v>0</v>
      </c>
      <c r="L929" s="171">
        <v>0</v>
      </c>
      <c r="M929" s="171">
        <v>2729829</v>
      </c>
      <c r="N929" s="171">
        <v>0</v>
      </c>
      <c r="O929" s="43"/>
      <c r="P929" s="173">
        <f t="shared" si="16"/>
        <v>0</v>
      </c>
      <c r="Q929" s="43"/>
      <c r="R929" s="43"/>
      <c r="S929" s="43"/>
      <c r="T929" s="43"/>
      <c r="U929" s="43"/>
      <c r="V929" s="178"/>
      <c r="W929" s="178"/>
    </row>
    <row r="930" spans="1:23" s="17" customFormat="1">
      <c r="A930" s="176"/>
      <c r="B930" s="120" t="s">
        <v>18</v>
      </c>
      <c r="C930" s="177">
        <v>2024</v>
      </c>
      <c r="D930" s="120" t="s">
        <v>2387</v>
      </c>
      <c r="E930" s="120" t="s">
        <v>425</v>
      </c>
      <c r="F930" s="217">
        <v>190342079</v>
      </c>
      <c r="G930" s="183" t="s">
        <v>451</v>
      </c>
      <c r="H930" s="171">
        <v>0</v>
      </c>
      <c r="I930" s="172">
        <v>0</v>
      </c>
      <c r="J930" s="171">
        <v>168049763</v>
      </c>
      <c r="K930" s="171">
        <v>0</v>
      </c>
      <c r="L930" s="171">
        <v>0</v>
      </c>
      <c r="M930" s="171">
        <v>22292316</v>
      </c>
      <c r="N930" s="171">
        <v>0</v>
      </c>
      <c r="O930" s="43"/>
      <c r="P930" s="173">
        <f t="shared" si="16"/>
        <v>0</v>
      </c>
      <c r="Q930" s="43"/>
      <c r="R930" s="43"/>
      <c r="S930" s="43"/>
      <c r="T930" s="43"/>
      <c r="U930" s="43"/>
      <c r="V930" s="178"/>
      <c r="W930" s="178"/>
    </row>
    <row r="931" spans="1:23" s="17" customFormat="1">
      <c r="A931" s="168"/>
      <c r="B931" s="37" t="s">
        <v>18</v>
      </c>
      <c r="C931" s="35">
        <v>2024</v>
      </c>
      <c r="D931" s="37" t="s">
        <v>2388</v>
      </c>
      <c r="E931" s="37" t="s">
        <v>2426</v>
      </c>
      <c r="F931" s="25">
        <v>78649011</v>
      </c>
      <c r="G931" s="175" t="s">
        <v>26</v>
      </c>
      <c r="H931" s="171">
        <v>0</v>
      </c>
      <c r="I931" s="172">
        <v>0</v>
      </c>
      <c r="J931" s="171">
        <v>69437866</v>
      </c>
      <c r="K931" s="171">
        <v>0</v>
      </c>
      <c r="L931" s="171">
        <v>0</v>
      </c>
      <c r="M931" s="171">
        <v>9211145</v>
      </c>
      <c r="N931" s="171">
        <v>0</v>
      </c>
      <c r="P931" s="173">
        <f t="shared" si="16"/>
        <v>0</v>
      </c>
      <c r="V931" s="163"/>
      <c r="W931" s="163"/>
    </row>
    <row r="932" spans="1:23" s="17" customFormat="1">
      <c r="A932" s="168"/>
      <c r="B932" s="37" t="s">
        <v>18</v>
      </c>
      <c r="C932" s="35">
        <v>2024</v>
      </c>
      <c r="D932" s="37" t="s">
        <v>6265</v>
      </c>
      <c r="E932" s="37" t="s">
        <v>439</v>
      </c>
      <c r="F932" s="25">
        <v>38600250</v>
      </c>
      <c r="G932" s="175" t="s">
        <v>26</v>
      </c>
      <c r="H932" s="171">
        <v>0</v>
      </c>
      <c r="I932" s="172">
        <v>0</v>
      </c>
      <c r="J932" s="171">
        <v>34079500</v>
      </c>
      <c r="K932" s="171">
        <v>0</v>
      </c>
      <c r="L932" s="171">
        <v>0</v>
      </c>
      <c r="M932" s="171">
        <v>4520750</v>
      </c>
      <c r="N932" s="171">
        <v>0</v>
      </c>
      <c r="P932" s="173">
        <f t="shared" si="16"/>
        <v>0</v>
      </c>
      <c r="V932" s="163"/>
      <c r="W932" s="163"/>
    </row>
    <row r="933" spans="1:23" s="17" customFormat="1">
      <c r="A933" s="168"/>
      <c r="B933" s="37" t="s">
        <v>18</v>
      </c>
      <c r="C933" s="35">
        <v>2024</v>
      </c>
      <c r="D933" s="37" t="s">
        <v>2389</v>
      </c>
      <c r="E933" s="37" t="s">
        <v>437</v>
      </c>
      <c r="F933" s="25">
        <v>684175009</v>
      </c>
      <c r="G933" s="175" t="s">
        <v>26</v>
      </c>
      <c r="H933" s="171">
        <v>0</v>
      </c>
      <c r="I933" s="172">
        <v>0</v>
      </c>
      <c r="J933" s="171">
        <v>604046405</v>
      </c>
      <c r="K933" s="171">
        <v>0</v>
      </c>
      <c r="L933" s="171">
        <v>0</v>
      </c>
      <c r="M933" s="171">
        <v>80128604</v>
      </c>
      <c r="N933" s="171">
        <v>0</v>
      </c>
      <c r="P933" s="173">
        <f t="shared" si="16"/>
        <v>0</v>
      </c>
      <c r="V933" s="163"/>
      <c r="W933" s="163"/>
    </row>
    <row r="934" spans="1:23" s="17" customFormat="1">
      <c r="A934" s="168"/>
      <c r="B934" s="37" t="s">
        <v>18</v>
      </c>
      <c r="C934" s="35">
        <v>2024</v>
      </c>
      <c r="D934" s="37" t="s">
        <v>2390</v>
      </c>
      <c r="E934" s="37" t="s">
        <v>2427</v>
      </c>
      <c r="F934" s="25">
        <v>48174000</v>
      </c>
      <c r="G934" s="175" t="s">
        <v>26</v>
      </c>
      <c r="H934" s="171">
        <v>0</v>
      </c>
      <c r="I934" s="172">
        <v>0</v>
      </c>
      <c r="J934" s="171">
        <v>42532000</v>
      </c>
      <c r="K934" s="171">
        <v>0</v>
      </c>
      <c r="L934" s="171">
        <v>0</v>
      </c>
      <c r="M934" s="171">
        <v>5642000</v>
      </c>
      <c r="N934" s="171">
        <v>0</v>
      </c>
      <c r="P934" s="173">
        <f t="shared" si="16"/>
        <v>0</v>
      </c>
      <c r="V934" s="163"/>
      <c r="W934" s="163"/>
    </row>
    <row r="935" spans="1:23" s="17" customFormat="1">
      <c r="A935" s="168"/>
      <c r="B935" s="37" t="s">
        <v>18</v>
      </c>
      <c r="C935" s="35">
        <v>2024</v>
      </c>
      <c r="D935" s="37" t="s">
        <v>2391</v>
      </c>
      <c r="E935" s="37" t="s">
        <v>437</v>
      </c>
      <c r="F935" s="25">
        <v>20000000</v>
      </c>
      <c r="G935" s="175" t="s">
        <v>26</v>
      </c>
      <c r="H935" s="171">
        <v>0</v>
      </c>
      <c r="I935" s="172">
        <v>19600000</v>
      </c>
      <c r="J935" s="171">
        <v>0</v>
      </c>
      <c r="K935" s="171">
        <v>0</v>
      </c>
      <c r="L935" s="171">
        <v>0</v>
      </c>
      <c r="M935" s="171">
        <v>400000</v>
      </c>
      <c r="N935" s="171">
        <v>0</v>
      </c>
      <c r="P935" s="173">
        <f t="shared" si="16"/>
        <v>0</v>
      </c>
      <c r="V935" s="163"/>
      <c r="W935" s="163"/>
    </row>
    <row r="936" spans="1:23" s="17" customFormat="1">
      <c r="A936" s="168"/>
      <c r="B936" s="37" t="s">
        <v>18</v>
      </c>
      <c r="C936" s="35">
        <v>2024</v>
      </c>
      <c r="D936" s="37" t="s">
        <v>2392</v>
      </c>
      <c r="E936" s="37" t="s">
        <v>430</v>
      </c>
      <c r="F936" s="25">
        <v>45547541</v>
      </c>
      <c r="G936" s="175" t="s">
        <v>26</v>
      </c>
      <c r="H936" s="171">
        <v>0</v>
      </c>
      <c r="I936" s="172">
        <v>0</v>
      </c>
      <c r="J936" s="171">
        <v>40213145</v>
      </c>
      <c r="K936" s="171">
        <v>0</v>
      </c>
      <c r="L936" s="171">
        <v>0</v>
      </c>
      <c r="M936" s="171">
        <v>5334396</v>
      </c>
      <c r="N936" s="171">
        <v>0</v>
      </c>
      <c r="P936" s="173">
        <f t="shared" si="16"/>
        <v>0</v>
      </c>
      <c r="V936" s="163"/>
      <c r="W936" s="163"/>
    </row>
    <row r="937" spans="1:23" s="17" customFormat="1">
      <c r="A937" s="168"/>
      <c r="B937" s="37" t="s">
        <v>18</v>
      </c>
      <c r="C937" s="35">
        <v>2024</v>
      </c>
      <c r="D937" s="37" t="s">
        <v>2393</v>
      </c>
      <c r="E937" s="37" t="s">
        <v>2428</v>
      </c>
      <c r="F937" s="25">
        <v>22100877</v>
      </c>
      <c r="G937" s="175" t="s">
        <v>26</v>
      </c>
      <c r="H937" s="171">
        <v>0</v>
      </c>
      <c r="I937" s="172">
        <v>0</v>
      </c>
      <c r="J937" s="171">
        <v>19512486</v>
      </c>
      <c r="K937" s="171">
        <v>0</v>
      </c>
      <c r="L937" s="171">
        <v>0</v>
      </c>
      <c r="M937" s="171">
        <v>2588391</v>
      </c>
      <c r="N937" s="171">
        <v>0</v>
      </c>
      <c r="P937" s="173">
        <f t="shared" si="16"/>
        <v>0</v>
      </c>
      <c r="V937" s="163"/>
      <c r="W937" s="163"/>
    </row>
    <row r="938" spans="1:23" s="17" customFormat="1">
      <c r="A938" s="168"/>
      <c r="B938" s="37" t="s">
        <v>18</v>
      </c>
      <c r="C938" s="35">
        <v>2024</v>
      </c>
      <c r="D938" s="37" t="s">
        <v>2152</v>
      </c>
      <c r="E938" s="37" t="s">
        <v>425</v>
      </c>
      <c r="F938" s="25">
        <v>56499000</v>
      </c>
      <c r="G938" s="175" t="s">
        <v>26</v>
      </c>
      <c r="H938" s="171">
        <v>50900000</v>
      </c>
      <c r="I938" s="172">
        <v>0</v>
      </c>
      <c r="J938" s="171">
        <v>0</v>
      </c>
      <c r="K938" s="171">
        <v>0</v>
      </c>
      <c r="L938" s="171">
        <v>0</v>
      </c>
      <c r="M938" s="171">
        <v>0</v>
      </c>
      <c r="N938" s="171">
        <v>0</v>
      </c>
      <c r="P938" s="270">
        <f t="shared" si="16"/>
        <v>5599000</v>
      </c>
      <c r="V938" s="163"/>
      <c r="W938" s="163"/>
    </row>
    <row r="939" spans="1:23" s="17" customFormat="1">
      <c r="A939" s="168"/>
      <c r="B939" s="37" t="s">
        <v>18</v>
      </c>
      <c r="C939" s="35">
        <v>2024</v>
      </c>
      <c r="D939" s="37" t="s">
        <v>2394</v>
      </c>
      <c r="E939" s="37" t="s">
        <v>2429</v>
      </c>
      <c r="F939" s="25">
        <v>101313727</v>
      </c>
      <c r="G939" s="175" t="s">
        <v>26</v>
      </c>
      <c r="H939" s="171">
        <v>0</v>
      </c>
      <c r="I939" s="172">
        <v>0</v>
      </c>
      <c r="J939" s="171">
        <v>89448156</v>
      </c>
      <c r="K939" s="171">
        <v>0</v>
      </c>
      <c r="L939" s="171">
        <v>0</v>
      </c>
      <c r="M939" s="171">
        <v>11865571</v>
      </c>
      <c r="N939" s="171">
        <v>0</v>
      </c>
      <c r="P939" s="173">
        <f t="shared" si="16"/>
        <v>0</v>
      </c>
      <c r="V939" s="163"/>
      <c r="W939" s="163"/>
    </row>
    <row r="940" spans="1:23" s="17" customFormat="1">
      <c r="A940" s="168"/>
      <c r="B940" s="37" t="s">
        <v>18</v>
      </c>
      <c r="C940" s="35">
        <v>2024</v>
      </c>
      <c r="D940" s="37" t="s">
        <v>2395</v>
      </c>
      <c r="E940" s="37" t="s">
        <v>2430</v>
      </c>
      <c r="F940" s="25">
        <v>272596020</v>
      </c>
      <c r="G940" s="175" t="s">
        <v>26</v>
      </c>
      <c r="H940" s="171">
        <v>0</v>
      </c>
      <c r="I940" s="172">
        <v>240670360</v>
      </c>
      <c r="J940" s="171">
        <v>0</v>
      </c>
      <c r="K940" s="171">
        <v>0</v>
      </c>
      <c r="L940" s="171">
        <v>0</v>
      </c>
      <c r="M940" s="171">
        <v>31925660</v>
      </c>
      <c r="N940" s="171">
        <v>0</v>
      </c>
      <c r="P940" s="173">
        <f t="shared" si="16"/>
        <v>0</v>
      </c>
      <c r="V940" s="163"/>
      <c r="W940" s="163"/>
    </row>
    <row r="941" spans="1:23" s="17" customFormat="1">
      <c r="A941" s="168"/>
      <c r="B941" s="37" t="s">
        <v>18</v>
      </c>
      <c r="C941" s="35">
        <v>2024</v>
      </c>
      <c r="D941" s="37" t="s">
        <v>2396</v>
      </c>
      <c r="E941" s="37" t="s">
        <v>509</v>
      </c>
      <c r="F941" s="25">
        <v>625000</v>
      </c>
      <c r="G941" s="175" t="s">
        <v>26</v>
      </c>
      <c r="H941" s="171">
        <v>625000</v>
      </c>
      <c r="I941" s="172">
        <v>0</v>
      </c>
      <c r="J941" s="171">
        <v>0</v>
      </c>
      <c r="K941" s="171">
        <v>0</v>
      </c>
      <c r="L941" s="171">
        <v>0</v>
      </c>
      <c r="M941" s="171">
        <v>0</v>
      </c>
      <c r="N941" s="171">
        <v>0</v>
      </c>
      <c r="P941" s="173">
        <f t="shared" si="16"/>
        <v>0</v>
      </c>
      <c r="V941" s="163"/>
      <c r="W941" s="163"/>
    </row>
    <row r="942" spans="1:23" s="17" customFormat="1">
      <c r="A942" s="168"/>
      <c r="B942" s="37" t="s">
        <v>18</v>
      </c>
      <c r="C942" s="35">
        <v>2024</v>
      </c>
      <c r="D942" s="37" t="s">
        <v>2397</v>
      </c>
      <c r="E942" s="37" t="s">
        <v>2430</v>
      </c>
      <c r="F942" s="25">
        <v>20249730</v>
      </c>
      <c r="G942" s="175" t="s">
        <v>26</v>
      </c>
      <c r="H942" s="171">
        <v>0</v>
      </c>
      <c r="I942" s="172">
        <v>17878140</v>
      </c>
      <c r="J942" s="171">
        <v>0</v>
      </c>
      <c r="K942" s="171">
        <v>0</v>
      </c>
      <c r="L942" s="171">
        <v>0</v>
      </c>
      <c r="M942" s="171">
        <v>2371590</v>
      </c>
      <c r="N942" s="171">
        <v>0</v>
      </c>
      <c r="P942" s="173">
        <f t="shared" si="16"/>
        <v>0</v>
      </c>
      <c r="V942" s="163"/>
      <c r="W942" s="163"/>
    </row>
    <row r="943" spans="1:23" s="17" customFormat="1">
      <c r="A943" s="168"/>
      <c r="B943" s="37" t="s">
        <v>18</v>
      </c>
      <c r="C943" s="35">
        <v>2024</v>
      </c>
      <c r="D943" s="37" t="s">
        <v>2153</v>
      </c>
      <c r="E943" s="37" t="s">
        <v>433</v>
      </c>
      <c r="F943" s="25">
        <v>10729235</v>
      </c>
      <c r="G943" s="175" t="s">
        <v>26</v>
      </c>
      <c r="H943" s="171">
        <v>10638235</v>
      </c>
      <c r="I943" s="172">
        <v>0</v>
      </c>
      <c r="J943" s="171">
        <v>0</v>
      </c>
      <c r="K943" s="171">
        <v>0</v>
      </c>
      <c r="L943" s="171">
        <v>0</v>
      </c>
      <c r="M943" s="171">
        <v>91000</v>
      </c>
      <c r="N943" s="171">
        <v>0</v>
      </c>
      <c r="P943" s="173">
        <f t="shared" si="16"/>
        <v>0</v>
      </c>
      <c r="V943" s="163"/>
      <c r="W943" s="163"/>
    </row>
    <row r="944" spans="1:23" s="17" customFormat="1">
      <c r="A944" s="176"/>
      <c r="B944" s="120" t="s">
        <v>18</v>
      </c>
      <c r="C944" s="177">
        <v>2024</v>
      </c>
      <c r="D944" s="120" t="s">
        <v>2398</v>
      </c>
      <c r="E944" s="120" t="s">
        <v>2431</v>
      </c>
      <c r="F944" s="217">
        <v>68007267</v>
      </c>
      <c r="G944" s="183" t="s">
        <v>451</v>
      </c>
      <c r="H944" s="171">
        <v>0</v>
      </c>
      <c r="I944" s="172">
        <v>0</v>
      </c>
      <c r="J944" s="171">
        <v>60042452</v>
      </c>
      <c r="K944" s="171">
        <v>0</v>
      </c>
      <c r="L944" s="171">
        <v>0</v>
      </c>
      <c r="M944" s="171">
        <v>7964815</v>
      </c>
      <c r="N944" s="171">
        <v>0</v>
      </c>
      <c r="O944" s="43"/>
      <c r="P944" s="173">
        <f t="shared" si="16"/>
        <v>0</v>
      </c>
      <c r="Q944" s="43"/>
      <c r="R944" s="43"/>
      <c r="S944" s="43"/>
      <c r="T944" s="43"/>
      <c r="U944" s="43"/>
      <c r="V944" s="178"/>
      <c r="W944" s="178"/>
    </row>
    <row r="945" spans="1:23" s="17" customFormat="1">
      <c r="A945" s="176"/>
      <c r="B945" s="120" t="s">
        <v>18</v>
      </c>
      <c r="C945" s="177">
        <v>2024</v>
      </c>
      <c r="D945" s="120" t="s">
        <v>6263</v>
      </c>
      <c r="E945" s="120" t="s">
        <v>442</v>
      </c>
      <c r="F945" s="217">
        <v>112651014</v>
      </c>
      <c r="G945" s="183" t="s">
        <v>451</v>
      </c>
      <c r="H945" s="171">
        <v>0</v>
      </c>
      <c r="I945" s="172">
        <v>0</v>
      </c>
      <c r="J945" s="171">
        <v>99457652</v>
      </c>
      <c r="K945" s="171">
        <v>0</v>
      </c>
      <c r="L945" s="171">
        <v>0</v>
      </c>
      <c r="M945" s="171">
        <v>13193362</v>
      </c>
      <c r="N945" s="171">
        <v>0</v>
      </c>
      <c r="O945" s="43"/>
      <c r="P945" s="173">
        <f t="shared" si="16"/>
        <v>0</v>
      </c>
      <c r="Q945" s="43"/>
      <c r="R945" s="43"/>
      <c r="S945" s="43"/>
      <c r="T945" s="43"/>
      <c r="U945" s="43"/>
      <c r="V945" s="178"/>
      <c r="W945" s="178"/>
    </row>
    <row r="946" spans="1:23" s="17" customFormat="1">
      <c r="A946" s="168"/>
      <c r="B946" s="37" t="s">
        <v>18</v>
      </c>
      <c r="C946" s="35">
        <v>2024</v>
      </c>
      <c r="D946" s="37" t="s">
        <v>2399</v>
      </c>
      <c r="E946" s="37" t="s">
        <v>436</v>
      </c>
      <c r="F946" s="25">
        <v>93353220</v>
      </c>
      <c r="G946" s="175" t="s">
        <v>26</v>
      </c>
      <c r="H946" s="171">
        <v>0</v>
      </c>
      <c r="I946" s="172">
        <v>0</v>
      </c>
      <c r="J946" s="171">
        <v>82419960</v>
      </c>
      <c r="K946" s="171">
        <v>0</v>
      </c>
      <c r="L946" s="171">
        <v>0</v>
      </c>
      <c r="M946" s="171">
        <v>10933260</v>
      </c>
      <c r="N946" s="171">
        <v>0</v>
      </c>
      <c r="P946" s="173">
        <f t="shared" si="16"/>
        <v>0</v>
      </c>
      <c r="V946" s="163"/>
      <c r="W946" s="163"/>
    </row>
    <row r="947" spans="1:23" s="17" customFormat="1">
      <c r="A947" s="168"/>
      <c r="B947" s="37" t="s">
        <v>18</v>
      </c>
      <c r="C947" s="35">
        <v>2024</v>
      </c>
      <c r="D947" s="37" t="s">
        <v>2400</v>
      </c>
      <c r="E947" s="37" t="s">
        <v>2432</v>
      </c>
      <c r="F947" s="25">
        <v>95695741</v>
      </c>
      <c r="G947" s="175" t="s">
        <v>26</v>
      </c>
      <c r="H947" s="171">
        <v>0</v>
      </c>
      <c r="I947" s="172">
        <v>0</v>
      </c>
      <c r="J947" s="171">
        <v>84488132</v>
      </c>
      <c r="K947" s="171">
        <v>0</v>
      </c>
      <c r="L947" s="171">
        <v>0</v>
      </c>
      <c r="M947" s="171">
        <v>11207609</v>
      </c>
      <c r="N947" s="171">
        <v>0</v>
      </c>
      <c r="P947" s="173">
        <f t="shared" si="16"/>
        <v>0</v>
      </c>
      <c r="V947" s="163"/>
      <c r="W947" s="163"/>
    </row>
    <row r="948" spans="1:23" s="17" customFormat="1">
      <c r="A948" s="176"/>
      <c r="B948" s="120" t="s">
        <v>18</v>
      </c>
      <c r="C948" s="177">
        <v>2024</v>
      </c>
      <c r="D948" s="120" t="s">
        <v>2401</v>
      </c>
      <c r="E948" s="120" t="s">
        <v>2432</v>
      </c>
      <c r="F948" s="217">
        <v>7043871</v>
      </c>
      <c r="G948" s="183" t="s">
        <v>451</v>
      </c>
      <c r="H948" s="171">
        <v>7043871</v>
      </c>
      <c r="I948" s="172">
        <v>0</v>
      </c>
      <c r="J948" s="171">
        <v>0</v>
      </c>
      <c r="K948" s="171">
        <v>0</v>
      </c>
      <c r="L948" s="171">
        <v>0</v>
      </c>
      <c r="M948" s="171">
        <v>0</v>
      </c>
      <c r="N948" s="171">
        <v>0</v>
      </c>
      <c r="O948" s="43"/>
      <c r="P948" s="173">
        <f t="shared" si="16"/>
        <v>0</v>
      </c>
      <c r="Q948" s="43"/>
      <c r="R948" s="43"/>
      <c r="S948" s="43"/>
      <c r="T948" s="43"/>
      <c r="U948" s="43"/>
      <c r="V948" s="178"/>
      <c r="W948" s="178"/>
    </row>
    <row r="949" spans="1:23" s="17" customFormat="1">
      <c r="A949" s="176"/>
      <c r="B949" s="120" t="s">
        <v>18</v>
      </c>
      <c r="C949" s="177">
        <v>2024</v>
      </c>
      <c r="D949" s="120" t="s">
        <v>2402</v>
      </c>
      <c r="E949" s="120" t="s">
        <v>434</v>
      </c>
      <c r="F949" s="217">
        <v>425567706</v>
      </c>
      <c r="G949" s="183" t="s">
        <v>451</v>
      </c>
      <c r="H949" s="171">
        <v>0</v>
      </c>
      <c r="I949" s="172">
        <v>0</v>
      </c>
      <c r="J949" s="171">
        <v>375726444</v>
      </c>
      <c r="K949" s="171">
        <v>0</v>
      </c>
      <c r="L949" s="171">
        <v>0</v>
      </c>
      <c r="M949" s="171">
        <v>49841262</v>
      </c>
      <c r="N949" s="171">
        <v>0</v>
      </c>
      <c r="O949" s="43"/>
      <c r="P949" s="173">
        <f t="shared" si="16"/>
        <v>0</v>
      </c>
      <c r="Q949" s="43"/>
      <c r="R949" s="43"/>
      <c r="S949" s="43"/>
      <c r="T949" s="43"/>
      <c r="U949" s="43"/>
      <c r="V949" s="178"/>
      <c r="W949" s="178"/>
    </row>
    <row r="950" spans="1:23" s="17" customFormat="1">
      <c r="A950" s="168"/>
      <c r="B950" s="37" t="s">
        <v>18</v>
      </c>
      <c r="C950" s="35">
        <v>2024</v>
      </c>
      <c r="D950" s="37" t="s">
        <v>2403</v>
      </c>
      <c r="E950" s="37" t="s">
        <v>421</v>
      </c>
      <c r="F950" s="25">
        <v>134882</v>
      </c>
      <c r="G950" s="175" t="s">
        <v>26</v>
      </c>
      <c r="H950" s="171">
        <v>134882</v>
      </c>
      <c r="I950" s="172">
        <v>0</v>
      </c>
      <c r="J950" s="171">
        <v>0</v>
      </c>
      <c r="K950" s="171">
        <v>0</v>
      </c>
      <c r="L950" s="171">
        <v>0</v>
      </c>
      <c r="M950" s="171">
        <v>0</v>
      </c>
      <c r="N950" s="171">
        <v>0</v>
      </c>
      <c r="P950" s="173">
        <f t="shared" ref="P950:P981" si="17">F950-H950-I950-J950-K950-L950-M950</f>
        <v>0</v>
      </c>
      <c r="V950" s="163"/>
      <c r="W950" s="163"/>
    </row>
    <row r="951" spans="1:23" s="17" customFormat="1">
      <c r="A951" s="168"/>
      <c r="B951" s="37" t="s">
        <v>18</v>
      </c>
      <c r="C951" s="35">
        <v>2024</v>
      </c>
      <c r="D951" s="37" t="s">
        <v>6266</v>
      </c>
      <c r="E951" s="37" t="s">
        <v>435</v>
      </c>
      <c r="F951" s="25">
        <v>125575558</v>
      </c>
      <c r="G951" s="175" t="s">
        <v>26</v>
      </c>
      <c r="H951" s="171">
        <v>0</v>
      </c>
      <c r="I951" s="172">
        <v>0</v>
      </c>
      <c r="J951" s="171">
        <v>110868510</v>
      </c>
      <c r="K951" s="171">
        <v>0</v>
      </c>
      <c r="L951" s="171">
        <v>0</v>
      </c>
      <c r="M951" s="171">
        <v>14707048</v>
      </c>
      <c r="N951" s="171">
        <v>0</v>
      </c>
      <c r="P951" s="173">
        <f t="shared" si="17"/>
        <v>0</v>
      </c>
      <c r="V951" s="163"/>
      <c r="W951" s="163"/>
    </row>
    <row r="952" spans="1:23" s="17" customFormat="1">
      <c r="A952" s="168"/>
      <c r="B952" s="37" t="s">
        <v>18</v>
      </c>
      <c r="C952" s="35">
        <v>2024</v>
      </c>
      <c r="D952" s="37" t="s">
        <v>2404</v>
      </c>
      <c r="E952" s="37" t="s">
        <v>440</v>
      </c>
      <c r="F952" s="25">
        <v>36617790</v>
      </c>
      <c r="G952" s="175" t="s">
        <v>26</v>
      </c>
      <c r="H952" s="171">
        <v>0</v>
      </c>
      <c r="I952" s="172">
        <v>0</v>
      </c>
      <c r="J952" s="171">
        <v>32329220</v>
      </c>
      <c r="K952" s="171">
        <v>0</v>
      </c>
      <c r="L952" s="171">
        <v>0</v>
      </c>
      <c r="M952" s="171">
        <v>4288570</v>
      </c>
      <c r="N952" s="171">
        <v>0</v>
      </c>
      <c r="P952" s="173">
        <f t="shared" si="17"/>
        <v>0</v>
      </c>
      <c r="V952" s="163"/>
      <c r="W952" s="163"/>
    </row>
    <row r="953" spans="1:23" s="17" customFormat="1">
      <c r="A953" s="168"/>
      <c r="B953" s="37" t="s">
        <v>18</v>
      </c>
      <c r="C953" s="35">
        <v>2024</v>
      </c>
      <c r="D953" s="37" t="s">
        <v>2150</v>
      </c>
      <c r="E953" s="37" t="s">
        <v>440</v>
      </c>
      <c r="F953" s="25">
        <v>32962116</v>
      </c>
      <c r="G953" s="175" t="s">
        <v>26</v>
      </c>
      <c r="H953" s="171">
        <v>32962116</v>
      </c>
      <c r="I953" s="172">
        <v>0</v>
      </c>
      <c r="J953" s="171">
        <v>0</v>
      </c>
      <c r="K953" s="171">
        <v>0</v>
      </c>
      <c r="L953" s="171">
        <v>0</v>
      </c>
      <c r="M953" s="171">
        <v>0</v>
      </c>
      <c r="N953" s="171">
        <v>0</v>
      </c>
      <c r="P953" s="173">
        <f t="shared" si="17"/>
        <v>0</v>
      </c>
      <c r="V953" s="163"/>
      <c r="W953" s="163"/>
    </row>
    <row r="954" spans="1:23" s="17" customFormat="1">
      <c r="A954" s="168"/>
      <c r="B954" s="37" t="s">
        <v>18</v>
      </c>
      <c r="C954" s="35">
        <v>2024</v>
      </c>
      <c r="D954" s="37" t="s">
        <v>2151</v>
      </c>
      <c r="E954" s="37" t="s">
        <v>440</v>
      </c>
      <c r="F954" s="25">
        <v>16019520</v>
      </c>
      <c r="G954" s="175" t="s">
        <v>26</v>
      </c>
      <c r="H954" s="171">
        <f>1609520+14410000</f>
        <v>16019520</v>
      </c>
      <c r="I954" s="172">
        <v>0</v>
      </c>
      <c r="J954" s="171">
        <v>0</v>
      </c>
      <c r="K954" s="171">
        <v>0</v>
      </c>
      <c r="L954" s="171">
        <v>0</v>
      </c>
      <c r="M954" s="171">
        <v>0</v>
      </c>
      <c r="N954" s="171">
        <v>0</v>
      </c>
      <c r="P954" s="173">
        <f t="shared" si="17"/>
        <v>0</v>
      </c>
      <c r="V954" s="163"/>
      <c r="W954" s="163"/>
    </row>
    <row r="955" spans="1:23" s="17" customFormat="1">
      <c r="A955" s="168"/>
      <c r="B955" s="37" t="s">
        <v>18</v>
      </c>
      <c r="C955" s="35">
        <v>2024</v>
      </c>
      <c r="D955" s="37" t="s">
        <v>2405</v>
      </c>
      <c r="E955" s="37" t="s">
        <v>440</v>
      </c>
      <c r="F955" s="25">
        <v>17787528</v>
      </c>
      <c r="G955" s="175" t="s">
        <v>26</v>
      </c>
      <c r="H955" s="171">
        <v>0</v>
      </c>
      <c r="I955" s="172">
        <v>0</v>
      </c>
      <c r="J955" s="171">
        <v>15701404</v>
      </c>
      <c r="K955" s="171">
        <v>0</v>
      </c>
      <c r="L955" s="171">
        <v>0</v>
      </c>
      <c r="M955" s="171">
        <v>2086124</v>
      </c>
      <c r="N955" s="171">
        <v>0</v>
      </c>
      <c r="P955" s="173">
        <f t="shared" si="17"/>
        <v>0</v>
      </c>
      <c r="V955" s="163"/>
      <c r="W955" s="163"/>
    </row>
    <row r="956" spans="1:23" s="17" customFormat="1">
      <c r="A956" s="168"/>
      <c r="B956" s="37" t="s">
        <v>18</v>
      </c>
      <c r="C956" s="35">
        <v>2024</v>
      </c>
      <c r="D956" s="37" t="s">
        <v>2406</v>
      </c>
      <c r="E956" s="37" t="s">
        <v>440</v>
      </c>
      <c r="F956" s="25">
        <v>18765549</v>
      </c>
      <c r="G956" s="175" t="s">
        <v>26</v>
      </c>
      <c r="H956" s="171">
        <v>0</v>
      </c>
      <c r="I956" s="172">
        <v>0</v>
      </c>
      <c r="J956" s="171">
        <f>16532139+32743</f>
        <v>16564882</v>
      </c>
      <c r="K956" s="171">
        <v>0</v>
      </c>
      <c r="L956" s="171">
        <v>0</v>
      </c>
      <c r="M956" s="171">
        <v>2200667</v>
      </c>
      <c r="N956" s="171">
        <v>0</v>
      </c>
      <c r="P956" s="173">
        <f t="shared" si="17"/>
        <v>0</v>
      </c>
      <c r="V956" s="163"/>
      <c r="W956" s="163"/>
    </row>
    <row r="957" spans="1:23" s="17" customFormat="1">
      <c r="A957" s="168"/>
      <c r="B957" s="37" t="s">
        <v>18</v>
      </c>
      <c r="C957" s="35">
        <v>2024</v>
      </c>
      <c r="D957" s="37" t="s">
        <v>2407</v>
      </c>
      <c r="E957" s="37" t="s">
        <v>440</v>
      </c>
      <c r="F957" s="25">
        <v>17909628</v>
      </c>
      <c r="G957" s="175" t="s">
        <v>26</v>
      </c>
      <c r="H957" s="171">
        <v>0</v>
      </c>
      <c r="I957" s="172">
        <v>0</v>
      </c>
      <c r="J957" s="171">
        <v>15809204</v>
      </c>
      <c r="K957" s="171">
        <v>0</v>
      </c>
      <c r="L957" s="171">
        <v>0</v>
      </c>
      <c r="M957" s="171">
        <v>2100424</v>
      </c>
      <c r="N957" s="171">
        <v>0</v>
      </c>
      <c r="P957" s="173">
        <f t="shared" si="17"/>
        <v>0</v>
      </c>
      <c r="V957" s="163"/>
      <c r="W957" s="163"/>
    </row>
    <row r="958" spans="1:23" s="17" customFormat="1">
      <c r="A958" s="168"/>
      <c r="B958" s="37" t="s">
        <v>18</v>
      </c>
      <c r="C958" s="35">
        <v>2024</v>
      </c>
      <c r="D958" s="37" t="s">
        <v>2408</v>
      </c>
      <c r="E958" s="37" t="s">
        <v>500</v>
      </c>
      <c r="F958" s="25">
        <v>22117308</v>
      </c>
      <c r="G958" s="175" t="s">
        <v>26</v>
      </c>
      <c r="H958" s="171">
        <v>0</v>
      </c>
      <c r="I958" s="172">
        <v>0</v>
      </c>
      <c r="J958" s="171">
        <v>19526993</v>
      </c>
      <c r="K958" s="171">
        <v>0</v>
      </c>
      <c r="L958" s="171">
        <v>0</v>
      </c>
      <c r="M958" s="171">
        <v>2590315</v>
      </c>
      <c r="N958" s="171">
        <v>0</v>
      </c>
      <c r="P958" s="173">
        <f t="shared" si="17"/>
        <v>0</v>
      </c>
      <c r="V958" s="163"/>
      <c r="W958" s="163"/>
    </row>
    <row r="959" spans="1:23" s="17" customFormat="1">
      <c r="A959" s="168"/>
      <c r="B959" s="37" t="s">
        <v>18</v>
      </c>
      <c r="C959" s="35">
        <v>2024</v>
      </c>
      <c r="D959" s="37" t="s">
        <v>2409</v>
      </c>
      <c r="E959" s="37" t="s">
        <v>2433</v>
      </c>
      <c r="F959" s="25">
        <v>159978750</v>
      </c>
      <c r="G959" s="175" t="s">
        <v>26</v>
      </c>
      <c r="H959" s="171">
        <v>0</v>
      </c>
      <c r="I959" s="172">
        <v>0</v>
      </c>
      <c r="J959" s="171">
        <f>157358295+2358410</f>
        <v>159716705</v>
      </c>
      <c r="K959" s="171">
        <v>0</v>
      </c>
      <c r="L959" s="171">
        <v>0</v>
      </c>
      <c r="M959" s="171">
        <v>262045</v>
      </c>
      <c r="N959" s="171">
        <v>0</v>
      </c>
      <c r="P959" s="173">
        <f t="shared" si="17"/>
        <v>0</v>
      </c>
      <c r="V959" s="163"/>
      <c r="W959" s="163"/>
    </row>
    <row r="960" spans="1:23" s="17" customFormat="1">
      <c r="A960" s="168"/>
      <c r="B960" s="37" t="s">
        <v>18</v>
      </c>
      <c r="C960" s="35">
        <v>2024</v>
      </c>
      <c r="D960" s="37" t="s">
        <v>2410</v>
      </c>
      <c r="E960" s="37" t="s">
        <v>437</v>
      </c>
      <c r="F960" s="25">
        <v>13997988</v>
      </c>
      <c r="G960" s="175" t="s">
        <v>26</v>
      </c>
      <c r="H960" s="171">
        <v>0</v>
      </c>
      <c r="I960" s="172">
        <v>0</v>
      </c>
      <c r="J960" s="171">
        <v>12358584</v>
      </c>
      <c r="K960" s="171">
        <v>0</v>
      </c>
      <c r="L960" s="171">
        <v>0</v>
      </c>
      <c r="M960" s="171">
        <v>1639404</v>
      </c>
      <c r="N960" s="171">
        <v>0</v>
      </c>
      <c r="P960" s="173">
        <f t="shared" si="17"/>
        <v>0</v>
      </c>
      <c r="V960" s="163"/>
      <c r="W960" s="163"/>
    </row>
    <row r="961" spans="1:23" s="17" customFormat="1">
      <c r="A961" s="168"/>
      <c r="B961" s="37" t="s">
        <v>18</v>
      </c>
      <c r="C961" s="35">
        <v>2024</v>
      </c>
      <c r="D961" s="37" t="s">
        <v>2411</v>
      </c>
      <c r="E961" s="37" t="s">
        <v>2434</v>
      </c>
      <c r="F961" s="25">
        <v>30525000</v>
      </c>
      <c r="G961" s="175" t="s">
        <v>26</v>
      </c>
      <c r="H961" s="171">
        <v>0</v>
      </c>
      <c r="I961" s="172">
        <v>26950000</v>
      </c>
      <c r="J961" s="171">
        <v>0</v>
      </c>
      <c r="K961" s="171">
        <v>0</v>
      </c>
      <c r="L961" s="171">
        <v>0</v>
      </c>
      <c r="M961" s="171">
        <v>3575000</v>
      </c>
      <c r="N961" s="171">
        <v>0</v>
      </c>
      <c r="P961" s="173">
        <f t="shared" si="17"/>
        <v>0</v>
      </c>
      <c r="V961" s="163"/>
      <c r="W961" s="163"/>
    </row>
    <row r="962" spans="1:23" s="17" customFormat="1">
      <c r="A962" s="168"/>
      <c r="B962" s="37" t="s">
        <v>18</v>
      </c>
      <c r="C962" s="35">
        <v>2024</v>
      </c>
      <c r="D962" s="37" t="s">
        <v>2412</v>
      </c>
      <c r="E962" s="37" t="s">
        <v>440</v>
      </c>
      <c r="F962" s="25">
        <v>30645879</v>
      </c>
      <c r="G962" s="175" t="s">
        <v>26</v>
      </c>
      <c r="H962" s="171">
        <v>0</v>
      </c>
      <c r="I962" s="172">
        <v>0</v>
      </c>
      <c r="J962" s="171">
        <v>27053822</v>
      </c>
      <c r="K962" s="171">
        <v>0</v>
      </c>
      <c r="L962" s="171">
        <v>0</v>
      </c>
      <c r="M962" s="171">
        <v>3592057</v>
      </c>
      <c r="N962" s="171">
        <v>0</v>
      </c>
      <c r="P962" s="173">
        <f t="shared" si="17"/>
        <v>0</v>
      </c>
      <c r="V962" s="163"/>
      <c r="W962" s="163"/>
    </row>
    <row r="963" spans="1:23" s="17" customFormat="1">
      <c r="A963" s="168"/>
      <c r="B963" s="37" t="s">
        <v>18</v>
      </c>
      <c r="C963" s="35">
        <v>2024</v>
      </c>
      <c r="D963" s="37" t="s">
        <v>2413</v>
      </c>
      <c r="E963" s="37" t="s">
        <v>506</v>
      </c>
      <c r="F963" s="25">
        <v>19715820</v>
      </c>
      <c r="G963" s="175" t="s">
        <v>26</v>
      </c>
      <c r="H963" s="171">
        <v>0</v>
      </c>
      <c r="I963" s="172">
        <v>0</v>
      </c>
      <c r="J963" s="171">
        <v>17406760</v>
      </c>
      <c r="K963" s="171">
        <v>0</v>
      </c>
      <c r="L963" s="171">
        <v>0</v>
      </c>
      <c r="M963" s="171">
        <v>2309060</v>
      </c>
      <c r="N963" s="171">
        <v>0</v>
      </c>
      <c r="P963" s="173">
        <f t="shared" si="17"/>
        <v>0</v>
      </c>
      <c r="V963" s="163"/>
      <c r="W963" s="163"/>
    </row>
    <row r="964" spans="1:23" s="17" customFormat="1">
      <c r="A964" s="176"/>
      <c r="B964" s="120" t="s">
        <v>18</v>
      </c>
      <c r="C964" s="177">
        <v>2024</v>
      </c>
      <c r="D964" s="120" t="s">
        <v>2414</v>
      </c>
      <c r="E964" s="120" t="s">
        <v>438</v>
      </c>
      <c r="F964" s="217">
        <v>102076710</v>
      </c>
      <c r="G964" s="183" t="s">
        <v>451</v>
      </c>
      <c r="H964" s="171">
        <v>0</v>
      </c>
      <c r="I964" s="172">
        <v>0</v>
      </c>
      <c r="J964" s="171">
        <v>90121780</v>
      </c>
      <c r="K964" s="171">
        <v>0</v>
      </c>
      <c r="L964" s="171">
        <v>0</v>
      </c>
      <c r="M964" s="171">
        <v>11954930</v>
      </c>
      <c r="N964" s="171">
        <v>0</v>
      </c>
      <c r="O964" s="43"/>
      <c r="P964" s="173">
        <f t="shared" si="17"/>
        <v>0</v>
      </c>
      <c r="Q964" s="43"/>
      <c r="R964" s="43"/>
      <c r="S964" s="43"/>
      <c r="T964" s="43"/>
      <c r="U964" s="43"/>
      <c r="V964" s="178"/>
      <c r="W964" s="178"/>
    </row>
    <row r="965" spans="1:23" s="17" customFormat="1">
      <c r="A965" s="176"/>
      <c r="B965" s="120" t="s">
        <v>18</v>
      </c>
      <c r="C965" s="177">
        <v>2024</v>
      </c>
      <c r="D965" s="120" t="s">
        <v>2145</v>
      </c>
      <c r="E965" s="120" t="s">
        <v>421</v>
      </c>
      <c r="F965" s="217">
        <v>31474414</v>
      </c>
      <c r="G965" s="183" t="s">
        <v>451</v>
      </c>
      <c r="H965" s="171">
        <v>0</v>
      </c>
      <c r="I965" s="172">
        <v>0</v>
      </c>
      <c r="J965" s="171">
        <v>27788222</v>
      </c>
      <c r="K965" s="171">
        <v>0</v>
      </c>
      <c r="L965" s="171">
        <v>0</v>
      </c>
      <c r="M965" s="171">
        <v>3686192</v>
      </c>
      <c r="N965" s="171">
        <v>0</v>
      </c>
      <c r="O965" s="43"/>
      <c r="P965" s="173">
        <f t="shared" si="17"/>
        <v>0</v>
      </c>
      <c r="Q965" s="43"/>
      <c r="R965" s="43"/>
      <c r="S965" s="43"/>
      <c r="T965" s="43"/>
      <c r="U965" s="43"/>
      <c r="V965" s="178"/>
      <c r="W965" s="178"/>
    </row>
    <row r="966" spans="1:23" s="17" customFormat="1">
      <c r="A966" s="168"/>
      <c r="B966" s="37" t="s">
        <v>18</v>
      </c>
      <c r="C966" s="35">
        <v>2024</v>
      </c>
      <c r="D966" s="37" t="s">
        <v>2146</v>
      </c>
      <c r="E966" s="37" t="s">
        <v>2435</v>
      </c>
      <c r="F966" s="25">
        <v>125898209</v>
      </c>
      <c r="G966" s="175" t="s">
        <v>26</v>
      </c>
      <c r="H966" s="171">
        <v>0</v>
      </c>
      <c r="I966" s="172">
        <v>0</v>
      </c>
      <c r="J966" s="171">
        <v>111153374</v>
      </c>
      <c r="K966" s="171">
        <v>0</v>
      </c>
      <c r="L966" s="171">
        <v>0</v>
      </c>
      <c r="M966" s="171">
        <v>14744835</v>
      </c>
      <c r="N966" s="171">
        <v>0</v>
      </c>
      <c r="P966" s="173">
        <f t="shared" si="17"/>
        <v>0</v>
      </c>
      <c r="V966" s="163"/>
      <c r="W966" s="163"/>
    </row>
    <row r="967" spans="1:23" s="17" customFormat="1">
      <c r="A967" s="168"/>
      <c r="B967" s="37" t="s">
        <v>18</v>
      </c>
      <c r="C967" s="35">
        <v>2024</v>
      </c>
      <c r="D967" s="37" t="s">
        <v>2415</v>
      </c>
      <c r="E967" s="37" t="s">
        <v>505</v>
      </c>
      <c r="F967" s="25">
        <v>92716188</v>
      </c>
      <c r="G967" s="175" t="s">
        <v>26</v>
      </c>
      <c r="H967" s="171">
        <v>0</v>
      </c>
      <c r="I967" s="172">
        <v>0</v>
      </c>
      <c r="J967" s="171">
        <v>81857535</v>
      </c>
      <c r="K967" s="171">
        <v>0</v>
      </c>
      <c r="L967" s="171">
        <v>0</v>
      </c>
      <c r="M967" s="171">
        <v>10858653</v>
      </c>
      <c r="N967" s="171">
        <v>0</v>
      </c>
      <c r="P967" s="173">
        <f t="shared" si="17"/>
        <v>0</v>
      </c>
      <c r="V967" s="163"/>
      <c r="W967" s="163"/>
    </row>
    <row r="968" spans="1:23" s="17" customFormat="1">
      <c r="A968" s="168"/>
      <c r="B968" s="37" t="s">
        <v>18</v>
      </c>
      <c r="C968" s="35">
        <v>2024</v>
      </c>
      <c r="D968" s="37" t="s">
        <v>2416</v>
      </c>
      <c r="E968" s="37" t="s">
        <v>509</v>
      </c>
      <c r="F968" s="25">
        <v>233737596</v>
      </c>
      <c r="G968" s="175" t="s">
        <v>26</v>
      </c>
      <c r="H968" s="171">
        <v>0</v>
      </c>
      <c r="I968" s="172">
        <v>0</v>
      </c>
      <c r="J968" s="171">
        <v>206362923</v>
      </c>
      <c r="K968" s="171">
        <v>0</v>
      </c>
      <c r="L968" s="171">
        <v>0</v>
      </c>
      <c r="M968" s="171">
        <v>27374673</v>
      </c>
      <c r="N968" s="171">
        <v>0</v>
      </c>
      <c r="P968" s="173">
        <f t="shared" si="17"/>
        <v>0</v>
      </c>
      <c r="V968" s="163"/>
      <c r="W968" s="163"/>
    </row>
    <row r="969" spans="1:23" s="17" customFormat="1">
      <c r="A969" s="176"/>
      <c r="B969" s="120" t="s">
        <v>18</v>
      </c>
      <c r="C969" s="177">
        <v>2024</v>
      </c>
      <c r="D969" s="120" t="s">
        <v>2417</v>
      </c>
      <c r="E969" s="120" t="s">
        <v>2435</v>
      </c>
      <c r="F969" s="217">
        <v>100992971</v>
      </c>
      <c r="G969" s="183" t="s">
        <v>451</v>
      </c>
      <c r="H969" s="171">
        <v>0</v>
      </c>
      <c r="I969" s="172">
        <v>0</v>
      </c>
      <c r="J969" s="171">
        <v>89164966</v>
      </c>
      <c r="K969" s="171">
        <v>0</v>
      </c>
      <c r="L969" s="171">
        <v>0</v>
      </c>
      <c r="M969" s="171">
        <v>11828005</v>
      </c>
      <c r="N969" s="171">
        <v>0</v>
      </c>
      <c r="O969" s="43"/>
      <c r="P969" s="173">
        <f t="shared" si="17"/>
        <v>0</v>
      </c>
      <c r="Q969" s="43"/>
      <c r="R969" s="43"/>
      <c r="S969" s="43"/>
      <c r="T969" s="43"/>
      <c r="U969" s="43"/>
      <c r="V969" s="178"/>
      <c r="W969" s="178"/>
    </row>
    <row r="970" spans="1:23" s="17" customFormat="1">
      <c r="A970" s="176"/>
      <c r="B970" s="120" t="s">
        <v>18</v>
      </c>
      <c r="C970" s="177">
        <v>2024</v>
      </c>
      <c r="D970" s="120" t="s">
        <v>2418</v>
      </c>
      <c r="E970" s="120" t="s">
        <v>431</v>
      </c>
      <c r="F970" s="217">
        <v>15072555</v>
      </c>
      <c r="G970" s="183" t="s">
        <v>451</v>
      </c>
      <c r="H970" s="171">
        <v>15072555</v>
      </c>
      <c r="I970" s="172">
        <v>0</v>
      </c>
      <c r="J970" s="171">
        <v>0</v>
      </c>
      <c r="K970" s="171">
        <v>0</v>
      </c>
      <c r="L970" s="171">
        <v>0</v>
      </c>
      <c r="M970" s="171">
        <v>0</v>
      </c>
      <c r="N970" s="171">
        <v>0</v>
      </c>
      <c r="O970" s="43"/>
      <c r="P970" s="173">
        <f t="shared" si="17"/>
        <v>0</v>
      </c>
      <c r="Q970" s="43"/>
      <c r="R970" s="43"/>
      <c r="S970" s="43"/>
      <c r="T970" s="43"/>
      <c r="U970" s="43"/>
      <c r="V970" s="178"/>
      <c r="W970" s="178"/>
    </row>
    <row r="971" spans="1:23" s="17" customFormat="1">
      <c r="A971" s="168"/>
      <c r="B971" s="37" t="s">
        <v>18</v>
      </c>
      <c r="C971" s="35">
        <v>2024</v>
      </c>
      <c r="D971" s="37" t="s">
        <v>2419</v>
      </c>
      <c r="E971" s="37" t="s">
        <v>424</v>
      </c>
      <c r="F971" s="25">
        <v>17200355</v>
      </c>
      <c r="G971" s="175" t="s">
        <v>26</v>
      </c>
      <c r="H971" s="171">
        <v>17200355</v>
      </c>
      <c r="I971" s="172">
        <v>0</v>
      </c>
      <c r="J971" s="171">
        <v>0</v>
      </c>
      <c r="K971" s="171">
        <v>0</v>
      </c>
      <c r="L971" s="171">
        <v>0</v>
      </c>
      <c r="M971" s="171">
        <v>0</v>
      </c>
      <c r="N971" s="171">
        <v>0</v>
      </c>
      <c r="P971" s="173">
        <f t="shared" si="17"/>
        <v>0</v>
      </c>
      <c r="V971" s="163"/>
      <c r="W971" s="163"/>
    </row>
    <row r="972" spans="1:23" s="17" customFormat="1">
      <c r="A972" s="168"/>
      <c r="B972" s="37" t="s">
        <v>18</v>
      </c>
      <c r="C972" s="35">
        <v>2024</v>
      </c>
      <c r="D972" s="37" t="s">
        <v>2420</v>
      </c>
      <c r="E972" s="37" t="s">
        <v>392</v>
      </c>
      <c r="F972" s="25">
        <v>1252274</v>
      </c>
      <c r="G972" s="175" t="s">
        <v>26</v>
      </c>
      <c r="H972" s="171">
        <v>1252274</v>
      </c>
      <c r="I972" s="172">
        <v>0</v>
      </c>
      <c r="J972" s="171">
        <v>0</v>
      </c>
      <c r="K972" s="171">
        <v>0</v>
      </c>
      <c r="L972" s="171">
        <v>0</v>
      </c>
      <c r="M972" s="171">
        <v>0</v>
      </c>
      <c r="N972" s="171">
        <v>0</v>
      </c>
      <c r="P972" s="173">
        <f t="shared" si="17"/>
        <v>0</v>
      </c>
      <c r="V972" s="163"/>
      <c r="W972" s="163"/>
    </row>
    <row r="973" spans="1:23" s="17" customFormat="1">
      <c r="A973" s="168"/>
      <c r="B973" s="37" t="s">
        <v>18</v>
      </c>
      <c r="C973" s="35">
        <v>2024</v>
      </c>
      <c r="D973" s="37" t="s">
        <v>6270</v>
      </c>
      <c r="E973" s="37" t="s">
        <v>2423</v>
      </c>
      <c r="F973" s="25">
        <v>96910770</v>
      </c>
      <c r="G973" s="175" t="s">
        <v>26</v>
      </c>
      <c r="H973" s="171">
        <v>0</v>
      </c>
      <c r="I973" s="172">
        <v>0</v>
      </c>
      <c r="J973" s="171">
        <v>0</v>
      </c>
      <c r="K973" s="171">
        <v>0</v>
      </c>
      <c r="L973" s="171">
        <v>0</v>
      </c>
      <c r="M973" s="171">
        <v>0</v>
      </c>
      <c r="N973" s="171">
        <v>0</v>
      </c>
      <c r="P973" s="173">
        <f t="shared" si="17"/>
        <v>96910770</v>
      </c>
      <c r="V973" s="163"/>
      <c r="W973" s="163"/>
    </row>
    <row r="974" spans="1:23" s="17" customFormat="1">
      <c r="A974" s="168"/>
      <c r="B974" s="37" t="s">
        <v>18</v>
      </c>
      <c r="C974" s="35">
        <v>2024</v>
      </c>
      <c r="D974" s="37" t="s">
        <v>6271</v>
      </c>
      <c r="E974" s="37" t="s">
        <v>2423</v>
      </c>
      <c r="F974" s="25">
        <v>99389400</v>
      </c>
      <c r="G974" s="175" t="s">
        <v>26</v>
      </c>
      <c r="H974" s="171">
        <v>0</v>
      </c>
      <c r="I974" s="172">
        <v>0</v>
      </c>
      <c r="J974" s="171">
        <v>0</v>
      </c>
      <c r="K974" s="171">
        <v>0</v>
      </c>
      <c r="L974" s="171">
        <v>0</v>
      </c>
      <c r="M974" s="171">
        <v>0</v>
      </c>
      <c r="N974" s="171">
        <v>0</v>
      </c>
      <c r="P974" s="173">
        <f t="shared" si="17"/>
        <v>99389400</v>
      </c>
      <c r="V974" s="163"/>
      <c r="W974" s="163"/>
    </row>
    <row r="975" spans="1:23" s="17" customFormat="1">
      <c r="A975" s="168"/>
      <c r="B975" s="37" t="s">
        <v>18</v>
      </c>
      <c r="C975" s="35">
        <v>2025</v>
      </c>
      <c r="D975" s="37" t="s">
        <v>1539</v>
      </c>
      <c r="E975" s="37" t="s">
        <v>1445</v>
      </c>
      <c r="F975" s="25">
        <v>15300897</v>
      </c>
      <c r="G975" s="175" t="s">
        <v>26</v>
      </c>
      <c r="H975" s="171">
        <v>0</v>
      </c>
      <c r="I975" s="172">
        <v>0</v>
      </c>
      <c r="J975" s="171">
        <v>0</v>
      </c>
      <c r="K975" s="171">
        <v>0</v>
      </c>
      <c r="L975" s="171">
        <v>0</v>
      </c>
      <c r="M975" s="171">
        <v>0</v>
      </c>
      <c r="N975" s="171">
        <v>0</v>
      </c>
      <c r="P975" s="173">
        <f t="shared" si="17"/>
        <v>15300897</v>
      </c>
      <c r="V975" s="163"/>
      <c r="W975" s="163"/>
    </row>
    <row r="976" spans="1:23" s="17" customFormat="1">
      <c r="A976" s="168"/>
      <c r="B976" s="37" t="s">
        <v>18</v>
      </c>
      <c r="C976" s="35">
        <v>2025</v>
      </c>
      <c r="D976" s="37" t="s">
        <v>1541</v>
      </c>
      <c r="E976" s="37" t="s">
        <v>1445</v>
      </c>
      <c r="F976" s="25">
        <v>7650449</v>
      </c>
      <c r="G976" s="175" t="s">
        <v>26</v>
      </c>
      <c r="H976" s="171">
        <v>0</v>
      </c>
      <c r="I976" s="172">
        <v>0</v>
      </c>
      <c r="J976" s="171">
        <v>0</v>
      </c>
      <c r="K976" s="171">
        <v>0</v>
      </c>
      <c r="L976" s="171">
        <v>0</v>
      </c>
      <c r="M976" s="171">
        <v>0</v>
      </c>
      <c r="N976" s="171">
        <v>0</v>
      </c>
      <c r="P976" s="173">
        <f t="shared" si="17"/>
        <v>7650449</v>
      </c>
      <c r="V976" s="163"/>
      <c r="W976" s="163"/>
    </row>
    <row r="977" spans="1:23" s="17" customFormat="1">
      <c r="A977" s="168"/>
      <c r="B977" s="37" t="s">
        <v>18</v>
      </c>
      <c r="C977" s="35">
        <v>2025</v>
      </c>
      <c r="D977" s="37" t="s">
        <v>4038</v>
      </c>
      <c r="E977" s="37" t="s">
        <v>1452</v>
      </c>
      <c r="F977" s="25">
        <v>69959230</v>
      </c>
      <c r="G977" s="175" t="s">
        <v>26</v>
      </c>
      <c r="H977" s="171">
        <v>0</v>
      </c>
      <c r="I977" s="172">
        <v>0</v>
      </c>
      <c r="J977" s="171">
        <v>0</v>
      </c>
      <c r="K977" s="171">
        <v>0</v>
      </c>
      <c r="L977" s="171">
        <v>0</v>
      </c>
      <c r="M977" s="171">
        <v>0</v>
      </c>
      <c r="N977" s="171">
        <v>0</v>
      </c>
      <c r="P977" s="173">
        <f t="shared" si="17"/>
        <v>69959230</v>
      </c>
      <c r="V977" s="163"/>
      <c r="W977" s="163"/>
    </row>
    <row r="978" spans="1:23" s="17" customFormat="1">
      <c r="A978" s="168"/>
      <c r="B978" s="37" t="s">
        <v>18</v>
      </c>
      <c r="C978" s="35">
        <v>2025</v>
      </c>
      <c r="D978" s="37" t="s">
        <v>3432</v>
      </c>
      <c r="E978" s="37" t="s">
        <v>1376</v>
      </c>
      <c r="F978" s="25">
        <v>19872913</v>
      </c>
      <c r="G978" s="175" t="s">
        <v>26</v>
      </c>
      <c r="H978" s="171">
        <v>0</v>
      </c>
      <c r="I978" s="172">
        <v>0</v>
      </c>
      <c r="J978" s="171">
        <v>0</v>
      </c>
      <c r="K978" s="171">
        <v>0</v>
      </c>
      <c r="L978" s="171">
        <v>0</v>
      </c>
      <c r="M978" s="171">
        <v>0</v>
      </c>
      <c r="N978" s="171">
        <v>0</v>
      </c>
      <c r="P978" s="173">
        <f t="shared" si="17"/>
        <v>19872913</v>
      </c>
      <c r="V978" s="163"/>
      <c r="W978" s="163"/>
    </row>
    <row r="979" spans="1:23" s="17" customFormat="1">
      <c r="A979" s="168"/>
      <c r="B979" s="37" t="s">
        <v>18</v>
      </c>
      <c r="C979" s="35">
        <v>2025</v>
      </c>
      <c r="D979" s="37" t="s">
        <v>4052</v>
      </c>
      <c r="E979" s="37" t="s">
        <v>1445</v>
      </c>
      <c r="F979" s="25">
        <v>5981667</v>
      </c>
      <c r="G979" s="175" t="s">
        <v>26</v>
      </c>
      <c r="H979" s="171">
        <v>0</v>
      </c>
      <c r="I979" s="172">
        <v>0</v>
      </c>
      <c r="J979" s="171">
        <v>0</v>
      </c>
      <c r="K979" s="171">
        <v>0</v>
      </c>
      <c r="L979" s="171">
        <v>0</v>
      </c>
      <c r="M979" s="171">
        <v>0</v>
      </c>
      <c r="N979" s="171">
        <v>0</v>
      </c>
      <c r="P979" s="173">
        <f t="shared" si="17"/>
        <v>5981667</v>
      </c>
      <c r="V979" s="163"/>
      <c r="W979" s="163"/>
    </row>
    <row r="980" spans="1:23" s="17" customFormat="1">
      <c r="A980" s="168"/>
      <c r="B980" s="37" t="s">
        <v>18</v>
      </c>
      <c r="C980" s="35">
        <v>2025</v>
      </c>
      <c r="D980" s="37" t="s">
        <v>5964</v>
      </c>
      <c r="E980" s="37" t="s">
        <v>4552</v>
      </c>
      <c r="F980" s="25">
        <v>363036704</v>
      </c>
      <c r="G980" s="175" t="s">
        <v>26</v>
      </c>
      <c r="H980" s="171">
        <v>0</v>
      </c>
      <c r="I980" s="172">
        <v>0</v>
      </c>
      <c r="J980" s="171">
        <v>0</v>
      </c>
      <c r="K980" s="171">
        <v>0</v>
      </c>
      <c r="L980" s="171">
        <v>0</v>
      </c>
      <c r="M980" s="171">
        <v>0</v>
      </c>
      <c r="N980" s="171">
        <v>0</v>
      </c>
      <c r="P980" s="173">
        <f t="shared" si="17"/>
        <v>363036704</v>
      </c>
      <c r="V980" s="163"/>
      <c r="W980" s="163"/>
    </row>
    <row r="981" spans="1:23" s="17" customFormat="1">
      <c r="A981" s="168"/>
      <c r="B981" s="37" t="s">
        <v>18</v>
      </c>
      <c r="C981" s="35">
        <v>2025</v>
      </c>
      <c r="D981" s="37" t="s">
        <v>7812</v>
      </c>
      <c r="E981" s="37" t="s">
        <v>7814</v>
      </c>
      <c r="F981" s="25">
        <v>92790562</v>
      </c>
      <c r="G981" s="175" t="s">
        <v>26</v>
      </c>
      <c r="H981" s="171">
        <v>0</v>
      </c>
      <c r="I981" s="172">
        <v>0</v>
      </c>
      <c r="J981" s="171">
        <v>0</v>
      </c>
      <c r="K981" s="171">
        <v>0</v>
      </c>
      <c r="L981" s="171">
        <v>0</v>
      </c>
      <c r="M981" s="171">
        <v>0</v>
      </c>
      <c r="N981" s="171">
        <v>0</v>
      </c>
      <c r="P981" s="173">
        <f t="shared" si="17"/>
        <v>92790562</v>
      </c>
      <c r="V981" s="163"/>
      <c r="W981" s="163"/>
    </row>
    <row r="982" spans="1:23" s="17" customFormat="1">
      <c r="A982" s="168"/>
      <c r="B982" s="37" t="s">
        <v>18</v>
      </c>
      <c r="C982" s="35">
        <v>2025</v>
      </c>
      <c r="D982" s="37" t="s">
        <v>6578</v>
      </c>
      <c r="E982" s="37" t="s">
        <v>1631</v>
      </c>
      <c r="F982" s="25">
        <v>145483307</v>
      </c>
      <c r="G982" s="175" t="s">
        <v>26</v>
      </c>
      <c r="H982" s="171">
        <v>0</v>
      </c>
      <c r="I982" s="172">
        <v>0</v>
      </c>
      <c r="J982" s="171">
        <v>0</v>
      </c>
      <c r="K982" s="171">
        <v>0</v>
      </c>
      <c r="L982" s="171">
        <v>0</v>
      </c>
      <c r="M982" s="171">
        <v>0</v>
      </c>
      <c r="N982" s="171">
        <v>0</v>
      </c>
      <c r="P982" s="173">
        <f t="shared" ref="P982:P996" si="18">F982-H982-I982-J982-K982-L982-M982</f>
        <v>145483307</v>
      </c>
      <c r="V982" s="163"/>
      <c r="W982" s="163"/>
    </row>
    <row r="983" spans="1:23" s="17" customFormat="1">
      <c r="A983" s="168"/>
      <c r="B983" s="37" t="s">
        <v>18</v>
      </c>
      <c r="C983" s="35">
        <v>2025</v>
      </c>
      <c r="D983" s="37" t="s">
        <v>6255</v>
      </c>
      <c r="E983" s="37" t="s">
        <v>6541</v>
      </c>
      <c r="F983" s="25">
        <v>171794700</v>
      </c>
      <c r="G983" s="175" t="s">
        <v>26</v>
      </c>
      <c r="H983" s="171">
        <v>0</v>
      </c>
      <c r="I983" s="172">
        <v>0</v>
      </c>
      <c r="J983" s="171">
        <v>0</v>
      </c>
      <c r="K983" s="171">
        <v>0</v>
      </c>
      <c r="L983" s="171">
        <v>0</v>
      </c>
      <c r="M983" s="171">
        <v>0</v>
      </c>
      <c r="N983" s="171">
        <v>0</v>
      </c>
      <c r="P983" s="173">
        <f t="shared" si="18"/>
        <v>171794700</v>
      </c>
      <c r="V983" s="163"/>
      <c r="W983" s="163"/>
    </row>
    <row r="984" spans="1:23" s="17" customFormat="1">
      <c r="A984" s="168"/>
      <c r="B984" s="37" t="s">
        <v>18</v>
      </c>
      <c r="C984" s="35">
        <v>2025</v>
      </c>
      <c r="D984" s="37" t="s">
        <v>6259</v>
      </c>
      <c r="E984" s="37" t="s">
        <v>6261</v>
      </c>
      <c r="F984" s="25">
        <v>47788297</v>
      </c>
      <c r="G984" s="175" t="s">
        <v>26</v>
      </c>
      <c r="H984" s="171">
        <v>0</v>
      </c>
      <c r="I984" s="172">
        <v>0</v>
      </c>
      <c r="J984" s="171">
        <v>0</v>
      </c>
      <c r="K984" s="171">
        <v>0</v>
      </c>
      <c r="L984" s="171">
        <v>0</v>
      </c>
      <c r="M984" s="171">
        <v>0</v>
      </c>
      <c r="N984" s="171">
        <v>0</v>
      </c>
      <c r="P984" s="173">
        <f t="shared" si="18"/>
        <v>47788297</v>
      </c>
      <c r="V984" s="163"/>
      <c r="W984" s="163"/>
    </row>
    <row r="985" spans="1:23" s="17" customFormat="1">
      <c r="A985" s="168"/>
      <c r="B985" s="37" t="s">
        <v>18</v>
      </c>
      <c r="C985" s="35">
        <v>2025</v>
      </c>
      <c r="D985" s="37" t="s">
        <v>7888</v>
      </c>
      <c r="E985" s="37" t="s">
        <v>1445</v>
      </c>
      <c r="F985" s="25">
        <v>221286887</v>
      </c>
      <c r="G985" s="175" t="s">
        <v>26</v>
      </c>
      <c r="H985" s="171">
        <v>0</v>
      </c>
      <c r="I985" s="172">
        <v>0</v>
      </c>
      <c r="J985" s="171">
        <v>0</v>
      </c>
      <c r="K985" s="171">
        <v>0</v>
      </c>
      <c r="L985" s="171">
        <v>0</v>
      </c>
      <c r="M985" s="171">
        <v>0</v>
      </c>
      <c r="N985" s="171">
        <v>0</v>
      </c>
      <c r="P985" s="173">
        <f t="shared" si="18"/>
        <v>221286887</v>
      </c>
      <c r="V985" s="163"/>
      <c r="W985" s="163"/>
    </row>
    <row r="986" spans="1:23" s="17" customFormat="1">
      <c r="A986" s="168"/>
      <c r="B986" s="37" t="s">
        <v>18</v>
      </c>
      <c r="C986" s="35">
        <v>2025</v>
      </c>
      <c r="D986" s="37" t="s">
        <v>6371</v>
      </c>
      <c r="E986" s="37" t="s">
        <v>6123</v>
      </c>
      <c r="F986" s="25">
        <v>110715612</v>
      </c>
      <c r="G986" s="175" t="s">
        <v>26</v>
      </c>
      <c r="H986" s="171">
        <v>0</v>
      </c>
      <c r="I986" s="172">
        <v>0</v>
      </c>
      <c r="J986" s="171">
        <v>0</v>
      </c>
      <c r="K986" s="171">
        <v>0</v>
      </c>
      <c r="L986" s="171">
        <v>0</v>
      </c>
      <c r="M986" s="171">
        <v>0</v>
      </c>
      <c r="N986" s="171">
        <v>0</v>
      </c>
      <c r="P986" s="173">
        <f t="shared" si="18"/>
        <v>110715612</v>
      </c>
      <c r="V986" s="163"/>
      <c r="W986" s="163"/>
    </row>
    <row r="987" spans="1:23" s="17" customFormat="1">
      <c r="A987" s="168"/>
      <c r="B987" s="37" t="s">
        <v>18</v>
      </c>
      <c r="C987" s="35">
        <v>2025</v>
      </c>
      <c r="D987" s="37" t="s">
        <v>7808</v>
      </c>
      <c r="E987" s="37" t="s">
        <v>6123</v>
      </c>
      <c r="F987" s="25">
        <v>5344650</v>
      </c>
      <c r="G987" s="175" t="s">
        <v>26</v>
      </c>
      <c r="H987" s="171">
        <v>0</v>
      </c>
      <c r="I987" s="172">
        <v>0</v>
      </c>
      <c r="J987" s="171">
        <v>0</v>
      </c>
      <c r="K987" s="171">
        <v>0</v>
      </c>
      <c r="L987" s="171">
        <v>0</v>
      </c>
      <c r="M987" s="171">
        <v>0</v>
      </c>
      <c r="N987" s="171">
        <v>0</v>
      </c>
      <c r="P987" s="173">
        <f t="shared" si="18"/>
        <v>5344650</v>
      </c>
      <c r="V987" s="163"/>
      <c r="W987" s="163"/>
    </row>
    <row r="988" spans="1:23" s="17" customFormat="1">
      <c r="A988" s="168"/>
      <c r="B988" s="37" t="s">
        <v>18</v>
      </c>
      <c r="C988" s="35">
        <v>2025</v>
      </c>
      <c r="D988" s="37" t="s">
        <v>6262</v>
      </c>
      <c r="E988" s="37" t="s">
        <v>4088</v>
      </c>
      <c r="F988" s="25">
        <v>82318331</v>
      </c>
      <c r="G988" s="175" t="s">
        <v>26</v>
      </c>
      <c r="H988" s="171">
        <v>0</v>
      </c>
      <c r="I988" s="172">
        <v>0</v>
      </c>
      <c r="J988" s="171">
        <v>0</v>
      </c>
      <c r="K988" s="171">
        <v>0</v>
      </c>
      <c r="L988" s="171">
        <v>0</v>
      </c>
      <c r="M988" s="171">
        <v>0</v>
      </c>
      <c r="N988" s="171">
        <v>0</v>
      </c>
      <c r="P988" s="173">
        <f t="shared" si="18"/>
        <v>82318331</v>
      </c>
      <c r="V988" s="163"/>
      <c r="W988" s="163"/>
    </row>
    <row r="989" spans="1:23" s="17" customFormat="1">
      <c r="A989" s="168"/>
      <c r="B989" s="37" t="s">
        <v>18</v>
      </c>
      <c r="C989" s="35">
        <v>2025</v>
      </c>
      <c r="D989" s="37" t="s">
        <v>6579</v>
      </c>
      <c r="E989" s="37" t="s">
        <v>4696</v>
      </c>
      <c r="F989" s="25">
        <v>12498105</v>
      </c>
      <c r="G989" s="175" t="s">
        <v>26</v>
      </c>
      <c r="H989" s="171">
        <v>0</v>
      </c>
      <c r="I989" s="172">
        <v>0</v>
      </c>
      <c r="J989" s="171">
        <v>0</v>
      </c>
      <c r="K989" s="171">
        <v>0</v>
      </c>
      <c r="L989" s="171">
        <v>0</v>
      </c>
      <c r="M989" s="171">
        <v>0</v>
      </c>
      <c r="N989" s="171">
        <v>0</v>
      </c>
      <c r="P989" s="173">
        <f t="shared" si="18"/>
        <v>12498105</v>
      </c>
      <c r="V989" s="163"/>
      <c r="W989" s="163"/>
    </row>
    <row r="990" spans="1:23" s="17" customFormat="1">
      <c r="A990" s="168"/>
      <c r="B990" s="37" t="s">
        <v>18</v>
      </c>
      <c r="C990" s="35">
        <v>2025</v>
      </c>
      <c r="D990" s="37" t="s">
        <v>7149</v>
      </c>
      <c r="E990" s="37" t="s">
        <v>7150</v>
      </c>
      <c r="F990" s="25">
        <v>24770289</v>
      </c>
      <c r="G990" s="175" t="s">
        <v>26</v>
      </c>
      <c r="H990" s="171">
        <v>0</v>
      </c>
      <c r="I990" s="172">
        <v>0</v>
      </c>
      <c r="J990" s="171">
        <v>0</v>
      </c>
      <c r="K990" s="171">
        <v>0</v>
      </c>
      <c r="L990" s="171">
        <v>0</v>
      </c>
      <c r="M990" s="171">
        <v>0</v>
      </c>
      <c r="N990" s="171">
        <v>0</v>
      </c>
      <c r="P990" s="173">
        <f t="shared" si="18"/>
        <v>24770289</v>
      </c>
      <c r="V990" s="163"/>
      <c r="W990" s="163"/>
    </row>
    <row r="991" spans="1:23" s="17" customFormat="1">
      <c r="A991" s="168"/>
      <c r="B991" s="37" t="s">
        <v>18</v>
      </c>
      <c r="C991" s="35">
        <v>2025</v>
      </c>
      <c r="D991" s="37" t="s">
        <v>6257</v>
      </c>
      <c r="E991" s="37" t="s">
        <v>4099</v>
      </c>
      <c r="F991" s="25">
        <v>67599339</v>
      </c>
      <c r="G991" s="175" t="s">
        <v>26</v>
      </c>
      <c r="H991" s="171">
        <v>0</v>
      </c>
      <c r="I991" s="172">
        <v>0</v>
      </c>
      <c r="J991" s="171">
        <v>0</v>
      </c>
      <c r="K991" s="171">
        <v>0</v>
      </c>
      <c r="L991" s="171">
        <v>0</v>
      </c>
      <c r="M991" s="171">
        <v>0</v>
      </c>
      <c r="N991" s="171">
        <v>0</v>
      </c>
      <c r="P991" s="173">
        <f t="shared" si="18"/>
        <v>67599339</v>
      </c>
      <c r="V991" s="163"/>
      <c r="W991" s="163"/>
    </row>
    <row r="992" spans="1:23" s="17" customFormat="1">
      <c r="A992" s="168"/>
      <c r="B992" s="37" t="s">
        <v>18</v>
      </c>
      <c r="C992" s="35">
        <v>2025</v>
      </c>
      <c r="D992" s="37" t="s">
        <v>5969</v>
      </c>
      <c r="E992" s="37" t="s">
        <v>4100</v>
      </c>
      <c r="F992" s="25">
        <v>31135500</v>
      </c>
      <c r="G992" s="175" t="s">
        <v>26</v>
      </c>
      <c r="H992" s="171">
        <v>0</v>
      </c>
      <c r="I992" s="172">
        <v>0</v>
      </c>
      <c r="J992" s="171">
        <v>0</v>
      </c>
      <c r="K992" s="171">
        <v>0</v>
      </c>
      <c r="L992" s="171">
        <v>0</v>
      </c>
      <c r="M992" s="171">
        <v>0</v>
      </c>
      <c r="N992" s="171">
        <v>0</v>
      </c>
      <c r="P992" s="173">
        <f t="shared" si="18"/>
        <v>31135500</v>
      </c>
      <c r="V992" s="163"/>
      <c r="W992" s="163"/>
    </row>
    <row r="993" spans="1:23" s="17" customFormat="1">
      <c r="A993" s="168"/>
      <c r="B993" s="37" t="s">
        <v>18</v>
      </c>
      <c r="C993" s="35">
        <v>2025</v>
      </c>
      <c r="D993" s="37" t="s">
        <v>7932</v>
      </c>
      <c r="E993" s="37" t="s">
        <v>4097</v>
      </c>
      <c r="F993" s="25">
        <v>250000000</v>
      </c>
      <c r="G993" s="175" t="s">
        <v>26</v>
      </c>
      <c r="H993" s="171">
        <v>0</v>
      </c>
      <c r="I993" s="172">
        <v>0</v>
      </c>
      <c r="J993" s="171">
        <v>0</v>
      </c>
      <c r="K993" s="171">
        <v>0</v>
      </c>
      <c r="L993" s="171">
        <v>0</v>
      </c>
      <c r="M993" s="171">
        <v>0</v>
      </c>
      <c r="N993" s="171">
        <v>0</v>
      </c>
      <c r="P993" s="173">
        <f t="shared" si="18"/>
        <v>250000000</v>
      </c>
      <c r="V993" s="163"/>
      <c r="W993" s="163"/>
    </row>
    <row r="994" spans="1:23" s="17" customFormat="1">
      <c r="A994" s="168"/>
      <c r="B994" s="37" t="s">
        <v>18</v>
      </c>
      <c r="C994" s="35">
        <v>2025</v>
      </c>
      <c r="D994" s="37" t="s">
        <v>5842</v>
      </c>
      <c r="E994" s="37" t="s">
        <v>4097</v>
      </c>
      <c r="F994" s="25">
        <v>350457081</v>
      </c>
      <c r="G994" s="175" t="s">
        <v>26</v>
      </c>
      <c r="H994" s="171">
        <v>0</v>
      </c>
      <c r="I994" s="172">
        <v>0</v>
      </c>
      <c r="J994" s="171">
        <v>0</v>
      </c>
      <c r="K994" s="171">
        <v>0</v>
      </c>
      <c r="L994" s="171">
        <v>0</v>
      </c>
      <c r="M994" s="171">
        <v>0</v>
      </c>
      <c r="N994" s="171">
        <v>0</v>
      </c>
      <c r="P994" s="173">
        <f t="shared" si="18"/>
        <v>350457081</v>
      </c>
      <c r="V994" s="163"/>
      <c r="W994" s="163"/>
    </row>
    <row r="995" spans="1:23" s="17" customFormat="1">
      <c r="A995" s="168"/>
      <c r="B995" s="37" t="s">
        <v>18</v>
      </c>
      <c r="C995" s="35">
        <v>2025</v>
      </c>
      <c r="D995" s="37" t="s">
        <v>5846</v>
      </c>
      <c r="E995" s="37" t="s">
        <v>4080</v>
      </c>
      <c r="F995" s="25">
        <v>810000000</v>
      </c>
      <c r="G995" s="175" t="s">
        <v>26</v>
      </c>
      <c r="H995" s="171">
        <v>0</v>
      </c>
      <c r="I995" s="172">
        <v>0</v>
      </c>
      <c r="J995" s="171">
        <v>0</v>
      </c>
      <c r="K995" s="171">
        <v>0</v>
      </c>
      <c r="L995" s="171">
        <v>0</v>
      </c>
      <c r="M995" s="171">
        <v>0</v>
      </c>
      <c r="N995" s="171">
        <v>0</v>
      </c>
      <c r="P995" s="173">
        <f t="shared" si="18"/>
        <v>810000000</v>
      </c>
      <c r="V995" s="163"/>
      <c r="W995" s="163"/>
    </row>
    <row r="996" spans="1:23" s="17" customFormat="1">
      <c r="A996" s="168"/>
      <c r="B996" s="37" t="s">
        <v>18</v>
      </c>
      <c r="C996" s="35">
        <v>2025</v>
      </c>
      <c r="D996" s="37" t="s">
        <v>7831</v>
      </c>
      <c r="E996" s="37" t="s">
        <v>2238</v>
      </c>
      <c r="F996" s="25">
        <v>5355000</v>
      </c>
      <c r="G996" s="175" t="s">
        <v>26</v>
      </c>
      <c r="H996" s="171">
        <v>0</v>
      </c>
      <c r="I996" s="172">
        <v>0</v>
      </c>
      <c r="J996" s="171">
        <v>0</v>
      </c>
      <c r="K996" s="171">
        <v>0</v>
      </c>
      <c r="L996" s="171">
        <v>0</v>
      </c>
      <c r="M996" s="171">
        <v>0</v>
      </c>
      <c r="N996" s="171">
        <v>0</v>
      </c>
      <c r="P996" s="173">
        <f t="shared" si="18"/>
        <v>5355000</v>
      </c>
      <c r="V996" s="163"/>
      <c r="W996" s="163"/>
    </row>
    <row r="997" spans="1:23" s="17" customFormat="1">
      <c r="A997" s="168"/>
      <c r="B997" s="35"/>
      <c r="C997" s="35"/>
      <c r="E997" s="35"/>
      <c r="F997" s="182"/>
      <c r="G997" s="170"/>
      <c r="H997" s="170"/>
      <c r="I997" s="184"/>
      <c r="K997" s="185"/>
      <c r="L997" s="185"/>
      <c r="V997" s="163"/>
      <c r="W997" s="163"/>
    </row>
    <row r="998" spans="1:23" s="17" customFormat="1">
      <c r="A998" s="168"/>
      <c r="B998" s="35"/>
      <c r="C998" s="35"/>
      <c r="E998" s="35"/>
      <c r="F998" s="182">
        <f>SUBTOTAL(9,F5:F997)</f>
        <v>12698539836.4</v>
      </c>
      <c r="G998" s="170"/>
      <c r="H998" s="186">
        <f t="shared" ref="H998:N998" si="19">SUBTOTAL(9,H5:H997)</f>
        <v>-1312802624</v>
      </c>
      <c r="I998" s="187">
        <f t="shared" si="19"/>
        <v>-193596229</v>
      </c>
      <c r="J998" s="188">
        <f t="shared" si="19"/>
        <v>4324055188.3999996</v>
      </c>
      <c r="K998" s="186">
        <f t="shared" si="19"/>
        <v>-11333953</v>
      </c>
      <c r="L998" s="186">
        <f t="shared" si="19"/>
        <v>-2812641</v>
      </c>
      <c r="M998" s="186">
        <f t="shared" si="19"/>
        <v>-1223931227</v>
      </c>
      <c r="N998" s="186">
        <f t="shared" si="19"/>
        <v>0</v>
      </c>
      <c r="O998" s="64"/>
      <c r="P998" s="186">
        <f>SUBTOTAL(9,P5:P997)</f>
        <v>11118961322</v>
      </c>
      <c r="V998" s="163"/>
      <c r="W998" s="163"/>
    </row>
    <row r="999" spans="1:23">
      <c r="K999" s="158" t="s">
        <v>26</v>
      </c>
      <c r="L999" s="185" t="s">
        <v>26</v>
      </c>
      <c r="M999"/>
    </row>
    <row r="1000" spans="1:23" s="17" customFormat="1">
      <c r="A1000" s="168"/>
      <c r="B1000" s="35"/>
      <c r="C1000" s="35"/>
      <c r="E1000" s="35"/>
      <c r="F1000" s="182"/>
      <c r="G1000" s="170"/>
      <c r="H1000" s="170"/>
      <c r="I1000" s="184"/>
      <c r="L1000" s="185"/>
      <c r="P1000" s="56" t="s">
        <v>26</v>
      </c>
      <c r="V1000" s="163"/>
      <c r="W1000" s="163"/>
    </row>
    <row r="2279" spans="1:23" s="198" customFormat="1">
      <c r="A2279" s="190"/>
      <c r="B2279" s="191"/>
      <c r="C2279" s="191"/>
      <c r="D2279" s="192"/>
      <c r="E2279" s="191"/>
      <c r="F2279" s="193"/>
      <c r="G2279" s="194"/>
      <c r="H2279" s="194"/>
      <c r="I2279" s="195"/>
      <c r="J2279" s="192"/>
      <c r="K2279" s="192"/>
      <c r="L2279" s="196"/>
      <c r="M2279" s="192"/>
      <c r="N2279" s="192"/>
      <c r="O2279" s="192"/>
      <c r="P2279" s="192"/>
      <c r="Q2279" s="192"/>
      <c r="R2279" s="192"/>
      <c r="S2279" s="192"/>
      <c r="T2279" s="192"/>
      <c r="U2279" s="192"/>
      <c r="V2279" s="197"/>
      <c r="W2279" s="197"/>
    </row>
    <row r="2283" spans="1:23" s="198" customFormat="1">
      <c r="A2283" s="190"/>
      <c r="B2283" s="191"/>
      <c r="C2283" s="191"/>
      <c r="D2283" s="192"/>
      <c r="E2283" s="191"/>
      <c r="F2283" s="193"/>
      <c r="G2283" s="194"/>
      <c r="H2283" s="194"/>
      <c r="I2283" s="195"/>
      <c r="J2283" s="192"/>
      <c r="K2283" s="192"/>
      <c r="L2283" s="196"/>
      <c r="M2283" s="192"/>
      <c r="N2283" s="192"/>
      <c r="O2283" s="192"/>
      <c r="P2283" s="192"/>
      <c r="Q2283" s="192"/>
      <c r="R2283" s="192"/>
      <c r="S2283" s="192"/>
      <c r="T2283" s="192"/>
      <c r="U2283" s="192"/>
      <c r="V2283" s="197"/>
      <c r="W2283" s="197"/>
    </row>
    <row r="2292" spans="1:23" s="198" customFormat="1">
      <c r="A2292" s="190"/>
      <c r="B2292" s="191"/>
      <c r="C2292" s="191"/>
      <c r="D2292" s="192"/>
      <c r="E2292" s="191"/>
      <c r="F2292" s="193"/>
      <c r="G2292" s="194"/>
      <c r="H2292" s="194"/>
      <c r="I2292" s="195"/>
      <c r="J2292" s="192"/>
      <c r="K2292" s="192"/>
      <c r="L2292" s="196"/>
      <c r="M2292" s="192"/>
      <c r="N2292" s="192"/>
      <c r="O2292" s="192"/>
      <c r="P2292" s="192"/>
      <c r="Q2292" s="192"/>
      <c r="R2292" s="192"/>
      <c r="S2292" s="192"/>
      <c r="T2292" s="192"/>
      <c r="U2292" s="192"/>
      <c r="V2292" s="197"/>
      <c r="W2292" s="197"/>
    </row>
    <row r="2296" spans="1:23" s="198" customFormat="1">
      <c r="A2296" s="190"/>
      <c r="B2296" s="191"/>
      <c r="C2296" s="191"/>
      <c r="D2296" s="192"/>
      <c r="E2296" s="191"/>
      <c r="F2296" s="193"/>
      <c r="G2296" s="194"/>
      <c r="H2296" s="194"/>
      <c r="I2296" s="195"/>
      <c r="J2296" s="192"/>
      <c r="K2296" s="192"/>
      <c r="L2296" s="196"/>
      <c r="M2296" s="192"/>
      <c r="N2296" s="192"/>
      <c r="O2296" s="192"/>
      <c r="P2296" s="192"/>
      <c r="Q2296" s="192"/>
      <c r="R2296" s="192"/>
      <c r="S2296" s="192"/>
      <c r="T2296" s="192"/>
      <c r="U2296" s="192"/>
      <c r="V2296" s="197"/>
      <c r="W2296" s="197"/>
    </row>
    <row r="2300" spans="1:23" s="198" customFormat="1">
      <c r="A2300" s="190"/>
      <c r="B2300" s="191"/>
      <c r="C2300" s="191"/>
      <c r="D2300" s="192"/>
      <c r="E2300" s="191"/>
      <c r="F2300" s="193"/>
      <c r="G2300" s="194"/>
      <c r="H2300" s="194"/>
      <c r="I2300" s="195"/>
      <c r="J2300" s="192"/>
      <c r="K2300" s="192"/>
      <c r="L2300" s="196"/>
      <c r="M2300" s="192"/>
      <c r="N2300" s="192"/>
      <c r="O2300" s="192"/>
      <c r="P2300" s="192"/>
      <c r="Q2300" s="192"/>
      <c r="R2300" s="192"/>
      <c r="S2300" s="192"/>
      <c r="T2300" s="192"/>
      <c r="U2300" s="192"/>
      <c r="V2300" s="197"/>
      <c r="W2300" s="197"/>
    </row>
  </sheetData>
  <autoFilter ref="A4:P996"/>
  <mergeCells count="1">
    <mergeCell ref="H3:N3"/>
  </mergeCells>
  <printOptions horizontalCentered="1"/>
  <pageMargins left="0.75000000000000011" right="0.75000000000000011" top="1" bottom="1" header="0.5" footer="0.5"/>
  <pageSetup scale="1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63"/>
  <sheetViews>
    <sheetView topLeftCell="B111" zoomScale="111" workbookViewId="0">
      <selection activeCell="N308" sqref="N308"/>
    </sheetView>
  </sheetViews>
  <sheetFormatPr defaultColWidth="11.5546875" defaultRowHeight="15.75"/>
  <cols>
    <col min="1" max="1" width="11.6640625" style="320" customWidth="1"/>
    <col min="2" max="2" width="20.77734375" style="320" customWidth="1"/>
    <col min="3" max="3" width="20.44140625" customWidth="1"/>
    <col min="4" max="4" width="38.77734375" customWidth="1"/>
    <col min="5" max="5" width="25.44140625" style="47" customWidth="1"/>
    <col min="6" max="7" width="12.109375" style="47" customWidth="1"/>
    <col min="8" max="10" width="16" style="116" customWidth="1"/>
    <col min="11" max="11" width="19.33203125" style="116" customWidth="1"/>
    <col min="12" max="12" width="7.33203125" style="116" customWidth="1"/>
    <col min="13" max="13" width="14.77734375" style="136" customWidth="1"/>
    <col min="14" max="14" width="14.77734375" style="116" customWidth="1"/>
    <col min="15" max="15" width="23.33203125" style="136" customWidth="1"/>
    <col min="16" max="16" width="24.33203125" customWidth="1"/>
    <col min="17" max="17" width="43" customWidth="1"/>
    <col min="18" max="18" width="37.109375" customWidth="1"/>
    <col min="19" max="19" width="46.44140625" customWidth="1"/>
    <col min="21" max="21" width="12.6640625" bestFit="1" customWidth="1"/>
    <col min="22" max="23" width="11.6640625" style="136" customWidth="1"/>
  </cols>
  <sheetData>
    <row r="2" spans="1:23">
      <c r="N2" s="116" t="s">
        <v>26</v>
      </c>
    </row>
    <row r="4" spans="1:23">
      <c r="A4" s="320" t="s">
        <v>7220</v>
      </c>
      <c r="C4" t="s">
        <v>7221</v>
      </c>
      <c r="D4" t="s">
        <v>7222</v>
      </c>
      <c r="F4" s="48" t="s">
        <v>167</v>
      </c>
      <c r="G4" s="48" t="s">
        <v>7794</v>
      </c>
      <c r="H4" s="346" t="s">
        <v>87</v>
      </c>
      <c r="I4" s="346" t="s">
        <v>274</v>
      </c>
      <c r="J4" s="346" t="s">
        <v>7847</v>
      </c>
      <c r="K4" s="359" t="s">
        <v>7223</v>
      </c>
      <c r="L4" s="346"/>
      <c r="M4" s="312" t="s">
        <v>275</v>
      </c>
      <c r="N4" s="346" t="s">
        <v>7796</v>
      </c>
      <c r="O4" s="359" t="s">
        <v>7848</v>
      </c>
      <c r="P4" s="189" t="s">
        <v>7849</v>
      </c>
      <c r="Q4" s="47" t="s">
        <v>7850</v>
      </c>
      <c r="R4" s="47" t="s">
        <v>7851</v>
      </c>
      <c r="S4" s="47" t="s">
        <v>7852</v>
      </c>
    </row>
    <row r="5" spans="1:23">
      <c r="B5" s="320" t="s">
        <v>7795</v>
      </c>
      <c r="D5" t="s">
        <v>388</v>
      </c>
      <c r="E5" s="47" t="s">
        <v>2379</v>
      </c>
      <c r="F5" s="47">
        <v>2024</v>
      </c>
      <c r="G5" s="47" t="s">
        <v>274</v>
      </c>
      <c r="H5" s="313">
        <v>47789180</v>
      </c>
      <c r="I5" s="313">
        <f>H5</f>
        <v>47789180</v>
      </c>
      <c r="J5" s="313">
        <f t="shared" ref="J5:J20" si="0">-I5</f>
        <v>-47789180</v>
      </c>
      <c r="K5" s="313">
        <f t="shared" ref="K5:K20" si="1">I5+J5</f>
        <v>0</v>
      </c>
      <c r="L5" s="313"/>
      <c r="M5" s="313">
        <v>0</v>
      </c>
      <c r="N5" s="313">
        <v>0</v>
      </c>
      <c r="O5" s="313">
        <f>0-M5+N5</f>
        <v>0</v>
      </c>
      <c r="P5" t="s">
        <v>920</v>
      </c>
      <c r="Q5" s="8" t="s">
        <v>7858</v>
      </c>
      <c r="R5" s="8" t="s">
        <v>7879</v>
      </c>
      <c r="S5" s="37" t="s">
        <v>6338</v>
      </c>
      <c r="V5"/>
      <c r="W5"/>
    </row>
    <row r="6" spans="1:23">
      <c r="B6" s="320" t="s">
        <v>7795</v>
      </c>
      <c r="D6" t="s">
        <v>388</v>
      </c>
      <c r="E6" s="47" t="s">
        <v>2380</v>
      </c>
      <c r="F6" s="47">
        <v>2024</v>
      </c>
      <c r="G6" s="47" t="s">
        <v>274</v>
      </c>
      <c r="H6" s="313">
        <v>19965000</v>
      </c>
      <c r="I6" s="313">
        <f t="shared" ref="I6:I19" si="2">H6</f>
        <v>19965000</v>
      </c>
      <c r="J6" s="313">
        <f t="shared" si="0"/>
        <v>-19965000</v>
      </c>
      <c r="K6" s="313">
        <f t="shared" si="1"/>
        <v>0</v>
      </c>
      <c r="L6" s="313"/>
      <c r="M6" s="313">
        <v>0</v>
      </c>
      <c r="N6" s="313">
        <v>0</v>
      </c>
      <c r="O6" s="313">
        <f>O5-M6+N6</f>
        <v>0</v>
      </c>
      <c r="P6" t="s">
        <v>920</v>
      </c>
      <c r="Q6" s="8" t="s">
        <v>7858</v>
      </c>
      <c r="R6" s="8" t="s">
        <v>7879</v>
      </c>
      <c r="S6" s="37" t="s">
        <v>6338</v>
      </c>
      <c r="V6"/>
      <c r="W6"/>
    </row>
    <row r="7" spans="1:23">
      <c r="B7" s="320" t="s">
        <v>7795</v>
      </c>
      <c r="D7" t="s">
        <v>388</v>
      </c>
      <c r="E7" s="47" t="s">
        <v>2382</v>
      </c>
      <c r="F7" s="47">
        <v>2024</v>
      </c>
      <c r="G7" s="47" t="s">
        <v>274</v>
      </c>
      <c r="H7" s="313">
        <v>2696968</v>
      </c>
      <c r="I7" s="313">
        <f t="shared" si="2"/>
        <v>2696968</v>
      </c>
      <c r="J7" s="313">
        <f t="shared" si="0"/>
        <v>-2696968</v>
      </c>
      <c r="K7" s="313">
        <f t="shared" si="1"/>
        <v>0</v>
      </c>
      <c r="L7" s="313"/>
      <c r="M7" s="313">
        <v>0</v>
      </c>
      <c r="N7" s="313">
        <v>0</v>
      </c>
      <c r="O7" s="313">
        <f t="shared" ref="O7:O70" si="3">O6-M7+N7</f>
        <v>0</v>
      </c>
      <c r="P7" t="s">
        <v>920</v>
      </c>
      <c r="Q7" s="8" t="s">
        <v>7858</v>
      </c>
      <c r="R7" s="8" t="s">
        <v>7879</v>
      </c>
      <c r="S7" s="37" t="s">
        <v>6338</v>
      </c>
      <c r="V7"/>
      <c r="W7"/>
    </row>
    <row r="8" spans="1:23">
      <c r="B8" s="320" t="s">
        <v>7795</v>
      </c>
      <c r="D8" t="s">
        <v>7144</v>
      </c>
      <c r="E8" s="47" t="s">
        <v>2384</v>
      </c>
      <c r="F8" s="47">
        <v>2024</v>
      </c>
      <c r="G8" s="47" t="s">
        <v>274</v>
      </c>
      <c r="H8" s="313">
        <v>170903425</v>
      </c>
      <c r="I8" s="313">
        <f t="shared" si="2"/>
        <v>170903425</v>
      </c>
      <c r="J8" s="313">
        <f t="shared" si="0"/>
        <v>-170903425</v>
      </c>
      <c r="K8" s="313">
        <f t="shared" si="1"/>
        <v>0</v>
      </c>
      <c r="L8" s="313"/>
      <c r="M8" s="313">
        <v>0</v>
      </c>
      <c r="N8" s="313">
        <v>0</v>
      </c>
      <c r="O8" s="313">
        <f t="shared" si="3"/>
        <v>0</v>
      </c>
      <c r="P8" t="s">
        <v>920</v>
      </c>
      <c r="Q8" s="8" t="s">
        <v>7858</v>
      </c>
      <c r="R8" s="8" t="s">
        <v>7879</v>
      </c>
      <c r="S8" s="37" t="s">
        <v>6338</v>
      </c>
      <c r="V8"/>
      <c r="W8"/>
    </row>
    <row r="9" spans="1:23">
      <c r="B9" s="320" t="s">
        <v>7795</v>
      </c>
      <c r="D9" t="s">
        <v>388</v>
      </c>
      <c r="E9" s="47" t="s">
        <v>2394</v>
      </c>
      <c r="F9" s="47">
        <v>2024</v>
      </c>
      <c r="G9" s="47" t="s">
        <v>274</v>
      </c>
      <c r="H9" s="313">
        <v>10040099</v>
      </c>
      <c r="I9" s="313">
        <f t="shared" si="2"/>
        <v>10040099</v>
      </c>
      <c r="J9" s="313">
        <f t="shared" si="0"/>
        <v>-10040099</v>
      </c>
      <c r="K9" s="313">
        <f t="shared" si="1"/>
        <v>0</v>
      </c>
      <c r="L9" s="313"/>
      <c r="M9" s="313">
        <v>0</v>
      </c>
      <c r="N9" s="313">
        <v>0</v>
      </c>
      <c r="O9" s="313">
        <f t="shared" si="3"/>
        <v>0</v>
      </c>
      <c r="P9" t="s">
        <v>920</v>
      </c>
      <c r="Q9" s="8" t="s">
        <v>7858</v>
      </c>
      <c r="R9" s="8" t="s">
        <v>7879</v>
      </c>
      <c r="S9" s="37" t="s">
        <v>6338</v>
      </c>
      <c r="V9"/>
      <c r="W9"/>
    </row>
    <row r="10" spans="1:23">
      <c r="B10" s="320" t="s">
        <v>7795</v>
      </c>
      <c r="D10" t="s">
        <v>388</v>
      </c>
      <c r="E10" s="47" t="s">
        <v>2400</v>
      </c>
      <c r="F10" s="47">
        <v>2024</v>
      </c>
      <c r="G10" s="47" t="s">
        <v>274</v>
      </c>
      <c r="H10" s="313">
        <v>9483362</v>
      </c>
      <c r="I10" s="313">
        <f t="shared" si="2"/>
        <v>9483362</v>
      </c>
      <c r="J10" s="313">
        <f t="shared" si="0"/>
        <v>-9483362</v>
      </c>
      <c r="K10" s="313">
        <f t="shared" si="1"/>
        <v>0</v>
      </c>
      <c r="L10" s="313"/>
      <c r="M10" s="313">
        <v>0</v>
      </c>
      <c r="N10" s="313">
        <v>0</v>
      </c>
      <c r="O10" s="313">
        <f t="shared" si="3"/>
        <v>0</v>
      </c>
      <c r="P10" t="s">
        <v>920</v>
      </c>
      <c r="Q10" s="8" t="s">
        <v>7858</v>
      </c>
      <c r="R10" s="8" t="s">
        <v>7879</v>
      </c>
      <c r="S10" s="37" t="s">
        <v>6338</v>
      </c>
      <c r="V10"/>
      <c r="W10"/>
    </row>
    <row r="11" spans="1:23">
      <c r="B11" s="320" t="s">
        <v>7795</v>
      </c>
      <c r="D11" t="s">
        <v>7144</v>
      </c>
      <c r="E11" s="47" t="s">
        <v>2404</v>
      </c>
      <c r="F11" s="47">
        <v>2024</v>
      </c>
      <c r="G11" s="47" t="s">
        <v>274</v>
      </c>
      <c r="H11" s="313">
        <v>3628790</v>
      </c>
      <c r="I11" s="313">
        <f t="shared" si="2"/>
        <v>3628790</v>
      </c>
      <c r="J11" s="313">
        <f t="shared" si="0"/>
        <v>-3628790</v>
      </c>
      <c r="K11" s="313">
        <f t="shared" si="1"/>
        <v>0</v>
      </c>
      <c r="L11" s="313"/>
      <c r="M11" s="313">
        <v>0</v>
      </c>
      <c r="N11" s="313">
        <v>0</v>
      </c>
      <c r="O11" s="313">
        <f t="shared" si="3"/>
        <v>0</v>
      </c>
      <c r="P11" t="s">
        <v>920</v>
      </c>
      <c r="Q11" s="8" t="s">
        <v>7858</v>
      </c>
      <c r="R11" s="8" t="s">
        <v>7879</v>
      </c>
      <c r="S11" s="37" t="s">
        <v>6338</v>
      </c>
      <c r="V11"/>
      <c r="W11"/>
    </row>
    <row r="12" spans="1:23">
      <c r="B12" s="320" t="s">
        <v>7795</v>
      </c>
      <c r="D12" t="s">
        <v>7144</v>
      </c>
      <c r="E12" s="47" t="s">
        <v>2405</v>
      </c>
      <c r="F12" s="47">
        <v>2024</v>
      </c>
      <c r="G12" s="47" t="s">
        <v>274</v>
      </c>
      <c r="H12" s="313">
        <v>1762728</v>
      </c>
      <c r="I12" s="313">
        <f t="shared" si="2"/>
        <v>1762728</v>
      </c>
      <c r="J12" s="313">
        <f t="shared" si="0"/>
        <v>-1762728</v>
      </c>
      <c r="K12" s="313">
        <f t="shared" si="1"/>
        <v>0</v>
      </c>
      <c r="L12" s="313"/>
      <c r="M12" s="313">
        <v>0</v>
      </c>
      <c r="N12" s="313">
        <v>0</v>
      </c>
      <c r="O12" s="313">
        <f t="shared" si="3"/>
        <v>0</v>
      </c>
      <c r="P12" t="s">
        <v>920</v>
      </c>
      <c r="Q12" s="8" t="s">
        <v>7858</v>
      </c>
      <c r="R12" s="8" t="s">
        <v>7879</v>
      </c>
      <c r="S12" s="37" t="s">
        <v>6338</v>
      </c>
      <c r="V12"/>
      <c r="W12"/>
    </row>
    <row r="13" spans="1:23">
      <c r="B13" s="320" t="s">
        <v>7795</v>
      </c>
      <c r="D13" t="s">
        <v>7144</v>
      </c>
      <c r="E13" s="47" t="s">
        <v>2407</v>
      </c>
      <c r="F13" s="47">
        <v>2024</v>
      </c>
      <c r="G13" s="47" t="s">
        <v>274</v>
      </c>
      <c r="H13" s="313">
        <v>1774828</v>
      </c>
      <c r="I13" s="313">
        <f t="shared" si="2"/>
        <v>1774828</v>
      </c>
      <c r="J13" s="313">
        <f t="shared" si="0"/>
        <v>-1774828</v>
      </c>
      <c r="K13" s="313">
        <f t="shared" si="1"/>
        <v>0</v>
      </c>
      <c r="L13" s="313"/>
      <c r="M13" s="313">
        <v>0</v>
      </c>
      <c r="N13" s="313">
        <v>0</v>
      </c>
      <c r="O13" s="313">
        <f t="shared" si="3"/>
        <v>0</v>
      </c>
      <c r="P13" t="s">
        <v>920</v>
      </c>
      <c r="Q13" s="8" t="s">
        <v>7858</v>
      </c>
      <c r="R13" s="8" t="s">
        <v>7879</v>
      </c>
      <c r="S13" s="37" t="s">
        <v>6338</v>
      </c>
      <c r="V13"/>
      <c r="W13"/>
    </row>
    <row r="14" spans="1:23">
      <c r="B14" s="320" t="s">
        <v>7795</v>
      </c>
      <c r="D14" t="s">
        <v>388</v>
      </c>
      <c r="E14" s="47" t="s">
        <v>2408</v>
      </c>
      <c r="F14" s="47">
        <v>2024</v>
      </c>
      <c r="G14" s="47" t="s">
        <v>274</v>
      </c>
      <c r="H14" s="313">
        <v>2191805</v>
      </c>
      <c r="I14" s="313">
        <f t="shared" si="2"/>
        <v>2191805</v>
      </c>
      <c r="J14" s="313">
        <f t="shared" si="0"/>
        <v>-2191805</v>
      </c>
      <c r="K14" s="313">
        <f t="shared" si="1"/>
        <v>0</v>
      </c>
      <c r="L14" s="313"/>
      <c r="M14" s="313">
        <v>0</v>
      </c>
      <c r="N14" s="313">
        <v>0</v>
      </c>
      <c r="O14" s="313">
        <f t="shared" si="3"/>
        <v>0</v>
      </c>
      <c r="P14" t="s">
        <v>920</v>
      </c>
      <c r="Q14" s="8" t="s">
        <v>7858</v>
      </c>
      <c r="R14" s="8" t="s">
        <v>7879</v>
      </c>
      <c r="S14" s="37" t="s">
        <v>6338</v>
      </c>
      <c r="V14"/>
      <c r="W14"/>
    </row>
    <row r="15" spans="1:23">
      <c r="B15" s="320" t="s">
        <v>7795</v>
      </c>
      <c r="D15" t="s">
        <v>388</v>
      </c>
      <c r="E15" s="47" t="s">
        <v>2410</v>
      </c>
      <c r="F15" s="47">
        <v>2024</v>
      </c>
      <c r="G15" s="47" t="s">
        <v>274</v>
      </c>
      <c r="H15" s="313">
        <v>1387188</v>
      </c>
      <c r="I15" s="313">
        <f t="shared" si="2"/>
        <v>1387188</v>
      </c>
      <c r="J15" s="313">
        <f t="shared" si="0"/>
        <v>-1387188</v>
      </c>
      <c r="K15" s="313">
        <f t="shared" si="1"/>
        <v>0</v>
      </c>
      <c r="L15" s="313"/>
      <c r="M15" s="313">
        <v>0</v>
      </c>
      <c r="N15" s="313">
        <v>0</v>
      </c>
      <c r="O15" s="313">
        <f t="shared" si="3"/>
        <v>0</v>
      </c>
      <c r="P15" t="s">
        <v>920</v>
      </c>
      <c r="Q15" s="8" t="s">
        <v>7858</v>
      </c>
      <c r="R15" s="8" t="s">
        <v>7879</v>
      </c>
      <c r="S15" s="37" t="s">
        <v>6338</v>
      </c>
      <c r="V15"/>
      <c r="W15"/>
    </row>
    <row r="16" spans="1:23">
      <c r="B16" s="320" t="s">
        <v>7795</v>
      </c>
      <c r="D16" t="s">
        <v>7145</v>
      </c>
      <c r="E16" s="47" t="s">
        <v>2411</v>
      </c>
      <c r="F16" s="47">
        <v>2024</v>
      </c>
      <c r="G16" s="47" t="s">
        <v>274</v>
      </c>
      <c r="H16" s="322">
        <v>3025000</v>
      </c>
      <c r="I16" s="313">
        <f t="shared" si="2"/>
        <v>3025000</v>
      </c>
      <c r="J16" s="313">
        <f t="shared" si="0"/>
        <v>-3025000</v>
      </c>
      <c r="K16" s="313">
        <f t="shared" si="1"/>
        <v>0</v>
      </c>
      <c r="L16" s="313"/>
      <c r="M16" s="313">
        <v>0</v>
      </c>
      <c r="N16" s="313">
        <v>0</v>
      </c>
      <c r="O16" s="313">
        <f t="shared" si="3"/>
        <v>0</v>
      </c>
      <c r="P16" t="s">
        <v>920</v>
      </c>
      <c r="Q16" s="8" t="s">
        <v>7858</v>
      </c>
      <c r="R16" s="8" t="s">
        <v>7879</v>
      </c>
      <c r="S16" s="37" t="s">
        <v>6338</v>
      </c>
      <c r="V16"/>
      <c r="W16"/>
    </row>
    <row r="17" spans="1:23">
      <c r="B17" s="320" t="s">
        <v>7795</v>
      </c>
      <c r="D17" t="s">
        <v>7144</v>
      </c>
      <c r="E17" s="47" t="s">
        <v>2412</v>
      </c>
      <c r="F17" s="47">
        <v>2024</v>
      </c>
      <c r="G17" s="47" t="s">
        <v>274</v>
      </c>
      <c r="H17" s="313">
        <v>3036979</v>
      </c>
      <c r="I17" s="313">
        <f t="shared" si="2"/>
        <v>3036979</v>
      </c>
      <c r="J17" s="313">
        <f t="shared" si="0"/>
        <v>-3036979</v>
      </c>
      <c r="K17" s="313">
        <f t="shared" si="1"/>
        <v>0</v>
      </c>
      <c r="L17" s="313"/>
      <c r="M17" s="313">
        <v>0</v>
      </c>
      <c r="N17" s="313">
        <v>0</v>
      </c>
      <c r="O17" s="313">
        <f t="shared" si="3"/>
        <v>0</v>
      </c>
      <c r="P17" t="s">
        <v>920</v>
      </c>
      <c r="Q17" s="8" t="s">
        <v>7858</v>
      </c>
      <c r="R17" s="8" t="s">
        <v>7879</v>
      </c>
      <c r="S17" s="37" t="s">
        <v>6338</v>
      </c>
      <c r="V17"/>
      <c r="W17"/>
    </row>
    <row r="18" spans="1:23">
      <c r="B18" s="320" t="s">
        <v>7795</v>
      </c>
      <c r="D18" t="s">
        <v>388</v>
      </c>
      <c r="E18" s="47" t="s">
        <v>2413</v>
      </c>
      <c r="F18" s="47">
        <v>2024</v>
      </c>
      <c r="G18" s="47" t="s">
        <v>274</v>
      </c>
      <c r="H18" s="313">
        <v>1953820</v>
      </c>
      <c r="I18" s="313">
        <f t="shared" si="2"/>
        <v>1953820</v>
      </c>
      <c r="J18" s="313">
        <f t="shared" si="0"/>
        <v>-1953820</v>
      </c>
      <c r="K18" s="313">
        <f t="shared" si="1"/>
        <v>0</v>
      </c>
      <c r="L18" s="313"/>
      <c r="M18" s="313">
        <v>0</v>
      </c>
      <c r="N18" s="313">
        <v>0</v>
      </c>
      <c r="O18" s="313">
        <f t="shared" si="3"/>
        <v>0</v>
      </c>
      <c r="P18" t="s">
        <v>920</v>
      </c>
      <c r="Q18" s="8" t="s">
        <v>7858</v>
      </c>
      <c r="R18" s="8" t="s">
        <v>7879</v>
      </c>
      <c r="S18" s="37" t="s">
        <v>6338</v>
      </c>
      <c r="V18"/>
      <c r="W18"/>
    </row>
    <row r="19" spans="1:23">
      <c r="B19" s="320" t="s">
        <v>7795</v>
      </c>
      <c r="D19" t="s">
        <v>388</v>
      </c>
      <c r="E19" s="47" t="s">
        <v>2145</v>
      </c>
      <c r="F19" s="47">
        <v>2024</v>
      </c>
      <c r="G19" s="47" t="s">
        <v>274</v>
      </c>
      <c r="H19" s="313">
        <v>3119086</v>
      </c>
      <c r="I19" s="313">
        <f t="shared" si="2"/>
        <v>3119086</v>
      </c>
      <c r="J19" s="313">
        <f t="shared" si="0"/>
        <v>-3119086</v>
      </c>
      <c r="K19" s="313">
        <f t="shared" si="1"/>
        <v>0</v>
      </c>
      <c r="L19" s="313"/>
      <c r="M19" s="313">
        <v>0</v>
      </c>
      <c r="N19" s="313">
        <v>0</v>
      </c>
      <c r="O19" s="313">
        <f t="shared" si="3"/>
        <v>0</v>
      </c>
      <c r="P19" t="s">
        <v>920</v>
      </c>
      <c r="Q19" s="8" t="s">
        <v>7858</v>
      </c>
      <c r="R19" s="8" t="s">
        <v>7879</v>
      </c>
      <c r="S19" s="37" t="s">
        <v>6338</v>
      </c>
      <c r="V19"/>
      <c r="W19"/>
    </row>
    <row r="20" spans="1:23">
      <c r="B20" s="320" t="s">
        <v>7795</v>
      </c>
      <c r="D20" t="s">
        <v>388</v>
      </c>
      <c r="E20" s="47" t="s">
        <v>2146</v>
      </c>
      <c r="F20" s="47">
        <v>2024</v>
      </c>
      <c r="G20" s="47" t="s">
        <v>274</v>
      </c>
      <c r="H20" s="313">
        <v>12476399</v>
      </c>
      <c r="I20" s="313">
        <f>H20</f>
        <v>12476399</v>
      </c>
      <c r="J20" s="313">
        <f t="shared" si="0"/>
        <v>-12476399</v>
      </c>
      <c r="K20" s="313">
        <f t="shared" si="1"/>
        <v>0</v>
      </c>
      <c r="L20" s="313"/>
      <c r="M20" s="313">
        <v>0</v>
      </c>
      <c r="N20" s="313">
        <v>0</v>
      </c>
      <c r="O20" s="313">
        <f t="shared" si="3"/>
        <v>0</v>
      </c>
      <c r="P20" t="s">
        <v>920</v>
      </c>
      <c r="Q20" s="8" t="s">
        <v>7858</v>
      </c>
      <c r="R20" s="8" t="s">
        <v>7879</v>
      </c>
      <c r="S20" s="37" t="s">
        <v>6338</v>
      </c>
      <c r="V20"/>
      <c r="W20"/>
    </row>
    <row r="21" spans="1:23">
      <c r="A21" s="320">
        <v>45658</v>
      </c>
      <c r="B21" s="320" t="s">
        <v>7032</v>
      </c>
      <c r="D21" t="s">
        <v>7233</v>
      </c>
      <c r="G21" s="47" t="s">
        <v>7796</v>
      </c>
      <c r="H21" s="116">
        <v>1981982</v>
      </c>
      <c r="I21" s="313">
        <v>0</v>
      </c>
      <c r="J21" s="313">
        <v>0</v>
      </c>
      <c r="K21" s="313">
        <f t="shared" ref="K21:K43" si="4">I21-J21</f>
        <v>0</v>
      </c>
      <c r="L21" s="313"/>
      <c r="M21" s="334">
        <v>0</v>
      </c>
      <c r="N21" s="116">
        <f t="shared" ref="N21:N28" si="5">H21</f>
        <v>1981982</v>
      </c>
      <c r="O21" s="313">
        <f t="shared" si="3"/>
        <v>1981982</v>
      </c>
      <c r="P21" t="s">
        <v>920</v>
      </c>
      <c r="Q21" t="s">
        <v>7856</v>
      </c>
      <c r="R21" t="s">
        <v>7032</v>
      </c>
      <c r="S21" t="s">
        <v>89</v>
      </c>
    </row>
    <row r="22" spans="1:23">
      <c r="A22" s="320">
        <v>45658</v>
      </c>
      <c r="B22" s="320" t="s">
        <v>7032</v>
      </c>
      <c r="D22" t="s">
        <v>7234</v>
      </c>
      <c r="G22" s="47" t="s">
        <v>7796</v>
      </c>
      <c r="H22" s="116">
        <v>1200883</v>
      </c>
      <c r="I22" s="313">
        <v>0</v>
      </c>
      <c r="J22" s="313">
        <v>0</v>
      </c>
      <c r="K22" s="313">
        <f t="shared" si="4"/>
        <v>0</v>
      </c>
      <c r="L22" s="313"/>
      <c r="M22" s="334">
        <v>0</v>
      </c>
      <c r="N22" s="116">
        <f t="shared" si="5"/>
        <v>1200883</v>
      </c>
      <c r="O22" s="313">
        <f t="shared" si="3"/>
        <v>3182865</v>
      </c>
      <c r="P22" t="s">
        <v>920</v>
      </c>
      <c r="Q22" t="s">
        <v>7856</v>
      </c>
      <c r="R22" t="s">
        <v>7032</v>
      </c>
      <c r="S22" t="s">
        <v>89</v>
      </c>
    </row>
    <row r="23" spans="1:23">
      <c r="A23" s="320">
        <v>45658</v>
      </c>
      <c r="B23" s="320" t="s">
        <v>7032</v>
      </c>
      <c r="D23" t="s">
        <v>7235</v>
      </c>
      <c r="G23" s="47" t="s">
        <v>7796</v>
      </c>
      <c r="H23" s="116">
        <v>74324</v>
      </c>
      <c r="I23" s="313">
        <v>0</v>
      </c>
      <c r="J23" s="313">
        <v>0</v>
      </c>
      <c r="K23" s="313">
        <f t="shared" si="4"/>
        <v>0</v>
      </c>
      <c r="L23" s="313"/>
      <c r="M23" s="334">
        <v>0</v>
      </c>
      <c r="N23" s="116">
        <f t="shared" si="5"/>
        <v>74324</v>
      </c>
      <c r="O23" s="313">
        <f t="shared" si="3"/>
        <v>3257189</v>
      </c>
      <c r="P23" t="s">
        <v>920</v>
      </c>
      <c r="Q23" t="s">
        <v>7854</v>
      </c>
      <c r="R23" t="s">
        <v>7032</v>
      </c>
      <c r="S23" t="s">
        <v>89</v>
      </c>
    </row>
    <row r="24" spans="1:23">
      <c r="A24" s="320">
        <v>45658</v>
      </c>
      <c r="B24" s="320" t="s">
        <v>7032</v>
      </c>
      <c r="D24" t="s">
        <v>7236</v>
      </c>
      <c r="G24" s="47" t="s">
        <v>7796</v>
      </c>
      <c r="H24" s="116">
        <v>126142500</v>
      </c>
      <c r="I24" s="313">
        <v>0</v>
      </c>
      <c r="J24" s="313">
        <v>0</v>
      </c>
      <c r="K24" s="313">
        <f t="shared" si="4"/>
        <v>0</v>
      </c>
      <c r="L24" s="313"/>
      <c r="M24" s="334">
        <v>0</v>
      </c>
      <c r="N24" s="116">
        <f t="shared" si="5"/>
        <v>126142500</v>
      </c>
      <c r="O24" s="313">
        <f t="shared" si="3"/>
        <v>129399689</v>
      </c>
      <c r="P24" t="s">
        <v>920</v>
      </c>
      <c r="Q24" t="s">
        <v>7856</v>
      </c>
      <c r="R24" t="s">
        <v>7032</v>
      </c>
      <c r="S24" t="s">
        <v>89</v>
      </c>
    </row>
    <row r="25" spans="1:23">
      <c r="A25" s="320">
        <v>45658</v>
      </c>
      <c r="B25" s="320" t="s">
        <v>7032</v>
      </c>
      <c r="D25" t="s">
        <v>7237</v>
      </c>
      <c r="G25" s="47" t="s">
        <v>7796</v>
      </c>
      <c r="H25" s="116">
        <v>583000</v>
      </c>
      <c r="I25" s="313">
        <v>0</v>
      </c>
      <c r="J25" s="313">
        <v>0</v>
      </c>
      <c r="K25" s="313">
        <f t="shared" si="4"/>
        <v>0</v>
      </c>
      <c r="L25" s="313"/>
      <c r="M25" s="334">
        <v>0</v>
      </c>
      <c r="N25" s="116">
        <f t="shared" si="5"/>
        <v>583000</v>
      </c>
      <c r="O25" s="313">
        <f t="shared" si="3"/>
        <v>129982689</v>
      </c>
      <c r="P25" t="s">
        <v>920</v>
      </c>
      <c r="Q25" t="s">
        <v>7854</v>
      </c>
      <c r="R25" t="s">
        <v>7032</v>
      </c>
      <c r="S25" t="s">
        <v>89</v>
      </c>
    </row>
    <row r="26" spans="1:23">
      <c r="A26" s="320">
        <v>45658</v>
      </c>
      <c r="B26" s="320" t="s">
        <v>7032</v>
      </c>
      <c r="D26" t="s">
        <v>7237</v>
      </c>
      <c r="G26" s="47" t="s">
        <v>7796</v>
      </c>
      <c r="H26" s="116">
        <v>506000</v>
      </c>
      <c r="I26" s="313">
        <v>0</v>
      </c>
      <c r="J26" s="313">
        <v>0</v>
      </c>
      <c r="K26" s="313">
        <f t="shared" si="4"/>
        <v>0</v>
      </c>
      <c r="L26" s="313"/>
      <c r="M26" s="334">
        <v>0</v>
      </c>
      <c r="N26" s="116">
        <f t="shared" si="5"/>
        <v>506000</v>
      </c>
      <c r="O26" s="313">
        <f t="shared" si="3"/>
        <v>130488689</v>
      </c>
      <c r="P26" t="s">
        <v>920</v>
      </c>
      <c r="Q26" t="s">
        <v>7854</v>
      </c>
      <c r="R26" t="s">
        <v>7032</v>
      </c>
      <c r="S26" t="s">
        <v>89</v>
      </c>
    </row>
    <row r="27" spans="1:23" s="8" customFormat="1">
      <c r="A27" s="332">
        <v>45658</v>
      </c>
      <c r="B27" s="332" t="s">
        <v>7032</v>
      </c>
      <c r="D27" s="8" t="s">
        <v>7238</v>
      </c>
      <c r="E27" s="200"/>
      <c r="F27" s="200"/>
      <c r="G27" s="200" t="s">
        <v>7796</v>
      </c>
      <c r="H27" s="116">
        <v>13200000</v>
      </c>
      <c r="I27" s="313">
        <v>0</v>
      </c>
      <c r="J27" s="313">
        <v>0</v>
      </c>
      <c r="K27" s="313">
        <f t="shared" si="4"/>
        <v>0</v>
      </c>
      <c r="L27" s="313"/>
      <c r="M27" s="116">
        <v>0</v>
      </c>
      <c r="N27" s="116">
        <f t="shared" si="5"/>
        <v>13200000</v>
      </c>
      <c r="O27" s="313">
        <f t="shared" si="3"/>
        <v>143688689</v>
      </c>
      <c r="P27" s="8" t="s">
        <v>920</v>
      </c>
      <c r="Q27" t="s">
        <v>7854</v>
      </c>
      <c r="R27" s="8" t="s">
        <v>7032</v>
      </c>
      <c r="S27" s="8" t="s">
        <v>89</v>
      </c>
      <c r="V27" s="116"/>
      <c r="W27" s="116"/>
    </row>
    <row r="28" spans="1:23" s="8" customFormat="1">
      <c r="A28" s="332">
        <v>45658</v>
      </c>
      <c r="B28" s="332" t="s">
        <v>26</v>
      </c>
      <c r="D28" s="8" t="s">
        <v>7239</v>
      </c>
      <c r="E28" s="200"/>
      <c r="F28" s="200"/>
      <c r="G28" s="200" t="s">
        <v>7796</v>
      </c>
      <c r="H28" s="130">
        <v>261800</v>
      </c>
      <c r="I28" s="339">
        <v>0</v>
      </c>
      <c r="J28" s="339">
        <v>0</v>
      </c>
      <c r="K28" s="339">
        <f t="shared" si="4"/>
        <v>0</v>
      </c>
      <c r="L28" s="339"/>
      <c r="M28" s="130">
        <v>0</v>
      </c>
      <c r="N28" s="130">
        <f t="shared" si="5"/>
        <v>261800</v>
      </c>
      <c r="O28" s="339">
        <f t="shared" si="3"/>
        <v>143950489</v>
      </c>
      <c r="P28" s="8" t="s">
        <v>920</v>
      </c>
      <c r="Q28" s="8" t="s">
        <v>7858</v>
      </c>
      <c r="R28" s="8" t="s">
        <v>7824</v>
      </c>
      <c r="S28" s="8" t="s">
        <v>26</v>
      </c>
      <c r="V28" s="130"/>
      <c r="W28" s="130"/>
    </row>
    <row r="29" spans="1:23">
      <c r="A29" s="320">
        <v>45658</v>
      </c>
      <c r="B29" s="320" t="s">
        <v>7795</v>
      </c>
      <c r="C29" t="s">
        <v>7240</v>
      </c>
      <c r="D29" t="s">
        <v>7241</v>
      </c>
      <c r="E29" s="49" t="s">
        <v>1465</v>
      </c>
      <c r="F29" s="49">
        <v>2025</v>
      </c>
      <c r="G29" s="49" t="s">
        <v>275</v>
      </c>
      <c r="H29" s="199">
        <v>550000</v>
      </c>
      <c r="I29" s="313">
        <v>0</v>
      </c>
      <c r="J29" s="313">
        <v>0</v>
      </c>
      <c r="K29" s="313">
        <f t="shared" si="4"/>
        <v>0</v>
      </c>
      <c r="L29" s="313"/>
      <c r="M29" s="199">
        <f>H29</f>
        <v>550000</v>
      </c>
      <c r="N29" s="313">
        <v>0</v>
      </c>
      <c r="O29" s="313">
        <f t="shared" si="3"/>
        <v>143400489</v>
      </c>
      <c r="P29" t="s">
        <v>6</v>
      </c>
      <c r="Q29" t="s">
        <v>7756</v>
      </c>
      <c r="R29" t="s">
        <v>7757</v>
      </c>
    </row>
    <row r="30" spans="1:23">
      <c r="A30" s="320">
        <v>45658</v>
      </c>
      <c r="B30" s="320" t="s">
        <v>7795</v>
      </c>
      <c r="C30" t="s">
        <v>7242</v>
      </c>
      <c r="D30" t="s">
        <v>7243</v>
      </c>
      <c r="E30" s="47" t="s">
        <v>1469</v>
      </c>
      <c r="F30" s="49">
        <v>2025</v>
      </c>
      <c r="G30" s="49" t="s">
        <v>275</v>
      </c>
      <c r="H30" s="199">
        <v>550000</v>
      </c>
      <c r="I30" s="313">
        <v>0</v>
      </c>
      <c r="J30" s="313">
        <v>0</v>
      </c>
      <c r="K30" s="313">
        <f t="shared" si="4"/>
        <v>0</v>
      </c>
      <c r="L30" s="313"/>
      <c r="M30" s="199">
        <f>H30</f>
        <v>550000</v>
      </c>
      <c r="N30" s="313">
        <v>0</v>
      </c>
      <c r="O30" s="313">
        <f t="shared" si="3"/>
        <v>142850489</v>
      </c>
      <c r="P30" t="s">
        <v>6</v>
      </c>
      <c r="Q30" t="s">
        <v>7756</v>
      </c>
      <c r="R30" t="s">
        <v>7757</v>
      </c>
    </row>
    <row r="31" spans="1:23">
      <c r="A31" s="320">
        <v>45658</v>
      </c>
      <c r="B31" s="320" t="s">
        <v>7795</v>
      </c>
      <c r="C31" t="s">
        <v>7244</v>
      </c>
      <c r="D31" t="s">
        <v>7243</v>
      </c>
      <c r="E31" s="47" t="s">
        <v>1466</v>
      </c>
      <c r="F31" s="47">
        <v>2025</v>
      </c>
      <c r="G31" s="47" t="s">
        <v>274</v>
      </c>
      <c r="H31" s="325">
        <v>74324324</v>
      </c>
      <c r="I31" s="313">
        <f>H31</f>
        <v>74324324</v>
      </c>
      <c r="J31" s="313">
        <f>-I31</f>
        <v>-74324324</v>
      </c>
      <c r="K31" s="313">
        <f>I31+J31</f>
        <v>0</v>
      </c>
      <c r="L31" s="313"/>
      <c r="M31" s="334">
        <v>0</v>
      </c>
      <c r="N31" s="313">
        <v>0</v>
      </c>
      <c r="O31" s="313">
        <f t="shared" si="3"/>
        <v>142850489</v>
      </c>
      <c r="P31" t="s">
        <v>920</v>
      </c>
      <c r="Q31" s="8" t="s">
        <v>7858</v>
      </c>
      <c r="R31" t="s">
        <v>7880</v>
      </c>
      <c r="S31" s="37" t="s">
        <v>1526</v>
      </c>
      <c r="V31"/>
      <c r="W31"/>
    </row>
    <row r="32" spans="1:23">
      <c r="A32" s="320">
        <v>45689</v>
      </c>
      <c r="B32" s="320" t="s">
        <v>7032</v>
      </c>
      <c r="D32" t="s">
        <v>7233</v>
      </c>
      <c r="G32" s="47" t="s">
        <v>7796</v>
      </c>
      <c r="H32" s="116">
        <v>1981982</v>
      </c>
      <c r="I32" s="313">
        <v>0</v>
      </c>
      <c r="J32" s="313">
        <v>0</v>
      </c>
      <c r="K32" s="313">
        <f t="shared" si="4"/>
        <v>0</v>
      </c>
      <c r="L32" s="313"/>
      <c r="M32" s="334">
        <v>0</v>
      </c>
      <c r="N32" s="116">
        <f t="shared" ref="N32:N43" si="6">H32</f>
        <v>1981982</v>
      </c>
      <c r="O32" s="313">
        <f t="shared" si="3"/>
        <v>144832471</v>
      </c>
      <c r="P32" t="s">
        <v>920</v>
      </c>
      <c r="Q32" t="s">
        <v>7856</v>
      </c>
      <c r="R32" t="s">
        <v>7032</v>
      </c>
      <c r="S32" t="s">
        <v>4567</v>
      </c>
    </row>
    <row r="33" spans="1:23">
      <c r="A33" s="320">
        <v>45689</v>
      </c>
      <c r="B33" s="320" t="s">
        <v>7032</v>
      </c>
      <c r="D33" t="s">
        <v>7237</v>
      </c>
      <c r="G33" s="47" t="s">
        <v>7796</v>
      </c>
      <c r="H33" s="116">
        <v>583000</v>
      </c>
      <c r="I33" s="313">
        <v>0</v>
      </c>
      <c r="J33" s="313">
        <v>0</v>
      </c>
      <c r="K33" s="313">
        <f t="shared" si="4"/>
        <v>0</v>
      </c>
      <c r="L33" s="313"/>
      <c r="M33" s="334">
        <v>0</v>
      </c>
      <c r="N33" s="116">
        <f t="shared" si="6"/>
        <v>583000</v>
      </c>
      <c r="O33" s="313">
        <f t="shared" si="3"/>
        <v>145415471</v>
      </c>
      <c r="P33" s="8" t="s">
        <v>920</v>
      </c>
      <c r="Q33" t="s">
        <v>7854</v>
      </c>
      <c r="R33" s="8" t="s">
        <v>7032</v>
      </c>
      <c r="S33" s="8" t="s">
        <v>4567</v>
      </c>
    </row>
    <row r="34" spans="1:23">
      <c r="A34" s="320">
        <v>45689</v>
      </c>
      <c r="B34" s="320" t="s">
        <v>7032</v>
      </c>
      <c r="D34" t="s">
        <v>7237</v>
      </c>
      <c r="G34" s="47" t="s">
        <v>7796</v>
      </c>
      <c r="H34" s="116">
        <v>506000</v>
      </c>
      <c r="I34" s="313">
        <v>0</v>
      </c>
      <c r="J34" s="313">
        <v>0</v>
      </c>
      <c r="K34" s="313">
        <f t="shared" si="4"/>
        <v>0</v>
      </c>
      <c r="L34" s="313"/>
      <c r="M34" s="334">
        <v>0</v>
      </c>
      <c r="N34" s="116">
        <f t="shared" si="6"/>
        <v>506000</v>
      </c>
      <c r="O34" s="313">
        <f t="shared" si="3"/>
        <v>145921471</v>
      </c>
      <c r="P34" s="8" t="s">
        <v>920</v>
      </c>
      <c r="Q34" t="s">
        <v>7854</v>
      </c>
      <c r="R34" s="8" t="s">
        <v>7032</v>
      </c>
      <c r="S34" s="8" t="s">
        <v>4567</v>
      </c>
    </row>
    <row r="35" spans="1:23">
      <c r="A35" s="320">
        <v>45689</v>
      </c>
      <c r="B35" s="320" t="s">
        <v>7032</v>
      </c>
      <c r="D35" t="s">
        <v>7236</v>
      </c>
      <c r="G35" s="47" t="s">
        <v>7796</v>
      </c>
      <c r="H35" s="116">
        <v>6836500</v>
      </c>
      <c r="I35" s="313">
        <v>0</v>
      </c>
      <c r="J35" s="313">
        <v>0</v>
      </c>
      <c r="K35" s="313">
        <f t="shared" si="4"/>
        <v>0</v>
      </c>
      <c r="L35" s="313"/>
      <c r="M35" s="334">
        <v>0</v>
      </c>
      <c r="N35" s="116">
        <f t="shared" si="6"/>
        <v>6836500</v>
      </c>
      <c r="O35" s="313">
        <f t="shared" si="3"/>
        <v>152757971</v>
      </c>
      <c r="P35" t="s">
        <v>920</v>
      </c>
      <c r="Q35" t="s">
        <v>7856</v>
      </c>
      <c r="R35" s="43" t="s">
        <v>7032</v>
      </c>
      <c r="S35" t="s">
        <v>4567</v>
      </c>
    </row>
    <row r="36" spans="1:23">
      <c r="A36" s="320">
        <v>45689</v>
      </c>
      <c r="B36" s="320" t="s">
        <v>7032</v>
      </c>
      <c r="D36" t="s">
        <v>7236</v>
      </c>
      <c r="G36" s="47" t="s">
        <v>7796</v>
      </c>
      <c r="H36" s="116">
        <v>1515525</v>
      </c>
      <c r="I36" s="313">
        <v>0</v>
      </c>
      <c r="J36" s="313">
        <v>0</v>
      </c>
      <c r="K36" s="313">
        <f t="shared" si="4"/>
        <v>0</v>
      </c>
      <c r="L36" s="313"/>
      <c r="M36" s="334">
        <v>0</v>
      </c>
      <c r="N36" s="116">
        <f t="shared" si="6"/>
        <v>1515525</v>
      </c>
      <c r="O36" s="313">
        <f t="shared" si="3"/>
        <v>154273496</v>
      </c>
      <c r="P36" t="s">
        <v>920</v>
      </c>
      <c r="Q36" t="s">
        <v>7856</v>
      </c>
      <c r="R36" t="s">
        <v>7032</v>
      </c>
      <c r="S36" t="s">
        <v>4567</v>
      </c>
    </row>
    <row r="37" spans="1:23">
      <c r="A37" s="320">
        <v>45689</v>
      </c>
      <c r="B37" s="320" t="s">
        <v>7032</v>
      </c>
      <c r="D37" t="s">
        <v>7245</v>
      </c>
      <c r="G37" s="47" t="s">
        <v>7796</v>
      </c>
      <c r="H37" s="116">
        <v>2370500</v>
      </c>
      <c r="I37" s="313">
        <v>0</v>
      </c>
      <c r="J37" s="313">
        <v>0</v>
      </c>
      <c r="K37" s="313">
        <f t="shared" si="4"/>
        <v>0</v>
      </c>
      <c r="L37" s="313"/>
      <c r="M37" s="334">
        <v>0</v>
      </c>
      <c r="N37" s="116">
        <f t="shared" si="6"/>
        <v>2370500</v>
      </c>
      <c r="O37" s="313">
        <f t="shared" si="3"/>
        <v>156643996</v>
      </c>
      <c r="P37" s="8" t="s">
        <v>920</v>
      </c>
      <c r="Q37" t="s">
        <v>7854</v>
      </c>
      <c r="R37" s="8" t="s">
        <v>7032</v>
      </c>
      <c r="S37" s="8" t="s">
        <v>4567</v>
      </c>
    </row>
    <row r="38" spans="1:23">
      <c r="A38" s="320">
        <v>45689</v>
      </c>
      <c r="B38" s="320" t="s">
        <v>7032</v>
      </c>
      <c r="D38" t="s">
        <v>7235</v>
      </c>
      <c r="G38" s="47" t="s">
        <v>7796</v>
      </c>
      <c r="H38" s="116">
        <v>74324</v>
      </c>
      <c r="I38" s="313">
        <v>0</v>
      </c>
      <c r="J38" s="313">
        <v>0</v>
      </c>
      <c r="K38" s="313">
        <f t="shared" si="4"/>
        <v>0</v>
      </c>
      <c r="L38" s="313"/>
      <c r="M38" s="334">
        <v>0</v>
      </c>
      <c r="N38" s="116">
        <f t="shared" si="6"/>
        <v>74324</v>
      </c>
      <c r="O38" s="313">
        <f t="shared" si="3"/>
        <v>156718320</v>
      </c>
      <c r="P38" s="8" t="s">
        <v>920</v>
      </c>
      <c r="Q38" t="s">
        <v>7854</v>
      </c>
      <c r="R38" s="8" t="s">
        <v>7032</v>
      </c>
      <c r="S38" s="8" t="s">
        <v>4567</v>
      </c>
    </row>
    <row r="39" spans="1:23">
      <c r="A39" s="320">
        <v>45689</v>
      </c>
      <c r="B39" s="320" t="s">
        <v>7032</v>
      </c>
      <c r="D39" t="s">
        <v>7246</v>
      </c>
      <c r="G39" s="47" t="s">
        <v>7796</v>
      </c>
      <c r="H39" s="116">
        <v>822522</v>
      </c>
      <c r="I39" s="313">
        <v>0</v>
      </c>
      <c r="J39" s="313">
        <v>0</v>
      </c>
      <c r="K39" s="313">
        <f t="shared" si="4"/>
        <v>0</v>
      </c>
      <c r="L39" s="313"/>
      <c r="M39" s="334">
        <v>0</v>
      </c>
      <c r="N39" s="116">
        <f t="shared" si="6"/>
        <v>822522</v>
      </c>
      <c r="O39" s="313">
        <f t="shared" si="3"/>
        <v>157540842</v>
      </c>
      <c r="P39" s="8" t="s">
        <v>920</v>
      </c>
      <c r="Q39" t="s">
        <v>7854</v>
      </c>
      <c r="R39" s="8" t="s">
        <v>7032</v>
      </c>
      <c r="S39" s="8" t="s">
        <v>4567</v>
      </c>
    </row>
    <row r="40" spans="1:23">
      <c r="A40" s="320">
        <v>45689</v>
      </c>
      <c r="B40" s="320" t="s">
        <v>7032</v>
      </c>
      <c r="D40" t="s">
        <v>7247</v>
      </c>
      <c r="G40" s="47" t="s">
        <v>7796</v>
      </c>
      <c r="H40" s="116">
        <v>22770000</v>
      </c>
      <c r="I40" s="313">
        <v>0</v>
      </c>
      <c r="J40" s="313">
        <v>0</v>
      </c>
      <c r="K40" s="313">
        <f t="shared" si="4"/>
        <v>0</v>
      </c>
      <c r="L40" s="313"/>
      <c r="M40" s="334">
        <v>0</v>
      </c>
      <c r="N40" s="116">
        <f t="shared" si="6"/>
        <v>22770000</v>
      </c>
      <c r="O40" s="313">
        <f t="shared" si="3"/>
        <v>180310842</v>
      </c>
      <c r="P40" s="8" t="s">
        <v>920</v>
      </c>
      <c r="Q40" t="s">
        <v>7854</v>
      </c>
      <c r="R40" s="8" t="s">
        <v>7032</v>
      </c>
      <c r="S40" s="8" t="s">
        <v>4567</v>
      </c>
    </row>
    <row r="41" spans="1:23">
      <c r="A41" s="320">
        <v>45689</v>
      </c>
      <c r="B41" s="320" t="s">
        <v>7032</v>
      </c>
      <c r="D41" t="s">
        <v>7248</v>
      </c>
      <c r="G41" s="47" t="s">
        <v>7796</v>
      </c>
      <c r="H41" s="116">
        <v>8819820</v>
      </c>
      <c r="I41" s="313">
        <v>0</v>
      </c>
      <c r="J41" s="313">
        <v>0</v>
      </c>
      <c r="K41" s="313">
        <f t="shared" si="4"/>
        <v>0</v>
      </c>
      <c r="L41" s="313"/>
      <c r="M41" s="334">
        <v>0</v>
      </c>
      <c r="N41" s="116">
        <f t="shared" si="6"/>
        <v>8819820</v>
      </c>
      <c r="O41" s="313">
        <f t="shared" si="3"/>
        <v>189130662</v>
      </c>
      <c r="P41" s="8" t="s">
        <v>920</v>
      </c>
      <c r="Q41" t="s">
        <v>7854</v>
      </c>
      <c r="R41" s="8" t="s">
        <v>7032</v>
      </c>
      <c r="S41" s="8" t="s">
        <v>4567</v>
      </c>
    </row>
    <row r="42" spans="1:23">
      <c r="A42" s="320">
        <v>45689</v>
      </c>
      <c r="B42" s="320" t="s">
        <v>7032</v>
      </c>
      <c r="D42" t="s">
        <v>7249</v>
      </c>
      <c r="G42" s="47" t="s">
        <v>7796</v>
      </c>
      <c r="H42" s="116">
        <v>385000</v>
      </c>
      <c r="I42" s="313">
        <v>0</v>
      </c>
      <c r="J42" s="313">
        <v>0</v>
      </c>
      <c r="K42" s="313">
        <f t="shared" si="4"/>
        <v>0</v>
      </c>
      <c r="L42" s="313"/>
      <c r="M42" s="334">
        <v>0</v>
      </c>
      <c r="N42" s="116">
        <f t="shared" si="6"/>
        <v>385000</v>
      </c>
      <c r="O42" s="313">
        <f t="shared" si="3"/>
        <v>189515662</v>
      </c>
      <c r="P42" t="s">
        <v>920</v>
      </c>
      <c r="Q42" t="s">
        <v>7854</v>
      </c>
      <c r="R42" t="s">
        <v>7032</v>
      </c>
      <c r="S42" t="s">
        <v>4567</v>
      </c>
    </row>
    <row r="43" spans="1:23">
      <c r="A43" s="320">
        <v>45689</v>
      </c>
      <c r="B43" s="320" t="s">
        <v>7032</v>
      </c>
      <c r="D43" t="s">
        <v>7249</v>
      </c>
      <c r="G43" s="47" t="s">
        <v>7796</v>
      </c>
      <c r="H43" s="116">
        <v>385000</v>
      </c>
      <c r="I43" s="313">
        <v>0</v>
      </c>
      <c r="J43" s="313">
        <v>0</v>
      </c>
      <c r="K43" s="313">
        <f t="shared" si="4"/>
        <v>0</v>
      </c>
      <c r="L43" s="313"/>
      <c r="M43" s="334">
        <v>0</v>
      </c>
      <c r="N43" s="116">
        <f t="shared" si="6"/>
        <v>385000</v>
      </c>
      <c r="O43" s="313">
        <f t="shared" si="3"/>
        <v>189900662</v>
      </c>
      <c r="P43" t="s">
        <v>920</v>
      </c>
      <c r="Q43" t="s">
        <v>7854</v>
      </c>
      <c r="R43" t="s">
        <v>7032</v>
      </c>
      <c r="S43" t="s">
        <v>4567</v>
      </c>
    </row>
    <row r="44" spans="1:23">
      <c r="A44" s="320">
        <v>45689</v>
      </c>
      <c r="B44" s="320" t="s">
        <v>7795</v>
      </c>
      <c r="C44" t="s">
        <v>7250</v>
      </c>
      <c r="D44" t="s">
        <v>7251</v>
      </c>
      <c r="E44" s="49" t="s">
        <v>1471</v>
      </c>
      <c r="F44" s="47">
        <v>2025</v>
      </c>
      <c r="G44" s="47" t="s">
        <v>274</v>
      </c>
      <c r="H44" s="316">
        <v>74324324</v>
      </c>
      <c r="I44" s="313">
        <f t="shared" ref="I44:I74" si="7">H44</f>
        <v>74324324</v>
      </c>
      <c r="J44" s="313">
        <f>-I44</f>
        <v>-74324324</v>
      </c>
      <c r="K44" s="313">
        <f t="shared" ref="K44:K76" si="8">I44+J44</f>
        <v>0</v>
      </c>
      <c r="L44" s="313"/>
      <c r="M44" s="334">
        <v>0</v>
      </c>
      <c r="N44" s="313">
        <v>0</v>
      </c>
      <c r="O44" s="313">
        <f t="shared" si="3"/>
        <v>189900662</v>
      </c>
      <c r="P44" t="s">
        <v>920</v>
      </c>
      <c r="Q44" s="8" t="s">
        <v>7858</v>
      </c>
      <c r="R44" t="s">
        <v>7880</v>
      </c>
      <c r="S44" s="37" t="s">
        <v>1526</v>
      </c>
      <c r="V44"/>
      <c r="W44"/>
    </row>
    <row r="45" spans="1:23">
      <c r="A45" s="320">
        <v>45689</v>
      </c>
      <c r="B45" s="320" t="s">
        <v>7795</v>
      </c>
      <c r="C45" t="s">
        <v>7252</v>
      </c>
      <c r="D45" t="s">
        <v>7253</v>
      </c>
      <c r="E45" s="47" t="s">
        <v>7254</v>
      </c>
      <c r="F45" s="47">
        <v>2025</v>
      </c>
      <c r="G45" s="47" t="s">
        <v>274</v>
      </c>
      <c r="H45" s="316">
        <v>9909910</v>
      </c>
      <c r="I45" s="313">
        <f t="shared" si="7"/>
        <v>9909910</v>
      </c>
      <c r="J45" s="313">
        <f>-I45</f>
        <v>-9909910</v>
      </c>
      <c r="K45" s="313">
        <f t="shared" si="8"/>
        <v>0</v>
      </c>
      <c r="L45" s="313"/>
      <c r="M45" s="334">
        <v>0</v>
      </c>
      <c r="N45" s="313">
        <v>0</v>
      </c>
      <c r="O45" s="313">
        <f t="shared" si="3"/>
        <v>189900662</v>
      </c>
      <c r="P45" t="s">
        <v>920</v>
      </c>
      <c r="Q45" s="8" t="s">
        <v>7858</v>
      </c>
      <c r="R45" t="s">
        <v>7880</v>
      </c>
      <c r="S45" s="37" t="s">
        <v>1526</v>
      </c>
      <c r="V45"/>
      <c r="W45"/>
    </row>
    <row r="46" spans="1:23">
      <c r="A46" s="320">
        <v>45689</v>
      </c>
      <c r="B46" s="320" t="s">
        <v>7795</v>
      </c>
      <c r="C46" t="s">
        <v>7255</v>
      </c>
      <c r="D46" t="s">
        <v>7256</v>
      </c>
      <c r="E46" s="47" t="s">
        <v>7257</v>
      </c>
      <c r="F46" s="47">
        <v>2025</v>
      </c>
      <c r="G46" s="47" t="s">
        <v>274</v>
      </c>
      <c r="H46" s="316">
        <v>24774775</v>
      </c>
      <c r="I46" s="313">
        <f t="shared" si="7"/>
        <v>24774775</v>
      </c>
      <c r="J46" s="313">
        <f>-I46</f>
        <v>-24774775</v>
      </c>
      <c r="K46" s="313">
        <f t="shared" si="8"/>
        <v>0</v>
      </c>
      <c r="L46" s="313"/>
      <c r="M46" s="334">
        <v>0</v>
      </c>
      <c r="N46" s="313">
        <v>0</v>
      </c>
      <c r="O46" s="313">
        <f t="shared" si="3"/>
        <v>189900662</v>
      </c>
      <c r="P46" t="s">
        <v>920</v>
      </c>
      <c r="Q46" s="8" t="s">
        <v>7858</v>
      </c>
      <c r="R46" t="s">
        <v>7880</v>
      </c>
      <c r="S46" s="37" t="s">
        <v>1526</v>
      </c>
      <c r="V46"/>
      <c r="W46"/>
    </row>
    <row r="47" spans="1:23">
      <c r="A47" s="320">
        <v>45689</v>
      </c>
      <c r="B47" s="320" t="s">
        <v>7795</v>
      </c>
      <c r="C47" t="s">
        <v>7258</v>
      </c>
      <c r="D47" t="s">
        <v>7259</v>
      </c>
      <c r="E47" s="47" t="s">
        <v>1475</v>
      </c>
      <c r="F47" s="47">
        <v>2025</v>
      </c>
      <c r="G47" s="47" t="s">
        <v>274</v>
      </c>
      <c r="H47" s="316">
        <v>5500000</v>
      </c>
      <c r="I47" s="313">
        <f t="shared" si="7"/>
        <v>5500000</v>
      </c>
      <c r="J47" s="313">
        <v>0</v>
      </c>
      <c r="K47" s="313">
        <f t="shared" si="8"/>
        <v>5500000</v>
      </c>
      <c r="L47" s="313"/>
      <c r="M47" s="334">
        <v>0</v>
      </c>
      <c r="N47" s="313">
        <v>0</v>
      </c>
      <c r="O47" s="313">
        <f t="shared" si="3"/>
        <v>189900662</v>
      </c>
      <c r="P47" t="s">
        <v>26</v>
      </c>
      <c r="Q47" s="8" t="s">
        <v>26</v>
      </c>
      <c r="R47" t="s">
        <v>26</v>
      </c>
      <c r="S47" s="37" t="s">
        <v>26</v>
      </c>
      <c r="V47"/>
      <c r="W47"/>
    </row>
    <row r="48" spans="1:23">
      <c r="A48" s="320">
        <v>45689</v>
      </c>
      <c r="B48" s="320" t="s">
        <v>7795</v>
      </c>
      <c r="C48" t="s">
        <v>7260</v>
      </c>
      <c r="D48" t="s">
        <v>7261</v>
      </c>
      <c r="E48" s="47" t="s">
        <v>7262</v>
      </c>
      <c r="F48" s="47">
        <v>2025</v>
      </c>
      <c r="G48" s="47" t="s">
        <v>274</v>
      </c>
      <c r="H48" s="316">
        <v>8250000</v>
      </c>
      <c r="I48" s="313">
        <f t="shared" si="7"/>
        <v>8250000</v>
      </c>
      <c r="J48" s="313">
        <f t="shared" ref="J48:J66" si="9">-I48</f>
        <v>-8250000</v>
      </c>
      <c r="K48" s="313">
        <f t="shared" si="8"/>
        <v>0</v>
      </c>
      <c r="L48" s="313"/>
      <c r="M48" s="334">
        <v>0</v>
      </c>
      <c r="N48" s="313">
        <v>0</v>
      </c>
      <c r="O48" s="313">
        <f t="shared" si="3"/>
        <v>189900662</v>
      </c>
      <c r="P48" t="s">
        <v>920</v>
      </c>
      <c r="Q48" s="8" t="s">
        <v>7858</v>
      </c>
      <c r="R48" t="s">
        <v>7880</v>
      </c>
      <c r="S48" s="37" t="s">
        <v>1526</v>
      </c>
      <c r="V48"/>
      <c r="W48"/>
    </row>
    <row r="49" spans="1:19" customFormat="1">
      <c r="A49" s="320">
        <v>45689</v>
      </c>
      <c r="B49" s="320" t="s">
        <v>7795</v>
      </c>
      <c r="C49" t="s">
        <v>7263</v>
      </c>
      <c r="D49" t="s">
        <v>7256</v>
      </c>
      <c r="E49" s="47" t="s">
        <v>7257</v>
      </c>
      <c r="F49" s="47">
        <v>2025</v>
      </c>
      <c r="G49" s="47" t="s">
        <v>274</v>
      </c>
      <c r="H49" s="326">
        <v>1216600</v>
      </c>
      <c r="I49" s="313">
        <f t="shared" si="7"/>
        <v>1216600</v>
      </c>
      <c r="J49" s="313">
        <f t="shared" si="9"/>
        <v>-1216600</v>
      </c>
      <c r="K49" s="313">
        <f t="shared" si="8"/>
        <v>0</v>
      </c>
      <c r="L49" s="313"/>
      <c r="M49" s="334">
        <v>0</v>
      </c>
      <c r="N49" s="313">
        <v>0</v>
      </c>
      <c r="O49" s="313">
        <f t="shared" si="3"/>
        <v>189900662</v>
      </c>
      <c r="P49" t="s">
        <v>920</v>
      </c>
      <c r="Q49" s="8" t="s">
        <v>7858</v>
      </c>
      <c r="R49" t="s">
        <v>7880</v>
      </c>
      <c r="S49" s="37" t="s">
        <v>1526</v>
      </c>
    </row>
    <row r="50" spans="1:19" customFormat="1">
      <c r="A50" s="320">
        <v>45689</v>
      </c>
      <c r="B50" s="320" t="s">
        <v>7795</v>
      </c>
      <c r="C50" t="s">
        <v>7264</v>
      </c>
      <c r="D50" t="s">
        <v>7241</v>
      </c>
      <c r="E50" s="47" t="s">
        <v>7265</v>
      </c>
      <c r="F50" s="47">
        <v>2025</v>
      </c>
      <c r="G50" s="47" t="s">
        <v>274</v>
      </c>
      <c r="H50" s="316">
        <v>24774775</v>
      </c>
      <c r="I50" s="313">
        <f t="shared" si="7"/>
        <v>24774775</v>
      </c>
      <c r="J50" s="313">
        <f t="shared" si="9"/>
        <v>-24774775</v>
      </c>
      <c r="K50" s="313">
        <f t="shared" si="8"/>
        <v>0</v>
      </c>
      <c r="L50" s="313"/>
      <c r="M50" s="334">
        <v>0</v>
      </c>
      <c r="N50" s="313">
        <v>0</v>
      </c>
      <c r="O50" s="313">
        <f t="shared" si="3"/>
        <v>189900662</v>
      </c>
      <c r="P50" t="s">
        <v>920</v>
      </c>
      <c r="Q50" s="8" t="s">
        <v>7858</v>
      </c>
      <c r="R50" t="s">
        <v>7880</v>
      </c>
      <c r="S50" s="37" t="s">
        <v>1526</v>
      </c>
    </row>
    <row r="51" spans="1:19" customFormat="1">
      <c r="A51" s="320">
        <v>45689</v>
      </c>
      <c r="B51" s="320" t="s">
        <v>7795</v>
      </c>
      <c r="C51" t="s">
        <v>7266</v>
      </c>
      <c r="D51" t="s">
        <v>7267</v>
      </c>
      <c r="E51" s="47" t="s">
        <v>7268</v>
      </c>
      <c r="F51" s="47">
        <v>2025</v>
      </c>
      <c r="G51" s="47" t="s">
        <v>274</v>
      </c>
      <c r="H51" s="316">
        <v>7432432</v>
      </c>
      <c r="I51" s="313">
        <f t="shared" si="7"/>
        <v>7432432</v>
      </c>
      <c r="J51" s="313">
        <f t="shared" si="9"/>
        <v>-7432432</v>
      </c>
      <c r="K51" s="313">
        <f t="shared" si="8"/>
        <v>0</v>
      </c>
      <c r="L51" s="313"/>
      <c r="M51" s="334">
        <v>0</v>
      </c>
      <c r="N51" s="313">
        <v>0</v>
      </c>
      <c r="O51" s="313">
        <f t="shared" si="3"/>
        <v>189900662</v>
      </c>
      <c r="P51" t="s">
        <v>920</v>
      </c>
      <c r="Q51" s="8" t="s">
        <v>7858</v>
      </c>
      <c r="R51" t="s">
        <v>7880</v>
      </c>
      <c r="S51" s="37" t="s">
        <v>1526</v>
      </c>
    </row>
    <row r="52" spans="1:19" customFormat="1">
      <c r="A52" s="320">
        <v>45689</v>
      </c>
      <c r="B52" s="320" t="s">
        <v>7795</v>
      </c>
      <c r="C52" t="s">
        <v>7269</v>
      </c>
      <c r="D52" t="s">
        <v>7270</v>
      </c>
      <c r="E52" s="47" t="s">
        <v>7271</v>
      </c>
      <c r="F52" s="47">
        <v>2025</v>
      </c>
      <c r="G52" s="47" t="s">
        <v>274</v>
      </c>
      <c r="H52" s="316">
        <v>24774775</v>
      </c>
      <c r="I52" s="313">
        <f t="shared" si="7"/>
        <v>24774775</v>
      </c>
      <c r="J52" s="313">
        <f t="shared" si="9"/>
        <v>-24774775</v>
      </c>
      <c r="K52" s="313">
        <f t="shared" si="8"/>
        <v>0</v>
      </c>
      <c r="L52" s="313"/>
      <c r="M52" s="334">
        <v>0</v>
      </c>
      <c r="N52" s="313">
        <v>0</v>
      </c>
      <c r="O52" s="313">
        <f t="shared" si="3"/>
        <v>189900662</v>
      </c>
      <c r="P52" t="s">
        <v>920</v>
      </c>
      <c r="Q52" s="8" t="s">
        <v>7858</v>
      </c>
      <c r="R52" t="s">
        <v>7880</v>
      </c>
      <c r="S52" s="37" t="s">
        <v>1526</v>
      </c>
    </row>
    <row r="53" spans="1:19" customFormat="1">
      <c r="A53" s="320">
        <v>45689</v>
      </c>
      <c r="B53" s="320" t="s">
        <v>7795</v>
      </c>
      <c r="C53" t="s">
        <v>7272</v>
      </c>
      <c r="D53" t="s">
        <v>366</v>
      </c>
      <c r="E53" s="47" t="s">
        <v>7273</v>
      </c>
      <c r="F53" s="47">
        <v>2025</v>
      </c>
      <c r="G53" s="47" t="s">
        <v>274</v>
      </c>
      <c r="H53" s="316">
        <v>9909910</v>
      </c>
      <c r="I53" s="313">
        <f t="shared" si="7"/>
        <v>9909910</v>
      </c>
      <c r="J53" s="313">
        <f t="shared" si="9"/>
        <v>-9909910</v>
      </c>
      <c r="K53" s="313">
        <f t="shared" si="8"/>
        <v>0</v>
      </c>
      <c r="L53" s="313"/>
      <c r="M53" s="334">
        <v>0</v>
      </c>
      <c r="N53" s="313">
        <v>0</v>
      </c>
      <c r="O53" s="313">
        <f t="shared" si="3"/>
        <v>189900662</v>
      </c>
      <c r="P53" t="s">
        <v>920</v>
      </c>
      <c r="Q53" s="8" t="s">
        <v>7858</v>
      </c>
      <c r="R53" t="s">
        <v>7880</v>
      </c>
      <c r="S53" s="37" t="s">
        <v>1526</v>
      </c>
    </row>
    <row r="54" spans="1:19" customFormat="1">
      <c r="A54" s="320">
        <v>45689</v>
      </c>
      <c r="B54" s="320" t="s">
        <v>7795</v>
      </c>
      <c r="C54" t="s">
        <v>7274</v>
      </c>
      <c r="D54" t="s">
        <v>7275</v>
      </c>
      <c r="E54" s="47" t="s">
        <v>7276</v>
      </c>
      <c r="F54" s="47">
        <v>2025</v>
      </c>
      <c r="G54" s="47" t="s">
        <v>274</v>
      </c>
      <c r="H54" s="316">
        <v>4954955</v>
      </c>
      <c r="I54" s="313">
        <f t="shared" si="7"/>
        <v>4954955</v>
      </c>
      <c r="J54" s="313">
        <f t="shared" si="9"/>
        <v>-4954955</v>
      </c>
      <c r="K54" s="313">
        <f t="shared" si="8"/>
        <v>0</v>
      </c>
      <c r="L54" s="313"/>
      <c r="M54" s="334">
        <v>0</v>
      </c>
      <c r="N54" s="313">
        <v>0</v>
      </c>
      <c r="O54" s="313">
        <f t="shared" si="3"/>
        <v>189900662</v>
      </c>
      <c r="P54" t="s">
        <v>920</v>
      </c>
      <c r="Q54" s="8" t="s">
        <v>7858</v>
      </c>
      <c r="R54" t="s">
        <v>7880</v>
      </c>
      <c r="S54" s="37" t="s">
        <v>1526</v>
      </c>
    </row>
    <row r="55" spans="1:19" customFormat="1">
      <c r="A55" s="320">
        <v>45689</v>
      </c>
      <c r="B55" s="320" t="s">
        <v>7795</v>
      </c>
      <c r="C55" t="s">
        <v>7277</v>
      </c>
      <c r="D55" t="s">
        <v>7278</v>
      </c>
      <c r="E55" s="47" t="s">
        <v>7279</v>
      </c>
      <c r="F55" s="47">
        <v>2025</v>
      </c>
      <c r="G55" s="47" t="s">
        <v>274</v>
      </c>
      <c r="H55" s="316">
        <v>4954955</v>
      </c>
      <c r="I55" s="313">
        <f t="shared" si="7"/>
        <v>4954955</v>
      </c>
      <c r="J55" s="313">
        <f t="shared" si="9"/>
        <v>-4954955</v>
      </c>
      <c r="K55" s="313">
        <f t="shared" si="8"/>
        <v>0</v>
      </c>
      <c r="L55" s="313"/>
      <c r="M55" s="334">
        <v>0</v>
      </c>
      <c r="N55" s="313">
        <v>0</v>
      </c>
      <c r="O55" s="313">
        <f t="shared" si="3"/>
        <v>189900662</v>
      </c>
      <c r="P55" t="s">
        <v>920</v>
      </c>
      <c r="Q55" s="8" t="s">
        <v>7858</v>
      </c>
      <c r="R55" t="s">
        <v>7880</v>
      </c>
      <c r="S55" s="37" t="s">
        <v>1526</v>
      </c>
    </row>
    <row r="56" spans="1:19" s="40" customFormat="1">
      <c r="A56" s="321">
        <v>45689</v>
      </c>
      <c r="B56" s="320" t="s">
        <v>7795</v>
      </c>
      <c r="C56" s="40" t="s">
        <v>7280</v>
      </c>
      <c r="D56" s="40" t="s">
        <v>356</v>
      </c>
      <c r="E56" s="49" t="s">
        <v>7281</v>
      </c>
      <c r="F56" s="49">
        <v>2025</v>
      </c>
      <c r="G56" s="47" t="s">
        <v>274</v>
      </c>
      <c r="H56" s="316">
        <v>3468469</v>
      </c>
      <c r="I56" s="313">
        <f t="shared" si="7"/>
        <v>3468469</v>
      </c>
      <c r="J56" s="313">
        <f t="shared" si="9"/>
        <v>-3468469</v>
      </c>
      <c r="K56" s="313">
        <f t="shared" si="8"/>
        <v>0</v>
      </c>
      <c r="L56" s="313"/>
      <c r="M56" s="116">
        <v>0</v>
      </c>
      <c r="N56" s="313">
        <v>0</v>
      </c>
      <c r="O56" s="313">
        <f t="shared" si="3"/>
        <v>189900662</v>
      </c>
      <c r="P56" t="s">
        <v>920</v>
      </c>
      <c r="Q56" s="8" t="s">
        <v>7858</v>
      </c>
      <c r="R56" t="s">
        <v>7880</v>
      </c>
      <c r="S56" s="37" t="s">
        <v>1526</v>
      </c>
    </row>
    <row r="57" spans="1:19" customFormat="1">
      <c r="A57" s="320">
        <v>45689</v>
      </c>
      <c r="B57" s="320" t="s">
        <v>7795</v>
      </c>
      <c r="C57" t="s">
        <v>7282</v>
      </c>
      <c r="D57" t="s">
        <v>7283</v>
      </c>
      <c r="E57" s="47" t="s">
        <v>7284</v>
      </c>
      <c r="F57" s="47">
        <v>2025</v>
      </c>
      <c r="G57" s="47" t="s">
        <v>274</v>
      </c>
      <c r="H57" s="316">
        <v>5500000</v>
      </c>
      <c r="I57" s="313">
        <f t="shared" si="7"/>
        <v>5500000</v>
      </c>
      <c r="J57" s="313">
        <f t="shared" si="9"/>
        <v>-5500000</v>
      </c>
      <c r="K57" s="313">
        <f t="shared" si="8"/>
        <v>0</v>
      </c>
      <c r="L57" s="313"/>
      <c r="M57" s="334">
        <v>0</v>
      </c>
      <c r="N57" s="313">
        <v>0</v>
      </c>
      <c r="O57" s="313">
        <f t="shared" si="3"/>
        <v>189900662</v>
      </c>
      <c r="P57" t="s">
        <v>920</v>
      </c>
      <c r="Q57" s="8" t="s">
        <v>7858</v>
      </c>
      <c r="R57" t="s">
        <v>7880</v>
      </c>
      <c r="S57" s="37" t="s">
        <v>1526</v>
      </c>
    </row>
    <row r="58" spans="1:19" customFormat="1">
      <c r="A58" s="320">
        <v>45689</v>
      </c>
      <c r="B58" s="320" t="s">
        <v>7795</v>
      </c>
      <c r="C58" t="s">
        <v>7285</v>
      </c>
      <c r="D58" t="s">
        <v>354</v>
      </c>
      <c r="E58" s="47" t="s">
        <v>7286</v>
      </c>
      <c r="F58" s="47">
        <v>2025</v>
      </c>
      <c r="G58" s="47" t="s">
        <v>274</v>
      </c>
      <c r="H58" s="316">
        <v>9909910</v>
      </c>
      <c r="I58" s="313">
        <f t="shared" si="7"/>
        <v>9909910</v>
      </c>
      <c r="J58" s="313">
        <f t="shared" si="9"/>
        <v>-9909910</v>
      </c>
      <c r="K58" s="313">
        <f t="shared" si="8"/>
        <v>0</v>
      </c>
      <c r="L58" s="313"/>
      <c r="M58" s="334">
        <v>0</v>
      </c>
      <c r="N58" s="313">
        <v>0</v>
      </c>
      <c r="O58" s="313">
        <f t="shared" si="3"/>
        <v>189900662</v>
      </c>
      <c r="P58" t="s">
        <v>920</v>
      </c>
      <c r="Q58" s="8" t="s">
        <v>7858</v>
      </c>
      <c r="R58" t="s">
        <v>7880</v>
      </c>
      <c r="S58" s="37" t="s">
        <v>1526</v>
      </c>
    </row>
    <row r="59" spans="1:19" customFormat="1">
      <c r="A59" s="320">
        <v>45689</v>
      </c>
      <c r="B59" s="320" t="s">
        <v>7795</v>
      </c>
      <c r="C59" t="s">
        <v>7287</v>
      </c>
      <c r="D59" t="s">
        <v>7288</v>
      </c>
      <c r="E59" s="47" t="s">
        <v>7289</v>
      </c>
      <c r="F59" s="47">
        <v>2025</v>
      </c>
      <c r="G59" s="47" t="s">
        <v>274</v>
      </c>
      <c r="H59" s="316">
        <v>24774775</v>
      </c>
      <c r="I59" s="313">
        <f t="shared" si="7"/>
        <v>24774775</v>
      </c>
      <c r="J59" s="313">
        <f t="shared" si="9"/>
        <v>-24774775</v>
      </c>
      <c r="K59" s="313">
        <f t="shared" si="8"/>
        <v>0</v>
      </c>
      <c r="L59" s="313"/>
      <c r="M59" s="334">
        <v>0</v>
      </c>
      <c r="N59" s="313">
        <v>0</v>
      </c>
      <c r="O59" s="313">
        <f t="shared" si="3"/>
        <v>189900662</v>
      </c>
      <c r="P59" t="s">
        <v>920</v>
      </c>
      <c r="Q59" s="8" t="s">
        <v>7858</v>
      </c>
      <c r="R59" t="s">
        <v>7880</v>
      </c>
      <c r="S59" s="37" t="s">
        <v>1526</v>
      </c>
    </row>
    <row r="60" spans="1:19" customFormat="1">
      <c r="A60" s="320">
        <v>45689</v>
      </c>
      <c r="B60" s="320" t="s">
        <v>7795</v>
      </c>
      <c r="C60" t="s">
        <v>7290</v>
      </c>
      <c r="D60" t="s">
        <v>7291</v>
      </c>
      <c r="E60" s="47" t="s">
        <v>7292</v>
      </c>
      <c r="F60" s="47">
        <v>2025</v>
      </c>
      <c r="G60" s="47" t="s">
        <v>274</v>
      </c>
      <c r="H60" s="316">
        <v>1650000</v>
      </c>
      <c r="I60" s="313">
        <f t="shared" si="7"/>
        <v>1650000</v>
      </c>
      <c r="J60" s="313">
        <f t="shared" si="9"/>
        <v>-1650000</v>
      </c>
      <c r="K60" s="313">
        <f t="shared" si="8"/>
        <v>0</v>
      </c>
      <c r="L60" s="313"/>
      <c r="M60" s="334">
        <v>0</v>
      </c>
      <c r="N60" s="313">
        <v>0</v>
      </c>
      <c r="O60" s="313">
        <f t="shared" si="3"/>
        <v>189900662</v>
      </c>
      <c r="P60" t="s">
        <v>920</v>
      </c>
      <c r="Q60" s="8" t="s">
        <v>7858</v>
      </c>
      <c r="R60" t="s">
        <v>7880</v>
      </c>
      <c r="S60" s="37" t="s">
        <v>1526</v>
      </c>
    </row>
    <row r="61" spans="1:19" customFormat="1">
      <c r="A61" s="320">
        <v>45689</v>
      </c>
      <c r="B61" s="320" t="s">
        <v>7795</v>
      </c>
      <c r="C61" t="s">
        <v>7293</v>
      </c>
      <c r="D61" t="s">
        <v>7294</v>
      </c>
      <c r="E61" s="47" t="s">
        <v>7295</v>
      </c>
      <c r="F61" s="47">
        <v>2025</v>
      </c>
      <c r="G61" s="47" t="s">
        <v>274</v>
      </c>
      <c r="H61" s="326">
        <v>2477478</v>
      </c>
      <c r="I61" s="313">
        <f t="shared" si="7"/>
        <v>2477478</v>
      </c>
      <c r="J61" s="313">
        <f t="shared" si="9"/>
        <v>-2477478</v>
      </c>
      <c r="K61" s="313">
        <f t="shared" si="8"/>
        <v>0</v>
      </c>
      <c r="L61" s="313"/>
      <c r="M61" s="334">
        <v>0</v>
      </c>
      <c r="N61" s="313">
        <v>0</v>
      </c>
      <c r="O61" s="313">
        <f t="shared" si="3"/>
        <v>189900662</v>
      </c>
      <c r="P61" t="s">
        <v>920</v>
      </c>
      <c r="Q61" s="8" t="s">
        <v>7858</v>
      </c>
      <c r="R61" t="s">
        <v>7880</v>
      </c>
      <c r="S61" s="37" t="s">
        <v>1526</v>
      </c>
    </row>
    <row r="62" spans="1:19" customFormat="1">
      <c r="A62" s="320">
        <v>45689</v>
      </c>
      <c r="B62" s="320" t="s">
        <v>7795</v>
      </c>
      <c r="C62" t="s">
        <v>7296</v>
      </c>
      <c r="D62" t="s">
        <v>7297</v>
      </c>
      <c r="E62" s="47" t="s">
        <v>7298</v>
      </c>
      <c r="F62" s="47">
        <v>2025</v>
      </c>
      <c r="G62" s="47" t="s">
        <v>274</v>
      </c>
      <c r="H62" s="316">
        <v>7432432</v>
      </c>
      <c r="I62" s="313">
        <f t="shared" si="7"/>
        <v>7432432</v>
      </c>
      <c r="J62" s="313">
        <f t="shared" si="9"/>
        <v>-7432432</v>
      </c>
      <c r="K62" s="313">
        <f t="shared" si="8"/>
        <v>0</v>
      </c>
      <c r="L62" s="313"/>
      <c r="M62" s="334">
        <v>0</v>
      </c>
      <c r="N62" s="313">
        <v>0</v>
      </c>
      <c r="O62" s="313">
        <f t="shared" si="3"/>
        <v>189900662</v>
      </c>
      <c r="P62" t="s">
        <v>920</v>
      </c>
      <c r="Q62" s="8" t="s">
        <v>7858</v>
      </c>
      <c r="R62" t="s">
        <v>7880</v>
      </c>
      <c r="S62" s="37" t="s">
        <v>1526</v>
      </c>
    </row>
    <row r="63" spans="1:19" customFormat="1">
      <c r="A63" s="320">
        <v>45689</v>
      </c>
      <c r="B63" s="320" t="s">
        <v>7795</v>
      </c>
      <c r="C63" t="s">
        <v>7299</v>
      </c>
      <c r="D63" t="s">
        <v>7300</v>
      </c>
      <c r="E63" s="47" t="s">
        <v>7301</v>
      </c>
      <c r="F63" s="47">
        <v>2025</v>
      </c>
      <c r="G63" s="47" t="s">
        <v>274</v>
      </c>
      <c r="H63" s="316">
        <v>7432432</v>
      </c>
      <c r="I63" s="313">
        <f t="shared" si="7"/>
        <v>7432432</v>
      </c>
      <c r="J63" s="313">
        <f t="shared" si="9"/>
        <v>-7432432</v>
      </c>
      <c r="K63" s="313">
        <f t="shared" si="8"/>
        <v>0</v>
      </c>
      <c r="L63" s="313"/>
      <c r="M63" s="334">
        <v>0</v>
      </c>
      <c r="N63" s="313">
        <v>0</v>
      </c>
      <c r="O63" s="313">
        <f t="shared" si="3"/>
        <v>189900662</v>
      </c>
      <c r="P63" t="s">
        <v>920</v>
      </c>
      <c r="Q63" s="8" t="s">
        <v>7858</v>
      </c>
      <c r="R63" t="s">
        <v>7880</v>
      </c>
      <c r="S63" s="37" t="s">
        <v>1526</v>
      </c>
    </row>
    <row r="64" spans="1:19" customFormat="1">
      <c r="A64" s="320">
        <v>45689</v>
      </c>
      <c r="B64" s="320" t="s">
        <v>7795</v>
      </c>
      <c r="C64" t="s">
        <v>7302</v>
      </c>
      <c r="D64" t="s">
        <v>7303</v>
      </c>
      <c r="E64" s="47" t="s">
        <v>7304</v>
      </c>
      <c r="F64" s="47">
        <v>2025</v>
      </c>
      <c r="G64" s="47" t="s">
        <v>274</v>
      </c>
      <c r="H64" s="316">
        <v>8250000</v>
      </c>
      <c r="I64" s="313">
        <f t="shared" si="7"/>
        <v>8250000</v>
      </c>
      <c r="J64" s="313">
        <f t="shared" si="9"/>
        <v>-8250000</v>
      </c>
      <c r="K64" s="313">
        <f t="shared" si="8"/>
        <v>0</v>
      </c>
      <c r="L64" s="313"/>
      <c r="M64" s="334">
        <v>0</v>
      </c>
      <c r="N64" s="313">
        <v>0</v>
      </c>
      <c r="O64" s="313">
        <f t="shared" si="3"/>
        <v>189900662</v>
      </c>
      <c r="P64" t="s">
        <v>920</v>
      </c>
      <c r="Q64" s="8" t="s">
        <v>7858</v>
      </c>
      <c r="R64" t="s">
        <v>7880</v>
      </c>
      <c r="S64" s="37" t="s">
        <v>1526</v>
      </c>
    </row>
    <row r="65" spans="1:23">
      <c r="A65" s="320">
        <v>45689</v>
      </c>
      <c r="B65" s="320" t="s">
        <v>7795</v>
      </c>
      <c r="C65" t="s">
        <v>7305</v>
      </c>
      <c r="D65" t="s">
        <v>7306</v>
      </c>
      <c r="E65" s="47" t="s">
        <v>7307</v>
      </c>
      <c r="F65" s="47">
        <v>2025</v>
      </c>
      <c r="G65" s="47" t="s">
        <v>274</v>
      </c>
      <c r="H65" s="316">
        <v>4954955</v>
      </c>
      <c r="I65" s="313">
        <f t="shared" si="7"/>
        <v>4954955</v>
      </c>
      <c r="J65" s="313">
        <f t="shared" si="9"/>
        <v>-4954955</v>
      </c>
      <c r="K65" s="313">
        <f t="shared" si="8"/>
        <v>0</v>
      </c>
      <c r="L65" s="313"/>
      <c r="M65" s="334">
        <v>0</v>
      </c>
      <c r="N65" s="313">
        <v>0</v>
      </c>
      <c r="O65" s="313">
        <f t="shared" si="3"/>
        <v>189900662</v>
      </c>
      <c r="P65" t="s">
        <v>920</v>
      </c>
      <c r="Q65" s="8" t="s">
        <v>7858</v>
      </c>
      <c r="R65" t="s">
        <v>7880</v>
      </c>
      <c r="S65" s="37" t="s">
        <v>1526</v>
      </c>
      <c r="V65"/>
      <c r="W65"/>
    </row>
    <row r="66" spans="1:23">
      <c r="A66" s="320">
        <v>45689</v>
      </c>
      <c r="B66" s="320" t="s">
        <v>7795</v>
      </c>
      <c r="C66" t="s">
        <v>7308</v>
      </c>
      <c r="D66" t="s">
        <v>7309</v>
      </c>
      <c r="E66" s="47" t="s">
        <v>7310</v>
      </c>
      <c r="F66" s="47">
        <v>2025</v>
      </c>
      <c r="G66" s="47" t="s">
        <v>274</v>
      </c>
      <c r="H66" s="316">
        <v>5500000</v>
      </c>
      <c r="I66" s="313">
        <f t="shared" si="7"/>
        <v>5500000</v>
      </c>
      <c r="J66" s="313">
        <f t="shared" si="9"/>
        <v>-5500000</v>
      </c>
      <c r="K66" s="313">
        <f t="shared" si="8"/>
        <v>0</v>
      </c>
      <c r="L66" s="313"/>
      <c r="M66" s="334">
        <v>0</v>
      </c>
      <c r="N66" s="313">
        <v>0</v>
      </c>
      <c r="O66" s="313">
        <f t="shared" si="3"/>
        <v>189900662</v>
      </c>
      <c r="P66" t="s">
        <v>920</v>
      </c>
      <c r="Q66" s="8" t="s">
        <v>7858</v>
      </c>
      <c r="R66" t="s">
        <v>7880</v>
      </c>
      <c r="S66" s="37" t="s">
        <v>1526</v>
      </c>
      <c r="V66"/>
      <c r="W66"/>
    </row>
    <row r="67" spans="1:23">
      <c r="A67" s="320">
        <v>45689</v>
      </c>
      <c r="B67" s="320" t="s">
        <v>7795</v>
      </c>
      <c r="C67" t="s">
        <v>7311</v>
      </c>
      <c r="D67" t="s">
        <v>7312</v>
      </c>
      <c r="E67" s="47" t="s">
        <v>7313</v>
      </c>
      <c r="F67" s="47">
        <v>2025</v>
      </c>
      <c r="G67" s="47" t="s">
        <v>274</v>
      </c>
      <c r="H67" s="316">
        <v>4954955</v>
      </c>
      <c r="I67" s="313">
        <f t="shared" si="7"/>
        <v>4954955</v>
      </c>
      <c r="J67" s="313">
        <v>0</v>
      </c>
      <c r="K67" s="313">
        <f t="shared" si="8"/>
        <v>4954955</v>
      </c>
      <c r="L67" s="313"/>
      <c r="M67" s="334">
        <v>0</v>
      </c>
      <c r="N67" s="313">
        <v>0</v>
      </c>
      <c r="O67" s="313">
        <f t="shared" si="3"/>
        <v>189900662</v>
      </c>
      <c r="P67" t="s">
        <v>26</v>
      </c>
      <c r="Q67" s="8" t="s">
        <v>26</v>
      </c>
      <c r="R67" t="s">
        <v>26</v>
      </c>
      <c r="S67" s="37" t="s">
        <v>26</v>
      </c>
      <c r="V67"/>
      <c r="W67"/>
    </row>
    <row r="68" spans="1:23">
      <c r="A68" s="320">
        <v>45689</v>
      </c>
      <c r="B68" s="320" t="s">
        <v>7795</v>
      </c>
      <c r="C68" t="s">
        <v>7314</v>
      </c>
      <c r="D68" t="s">
        <v>7315</v>
      </c>
      <c r="E68" s="47" t="s">
        <v>7316</v>
      </c>
      <c r="F68" s="47">
        <v>2025</v>
      </c>
      <c r="G68" s="47" t="s">
        <v>274</v>
      </c>
      <c r="H68" s="316">
        <v>24774775</v>
      </c>
      <c r="I68" s="313">
        <f t="shared" si="7"/>
        <v>24774775</v>
      </c>
      <c r="J68" s="313">
        <f t="shared" ref="J68:J76" si="10">-I68</f>
        <v>-24774775</v>
      </c>
      <c r="K68" s="313">
        <f t="shared" si="8"/>
        <v>0</v>
      </c>
      <c r="L68" s="313"/>
      <c r="M68" s="334">
        <v>0</v>
      </c>
      <c r="N68" s="313">
        <v>0</v>
      </c>
      <c r="O68" s="313">
        <f t="shared" si="3"/>
        <v>189900662</v>
      </c>
      <c r="P68" t="s">
        <v>920</v>
      </c>
      <c r="Q68" s="8" t="s">
        <v>7858</v>
      </c>
      <c r="R68" t="s">
        <v>7880</v>
      </c>
      <c r="S68" s="37" t="s">
        <v>1526</v>
      </c>
      <c r="V68"/>
      <c r="W68"/>
    </row>
    <row r="69" spans="1:23">
      <c r="A69" s="320">
        <v>45689</v>
      </c>
      <c r="B69" s="320" t="s">
        <v>7795</v>
      </c>
      <c r="C69" t="s">
        <v>7317</v>
      </c>
      <c r="D69" t="s">
        <v>7318</v>
      </c>
      <c r="E69" s="47" t="s">
        <v>7319</v>
      </c>
      <c r="F69" s="47">
        <v>2025</v>
      </c>
      <c r="G69" s="47" t="s">
        <v>274</v>
      </c>
      <c r="H69" s="316">
        <v>3300000</v>
      </c>
      <c r="I69" s="313">
        <f t="shared" si="7"/>
        <v>3300000</v>
      </c>
      <c r="J69" s="313">
        <f t="shared" si="10"/>
        <v>-3300000</v>
      </c>
      <c r="K69" s="313">
        <f t="shared" si="8"/>
        <v>0</v>
      </c>
      <c r="L69" s="313"/>
      <c r="M69" s="334">
        <v>0</v>
      </c>
      <c r="N69" s="313">
        <v>0</v>
      </c>
      <c r="O69" s="313">
        <f t="shared" si="3"/>
        <v>189900662</v>
      </c>
      <c r="P69" t="s">
        <v>920</v>
      </c>
      <c r="Q69" s="8" t="s">
        <v>7858</v>
      </c>
      <c r="R69" t="s">
        <v>7880</v>
      </c>
      <c r="S69" s="37" t="s">
        <v>1526</v>
      </c>
      <c r="V69"/>
      <c r="W69"/>
    </row>
    <row r="70" spans="1:23">
      <c r="A70" s="320">
        <v>45689</v>
      </c>
      <c r="B70" s="320" t="s">
        <v>7795</v>
      </c>
      <c r="C70" t="s">
        <v>7321</v>
      </c>
      <c r="D70" t="s">
        <v>7322</v>
      </c>
      <c r="E70" s="47" t="s">
        <v>7323</v>
      </c>
      <c r="F70" s="47">
        <v>2025</v>
      </c>
      <c r="G70" s="47" t="s">
        <v>274</v>
      </c>
      <c r="H70" s="316">
        <v>27500000</v>
      </c>
      <c r="I70" s="313">
        <f t="shared" si="7"/>
        <v>27500000</v>
      </c>
      <c r="J70" s="313">
        <f t="shared" si="10"/>
        <v>-27500000</v>
      </c>
      <c r="K70" s="313">
        <f t="shared" si="8"/>
        <v>0</v>
      </c>
      <c r="L70" s="313"/>
      <c r="M70" s="334">
        <v>0</v>
      </c>
      <c r="N70" s="313">
        <v>0</v>
      </c>
      <c r="O70" s="313">
        <f t="shared" si="3"/>
        <v>189900662</v>
      </c>
      <c r="P70" t="s">
        <v>920</v>
      </c>
      <c r="Q70" s="8" t="s">
        <v>7858</v>
      </c>
      <c r="R70" t="s">
        <v>7880</v>
      </c>
      <c r="S70" s="37" t="s">
        <v>1526</v>
      </c>
      <c r="V70"/>
      <c r="W70"/>
    </row>
    <row r="71" spans="1:23">
      <c r="A71" s="320">
        <v>45689</v>
      </c>
      <c r="B71" s="320" t="s">
        <v>7795</v>
      </c>
      <c r="C71" t="s">
        <v>7324</v>
      </c>
      <c r="D71" t="s">
        <v>7325</v>
      </c>
      <c r="E71" s="47" t="s">
        <v>7326</v>
      </c>
      <c r="F71" s="47">
        <v>2025</v>
      </c>
      <c r="G71" s="47" t="s">
        <v>274</v>
      </c>
      <c r="H71" s="316">
        <v>9909910</v>
      </c>
      <c r="I71" s="313">
        <f t="shared" si="7"/>
        <v>9909910</v>
      </c>
      <c r="J71" s="313">
        <f t="shared" si="10"/>
        <v>-9909910</v>
      </c>
      <c r="K71" s="313">
        <f t="shared" si="8"/>
        <v>0</v>
      </c>
      <c r="L71" s="313"/>
      <c r="M71" s="334">
        <v>0</v>
      </c>
      <c r="N71" s="313">
        <v>0</v>
      </c>
      <c r="O71" s="313">
        <f t="shared" ref="O71:O134" si="11">O70-M71+N71</f>
        <v>189900662</v>
      </c>
      <c r="P71" t="s">
        <v>920</v>
      </c>
      <c r="Q71" s="8" t="s">
        <v>7858</v>
      </c>
      <c r="R71" t="s">
        <v>7880</v>
      </c>
      <c r="S71" s="37" t="s">
        <v>1526</v>
      </c>
      <c r="V71"/>
      <c r="W71"/>
    </row>
    <row r="72" spans="1:23">
      <c r="A72" s="320">
        <v>45689</v>
      </c>
      <c r="B72" s="320" t="s">
        <v>7795</v>
      </c>
      <c r="C72" t="s">
        <v>7327</v>
      </c>
      <c r="D72" t="s">
        <v>7328</v>
      </c>
      <c r="E72" s="47" t="s">
        <v>7329</v>
      </c>
      <c r="F72" s="47">
        <v>2025</v>
      </c>
      <c r="G72" s="47" t="s">
        <v>274</v>
      </c>
      <c r="H72" s="316">
        <v>4954955</v>
      </c>
      <c r="I72" s="313">
        <f t="shared" si="7"/>
        <v>4954955</v>
      </c>
      <c r="J72" s="313">
        <f t="shared" si="10"/>
        <v>-4954955</v>
      </c>
      <c r="K72" s="313">
        <f t="shared" si="8"/>
        <v>0</v>
      </c>
      <c r="L72" s="313"/>
      <c r="M72" s="334">
        <v>0</v>
      </c>
      <c r="N72" s="313">
        <v>0</v>
      </c>
      <c r="O72" s="313">
        <f t="shared" si="11"/>
        <v>189900662</v>
      </c>
      <c r="P72" t="s">
        <v>920</v>
      </c>
      <c r="Q72" s="8" t="s">
        <v>7858</v>
      </c>
      <c r="R72" t="s">
        <v>7880</v>
      </c>
      <c r="S72" s="37" t="s">
        <v>1526</v>
      </c>
      <c r="V72"/>
      <c r="W72"/>
    </row>
    <row r="73" spans="1:23">
      <c r="A73" s="320">
        <v>45689</v>
      </c>
      <c r="B73" s="320" t="s">
        <v>7795</v>
      </c>
      <c r="C73" t="s">
        <v>7330</v>
      </c>
      <c r="D73" t="s">
        <v>7331</v>
      </c>
      <c r="E73" s="47" t="s">
        <v>7332</v>
      </c>
      <c r="F73" s="47">
        <v>2025</v>
      </c>
      <c r="G73" s="47" t="s">
        <v>274</v>
      </c>
      <c r="H73" s="316">
        <v>1190750</v>
      </c>
      <c r="I73" s="313">
        <f t="shared" si="7"/>
        <v>1190750</v>
      </c>
      <c r="J73" s="313">
        <f t="shared" si="10"/>
        <v>-1190750</v>
      </c>
      <c r="K73" s="313">
        <f t="shared" si="8"/>
        <v>0</v>
      </c>
      <c r="L73" s="313"/>
      <c r="M73" s="334">
        <v>0</v>
      </c>
      <c r="N73" s="313">
        <v>0</v>
      </c>
      <c r="O73" s="313">
        <f t="shared" si="11"/>
        <v>189900662</v>
      </c>
      <c r="P73" t="s">
        <v>920</v>
      </c>
      <c r="Q73" s="8" t="s">
        <v>7858</v>
      </c>
      <c r="R73" t="s">
        <v>7880</v>
      </c>
      <c r="S73" s="37" t="s">
        <v>1526</v>
      </c>
      <c r="V73"/>
      <c r="W73"/>
    </row>
    <row r="74" spans="1:23">
      <c r="A74" s="320">
        <v>45689</v>
      </c>
      <c r="B74" s="320" t="s">
        <v>7795</v>
      </c>
      <c r="C74" t="s">
        <v>7333</v>
      </c>
      <c r="D74" t="s">
        <v>7331</v>
      </c>
      <c r="E74" s="47" t="s">
        <v>7334</v>
      </c>
      <c r="F74" s="47">
        <v>2025</v>
      </c>
      <c r="G74" s="47" t="s">
        <v>274</v>
      </c>
      <c r="H74" s="316">
        <v>1190750</v>
      </c>
      <c r="I74" s="313">
        <f t="shared" si="7"/>
        <v>1190750</v>
      </c>
      <c r="J74" s="313">
        <f t="shared" si="10"/>
        <v>-1190750</v>
      </c>
      <c r="K74" s="313">
        <f t="shared" si="8"/>
        <v>0</v>
      </c>
      <c r="L74" s="313"/>
      <c r="M74" s="334">
        <v>0</v>
      </c>
      <c r="N74" s="313">
        <v>0</v>
      </c>
      <c r="O74" s="313">
        <f t="shared" si="11"/>
        <v>189900662</v>
      </c>
      <c r="P74" t="s">
        <v>920</v>
      </c>
      <c r="Q74" s="8" t="s">
        <v>7858</v>
      </c>
      <c r="R74" t="s">
        <v>7880</v>
      </c>
      <c r="S74" s="37" t="s">
        <v>1526</v>
      </c>
      <c r="V74"/>
      <c r="W74"/>
    </row>
    <row r="75" spans="1:23" s="40" customFormat="1">
      <c r="A75" s="321">
        <v>45689</v>
      </c>
      <c r="B75" s="320" t="s">
        <v>7795</v>
      </c>
      <c r="C75" s="40" t="s">
        <v>7335</v>
      </c>
      <c r="D75" s="40" t="s">
        <v>7336</v>
      </c>
      <c r="E75" s="49" t="s">
        <v>7337</v>
      </c>
      <c r="F75" s="47">
        <v>2024</v>
      </c>
      <c r="G75" s="47" t="s">
        <v>274</v>
      </c>
      <c r="H75" s="51">
        <v>1859649</v>
      </c>
      <c r="I75" s="313">
        <f t="shared" ref="I75" si="12">H75</f>
        <v>1859649</v>
      </c>
      <c r="J75" s="313">
        <f t="shared" si="10"/>
        <v>-1859649</v>
      </c>
      <c r="K75" s="313">
        <f t="shared" si="8"/>
        <v>0</v>
      </c>
      <c r="L75" s="313"/>
      <c r="M75" s="116">
        <v>0</v>
      </c>
      <c r="N75" s="313">
        <v>0</v>
      </c>
      <c r="O75" s="313">
        <f t="shared" si="11"/>
        <v>189900662</v>
      </c>
      <c r="P75" t="s">
        <v>920</v>
      </c>
      <c r="Q75" s="8" t="s">
        <v>7858</v>
      </c>
      <c r="R75" s="8" t="s">
        <v>7879</v>
      </c>
      <c r="S75" s="37" t="s">
        <v>6338</v>
      </c>
    </row>
    <row r="76" spans="1:23">
      <c r="A76" s="320">
        <v>45689</v>
      </c>
      <c r="B76" s="320" t="s">
        <v>7795</v>
      </c>
      <c r="C76" t="s">
        <v>7338</v>
      </c>
      <c r="D76" t="s">
        <v>364</v>
      </c>
      <c r="E76" s="47" t="s">
        <v>7339</v>
      </c>
      <c r="F76" s="47">
        <v>2025</v>
      </c>
      <c r="G76" s="47" t="s">
        <v>274</v>
      </c>
      <c r="H76" s="316">
        <v>8250000</v>
      </c>
      <c r="I76" s="313">
        <f>H76</f>
        <v>8250000</v>
      </c>
      <c r="J76" s="313">
        <f t="shared" si="10"/>
        <v>-8250000</v>
      </c>
      <c r="K76" s="313">
        <f t="shared" si="8"/>
        <v>0</v>
      </c>
      <c r="L76" s="313"/>
      <c r="M76" s="334">
        <v>0</v>
      </c>
      <c r="N76" s="313">
        <v>0</v>
      </c>
      <c r="O76" s="313">
        <f t="shared" si="11"/>
        <v>189900662</v>
      </c>
      <c r="P76" t="s">
        <v>920</v>
      </c>
      <c r="Q76" s="8" t="s">
        <v>7858</v>
      </c>
      <c r="R76" t="s">
        <v>7880</v>
      </c>
      <c r="S76" s="37" t="s">
        <v>1526</v>
      </c>
      <c r="V76"/>
      <c r="W76"/>
    </row>
    <row r="77" spans="1:23">
      <c r="A77" s="320">
        <v>45689</v>
      </c>
      <c r="B77" s="320" t="s">
        <v>7795</v>
      </c>
      <c r="C77" t="s">
        <v>7340</v>
      </c>
      <c r="D77" t="s">
        <v>7341</v>
      </c>
      <c r="F77" s="49">
        <v>2025</v>
      </c>
      <c r="G77" s="49" t="s">
        <v>275</v>
      </c>
      <c r="H77" s="199">
        <v>550000</v>
      </c>
      <c r="I77" s="313">
        <v>0</v>
      </c>
      <c r="J77" s="313">
        <v>0</v>
      </c>
      <c r="K77" s="313">
        <f t="shared" ref="K77:K133" si="13">I77-J77</f>
        <v>0</v>
      </c>
      <c r="L77" s="313"/>
      <c r="M77" s="199">
        <f t="shared" ref="M77:M84" si="14">H77</f>
        <v>550000</v>
      </c>
      <c r="N77" s="313">
        <v>0</v>
      </c>
      <c r="O77" s="313">
        <f t="shared" si="11"/>
        <v>189350662</v>
      </c>
      <c r="P77" t="s">
        <v>6</v>
      </c>
      <c r="Q77" t="s">
        <v>7756</v>
      </c>
      <c r="R77" t="s">
        <v>7757</v>
      </c>
    </row>
    <row r="78" spans="1:23">
      <c r="A78" s="320">
        <v>45689</v>
      </c>
      <c r="B78" s="320" t="s">
        <v>7795</v>
      </c>
      <c r="C78" t="s">
        <v>7342</v>
      </c>
      <c r="D78" t="s">
        <v>7270</v>
      </c>
      <c r="F78" s="47">
        <v>2025</v>
      </c>
      <c r="G78" s="49" t="s">
        <v>275</v>
      </c>
      <c r="H78" s="199">
        <v>693000</v>
      </c>
      <c r="I78" s="313">
        <v>0</v>
      </c>
      <c r="J78" s="313">
        <v>0</v>
      </c>
      <c r="K78" s="313">
        <f t="shared" si="13"/>
        <v>0</v>
      </c>
      <c r="L78" s="313"/>
      <c r="M78" s="199">
        <f t="shared" si="14"/>
        <v>693000</v>
      </c>
      <c r="N78" s="313">
        <v>0</v>
      </c>
      <c r="O78" s="313">
        <f t="shared" si="11"/>
        <v>188657662</v>
      </c>
      <c r="P78" t="s">
        <v>6</v>
      </c>
      <c r="Q78" t="s">
        <v>7756</v>
      </c>
      <c r="R78" t="s">
        <v>7757</v>
      </c>
    </row>
    <row r="79" spans="1:23">
      <c r="A79" s="320">
        <v>45689</v>
      </c>
      <c r="B79" s="320" t="s">
        <v>7795</v>
      </c>
      <c r="C79" t="s">
        <v>7343</v>
      </c>
      <c r="D79" t="s">
        <v>7315</v>
      </c>
      <c r="F79" s="47">
        <v>2025</v>
      </c>
      <c r="G79" s="49" t="s">
        <v>275</v>
      </c>
      <c r="H79" s="199">
        <v>572000</v>
      </c>
      <c r="I79" s="313">
        <v>0</v>
      </c>
      <c r="J79" s="313">
        <v>0</v>
      </c>
      <c r="K79" s="313">
        <f t="shared" si="13"/>
        <v>0</v>
      </c>
      <c r="L79" s="313"/>
      <c r="M79" s="199">
        <f t="shared" si="14"/>
        <v>572000</v>
      </c>
      <c r="N79" s="313">
        <v>0</v>
      </c>
      <c r="O79" s="313">
        <f t="shared" si="11"/>
        <v>188085662</v>
      </c>
      <c r="P79" t="s">
        <v>6</v>
      </c>
      <c r="Q79" t="s">
        <v>7756</v>
      </c>
      <c r="R79" t="s">
        <v>7757</v>
      </c>
    </row>
    <row r="80" spans="1:23">
      <c r="A80" s="320">
        <v>45689</v>
      </c>
      <c r="B80" s="320" t="s">
        <v>7795</v>
      </c>
      <c r="C80" t="s">
        <v>7344</v>
      </c>
      <c r="D80" t="s">
        <v>7345</v>
      </c>
      <c r="F80" s="47">
        <v>2025</v>
      </c>
      <c r="G80" s="49" t="s">
        <v>275</v>
      </c>
      <c r="H80" s="199">
        <v>577500</v>
      </c>
      <c r="I80" s="313">
        <v>0</v>
      </c>
      <c r="J80" s="313">
        <v>0</v>
      </c>
      <c r="K80" s="313">
        <f t="shared" si="13"/>
        <v>0</v>
      </c>
      <c r="L80" s="313"/>
      <c r="M80" s="199">
        <f t="shared" si="14"/>
        <v>577500</v>
      </c>
      <c r="N80" s="313">
        <v>0</v>
      </c>
      <c r="O80" s="313">
        <f t="shared" si="11"/>
        <v>187508162</v>
      </c>
      <c r="P80" t="s">
        <v>6</v>
      </c>
      <c r="Q80" t="s">
        <v>7756</v>
      </c>
      <c r="R80" t="s">
        <v>7757</v>
      </c>
    </row>
    <row r="81" spans="1:23">
      <c r="A81" s="320">
        <v>45689</v>
      </c>
      <c r="B81" s="320" t="s">
        <v>7795</v>
      </c>
      <c r="C81" t="s">
        <v>7346</v>
      </c>
      <c r="D81" t="s">
        <v>7325</v>
      </c>
      <c r="F81" s="49">
        <v>2025</v>
      </c>
      <c r="G81" s="49" t="s">
        <v>275</v>
      </c>
      <c r="H81" s="199">
        <v>550000</v>
      </c>
      <c r="I81" s="313">
        <v>0</v>
      </c>
      <c r="J81" s="313">
        <v>0</v>
      </c>
      <c r="K81" s="313">
        <f t="shared" si="13"/>
        <v>0</v>
      </c>
      <c r="L81" s="313"/>
      <c r="M81" s="199">
        <f t="shared" si="14"/>
        <v>550000</v>
      </c>
      <c r="N81" s="313">
        <v>0</v>
      </c>
      <c r="O81" s="313">
        <f t="shared" si="11"/>
        <v>186958162</v>
      </c>
      <c r="P81" t="s">
        <v>6</v>
      </c>
      <c r="Q81" t="s">
        <v>7756</v>
      </c>
      <c r="R81" t="s">
        <v>7757</v>
      </c>
    </row>
    <row r="82" spans="1:23">
      <c r="A82" s="320">
        <v>45689</v>
      </c>
      <c r="B82" s="320" t="s">
        <v>7795</v>
      </c>
      <c r="C82" t="s">
        <v>7347</v>
      </c>
      <c r="D82" t="s">
        <v>7348</v>
      </c>
      <c r="F82" s="47">
        <v>2025</v>
      </c>
      <c r="G82" s="49" t="s">
        <v>275</v>
      </c>
      <c r="H82" s="199">
        <v>78014231</v>
      </c>
      <c r="I82" s="313">
        <v>0</v>
      </c>
      <c r="J82" s="313">
        <v>0</v>
      </c>
      <c r="K82" s="313">
        <f t="shared" si="13"/>
        <v>0</v>
      </c>
      <c r="L82" s="313"/>
      <c r="M82" s="199">
        <f t="shared" si="14"/>
        <v>78014231</v>
      </c>
      <c r="N82" s="313">
        <v>0</v>
      </c>
      <c r="O82" s="313">
        <f t="shared" si="11"/>
        <v>108943931</v>
      </c>
      <c r="P82" t="s">
        <v>6</v>
      </c>
      <c r="Q82" t="s">
        <v>7756</v>
      </c>
      <c r="R82" t="s">
        <v>7757</v>
      </c>
    </row>
    <row r="83" spans="1:23">
      <c r="A83" s="320">
        <v>45689</v>
      </c>
      <c r="B83" s="320" t="s">
        <v>7795</v>
      </c>
      <c r="C83" t="s">
        <v>7349</v>
      </c>
      <c r="D83" t="s">
        <v>7350</v>
      </c>
      <c r="F83" s="47">
        <v>2025</v>
      </c>
      <c r="G83" s="49" t="s">
        <v>275</v>
      </c>
      <c r="H83" s="199">
        <v>3658763</v>
      </c>
      <c r="I83" s="313">
        <v>0</v>
      </c>
      <c r="J83" s="313">
        <v>0</v>
      </c>
      <c r="K83" s="313">
        <f t="shared" si="13"/>
        <v>0</v>
      </c>
      <c r="L83" s="313"/>
      <c r="M83" s="199">
        <f t="shared" si="14"/>
        <v>3658763</v>
      </c>
      <c r="N83" s="313">
        <v>0</v>
      </c>
      <c r="O83" s="313">
        <f t="shared" si="11"/>
        <v>105285168</v>
      </c>
      <c r="P83" t="s">
        <v>6</v>
      </c>
      <c r="Q83" t="s">
        <v>7756</v>
      </c>
      <c r="R83" t="s">
        <v>7757</v>
      </c>
    </row>
    <row r="84" spans="1:23">
      <c r="A84" s="320">
        <v>45689</v>
      </c>
      <c r="B84" s="320" t="s">
        <v>7795</v>
      </c>
      <c r="C84" t="s">
        <v>7351</v>
      </c>
      <c r="D84" t="s">
        <v>7320</v>
      </c>
      <c r="F84" s="47">
        <v>2025</v>
      </c>
      <c r="G84" s="49" t="s">
        <v>275</v>
      </c>
      <c r="H84" s="199">
        <v>616000</v>
      </c>
      <c r="I84" s="313">
        <v>0</v>
      </c>
      <c r="J84" s="313">
        <v>0</v>
      </c>
      <c r="K84" s="313">
        <f t="shared" si="13"/>
        <v>0</v>
      </c>
      <c r="L84" s="313"/>
      <c r="M84" s="199">
        <f t="shared" si="14"/>
        <v>616000</v>
      </c>
      <c r="N84" s="313">
        <v>0</v>
      </c>
      <c r="O84" s="313">
        <f t="shared" si="11"/>
        <v>104669168</v>
      </c>
      <c r="P84" t="s">
        <v>6</v>
      </c>
      <c r="Q84" t="s">
        <v>7756</v>
      </c>
      <c r="R84" t="s">
        <v>7757</v>
      </c>
    </row>
    <row r="85" spans="1:23">
      <c r="A85" s="320">
        <v>45717</v>
      </c>
      <c r="B85" s="320" t="s">
        <v>7032</v>
      </c>
      <c r="D85" t="s">
        <v>7352</v>
      </c>
      <c r="G85" s="47" t="s">
        <v>7796</v>
      </c>
      <c r="H85" s="116">
        <v>21230000</v>
      </c>
      <c r="I85" s="313">
        <v>0</v>
      </c>
      <c r="J85" s="313">
        <v>0</v>
      </c>
      <c r="K85" s="313">
        <f t="shared" si="13"/>
        <v>0</v>
      </c>
      <c r="L85" s="313"/>
      <c r="M85" s="334">
        <v>0</v>
      </c>
      <c r="N85" s="116">
        <f t="shared" ref="N85:N92" si="15">H85</f>
        <v>21230000</v>
      </c>
      <c r="O85" s="313">
        <f t="shared" si="11"/>
        <v>125899168</v>
      </c>
      <c r="P85" s="8" t="s">
        <v>920</v>
      </c>
      <c r="Q85" t="s">
        <v>7854</v>
      </c>
      <c r="R85" s="8" t="s">
        <v>7032</v>
      </c>
      <c r="S85" s="8" t="s">
        <v>7052</v>
      </c>
    </row>
    <row r="86" spans="1:23">
      <c r="A86" s="320">
        <v>45717</v>
      </c>
      <c r="B86" s="320" t="s">
        <v>7032</v>
      </c>
      <c r="D86" t="s">
        <v>7246</v>
      </c>
      <c r="G86" s="47" t="s">
        <v>7796</v>
      </c>
      <c r="H86" s="116">
        <v>946819</v>
      </c>
      <c r="I86" s="313">
        <v>0</v>
      </c>
      <c r="J86" s="313">
        <v>0</v>
      </c>
      <c r="K86" s="313">
        <f t="shared" si="13"/>
        <v>0</v>
      </c>
      <c r="L86" s="313"/>
      <c r="M86" s="334">
        <v>0</v>
      </c>
      <c r="N86" s="116">
        <f t="shared" si="15"/>
        <v>946819</v>
      </c>
      <c r="O86" s="313">
        <f t="shared" si="11"/>
        <v>126845987</v>
      </c>
      <c r="P86" s="8" t="s">
        <v>920</v>
      </c>
      <c r="Q86" t="s">
        <v>7854</v>
      </c>
      <c r="R86" s="8" t="s">
        <v>7032</v>
      </c>
      <c r="S86" s="8" t="s">
        <v>7052</v>
      </c>
    </row>
    <row r="87" spans="1:23">
      <c r="A87" s="320">
        <v>45717</v>
      </c>
      <c r="B87" s="320" t="s">
        <v>7032</v>
      </c>
      <c r="D87" t="s">
        <v>7249</v>
      </c>
      <c r="G87" s="47" t="s">
        <v>7796</v>
      </c>
      <c r="H87" s="116">
        <v>385000</v>
      </c>
      <c r="I87" s="313">
        <v>0</v>
      </c>
      <c r="J87" s="313">
        <v>0</v>
      </c>
      <c r="K87" s="313">
        <f t="shared" si="13"/>
        <v>0</v>
      </c>
      <c r="L87" s="313"/>
      <c r="M87" s="334">
        <v>0</v>
      </c>
      <c r="N87" s="116">
        <f t="shared" si="15"/>
        <v>385000</v>
      </c>
      <c r="O87" s="313">
        <f t="shared" si="11"/>
        <v>127230987</v>
      </c>
      <c r="P87" s="8" t="s">
        <v>920</v>
      </c>
      <c r="Q87" t="s">
        <v>7854</v>
      </c>
      <c r="R87" s="8" t="s">
        <v>7032</v>
      </c>
      <c r="S87" s="8" t="s">
        <v>7052</v>
      </c>
    </row>
    <row r="88" spans="1:23">
      <c r="A88" s="320">
        <v>45717</v>
      </c>
      <c r="B88" s="320" t="s">
        <v>7032</v>
      </c>
      <c r="D88" t="s">
        <v>7237</v>
      </c>
      <c r="G88" s="47" t="s">
        <v>7796</v>
      </c>
      <c r="H88" s="116">
        <v>506000</v>
      </c>
      <c r="I88" s="313">
        <v>0</v>
      </c>
      <c r="J88" s="313">
        <v>0</v>
      </c>
      <c r="K88" s="313">
        <f t="shared" si="13"/>
        <v>0</v>
      </c>
      <c r="L88" s="313"/>
      <c r="M88" s="334">
        <v>0</v>
      </c>
      <c r="N88" s="116">
        <f t="shared" si="15"/>
        <v>506000</v>
      </c>
      <c r="O88" s="313">
        <f t="shared" si="11"/>
        <v>127736987</v>
      </c>
      <c r="P88" s="8" t="s">
        <v>920</v>
      </c>
      <c r="Q88" t="s">
        <v>7854</v>
      </c>
      <c r="R88" s="8" t="s">
        <v>7032</v>
      </c>
      <c r="S88" s="8" t="s">
        <v>7052</v>
      </c>
    </row>
    <row r="89" spans="1:23">
      <c r="A89" s="320">
        <v>45717</v>
      </c>
      <c r="B89" s="320" t="s">
        <v>7032</v>
      </c>
      <c r="D89" t="s">
        <v>7237</v>
      </c>
      <c r="G89" s="47" t="s">
        <v>7796</v>
      </c>
      <c r="H89" s="116">
        <v>583000</v>
      </c>
      <c r="I89" s="313">
        <v>0</v>
      </c>
      <c r="J89" s="313">
        <v>0</v>
      </c>
      <c r="K89" s="313">
        <f t="shared" si="13"/>
        <v>0</v>
      </c>
      <c r="L89" s="313"/>
      <c r="M89" s="334">
        <v>0</v>
      </c>
      <c r="N89" s="116">
        <f t="shared" si="15"/>
        <v>583000</v>
      </c>
      <c r="O89" s="313">
        <f t="shared" si="11"/>
        <v>128319987</v>
      </c>
      <c r="P89" s="8" t="s">
        <v>920</v>
      </c>
      <c r="Q89" t="s">
        <v>7854</v>
      </c>
      <c r="R89" s="8" t="s">
        <v>7032</v>
      </c>
      <c r="S89" s="8" t="s">
        <v>7052</v>
      </c>
    </row>
    <row r="90" spans="1:23">
      <c r="A90" s="320">
        <v>45717</v>
      </c>
      <c r="B90" s="320" t="s">
        <v>7032</v>
      </c>
      <c r="D90" t="s">
        <v>7233</v>
      </c>
      <c r="G90" s="47" t="s">
        <v>7796</v>
      </c>
      <c r="H90" s="116">
        <v>1981982</v>
      </c>
      <c r="I90" s="313">
        <v>0</v>
      </c>
      <c r="J90" s="313">
        <v>0</v>
      </c>
      <c r="K90" s="313">
        <f t="shared" si="13"/>
        <v>0</v>
      </c>
      <c r="L90" s="313"/>
      <c r="M90" s="334">
        <v>0</v>
      </c>
      <c r="N90" s="116">
        <f t="shared" si="15"/>
        <v>1981982</v>
      </c>
      <c r="O90" s="313">
        <f t="shared" si="11"/>
        <v>130301969</v>
      </c>
      <c r="P90" t="s">
        <v>920</v>
      </c>
      <c r="Q90" t="s">
        <v>7856</v>
      </c>
      <c r="R90" t="s">
        <v>7032</v>
      </c>
      <c r="S90" t="s">
        <v>7052</v>
      </c>
    </row>
    <row r="91" spans="1:23">
      <c r="A91" s="320">
        <v>45717</v>
      </c>
      <c r="B91" s="320" t="s">
        <v>7032</v>
      </c>
      <c r="D91" t="s">
        <v>7353</v>
      </c>
      <c r="G91" s="47" t="s">
        <v>7796</v>
      </c>
      <c r="H91" s="130">
        <v>261800</v>
      </c>
      <c r="I91" s="341">
        <v>0</v>
      </c>
      <c r="J91" s="341">
        <v>0</v>
      </c>
      <c r="K91" s="341">
        <f t="shared" si="13"/>
        <v>0</v>
      </c>
      <c r="L91" s="341"/>
      <c r="M91" s="335">
        <v>0</v>
      </c>
      <c r="N91" s="130">
        <f t="shared" si="15"/>
        <v>261800</v>
      </c>
      <c r="O91" s="341">
        <f t="shared" si="11"/>
        <v>130563769</v>
      </c>
      <c r="P91" s="8" t="s">
        <v>920</v>
      </c>
      <c r="Q91" t="s">
        <v>7854</v>
      </c>
      <c r="R91" s="8" t="s">
        <v>7032</v>
      </c>
      <c r="S91" s="8" t="s">
        <v>7052</v>
      </c>
      <c r="V91" s="360"/>
      <c r="W91" s="360"/>
    </row>
    <row r="92" spans="1:23">
      <c r="A92" s="320">
        <v>45717</v>
      </c>
      <c r="B92" s="320" t="s">
        <v>7032</v>
      </c>
      <c r="D92" t="s">
        <v>7235</v>
      </c>
      <c r="G92" s="47" t="s">
        <v>7796</v>
      </c>
      <c r="H92" s="116">
        <v>74324</v>
      </c>
      <c r="I92" s="313">
        <v>0</v>
      </c>
      <c r="J92" s="313">
        <v>0</v>
      </c>
      <c r="K92" s="313">
        <f t="shared" si="13"/>
        <v>0</v>
      </c>
      <c r="L92" s="313"/>
      <c r="M92" s="334">
        <v>0</v>
      </c>
      <c r="N92" s="116">
        <f t="shared" si="15"/>
        <v>74324</v>
      </c>
      <c r="O92" s="313">
        <f t="shared" si="11"/>
        <v>130638093</v>
      </c>
      <c r="P92" s="8" t="s">
        <v>920</v>
      </c>
      <c r="Q92" t="s">
        <v>7854</v>
      </c>
      <c r="R92" s="8" t="s">
        <v>7032</v>
      </c>
      <c r="S92" s="8" t="s">
        <v>7052</v>
      </c>
    </row>
    <row r="93" spans="1:23" s="40" customFormat="1">
      <c r="A93" s="321">
        <v>45717</v>
      </c>
      <c r="B93" s="321" t="s">
        <v>7795</v>
      </c>
      <c r="C93" s="40" t="s">
        <v>7354</v>
      </c>
      <c r="D93" s="40" t="s">
        <v>7256</v>
      </c>
      <c r="E93" s="49" t="s">
        <v>7355</v>
      </c>
      <c r="F93" s="49">
        <v>2025</v>
      </c>
      <c r="G93" s="49" t="s">
        <v>274</v>
      </c>
      <c r="H93" s="316">
        <v>18724750</v>
      </c>
      <c r="I93" s="313">
        <f>H93</f>
        <v>18724750</v>
      </c>
      <c r="J93" s="313">
        <f t="shared" ref="J93:J108" si="16">-I93</f>
        <v>-18724750</v>
      </c>
      <c r="K93" s="313">
        <f t="shared" ref="K93:K108" si="17">I93+J93</f>
        <v>0</v>
      </c>
      <c r="L93" s="313"/>
      <c r="M93" s="116">
        <v>0</v>
      </c>
      <c r="N93" s="313">
        <v>0</v>
      </c>
      <c r="O93" s="313">
        <f t="shared" si="11"/>
        <v>130638093</v>
      </c>
      <c r="P93" t="s">
        <v>920</v>
      </c>
      <c r="Q93" s="8" t="s">
        <v>7858</v>
      </c>
      <c r="R93" t="s">
        <v>7880</v>
      </c>
      <c r="S93" s="37" t="s">
        <v>1526</v>
      </c>
    </row>
    <row r="94" spans="1:23">
      <c r="A94" s="320">
        <v>45717</v>
      </c>
      <c r="B94" s="321" t="s">
        <v>7795</v>
      </c>
      <c r="C94" t="s">
        <v>7356</v>
      </c>
      <c r="D94" t="s">
        <v>7357</v>
      </c>
      <c r="E94" s="47" t="s">
        <v>7358</v>
      </c>
      <c r="F94" s="47">
        <v>2025</v>
      </c>
      <c r="G94" s="49" t="s">
        <v>274</v>
      </c>
      <c r="H94" s="316">
        <v>9909910</v>
      </c>
      <c r="I94" s="313">
        <f>H94</f>
        <v>9909910</v>
      </c>
      <c r="J94" s="313">
        <f t="shared" si="16"/>
        <v>-9909910</v>
      </c>
      <c r="K94" s="313">
        <f t="shared" si="17"/>
        <v>0</v>
      </c>
      <c r="L94" s="313"/>
      <c r="M94" s="331">
        <v>0</v>
      </c>
      <c r="N94" s="313">
        <v>0</v>
      </c>
      <c r="O94" s="313">
        <f t="shared" si="11"/>
        <v>130638093</v>
      </c>
      <c r="P94" t="s">
        <v>920</v>
      </c>
      <c r="Q94" s="8" t="s">
        <v>7858</v>
      </c>
      <c r="R94" t="s">
        <v>7880</v>
      </c>
      <c r="S94" s="37" t="s">
        <v>1526</v>
      </c>
      <c r="V94"/>
      <c r="W94"/>
    </row>
    <row r="95" spans="1:23">
      <c r="A95" s="320">
        <v>45717</v>
      </c>
      <c r="B95" s="321" t="s">
        <v>7795</v>
      </c>
      <c r="C95" t="s">
        <v>7359</v>
      </c>
      <c r="D95" t="s">
        <v>7360</v>
      </c>
      <c r="E95" s="47" t="s">
        <v>7361</v>
      </c>
      <c r="F95" s="47">
        <v>2025</v>
      </c>
      <c r="G95" s="49" t="s">
        <v>274</v>
      </c>
      <c r="H95" s="316">
        <v>24774775</v>
      </c>
      <c r="I95" s="313">
        <f>H95</f>
        <v>24774775</v>
      </c>
      <c r="J95" s="313">
        <f t="shared" si="16"/>
        <v>-24774775</v>
      </c>
      <c r="K95" s="313">
        <f t="shared" si="17"/>
        <v>0</v>
      </c>
      <c r="L95" s="313"/>
      <c r="M95" s="331">
        <v>0</v>
      </c>
      <c r="N95" s="313">
        <v>0</v>
      </c>
      <c r="O95" s="313">
        <f t="shared" si="11"/>
        <v>130638093</v>
      </c>
      <c r="P95" t="s">
        <v>920</v>
      </c>
      <c r="Q95" s="8" t="s">
        <v>7858</v>
      </c>
      <c r="R95" t="s">
        <v>7880</v>
      </c>
      <c r="S95" s="37" t="s">
        <v>1526</v>
      </c>
      <c r="V95"/>
      <c r="W95"/>
    </row>
    <row r="96" spans="1:23" s="40" customFormat="1">
      <c r="A96" s="321">
        <v>45717</v>
      </c>
      <c r="B96" s="321" t="s">
        <v>7795</v>
      </c>
      <c r="C96" s="40" t="s">
        <v>7362</v>
      </c>
      <c r="D96" s="40" t="s">
        <v>7336</v>
      </c>
      <c r="E96" s="49" t="s">
        <v>7363</v>
      </c>
      <c r="F96" s="49">
        <v>2024</v>
      </c>
      <c r="G96" s="49" t="s">
        <v>274</v>
      </c>
      <c r="H96" s="326">
        <v>70516984</v>
      </c>
      <c r="I96" s="313">
        <f t="shared" ref="I96:I106" si="18">H96</f>
        <v>70516984</v>
      </c>
      <c r="J96" s="313">
        <f t="shared" si="16"/>
        <v>-70516984</v>
      </c>
      <c r="K96" s="313">
        <f t="shared" si="17"/>
        <v>0</v>
      </c>
      <c r="L96" s="313"/>
      <c r="M96" s="116">
        <v>0</v>
      </c>
      <c r="N96" s="313">
        <v>0</v>
      </c>
      <c r="O96" s="313">
        <f t="shared" si="11"/>
        <v>130638093</v>
      </c>
      <c r="P96" t="s">
        <v>920</v>
      </c>
      <c r="Q96" s="8" t="s">
        <v>7858</v>
      </c>
      <c r="R96" s="8" t="s">
        <v>7879</v>
      </c>
      <c r="S96" s="37" t="s">
        <v>6338</v>
      </c>
    </row>
    <row r="97" spans="1:23" s="40" customFormat="1">
      <c r="A97" s="321">
        <v>45717</v>
      </c>
      <c r="B97" s="321" t="s">
        <v>7795</v>
      </c>
      <c r="C97" s="40" t="s">
        <v>7364</v>
      </c>
      <c r="D97" s="40" t="s">
        <v>7331</v>
      </c>
      <c r="E97" s="49" t="s">
        <v>7365</v>
      </c>
      <c r="F97" s="49">
        <v>2024</v>
      </c>
      <c r="G97" s="49" t="s">
        <v>274</v>
      </c>
      <c r="H97" s="51">
        <v>23047200</v>
      </c>
      <c r="I97" s="313">
        <f t="shared" si="18"/>
        <v>23047200</v>
      </c>
      <c r="J97" s="313">
        <f t="shared" si="16"/>
        <v>-23047200</v>
      </c>
      <c r="K97" s="313">
        <f t="shared" si="17"/>
        <v>0</v>
      </c>
      <c r="L97" s="313"/>
      <c r="M97" s="116">
        <v>0</v>
      </c>
      <c r="N97" s="313">
        <v>0</v>
      </c>
      <c r="O97" s="313">
        <f t="shared" si="11"/>
        <v>130638093</v>
      </c>
      <c r="P97" t="s">
        <v>920</v>
      </c>
      <c r="Q97" s="8" t="s">
        <v>7858</v>
      </c>
      <c r="R97" s="8" t="s">
        <v>7879</v>
      </c>
      <c r="S97" s="37" t="s">
        <v>6338</v>
      </c>
    </row>
    <row r="98" spans="1:23" s="40" customFormat="1">
      <c r="A98" s="321">
        <v>45717</v>
      </c>
      <c r="B98" s="321" t="s">
        <v>7795</v>
      </c>
      <c r="C98" s="40" t="s">
        <v>7366</v>
      </c>
      <c r="D98" s="40" t="s">
        <v>7256</v>
      </c>
      <c r="E98" s="49" t="s">
        <v>7367</v>
      </c>
      <c r="F98" s="49">
        <v>2025</v>
      </c>
      <c r="G98" s="49" t="s">
        <v>274</v>
      </c>
      <c r="H98" s="316">
        <v>22010670</v>
      </c>
      <c r="I98" s="313">
        <f>H98</f>
        <v>22010670</v>
      </c>
      <c r="J98" s="313">
        <f t="shared" si="16"/>
        <v>-22010670</v>
      </c>
      <c r="K98" s="313">
        <f t="shared" si="17"/>
        <v>0</v>
      </c>
      <c r="L98" s="313"/>
      <c r="M98" s="116">
        <v>0</v>
      </c>
      <c r="N98" s="313">
        <v>0</v>
      </c>
      <c r="O98" s="313">
        <f t="shared" si="11"/>
        <v>130638093</v>
      </c>
      <c r="P98" t="s">
        <v>920</v>
      </c>
      <c r="Q98" s="8" t="s">
        <v>7858</v>
      </c>
      <c r="R98" t="s">
        <v>7880</v>
      </c>
      <c r="S98" s="37" t="s">
        <v>1526</v>
      </c>
    </row>
    <row r="99" spans="1:23">
      <c r="A99" s="320">
        <v>45717</v>
      </c>
      <c r="B99" s="321" t="s">
        <v>7795</v>
      </c>
      <c r="C99" t="s">
        <v>7368</v>
      </c>
      <c r="D99" t="s">
        <v>7256</v>
      </c>
      <c r="E99" s="47" t="s">
        <v>7369</v>
      </c>
      <c r="F99" s="47">
        <v>2025</v>
      </c>
      <c r="G99" s="49" t="s">
        <v>274</v>
      </c>
      <c r="H99" s="316">
        <v>8898120</v>
      </c>
      <c r="I99" s="313">
        <f>H99</f>
        <v>8898120</v>
      </c>
      <c r="J99" s="313">
        <f t="shared" si="16"/>
        <v>-8898120</v>
      </c>
      <c r="K99" s="313">
        <f t="shared" si="17"/>
        <v>0</v>
      </c>
      <c r="L99" s="313"/>
      <c r="M99" s="331">
        <v>0</v>
      </c>
      <c r="N99" s="313">
        <v>0</v>
      </c>
      <c r="O99" s="313">
        <f t="shared" si="11"/>
        <v>130638093</v>
      </c>
      <c r="P99" t="s">
        <v>920</v>
      </c>
      <c r="Q99" s="8" t="s">
        <v>7858</v>
      </c>
      <c r="R99" t="s">
        <v>7880</v>
      </c>
      <c r="S99" s="37" t="s">
        <v>1526</v>
      </c>
      <c r="V99"/>
      <c r="W99"/>
    </row>
    <row r="100" spans="1:23">
      <c r="A100" s="320">
        <v>45717</v>
      </c>
      <c r="B100" s="321" t="s">
        <v>7795</v>
      </c>
      <c r="C100" t="s">
        <v>7370</v>
      </c>
      <c r="D100" t="s">
        <v>7345</v>
      </c>
      <c r="E100" s="47" t="s">
        <v>7371</v>
      </c>
      <c r="F100" s="47">
        <v>2025</v>
      </c>
      <c r="G100" s="49" t="s">
        <v>274</v>
      </c>
      <c r="H100" s="327">
        <v>68750000</v>
      </c>
      <c r="I100" s="313">
        <f>H100</f>
        <v>68750000</v>
      </c>
      <c r="J100" s="313">
        <f t="shared" si="16"/>
        <v>-68750000</v>
      </c>
      <c r="K100" s="313">
        <f t="shared" si="17"/>
        <v>0</v>
      </c>
      <c r="L100" s="313"/>
      <c r="M100" s="331">
        <v>0</v>
      </c>
      <c r="N100" s="313">
        <v>0</v>
      </c>
      <c r="O100" s="313">
        <f t="shared" si="11"/>
        <v>130638093</v>
      </c>
      <c r="P100" t="s">
        <v>920</v>
      </c>
      <c r="Q100" s="8" t="s">
        <v>7858</v>
      </c>
      <c r="R100" t="s">
        <v>7880</v>
      </c>
      <c r="S100" s="37" t="s">
        <v>1526</v>
      </c>
      <c r="V100"/>
      <c r="W100"/>
    </row>
    <row r="101" spans="1:23" s="40" customFormat="1">
      <c r="A101" s="321">
        <v>45717</v>
      </c>
      <c r="B101" s="321" t="s">
        <v>7795</v>
      </c>
      <c r="C101" s="40" t="s">
        <v>7372</v>
      </c>
      <c r="D101" s="40" t="s">
        <v>7331</v>
      </c>
      <c r="E101" s="49" t="s">
        <v>7373</v>
      </c>
      <c r="F101" s="47">
        <v>2024</v>
      </c>
      <c r="G101" s="49" t="s">
        <v>274</v>
      </c>
      <c r="H101" s="51">
        <v>2190177</v>
      </c>
      <c r="I101" s="313">
        <f t="shared" si="18"/>
        <v>2190177</v>
      </c>
      <c r="J101" s="313">
        <f t="shared" si="16"/>
        <v>-2190177</v>
      </c>
      <c r="K101" s="313">
        <f t="shared" si="17"/>
        <v>0</v>
      </c>
      <c r="L101" s="313"/>
      <c r="M101" s="116">
        <v>0</v>
      </c>
      <c r="N101" s="313">
        <v>0</v>
      </c>
      <c r="O101" s="313">
        <f t="shared" si="11"/>
        <v>130638093</v>
      </c>
      <c r="P101" t="s">
        <v>920</v>
      </c>
      <c r="Q101" s="8" t="s">
        <v>7858</v>
      </c>
      <c r="R101" s="8" t="s">
        <v>7879</v>
      </c>
      <c r="S101" s="37" t="s">
        <v>6338</v>
      </c>
    </row>
    <row r="102" spans="1:23" s="40" customFormat="1">
      <c r="A102" s="321">
        <v>45717</v>
      </c>
      <c r="B102" s="321" t="s">
        <v>7795</v>
      </c>
      <c r="C102" s="40" t="s">
        <v>7374</v>
      </c>
      <c r="D102" s="40" t="s">
        <v>7331</v>
      </c>
      <c r="E102" s="49" t="s">
        <v>7375</v>
      </c>
      <c r="F102" s="49">
        <v>2024</v>
      </c>
      <c r="G102" s="49" t="s">
        <v>274</v>
      </c>
      <c r="H102" s="51">
        <v>42173376</v>
      </c>
      <c r="I102" s="313">
        <f t="shared" si="18"/>
        <v>42173376</v>
      </c>
      <c r="J102" s="313">
        <f t="shared" si="16"/>
        <v>-42173376</v>
      </c>
      <c r="K102" s="313">
        <f t="shared" si="17"/>
        <v>0</v>
      </c>
      <c r="L102" s="313"/>
      <c r="M102" s="130">
        <v>0</v>
      </c>
      <c r="N102" s="313">
        <v>0</v>
      </c>
      <c r="O102" s="313">
        <f t="shared" si="11"/>
        <v>130638093</v>
      </c>
      <c r="P102" t="s">
        <v>920</v>
      </c>
      <c r="Q102" s="8" t="s">
        <v>7858</v>
      </c>
      <c r="R102" s="8" t="s">
        <v>7879</v>
      </c>
      <c r="S102" s="37" t="s">
        <v>6338</v>
      </c>
    </row>
    <row r="103" spans="1:23" s="40" customFormat="1">
      <c r="A103" s="321">
        <v>45717</v>
      </c>
      <c r="B103" s="321" t="s">
        <v>7795</v>
      </c>
      <c r="C103" s="40" t="s">
        <v>7376</v>
      </c>
      <c r="D103" s="40" t="s">
        <v>7377</v>
      </c>
      <c r="E103" s="49" t="s">
        <v>7378</v>
      </c>
      <c r="F103" s="49">
        <v>2024</v>
      </c>
      <c r="G103" s="49" t="s">
        <v>274</v>
      </c>
      <c r="H103" s="326">
        <v>27014020</v>
      </c>
      <c r="I103" s="313">
        <f t="shared" si="18"/>
        <v>27014020</v>
      </c>
      <c r="J103" s="313">
        <f t="shared" si="16"/>
        <v>-27014020</v>
      </c>
      <c r="K103" s="313">
        <f t="shared" si="17"/>
        <v>0</v>
      </c>
      <c r="L103" s="313"/>
      <c r="M103" s="116">
        <v>0</v>
      </c>
      <c r="N103" s="313">
        <v>0</v>
      </c>
      <c r="O103" s="313">
        <f t="shared" si="11"/>
        <v>130638093</v>
      </c>
      <c r="P103" t="s">
        <v>920</v>
      </c>
      <c r="Q103" s="8" t="s">
        <v>7858</v>
      </c>
      <c r="R103" s="8" t="s">
        <v>7879</v>
      </c>
      <c r="S103" s="37" t="s">
        <v>6338</v>
      </c>
    </row>
    <row r="104" spans="1:23">
      <c r="A104" s="320">
        <v>45717</v>
      </c>
      <c r="B104" s="321" t="s">
        <v>7795</v>
      </c>
      <c r="C104" t="s">
        <v>7379</v>
      </c>
      <c r="D104" t="s">
        <v>7331</v>
      </c>
      <c r="E104" s="47" t="s">
        <v>7380</v>
      </c>
      <c r="F104" s="47">
        <v>2025</v>
      </c>
      <c r="G104" s="49" t="s">
        <v>274</v>
      </c>
      <c r="H104" s="316">
        <v>1269204</v>
      </c>
      <c r="I104" s="313">
        <f>H104</f>
        <v>1269204</v>
      </c>
      <c r="J104" s="313">
        <f t="shared" si="16"/>
        <v>-1269204</v>
      </c>
      <c r="K104" s="313">
        <f t="shared" si="17"/>
        <v>0</v>
      </c>
      <c r="L104" s="313"/>
      <c r="M104" s="331">
        <v>0</v>
      </c>
      <c r="N104" s="313">
        <v>0</v>
      </c>
      <c r="O104" s="313">
        <f t="shared" si="11"/>
        <v>130638093</v>
      </c>
      <c r="P104" t="s">
        <v>920</v>
      </c>
      <c r="Q104" s="8" t="s">
        <v>7858</v>
      </c>
      <c r="R104" t="s">
        <v>7880</v>
      </c>
      <c r="S104" s="37" t="s">
        <v>1526</v>
      </c>
      <c r="V104"/>
      <c r="W104"/>
    </row>
    <row r="105" spans="1:23">
      <c r="A105" s="320">
        <v>45717</v>
      </c>
      <c r="B105" s="321" t="s">
        <v>7795</v>
      </c>
      <c r="C105" t="s">
        <v>7381</v>
      </c>
      <c r="D105" t="s">
        <v>7382</v>
      </c>
      <c r="E105" s="47" t="s">
        <v>7383</v>
      </c>
      <c r="F105" s="47">
        <v>2025</v>
      </c>
      <c r="G105" s="49" t="s">
        <v>274</v>
      </c>
      <c r="H105" s="316">
        <v>5200641</v>
      </c>
      <c r="I105" s="313">
        <f>H105</f>
        <v>5200641</v>
      </c>
      <c r="J105" s="313">
        <f t="shared" si="16"/>
        <v>-5200641</v>
      </c>
      <c r="K105" s="313">
        <f t="shared" si="17"/>
        <v>0</v>
      </c>
      <c r="L105" s="313"/>
      <c r="M105" s="331">
        <v>0</v>
      </c>
      <c r="N105" s="313">
        <v>0</v>
      </c>
      <c r="O105" s="313">
        <f t="shared" si="11"/>
        <v>130638093</v>
      </c>
      <c r="P105" t="s">
        <v>920</v>
      </c>
      <c r="Q105" s="8" t="s">
        <v>7858</v>
      </c>
      <c r="R105" t="s">
        <v>7880</v>
      </c>
      <c r="S105" s="37" t="s">
        <v>1526</v>
      </c>
      <c r="V105"/>
      <c r="W105"/>
    </row>
    <row r="106" spans="1:23" s="40" customFormat="1">
      <c r="A106" s="321">
        <v>45717</v>
      </c>
      <c r="B106" s="321" t="s">
        <v>7795</v>
      </c>
      <c r="C106" s="40" t="s">
        <v>7384</v>
      </c>
      <c r="D106" s="40" t="s">
        <v>7331</v>
      </c>
      <c r="E106" s="49" t="s">
        <v>7385</v>
      </c>
      <c r="F106" s="49">
        <v>2024</v>
      </c>
      <c r="G106" s="49" t="s">
        <v>274</v>
      </c>
      <c r="H106" s="51">
        <v>67801127</v>
      </c>
      <c r="I106" s="313">
        <f t="shared" si="18"/>
        <v>67801127</v>
      </c>
      <c r="J106" s="313">
        <f t="shared" si="16"/>
        <v>-67801127</v>
      </c>
      <c r="K106" s="313">
        <f t="shared" si="17"/>
        <v>0</v>
      </c>
      <c r="L106" s="313"/>
      <c r="M106" s="130">
        <v>0</v>
      </c>
      <c r="N106" s="313">
        <v>0</v>
      </c>
      <c r="O106" s="313">
        <f t="shared" si="11"/>
        <v>130638093</v>
      </c>
      <c r="P106" t="s">
        <v>920</v>
      </c>
      <c r="Q106" s="8" t="s">
        <v>7858</v>
      </c>
      <c r="R106" s="8" t="s">
        <v>7879</v>
      </c>
      <c r="S106" s="37" t="s">
        <v>6338</v>
      </c>
    </row>
    <row r="107" spans="1:23" s="40" customFormat="1">
      <c r="A107" s="321">
        <v>45717</v>
      </c>
      <c r="B107" s="321" t="s">
        <v>7795</v>
      </c>
      <c r="C107" s="40" t="s">
        <v>7386</v>
      </c>
      <c r="D107" s="40" t="s">
        <v>7331</v>
      </c>
      <c r="E107" s="49" t="s">
        <v>7387</v>
      </c>
      <c r="F107" s="49">
        <v>2024</v>
      </c>
      <c r="G107" s="49" t="s">
        <v>274</v>
      </c>
      <c r="H107" s="51">
        <v>10008312</v>
      </c>
      <c r="I107" s="313">
        <f>H107</f>
        <v>10008312</v>
      </c>
      <c r="J107" s="313">
        <f t="shared" si="16"/>
        <v>-10008312</v>
      </c>
      <c r="K107" s="313">
        <f t="shared" si="17"/>
        <v>0</v>
      </c>
      <c r="L107" s="313"/>
      <c r="M107" s="116">
        <v>0</v>
      </c>
      <c r="N107" s="313">
        <v>0</v>
      </c>
      <c r="O107" s="313">
        <f t="shared" si="11"/>
        <v>130638093</v>
      </c>
      <c r="P107" t="s">
        <v>920</v>
      </c>
      <c r="Q107" s="8" t="s">
        <v>7858</v>
      </c>
      <c r="R107" s="8" t="s">
        <v>7879</v>
      </c>
      <c r="S107" s="37" t="s">
        <v>6338</v>
      </c>
    </row>
    <row r="108" spans="1:23">
      <c r="A108" s="320">
        <v>45717</v>
      </c>
      <c r="B108" s="321" t="s">
        <v>7795</v>
      </c>
      <c r="C108" t="s">
        <v>7388</v>
      </c>
      <c r="D108" t="s">
        <v>7331</v>
      </c>
      <c r="E108" s="47" t="s">
        <v>7389</v>
      </c>
      <c r="F108" s="47">
        <v>2025</v>
      </c>
      <c r="G108" s="49" t="s">
        <v>274</v>
      </c>
      <c r="H108" s="316">
        <v>1182500</v>
      </c>
      <c r="I108" s="313">
        <f>H108</f>
        <v>1182500</v>
      </c>
      <c r="J108" s="313">
        <f t="shared" si="16"/>
        <v>-1182500</v>
      </c>
      <c r="K108" s="313">
        <f t="shared" si="17"/>
        <v>0</v>
      </c>
      <c r="L108" s="313"/>
      <c r="M108" s="331">
        <v>0</v>
      </c>
      <c r="N108" s="313">
        <v>0</v>
      </c>
      <c r="O108" s="313">
        <f t="shared" si="11"/>
        <v>130638093</v>
      </c>
      <c r="P108" t="s">
        <v>920</v>
      </c>
      <c r="Q108" s="8" t="s">
        <v>7858</v>
      </c>
      <c r="R108" t="s">
        <v>7880</v>
      </c>
      <c r="S108" s="37" t="s">
        <v>1526</v>
      </c>
      <c r="V108"/>
      <c r="W108"/>
    </row>
    <row r="109" spans="1:23">
      <c r="A109" s="320">
        <v>45717</v>
      </c>
      <c r="B109" s="320" t="s">
        <v>7032</v>
      </c>
      <c r="D109" t="s">
        <v>7348</v>
      </c>
      <c r="E109" s="47" t="s">
        <v>7390</v>
      </c>
      <c r="F109" s="47">
        <v>2025</v>
      </c>
      <c r="G109" s="47" t="s">
        <v>275</v>
      </c>
      <c r="H109" s="199">
        <v>14814136</v>
      </c>
      <c r="I109" s="313">
        <v>0</v>
      </c>
      <c r="J109" s="313">
        <v>0</v>
      </c>
      <c r="K109" s="313">
        <f t="shared" si="13"/>
        <v>0</v>
      </c>
      <c r="L109" s="313"/>
      <c r="M109" s="199">
        <f>H109</f>
        <v>14814136</v>
      </c>
      <c r="N109" s="313">
        <v>0</v>
      </c>
      <c r="O109" s="313">
        <f t="shared" si="11"/>
        <v>115823957</v>
      </c>
      <c r="P109" t="s">
        <v>6</v>
      </c>
      <c r="Q109" t="s">
        <v>7756</v>
      </c>
      <c r="R109" t="s">
        <v>7757</v>
      </c>
    </row>
    <row r="110" spans="1:23">
      <c r="A110" s="320">
        <v>45717</v>
      </c>
      <c r="B110" s="320" t="s">
        <v>7032</v>
      </c>
      <c r="D110" t="s">
        <v>7331</v>
      </c>
      <c r="E110" s="47" t="s">
        <v>7391</v>
      </c>
      <c r="F110" s="47">
        <v>2025</v>
      </c>
      <c r="G110" s="47" t="s">
        <v>275</v>
      </c>
      <c r="H110" s="199">
        <v>906030</v>
      </c>
      <c r="I110" s="313">
        <v>0</v>
      </c>
      <c r="J110" s="313">
        <v>0</v>
      </c>
      <c r="K110" s="313">
        <f t="shared" si="13"/>
        <v>0</v>
      </c>
      <c r="L110" s="313"/>
      <c r="M110" s="199">
        <f>H110</f>
        <v>906030</v>
      </c>
      <c r="N110" s="313">
        <v>0</v>
      </c>
      <c r="O110" s="313">
        <f t="shared" si="11"/>
        <v>114917927</v>
      </c>
      <c r="P110" t="s">
        <v>6</v>
      </c>
      <c r="Q110" t="s">
        <v>7756</v>
      </c>
      <c r="R110" t="s">
        <v>7757</v>
      </c>
    </row>
    <row r="111" spans="1:23">
      <c r="A111" s="320">
        <v>45717</v>
      </c>
      <c r="B111" s="320" t="s">
        <v>7032</v>
      </c>
      <c r="D111" t="s">
        <v>7392</v>
      </c>
      <c r="E111" s="47" t="s">
        <v>7393</v>
      </c>
      <c r="F111" s="47">
        <v>2025</v>
      </c>
      <c r="G111" s="47" t="s">
        <v>275</v>
      </c>
      <c r="H111" s="199">
        <v>5047299</v>
      </c>
      <c r="I111" s="313">
        <v>0</v>
      </c>
      <c r="J111" s="313">
        <v>0</v>
      </c>
      <c r="K111" s="313">
        <f t="shared" si="13"/>
        <v>0</v>
      </c>
      <c r="L111" s="313"/>
      <c r="M111" s="199">
        <f>H111</f>
        <v>5047299</v>
      </c>
      <c r="N111" s="313">
        <v>0</v>
      </c>
      <c r="O111" s="313">
        <f t="shared" si="11"/>
        <v>109870628</v>
      </c>
      <c r="P111" t="s">
        <v>6</v>
      </c>
      <c r="Q111" t="s">
        <v>7756</v>
      </c>
      <c r="R111" t="s">
        <v>7757</v>
      </c>
    </row>
    <row r="112" spans="1:23">
      <c r="A112" s="320">
        <v>45748</v>
      </c>
      <c r="B112" s="320" t="s">
        <v>7032</v>
      </c>
      <c r="D112" t="s">
        <v>7394</v>
      </c>
      <c r="G112" s="47" t="s">
        <v>7796</v>
      </c>
      <c r="H112" s="116">
        <v>629948</v>
      </c>
      <c r="I112" s="313">
        <v>0</v>
      </c>
      <c r="J112" s="313">
        <v>0</v>
      </c>
      <c r="K112" s="313">
        <f t="shared" si="13"/>
        <v>0</v>
      </c>
      <c r="L112" s="313"/>
      <c r="M112" s="334">
        <v>0</v>
      </c>
      <c r="N112" s="116">
        <f t="shared" ref="N112:N119" si="19">H112</f>
        <v>629948</v>
      </c>
      <c r="O112" s="313">
        <f t="shared" si="11"/>
        <v>110500576</v>
      </c>
      <c r="P112" t="s">
        <v>920</v>
      </c>
      <c r="Q112" t="s">
        <v>7856</v>
      </c>
      <c r="R112" t="s">
        <v>7032</v>
      </c>
      <c r="S112" t="s">
        <v>4596</v>
      </c>
    </row>
    <row r="113" spans="1:23">
      <c r="A113" s="320">
        <v>45748</v>
      </c>
      <c r="B113" s="320" t="s">
        <v>7032</v>
      </c>
      <c r="D113" t="s">
        <v>7246</v>
      </c>
      <c r="G113" s="47" t="s">
        <v>7796</v>
      </c>
      <c r="H113" s="116">
        <v>3313402</v>
      </c>
      <c r="I113" s="313">
        <v>0</v>
      </c>
      <c r="J113" s="313">
        <v>0</v>
      </c>
      <c r="K113" s="313">
        <f t="shared" si="13"/>
        <v>0</v>
      </c>
      <c r="L113" s="313"/>
      <c r="M113" s="334">
        <v>0</v>
      </c>
      <c r="N113" s="116">
        <f t="shared" si="19"/>
        <v>3313402</v>
      </c>
      <c r="O113" s="313">
        <f t="shared" si="11"/>
        <v>113813978</v>
      </c>
      <c r="P113" s="8" t="s">
        <v>920</v>
      </c>
      <c r="Q113" t="s">
        <v>7854</v>
      </c>
      <c r="R113" s="8" t="s">
        <v>7032</v>
      </c>
      <c r="S113" s="8" t="s">
        <v>4596</v>
      </c>
    </row>
    <row r="114" spans="1:23">
      <c r="A114" s="320">
        <v>45748</v>
      </c>
      <c r="B114" s="320" t="s">
        <v>7032</v>
      </c>
      <c r="D114" t="s">
        <v>7237</v>
      </c>
      <c r="G114" s="47" t="s">
        <v>7796</v>
      </c>
      <c r="H114" s="116">
        <v>583000</v>
      </c>
      <c r="I114" s="313">
        <v>0</v>
      </c>
      <c r="J114" s="313">
        <v>0</v>
      </c>
      <c r="K114" s="313">
        <f t="shared" si="13"/>
        <v>0</v>
      </c>
      <c r="L114" s="313"/>
      <c r="M114" s="334">
        <v>0</v>
      </c>
      <c r="N114" s="116">
        <f t="shared" si="19"/>
        <v>583000</v>
      </c>
      <c r="O114" s="313">
        <f t="shared" si="11"/>
        <v>114396978</v>
      </c>
      <c r="P114" s="8" t="s">
        <v>920</v>
      </c>
      <c r="Q114" t="s">
        <v>7854</v>
      </c>
      <c r="R114" s="8" t="s">
        <v>7032</v>
      </c>
      <c r="S114" s="8" t="s">
        <v>4596</v>
      </c>
    </row>
    <row r="115" spans="1:23">
      <c r="A115" s="320">
        <v>45748</v>
      </c>
      <c r="B115" s="320" t="s">
        <v>7032</v>
      </c>
      <c r="D115" t="s">
        <v>7237</v>
      </c>
      <c r="G115" s="47" t="s">
        <v>7796</v>
      </c>
      <c r="H115" s="116">
        <v>506000</v>
      </c>
      <c r="I115" s="313">
        <v>0</v>
      </c>
      <c r="J115" s="313">
        <v>0</v>
      </c>
      <c r="K115" s="313">
        <f t="shared" si="13"/>
        <v>0</v>
      </c>
      <c r="L115" s="313"/>
      <c r="M115" s="334">
        <v>0</v>
      </c>
      <c r="N115" s="116">
        <f t="shared" si="19"/>
        <v>506000</v>
      </c>
      <c r="O115" s="313">
        <f t="shared" si="11"/>
        <v>114902978</v>
      </c>
      <c r="P115" s="8" t="s">
        <v>920</v>
      </c>
      <c r="Q115" t="s">
        <v>7854</v>
      </c>
      <c r="R115" s="8" t="s">
        <v>7032</v>
      </c>
      <c r="S115" s="8" t="s">
        <v>4596</v>
      </c>
    </row>
    <row r="116" spans="1:23">
      <c r="A116" s="320">
        <v>45748</v>
      </c>
      <c r="B116" s="320" t="s">
        <v>7032</v>
      </c>
      <c r="D116" t="s">
        <v>7249</v>
      </c>
      <c r="G116" s="47" t="s">
        <v>7796</v>
      </c>
      <c r="H116" s="116">
        <v>385000</v>
      </c>
      <c r="I116" s="313">
        <v>0</v>
      </c>
      <c r="J116" s="313">
        <v>0</v>
      </c>
      <c r="K116" s="313">
        <f t="shared" si="13"/>
        <v>0</v>
      </c>
      <c r="L116" s="313"/>
      <c r="M116" s="334">
        <v>0</v>
      </c>
      <c r="N116" s="116">
        <f t="shared" si="19"/>
        <v>385000</v>
      </c>
      <c r="O116" s="313">
        <f t="shared" si="11"/>
        <v>115287978</v>
      </c>
      <c r="P116" s="8" t="s">
        <v>920</v>
      </c>
      <c r="Q116" t="s">
        <v>7854</v>
      </c>
      <c r="R116" s="8" t="s">
        <v>7032</v>
      </c>
      <c r="S116" s="8" t="s">
        <v>4596</v>
      </c>
    </row>
    <row r="117" spans="1:23">
      <c r="A117" s="320">
        <v>45748</v>
      </c>
      <c r="B117" s="320" t="s">
        <v>7032</v>
      </c>
      <c r="D117" t="s">
        <v>7233</v>
      </c>
      <c r="G117" s="47" t="s">
        <v>7796</v>
      </c>
      <c r="H117" s="116">
        <v>1981982</v>
      </c>
      <c r="I117" s="313">
        <v>0</v>
      </c>
      <c r="J117" s="313">
        <v>0</v>
      </c>
      <c r="K117" s="313">
        <f t="shared" si="13"/>
        <v>0</v>
      </c>
      <c r="L117" s="313"/>
      <c r="M117" s="334">
        <v>0</v>
      </c>
      <c r="N117" s="116">
        <f t="shared" si="19"/>
        <v>1981982</v>
      </c>
      <c r="O117" s="313">
        <f t="shared" si="11"/>
        <v>117269960</v>
      </c>
      <c r="P117" t="s">
        <v>920</v>
      </c>
      <c r="Q117" t="s">
        <v>7856</v>
      </c>
      <c r="R117" t="s">
        <v>7032</v>
      </c>
      <c r="S117" t="s">
        <v>4596</v>
      </c>
    </row>
    <row r="118" spans="1:23">
      <c r="A118" s="320">
        <v>45748</v>
      </c>
      <c r="B118" s="320" t="s">
        <v>7032</v>
      </c>
      <c r="D118" t="s">
        <v>7235</v>
      </c>
      <c r="G118" s="47" t="s">
        <v>7796</v>
      </c>
      <c r="H118" s="116">
        <v>74324</v>
      </c>
      <c r="I118" s="313">
        <v>0</v>
      </c>
      <c r="J118" s="313">
        <v>0</v>
      </c>
      <c r="K118" s="313">
        <f t="shared" si="13"/>
        <v>0</v>
      </c>
      <c r="L118" s="313"/>
      <c r="M118" s="334">
        <v>0</v>
      </c>
      <c r="N118" s="116">
        <f t="shared" si="19"/>
        <v>74324</v>
      </c>
      <c r="O118" s="313">
        <f t="shared" si="11"/>
        <v>117344284</v>
      </c>
      <c r="P118" s="8" t="s">
        <v>920</v>
      </c>
      <c r="Q118" t="s">
        <v>7854</v>
      </c>
      <c r="R118" s="8" t="s">
        <v>7032</v>
      </c>
      <c r="S118" s="8" t="s">
        <v>4596</v>
      </c>
    </row>
    <row r="119" spans="1:23">
      <c r="A119" s="320">
        <v>45748</v>
      </c>
      <c r="B119" s="320" t="s">
        <v>7032</v>
      </c>
      <c r="D119" t="s">
        <v>7245</v>
      </c>
      <c r="G119" s="47" t="s">
        <v>7796</v>
      </c>
      <c r="H119" s="116">
        <v>2211000</v>
      </c>
      <c r="I119" s="313">
        <v>0</v>
      </c>
      <c r="J119" s="313">
        <v>0</v>
      </c>
      <c r="K119" s="313">
        <f t="shared" si="13"/>
        <v>0</v>
      </c>
      <c r="L119" s="313"/>
      <c r="M119" s="334">
        <v>0</v>
      </c>
      <c r="N119" s="116">
        <f t="shared" si="19"/>
        <v>2211000</v>
      </c>
      <c r="O119" s="313">
        <f t="shared" si="11"/>
        <v>119555284</v>
      </c>
      <c r="P119" s="8" t="s">
        <v>920</v>
      </c>
      <c r="Q119" t="s">
        <v>7854</v>
      </c>
      <c r="R119" s="8" t="s">
        <v>7032</v>
      </c>
      <c r="S119" s="8" t="s">
        <v>4596</v>
      </c>
    </row>
    <row r="120" spans="1:23" s="40" customFormat="1">
      <c r="A120" s="321">
        <v>45748</v>
      </c>
      <c r="B120" s="321" t="s">
        <v>7795</v>
      </c>
      <c r="C120" s="40" t="s">
        <v>7395</v>
      </c>
      <c r="D120" s="40" t="s">
        <v>7377</v>
      </c>
      <c r="E120" s="49" t="s">
        <v>7396</v>
      </c>
      <c r="F120" s="47">
        <v>2024</v>
      </c>
      <c r="G120" s="47" t="s">
        <v>274</v>
      </c>
      <c r="H120" s="326">
        <v>2006730</v>
      </c>
      <c r="I120" s="313">
        <f>H120</f>
        <v>2006730</v>
      </c>
      <c r="J120" s="313">
        <f>-I120</f>
        <v>-2006730</v>
      </c>
      <c r="K120" s="313">
        <f>I120+J120</f>
        <v>0</v>
      </c>
      <c r="L120" s="313"/>
      <c r="M120" s="116">
        <v>0</v>
      </c>
      <c r="N120" s="313">
        <v>0</v>
      </c>
      <c r="O120" s="313">
        <f t="shared" si="11"/>
        <v>119555284</v>
      </c>
      <c r="P120" t="s">
        <v>920</v>
      </c>
      <c r="Q120" s="8" t="s">
        <v>7858</v>
      </c>
      <c r="R120" s="8" t="s">
        <v>7879</v>
      </c>
      <c r="S120" s="37" t="s">
        <v>6338</v>
      </c>
    </row>
    <row r="121" spans="1:23">
      <c r="A121" s="320">
        <v>45748</v>
      </c>
      <c r="B121" s="321" t="s">
        <v>7795</v>
      </c>
      <c r="C121" t="s">
        <v>7397</v>
      </c>
      <c r="D121" t="s">
        <v>7243</v>
      </c>
      <c r="E121" s="47" t="s">
        <v>7398</v>
      </c>
      <c r="F121" s="47">
        <v>2025</v>
      </c>
      <c r="G121" s="47" t="s">
        <v>274</v>
      </c>
      <c r="H121" s="316">
        <v>9020550</v>
      </c>
      <c r="I121" s="313">
        <f>H121</f>
        <v>9020550</v>
      </c>
      <c r="J121" s="313">
        <f>-I121</f>
        <v>-9020550</v>
      </c>
      <c r="K121" s="313">
        <f>I121+J121</f>
        <v>0</v>
      </c>
      <c r="L121" s="313"/>
      <c r="M121" s="334">
        <v>0</v>
      </c>
      <c r="N121" s="313">
        <v>0</v>
      </c>
      <c r="O121" s="313">
        <f t="shared" si="11"/>
        <v>119555284</v>
      </c>
      <c r="P121" t="s">
        <v>920</v>
      </c>
      <c r="Q121" s="8" t="s">
        <v>7858</v>
      </c>
      <c r="R121" t="s">
        <v>7880</v>
      </c>
      <c r="S121" s="37" t="s">
        <v>1526</v>
      </c>
      <c r="V121"/>
      <c r="W121"/>
    </row>
    <row r="122" spans="1:23">
      <c r="A122" s="320">
        <v>45748</v>
      </c>
      <c r="B122" s="321" t="s">
        <v>7795</v>
      </c>
      <c r="C122" t="s">
        <v>7399</v>
      </c>
      <c r="D122" t="s">
        <v>7320</v>
      </c>
      <c r="E122" s="47" t="s">
        <v>7400</v>
      </c>
      <c r="F122" s="47">
        <v>2025</v>
      </c>
      <c r="G122" s="47" t="s">
        <v>274</v>
      </c>
      <c r="H122" s="316">
        <v>49549550</v>
      </c>
      <c r="I122" s="313">
        <f>H122</f>
        <v>49549550</v>
      </c>
      <c r="J122" s="313">
        <f>-I122</f>
        <v>-49549550</v>
      </c>
      <c r="K122" s="313">
        <f>I122+J122</f>
        <v>0</v>
      </c>
      <c r="L122" s="313"/>
      <c r="M122" s="334">
        <v>0</v>
      </c>
      <c r="N122" s="313">
        <v>0</v>
      </c>
      <c r="O122" s="313">
        <f t="shared" si="11"/>
        <v>119555284</v>
      </c>
      <c r="P122" t="s">
        <v>920</v>
      </c>
      <c r="Q122" s="8" t="s">
        <v>7858</v>
      </c>
      <c r="R122" t="s">
        <v>7880</v>
      </c>
      <c r="S122" s="37" t="s">
        <v>1526</v>
      </c>
      <c r="V122"/>
      <c r="W122"/>
    </row>
    <row r="123" spans="1:23" s="204" customFormat="1">
      <c r="A123" s="329">
        <v>45748</v>
      </c>
      <c r="B123" s="324" t="s">
        <v>7795</v>
      </c>
      <c r="C123" s="204" t="s">
        <v>7401</v>
      </c>
      <c r="D123" s="204" t="s">
        <v>7331</v>
      </c>
      <c r="E123" s="333" t="s">
        <v>7402</v>
      </c>
      <c r="F123" s="333"/>
      <c r="G123" s="333" t="s">
        <v>274</v>
      </c>
      <c r="H123" s="331">
        <v>4628197</v>
      </c>
      <c r="I123" s="330">
        <f>H123</f>
        <v>4628197</v>
      </c>
      <c r="J123" s="330">
        <v>0</v>
      </c>
      <c r="K123" s="330">
        <f t="shared" si="13"/>
        <v>4628197</v>
      </c>
      <c r="L123" s="330"/>
      <c r="M123" s="331">
        <v>0</v>
      </c>
      <c r="N123" s="331">
        <v>0</v>
      </c>
      <c r="O123" s="313">
        <f t="shared" si="11"/>
        <v>119555284</v>
      </c>
      <c r="P123" s="78" t="s">
        <v>26</v>
      </c>
      <c r="Q123" s="204" t="s">
        <v>26</v>
      </c>
      <c r="R123" s="204" t="s">
        <v>26</v>
      </c>
      <c r="S123" s="156" t="s">
        <v>26</v>
      </c>
      <c r="T123" s="156" t="s">
        <v>7749</v>
      </c>
    </row>
    <row r="124" spans="1:23" s="8" customFormat="1">
      <c r="A124" s="332">
        <v>45748</v>
      </c>
      <c r="B124" s="321" t="s">
        <v>7795</v>
      </c>
      <c r="C124" s="226" t="s">
        <v>7403</v>
      </c>
      <c r="D124" s="8" t="s">
        <v>7750</v>
      </c>
      <c r="E124" s="200" t="s">
        <v>7404</v>
      </c>
      <c r="F124" s="200" t="s">
        <v>26</v>
      </c>
      <c r="G124" s="200" t="s">
        <v>275</v>
      </c>
      <c r="H124" s="116">
        <v>0</v>
      </c>
      <c r="I124" s="313">
        <v>0</v>
      </c>
      <c r="J124" s="313">
        <v>0</v>
      </c>
      <c r="K124" s="313">
        <f t="shared" si="13"/>
        <v>0</v>
      </c>
      <c r="L124" s="313"/>
      <c r="M124" s="199">
        <f t="shared" ref="M124:M133" si="20">H124</f>
        <v>0</v>
      </c>
      <c r="N124" s="313">
        <v>0</v>
      </c>
      <c r="O124" s="313">
        <f t="shared" si="11"/>
        <v>119555284</v>
      </c>
      <c r="P124" t="s">
        <v>6</v>
      </c>
      <c r="Q124" t="s">
        <v>7756</v>
      </c>
      <c r="R124" t="s">
        <v>7757</v>
      </c>
      <c r="T124" s="344" t="s">
        <v>7825</v>
      </c>
      <c r="V124" s="116"/>
      <c r="W124" s="116"/>
    </row>
    <row r="125" spans="1:23">
      <c r="A125" s="320">
        <v>45748</v>
      </c>
      <c r="B125" s="321" t="s">
        <v>7795</v>
      </c>
      <c r="C125" t="s">
        <v>7405</v>
      </c>
      <c r="D125" t="s">
        <v>7406</v>
      </c>
      <c r="E125" s="47" t="s">
        <v>7407</v>
      </c>
      <c r="F125" s="47">
        <v>2025</v>
      </c>
      <c r="G125" s="200" t="s">
        <v>275</v>
      </c>
      <c r="H125" s="199">
        <v>1516305</v>
      </c>
      <c r="I125" s="313">
        <v>0</v>
      </c>
      <c r="J125" s="313">
        <v>0</v>
      </c>
      <c r="K125" s="313">
        <f t="shared" si="13"/>
        <v>0</v>
      </c>
      <c r="L125" s="313"/>
      <c r="M125" s="199">
        <f t="shared" si="20"/>
        <v>1516305</v>
      </c>
      <c r="N125" s="313">
        <v>0</v>
      </c>
      <c r="O125" s="313">
        <f t="shared" si="11"/>
        <v>118038979</v>
      </c>
      <c r="P125" t="s">
        <v>6</v>
      </c>
      <c r="Q125" t="s">
        <v>7756</v>
      </c>
      <c r="R125" t="s">
        <v>7757</v>
      </c>
    </row>
    <row r="126" spans="1:23">
      <c r="A126" s="320">
        <v>45748</v>
      </c>
      <c r="B126" s="321" t="s">
        <v>7795</v>
      </c>
      <c r="C126" t="s">
        <v>7408</v>
      </c>
      <c r="D126" t="s">
        <v>7406</v>
      </c>
      <c r="E126" s="47" t="s">
        <v>7409</v>
      </c>
      <c r="F126" s="47">
        <v>2025</v>
      </c>
      <c r="G126" s="200" t="s">
        <v>275</v>
      </c>
      <c r="H126" s="199">
        <v>1516305</v>
      </c>
      <c r="I126" s="313">
        <v>0</v>
      </c>
      <c r="J126" s="313">
        <v>0</v>
      </c>
      <c r="K126" s="313">
        <f t="shared" si="13"/>
        <v>0</v>
      </c>
      <c r="L126" s="313"/>
      <c r="M126" s="199">
        <f t="shared" si="20"/>
        <v>1516305</v>
      </c>
      <c r="N126" s="313">
        <v>0</v>
      </c>
      <c r="O126" s="313">
        <f t="shared" si="11"/>
        <v>116522674</v>
      </c>
      <c r="P126" t="s">
        <v>6</v>
      </c>
      <c r="Q126" t="s">
        <v>7756</v>
      </c>
      <c r="R126" t="s">
        <v>7757</v>
      </c>
    </row>
    <row r="127" spans="1:23">
      <c r="A127" s="320">
        <v>45748</v>
      </c>
      <c r="B127" s="321" t="s">
        <v>7795</v>
      </c>
      <c r="C127" t="s">
        <v>7410</v>
      </c>
      <c r="D127" t="s">
        <v>7406</v>
      </c>
      <c r="E127" s="47" t="s">
        <v>7411</v>
      </c>
      <c r="F127" s="47">
        <v>2025</v>
      </c>
      <c r="G127" s="200" t="s">
        <v>275</v>
      </c>
      <c r="H127" s="199">
        <v>758153</v>
      </c>
      <c r="I127" s="313">
        <v>0</v>
      </c>
      <c r="J127" s="313">
        <v>0</v>
      </c>
      <c r="K127" s="313">
        <f t="shared" si="13"/>
        <v>0</v>
      </c>
      <c r="L127" s="313"/>
      <c r="M127" s="199">
        <f t="shared" si="20"/>
        <v>758153</v>
      </c>
      <c r="N127" s="313">
        <v>0</v>
      </c>
      <c r="O127" s="313">
        <f t="shared" si="11"/>
        <v>115764521</v>
      </c>
      <c r="P127" t="s">
        <v>6</v>
      </c>
      <c r="Q127" t="s">
        <v>7756</v>
      </c>
      <c r="R127" t="s">
        <v>7757</v>
      </c>
    </row>
    <row r="128" spans="1:23">
      <c r="A128" s="320">
        <v>45748</v>
      </c>
      <c r="B128" s="321" t="s">
        <v>7795</v>
      </c>
      <c r="C128" t="s">
        <v>7412</v>
      </c>
      <c r="D128" t="s">
        <v>7413</v>
      </c>
      <c r="E128" s="47" t="s">
        <v>7414</v>
      </c>
      <c r="F128" s="47">
        <v>2025</v>
      </c>
      <c r="G128" s="200" t="s">
        <v>275</v>
      </c>
      <c r="H128" s="199">
        <v>1961381</v>
      </c>
      <c r="I128" s="313">
        <v>0</v>
      </c>
      <c r="J128" s="313">
        <v>0</v>
      </c>
      <c r="K128" s="313">
        <f t="shared" si="13"/>
        <v>0</v>
      </c>
      <c r="L128" s="313"/>
      <c r="M128" s="199">
        <f t="shared" si="20"/>
        <v>1961381</v>
      </c>
      <c r="N128" s="313">
        <v>0</v>
      </c>
      <c r="O128" s="313">
        <f t="shared" si="11"/>
        <v>113803140</v>
      </c>
      <c r="P128" t="s">
        <v>6</v>
      </c>
      <c r="Q128" t="s">
        <v>7756</v>
      </c>
      <c r="R128" t="s">
        <v>7757</v>
      </c>
    </row>
    <row r="129" spans="1:23">
      <c r="A129" s="320">
        <v>45748</v>
      </c>
      <c r="B129" s="321" t="s">
        <v>7795</v>
      </c>
      <c r="C129" t="s">
        <v>7415</v>
      </c>
      <c r="D129" t="s">
        <v>7416</v>
      </c>
      <c r="E129" s="47" t="s">
        <v>7417</v>
      </c>
      <c r="F129" s="47">
        <v>2025</v>
      </c>
      <c r="G129" s="200" t="s">
        <v>275</v>
      </c>
      <c r="H129" s="199">
        <v>4252050</v>
      </c>
      <c r="I129" s="313">
        <v>0</v>
      </c>
      <c r="J129" s="313">
        <v>0</v>
      </c>
      <c r="K129" s="313">
        <f t="shared" si="13"/>
        <v>0</v>
      </c>
      <c r="L129" s="313"/>
      <c r="M129" s="199">
        <f t="shared" si="20"/>
        <v>4252050</v>
      </c>
      <c r="N129" s="313">
        <v>0</v>
      </c>
      <c r="O129" s="313">
        <f t="shared" si="11"/>
        <v>109551090</v>
      </c>
      <c r="P129" t="s">
        <v>6</v>
      </c>
      <c r="Q129" t="s">
        <v>7756</v>
      </c>
      <c r="R129" t="s">
        <v>7757</v>
      </c>
    </row>
    <row r="130" spans="1:23">
      <c r="A130" s="320">
        <v>45748</v>
      </c>
      <c r="B130" s="321" t="s">
        <v>7795</v>
      </c>
      <c r="C130" t="s">
        <v>7418</v>
      </c>
      <c r="D130" t="s">
        <v>7416</v>
      </c>
      <c r="E130" s="47" t="s">
        <v>7419</v>
      </c>
      <c r="F130" s="47">
        <v>2025</v>
      </c>
      <c r="G130" s="200" t="s">
        <v>275</v>
      </c>
      <c r="H130" s="199">
        <v>187948</v>
      </c>
      <c r="I130" s="313">
        <v>0</v>
      </c>
      <c r="J130" s="313">
        <v>0</v>
      </c>
      <c r="K130" s="313">
        <f t="shared" si="13"/>
        <v>0</v>
      </c>
      <c r="L130" s="313"/>
      <c r="M130" s="199">
        <f t="shared" si="20"/>
        <v>187948</v>
      </c>
      <c r="N130" s="313">
        <v>0</v>
      </c>
      <c r="O130" s="313">
        <f t="shared" si="11"/>
        <v>109363142</v>
      </c>
      <c r="P130" t="s">
        <v>6</v>
      </c>
      <c r="Q130" t="s">
        <v>7756</v>
      </c>
      <c r="R130" t="s">
        <v>7757</v>
      </c>
    </row>
    <row r="131" spans="1:23">
      <c r="A131" s="320">
        <v>45748</v>
      </c>
      <c r="B131" s="321" t="s">
        <v>7795</v>
      </c>
      <c r="C131" t="s">
        <v>7420</v>
      </c>
      <c r="D131" t="s">
        <v>7416</v>
      </c>
      <c r="E131" s="47" t="s">
        <v>7421</v>
      </c>
      <c r="F131" s="47">
        <v>2025</v>
      </c>
      <c r="G131" s="200" t="s">
        <v>275</v>
      </c>
      <c r="H131" s="199">
        <v>5243769</v>
      </c>
      <c r="I131" s="313">
        <v>0</v>
      </c>
      <c r="J131" s="313">
        <v>0</v>
      </c>
      <c r="K131" s="313">
        <f t="shared" si="13"/>
        <v>0</v>
      </c>
      <c r="L131" s="313"/>
      <c r="M131" s="199">
        <f t="shared" si="20"/>
        <v>5243769</v>
      </c>
      <c r="N131" s="313">
        <v>0</v>
      </c>
      <c r="O131" s="313">
        <f t="shared" si="11"/>
        <v>104119373</v>
      </c>
      <c r="P131" t="s">
        <v>6</v>
      </c>
      <c r="Q131" t="s">
        <v>7756</v>
      </c>
      <c r="R131" t="s">
        <v>7757</v>
      </c>
    </row>
    <row r="132" spans="1:23">
      <c r="A132" s="320">
        <v>45748</v>
      </c>
      <c r="B132" s="321" t="s">
        <v>7795</v>
      </c>
      <c r="C132" t="s">
        <v>7422</v>
      </c>
      <c r="D132" t="s">
        <v>7348</v>
      </c>
      <c r="E132" s="47" t="s">
        <v>7423</v>
      </c>
      <c r="F132" s="47" t="s">
        <v>26</v>
      </c>
      <c r="G132" s="200" t="s">
        <v>275</v>
      </c>
      <c r="H132" s="336">
        <v>0</v>
      </c>
      <c r="I132" s="341">
        <v>0</v>
      </c>
      <c r="J132" s="341">
        <v>0</v>
      </c>
      <c r="K132" s="341">
        <f t="shared" si="13"/>
        <v>0</v>
      </c>
      <c r="L132" s="341"/>
      <c r="M132" s="336">
        <f t="shared" si="20"/>
        <v>0</v>
      </c>
      <c r="N132" s="313">
        <v>0</v>
      </c>
      <c r="O132" s="313">
        <f t="shared" si="11"/>
        <v>104119373</v>
      </c>
      <c r="P132" t="s">
        <v>1400</v>
      </c>
      <c r="Q132" t="s">
        <v>1400</v>
      </c>
      <c r="R132" t="s">
        <v>7810</v>
      </c>
      <c r="V132" s="360"/>
      <c r="W132" s="360"/>
    </row>
    <row r="133" spans="1:23">
      <c r="A133" s="320">
        <v>45748</v>
      </c>
      <c r="B133" s="321" t="s">
        <v>7795</v>
      </c>
      <c r="C133" t="s">
        <v>7424</v>
      </c>
      <c r="D133" t="s">
        <v>7416</v>
      </c>
      <c r="E133" s="47" t="s">
        <v>7425</v>
      </c>
      <c r="F133" s="47">
        <v>2025</v>
      </c>
      <c r="G133" s="200" t="s">
        <v>275</v>
      </c>
      <c r="H133" s="199">
        <v>573514</v>
      </c>
      <c r="I133" s="313">
        <v>0</v>
      </c>
      <c r="J133" s="313">
        <v>0</v>
      </c>
      <c r="K133" s="313">
        <f t="shared" si="13"/>
        <v>0</v>
      </c>
      <c r="L133" s="313"/>
      <c r="M133" s="199">
        <f t="shared" si="20"/>
        <v>573514</v>
      </c>
      <c r="N133" s="313">
        <v>0</v>
      </c>
      <c r="O133" s="313">
        <f t="shared" si="11"/>
        <v>103545859</v>
      </c>
      <c r="P133" t="s">
        <v>6</v>
      </c>
      <c r="Q133" t="s">
        <v>7756</v>
      </c>
      <c r="R133" t="s">
        <v>7757</v>
      </c>
    </row>
    <row r="134" spans="1:23">
      <c r="A134" s="320">
        <v>45778</v>
      </c>
      <c r="B134" s="320" t="s">
        <v>7032</v>
      </c>
      <c r="D134" t="s">
        <v>7237</v>
      </c>
      <c r="G134" s="47" t="s">
        <v>7796</v>
      </c>
      <c r="H134" s="116">
        <v>506000</v>
      </c>
      <c r="I134" s="313">
        <v>0</v>
      </c>
      <c r="J134" s="313">
        <v>0</v>
      </c>
      <c r="K134" s="313">
        <f t="shared" ref="K134:K197" si="21">I134-J134</f>
        <v>0</v>
      </c>
      <c r="L134" s="313"/>
      <c r="M134" s="334">
        <v>0</v>
      </c>
      <c r="N134" s="116">
        <f t="shared" ref="N134:N150" si="22">H134</f>
        <v>506000</v>
      </c>
      <c r="O134" s="313">
        <f t="shared" si="11"/>
        <v>104051859</v>
      </c>
      <c r="P134" s="8" t="s">
        <v>920</v>
      </c>
      <c r="Q134" t="s">
        <v>7854</v>
      </c>
      <c r="R134" s="8" t="s">
        <v>7032</v>
      </c>
      <c r="S134" s="8" t="s">
        <v>7069</v>
      </c>
    </row>
    <row r="135" spans="1:23">
      <c r="A135" s="320">
        <v>45778</v>
      </c>
      <c r="B135" s="320" t="s">
        <v>7032</v>
      </c>
      <c r="D135" t="s">
        <v>7233</v>
      </c>
      <c r="G135" s="47" t="s">
        <v>7796</v>
      </c>
      <c r="H135" s="116">
        <v>1981982</v>
      </c>
      <c r="I135" s="313">
        <v>0</v>
      </c>
      <c r="J135" s="313">
        <v>0</v>
      </c>
      <c r="K135" s="313">
        <f t="shared" si="21"/>
        <v>0</v>
      </c>
      <c r="L135" s="313"/>
      <c r="M135" s="334">
        <v>0</v>
      </c>
      <c r="N135" s="116">
        <f t="shared" si="22"/>
        <v>1981982</v>
      </c>
      <c r="O135" s="313">
        <f t="shared" ref="O135:O198" si="23">O134-M135+N135</f>
        <v>106033841</v>
      </c>
      <c r="P135" t="s">
        <v>920</v>
      </c>
      <c r="Q135" t="s">
        <v>7856</v>
      </c>
      <c r="R135" t="s">
        <v>7032</v>
      </c>
      <c r="S135" t="s">
        <v>7069</v>
      </c>
    </row>
    <row r="136" spans="1:23">
      <c r="A136" s="320">
        <v>45778</v>
      </c>
      <c r="B136" s="320" t="s">
        <v>7032</v>
      </c>
      <c r="D136" t="s">
        <v>7246</v>
      </c>
      <c r="G136" s="47" t="s">
        <v>7796</v>
      </c>
      <c r="H136" s="116">
        <v>1309791</v>
      </c>
      <c r="I136" s="313">
        <v>0</v>
      </c>
      <c r="J136" s="313">
        <v>0</v>
      </c>
      <c r="K136" s="313">
        <f t="shared" si="21"/>
        <v>0</v>
      </c>
      <c r="L136" s="313"/>
      <c r="M136" s="334">
        <v>0</v>
      </c>
      <c r="N136" s="116">
        <f t="shared" si="22"/>
        <v>1309791</v>
      </c>
      <c r="O136" s="313">
        <f t="shared" si="23"/>
        <v>107343632</v>
      </c>
      <c r="P136" s="8" t="s">
        <v>920</v>
      </c>
      <c r="Q136" t="s">
        <v>7854</v>
      </c>
      <c r="R136" s="8" t="s">
        <v>7032</v>
      </c>
      <c r="S136" s="8" t="s">
        <v>7069</v>
      </c>
    </row>
    <row r="137" spans="1:23">
      <c r="A137" s="320">
        <v>45778</v>
      </c>
      <c r="B137" s="320" t="s">
        <v>7032</v>
      </c>
      <c r="D137" t="s">
        <v>7235</v>
      </c>
      <c r="G137" s="47" t="s">
        <v>7796</v>
      </c>
      <c r="H137" s="116">
        <v>74324</v>
      </c>
      <c r="I137" s="313">
        <v>0</v>
      </c>
      <c r="J137" s="313">
        <v>0</v>
      </c>
      <c r="K137" s="313">
        <f t="shared" si="21"/>
        <v>0</v>
      </c>
      <c r="L137" s="313"/>
      <c r="M137" s="334">
        <v>0</v>
      </c>
      <c r="N137" s="116">
        <f t="shared" si="22"/>
        <v>74324</v>
      </c>
      <c r="O137" s="313">
        <f t="shared" si="23"/>
        <v>107417956</v>
      </c>
      <c r="P137" s="8" t="s">
        <v>920</v>
      </c>
      <c r="Q137" t="s">
        <v>7854</v>
      </c>
      <c r="R137" s="8" t="s">
        <v>7032</v>
      </c>
      <c r="S137" s="8" t="s">
        <v>7069</v>
      </c>
    </row>
    <row r="138" spans="1:23">
      <c r="A138" s="320">
        <v>45778</v>
      </c>
      <c r="B138" s="320" t="s">
        <v>7032</v>
      </c>
      <c r="D138" t="s">
        <v>7237</v>
      </c>
      <c r="G138" s="47" t="s">
        <v>7796</v>
      </c>
      <c r="H138" s="116">
        <v>583000</v>
      </c>
      <c r="I138" s="313">
        <v>0</v>
      </c>
      <c r="J138" s="313">
        <v>0</v>
      </c>
      <c r="K138" s="313">
        <f t="shared" si="21"/>
        <v>0</v>
      </c>
      <c r="L138" s="313"/>
      <c r="M138" s="334">
        <v>0</v>
      </c>
      <c r="N138" s="116">
        <f t="shared" si="22"/>
        <v>583000</v>
      </c>
      <c r="O138" s="313">
        <f t="shared" si="23"/>
        <v>108000956</v>
      </c>
      <c r="P138" s="8" t="s">
        <v>920</v>
      </c>
      <c r="Q138" t="s">
        <v>7854</v>
      </c>
      <c r="R138" s="8" t="s">
        <v>7032</v>
      </c>
      <c r="S138" s="8" t="s">
        <v>7069</v>
      </c>
    </row>
    <row r="139" spans="1:23">
      <c r="A139" s="320">
        <v>45778</v>
      </c>
      <c r="B139" s="320" t="s">
        <v>7032</v>
      </c>
      <c r="D139" t="s">
        <v>7246</v>
      </c>
      <c r="G139" s="47" t="s">
        <v>7796</v>
      </c>
      <c r="H139" s="116">
        <v>8918919</v>
      </c>
      <c r="I139" s="313">
        <v>0</v>
      </c>
      <c r="J139" s="313">
        <v>0</v>
      </c>
      <c r="K139" s="313">
        <f t="shared" si="21"/>
        <v>0</v>
      </c>
      <c r="L139" s="313"/>
      <c r="M139" s="334">
        <v>0</v>
      </c>
      <c r="N139" s="116">
        <f t="shared" si="22"/>
        <v>8918919</v>
      </c>
      <c r="O139" s="313">
        <f t="shared" si="23"/>
        <v>116919875</v>
      </c>
      <c r="P139" s="8" t="s">
        <v>920</v>
      </c>
      <c r="Q139" t="s">
        <v>7854</v>
      </c>
      <c r="R139" s="8" t="s">
        <v>7032</v>
      </c>
      <c r="S139" s="8" t="s">
        <v>7069</v>
      </c>
    </row>
    <row r="140" spans="1:23">
      <c r="A140" s="320">
        <v>45778</v>
      </c>
      <c r="B140" s="320" t="s">
        <v>7032</v>
      </c>
      <c r="D140" t="s">
        <v>7249</v>
      </c>
      <c r="G140" s="47" t="s">
        <v>7796</v>
      </c>
      <c r="H140" s="116">
        <v>385000</v>
      </c>
      <c r="I140" s="313">
        <v>0</v>
      </c>
      <c r="J140" s="313">
        <v>0</v>
      </c>
      <c r="K140" s="313">
        <f t="shared" si="21"/>
        <v>0</v>
      </c>
      <c r="L140" s="313"/>
      <c r="M140" s="334">
        <v>0</v>
      </c>
      <c r="N140" s="116">
        <f t="shared" si="22"/>
        <v>385000</v>
      </c>
      <c r="O140" s="313">
        <f t="shared" si="23"/>
        <v>117304875</v>
      </c>
      <c r="P140" s="8" t="s">
        <v>920</v>
      </c>
      <c r="Q140" t="s">
        <v>7854</v>
      </c>
      <c r="R140" s="8" t="s">
        <v>7032</v>
      </c>
      <c r="S140" s="8" t="s">
        <v>7069</v>
      </c>
    </row>
    <row r="141" spans="1:23">
      <c r="A141" s="320">
        <v>45778</v>
      </c>
      <c r="B141" s="320" t="s">
        <v>7032</v>
      </c>
      <c r="D141" t="s">
        <v>7426</v>
      </c>
      <c r="G141" s="47" t="s">
        <v>7796</v>
      </c>
      <c r="H141" s="116">
        <v>820045</v>
      </c>
      <c r="I141" s="313">
        <v>0</v>
      </c>
      <c r="J141" s="313">
        <v>0</v>
      </c>
      <c r="K141" s="313">
        <f t="shared" si="21"/>
        <v>0</v>
      </c>
      <c r="L141" s="313"/>
      <c r="M141" s="334">
        <v>0</v>
      </c>
      <c r="N141" s="116">
        <f t="shared" si="22"/>
        <v>820045</v>
      </c>
      <c r="O141" s="313">
        <f t="shared" si="23"/>
        <v>118124920</v>
      </c>
      <c r="P141" s="8" t="s">
        <v>920</v>
      </c>
      <c r="Q141" t="s">
        <v>7854</v>
      </c>
      <c r="R141" s="8" t="s">
        <v>7032</v>
      </c>
      <c r="S141" s="8" t="s">
        <v>7069</v>
      </c>
    </row>
    <row r="142" spans="1:23">
      <c r="A142" s="320">
        <v>45778</v>
      </c>
      <c r="B142" s="320" t="s">
        <v>7032</v>
      </c>
      <c r="D142" t="s">
        <v>7426</v>
      </c>
      <c r="G142" s="47" t="s">
        <v>7796</v>
      </c>
      <c r="H142" s="116">
        <v>505405</v>
      </c>
      <c r="I142" s="313">
        <v>0</v>
      </c>
      <c r="J142" s="313">
        <v>0</v>
      </c>
      <c r="K142" s="313">
        <f t="shared" si="21"/>
        <v>0</v>
      </c>
      <c r="L142" s="313"/>
      <c r="M142" s="334">
        <v>0</v>
      </c>
      <c r="N142" s="116">
        <f t="shared" si="22"/>
        <v>505405</v>
      </c>
      <c r="O142" s="313">
        <f t="shared" si="23"/>
        <v>118630325</v>
      </c>
      <c r="P142" s="8" t="s">
        <v>920</v>
      </c>
      <c r="Q142" t="s">
        <v>7854</v>
      </c>
      <c r="R142" s="8" t="s">
        <v>7032</v>
      </c>
      <c r="S142" s="8" t="s">
        <v>7069</v>
      </c>
    </row>
    <row r="143" spans="1:23">
      <c r="A143" s="320">
        <v>45778</v>
      </c>
      <c r="B143" s="320" t="s">
        <v>7032</v>
      </c>
      <c r="D143" t="s">
        <v>7426</v>
      </c>
      <c r="G143" s="47" t="s">
        <v>7796</v>
      </c>
      <c r="H143" s="116">
        <v>483108</v>
      </c>
      <c r="I143" s="313">
        <v>0</v>
      </c>
      <c r="J143" s="313">
        <v>0</v>
      </c>
      <c r="K143" s="313">
        <f t="shared" si="21"/>
        <v>0</v>
      </c>
      <c r="L143" s="313"/>
      <c r="M143" s="334">
        <v>0</v>
      </c>
      <c r="N143" s="116">
        <f t="shared" si="22"/>
        <v>483108</v>
      </c>
      <c r="O143" s="313">
        <f t="shared" si="23"/>
        <v>119113433</v>
      </c>
      <c r="P143" s="8" t="s">
        <v>920</v>
      </c>
      <c r="Q143" t="s">
        <v>7854</v>
      </c>
      <c r="R143" s="8" t="s">
        <v>7032</v>
      </c>
      <c r="S143" s="8" t="s">
        <v>7069</v>
      </c>
    </row>
    <row r="144" spans="1:23">
      <c r="A144" s="320">
        <v>45778</v>
      </c>
      <c r="B144" s="320" t="s">
        <v>7032</v>
      </c>
      <c r="D144" t="s">
        <v>7426</v>
      </c>
      <c r="G144" s="47" t="s">
        <v>7796</v>
      </c>
      <c r="H144" s="116">
        <v>705642</v>
      </c>
      <c r="I144" s="313">
        <v>0</v>
      </c>
      <c r="J144" s="313">
        <v>0</v>
      </c>
      <c r="K144" s="313">
        <f t="shared" si="21"/>
        <v>0</v>
      </c>
      <c r="L144" s="313"/>
      <c r="M144" s="334">
        <v>0</v>
      </c>
      <c r="N144" s="116">
        <f t="shared" si="22"/>
        <v>705642</v>
      </c>
      <c r="O144" s="313">
        <f t="shared" si="23"/>
        <v>119819075</v>
      </c>
      <c r="P144" s="8" t="s">
        <v>920</v>
      </c>
      <c r="Q144" t="s">
        <v>7854</v>
      </c>
      <c r="R144" s="8" t="s">
        <v>7032</v>
      </c>
      <c r="S144" s="8" t="s">
        <v>7069</v>
      </c>
    </row>
    <row r="145" spans="1:23">
      <c r="A145" s="320">
        <v>45778</v>
      </c>
      <c r="B145" s="320" t="s">
        <v>7032</v>
      </c>
      <c r="D145" t="s">
        <v>7426</v>
      </c>
      <c r="G145" s="47" t="s">
        <v>7796</v>
      </c>
      <c r="H145" s="116">
        <v>624324</v>
      </c>
      <c r="I145" s="313">
        <v>0</v>
      </c>
      <c r="J145" s="313">
        <v>0</v>
      </c>
      <c r="K145" s="313">
        <f t="shared" si="21"/>
        <v>0</v>
      </c>
      <c r="L145" s="313"/>
      <c r="M145" s="334">
        <v>0</v>
      </c>
      <c r="N145" s="116">
        <f t="shared" si="22"/>
        <v>624324</v>
      </c>
      <c r="O145" s="313">
        <f t="shared" si="23"/>
        <v>120443399</v>
      </c>
      <c r="P145" s="8" t="s">
        <v>920</v>
      </c>
      <c r="Q145" t="s">
        <v>7854</v>
      </c>
      <c r="R145" s="8" t="s">
        <v>7032</v>
      </c>
      <c r="S145" s="8" t="s">
        <v>7069</v>
      </c>
    </row>
    <row r="146" spans="1:23">
      <c r="A146" s="320">
        <v>45778</v>
      </c>
      <c r="B146" s="320" t="s">
        <v>7032</v>
      </c>
      <c r="D146" t="s">
        <v>7426</v>
      </c>
      <c r="G146" s="47" t="s">
        <v>7796</v>
      </c>
      <c r="H146" s="116">
        <v>567342</v>
      </c>
      <c r="I146" s="313">
        <v>0</v>
      </c>
      <c r="J146" s="313">
        <v>0</v>
      </c>
      <c r="K146" s="313">
        <f t="shared" si="21"/>
        <v>0</v>
      </c>
      <c r="L146" s="313"/>
      <c r="M146" s="334">
        <v>0</v>
      </c>
      <c r="N146" s="116">
        <f t="shared" si="22"/>
        <v>567342</v>
      </c>
      <c r="O146" s="313">
        <f t="shared" si="23"/>
        <v>121010741</v>
      </c>
      <c r="P146" s="8" t="s">
        <v>920</v>
      </c>
      <c r="Q146" t="s">
        <v>7854</v>
      </c>
      <c r="R146" s="8" t="s">
        <v>7032</v>
      </c>
      <c r="S146" s="8" t="s">
        <v>7069</v>
      </c>
    </row>
    <row r="147" spans="1:23">
      <c r="A147" s="320">
        <v>45778</v>
      </c>
      <c r="B147" s="320" t="s">
        <v>7032</v>
      </c>
      <c r="D147" t="s">
        <v>7426</v>
      </c>
      <c r="G147" s="47" t="s">
        <v>7796</v>
      </c>
      <c r="H147" s="116">
        <v>491370</v>
      </c>
      <c r="I147" s="313">
        <v>0</v>
      </c>
      <c r="J147" s="313">
        <v>0</v>
      </c>
      <c r="K147" s="313">
        <f t="shared" si="21"/>
        <v>0</v>
      </c>
      <c r="L147" s="313"/>
      <c r="M147" s="334">
        <v>0</v>
      </c>
      <c r="N147" s="116">
        <f t="shared" si="22"/>
        <v>491370</v>
      </c>
      <c r="O147" s="313">
        <f t="shared" si="23"/>
        <v>121502111</v>
      </c>
      <c r="P147" s="8" t="s">
        <v>920</v>
      </c>
      <c r="Q147" t="s">
        <v>7854</v>
      </c>
      <c r="R147" s="8" t="s">
        <v>7032</v>
      </c>
      <c r="S147" s="8" t="s">
        <v>7069</v>
      </c>
    </row>
    <row r="148" spans="1:23">
      <c r="A148" s="320">
        <v>45778</v>
      </c>
      <c r="B148" s="320" t="s">
        <v>7032</v>
      </c>
      <c r="D148" t="s">
        <v>7426</v>
      </c>
      <c r="G148" s="47" t="s">
        <v>7796</v>
      </c>
      <c r="H148" s="116">
        <v>481461</v>
      </c>
      <c r="I148" s="313">
        <v>0</v>
      </c>
      <c r="J148" s="313">
        <v>0</v>
      </c>
      <c r="K148" s="313">
        <f t="shared" si="21"/>
        <v>0</v>
      </c>
      <c r="L148" s="313"/>
      <c r="M148" s="334">
        <v>0</v>
      </c>
      <c r="N148" s="116">
        <f t="shared" si="22"/>
        <v>481461</v>
      </c>
      <c r="O148" s="313">
        <f t="shared" si="23"/>
        <v>121983572</v>
      </c>
      <c r="P148" s="8" t="s">
        <v>920</v>
      </c>
      <c r="Q148" t="s">
        <v>7854</v>
      </c>
      <c r="R148" s="8" t="s">
        <v>7032</v>
      </c>
      <c r="S148" s="8" t="s">
        <v>7069</v>
      </c>
    </row>
    <row r="149" spans="1:23">
      <c r="A149" s="320">
        <v>45778</v>
      </c>
      <c r="B149" s="320" t="s">
        <v>7032</v>
      </c>
      <c r="D149" t="s">
        <v>7426</v>
      </c>
      <c r="G149" s="47" t="s">
        <v>7796</v>
      </c>
      <c r="H149" s="116">
        <v>671396</v>
      </c>
      <c r="I149" s="313">
        <v>0</v>
      </c>
      <c r="J149" s="313">
        <v>0</v>
      </c>
      <c r="K149" s="313">
        <f t="shared" si="21"/>
        <v>0</v>
      </c>
      <c r="L149" s="313"/>
      <c r="M149" s="334">
        <v>0</v>
      </c>
      <c r="N149" s="116">
        <f t="shared" si="22"/>
        <v>671396</v>
      </c>
      <c r="O149" s="313">
        <f t="shared" si="23"/>
        <v>122654968</v>
      </c>
      <c r="P149" s="8" t="s">
        <v>920</v>
      </c>
      <c r="Q149" t="s">
        <v>7854</v>
      </c>
      <c r="R149" s="8" t="s">
        <v>7032</v>
      </c>
      <c r="S149" s="8" t="s">
        <v>7069</v>
      </c>
    </row>
    <row r="150" spans="1:23">
      <c r="A150" s="320">
        <v>45778</v>
      </c>
      <c r="B150" s="320" t="s">
        <v>7032</v>
      </c>
      <c r="D150" t="s">
        <v>7426</v>
      </c>
      <c r="G150" s="47" t="s">
        <v>7796</v>
      </c>
      <c r="H150" s="116">
        <v>694932</v>
      </c>
      <c r="I150" s="313">
        <v>0</v>
      </c>
      <c r="J150" s="313">
        <v>0</v>
      </c>
      <c r="K150" s="313">
        <f t="shared" si="21"/>
        <v>0</v>
      </c>
      <c r="L150" s="313"/>
      <c r="M150" s="334">
        <v>0</v>
      </c>
      <c r="N150" s="116">
        <f t="shared" si="22"/>
        <v>694932</v>
      </c>
      <c r="O150" s="313">
        <f t="shared" si="23"/>
        <v>123349900</v>
      </c>
      <c r="P150" s="8" t="s">
        <v>920</v>
      </c>
      <c r="Q150" t="s">
        <v>7854</v>
      </c>
      <c r="R150" s="8" t="s">
        <v>7032</v>
      </c>
      <c r="S150" s="8" t="s">
        <v>7069</v>
      </c>
    </row>
    <row r="151" spans="1:23">
      <c r="A151" s="320">
        <v>45778</v>
      </c>
      <c r="B151" s="320" t="s">
        <v>7795</v>
      </c>
      <c r="C151" t="s">
        <v>7427</v>
      </c>
      <c r="D151" t="s">
        <v>7256</v>
      </c>
      <c r="E151" s="47" t="s">
        <v>7428</v>
      </c>
      <c r="F151" s="47">
        <v>2025</v>
      </c>
      <c r="G151" s="47" t="s">
        <v>274</v>
      </c>
      <c r="H151" s="316">
        <v>56981982</v>
      </c>
      <c r="I151" s="313">
        <f>H151</f>
        <v>56981982</v>
      </c>
      <c r="J151" s="313">
        <f>-I151</f>
        <v>-56981982</v>
      </c>
      <c r="K151" s="313">
        <f>I151+J151</f>
        <v>0</v>
      </c>
      <c r="L151" s="313"/>
      <c r="M151" s="334">
        <v>0</v>
      </c>
      <c r="N151" s="313">
        <v>0</v>
      </c>
      <c r="O151" s="313">
        <f t="shared" si="23"/>
        <v>123349900</v>
      </c>
      <c r="P151" t="s">
        <v>920</v>
      </c>
      <c r="Q151" s="8" t="s">
        <v>7858</v>
      </c>
      <c r="R151" t="s">
        <v>7880</v>
      </c>
      <c r="S151" s="37" t="s">
        <v>1526</v>
      </c>
      <c r="V151"/>
      <c r="W151"/>
    </row>
    <row r="152" spans="1:23">
      <c r="A152" s="320">
        <v>45778</v>
      </c>
      <c r="B152" s="320" t="s">
        <v>7795</v>
      </c>
      <c r="C152" t="s">
        <v>7429</v>
      </c>
      <c r="D152" t="s">
        <v>7256</v>
      </c>
      <c r="E152" s="47" t="s">
        <v>7430</v>
      </c>
      <c r="F152" s="47">
        <v>2025</v>
      </c>
      <c r="G152" s="47" t="s">
        <v>274</v>
      </c>
      <c r="H152" s="316">
        <v>3468468</v>
      </c>
      <c r="I152" s="313">
        <f>H152</f>
        <v>3468468</v>
      </c>
      <c r="J152" s="313">
        <f>-I152</f>
        <v>-3468468</v>
      </c>
      <c r="K152" s="313">
        <f>I152+J152</f>
        <v>0</v>
      </c>
      <c r="L152" s="313"/>
      <c r="M152" s="334">
        <v>0</v>
      </c>
      <c r="N152" s="313">
        <v>0</v>
      </c>
      <c r="O152" s="313">
        <f t="shared" si="23"/>
        <v>123349900</v>
      </c>
      <c r="P152" t="s">
        <v>920</v>
      </c>
      <c r="Q152" s="8" t="s">
        <v>7858</v>
      </c>
      <c r="R152" t="s">
        <v>7880</v>
      </c>
      <c r="S152" s="37" t="s">
        <v>1526</v>
      </c>
      <c r="V152"/>
      <c r="W152"/>
    </row>
    <row r="153" spans="1:23">
      <c r="A153" s="320">
        <v>45778</v>
      </c>
      <c r="B153" s="320" t="s">
        <v>7795</v>
      </c>
      <c r="C153" t="s">
        <v>7431</v>
      </c>
      <c r="D153" t="s">
        <v>7243</v>
      </c>
      <c r="E153" s="47" t="s">
        <v>7432</v>
      </c>
      <c r="F153" s="47">
        <v>2025</v>
      </c>
      <c r="G153" s="47" t="s">
        <v>274</v>
      </c>
      <c r="H153" s="316">
        <v>22573760</v>
      </c>
      <c r="I153" s="313">
        <f>H153</f>
        <v>22573760</v>
      </c>
      <c r="J153" s="313">
        <f>-I153</f>
        <v>-22573760</v>
      </c>
      <c r="K153" s="313">
        <f>I153+J153</f>
        <v>0</v>
      </c>
      <c r="L153" s="313"/>
      <c r="M153" s="334">
        <v>0</v>
      </c>
      <c r="N153" s="313">
        <v>0</v>
      </c>
      <c r="O153" s="313">
        <f t="shared" si="23"/>
        <v>123349900</v>
      </c>
      <c r="P153" t="s">
        <v>920</v>
      </c>
      <c r="Q153" s="8" t="s">
        <v>7858</v>
      </c>
      <c r="R153" t="s">
        <v>7880</v>
      </c>
      <c r="S153" s="37" t="s">
        <v>1526</v>
      </c>
      <c r="V153"/>
      <c r="W153"/>
    </row>
    <row r="154" spans="1:23">
      <c r="A154" s="320">
        <v>45778</v>
      </c>
      <c r="B154" s="320" t="s">
        <v>7795</v>
      </c>
      <c r="C154" t="s">
        <v>7433</v>
      </c>
      <c r="D154" t="s">
        <v>7243</v>
      </c>
      <c r="E154" s="47" t="s">
        <v>7434</v>
      </c>
      <c r="F154" s="47">
        <v>2025</v>
      </c>
      <c r="G154" s="47" t="s">
        <v>274</v>
      </c>
      <c r="H154" s="316">
        <v>29176125</v>
      </c>
      <c r="I154" s="313">
        <f>H154</f>
        <v>29176125</v>
      </c>
      <c r="J154" s="313">
        <f>-I154</f>
        <v>-29176125</v>
      </c>
      <c r="K154" s="313">
        <f>I154+J154</f>
        <v>0</v>
      </c>
      <c r="L154" s="313"/>
      <c r="M154" s="334">
        <v>0</v>
      </c>
      <c r="N154" s="313">
        <v>0</v>
      </c>
      <c r="O154" s="313">
        <f t="shared" si="23"/>
        <v>123349900</v>
      </c>
      <c r="P154" t="s">
        <v>920</v>
      </c>
      <c r="Q154" s="8" t="s">
        <v>7858</v>
      </c>
      <c r="R154" t="s">
        <v>7880</v>
      </c>
      <c r="S154" s="37" t="s">
        <v>1526</v>
      </c>
      <c r="V154"/>
      <c r="W154"/>
    </row>
    <row r="155" spans="1:23">
      <c r="A155" s="320">
        <v>45778</v>
      </c>
      <c r="B155" s="320" t="s">
        <v>7795</v>
      </c>
      <c r="C155" t="s">
        <v>7435</v>
      </c>
      <c r="D155" t="s">
        <v>391</v>
      </c>
      <c r="E155" s="47" t="s">
        <v>7436</v>
      </c>
      <c r="F155" s="47">
        <v>2025</v>
      </c>
      <c r="G155" s="47" t="s">
        <v>275</v>
      </c>
      <c r="H155" s="199">
        <v>166006</v>
      </c>
      <c r="I155" s="313">
        <v>0</v>
      </c>
      <c r="J155" s="313">
        <v>0</v>
      </c>
      <c r="K155" s="313">
        <f t="shared" si="21"/>
        <v>0</v>
      </c>
      <c r="L155" s="313"/>
      <c r="M155" s="199">
        <f>H155</f>
        <v>166006</v>
      </c>
      <c r="N155" s="313">
        <v>0</v>
      </c>
      <c r="O155" s="313">
        <f t="shared" si="23"/>
        <v>123183894</v>
      </c>
      <c r="P155" s="80" t="s">
        <v>6</v>
      </c>
      <c r="Q155" s="80" t="s">
        <v>7756</v>
      </c>
      <c r="R155" s="80" t="s">
        <v>7757</v>
      </c>
    </row>
    <row r="156" spans="1:23">
      <c r="A156" s="320">
        <v>45778</v>
      </c>
      <c r="B156" s="320" t="s">
        <v>7795</v>
      </c>
      <c r="C156" t="s">
        <v>7437</v>
      </c>
      <c r="D156" t="s">
        <v>7416</v>
      </c>
      <c r="E156" s="47" t="s">
        <v>7438</v>
      </c>
      <c r="F156" s="47">
        <v>2025</v>
      </c>
      <c r="G156" s="47" t="s">
        <v>275</v>
      </c>
      <c r="H156" s="199">
        <v>774400</v>
      </c>
      <c r="I156" s="313">
        <v>0</v>
      </c>
      <c r="J156" s="313">
        <v>0</v>
      </c>
      <c r="K156" s="313">
        <f t="shared" si="21"/>
        <v>0</v>
      </c>
      <c r="L156" s="313"/>
      <c r="M156" s="199">
        <f>H156</f>
        <v>774400</v>
      </c>
      <c r="N156" s="313">
        <v>0</v>
      </c>
      <c r="O156" s="313">
        <f t="shared" si="23"/>
        <v>122409494</v>
      </c>
      <c r="P156" s="80" t="s">
        <v>6</v>
      </c>
      <c r="Q156" s="80" t="s">
        <v>7756</v>
      </c>
      <c r="R156" s="80" t="s">
        <v>7757</v>
      </c>
    </row>
    <row r="157" spans="1:23" s="40" customFormat="1">
      <c r="A157" s="321">
        <v>45778</v>
      </c>
      <c r="B157" s="320" t="s">
        <v>7795</v>
      </c>
      <c r="C157" s="12" t="s">
        <v>7439</v>
      </c>
      <c r="D157" s="40" t="s">
        <v>7331</v>
      </c>
      <c r="E157" s="49" t="s">
        <v>7440</v>
      </c>
      <c r="F157" s="49">
        <v>2024</v>
      </c>
      <c r="G157" s="49" t="s">
        <v>274</v>
      </c>
      <c r="H157" s="51">
        <v>7794046</v>
      </c>
      <c r="I157" s="313">
        <f>H157</f>
        <v>7794046</v>
      </c>
      <c r="J157" s="313">
        <f>-I157</f>
        <v>-7794046</v>
      </c>
      <c r="K157" s="313">
        <f>I157+J157</f>
        <v>0</v>
      </c>
      <c r="L157" s="313"/>
      <c r="M157" s="116">
        <v>0</v>
      </c>
      <c r="N157" s="313">
        <v>0</v>
      </c>
      <c r="O157" s="313">
        <f t="shared" si="23"/>
        <v>122409494</v>
      </c>
      <c r="P157" t="s">
        <v>920</v>
      </c>
      <c r="Q157" s="8" t="s">
        <v>7858</v>
      </c>
      <c r="R157" s="8" t="s">
        <v>7879</v>
      </c>
      <c r="S157" s="37" t="s">
        <v>6338</v>
      </c>
    </row>
    <row r="158" spans="1:23">
      <c r="A158" s="320">
        <v>45778</v>
      </c>
      <c r="B158" s="320" t="s">
        <v>7795</v>
      </c>
      <c r="C158" t="s">
        <v>7441</v>
      </c>
      <c r="D158" t="s">
        <v>7348</v>
      </c>
      <c r="E158" s="47" t="s">
        <v>7442</v>
      </c>
      <c r="F158" s="47">
        <v>2025</v>
      </c>
      <c r="G158" s="47" t="s">
        <v>275</v>
      </c>
      <c r="H158" s="199">
        <v>69622</v>
      </c>
      <c r="I158" s="313">
        <v>0</v>
      </c>
      <c r="J158" s="313">
        <v>0</v>
      </c>
      <c r="K158" s="313">
        <f t="shared" si="21"/>
        <v>0</v>
      </c>
      <c r="L158" s="313"/>
      <c r="M158" s="199">
        <f>H158</f>
        <v>69622</v>
      </c>
      <c r="N158" s="313">
        <v>0</v>
      </c>
      <c r="O158" s="313">
        <f t="shared" si="23"/>
        <v>122339872</v>
      </c>
      <c r="P158" s="80" t="s">
        <v>6</v>
      </c>
      <c r="Q158" s="80" t="s">
        <v>7756</v>
      </c>
      <c r="R158" s="80" t="s">
        <v>7757</v>
      </c>
    </row>
    <row r="159" spans="1:23">
      <c r="A159" s="320">
        <v>45778</v>
      </c>
      <c r="B159" s="320" t="s">
        <v>7795</v>
      </c>
      <c r="C159" t="s">
        <v>7443</v>
      </c>
      <c r="D159" t="s">
        <v>7331</v>
      </c>
      <c r="E159" s="47" t="s">
        <v>7444</v>
      </c>
      <c r="F159" s="47">
        <v>2025</v>
      </c>
      <c r="G159" s="47" t="s">
        <v>274</v>
      </c>
      <c r="H159" s="316">
        <v>1845091</v>
      </c>
      <c r="I159" s="313">
        <f>H159</f>
        <v>1845091</v>
      </c>
      <c r="J159" s="313">
        <f>-I159</f>
        <v>-1845091</v>
      </c>
      <c r="K159" s="313">
        <f>I159+J159</f>
        <v>0</v>
      </c>
      <c r="L159" s="313"/>
      <c r="M159" s="334">
        <v>0</v>
      </c>
      <c r="N159" s="313">
        <v>0</v>
      </c>
      <c r="O159" s="313">
        <f t="shared" si="23"/>
        <v>122339872</v>
      </c>
      <c r="P159" t="s">
        <v>920</v>
      </c>
      <c r="Q159" s="8" t="s">
        <v>7858</v>
      </c>
      <c r="R159" t="s">
        <v>7880</v>
      </c>
      <c r="S159" s="37" t="s">
        <v>1526</v>
      </c>
      <c r="V159"/>
      <c r="W159"/>
    </row>
    <row r="160" spans="1:23" s="40" customFormat="1">
      <c r="A160" s="321">
        <v>45778</v>
      </c>
      <c r="B160" s="320" t="s">
        <v>7795</v>
      </c>
      <c r="C160" s="40" t="s">
        <v>7224</v>
      </c>
      <c r="D160" s="40" t="s">
        <v>7331</v>
      </c>
      <c r="E160" s="49" t="s">
        <v>7225</v>
      </c>
      <c r="F160" s="49">
        <v>2023</v>
      </c>
      <c r="G160" s="49" t="s">
        <v>274</v>
      </c>
      <c r="H160" s="314">
        <v>19257150</v>
      </c>
      <c r="I160" s="313">
        <f>H160</f>
        <v>19257150</v>
      </c>
      <c r="J160" s="313">
        <f>-I160</f>
        <v>-19257150</v>
      </c>
      <c r="K160" s="313">
        <f>I160+J160</f>
        <v>0</v>
      </c>
      <c r="L160" s="313"/>
      <c r="M160" s="116">
        <v>0</v>
      </c>
      <c r="N160" s="313">
        <v>0</v>
      </c>
      <c r="O160" s="313">
        <f t="shared" si="23"/>
        <v>122339872</v>
      </c>
      <c r="P160" s="40" t="s">
        <v>920</v>
      </c>
      <c r="Q160" s="8" t="s">
        <v>7858</v>
      </c>
      <c r="R160" s="8" t="s">
        <v>7878</v>
      </c>
      <c r="S160" s="153" t="s">
        <v>2143</v>
      </c>
    </row>
    <row r="161" spans="1:23">
      <c r="A161" s="320">
        <v>45778</v>
      </c>
      <c r="B161" s="320" t="s">
        <v>7795</v>
      </c>
      <c r="C161" t="s">
        <v>7445</v>
      </c>
      <c r="D161" t="s">
        <v>7416</v>
      </c>
      <c r="E161" s="47" t="s">
        <v>7446</v>
      </c>
      <c r="F161" s="47">
        <v>2025</v>
      </c>
      <c r="G161" s="47" t="s">
        <v>275</v>
      </c>
      <c r="H161" s="199">
        <v>880094</v>
      </c>
      <c r="I161" s="313">
        <v>0</v>
      </c>
      <c r="J161" s="313">
        <v>0</v>
      </c>
      <c r="K161" s="313">
        <f t="shared" si="21"/>
        <v>0</v>
      </c>
      <c r="L161" s="313"/>
      <c r="M161" s="199">
        <f>H161</f>
        <v>880094</v>
      </c>
      <c r="N161" s="313">
        <v>0</v>
      </c>
      <c r="O161" s="313">
        <f t="shared" si="23"/>
        <v>121459778</v>
      </c>
      <c r="P161" s="80" t="s">
        <v>6</v>
      </c>
      <c r="Q161" s="80" t="s">
        <v>7756</v>
      </c>
      <c r="R161" s="80" t="s">
        <v>7757</v>
      </c>
    </row>
    <row r="162" spans="1:23">
      <c r="A162" s="320">
        <v>45778</v>
      </c>
      <c r="B162" s="320" t="s">
        <v>7795</v>
      </c>
      <c r="C162" t="s">
        <v>7447</v>
      </c>
      <c r="D162" t="s">
        <v>7331</v>
      </c>
      <c r="E162" s="47" t="s">
        <v>7448</v>
      </c>
      <c r="F162" s="47">
        <v>2025</v>
      </c>
      <c r="G162" s="47" t="s">
        <v>274</v>
      </c>
      <c r="H162" s="316">
        <v>2123187</v>
      </c>
      <c r="I162" s="313">
        <f>H162</f>
        <v>2123187</v>
      </c>
      <c r="J162" s="313">
        <f>-I162</f>
        <v>-2123187</v>
      </c>
      <c r="K162" s="313">
        <f>I162+J162</f>
        <v>0</v>
      </c>
      <c r="L162" s="313"/>
      <c r="M162" s="334">
        <v>0</v>
      </c>
      <c r="N162" s="313">
        <v>0</v>
      </c>
      <c r="O162" s="313">
        <f t="shared" si="23"/>
        <v>121459778</v>
      </c>
      <c r="P162" t="s">
        <v>920</v>
      </c>
      <c r="Q162" s="8" t="s">
        <v>7858</v>
      </c>
      <c r="R162" t="s">
        <v>7880</v>
      </c>
      <c r="S162" s="37" t="s">
        <v>1526</v>
      </c>
      <c r="V162"/>
      <c r="W162"/>
    </row>
    <row r="163" spans="1:23">
      <c r="A163" s="320">
        <v>45778</v>
      </c>
      <c r="B163" s="320" t="s">
        <v>7795</v>
      </c>
      <c r="C163" t="s">
        <v>7449</v>
      </c>
      <c r="D163" t="s">
        <v>7416</v>
      </c>
      <c r="E163" s="47" t="s">
        <v>7450</v>
      </c>
      <c r="F163" s="47">
        <v>2025</v>
      </c>
      <c r="G163" s="47" t="s">
        <v>275</v>
      </c>
      <c r="H163" s="199">
        <v>126500</v>
      </c>
      <c r="I163" s="313">
        <v>0</v>
      </c>
      <c r="J163" s="313">
        <v>0</v>
      </c>
      <c r="K163" s="313">
        <f t="shared" si="21"/>
        <v>0</v>
      </c>
      <c r="L163" s="313"/>
      <c r="M163" s="199">
        <f>H163</f>
        <v>126500</v>
      </c>
      <c r="N163" s="313">
        <v>0</v>
      </c>
      <c r="O163" s="313">
        <f t="shared" si="23"/>
        <v>121333278</v>
      </c>
      <c r="P163" s="80" t="s">
        <v>6</v>
      </c>
      <c r="Q163" s="80" t="s">
        <v>7756</v>
      </c>
      <c r="R163" s="80" t="s">
        <v>7757</v>
      </c>
    </row>
    <row r="164" spans="1:23">
      <c r="A164" s="320">
        <v>45778</v>
      </c>
      <c r="B164" s="320" t="s">
        <v>7795</v>
      </c>
      <c r="C164" t="s">
        <v>7451</v>
      </c>
      <c r="D164" t="s">
        <v>7331</v>
      </c>
      <c r="E164" s="47" t="s">
        <v>7452</v>
      </c>
      <c r="F164" s="47">
        <v>2025</v>
      </c>
      <c r="G164" s="47" t="s">
        <v>274</v>
      </c>
      <c r="H164" s="316">
        <v>2054173</v>
      </c>
      <c r="I164" s="313">
        <f>H164</f>
        <v>2054173</v>
      </c>
      <c r="J164" s="313">
        <f>-I164</f>
        <v>-2054173</v>
      </c>
      <c r="K164" s="313">
        <f>I164+J164</f>
        <v>0</v>
      </c>
      <c r="L164" s="313"/>
      <c r="M164" s="334">
        <v>0</v>
      </c>
      <c r="N164" s="313">
        <v>0</v>
      </c>
      <c r="O164" s="313">
        <f t="shared" si="23"/>
        <v>121333278</v>
      </c>
      <c r="P164" t="s">
        <v>920</v>
      </c>
      <c r="Q164" s="8" t="s">
        <v>7858</v>
      </c>
      <c r="R164" t="s">
        <v>7880</v>
      </c>
      <c r="S164" s="37" t="s">
        <v>1526</v>
      </c>
      <c r="V164"/>
      <c r="W164"/>
    </row>
    <row r="165" spans="1:23" s="40" customFormat="1">
      <c r="A165" s="321">
        <v>45778</v>
      </c>
      <c r="B165" s="320" t="s">
        <v>7795</v>
      </c>
      <c r="C165" s="40" t="s">
        <v>7453</v>
      </c>
      <c r="D165" s="40" t="s">
        <v>7331</v>
      </c>
      <c r="E165" s="49" t="s">
        <v>7454</v>
      </c>
      <c r="F165" s="49">
        <v>2024</v>
      </c>
      <c r="G165" s="49" t="s">
        <v>274</v>
      </c>
      <c r="H165" s="51">
        <v>23163185</v>
      </c>
      <c r="I165" s="313">
        <f>H165</f>
        <v>23163185</v>
      </c>
      <c r="J165" s="313">
        <f>-I165</f>
        <v>-23163185</v>
      </c>
      <c r="K165" s="313">
        <f>I165+J165</f>
        <v>0</v>
      </c>
      <c r="L165" s="313"/>
      <c r="M165" s="116">
        <v>0</v>
      </c>
      <c r="N165" s="313">
        <v>0</v>
      </c>
      <c r="O165" s="313">
        <f t="shared" si="23"/>
        <v>121333278</v>
      </c>
      <c r="P165" t="s">
        <v>920</v>
      </c>
      <c r="Q165" s="8" t="s">
        <v>7858</v>
      </c>
      <c r="R165" s="8" t="s">
        <v>7879</v>
      </c>
      <c r="S165" s="37" t="s">
        <v>6338</v>
      </c>
    </row>
    <row r="166" spans="1:23">
      <c r="A166" s="320">
        <v>45778</v>
      </c>
      <c r="B166" s="320" t="s">
        <v>7795</v>
      </c>
      <c r="C166" t="s">
        <v>7455</v>
      </c>
      <c r="D166" t="s">
        <v>7331</v>
      </c>
      <c r="E166" s="47" t="s">
        <v>7456</v>
      </c>
      <c r="F166" s="47">
        <v>2025</v>
      </c>
      <c r="G166" s="47" t="s">
        <v>274</v>
      </c>
      <c r="H166" s="316">
        <v>6050052</v>
      </c>
      <c r="I166" s="313">
        <f>H166</f>
        <v>6050052</v>
      </c>
      <c r="J166" s="313">
        <f>-I166</f>
        <v>-6050052</v>
      </c>
      <c r="K166" s="313">
        <f>I166+J166</f>
        <v>0</v>
      </c>
      <c r="L166" s="313"/>
      <c r="M166" s="334">
        <v>0</v>
      </c>
      <c r="N166" s="313">
        <v>0</v>
      </c>
      <c r="O166" s="313">
        <f t="shared" si="23"/>
        <v>121333278</v>
      </c>
      <c r="P166" t="s">
        <v>920</v>
      </c>
      <c r="Q166" s="8" t="s">
        <v>7858</v>
      </c>
      <c r="R166" t="s">
        <v>7880</v>
      </c>
      <c r="S166" s="37" t="s">
        <v>1526</v>
      </c>
      <c r="V166"/>
      <c r="W166"/>
    </row>
    <row r="167" spans="1:23">
      <c r="A167" s="320">
        <v>45778</v>
      </c>
      <c r="B167" s="320" t="s">
        <v>7795</v>
      </c>
      <c r="C167" t="s">
        <v>7457</v>
      </c>
      <c r="D167" t="s">
        <v>391</v>
      </c>
      <c r="E167" s="47" t="s">
        <v>7458</v>
      </c>
      <c r="F167" s="47">
        <v>2025</v>
      </c>
      <c r="G167" s="47" t="s">
        <v>275</v>
      </c>
      <c r="H167" s="199">
        <v>87120</v>
      </c>
      <c r="I167" s="313">
        <v>0</v>
      </c>
      <c r="J167" s="313">
        <v>0</v>
      </c>
      <c r="K167" s="313">
        <f t="shared" si="21"/>
        <v>0</v>
      </c>
      <c r="L167" s="313"/>
      <c r="M167" s="199">
        <f>H167</f>
        <v>87120</v>
      </c>
      <c r="N167" s="313">
        <v>0</v>
      </c>
      <c r="O167" s="313">
        <f t="shared" si="23"/>
        <v>121246158</v>
      </c>
      <c r="P167" s="80" t="s">
        <v>6</v>
      </c>
      <c r="Q167" s="80" t="s">
        <v>7756</v>
      </c>
      <c r="R167" s="80" t="s">
        <v>7757</v>
      </c>
    </row>
    <row r="168" spans="1:23">
      <c r="A168" s="320">
        <v>45778</v>
      </c>
      <c r="B168" s="320" t="s">
        <v>7795</v>
      </c>
      <c r="C168" t="s">
        <v>7459</v>
      </c>
      <c r="D168" t="s">
        <v>391</v>
      </c>
      <c r="E168" s="47" t="s">
        <v>7460</v>
      </c>
      <c r="F168" s="47">
        <v>2025</v>
      </c>
      <c r="G168" s="47" t="s">
        <v>275</v>
      </c>
      <c r="H168" s="199">
        <v>132680</v>
      </c>
      <c r="I168" s="313">
        <v>0</v>
      </c>
      <c r="J168" s="313">
        <v>0</v>
      </c>
      <c r="K168" s="313">
        <f t="shared" si="21"/>
        <v>0</v>
      </c>
      <c r="L168" s="313"/>
      <c r="M168" s="199">
        <f>H168</f>
        <v>132680</v>
      </c>
      <c r="N168" s="313">
        <v>0</v>
      </c>
      <c r="O168" s="313">
        <f t="shared" si="23"/>
        <v>121113478</v>
      </c>
      <c r="P168" s="80" t="s">
        <v>6</v>
      </c>
      <c r="Q168" s="80" t="s">
        <v>7756</v>
      </c>
      <c r="R168" s="80" t="s">
        <v>7757</v>
      </c>
    </row>
    <row r="169" spans="1:23">
      <c r="A169" s="320">
        <v>45778</v>
      </c>
      <c r="B169" s="320" t="s">
        <v>7795</v>
      </c>
      <c r="C169" t="s">
        <v>7461</v>
      </c>
      <c r="D169" t="s">
        <v>391</v>
      </c>
      <c r="E169" s="47" t="s">
        <v>7462</v>
      </c>
      <c r="F169" s="47">
        <v>2025</v>
      </c>
      <c r="G169" s="47" t="s">
        <v>275</v>
      </c>
      <c r="H169" s="199">
        <v>126553</v>
      </c>
      <c r="I169" s="313">
        <v>0</v>
      </c>
      <c r="J169" s="313">
        <v>0</v>
      </c>
      <c r="K169" s="313">
        <f t="shared" si="21"/>
        <v>0</v>
      </c>
      <c r="L169" s="313"/>
      <c r="M169" s="199">
        <f>H169</f>
        <v>126553</v>
      </c>
      <c r="N169" s="313">
        <v>0</v>
      </c>
      <c r="O169" s="313">
        <f t="shared" si="23"/>
        <v>120986925</v>
      </c>
      <c r="P169" s="80" t="s">
        <v>6</v>
      </c>
      <c r="Q169" s="80" t="s">
        <v>7756</v>
      </c>
      <c r="R169" s="80" t="s">
        <v>7757</v>
      </c>
    </row>
    <row r="170" spans="1:23" s="40" customFormat="1">
      <c r="A170" s="321">
        <v>45778</v>
      </c>
      <c r="B170" s="320" t="s">
        <v>7795</v>
      </c>
      <c r="C170" s="40" t="s">
        <v>7463</v>
      </c>
      <c r="D170" s="40" t="s">
        <v>7331</v>
      </c>
      <c r="E170" s="49" t="s">
        <v>7464</v>
      </c>
      <c r="F170" s="47">
        <v>2024</v>
      </c>
      <c r="G170" s="47" t="s">
        <v>274</v>
      </c>
      <c r="H170" s="51">
        <v>2309855</v>
      </c>
      <c r="I170" s="313">
        <f>H170</f>
        <v>2309855</v>
      </c>
      <c r="J170" s="313">
        <f>-I170</f>
        <v>-2309855</v>
      </c>
      <c r="K170" s="313">
        <f>I170+J170</f>
        <v>0</v>
      </c>
      <c r="L170" s="313"/>
      <c r="M170" s="116">
        <v>0</v>
      </c>
      <c r="N170" s="313">
        <v>0</v>
      </c>
      <c r="O170" s="313">
        <f t="shared" si="23"/>
        <v>120986925</v>
      </c>
      <c r="P170" t="s">
        <v>920</v>
      </c>
      <c r="Q170" s="8" t="s">
        <v>7858</v>
      </c>
      <c r="R170" s="8" t="s">
        <v>7879</v>
      </c>
      <c r="S170" s="37" t="s">
        <v>6338</v>
      </c>
    </row>
    <row r="171" spans="1:23" s="40" customFormat="1">
      <c r="A171" s="321">
        <v>45778</v>
      </c>
      <c r="B171" s="320" t="s">
        <v>7795</v>
      </c>
      <c r="C171" s="40" t="s">
        <v>7465</v>
      </c>
      <c r="D171" s="40" t="s">
        <v>7331</v>
      </c>
      <c r="E171" s="49" t="s">
        <v>7466</v>
      </c>
      <c r="F171" s="49">
        <v>2024</v>
      </c>
      <c r="G171" s="49" t="s">
        <v>274</v>
      </c>
      <c r="H171" s="51">
        <v>10115710</v>
      </c>
      <c r="I171" s="313">
        <f>H171</f>
        <v>10115710</v>
      </c>
      <c r="J171" s="313">
        <f>-I171</f>
        <v>-10115710</v>
      </c>
      <c r="K171" s="313">
        <f>I171+J171</f>
        <v>0</v>
      </c>
      <c r="L171" s="313"/>
      <c r="M171" s="116">
        <v>0</v>
      </c>
      <c r="N171" s="313">
        <v>0</v>
      </c>
      <c r="O171" s="313">
        <f t="shared" si="23"/>
        <v>120986925</v>
      </c>
      <c r="P171" t="s">
        <v>920</v>
      </c>
      <c r="Q171" s="8" t="s">
        <v>7858</v>
      </c>
      <c r="R171" s="8" t="s">
        <v>7879</v>
      </c>
      <c r="S171" s="37" t="s">
        <v>6338</v>
      </c>
    </row>
    <row r="172" spans="1:23">
      <c r="A172" s="320">
        <v>45778</v>
      </c>
      <c r="B172" s="320" t="s">
        <v>7795</v>
      </c>
      <c r="C172" t="s">
        <v>7467</v>
      </c>
      <c r="D172" t="s">
        <v>7416</v>
      </c>
      <c r="E172" s="47" t="s">
        <v>7468</v>
      </c>
      <c r="F172" s="47">
        <v>2025</v>
      </c>
      <c r="G172" s="47" t="s">
        <v>275</v>
      </c>
      <c r="H172" s="199">
        <v>2247329</v>
      </c>
      <c r="I172" s="313">
        <v>0</v>
      </c>
      <c r="J172" s="313">
        <v>0</v>
      </c>
      <c r="K172" s="313">
        <f t="shared" si="21"/>
        <v>0</v>
      </c>
      <c r="L172" s="313"/>
      <c r="M172" s="199">
        <f>H172</f>
        <v>2247329</v>
      </c>
      <c r="N172" s="313">
        <v>0</v>
      </c>
      <c r="O172" s="313">
        <f t="shared" si="23"/>
        <v>118739596</v>
      </c>
      <c r="P172" s="80" t="s">
        <v>6</v>
      </c>
      <c r="Q172" s="80" t="s">
        <v>7756</v>
      </c>
      <c r="R172" s="80" t="s">
        <v>7757</v>
      </c>
    </row>
    <row r="173" spans="1:23">
      <c r="A173" s="320" t="s">
        <v>7469</v>
      </c>
      <c r="B173" s="320" t="s">
        <v>7032</v>
      </c>
      <c r="D173" t="s">
        <v>7470</v>
      </c>
      <c r="G173" s="47" t="s">
        <v>7796</v>
      </c>
      <c r="H173" s="116">
        <v>67788</v>
      </c>
      <c r="I173" s="313">
        <v>0</v>
      </c>
      <c r="J173" s="313">
        <v>0</v>
      </c>
      <c r="K173" s="313">
        <f t="shared" si="21"/>
        <v>0</v>
      </c>
      <c r="L173" s="313"/>
      <c r="M173" s="334">
        <v>0</v>
      </c>
      <c r="N173" s="116">
        <f t="shared" ref="N173:N181" si="24">H173</f>
        <v>67788</v>
      </c>
      <c r="O173" s="313">
        <f t="shared" si="23"/>
        <v>118807384</v>
      </c>
      <c r="P173" s="8" t="s">
        <v>920</v>
      </c>
      <c r="Q173" t="s">
        <v>7854</v>
      </c>
      <c r="R173" s="8" t="s">
        <v>7032</v>
      </c>
      <c r="S173" s="8" t="s">
        <v>4560</v>
      </c>
    </row>
    <row r="174" spans="1:23">
      <c r="A174" s="320" t="s">
        <v>7469</v>
      </c>
      <c r="B174" s="320" t="s">
        <v>7032</v>
      </c>
      <c r="D174" t="s">
        <v>7235</v>
      </c>
      <c r="G174" s="47" t="s">
        <v>7796</v>
      </c>
      <c r="H174" s="116">
        <v>74324</v>
      </c>
      <c r="I174" s="313">
        <v>0</v>
      </c>
      <c r="J174" s="313">
        <v>0</v>
      </c>
      <c r="K174" s="313">
        <f t="shared" si="21"/>
        <v>0</v>
      </c>
      <c r="L174" s="313"/>
      <c r="M174" s="334">
        <v>0</v>
      </c>
      <c r="N174" s="116">
        <f t="shared" si="24"/>
        <v>74324</v>
      </c>
      <c r="O174" s="313">
        <f t="shared" si="23"/>
        <v>118881708</v>
      </c>
      <c r="P174" s="8" t="s">
        <v>920</v>
      </c>
      <c r="Q174" t="s">
        <v>7854</v>
      </c>
      <c r="R174" s="8" t="s">
        <v>7032</v>
      </c>
      <c r="S174" s="8" t="s">
        <v>4560</v>
      </c>
    </row>
    <row r="175" spans="1:23">
      <c r="A175" s="320" t="s">
        <v>7469</v>
      </c>
      <c r="B175" s="320" t="s">
        <v>7032</v>
      </c>
      <c r="D175" t="s">
        <v>7233</v>
      </c>
      <c r="G175" s="47" t="s">
        <v>7796</v>
      </c>
      <c r="H175" s="116">
        <v>1981982</v>
      </c>
      <c r="I175" s="313">
        <v>0</v>
      </c>
      <c r="J175" s="313">
        <v>0</v>
      </c>
      <c r="K175" s="313">
        <f t="shared" si="21"/>
        <v>0</v>
      </c>
      <c r="L175" s="313"/>
      <c r="M175" s="334">
        <v>0</v>
      </c>
      <c r="N175" s="116">
        <f t="shared" si="24"/>
        <v>1981982</v>
      </c>
      <c r="O175" s="313">
        <f t="shared" si="23"/>
        <v>120863690</v>
      </c>
      <c r="P175" t="s">
        <v>920</v>
      </c>
      <c r="Q175" t="s">
        <v>7856</v>
      </c>
      <c r="R175" t="s">
        <v>7032</v>
      </c>
      <c r="S175" t="s">
        <v>4560</v>
      </c>
    </row>
    <row r="176" spans="1:23">
      <c r="A176" s="320" t="s">
        <v>7469</v>
      </c>
      <c r="B176" s="320" t="s">
        <v>7032</v>
      </c>
      <c r="D176" t="s">
        <v>7237</v>
      </c>
      <c r="G176" s="47" t="s">
        <v>7796</v>
      </c>
      <c r="H176" s="116">
        <v>59460</v>
      </c>
      <c r="I176" s="313">
        <v>0</v>
      </c>
      <c r="J176" s="313">
        <v>0</v>
      </c>
      <c r="K176" s="313">
        <f t="shared" si="21"/>
        <v>0</v>
      </c>
      <c r="L176" s="313"/>
      <c r="M176" s="334">
        <v>0</v>
      </c>
      <c r="N176" s="116">
        <f t="shared" si="24"/>
        <v>59460</v>
      </c>
      <c r="O176" s="313">
        <f t="shared" si="23"/>
        <v>120923150</v>
      </c>
      <c r="P176" s="8" t="s">
        <v>920</v>
      </c>
      <c r="Q176" t="s">
        <v>7854</v>
      </c>
      <c r="R176" s="8" t="s">
        <v>7032</v>
      </c>
      <c r="S176" s="8" t="s">
        <v>4560</v>
      </c>
    </row>
    <row r="177" spans="1:23">
      <c r="A177" s="320" t="s">
        <v>7469</v>
      </c>
      <c r="B177" s="320" t="s">
        <v>7032</v>
      </c>
      <c r="D177" t="s">
        <v>7471</v>
      </c>
      <c r="G177" s="47" t="s">
        <v>7796</v>
      </c>
      <c r="H177" s="116">
        <v>1107829</v>
      </c>
      <c r="I177" s="313">
        <v>0</v>
      </c>
      <c r="J177" s="313">
        <v>0</v>
      </c>
      <c r="K177" s="313">
        <f t="shared" si="21"/>
        <v>0</v>
      </c>
      <c r="L177" s="313"/>
      <c r="M177" s="334">
        <v>0</v>
      </c>
      <c r="N177" s="116">
        <f t="shared" si="24"/>
        <v>1107829</v>
      </c>
      <c r="O177" s="313">
        <f t="shared" si="23"/>
        <v>122030979</v>
      </c>
      <c r="P177" t="s">
        <v>920</v>
      </c>
      <c r="Q177" t="s">
        <v>7858</v>
      </c>
      <c r="R177" s="8" t="s">
        <v>7032</v>
      </c>
      <c r="S177" s="8" t="s">
        <v>4560</v>
      </c>
    </row>
    <row r="178" spans="1:23">
      <c r="A178" s="320" t="s">
        <v>7469</v>
      </c>
      <c r="B178" s="320" t="s">
        <v>7032</v>
      </c>
      <c r="D178" t="s">
        <v>7472</v>
      </c>
      <c r="G178" s="47" t="s">
        <v>7796</v>
      </c>
      <c r="H178" s="116">
        <v>990000</v>
      </c>
      <c r="I178" s="313">
        <v>0</v>
      </c>
      <c r="J178" s="313">
        <v>0</v>
      </c>
      <c r="K178" s="313">
        <f t="shared" si="21"/>
        <v>0</v>
      </c>
      <c r="L178" s="313"/>
      <c r="M178" s="334">
        <v>0</v>
      </c>
      <c r="N178" s="116">
        <f t="shared" si="24"/>
        <v>990000</v>
      </c>
      <c r="O178" s="313">
        <f t="shared" si="23"/>
        <v>123020979</v>
      </c>
      <c r="P178" t="s">
        <v>920</v>
      </c>
      <c r="Q178" t="s">
        <v>7856</v>
      </c>
      <c r="R178" t="s">
        <v>7032</v>
      </c>
      <c r="S178" t="s">
        <v>4560</v>
      </c>
    </row>
    <row r="179" spans="1:23">
      <c r="A179" s="320" t="s">
        <v>7469</v>
      </c>
      <c r="B179" s="320" t="s">
        <v>7032</v>
      </c>
      <c r="D179" t="s">
        <v>7237</v>
      </c>
      <c r="G179" s="47" t="s">
        <v>7796</v>
      </c>
      <c r="H179" s="116">
        <v>506000</v>
      </c>
      <c r="I179" s="313">
        <v>0</v>
      </c>
      <c r="J179" s="313">
        <v>0</v>
      </c>
      <c r="K179" s="313">
        <f t="shared" si="21"/>
        <v>0</v>
      </c>
      <c r="L179" s="313"/>
      <c r="M179" s="334">
        <v>0</v>
      </c>
      <c r="N179" s="116">
        <f t="shared" si="24"/>
        <v>506000</v>
      </c>
      <c r="O179" s="313">
        <f t="shared" si="23"/>
        <v>123526979</v>
      </c>
      <c r="P179" s="8" t="s">
        <v>920</v>
      </c>
      <c r="Q179" t="s">
        <v>7854</v>
      </c>
      <c r="R179" s="8" t="s">
        <v>7032</v>
      </c>
      <c r="S179" s="8" t="s">
        <v>4560</v>
      </c>
    </row>
    <row r="180" spans="1:23">
      <c r="A180" s="320" t="s">
        <v>7469</v>
      </c>
      <c r="B180" s="320" t="s">
        <v>7032</v>
      </c>
      <c r="D180" t="s">
        <v>7246</v>
      </c>
      <c r="G180" s="47" t="s">
        <v>7796</v>
      </c>
      <c r="H180" s="116">
        <v>1819151</v>
      </c>
      <c r="I180" s="313">
        <v>0</v>
      </c>
      <c r="J180" s="313">
        <v>0</v>
      </c>
      <c r="K180" s="313">
        <f t="shared" si="21"/>
        <v>0</v>
      </c>
      <c r="L180" s="313"/>
      <c r="M180" s="334">
        <v>0</v>
      </c>
      <c r="N180" s="116">
        <f t="shared" si="24"/>
        <v>1819151</v>
      </c>
      <c r="O180" s="313">
        <f t="shared" si="23"/>
        <v>125346130</v>
      </c>
      <c r="P180" s="8" t="s">
        <v>920</v>
      </c>
      <c r="Q180" t="s">
        <v>7854</v>
      </c>
      <c r="R180" s="8" t="s">
        <v>7032</v>
      </c>
      <c r="S180" s="8" t="s">
        <v>4560</v>
      </c>
    </row>
    <row r="181" spans="1:23">
      <c r="A181" s="320" t="s">
        <v>7469</v>
      </c>
      <c r="B181" s="320" t="s">
        <v>7032</v>
      </c>
      <c r="D181" t="s">
        <v>7249</v>
      </c>
      <c r="G181" s="47" t="s">
        <v>7796</v>
      </c>
      <c r="H181" s="116">
        <v>385000</v>
      </c>
      <c r="I181" s="313">
        <v>0</v>
      </c>
      <c r="J181" s="313">
        <v>0</v>
      </c>
      <c r="K181" s="313">
        <f t="shared" si="21"/>
        <v>0</v>
      </c>
      <c r="L181" s="313"/>
      <c r="M181" s="334">
        <v>0</v>
      </c>
      <c r="N181" s="116">
        <f t="shared" si="24"/>
        <v>385000</v>
      </c>
      <c r="O181" s="313">
        <f t="shared" si="23"/>
        <v>125731130</v>
      </c>
      <c r="P181" s="8" t="s">
        <v>920</v>
      </c>
      <c r="Q181" t="s">
        <v>7854</v>
      </c>
      <c r="R181" s="8" t="s">
        <v>7032</v>
      </c>
      <c r="S181" s="8" t="s">
        <v>4560</v>
      </c>
    </row>
    <row r="182" spans="1:23">
      <c r="A182" s="320" t="s">
        <v>7469</v>
      </c>
      <c r="B182" s="320" t="s">
        <v>7795</v>
      </c>
      <c r="C182" t="s">
        <v>7473</v>
      </c>
      <c r="D182" t="s">
        <v>7243</v>
      </c>
      <c r="E182" s="47" t="s">
        <v>7474</v>
      </c>
      <c r="F182" s="47">
        <v>2025</v>
      </c>
      <c r="G182" s="47" t="s">
        <v>274</v>
      </c>
      <c r="H182" s="316">
        <v>2972973</v>
      </c>
      <c r="I182" s="313">
        <f>H182</f>
        <v>2972973</v>
      </c>
      <c r="J182" s="313">
        <f>-I182</f>
        <v>-2972973</v>
      </c>
      <c r="K182" s="313">
        <f>I182+J182</f>
        <v>0</v>
      </c>
      <c r="L182" s="313"/>
      <c r="M182" s="334">
        <v>0</v>
      </c>
      <c r="N182" s="313">
        <v>0</v>
      </c>
      <c r="O182" s="313">
        <f t="shared" si="23"/>
        <v>125731130</v>
      </c>
      <c r="P182" t="s">
        <v>920</v>
      </c>
      <c r="Q182" s="8" t="s">
        <v>7858</v>
      </c>
      <c r="R182" t="s">
        <v>7880</v>
      </c>
      <c r="S182" s="37" t="s">
        <v>1526</v>
      </c>
      <c r="V182"/>
      <c r="W182"/>
    </row>
    <row r="183" spans="1:23">
      <c r="A183" s="320" t="s">
        <v>7469</v>
      </c>
      <c r="B183" s="320" t="s">
        <v>7795</v>
      </c>
      <c r="C183" t="s">
        <v>7475</v>
      </c>
      <c r="D183" t="s">
        <v>7243</v>
      </c>
      <c r="E183" s="47" t="s">
        <v>7476</v>
      </c>
      <c r="F183" s="47">
        <v>2025</v>
      </c>
      <c r="G183" s="47" t="s">
        <v>274</v>
      </c>
      <c r="H183" s="316">
        <v>24081081</v>
      </c>
      <c r="I183" s="313">
        <f>H183</f>
        <v>24081081</v>
      </c>
      <c r="J183" s="313">
        <f>-I183</f>
        <v>-24081081</v>
      </c>
      <c r="K183" s="313">
        <f>I183+J183</f>
        <v>0</v>
      </c>
      <c r="L183" s="313"/>
      <c r="M183" s="334">
        <v>0</v>
      </c>
      <c r="N183" s="313">
        <v>0</v>
      </c>
      <c r="O183" s="313">
        <f t="shared" si="23"/>
        <v>125731130</v>
      </c>
      <c r="P183" t="s">
        <v>920</v>
      </c>
      <c r="Q183" s="8" t="s">
        <v>7858</v>
      </c>
      <c r="R183" t="s">
        <v>7880</v>
      </c>
      <c r="S183" s="37" t="s">
        <v>1526</v>
      </c>
      <c r="V183"/>
      <c r="W183"/>
    </row>
    <row r="184" spans="1:23" s="204" customFormat="1">
      <c r="A184" s="329" t="s">
        <v>7469</v>
      </c>
      <c r="B184" s="320" t="s">
        <v>7795</v>
      </c>
      <c r="C184" s="204" t="s">
        <v>7477</v>
      </c>
      <c r="D184" s="204" t="s">
        <v>356</v>
      </c>
      <c r="E184" s="333" t="s">
        <v>7478</v>
      </c>
      <c r="F184" s="333"/>
      <c r="G184" s="340" t="s">
        <v>274</v>
      </c>
      <c r="H184" s="340">
        <v>3468469</v>
      </c>
      <c r="I184" s="341">
        <v>0</v>
      </c>
      <c r="J184" s="341">
        <v>0</v>
      </c>
      <c r="K184" s="341">
        <f t="shared" si="21"/>
        <v>0</v>
      </c>
      <c r="L184" s="341"/>
      <c r="M184" s="340">
        <v>0</v>
      </c>
      <c r="N184" s="340">
        <v>0</v>
      </c>
      <c r="O184" s="313">
        <f t="shared" si="23"/>
        <v>125731130</v>
      </c>
      <c r="P184" s="204" t="s">
        <v>6</v>
      </c>
      <c r="Q184" s="204" t="s">
        <v>7756</v>
      </c>
      <c r="R184" s="204" t="s">
        <v>7757</v>
      </c>
      <c r="S184" s="204" t="s">
        <v>7479</v>
      </c>
      <c r="T184" s="361" t="s">
        <v>26</v>
      </c>
    </row>
    <row r="185" spans="1:23">
      <c r="A185" s="320" t="s">
        <v>7469</v>
      </c>
      <c r="B185" s="320" t="s">
        <v>7795</v>
      </c>
      <c r="C185" t="s">
        <v>7480</v>
      </c>
      <c r="D185" t="s">
        <v>7481</v>
      </c>
      <c r="E185" s="47" t="s">
        <v>7482</v>
      </c>
      <c r="F185" s="47">
        <v>2025</v>
      </c>
      <c r="G185" s="47" t="s">
        <v>275</v>
      </c>
      <c r="H185" s="199">
        <v>140800</v>
      </c>
      <c r="I185" s="313">
        <v>0</v>
      </c>
      <c r="J185" s="313">
        <v>0</v>
      </c>
      <c r="K185" s="313">
        <f t="shared" si="21"/>
        <v>0</v>
      </c>
      <c r="L185" s="313"/>
      <c r="M185" s="199">
        <f t="shared" ref="M185:M191" si="25">H185</f>
        <v>140800</v>
      </c>
      <c r="N185" s="313">
        <v>0</v>
      </c>
      <c r="O185" s="313">
        <f t="shared" si="23"/>
        <v>125590330</v>
      </c>
      <c r="P185" s="80" t="s">
        <v>6</v>
      </c>
      <c r="Q185" s="80" t="s">
        <v>7756</v>
      </c>
      <c r="R185" s="80" t="s">
        <v>7757</v>
      </c>
    </row>
    <row r="186" spans="1:23">
      <c r="A186" s="320" t="s">
        <v>7469</v>
      </c>
      <c r="B186" s="320" t="s">
        <v>7795</v>
      </c>
      <c r="C186" t="s">
        <v>7483</v>
      </c>
      <c r="D186" t="s">
        <v>7481</v>
      </c>
      <c r="E186" s="47" t="s">
        <v>7484</v>
      </c>
      <c r="F186" s="47">
        <v>2025</v>
      </c>
      <c r="G186" s="47" t="s">
        <v>275</v>
      </c>
      <c r="H186" s="199">
        <v>20900</v>
      </c>
      <c r="I186" s="313">
        <v>0</v>
      </c>
      <c r="J186" s="313">
        <v>0</v>
      </c>
      <c r="K186" s="313">
        <f t="shared" si="21"/>
        <v>0</v>
      </c>
      <c r="L186" s="313"/>
      <c r="M186" s="199">
        <f t="shared" si="25"/>
        <v>20900</v>
      </c>
      <c r="N186" s="313">
        <v>0</v>
      </c>
      <c r="O186" s="313">
        <f t="shared" si="23"/>
        <v>125569430</v>
      </c>
      <c r="P186" s="80" t="s">
        <v>6</v>
      </c>
      <c r="Q186" s="80" t="s">
        <v>7756</v>
      </c>
      <c r="R186" s="80" t="s">
        <v>7757</v>
      </c>
    </row>
    <row r="187" spans="1:23">
      <c r="A187" s="320" t="s">
        <v>7469</v>
      </c>
      <c r="B187" s="320" t="s">
        <v>7795</v>
      </c>
      <c r="C187" t="s">
        <v>7485</v>
      </c>
      <c r="D187" t="s">
        <v>7481</v>
      </c>
      <c r="E187" s="47" t="s">
        <v>7486</v>
      </c>
      <c r="F187" s="47">
        <v>2025</v>
      </c>
      <c r="G187" s="47" t="s">
        <v>275</v>
      </c>
      <c r="H187" s="199">
        <v>140800</v>
      </c>
      <c r="I187" s="313">
        <v>0</v>
      </c>
      <c r="J187" s="313">
        <v>0</v>
      </c>
      <c r="K187" s="313">
        <f t="shared" si="21"/>
        <v>0</v>
      </c>
      <c r="L187" s="313"/>
      <c r="M187" s="199">
        <f t="shared" si="25"/>
        <v>140800</v>
      </c>
      <c r="N187" s="313">
        <v>0</v>
      </c>
      <c r="O187" s="313">
        <f t="shared" si="23"/>
        <v>125428630</v>
      </c>
      <c r="P187" s="80" t="s">
        <v>6</v>
      </c>
      <c r="Q187" s="80" t="s">
        <v>7756</v>
      </c>
      <c r="R187" s="80" t="s">
        <v>7757</v>
      </c>
    </row>
    <row r="188" spans="1:23">
      <c r="A188" s="320" t="s">
        <v>7469</v>
      </c>
      <c r="B188" s="320" t="s">
        <v>7795</v>
      </c>
      <c r="C188" t="s">
        <v>7487</v>
      </c>
      <c r="D188" t="s">
        <v>391</v>
      </c>
      <c r="E188" s="47" t="s">
        <v>7488</v>
      </c>
      <c r="F188" s="47">
        <v>2025</v>
      </c>
      <c r="G188" s="47" t="s">
        <v>275</v>
      </c>
      <c r="H188" s="199">
        <v>3568309</v>
      </c>
      <c r="I188" s="313">
        <v>0</v>
      </c>
      <c r="J188" s="313">
        <v>0</v>
      </c>
      <c r="K188" s="313">
        <f t="shared" si="21"/>
        <v>0</v>
      </c>
      <c r="L188" s="313"/>
      <c r="M188" s="199">
        <f t="shared" si="25"/>
        <v>3568309</v>
      </c>
      <c r="N188" s="313">
        <v>0</v>
      </c>
      <c r="O188" s="313">
        <f t="shared" si="23"/>
        <v>121860321</v>
      </c>
      <c r="P188" s="80" t="s">
        <v>6</v>
      </c>
      <c r="Q188" s="80" t="s">
        <v>7756</v>
      </c>
      <c r="R188" s="80" t="s">
        <v>7757</v>
      </c>
    </row>
    <row r="189" spans="1:23">
      <c r="A189" s="320" t="s">
        <v>7469</v>
      </c>
      <c r="B189" s="320" t="s">
        <v>7795</v>
      </c>
      <c r="C189" t="s">
        <v>7489</v>
      </c>
      <c r="D189" t="s">
        <v>391</v>
      </c>
      <c r="E189" s="47" t="s">
        <v>7490</v>
      </c>
      <c r="F189" s="47">
        <v>2025</v>
      </c>
      <c r="G189" s="47" t="s">
        <v>275</v>
      </c>
      <c r="H189" s="199">
        <v>7136617</v>
      </c>
      <c r="I189" s="313">
        <v>0</v>
      </c>
      <c r="J189" s="313">
        <v>0</v>
      </c>
      <c r="K189" s="313">
        <f t="shared" si="21"/>
        <v>0</v>
      </c>
      <c r="L189" s="313"/>
      <c r="M189" s="199">
        <f t="shared" si="25"/>
        <v>7136617</v>
      </c>
      <c r="N189" s="313">
        <v>0</v>
      </c>
      <c r="O189" s="313">
        <f t="shared" si="23"/>
        <v>114723704</v>
      </c>
      <c r="P189" s="80" t="s">
        <v>6</v>
      </c>
      <c r="Q189" s="80" t="s">
        <v>7756</v>
      </c>
      <c r="R189" s="80" t="s">
        <v>7757</v>
      </c>
    </row>
    <row r="190" spans="1:23">
      <c r="A190" s="320" t="s">
        <v>7469</v>
      </c>
      <c r="B190" s="320" t="s">
        <v>7795</v>
      </c>
      <c r="C190" t="s">
        <v>7491</v>
      </c>
      <c r="D190" t="s">
        <v>391</v>
      </c>
      <c r="E190" s="47" t="s">
        <v>7492</v>
      </c>
      <c r="F190" s="47">
        <v>2025</v>
      </c>
      <c r="G190" s="47" t="s">
        <v>275</v>
      </c>
      <c r="H190" s="199">
        <v>1189447</v>
      </c>
      <c r="I190" s="313">
        <v>0</v>
      </c>
      <c r="J190" s="313">
        <v>0</v>
      </c>
      <c r="K190" s="313">
        <f t="shared" si="21"/>
        <v>0</v>
      </c>
      <c r="L190" s="313"/>
      <c r="M190" s="199">
        <f t="shared" si="25"/>
        <v>1189447</v>
      </c>
      <c r="N190" s="313">
        <v>0</v>
      </c>
      <c r="O190" s="313">
        <f t="shared" si="23"/>
        <v>113534257</v>
      </c>
      <c r="P190" s="80" t="s">
        <v>6</v>
      </c>
      <c r="Q190" s="80" t="s">
        <v>7756</v>
      </c>
      <c r="R190" s="80" t="s">
        <v>7757</v>
      </c>
    </row>
    <row r="191" spans="1:23">
      <c r="A191" s="320" t="s">
        <v>7469</v>
      </c>
      <c r="B191" s="320" t="s">
        <v>7795</v>
      </c>
      <c r="C191" t="s">
        <v>7493</v>
      </c>
      <c r="D191" t="s">
        <v>7481</v>
      </c>
      <c r="E191" s="47" t="s">
        <v>7494</v>
      </c>
      <c r="F191" s="47">
        <v>2025</v>
      </c>
      <c r="G191" s="47" t="s">
        <v>275</v>
      </c>
      <c r="H191" s="199">
        <v>140800</v>
      </c>
      <c r="I191" s="313">
        <v>0</v>
      </c>
      <c r="J191" s="313">
        <v>0</v>
      </c>
      <c r="K191" s="313">
        <f t="shared" si="21"/>
        <v>0</v>
      </c>
      <c r="L191" s="313"/>
      <c r="M191" s="199">
        <f t="shared" si="25"/>
        <v>140800</v>
      </c>
      <c r="N191" s="313">
        <v>0</v>
      </c>
      <c r="O191" s="313">
        <f t="shared" si="23"/>
        <v>113393457</v>
      </c>
      <c r="P191" s="80" t="s">
        <v>6</v>
      </c>
      <c r="Q191" s="80" t="s">
        <v>7756</v>
      </c>
      <c r="R191" s="80" t="s">
        <v>7757</v>
      </c>
    </row>
    <row r="192" spans="1:23">
      <c r="A192" s="320" t="s">
        <v>7469</v>
      </c>
      <c r="B192" s="320" t="s">
        <v>7795</v>
      </c>
      <c r="C192" t="s">
        <v>7495</v>
      </c>
      <c r="D192" t="s">
        <v>7331</v>
      </c>
      <c r="E192" s="47" t="s">
        <v>7496</v>
      </c>
      <c r="F192" s="47">
        <v>2025</v>
      </c>
      <c r="G192" s="47" t="s">
        <v>274</v>
      </c>
      <c r="H192" s="326">
        <v>30980400</v>
      </c>
      <c r="I192" s="313">
        <f>H192</f>
        <v>30980400</v>
      </c>
      <c r="J192" s="313">
        <f>-I192</f>
        <v>-30980400</v>
      </c>
      <c r="K192" s="313">
        <f>I192+J192</f>
        <v>0</v>
      </c>
      <c r="L192" s="313"/>
      <c r="M192" s="335">
        <v>0</v>
      </c>
      <c r="N192" s="313">
        <v>0</v>
      </c>
      <c r="O192" s="313">
        <f t="shared" si="23"/>
        <v>113393457</v>
      </c>
      <c r="P192" t="s">
        <v>920</v>
      </c>
      <c r="Q192" s="8" t="s">
        <v>7858</v>
      </c>
      <c r="R192" t="s">
        <v>7880</v>
      </c>
      <c r="S192" s="37" t="s">
        <v>1526</v>
      </c>
      <c r="V192"/>
      <c r="W192"/>
    </row>
    <row r="193" spans="1:23">
      <c r="A193" s="320" t="s">
        <v>7469</v>
      </c>
      <c r="B193" s="320" t="s">
        <v>7795</v>
      </c>
      <c r="C193" t="s">
        <v>7497</v>
      </c>
      <c r="D193" t="s">
        <v>7331</v>
      </c>
      <c r="E193" s="47" t="s">
        <v>7498</v>
      </c>
      <c r="F193" s="47">
        <v>2025</v>
      </c>
      <c r="G193" s="47" t="s">
        <v>274</v>
      </c>
      <c r="H193" s="316">
        <v>5489460</v>
      </c>
      <c r="I193" s="313">
        <f>H193</f>
        <v>5489460</v>
      </c>
      <c r="J193" s="313">
        <f>-I193</f>
        <v>-5489460</v>
      </c>
      <c r="K193" s="313">
        <f>I193+J193</f>
        <v>0</v>
      </c>
      <c r="L193" s="313"/>
      <c r="M193" s="334">
        <v>0</v>
      </c>
      <c r="N193" s="313">
        <v>0</v>
      </c>
      <c r="O193" s="313">
        <f t="shared" si="23"/>
        <v>113393457</v>
      </c>
      <c r="P193" t="s">
        <v>920</v>
      </c>
      <c r="Q193" s="8" t="s">
        <v>7858</v>
      </c>
      <c r="R193" t="s">
        <v>7880</v>
      </c>
      <c r="S193" s="37" t="s">
        <v>1526</v>
      </c>
      <c r="V193"/>
      <c r="W193"/>
    </row>
    <row r="194" spans="1:23" s="40" customFormat="1">
      <c r="A194" s="321" t="s">
        <v>7469</v>
      </c>
      <c r="B194" s="320" t="s">
        <v>7795</v>
      </c>
      <c r="C194" s="40" t="s">
        <v>7499</v>
      </c>
      <c r="D194" s="40" t="s">
        <v>7331</v>
      </c>
      <c r="E194" s="49" t="s">
        <v>7500</v>
      </c>
      <c r="F194" s="49">
        <v>2024</v>
      </c>
      <c r="G194" s="49" t="s">
        <v>274</v>
      </c>
      <c r="H194" s="51">
        <v>18862729</v>
      </c>
      <c r="I194" s="313">
        <f>H194</f>
        <v>18862729</v>
      </c>
      <c r="J194" s="313">
        <f>-I194</f>
        <v>-18862729</v>
      </c>
      <c r="K194" s="313">
        <f>I194+J194</f>
        <v>0</v>
      </c>
      <c r="L194" s="313"/>
      <c r="M194" s="116">
        <v>0</v>
      </c>
      <c r="N194" s="313">
        <v>0</v>
      </c>
      <c r="O194" s="313">
        <f t="shared" si="23"/>
        <v>113393457</v>
      </c>
      <c r="P194" t="s">
        <v>920</v>
      </c>
      <c r="Q194" s="8" t="s">
        <v>7858</v>
      </c>
      <c r="R194" s="8" t="s">
        <v>7879</v>
      </c>
      <c r="S194" s="37" t="s">
        <v>6338</v>
      </c>
    </row>
    <row r="195" spans="1:23">
      <c r="A195" s="320">
        <v>45839</v>
      </c>
      <c r="B195" s="320" t="s">
        <v>7032</v>
      </c>
      <c r="D195" t="s">
        <v>7501</v>
      </c>
      <c r="G195" s="47" t="s">
        <v>7796</v>
      </c>
      <c r="H195" s="116">
        <v>94875</v>
      </c>
      <c r="I195" s="313">
        <v>0</v>
      </c>
      <c r="J195" s="313">
        <v>0</v>
      </c>
      <c r="K195" s="313">
        <f t="shared" si="21"/>
        <v>0</v>
      </c>
      <c r="L195" s="313"/>
      <c r="M195" s="334">
        <v>0</v>
      </c>
      <c r="N195" s="116">
        <f t="shared" ref="N195:N201" si="26">H195</f>
        <v>94875</v>
      </c>
      <c r="O195" s="313">
        <f t="shared" si="23"/>
        <v>113488332</v>
      </c>
      <c r="P195" s="8" t="s">
        <v>920</v>
      </c>
      <c r="Q195" t="s">
        <v>7854</v>
      </c>
      <c r="R195" s="8" t="s">
        <v>7032</v>
      </c>
      <c r="S195" s="8" t="s">
        <v>4561</v>
      </c>
    </row>
    <row r="196" spans="1:23">
      <c r="A196" s="320">
        <v>45839</v>
      </c>
      <c r="B196" s="320" t="s">
        <v>7032</v>
      </c>
      <c r="D196" t="s">
        <v>7233</v>
      </c>
      <c r="G196" s="47" t="s">
        <v>7796</v>
      </c>
      <c r="H196" s="116">
        <v>1981982</v>
      </c>
      <c r="I196" s="313">
        <v>0</v>
      </c>
      <c r="J196" s="313">
        <v>0</v>
      </c>
      <c r="K196" s="313">
        <f t="shared" si="21"/>
        <v>0</v>
      </c>
      <c r="L196" s="313"/>
      <c r="M196" s="334">
        <v>0</v>
      </c>
      <c r="N196" s="116">
        <f t="shared" si="26"/>
        <v>1981982</v>
      </c>
      <c r="O196" s="313">
        <f t="shared" si="23"/>
        <v>115470314</v>
      </c>
      <c r="P196" t="s">
        <v>920</v>
      </c>
      <c r="Q196" t="s">
        <v>7856</v>
      </c>
      <c r="R196" t="s">
        <v>7032</v>
      </c>
      <c r="S196" t="s">
        <v>4561</v>
      </c>
    </row>
    <row r="197" spans="1:23">
      <c r="A197" s="320">
        <v>45839</v>
      </c>
      <c r="B197" s="320" t="s">
        <v>7032</v>
      </c>
      <c r="D197" t="s">
        <v>7502</v>
      </c>
      <c r="G197" s="47" t="s">
        <v>7796</v>
      </c>
      <c r="H197" s="116">
        <v>100848964</v>
      </c>
      <c r="I197" s="313">
        <v>0</v>
      </c>
      <c r="J197" s="313">
        <v>0</v>
      </c>
      <c r="K197" s="313">
        <f t="shared" si="21"/>
        <v>0</v>
      </c>
      <c r="L197" s="313"/>
      <c r="M197" s="334">
        <v>0</v>
      </c>
      <c r="N197" s="116">
        <f t="shared" si="26"/>
        <v>100848964</v>
      </c>
      <c r="O197" s="313">
        <f t="shared" si="23"/>
        <v>216319278</v>
      </c>
      <c r="P197" s="8" t="s">
        <v>920</v>
      </c>
      <c r="Q197" t="s">
        <v>7854</v>
      </c>
      <c r="R197" s="8" t="s">
        <v>7032</v>
      </c>
      <c r="S197" s="8" t="s">
        <v>4561</v>
      </c>
    </row>
    <row r="198" spans="1:23">
      <c r="A198" s="320">
        <v>45839</v>
      </c>
      <c r="B198" s="320" t="s">
        <v>7032</v>
      </c>
      <c r="D198" t="s">
        <v>7237</v>
      </c>
      <c r="G198" s="47" t="s">
        <v>7796</v>
      </c>
      <c r="H198" s="116">
        <v>506000</v>
      </c>
      <c r="I198" s="313">
        <v>0</v>
      </c>
      <c r="J198" s="313">
        <v>0</v>
      </c>
      <c r="K198" s="313">
        <f t="shared" ref="K198:K258" si="27">I198-J198</f>
        <v>0</v>
      </c>
      <c r="L198" s="313"/>
      <c r="M198" s="334">
        <v>0</v>
      </c>
      <c r="N198" s="116">
        <f t="shared" si="26"/>
        <v>506000</v>
      </c>
      <c r="O198" s="313">
        <f t="shared" si="23"/>
        <v>216825278</v>
      </c>
      <c r="P198" s="8" t="s">
        <v>920</v>
      </c>
      <c r="Q198" t="s">
        <v>7854</v>
      </c>
      <c r="R198" s="8" t="s">
        <v>7032</v>
      </c>
      <c r="S198" s="8" t="s">
        <v>4561</v>
      </c>
    </row>
    <row r="199" spans="1:23">
      <c r="A199" s="320">
        <v>45839</v>
      </c>
      <c r="B199" s="320" t="s">
        <v>7032</v>
      </c>
      <c r="D199" t="s">
        <v>7471</v>
      </c>
      <c r="G199" s="47" t="s">
        <v>7796</v>
      </c>
      <c r="H199" s="116">
        <v>1018640</v>
      </c>
      <c r="I199" s="313">
        <v>0</v>
      </c>
      <c r="J199" s="313">
        <v>0</v>
      </c>
      <c r="K199" s="313">
        <f t="shared" si="27"/>
        <v>0</v>
      </c>
      <c r="L199" s="313"/>
      <c r="M199" s="334">
        <v>0</v>
      </c>
      <c r="N199" s="116">
        <f t="shared" si="26"/>
        <v>1018640</v>
      </c>
      <c r="O199" s="313">
        <f t="shared" ref="O199:O262" si="28">O198-M199+N199</f>
        <v>217843918</v>
      </c>
      <c r="P199" t="s">
        <v>920</v>
      </c>
      <c r="Q199" t="s">
        <v>7858</v>
      </c>
      <c r="R199" s="8" t="s">
        <v>7032</v>
      </c>
      <c r="S199" s="8" t="s">
        <v>4560</v>
      </c>
    </row>
    <row r="200" spans="1:23">
      <c r="A200" s="320">
        <v>45839</v>
      </c>
      <c r="B200" s="320" t="s">
        <v>7032</v>
      </c>
      <c r="D200" t="s">
        <v>7235</v>
      </c>
      <c r="G200" s="47" t="s">
        <v>7796</v>
      </c>
      <c r="H200" s="116">
        <v>74324</v>
      </c>
      <c r="I200" s="313">
        <v>0</v>
      </c>
      <c r="J200" s="313">
        <v>0</v>
      </c>
      <c r="K200" s="313">
        <f t="shared" si="27"/>
        <v>0</v>
      </c>
      <c r="L200" s="313"/>
      <c r="M200" s="334">
        <v>0</v>
      </c>
      <c r="N200" s="116">
        <f t="shared" si="26"/>
        <v>74324</v>
      </c>
      <c r="O200" s="313">
        <f t="shared" si="28"/>
        <v>217918242</v>
      </c>
      <c r="P200" s="8" t="s">
        <v>920</v>
      </c>
      <c r="Q200" t="s">
        <v>7854</v>
      </c>
      <c r="R200" s="8" t="s">
        <v>7032</v>
      </c>
      <c r="S200" s="8" t="s">
        <v>4561</v>
      </c>
    </row>
    <row r="201" spans="1:23">
      <c r="A201" s="320">
        <v>45839</v>
      </c>
      <c r="B201" s="320" t="s">
        <v>7032</v>
      </c>
      <c r="D201" t="s">
        <v>7249</v>
      </c>
      <c r="G201" s="47" t="s">
        <v>7796</v>
      </c>
      <c r="H201" s="116">
        <v>385000</v>
      </c>
      <c r="I201" s="313">
        <v>0</v>
      </c>
      <c r="J201" s="313">
        <v>0</v>
      </c>
      <c r="K201" s="313">
        <f t="shared" si="27"/>
        <v>0</v>
      </c>
      <c r="L201" s="313"/>
      <c r="M201" s="334">
        <v>0</v>
      </c>
      <c r="N201" s="116">
        <f t="shared" si="26"/>
        <v>385000</v>
      </c>
      <c r="O201" s="313">
        <f t="shared" si="28"/>
        <v>218303242</v>
      </c>
      <c r="P201" s="8" t="s">
        <v>920</v>
      </c>
      <c r="Q201" t="s">
        <v>7854</v>
      </c>
      <c r="R201" s="8" t="s">
        <v>7032</v>
      </c>
      <c r="S201" s="8" t="s">
        <v>4561</v>
      </c>
    </row>
    <row r="202" spans="1:23">
      <c r="A202" s="320">
        <v>45839</v>
      </c>
      <c r="B202" s="320" t="s">
        <v>7795</v>
      </c>
      <c r="C202" t="s">
        <v>7503</v>
      </c>
      <c r="D202" t="s">
        <v>391</v>
      </c>
      <c r="E202" s="47" t="s">
        <v>7504</v>
      </c>
      <c r="F202" s="47">
        <v>2025</v>
      </c>
      <c r="G202" s="47" t="s">
        <v>275</v>
      </c>
      <c r="H202" s="199">
        <v>330000</v>
      </c>
      <c r="I202" s="313">
        <v>0</v>
      </c>
      <c r="J202" s="313">
        <v>0</v>
      </c>
      <c r="K202" s="313">
        <f t="shared" si="27"/>
        <v>0</v>
      </c>
      <c r="L202" s="313"/>
      <c r="M202" s="199">
        <f t="shared" ref="M202:M233" si="29">H202</f>
        <v>330000</v>
      </c>
      <c r="N202" s="313">
        <v>0</v>
      </c>
      <c r="O202" s="313">
        <f t="shared" si="28"/>
        <v>217973242</v>
      </c>
      <c r="P202" s="80" t="s">
        <v>6</v>
      </c>
      <c r="Q202" s="80" t="s">
        <v>7756</v>
      </c>
      <c r="R202" s="80" t="s">
        <v>7757</v>
      </c>
    </row>
    <row r="203" spans="1:23">
      <c r="A203" s="320">
        <v>45839</v>
      </c>
      <c r="B203" s="320" t="s">
        <v>7795</v>
      </c>
      <c r="C203" t="s">
        <v>7505</v>
      </c>
      <c r="D203" t="s">
        <v>391</v>
      </c>
      <c r="E203" s="47" t="s">
        <v>7506</v>
      </c>
      <c r="F203" s="47">
        <v>2025</v>
      </c>
      <c r="G203" s="47" t="s">
        <v>275</v>
      </c>
      <c r="H203" s="199">
        <v>741400</v>
      </c>
      <c r="I203" s="313">
        <v>0</v>
      </c>
      <c r="J203" s="313">
        <v>0</v>
      </c>
      <c r="K203" s="313">
        <f t="shared" si="27"/>
        <v>0</v>
      </c>
      <c r="L203" s="313"/>
      <c r="M203" s="199">
        <f t="shared" si="29"/>
        <v>741400</v>
      </c>
      <c r="N203" s="313">
        <v>0</v>
      </c>
      <c r="O203" s="313">
        <f t="shared" si="28"/>
        <v>217231842</v>
      </c>
      <c r="P203" s="80" t="s">
        <v>6</v>
      </c>
      <c r="Q203" s="80" t="s">
        <v>7756</v>
      </c>
      <c r="R203" s="80" t="s">
        <v>7757</v>
      </c>
    </row>
    <row r="204" spans="1:23">
      <c r="A204" s="320">
        <v>45839</v>
      </c>
      <c r="B204" s="320" t="s">
        <v>7795</v>
      </c>
      <c r="C204" t="s">
        <v>7507</v>
      </c>
      <c r="D204" t="s">
        <v>1581</v>
      </c>
      <c r="E204" s="47" t="s">
        <v>7508</v>
      </c>
      <c r="F204" s="47">
        <v>2025</v>
      </c>
      <c r="G204" s="47" t="s">
        <v>275</v>
      </c>
      <c r="H204" s="199">
        <v>1271946</v>
      </c>
      <c r="I204" s="313">
        <v>0</v>
      </c>
      <c r="J204" s="313">
        <v>0</v>
      </c>
      <c r="K204" s="313">
        <f t="shared" si="27"/>
        <v>0</v>
      </c>
      <c r="L204" s="313"/>
      <c r="M204" s="199">
        <f t="shared" si="29"/>
        <v>1271946</v>
      </c>
      <c r="N204" s="313">
        <v>0</v>
      </c>
      <c r="O204" s="313">
        <f t="shared" si="28"/>
        <v>215959896</v>
      </c>
      <c r="P204" s="80" t="s">
        <v>6</v>
      </c>
      <c r="Q204" s="80" t="s">
        <v>7756</v>
      </c>
      <c r="R204" s="80" t="s">
        <v>7757</v>
      </c>
    </row>
    <row r="205" spans="1:23">
      <c r="A205" s="320">
        <v>45839</v>
      </c>
      <c r="B205" s="320" t="s">
        <v>7795</v>
      </c>
      <c r="C205" t="s">
        <v>7509</v>
      </c>
      <c r="D205" t="s">
        <v>2319</v>
      </c>
      <c r="E205" s="47" t="s">
        <v>7510</v>
      </c>
      <c r="F205" s="47">
        <v>2025</v>
      </c>
      <c r="G205" s="47" t="s">
        <v>275</v>
      </c>
      <c r="H205" s="199">
        <v>33308699</v>
      </c>
      <c r="I205" s="313">
        <v>0</v>
      </c>
      <c r="J205" s="313">
        <v>0</v>
      </c>
      <c r="K205" s="313">
        <f t="shared" si="27"/>
        <v>0</v>
      </c>
      <c r="L205" s="313"/>
      <c r="M205" s="199">
        <f t="shared" si="29"/>
        <v>33308699</v>
      </c>
      <c r="N205" s="313">
        <v>0</v>
      </c>
      <c r="O205" s="313">
        <f t="shared" si="28"/>
        <v>182651197</v>
      </c>
      <c r="P205" s="80" t="s">
        <v>6</v>
      </c>
      <c r="Q205" s="80" t="s">
        <v>7756</v>
      </c>
      <c r="R205" s="80" t="s">
        <v>7757</v>
      </c>
    </row>
    <row r="206" spans="1:23">
      <c r="A206" s="320">
        <v>45839</v>
      </c>
      <c r="B206" s="320" t="s">
        <v>7795</v>
      </c>
      <c r="C206" t="s">
        <v>7511</v>
      </c>
      <c r="D206" t="s">
        <v>2319</v>
      </c>
      <c r="E206" s="47" t="s">
        <v>7512</v>
      </c>
      <c r="F206" s="47">
        <v>2025</v>
      </c>
      <c r="G206" s="47" t="s">
        <v>275</v>
      </c>
      <c r="H206" s="199">
        <v>44411598</v>
      </c>
      <c r="I206" s="313">
        <v>0</v>
      </c>
      <c r="J206" s="313">
        <v>0</v>
      </c>
      <c r="K206" s="313">
        <f t="shared" si="27"/>
        <v>0</v>
      </c>
      <c r="L206" s="313"/>
      <c r="M206" s="199">
        <f t="shared" si="29"/>
        <v>44411598</v>
      </c>
      <c r="N206" s="313">
        <v>0</v>
      </c>
      <c r="O206" s="313">
        <f t="shared" si="28"/>
        <v>138239599</v>
      </c>
      <c r="P206" s="80" t="s">
        <v>6</v>
      </c>
      <c r="Q206" s="80" t="s">
        <v>7756</v>
      </c>
      <c r="R206" s="80" t="s">
        <v>7757</v>
      </c>
    </row>
    <row r="207" spans="1:23">
      <c r="A207" s="320">
        <v>45839</v>
      </c>
      <c r="B207" s="320" t="s">
        <v>7795</v>
      </c>
      <c r="C207" t="s">
        <v>7513</v>
      </c>
      <c r="D207" t="s">
        <v>391</v>
      </c>
      <c r="E207" s="47" t="s">
        <v>7514</v>
      </c>
      <c r="F207" s="47">
        <v>2025</v>
      </c>
      <c r="G207" s="47" t="s">
        <v>275</v>
      </c>
      <c r="H207" s="199">
        <v>288200</v>
      </c>
      <c r="I207" s="313">
        <v>0</v>
      </c>
      <c r="J207" s="313">
        <v>0</v>
      </c>
      <c r="K207" s="313">
        <f t="shared" si="27"/>
        <v>0</v>
      </c>
      <c r="L207" s="313"/>
      <c r="M207" s="199">
        <f t="shared" si="29"/>
        <v>288200</v>
      </c>
      <c r="N207" s="313">
        <v>0</v>
      </c>
      <c r="O207" s="313">
        <f t="shared" si="28"/>
        <v>137951399</v>
      </c>
      <c r="P207" s="80" t="s">
        <v>6</v>
      </c>
      <c r="Q207" s="80" t="s">
        <v>7756</v>
      </c>
      <c r="R207" s="80" t="s">
        <v>7757</v>
      </c>
    </row>
    <row r="208" spans="1:23">
      <c r="A208" s="320">
        <v>45839</v>
      </c>
      <c r="B208" s="320" t="s">
        <v>7795</v>
      </c>
      <c r="C208" t="s">
        <v>7515</v>
      </c>
      <c r="D208" t="s">
        <v>3402</v>
      </c>
      <c r="E208" s="47" t="s">
        <v>7516</v>
      </c>
      <c r="F208" s="47">
        <v>2025</v>
      </c>
      <c r="G208" s="47" t="s">
        <v>275</v>
      </c>
      <c r="H208" s="199">
        <v>163986</v>
      </c>
      <c r="I208" s="313">
        <v>0</v>
      </c>
      <c r="J208" s="313">
        <v>0</v>
      </c>
      <c r="K208" s="313">
        <f t="shared" si="27"/>
        <v>0</v>
      </c>
      <c r="L208" s="313"/>
      <c r="M208" s="199">
        <f t="shared" si="29"/>
        <v>163986</v>
      </c>
      <c r="N208" s="313">
        <v>0</v>
      </c>
      <c r="O208" s="313">
        <f t="shared" si="28"/>
        <v>137787413</v>
      </c>
      <c r="P208" s="80" t="s">
        <v>6</v>
      </c>
      <c r="Q208" s="80" t="s">
        <v>7756</v>
      </c>
      <c r="R208" s="80" t="s">
        <v>7757</v>
      </c>
    </row>
    <row r="209" spans="1:18">
      <c r="A209" s="320">
        <v>45839</v>
      </c>
      <c r="B209" s="320" t="s">
        <v>7795</v>
      </c>
      <c r="C209" t="s">
        <v>7517</v>
      </c>
      <c r="D209" t="s">
        <v>391</v>
      </c>
      <c r="E209" s="47" t="s">
        <v>7518</v>
      </c>
      <c r="F209" s="47">
        <v>2025</v>
      </c>
      <c r="G209" s="47" t="s">
        <v>275</v>
      </c>
      <c r="H209" s="199">
        <v>14592</v>
      </c>
      <c r="I209" s="313">
        <v>0</v>
      </c>
      <c r="J209" s="313">
        <v>0</v>
      </c>
      <c r="K209" s="313">
        <f t="shared" si="27"/>
        <v>0</v>
      </c>
      <c r="L209" s="313"/>
      <c r="M209" s="199">
        <f t="shared" si="29"/>
        <v>14592</v>
      </c>
      <c r="N209" s="313">
        <v>0</v>
      </c>
      <c r="O209" s="313">
        <f t="shared" si="28"/>
        <v>137772821</v>
      </c>
      <c r="P209" s="80" t="s">
        <v>6</v>
      </c>
      <c r="Q209" s="80" t="s">
        <v>7756</v>
      </c>
      <c r="R209" s="80" t="s">
        <v>7757</v>
      </c>
    </row>
    <row r="210" spans="1:18">
      <c r="A210" s="320">
        <v>45839</v>
      </c>
      <c r="B210" s="320" t="s">
        <v>7795</v>
      </c>
      <c r="C210" t="s">
        <v>7519</v>
      </c>
      <c r="D210" t="s">
        <v>391</v>
      </c>
      <c r="E210" s="47" t="s">
        <v>7520</v>
      </c>
      <c r="F210" s="47">
        <v>2025</v>
      </c>
      <c r="G210" s="47" t="s">
        <v>275</v>
      </c>
      <c r="H210" s="199">
        <v>248961</v>
      </c>
      <c r="I210" s="313">
        <v>0</v>
      </c>
      <c r="J210" s="313">
        <v>0</v>
      </c>
      <c r="K210" s="313">
        <f t="shared" si="27"/>
        <v>0</v>
      </c>
      <c r="L210" s="313"/>
      <c r="M210" s="199">
        <f t="shared" si="29"/>
        <v>248961</v>
      </c>
      <c r="N210" s="313">
        <v>0</v>
      </c>
      <c r="O210" s="313">
        <f t="shared" si="28"/>
        <v>137523860</v>
      </c>
      <c r="P210" s="80" t="s">
        <v>6</v>
      </c>
      <c r="Q210" s="80" t="s">
        <v>7756</v>
      </c>
      <c r="R210" s="80" t="s">
        <v>7757</v>
      </c>
    </row>
    <row r="211" spans="1:18">
      <c r="A211" s="320">
        <v>45839</v>
      </c>
      <c r="B211" s="320" t="s">
        <v>7795</v>
      </c>
      <c r="C211" t="s">
        <v>7521</v>
      </c>
      <c r="D211" t="s">
        <v>391</v>
      </c>
      <c r="E211" s="47" t="s">
        <v>7522</v>
      </c>
      <c r="F211" s="47">
        <v>2025</v>
      </c>
      <c r="G211" s="47" t="s">
        <v>275</v>
      </c>
      <c r="H211" s="199">
        <v>90580</v>
      </c>
      <c r="I211" s="313">
        <v>0</v>
      </c>
      <c r="J211" s="313">
        <v>0</v>
      </c>
      <c r="K211" s="313">
        <f t="shared" si="27"/>
        <v>0</v>
      </c>
      <c r="L211" s="313"/>
      <c r="M211" s="199">
        <f t="shared" si="29"/>
        <v>90580</v>
      </c>
      <c r="N211" s="313">
        <v>0</v>
      </c>
      <c r="O211" s="313">
        <f t="shared" si="28"/>
        <v>137433280</v>
      </c>
      <c r="P211" s="80" t="s">
        <v>6</v>
      </c>
      <c r="Q211" s="80" t="s">
        <v>7756</v>
      </c>
      <c r="R211" s="80" t="s">
        <v>7757</v>
      </c>
    </row>
    <row r="212" spans="1:18">
      <c r="A212" s="320">
        <v>45839</v>
      </c>
      <c r="B212" s="320" t="s">
        <v>7795</v>
      </c>
      <c r="C212" t="s">
        <v>7523</v>
      </c>
      <c r="D212" t="s">
        <v>391</v>
      </c>
      <c r="E212" s="47" t="s">
        <v>7524</v>
      </c>
      <c r="F212" s="47">
        <v>2025</v>
      </c>
      <c r="G212" s="47" t="s">
        <v>275</v>
      </c>
      <c r="H212" s="199">
        <v>41910</v>
      </c>
      <c r="I212" s="313">
        <v>0</v>
      </c>
      <c r="J212" s="313">
        <v>0</v>
      </c>
      <c r="K212" s="313">
        <f t="shared" si="27"/>
        <v>0</v>
      </c>
      <c r="L212" s="313"/>
      <c r="M212" s="199">
        <f t="shared" si="29"/>
        <v>41910</v>
      </c>
      <c r="N212" s="313">
        <v>0</v>
      </c>
      <c r="O212" s="313">
        <f t="shared" si="28"/>
        <v>137391370</v>
      </c>
      <c r="P212" s="80" t="s">
        <v>6</v>
      </c>
      <c r="Q212" s="80" t="s">
        <v>7756</v>
      </c>
      <c r="R212" s="80" t="s">
        <v>7757</v>
      </c>
    </row>
    <row r="213" spans="1:18">
      <c r="A213" s="320">
        <v>45839</v>
      </c>
      <c r="B213" s="320" t="s">
        <v>7795</v>
      </c>
      <c r="C213" t="s">
        <v>7525</v>
      </c>
      <c r="D213" t="s">
        <v>391</v>
      </c>
      <c r="E213" s="47" t="s">
        <v>7526</v>
      </c>
      <c r="F213" s="47">
        <v>2025</v>
      </c>
      <c r="G213" s="47" t="s">
        <v>275</v>
      </c>
      <c r="H213" s="199">
        <v>51714</v>
      </c>
      <c r="I213" s="313">
        <v>0</v>
      </c>
      <c r="J213" s="313">
        <v>0</v>
      </c>
      <c r="K213" s="313">
        <f t="shared" si="27"/>
        <v>0</v>
      </c>
      <c r="L213" s="313"/>
      <c r="M213" s="199">
        <f t="shared" si="29"/>
        <v>51714</v>
      </c>
      <c r="N213" s="313">
        <v>0</v>
      </c>
      <c r="O213" s="313">
        <f t="shared" si="28"/>
        <v>137339656</v>
      </c>
      <c r="P213" s="80" t="s">
        <v>6</v>
      </c>
      <c r="Q213" s="80" t="s">
        <v>7756</v>
      </c>
      <c r="R213" s="80" t="s">
        <v>7757</v>
      </c>
    </row>
    <row r="214" spans="1:18">
      <c r="A214" s="320">
        <v>45839</v>
      </c>
      <c r="B214" s="320" t="s">
        <v>7795</v>
      </c>
      <c r="C214" t="s">
        <v>7527</v>
      </c>
      <c r="D214" t="s">
        <v>391</v>
      </c>
      <c r="E214" s="47" t="s">
        <v>7528</v>
      </c>
      <c r="F214" s="47">
        <v>2025</v>
      </c>
      <c r="G214" s="47" t="s">
        <v>275</v>
      </c>
      <c r="H214" s="199">
        <v>41910</v>
      </c>
      <c r="I214" s="313">
        <v>0</v>
      </c>
      <c r="J214" s="313">
        <v>0</v>
      </c>
      <c r="K214" s="313">
        <f t="shared" si="27"/>
        <v>0</v>
      </c>
      <c r="L214" s="313"/>
      <c r="M214" s="199">
        <f t="shared" si="29"/>
        <v>41910</v>
      </c>
      <c r="N214" s="313">
        <v>0</v>
      </c>
      <c r="O214" s="313">
        <f t="shared" si="28"/>
        <v>137297746</v>
      </c>
      <c r="P214" s="80" t="s">
        <v>6</v>
      </c>
      <c r="Q214" s="80" t="s">
        <v>7756</v>
      </c>
      <c r="R214" s="80" t="s">
        <v>7757</v>
      </c>
    </row>
    <row r="215" spans="1:18">
      <c r="A215" s="320">
        <v>45839</v>
      </c>
      <c r="B215" s="320" t="s">
        <v>7795</v>
      </c>
      <c r="C215" t="s">
        <v>7529</v>
      </c>
      <c r="D215" t="s">
        <v>391</v>
      </c>
      <c r="E215" s="47" t="s">
        <v>7530</v>
      </c>
      <c r="F215" s="47">
        <v>2025</v>
      </c>
      <c r="G215" s="47" t="s">
        <v>275</v>
      </c>
      <c r="H215" s="199">
        <v>51714</v>
      </c>
      <c r="I215" s="313">
        <v>0</v>
      </c>
      <c r="J215" s="313">
        <v>0</v>
      </c>
      <c r="K215" s="313">
        <f t="shared" si="27"/>
        <v>0</v>
      </c>
      <c r="L215" s="313"/>
      <c r="M215" s="199">
        <f t="shared" si="29"/>
        <v>51714</v>
      </c>
      <c r="N215" s="313">
        <v>0</v>
      </c>
      <c r="O215" s="313">
        <f t="shared" si="28"/>
        <v>137246032</v>
      </c>
      <c r="P215" s="80" t="s">
        <v>6</v>
      </c>
      <c r="Q215" s="80" t="s">
        <v>7756</v>
      </c>
      <c r="R215" s="80" t="s">
        <v>7757</v>
      </c>
    </row>
    <row r="216" spans="1:18">
      <c r="A216" s="320">
        <v>45839</v>
      </c>
      <c r="B216" s="320" t="s">
        <v>7795</v>
      </c>
      <c r="C216" t="s">
        <v>7531</v>
      </c>
      <c r="D216" t="s">
        <v>391</v>
      </c>
      <c r="E216" s="47" t="s">
        <v>7532</v>
      </c>
      <c r="F216" s="47">
        <v>2025</v>
      </c>
      <c r="G216" s="47" t="s">
        <v>275</v>
      </c>
      <c r="H216" s="199">
        <v>296357</v>
      </c>
      <c r="I216" s="313">
        <v>0</v>
      </c>
      <c r="J216" s="313">
        <v>0</v>
      </c>
      <c r="K216" s="313">
        <f t="shared" si="27"/>
        <v>0</v>
      </c>
      <c r="L216" s="313"/>
      <c r="M216" s="199">
        <f t="shared" si="29"/>
        <v>296357</v>
      </c>
      <c r="N216" s="313">
        <v>0</v>
      </c>
      <c r="O216" s="313">
        <f t="shared" si="28"/>
        <v>136949675</v>
      </c>
      <c r="P216" s="80" t="s">
        <v>6</v>
      </c>
      <c r="Q216" s="80" t="s">
        <v>7756</v>
      </c>
      <c r="R216" s="80" t="s">
        <v>7757</v>
      </c>
    </row>
    <row r="217" spans="1:18">
      <c r="A217" s="320">
        <v>45839</v>
      </c>
      <c r="B217" s="320" t="s">
        <v>7795</v>
      </c>
      <c r="C217" t="s">
        <v>7533</v>
      </c>
      <c r="D217" t="s">
        <v>391</v>
      </c>
      <c r="E217" s="47" t="s">
        <v>7534</v>
      </c>
      <c r="F217" s="47">
        <v>2025</v>
      </c>
      <c r="G217" s="47" t="s">
        <v>275</v>
      </c>
      <c r="H217" s="199">
        <v>19800</v>
      </c>
      <c r="I217" s="313">
        <v>0</v>
      </c>
      <c r="J217" s="313">
        <v>0</v>
      </c>
      <c r="K217" s="313">
        <f t="shared" si="27"/>
        <v>0</v>
      </c>
      <c r="L217" s="313"/>
      <c r="M217" s="199">
        <f t="shared" si="29"/>
        <v>19800</v>
      </c>
      <c r="N217" s="313">
        <v>0</v>
      </c>
      <c r="O217" s="313">
        <f t="shared" si="28"/>
        <v>136929875</v>
      </c>
      <c r="P217" s="80" t="s">
        <v>6</v>
      </c>
      <c r="Q217" s="80" t="s">
        <v>7756</v>
      </c>
      <c r="R217" s="80" t="s">
        <v>7757</v>
      </c>
    </row>
    <row r="218" spans="1:18">
      <c r="A218" s="320">
        <v>45839</v>
      </c>
      <c r="B218" s="320" t="s">
        <v>7795</v>
      </c>
      <c r="C218" t="s">
        <v>7535</v>
      </c>
      <c r="D218" t="s">
        <v>391</v>
      </c>
      <c r="E218" s="47" t="s">
        <v>7536</v>
      </c>
      <c r="F218" s="47">
        <v>2025</v>
      </c>
      <c r="G218" s="47" t="s">
        <v>275</v>
      </c>
      <c r="H218" s="199">
        <v>101739</v>
      </c>
      <c r="I218" s="313">
        <v>0</v>
      </c>
      <c r="J218" s="313">
        <v>0</v>
      </c>
      <c r="K218" s="313">
        <f t="shared" si="27"/>
        <v>0</v>
      </c>
      <c r="L218" s="313"/>
      <c r="M218" s="199">
        <f t="shared" si="29"/>
        <v>101739</v>
      </c>
      <c r="N218" s="313">
        <v>0</v>
      </c>
      <c r="O218" s="313">
        <f t="shared" si="28"/>
        <v>136828136</v>
      </c>
      <c r="P218" s="80" t="s">
        <v>6</v>
      </c>
      <c r="Q218" s="80" t="s">
        <v>7756</v>
      </c>
      <c r="R218" s="80" t="s">
        <v>7757</v>
      </c>
    </row>
    <row r="219" spans="1:18">
      <c r="A219" s="320">
        <v>45839</v>
      </c>
      <c r="B219" s="320" t="s">
        <v>7795</v>
      </c>
      <c r="C219" t="s">
        <v>7537</v>
      </c>
      <c r="D219" t="s">
        <v>391</v>
      </c>
      <c r="E219" s="47" t="s">
        <v>7538</v>
      </c>
      <c r="F219" s="47">
        <v>2025</v>
      </c>
      <c r="G219" s="47" t="s">
        <v>275</v>
      </c>
      <c r="H219" s="199">
        <v>28474</v>
      </c>
      <c r="I219" s="313">
        <v>0</v>
      </c>
      <c r="J219" s="313">
        <v>0</v>
      </c>
      <c r="K219" s="313">
        <f t="shared" si="27"/>
        <v>0</v>
      </c>
      <c r="L219" s="313"/>
      <c r="M219" s="199">
        <f t="shared" si="29"/>
        <v>28474</v>
      </c>
      <c r="N219" s="313">
        <v>0</v>
      </c>
      <c r="O219" s="313">
        <f t="shared" si="28"/>
        <v>136799662</v>
      </c>
      <c r="P219" s="80" t="s">
        <v>6</v>
      </c>
      <c r="Q219" s="80" t="s">
        <v>7756</v>
      </c>
      <c r="R219" s="80" t="s">
        <v>7757</v>
      </c>
    </row>
    <row r="220" spans="1:18">
      <c r="A220" s="320">
        <v>45839</v>
      </c>
      <c r="B220" s="320" t="s">
        <v>7795</v>
      </c>
      <c r="C220" t="s">
        <v>7539</v>
      </c>
      <c r="D220" t="s">
        <v>391</v>
      </c>
      <c r="E220" s="47" t="s">
        <v>7540</v>
      </c>
      <c r="F220" s="47">
        <v>2025</v>
      </c>
      <c r="G220" s="47" t="s">
        <v>275</v>
      </c>
      <c r="H220" s="199">
        <v>13205</v>
      </c>
      <c r="I220" s="313">
        <v>0</v>
      </c>
      <c r="J220" s="313">
        <v>0</v>
      </c>
      <c r="K220" s="313">
        <f t="shared" si="27"/>
        <v>0</v>
      </c>
      <c r="L220" s="313"/>
      <c r="M220" s="199">
        <f t="shared" si="29"/>
        <v>13205</v>
      </c>
      <c r="N220" s="313">
        <v>0</v>
      </c>
      <c r="O220" s="313">
        <f t="shared" si="28"/>
        <v>136786457</v>
      </c>
      <c r="P220" s="80" t="s">
        <v>6</v>
      </c>
      <c r="Q220" s="80" t="s">
        <v>7756</v>
      </c>
      <c r="R220" s="80" t="s">
        <v>7757</v>
      </c>
    </row>
    <row r="221" spans="1:18">
      <c r="A221" s="320">
        <v>45839</v>
      </c>
      <c r="B221" s="320" t="s">
        <v>7795</v>
      </c>
      <c r="C221" t="s">
        <v>7541</v>
      </c>
      <c r="D221" t="s">
        <v>391</v>
      </c>
      <c r="E221" s="47" t="s">
        <v>7542</v>
      </c>
      <c r="F221" s="47">
        <v>2025</v>
      </c>
      <c r="G221" s="47" t="s">
        <v>275</v>
      </c>
      <c r="H221" s="199">
        <v>13205</v>
      </c>
      <c r="I221" s="313">
        <v>0</v>
      </c>
      <c r="J221" s="313">
        <v>0</v>
      </c>
      <c r="K221" s="313">
        <f t="shared" si="27"/>
        <v>0</v>
      </c>
      <c r="L221" s="313"/>
      <c r="M221" s="199">
        <f t="shared" si="29"/>
        <v>13205</v>
      </c>
      <c r="N221" s="313">
        <v>0</v>
      </c>
      <c r="O221" s="313">
        <f t="shared" si="28"/>
        <v>136773252</v>
      </c>
      <c r="P221" s="80" t="s">
        <v>6</v>
      </c>
      <c r="Q221" s="80" t="s">
        <v>7756</v>
      </c>
      <c r="R221" s="80" t="s">
        <v>7757</v>
      </c>
    </row>
    <row r="222" spans="1:18">
      <c r="A222" s="320">
        <v>45839</v>
      </c>
      <c r="B222" s="320" t="s">
        <v>7795</v>
      </c>
      <c r="C222" t="s">
        <v>7543</v>
      </c>
      <c r="D222" t="s">
        <v>391</v>
      </c>
      <c r="E222" s="47" t="s">
        <v>7544</v>
      </c>
      <c r="F222" s="47">
        <v>2025</v>
      </c>
      <c r="G222" s="47" t="s">
        <v>275</v>
      </c>
      <c r="H222" s="199">
        <v>13205</v>
      </c>
      <c r="I222" s="313">
        <v>0</v>
      </c>
      <c r="J222" s="313">
        <v>0</v>
      </c>
      <c r="K222" s="313">
        <f t="shared" si="27"/>
        <v>0</v>
      </c>
      <c r="L222" s="313"/>
      <c r="M222" s="199">
        <f t="shared" si="29"/>
        <v>13205</v>
      </c>
      <c r="N222" s="313">
        <v>0</v>
      </c>
      <c r="O222" s="313">
        <f t="shared" si="28"/>
        <v>136760047</v>
      </c>
      <c r="P222" s="80" t="s">
        <v>6</v>
      </c>
      <c r="Q222" s="80" t="s">
        <v>7756</v>
      </c>
      <c r="R222" s="80" t="s">
        <v>7757</v>
      </c>
    </row>
    <row r="223" spans="1:18">
      <c r="A223" s="320">
        <v>45839</v>
      </c>
      <c r="B223" s="320" t="s">
        <v>7795</v>
      </c>
      <c r="C223" t="s">
        <v>7545</v>
      </c>
      <c r="D223" t="s">
        <v>391</v>
      </c>
      <c r="E223" s="47" t="s">
        <v>7546</v>
      </c>
      <c r="F223" s="47">
        <v>2025</v>
      </c>
      <c r="G223" s="47" t="s">
        <v>275</v>
      </c>
      <c r="H223" s="336">
        <v>70409</v>
      </c>
      <c r="I223" s="313">
        <v>0</v>
      </c>
      <c r="J223" s="313">
        <v>0</v>
      </c>
      <c r="K223" s="313">
        <f t="shared" si="27"/>
        <v>0</v>
      </c>
      <c r="L223" s="313"/>
      <c r="M223" s="199">
        <f t="shared" si="29"/>
        <v>70409</v>
      </c>
      <c r="N223" s="313">
        <v>0</v>
      </c>
      <c r="O223" s="313">
        <f t="shared" si="28"/>
        <v>136689638</v>
      </c>
      <c r="P223" s="80" t="s">
        <v>6</v>
      </c>
      <c r="Q223" s="80" t="s">
        <v>7756</v>
      </c>
      <c r="R223" s="80" t="s">
        <v>7757</v>
      </c>
    </row>
    <row r="224" spans="1:18">
      <c r="A224" s="320">
        <v>45839</v>
      </c>
      <c r="B224" s="320" t="s">
        <v>7795</v>
      </c>
      <c r="C224" t="s">
        <v>7547</v>
      </c>
      <c r="D224" t="s">
        <v>391</v>
      </c>
      <c r="E224" s="47" t="s">
        <v>7548</v>
      </c>
      <c r="F224" s="47">
        <v>2025</v>
      </c>
      <c r="G224" s="47" t="s">
        <v>275</v>
      </c>
      <c r="H224" s="199">
        <v>14592</v>
      </c>
      <c r="I224" s="313">
        <v>0</v>
      </c>
      <c r="J224" s="313">
        <v>0</v>
      </c>
      <c r="K224" s="313">
        <f t="shared" si="27"/>
        <v>0</v>
      </c>
      <c r="L224" s="313"/>
      <c r="M224" s="199">
        <f t="shared" si="29"/>
        <v>14592</v>
      </c>
      <c r="N224" s="313">
        <v>0</v>
      </c>
      <c r="O224" s="313">
        <f t="shared" si="28"/>
        <v>136675046</v>
      </c>
      <c r="P224" s="80" t="s">
        <v>6</v>
      </c>
      <c r="Q224" s="80" t="s">
        <v>7756</v>
      </c>
      <c r="R224" s="80" t="s">
        <v>7757</v>
      </c>
    </row>
    <row r="225" spans="1:23">
      <c r="A225" s="320">
        <v>45839</v>
      </c>
      <c r="B225" s="320" t="s">
        <v>7795</v>
      </c>
      <c r="C225" t="s">
        <v>7549</v>
      </c>
      <c r="D225" t="s">
        <v>391</v>
      </c>
      <c r="E225" s="47" t="s">
        <v>7550</v>
      </c>
      <c r="F225" s="47">
        <v>2025</v>
      </c>
      <c r="G225" s="47" t="s">
        <v>275</v>
      </c>
      <c r="H225" s="199">
        <v>14592</v>
      </c>
      <c r="I225" s="313">
        <v>0</v>
      </c>
      <c r="J225" s="313">
        <v>0</v>
      </c>
      <c r="K225" s="313">
        <f t="shared" si="27"/>
        <v>0</v>
      </c>
      <c r="L225" s="313"/>
      <c r="M225" s="199">
        <f t="shared" si="29"/>
        <v>14592</v>
      </c>
      <c r="N225" s="313">
        <v>0</v>
      </c>
      <c r="O225" s="313">
        <f t="shared" si="28"/>
        <v>136660454</v>
      </c>
      <c r="P225" s="80" t="s">
        <v>6</v>
      </c>
      <c r="Q225" s="80" t="s">
        <v>7756</v>
      </c>
      <c r="R225" s="80" t="s">
        <v>7757</v>
      </c>
    </row>
    <row r="226" spans="1:23">
      <c r="A226" s="320">
        <v>45839</v>
      </c>
      <c r="B226" s="320" t="s">
        <v>7795</v>
      </c>
      <c r="C226" t="s">
        <v>7551</v>
      </c>
      <c r="D226" t="s">
        <v>391</v>
      </c>
      <c r="E226" s="47" t="s">
        <v>7552</v>
      </c>
      <c r="F226" s="47">
        <v>2025</v>
      </c>
      <c r="G226" s="47" t="s">
        <v>275</v>
      </c>
      <c r="H226" s="199">
        <v>14592</v>
      </c>
      <c r="I226" s="313">
        <v>0</v>
      </c>
      <c r="J226" s="313">
        <v>0</v>
      </c>
      <c r="K226" s="313">
        <f t="shared" si="27"/>
        <v>0</v>
      </c>
      <c r="L226" s="313"/>
      <c r="M226" s="199">
        <f t="shared" si="29"/>
        <v>14592</v>
      </c>
      <c r="N226" s="313">
        <v>0</v>
      </c>
      <c r="O226" s="313">
        <f t="shared" si="28"/>
        <v>136645862</v>
      </c>
      <c r="P226" s="80" t="s">
        <v>6</v>
      </c>
      <c r="Q226" s="80" t="s">
        <v>7756</v>
      </c>
      <c r="R226" s="80" t="s">
        <v>7757</v>
      </c>
    </row>
    <row r="227" spans="1:23">
      <c r="A227" s="320">
        <v>45839</v>
      </c>
      <c r="B227" s="320" t="s">
        <v>7795</v>
      </c>
      <c r="C227" t="s">
        <v>7553</v>
      </c>
      <c r="D227" t="s">
        <v>391</v>
      </c>
      <c r="E227" s="47" t="s">
        <v>7554</v>
      </c>
      <c r="F227" s="47">
        <v>2025</v>
      </c>
      <c r="G227" s="47" t="s">
        <v>275</v>
      </c>
      <c r="H227" s="199">
        <v>14592</v>
      </c>
      <c r="I227" s="313">
        <v>0</v>
      </c>
      <c r="J227" s="313">
        <v>0</v>
      </c>
      <c r="K227" s="313">
        <f t="shared" si="27"/>
        <v>0</v>
      </c>
      <c r="L227" s="313"/>
      <c r="M227" s="199">
        <f t="shared" si="29"/>
        <v>14592</v>
      </c>
      <c r="N227" s="313">
        <v>0</v>
      </c>
      <c r="O227" s="313">
        <f t="shared" si="28"/>
        <v>136631270</v>
      </c>
      <c r="P227" s="80" t="s">
        <v>6</v>
      </c>
      <c r="Q227" s="80" t="s">
        <v>7756</v>
      </c>
      <c r="R227" s="80" t="s">
        <v>7757</v>
      </c>
    </row>
    <row r="228" spans="1:23">
      <c r="A228" s="320">
        <v>45839</v>
      </c>
      <c r="B228" s="320" t="s">
        <v>7795</v>
      </c>
      <c r="C228" t="s">
        <v>7555</v>
      </c>
      <c r="D228" t="s">
        <v>391</v>
      </c>
      <c r="E228" s="47" t="s">
        <v>7556</v>
      </c>
      <c r="F228" s="315">
        <v>2025</v>
      </c>
      <c r="G228" s="47" t="s">
        <v>275</v>
      </c>
      <c r="H228" s="199">
        <v>14592</v>
      </c>
      <c r="I228" s="313">
        <v>0</v>
      </c>
      <c r="J228" s="313">
        <v>0</v>
      </c>
      <c r="K228" s="313">
        <f t="shared" si="27"/>
        <v>0</v>
      </c>
      <c r="L228" s="313"/>
      <c r="M228" s="199">
        <f t="shared" si="29"/>
        <v>14592</v>
      </c>
      <c r="N228" s="313">
        <v>0</v>
      </c>
      <c r="O228" s="313">
        <f t="shared" si="28"/>
        <v>136616678</v>
      </c>
      <c r="P228" s="80" t="s">
        <v>6</v>
      </c>
      <c r="Q228" s="80" t="s">
        <v>7756</v>
      </c>
      <c r="R228" s="80" t="s">
        <v>7757</v>
      </c>
    </row>
    <row r="229" spans="1:23">
      <c r="A229" s="320">
        <v>45839</v>
      </c>
      <c r="B229" s="320" t="s">
        <v>7795</v>
      </c>
      <c r="C229" t="s">
        <v>7557</v>
      </c>
      <c r="D229" t="s">
        <v>391</v>
      </c>
      <c r="E229" s="47" t="s">
        <v>7558</v>
      </c>
      <c r="F229" s="315">
        <v>2025</v>
      </c>
      <c r="G229" s="47" t="s">
        <v>275</v>
      </c>
      <c r="H229" s="199">
        <v>14592</v>
      </c>
      <c r="I229" s="313">
        <v>0</v>
      </c>
      <c r="J229" s="313">
        <v>0</v>
      </c>
      <c r="K229" s="313">
        <f t="shared" si="27"/>
        <v>0</v>
      </c>
      <c r="L229" s="313"/>
      <c r="M229" s="199">
        <f t="shared" si="29"/>
        <v>14592</v>
      </c>
      <c r="N229" s="313">
        <v>0</v>
      </c>
      <c r="O229" s="313">
        <f t="shared" si="28"/>
        <v>136602086</v>
      </c>
      <c r="P229" s="80" t="s">
        <v>6</v>
      </c>
      <c r="Q229" s="80" t="s">
        <v>7756</v>
      </c>
      <c r="R229" s="80" t="s">
        <v>7757</v>
      </c>
    </row>
    <row r="230" spans="1:23">
      <c r="A230" s="320">
        <v>45839</v>
      </c>
      <c r="B230" s="320" t="s">
        <v>7795</v>
      </c>
      <c r="C230" t="s">
        <v>7559</v>
      </c>
      <c r="D230" t="s">
        <v>391</v>
      </c>
      <c r="E230" s="47" t="s">
        <v>7560</v>
      </c>
      <c r="F230" s="315">
        <v>2025</v>
      </c>
      <c r="G230" s="47" t="s">
        <v>275</v>
      </c>
      <c r="H230" s="199">
        <v>14592</v>
      </c>
      <c r="I230" s="313">
        <v>0</v>
      </c>
      <c r="J230" s="313">
        <v>0</v>
      </c>
      <c r="K230" s="313">
        <f t="shared" si="27"/>
        <v>0</v>
      </c>
      <c r="L230" s="313"/>
      <c r="M230" s="199">
        <f t="shared" si="29"/>
        <v>14592</v>
      </c>
      <c r="N230" s="313">
        <v>0</v>
      </c>
      <c r="O230" s="313">
        <f t="shared" si="28"/>
        <v>136587494</v>
      </c>
      <c r="P230" s="80" t="s">
        <v>6</v>
      </c>
      <c r="Q230" s="80" t="s">
        <v>7756</v>
      </c>
      <c r="R230" s="80" t="s">
        <v>7757</v>
      </c>
    </row>
    <row r="231" spans="1:23">
      <c r="A231" s="320">
        <v>45839</v>
      </c>
      <c r="B231" s="320" t="s">
        <v>7795</v>
      </c>
      <c r="C231" t="s">
        <v>7561</v>
      </c>
      <c r="D231" t="s">
        <v>391</v>
      </c>
      <c r="E231" s="47" t="s">
        <v>7562</v>
      </c>
      <c r="F231" s="315">
        <v>2025</v>
      </c>
      <c r="G231" s="47" t="s">
        <v>275</v>
      </c>
      <c r="H231" s="199">
        <v>29183</v>
      </c>
      <c r="I231" s="313">
        <v>0</v>
      </c>
      <c r="J231" s="313">
        <v>0</v>
      </c>
      <c r="K231" s="313">
        <f t="shared" si="27"/>
        <v>0</v>
      </c>
      <c r="L231" s="313"/>
      <c r="M231" s="199">
        <f t="shared" si="29"/>
        <v>29183</v>
      </c>
      <c r="N231" s="313">
        <v>0</v>
      </c>
      <c r="O231" s="313">
        <f t="shared" si="28"/>
        <v>136558311</v>
      </c>
      <c r="P231" s="80" t="s">
        <v>6</v>
      </c>
      <c r="Q231" s="80" t="s">
        <v>7756</v>
      </c>
      <c r="R231" s="80" t="s">
        <v>7757</v>
      </c>
    </row>
    <row r="232" spans="1:23">
      <c r="A232" s="320">
        <v>45839</v>
      </c>
      <c r="B232" s="320" t="s">
        <v>7795</v>
      </c>
      <c r="C232" t="s">
        <v>7563</v>
      </c>
      <c r="D232" t="s">
        <v>391</v>
      </c>
      <c r="E232" s="47" t="s">
        <v>7564</v>
      </c>
      <c r="F232" s="315">
        <v>2025</v>
      </c>
      <c r="G232" s="47" t="s">
        <v>275</v>
      </c>
      <c r="H232" s="199">
        <v>14592</v>
      </c>
      <c r="I232" s="313">
        <v>0</v>
      </c>
      <c r="J232" s="313">
        <v>0</v>
      </c>
      <c r="K232" s="313">
        <f t="shared" si="27"/>
        <v>0</v>
      </c>
      <c r="L232" s="313"/>
      <c r="M232" s="199">
        <f t="shared" si="29"/>
        <v>14592</v>
      </c>
      <c r="N232" s="313">
        <v>0</v>
      </c>
      <c r="O232" s="313">
        <f t="shared" si="28"/>
        <v>136543719</v>
      </c>
      <c r="P232" s="80" t="s">
        <v>6</v>
      </c>
      <c r="Q232" s="80" t="s">
        <v>7756</v>
      </c>
      <c r="R232" s="80" t="s">
        <v>7757</v>
      </c>
    </row>
    <row r="233" spans="1:23">
      <c r="A233" s="320">
        <v>45839</v>
      </c>
      <c r="B233" s="320" t="s">
        <v>7795</v>
      </c>
      <c r="C233" t="s">
        <v>7565</v>
      </c>
      <c r="D233" t="s">
        <v>391</v>
      </c>
      <c r="E233" s="47" t="s">
        <v>7566</v>
      </c>
      <c r="F233" s="315">
        <v>2025</v>
      </c>
      <c r="G233" s="47" t="s">
        <v>275</v>
      </c>
      <c r="H233" s="199">
        <v>14592</v>
      </c>
      <c r="I233" s="313">
        <v>0</v>
      </c>
      <c r="J233" s="313">
        <v>0</v>
      </c>
      <c r="K233" s="313">
        <f t="shared" si="27"/>
        <v>0</v>
      </c>
      <c r="L233" s="313"/>
      <c r="M233" s="199">
        <f t="shared" si="29"/>
        <v>14592</v>
      </c>
      <c r="N233" s="313">
        <v>0</v>
      </c>
      <c r="O233" s="313">
        <f t="shared" si="28"/>
        <v>136529127</v>
      </c>
      <c r="P233" s="80" t="s">
        <v>6</v>
      </c>
      <c r="Q233" s="80" t="s">
        <v>7756</v>
      </c>
      <c r="R233" s="80" t="s">
        <v>7757</v>
      </c>
    </row>
    <row r="234" spans="1:23">
      <c r="A234" s="320">
        <v>45839</v>
      </c>
      <c r="B234" s="320" t="s">
        <v>7795</v>
      </c>
      <c r="C234" t="s">
        <v>7567</v>
      </c>
      <c r="D234" t="s">
        <v>7331</v>
      </c>
      <c r="E234" s="47" t="s">
        <v>7568</v>
      </c>
      <c r="F234" s="47">
        <v>2025</v>
      </c>
      <c r="G234" s="47" t="s">
        <v>274</v>
      </c>
      <c r="H234" s="316">
        <v>3307113</v>
      </c>
      <c r="I234" s="313">
        <f>H234</f>
        <v>3307113</v>
      </c>
      <c r="J234" s="313">
        <f>-I234</f>
        <v>-3307113</v>
      </c>
      <c r="K234" s="313">
        <f>I234+J234</f>
        <v>0</v>
      </c>
      <c r="L234" s="313"/>
      <c r="M234" s="334">
        <v>0</v>
      </c>
      <c r="N234" s="313">
        <v>0</v>
      </c>
      <c r="O234" s="313">
        <f t="shared" si="28"/>
        <v>136529127</v>
      </c>
      <c r="P234" t="s">
        <v>920</v>
      </c>
      <c r="Q234" s="8" t="s">
        <v>7858</v>
      </c>
      <c r="R234" t="s">
        <v>7880</v>
      </c>
      <c r="S234" s="37" t="s">
        <v>1526</v>
      </c>
      <c r="V234"/>
      <c r="W234"/>
    </row>
    <row r="235" spans="1:23" s="40" customFormat="1">
      <c r="A235" s="321">
        <v>45839</v>
      </c>
      <c r="B235" s="320" t="s">
        <v>7795</v>
      </c>
      <c r="C235" s="40" t="s">
        <v>7569</v>
      </c>
      <c r="D235" s="40" t="s">
        <v>7331</v>
      </c>
      <c r="E235" s="49" t="s">
        <v>7570</v>
      </c>
      <c r="F235" s="49">
        <v>2024</v>
      </c>
      <c r="G235" s="49" t="s">
        <v>274</v>
      </c>
      <c r="H235" s="51">
        <v>6739459</v>
      </c>
      <c r="I235" s="313">
        <f>H235</f>
        <v>6739459</v>
      </c>
      <c r="J235" s="313">
        <f>-I235</f>
        <v>-6739459</v>
      </c>
      <c r="K235" s="313">
        <f>I235+J235</f>
        <v>0</v>
      </c>
      <c r="L235" s="313"/>
      <c r="M235" s="116">
        <v>0</v>
      </c>
      <c r="N235" s="313">
        <v>0</v>
      </c>
      <c r="O235" s="313">
        <f t="shared" si="28"/>
        <v>136529127</v>
      </c>
      <c r="P235" t="s">
        <v>920</v>
      </c>
      <c r="Q235" s="8" t="s">
        <v>7858</v>
      </c>
      <c r="R235" s="8" t="s">
        <v>7879</v>
      </c>
      <c r="S235" s="37" t="s">
        <v>6338</v>
      </c>
    </row>
    <row r="236" spans="1:23">
      <c r="A236" s="320">
        <v>45870</v>
      </c>
      <c r="B236" s="320" t="s">
        <v>7032</v>
      </c>
      <c r="D236" t="s">
        <v>7235</v>
      </c>
      <c r="G236" s="47" t="s">
        <v>7796</v>
      </c>
      <c r="H236" s="116">
        <v>74324</v>
      </c>
      <c r="I236" s="313">
        <v>0</v>
      </c>
      <c r="J236" s="313">
        <v>0</v>
      </c>
      <c r="K236" s="313">
        <f t="shared" si="27"/>
        <v>0</v>
      </c>
      <c r="L236" s="313"/>
      <c r="M236" s="334">
        <v>0</v>
      </c>
      <c r="N236" s="116">
        <f t="shared" ref="N236:N241" si="30">H236</f>
        <v>74324</v>
      </c>
      <c r="O236" s="313">
        <f t="shared" si="28"/>
        <v>136603451</v>
      </c>
      <c r="P236" s="8" t="s">
        <v>920</v>
      </c>
      <c r="Q236" t="s">
        <v>7854</v>
      </c>
      <c r="R236" s="8" t="s">
        <v>7032</v>
      </c>
      <c r="S236" s="8" t="s">
        <v>4562</v>
      </c>
    </row>
    <row r="237" spans="1:23">
      <c r="A237" s="320">
        <v>45870</v>
      </c>
      <c r="B237" s="320" t="s">
        <v>7032</v>
      </c>
      <c r="D237" t="s">
        <v>7233</v>
      </c>
      <c r="G237" s="47" t="s">
        <v>7796</v>
      </c>
      <c r="H237" s="116">
        <v>1981982</v>
      </c>
      <c r="I237" s="313">
        <v>0</v>
      </c>
      <c r="J237" s="313">
        <v>0</v>
      </c>
      <c r="K237" s="313">
        <f t="shared" si="27"/>
        <v>0</v>
      </c>
      <c r="L237" s="313"/>
      <c r="M237" s="334">
        <v>0</v>
      </c>
      <c r="N237" s="116">
        <f t="shared" si="30"/>
        <v>1981982</v>
      </c>
      <c r="O237" s="313">
        <f t="shared" si="28"/>
        <v>138585433</v>
      </c>
      <c r="P237" s="80" t="s">
        <v>920</v>
      </c>
      <c r="Q237" t="s">
        <v>7856</v>
      </c>
      <c r="R237" s="40" t="s">
        <v>7032</v>
      </c>
      <c r="S237" t="s">
        <v>4562</v>
      </c>
    </row>
    <row r="238" spans="1:23">
      <c r="A238" s="320">
        <v>45870</v>
      </c>
      <c r="B238" s="320" t="s">
        <v>7032</v>
      </c>
      <c r="D238" t="s">
        <v>7571</v>
      </c>
      <c r="G238" s="47" t="s">
        <v>7796</v>
      </c>
      <c r="H238" s="116">
        <v>1111000</v>
      </c>
      <c r="I238" s="313">
        <v>0</v>
      </c>
      <c r="J238" s="313">
        <v>0</v>
      </c>
      <c r="K238" s="313">
        <f t="shared" si="27"/>
        <v>0</v>
      </c>
      <c r="L238" s="313"/>
      <c r="M238" s="334">
        <v>0</v>
      </c>
      <c r="N238" s="116">
        <f t="shared" si="30"/>
        <v>1111000</v>
      </c>
      <c r="O238" s="313">
        <f t="shared" si="28"/>
        <v>139696433</v>
      </c>
      <c r="P238" s="80" t="s">
        <v>920</v>
      </c>
      <c r="Q238" t="s">
        <v>7856</v>
      </c>
      <c r="R238" s="40" t="s">
        <v>7032</v>
      </c>
      <c r="S238" t="s">
        <v>4562</v>
      </c>
    </row>
    <row r="239" spans="1:23">
      <c r="A239" s="320">
        <v>45870</v>
      </c>
      <c r="B239" s="320" t="s">
        <v>7032</v>
      </c>
      <c r="D239" t="s">
        <v>7571</v>
      </c>
      <c r="G239" s="47" t="s">
        <v>7796</v>
      </c>
      <c r="H239" s="116">
        <v>4444000</v>
      </c>
      <c r="I239" s="313">
        <v>0</v>
      </c>
      <c r="J239" s="313">
        <v>0</v>
      </c>
      <c r="K239" s="313">
        <f t="shared" si="27"/>
        <v>0</v>
      </c>
      <c r="L239" s="313"/>
      <c r="M239" s="334">
        <v>0</v>
      </c>
      <c r="N239" s="116">
        <f t="shared" si="30"/>
        <v>4444000</v>
      </c>
      <c r="O239" s="313">
        <f t="shared" si="28"/>
        <v>144140433</v>
      </c>
      <c r="P239" t="s">
        <v>920</v>
      </c>
      <c r="Q239" t="s">
        <v>7856</v>
      </c>
      <c r="R239" t="s">
        <v>7032</v>
      </c>
      <c r="S239" t="s">
        <v>4562</v>
      </c>
    </row>
    <row r="240" spans="1:23">
      <c r="A240" s="320">
        <v>45870</v>
      </c>
      <c r="B240" s="320" t="s">
        <v>7032</v>
      </c>
      <c r="D240" t="s">
        <v>7237</v>
      </c>
      <c r="G240" s="47" t="s">
        <v>7796</v>
      </c>
      <c r="H240" s="116">
        <v>506000</v>
      </c>
      <c r="I240" s="313">
        <v>0</v>
      </c>
      <c r="J240" s="313">
        <v>0</v>
      </c>
      <c r="K240" s="313">
        <f t="shared" si="27"/>
        <v>0</v>
      </c>
      <c r="L240" s="313"/>
      <c r="M240" s="334">
        <v>0</v>
      </c>
      <c r="N240" s="116">
        <f t="shared" si="30"/>
        <v>506000</v>
      </c>
      <c r="O240" s="313">
        <f t="shared" si="28"/>
        <v>144646433</v>
      </c>
      <c r="P240" s="8" t="s">
        <v>920</v>
      </c>
      <c r="Q240" t="s">
        <v>7854</v>
      </c>
      <c r="R240" s="8" t="s">
        <v>7032</v>
      </c>
      <c r="S240" s="8" t="s">
        <v>4562</v>
      </c>
    </row>
    <row r="241" spans="1:23">
      <c r="A241" s="320">
        <v>45870</v>
      </c>
      <c r="B241" s="320" t="s">
        <v>7032</v>
      </c>
      <c r="D241" t="s">
        <v>7249</v>
      </c>
      <c r="G241" s="47" t="s">
        <v>7796</v>
      </c>
      <c r="H241" s="116">
        <v>385000</v>
      </c>
      <c r="I241" s="313">
        <v>0</v>
      </c>
      <c r="J241" s="313">
        <v>0</v>
      </c>
      <c r="K241" s="313">
        <f t="shared" si="27"/>
        <v>0</v>
      </c>
      <c r="L241" s="313"/>
      <c r="M241" s="334">
        <v>0</v>
      </c>
      <c r="N241" s="116">
        <f t="shared" si="30"/>
        <v>385000</v>
      </c>
      <c r="O241" s="313">
        <f t="shared" si="28"/>
        <v>145031433</v>
      </c>
      <c r="P241" t="s">
        <v>920</v>
      </c>
      <c r="Q241" t="s">
        <v>7854</v>
      </c>
      <c r="R241" t="s">
        <v>7032</v>
      </c>
      <c r="S241" t="s">
        <v>4562</v>
      </c>
    </row>
    <row r="242" spans="1:23">
      <c r="A242" s="320">
        <v>45870</v>
      </c>
      <c r="B242" s="320" t="s">
        <v>7795</v>
      </c>
      <c r="C242" t="s">
        <v>7572</v>
      </c>
      <c r="D242" t="s">
        <v>7256</v>
      </c>
      <c r="E242" s="47" t="s">
        <v>7573</v>
      </c>
      <c r="F242" s="47">
        <v>2025</v>
      </c>
      <c r="G242" s="47" t="s">
        <v>274</v>
      </c>
      <c r="H242" s="316">
        <v>89189189</v>
      </c>
      <c r="I242" s="313">
        <f>H242</f>
        <v>89189189</v>
      </c>
      <c r="J242" s="313">
        <f>-I242</f>
        <v>-89189189</v>
      </c>
      <c r="K242" s="313">
        <f>I242+J242</f>
        <v>0</v>
      </c>
      <c r="L242" s="313"/>
      <c r="M242" s="334">
        <v>0</v>
      </c>
      <c r="N242" s="313">
        <v>0</v>
      </c>
      <c r="O242" s="313">
        <f t="shared" si="28"/>
        <v>145031433</v>
      </c>
      <c r="P242" t="s">
        <v>920</v>
      </c>
      <c r="Q242" s="8" t="s">
        <v>7858</v>
      </c>
      <c r="R242" t="s">
        <v>7880</v>
      </c>
      <c r="S242" s="37" t="s">
        <v>1526</v>
      </c>
      <c r="V242"/>
      <c r="W242"/>
    </row>
    <row r="243" spans="1:23">
      <c r="A243" s="320">
        <v>45870</v>
      </c>
      <c r="B243" s="320" t="s">
        <v>7795</v>
      </c>
      <c r="C243" t="s">
        <v>7574</v>
      </c>
      <c r="D243" t="s">
        <v>3445</v>
      </c>
      <c r="E243" s="47" t="s">
        <v>7575</v>
      </c>
      <c r="F243" s="47">
        <v>2025</v>
      </c>
      <c r="G243" s="47" t="s">
        <v>275</v>
      </c>
      <c r="H243" s="199">
        <v>834082</v>
      </c>
      <c r="I243" s="313">
        <v>0</v>
      </c>
      <c r="J243" s="313">
        <v>0</v>
      </c>
      <c r="K243" s="313">
        <f t="shared" si="27"/>
        <v>0</v>
      </c>
      <c r="L243" s="313"/>
      <c r="M243" s="199">
        <f>H243</f>
        <v>834082</v>
      </c>
      <c r="N243" s="313">
        <v>0</v>
      </c>
      <c r="O243" s="313">
        <f t="shared" si="28"/>
        <v>144197351</v>
      </c>
      <c r="P243" s="80" t="s">
        <v>6</v>
      </c>
      <c r="Q243" s="80" t="s">
        <v>7756</v>
      </c>
      <c r="R243" s="80" t="s">
        <v>7757</v>
      </c>
    </row>
    <row r="244" spans="1:23">
      <c r="A244" s="320">
        <v>45870</v>
      </c>
      <c r="B244" s="320" t="s">
        <v>7795</v>
      </c>
      <c r="C244" t="s">
        <v>7576</v>
      </c>
      <c r="D244" t="s">
        <v>2315</v>
      </c>
      <c r="E244" s="47" t="s">
        <v>7577</v>
      </c>
      <c r="F244" s="47">
        <v>2025</v>
      </c>
      <c r="G244" s="47" t="s">
        <v>275</v>
      </c>
      <c r="H244" s="199">
        <v>224607</v>
      </c>
      <c r="I244" s="313">
        <v>0</v>
      </c>
      <c r="J244" s="313">
        <v>0</v>
      </c>
      <c r="K244" s="313">
        <f t="shared" si="27"/>
        <v>0</v>
      </c>
      <c r="L244" s="313"/>
      <c r="M244" s="199">
        <f>H244</f>
        <v>224607</v>
      </c>
      <c r="N244" s="313">
        <v>0</v>
      </c>
      <c r="O244" s="313">
        <f t="shared" si="28"/>
        <v>143972744</v>
      </c>
      <c r="P244" s="80" t="s">
        <v>6</v>
      </c>
      <c r="Q244" s="80" t="s">
        <v>7756</v>
      </c>
      <c r="R244" s="80" t="s">
        <v>7757</v>
      </c>
    </row>
    <row r="245" spans="1:23">
      <c r="A245" s="320">
        <v>45870</v>
      </c>
      <c r="B245" s="320" t="s">
        <v>7795</v>
      </c>
      <c r="C245" t="s">
        <v>7578</v>
      </c>
      <c r="D245" t="s">
        <v>5857</v>
      </c>
      <c r="E245" s="47" t="s">
        <v>7579</v>
      </c>
      <c r="F245" s="47">
        <v>2025</v>
      </c>
      <c r="G245" s="47" t="s">
        <v>274</v>
      </c>
      <c r="H245" s="316">
        <v>74324324</v>
      </c>
      <c r="I245" s="313">
        <f>H245</f>
        <v>74324324</v>
      </c>
      <c r="J245" s="313">
        <f>-I245</f>
        <v>-74324324</v>
      </c>
      <c r="K245" s="313">
        <f>I245+J245</f>
        <v>0</v>
      </c>
      <c r="L245" s="313"/>
      <c r="M245" s="334">
        <v>0</v>
      </c>
      <c r="N245" s="313">
        <v>0</v>
      </c>
      <c r="O245" s="313">
        <f t="shared" si="28"/>
        <v>143972744</v>
      </c>
      <c r="P245" t="s">
        <v>920</v>
      </c>
      <c r="Q245" s="8" t="s">
        <v>7858</v>
      </c>
      <c r="R245" t="s">
        <v>7880</v>
      </c>
      <c r="S245" s="37" t="s">
        <v>1526</v>
      </c>
      <c r="V245"/>
      <c r="W245"/>
    </row>
    <row r="246" spans="1:23">
      <c r="A246" s="320">
        <v>45870</v>
      </c>
      <c r="B246" s="320" t="s">
        <v>7795</v>
      </c>
      <c r="C246" t="s">
        <v>7580</v>
      </c>
      <c r="D246" t="s">
        <v>391</v>
      </c>
      <c r="E246" s="47" t="s">
        <v>7581</v>
      </c>
      <c r="F246" s="47">
        <v>2025</v>
      </c>
      <c r="G246" s="47" t="s">
        <v>275</v>
      </c>
      <c r="H246" s="199">
        <v>161551</v>
      </c>
      <c r="I246" s="313">
        <v>0</v>
      </c>
      <c r="J246" s="313">
        <v>0</v>
      </c>
      <c r="K246" s="313">
        <f t="shared" si="27"/>
        <v>0</v>
      </c>
      <c r="L246" s="313"/>
      <c r="M246" s="199">
        <f t="shared" ref="M246:M258" si="31">H246</f>
        <v>161551</v>
      </c>
      <c r="N246" s="313">
        <v>0</v>
      </c>
      <c r="O246" s="313">
        <f t="shared" si="28"/>
        <v>143811193</v>
      </c>
      <c r="P246" s="80" t="s">
        <v>6</v>
      </c>
      <c r="Q246" s="80" t="s">
        <v>7756</v>
      </c>
      <c r="R246" s="80" t="s">
        <v>7757</v>
      </c>
    </row>
    <row r="247" spans="1:23">
      <c r="A247" s="320">
        <v>45870</v>
      </c>
      <c r="B247" s="320" t="s">
        <v>7795</v>
      </c>
      <c r="C247" t="s">
        <v>7582</v>
      </c>
      <c r="D247" t="s">
        <v>2315</v>
      </c>
      <c r="E247" s="47" t="s">
        <v>7583</v>
      </c>
      <c r="F247" s="47">
        <v>2025</v>
      </c>
      <c r="G247" s="47" t="s">
        <v>275</v>
      </c>
      <c r="H247" s="199">
        <v>2091573</v>
      </c>
      <c r="I247" s="313">
        <v>0</v>
      </c>
      <c r="J247" s="313">
        <v>0</v>
      </c>
      <c r="K247" s="313">
        <f t="shared" si="27"/>
        <v>0</v>
      </c>
      <c r="L247" s="313"/>
      <c r="M247" s="199">
        <f t="shared" si="31"/>
        <v>2091573</v>
      </c>
      <c r="N247" s="313">
        <v>0</v>
      </c>
      <c r="O247" s="313">
        <f t="shared" si="28"/>
        <v>141719620</v>
      </c>
      <c r="P247" s="80" t="s">
        <v>6</v>
      </c>
      <c r="Q247" s="80" t="s">
        <v>7756</v>
      </c>
      <c r="R247" s="80" t="s">
        <v>7757</v>
      </c>
    </row>
    <row r="248" spans="1:23">
      <c r="A248" s="320">
        <v>45870</v>
      </c>
      <c r="B248" s="320" t="s">
        <v>7795</v>
      </c>
      <c r="C248" t="s">
        <v>7584</v>
      </c>
      <c r="D248" t="s">
        <v>391</v>
      </c>
      <c r="E248" s="47" t="s">
        <v>7585</v>
      </c>
      <c r="F248" s="47">
        <v>2025</v>
      </c>
      <c r="G248" s="47" t="s">
        <v>275</v>
      </c>
      <c r="H248" s="199">
        <v>534518</v>
      </c>
      <c r="I248" s="313">
        <v>0</v>
      </c>
      <c r="J248" s="313">
        <v>0</v>
      </c>
      <c r="K248" s="313">
        <f t="shared" si="27"/>
        <v>0</v>
      </c>
      <c r="L248" s="313"/>
      <c r="M248" s="199">
        <f t="shared" si="31"/>
        <v>534518</v>
      </c>
      <c r="N248" s="313">
        <v>0</v>
      </c>
      <c r="O248" s="313">
        <f t="shared" si="28"/>
        <v>141185102</v>
      </c>
      <c r="P248" s="80" t="s">
        <v>6</v>
      </c>
      <c r="Q248" s="80" t="s">
        <v>7756</v>
      </c>
      <c r="R248" s="80" t="s">
        <v>7757</v>
      </c>
    </row>
    <row r="249" spans="1:23">
      <c r="A249" s="320">
        <v>45870</v>
      </c>
      <c r="B249" s="320" t="s">
        <v>7795</v>
      </c>
      <c r="C249" t="s">
        <v>7586</v>
      </c>
      <c r="D249" t="s">
        <v>7416</v>
      </c>
      <c r="E249" s="47" t="s">
        <v>7587</v>
      </c>
      <c r="F249" s="47">
        <v>2025</v>
      </c>
      <c r="G249" s="47" t="s">
        <v>275</v>
      </c>
      <c r="H249" s="199">
        <v>1613850</v>
      </c>
      <c r="I249" s="313">
        <v>0</v>
      </c>
      <c r="J249" s="313">
        <v>0</v>
      </c>
      <c r="K249" s="313">
        <f t="shared" si="27"/>
        <v>0</v>
      </c>
      <c r="L249" s="313"/>
      <c r="M249" s="199">
        <f t="shared" si="31"/>
        <v>1613850</v>
      </c>
      <c r="N249" s="313">
        <v>0</v>
      </c>
      <c r="O249" s="313">
        <f t="shared" si="28"/>
        <v>139571252</v>
      </c>
      <c r="P249" s="80" t="s">
        <v>6</v>
      </c>
      <c r="Q249" s="80" t="s">
        <v>7756</v>
      </c>
      <c r="R249" s="80" t="s">
        <v>7757</v>
      </c>
    </row>
    <row r="250" spans="1:23">
      <c r="A250" s="320">
        <v>45870</v>
      </c>
      <c r="B250" s="320" t="s">
        <v>7795</v>
      </c>
      <c r="C250" t="s">
        <v>7588</v>
      </c>
      <c r="D250" t="s">
        <v>7416</v>
      </c>
      <c r="E250" s="47" t="s">
        <v>7589</v>
      </c>
      <c r="F250" s="47">
        <v>2025</v>
      </c>
      <c r="G250" s="47" t="s">
        <v>275</v>
      </c>
      <c r="H250" s="199">
        <v>2178000</v>
      </c>
      <c r="I250" s="313">
        <v>0</v>
      </c>
      <c r="J250" s="313">
        <v>0</v>
      </c>
      <c r="K250" s="313">
        <f t="shared" si="27"/>
        <v>0</v>
      </c>
      <c r="L250" s="313"/>
      <c r="M250" s="199">
        <f t="shared" si="31"/>
        <v>2178000</v>
      </c>
      <c r="N250" s="313">
        <v>0</v>
      </c>
      <c r="O250" s="313">
        <f t="shared" si="28"/>
        <v>137393252</v>
      </c>
      <c r="P250" s="80" t="s">
        <v>6</v>
      </c>
      <c r="Q250" s="80" t="s">
        <v>7756</v>
      </c>
      <c r="R250" s="80" t="s">
        <v>7757</v>
      </c>
    </row>
    <row r="251" spans="1:23">
      <c r="A251" s="320">
        <v>45870</v>
      </c>
      <c r="B251" s="320" t="s">
        <v>7795</v>
      </c>
      <c r="C251" t="s">
        <v>7590</v>
      </c>
      <c r="D251" t="s">
        <v>391</v>
      </c>
      <c r="E251" s="47" t="s">
        <v>7591</v>
      </c>
      <c r="F251" s="47">
        <v>2025</v>
      </c>
      <c r="G251" s="47" t="s">
        <v>275</v>
      </c>
      <c r="H251" s="199">
        <v>11495</v>
      </c>
      <c r="I251" s="313">
        <v>0</v>
      </c>
      <c r="J251" s="313">
        <v>0</v>
      </c>
      <c r="K251" s="313">
        <f t="shared" si="27"/>
        <v>0</v>
      </c>
      <c r="L251" s="313"/>
      <c r="M251" s="199">
        <f t="shared" si="31"/>
        <v>11495</v>
      </c>
      <c r="N251" s="313">
        <v>0</v>
      </c>
      <c r="O251" s="313">
        <f t="shared" si="28"/>
        <v>137381757</v>
      </c>
      <c r="P251" s="80" t="s">
        <v>6</v>
      </c>
      <c r="Q251" s="80" t="s">
        <v>7756</v>
      </c>
      <c r="R251" s="80" t="s">
        <v>7757</v>
      </c>
    </row>
    <row r="252" spans="1:23">
      <c r="A252" s="320">
        <v>45870</v>
      </c>
      <c r="B252" s="320" t="s">
        <v>7795</v>
      </c>
      <c r="C252" t="s">
        <v>7592</v>
      </c>
      <c r="D252" t="s">
        <v>391</v>
      </c>
      <c r="E252" s="47" t="s">
        <v>7593</v>
      </c>
      <c r="F252" s="47">
        <v>2025</v>
      </c>
      <c r="G252" s="47" t="s">
        <v>275</v>
      </c>
      <c r="H252" s="199">
        <v>1006235</v>
      </c>
      <c r="I252" s="313">
        <v>0</v>
      </c>
      <c r="J252" s="313">
        <v>0</v>
      </c>
      <c r="K252" s="313">
        <f t="shared" si="27"/>
        <v>0</v>
      </c>
      <c r="L252" s="313"/>
      <c r="M252" s="199">
        <f t="shared" si="31"/>
        <v>1006235</v>
      </c>
      <c r="N252" s="313">
        <v>0</v>
      </c>
      <c r="O252" s="313">
        <f t="shared" si="28"/>
        <v>136375522</v>
      </c>
      <c r="P252" s="80" t="s">
        <v>6</v>
      </c>
      <c r="Q252" s="80" t="s">
        <v>7756</v>
      </c>
      <c r="R252" s="80" t="s">
        <v>7757</v>
      </c>
    </row>
    <row r="253" spans="1:23">
      <c r="A253" s="320">
        <v>45870</v>
      </c>
      <c r="B253" s="320" t="s">
        <v>7795</v>
      </c>
      <c r="C253" t="s">
        <v>7594</v>
      </c>
      <c r="D253" t="s">
        <v>391</v>
      </c>
      <c r="E253" s="47" t="s">
        <v>7595</v>
      </c>
      <c r="F253" s="47">
        <v>2025</v>
      </c>
      <c r="G253" s="47" t="s">
        <v>275</v>
      </c>
      <c r="H253" s="199">
        <v>281510</v>
      </c>
      <c r="I253" s="313">
        <v>0</v>
      </c>
      <c r="J253" s="313">
        <v>0</v>
      </c>
      <c r="K253" s="313">
        <f t="shared" si="27"/>
        <v>0</v>
      </c>
      <c r="L253" s="313"/>
      <c r="M253" s="199">
        <f t="shared" si="31"/>
        <v>281510</v>
      </c>
      <c r="N253" s="313">
        <v>0</v>
      </c>
      <c r="O253" s="313">
        <f t="shared" si="28"/>
        <v>136094012</v>
      </c>
      <c r="P253" s="80" t="s">
        <v>6</v>
      </c>
      <c r="Q253" s="80" t="s">
        <v>7756</v>
      </c>
      <c r="R253" s="80" t="s">
        <v>7757</v>
      </c>
    </row>
    <row r="254" spans="1:23">
      <c r="A254" s="320">
        <v>45870</v>
      </c>
      <c r="B254" s="320" t="s">
        <v>7795</v>
      </c>
      <c r="C254" t="s">
        <v>7596</v>
      </c>
      <c r="D254" t="s">
        <v>7416</v>
      </c>
      <c r="E254" s="47" t="s">
        <v>7597</v>
      </c>
      <c r="F254" s="47">
        <v>2025</v>
      </c>
      <c r="G254" s="47" t="s">
        <v>275</v>
      </c>
      <c r="H254" s="199">
        <v>1629572</v>
      </c>
      <c r="I254" s="313">
        <v>0</v>
      </c>
      <c r="J254" s="313">
        <v>0</v>
      </c>
      <c r="K254" s="313">
        <f t="shared" si="27"/>
        <v>0</v>
      </c>
      <c r="L254" s="313"/>
      <c r="M254" s="199">
        <f t="shared" si="31"/>
        <v>1629572</v>
      </c>
      <c r="N254" s="313">
        <v>0</v>
      </c>
      <c r="O254" s="313">
        <f t="shared" si="28"/>
        <v>134464440</v>
      </c>
      <c r="P254" s="80" t="s">
        <v>6</v>
      </c>
      <c r="Q254" s="80" t="s">
        <v>7756</v>
      </c>
      <c r="R254" s="80" t="s">
        <v>7757</v>
      </c>
    </row>
    <row r="255" spans="1:23">
      <c r="A255" s="320">
        <v>45870</v>
      </c>
      <c r="B255" s="320" t="s">
        <v>7795</v>
      </c>
      <c r="C255" t="s">
        <v>7598</v>
      </c>
      <c r="D255" t="s">
        <v>391</v>
      </c>
      <c r="E255" s="47" t="s">
        <v>7599</v>
      </c>
      <c r="F255" s="47">
        <v>2025</v>
      </c>
      <c r="G255" s="47" t="s">
        <v>275</v>
      </c>
      <c r="H255" s="199">
        <v>207515</v>
      </c>
      <c r="I255" s="313">
        <v>0</v>
      </c>
      <c r="J255" s="313">
        <v>0</v>
      </c>
      <c r="K255" s="313">
        <f t="shared" si="27"/>
        <v>0</v>
      </c>
      <c r="L255" s="313"/>
      <c r="M255" s="199">
        <f t="shared" si="31"/>
        <v>207515</v>
      </c>
      <c r="N255" s="313">
        <v>0</v>
      </c>
      <c r="O255" s="313">
        <f t="shared" si="28"/>
        <v>134256925</v>
      </c>
      <c r="P255" s="80" t="s">
        <v>6</v>
      </c>
      <c r="Q255" s="80" t="s">
        <v>7756</v>
      </c>
      <c r="R255" s="80" t="s">
        <v>7757</v>
      </c>
    </row>
    <row r="256" spans="1:23">
      <c r="A256" s="320">
        <v>45870</v>
      </c>
      <c r="B256" s="320" t="s">
        <v>7795</v>
      </c>
      <c r="C256" t="s">
        <v>7600</v>
      </c>
      <c r="D256" t="s">
        <v>391</v>
      </c>
      <c r="E256" s="47" t="s">
        <v>7601</v>
      </c>
      <c r="F256" s="47">
        <v>2025</v>
      </c>
      <c r="G256" s="47" t="s">
        <v>275</v>
      </c>
      <c r="H256" s="199">
        <v>259999</v>
      </c>
      <c r="I256" s="313">
        <v>0</v>
      </c>
      <c r="J256" s="313">
        <v>0</v>
      </c>
      <c r="K256" s="313">
        <f t="shared" si="27"/>
        <v>0</v>
      </c>
      <c r="L256" s="313"/>
      <c r="M256" s="199">
        <f t="shared" si="31"/>
        <v>259999</v>
      </c>
      <c r="N256" s="313">
        <v>0</v>
      </c>
      <c r="O256" s="313">
        <f t="shared" si="28"/>
        <v>133996926</v>
      </c>
      <c r="P256" s="80" t="s">
        <v>6</v>
      </c>
      <c r="Q256" s="80" t="s">
        <v>7756</v>
      </c>
      <c r="R256" s="80" t="s">
        <v>7757</v>
      </c>
    </row>
    <row r="257" spans="1:26">
      <c r="A257" s="320">
        <v>45870</v>
      </c>
      <c r="B257" s="320" t="s">
        <v>7795</v>
      </c>
      <c r="C257" t="s">
        <v>7602</v>
      </c>
      <c r="D257" t="s">
        <v>7603</v>
      </c>
      <c r="E257" s="47" t="s">
        <v>7604</v>
      </c>
      <c r="F257" s="47">
        <v>2025</v>
      </c>
      <c r="G257" s="47" t="s">
        <v>275</v>
      </c>
      <c r="H257" s="199">
        <v>7586883</v>
      </c>
      <c r="I257" s="313">
        <v>0</v>
      </c>
      <c r="J257" s="313">
        <v>0</v>
      </c>
      <c r="K257" s="313">
        <f t="shared" si="27"/>
        <v>0</v>
      </c>
      <c r="L257" s="313"/>
      <c r="M257" s="199">
        <f t="shared" si="31"/>
        <v>7586883</v>
      </c>
      <c r="N257" s="313">
        <v>0</v>
      </c>
      <c r="O257" s="313">
        <f t="shared" si="28"/>
        <v>126410043</v>
      </c>
      <c r="P257" s="80" t="s">
        <v>6</v>
      </c>
      <c r="Q257" s="80" t="s">
        <v>7756</v>
      </c>
      <c r="R257" s="80" t="s">
        <v>7757</v>
      </c>
    </row>
    <row r="258" spans="1:26">
      <c r="A258" s="320">
        <v>45870</v>
      </c>
      <c r="B258" s="320" t="s">
        <v>7795</v>
      </c>
      <c r="C258" t="s">
        <v>7605</v>
      </c>
      <c r="D258" t="s">
        <v>391</v>
      </c>
      <c r="E258" s="47" t="s">
        <v>7606</v>
      </c>
      <c r="F258" s="47">
        <v>2025</v>
      </c>
      <c r="G258" s="47" t="s">
        <v>275</v>
      </c>
      <c r="H258" s="199">
        <v>263451</v>
      </c>
      <c r="I258" s="313">
        <v>0</v>
      </c>
      <c r="J258" s="313">
        <v>0</v>
      </c>
      <c r="K258" s="313">
        <f t="shared" si="27"/>
        <v>0</v>
      </c>
      <c r="L258" s="313"/>
      <c r="M258" s="199">
        <f t="shared" si="31"/>
        <v>263451</v>
      </c>
      <c r="N258" s="313">
        <v>0</v>
      </c>
      <c r="O258" s="313">
        <f t="shared" si="28"/>
        <v>126146592</v>
      </c>
      <c r="P258" s="80" t="s">
        <v>6</v>
      </c>
      <c r="Q258" s="80" t="s">
        <v>7756</v>
      </c>
      <c r="R258" s="80" t="s">
        <v>7757</v>
      </c>
    </row>
    <row r="259" spans="1:26">
      <c r="A259" s="320">
        <v>45870</v>
      </c>
      <c r="B259" s="320" t="s">
        <v>7795</v>
      </c>
      <c r="C259" t="s">
        <v>7607</v>
      </c>
      <c r="D259" t="s">
        <v>390</v>
      </c>
      <c r="E259" s="47" t="s">
        <v>7608</v>
      </c>
      <c r="F259" s="47">
        <v>2025</v>
      </c>
      <c r="G259" s="47" t="s">
        <v>274</v>
      </c>
      <c r="H259" s="316">
        <v>50954735</v>
      </c>
      <c r="I259" s="313">
        <f>H259</f>
        <v>50954735</v>
      </c>
      <c r="J259" s="313">
        <f>-I259</f>
        <v>-50954735</v>
      </c>
      <c r="K259" s="313">
        <f>I259+J259</f>
        <v>0</v>
      </c>
      <c r="L259" s="313"/>
      <c r="M259" s="334">
        <v>0</v>
      </c>
      <c r="N259" s="313">
        <v>0</v>
      </c>
      <c r="O259" s="313">
        <f t="shared" si="28"/>
        <v>126146592</v>
      </c>
      <c r="P259" t="s">
        <v>920</v>
      </c>
      <c r="Q259" s="8" t="s">
        <v>7858</v>
      </c>
      <c r="R259" t="s">
        <v>7880</v>
      </c>
      <c r="S259" s="37" t="s">
        <v>1526</v>
      </c>
      <c r="V259"/>
      <c r="W259"/>
    </row>
    <row r="260" spans="1:26" s="40" customFormat="1">
      <c r="A260" s="321">
        <v>45870</v>
      </c>
      <c r="B260" s="320" t="s">
        <v>7795</v>
      </c>
      <c r="C260" s="40" t="s">
        <v>7609</v>
      </c>
      <c r="D260" s="40" t="s">
        <v>7331</v>
      </c>
      <c r="E260" s="49" t="s">
        <v>7610</v>
      </c>
      <c r="F260" s="49">
        <v>2024</v>
      </c>
      <c r="G260" s="49" t="s">
        <v>274</v>
      </c>
      <c r="H260" s="51">
        <v>14045497</v>
      </c>
      <c r="I260" s="313">
        <f>H260</f>
        <v>14045497</v>
      </c>
      <c r="J260" s="313">
        <f>-I260</f>
        <v>-14045497</v>
      </c>
      <c r="K260" s="313">
        <f>I260+J260</f>
        <v>0</v>
      </c>
      <c r="L260" s="313"/>
      <c r="M260" s="116">
        <v>0</v>
      </c>
      <c r="N260" s="313">
        <v>0</v>
      </c>
      <c r="O260" s="313">
        <f t="shared" si="28"/>
        <v>126146592</v>
      </c>
      <c r="P260" t="s">
        <v>920</v>
      </c>
      <c r="Q260" s="8" t="s">
        <v>7858</v>
      </c>
      <c r="R260" s="8" t="s">
        <v>7879</v>
      </c>
      <c r="S260" s="37" t="s">
        <v>6338</v>
      </c>
    </row>
    <row r="261" spans="1:26">
      <c r="A261" s="320">
        <v>45870</v>
      </c>
      <c r="B261" s="320" t="s">
        <v>7795</v>
      </c>
      <c r="C261" t="s">
        <v>7611</v>
      </c>
      <c r="D261" t="s">
        <v>7331</v>
      </c>
      <c r="E261" s="47" t="s">
        <v>7612</v>
      </c>
      <c r="F261" s="47">
        <v>2025</v>
      </c>
      <c r="G261" s="47" t="s">
        <v>274</v>
      </c>
      <c r="H261" s="316">
        <v>6968098</v>
      </c>
      <c r="I261" s="313">
        <f>H261</f>
        <v>6968098</v>
      </c>
      <c r="J261" s="313">
        <f>-I261</f>
        <v>-6968098</v>
      </c>
      <c r="K261" s="313">
        <f>I261+J261</f>
        <v>0</v>
      </c>
      <c r="L261" s="313"/>
      <c r="M261" s="334">
        <v>0</v>
      </c>
      <c r="N261" s="313">
        <v>0</v>
      </c>
      <c r="O261" s="313">
        <f t="shared" si="28"/>
        <v>126146592</v>
      </c>
      <c r="P261" t="s">
        <v>920</v>
      </c>
      <c r="Q261" s="8" t="s">
        <v>7858</v>
      </c>
      <c r="R261" t="s">
        <v>7880</v>
      </c>
      <c r="S261" s="37" t="s">
        <v>1526</v>
      </c>
      <c r="V261"/>
      <c r="W261"/>
    </row>
    <row r="262" spans="1:26">
      <c r="A262" s="320">
        <v>45870</v>
      </c>
      <c r="B262" s="320" t="s">
        <v>7795</v>
      </c>
      <c r="C262" t="s">
        <v>7613</v>
      </c>
      <c r="D262" t="s">
        <v>3451</v>
      </c>
      <c r="E262" s="47" t="s">
        <v>7614</v>
      </c>
      <c r="F262" s="47">
        <v>2025</v>
      </c>
      <c r="G262" s="47" t="s">
        <v>275</v>
      </c>
      <c r="H262" s="199">
        <v>3781250</v>
      </c>
      <c r="I262" s="313">
        <v>0</v>
      </c>
      <c r="J262" s="313">
        <v>0</v>
      </c>
      <c r="K262" s="313">
        <f t="shared" ref="K262:K316" si="32">I262-J262</f>
        <v>0</v>
      </c>
      <c r="L262" s="313"/>
      <c r="M262" s="199">
        <f>H262</f>
        <v>3781250</v>
      </c>
      <c r="N262" s="313">
        <v>0</v>
      </c>
      <c r="O262" s="313">
        <f t="shared" si="28"/>
        <v>122365342</v>
      </c>
      <c r="P262" s="80" t="s">
        <v>6</v>
      </c>
      <c r="Q262" s="80" t="s">
        <v>7756</v>
      </c>
      <c r="R262" s="80" t="s">
        <v>7757</v>
      </c>
    </row>
    <row r="263" spans="1:26">
      <c r="A263" s="320">
        <v>45870</v>
      </c>
      <c r="B263" s="320" t="s">
        <v>7795</v>
      </c>
      <c r="C263" t="s">
        <v>7615</v>
      </c>
      <c r="D263" t="s">
        <v>3439</v>
      </c>
      <c r="E263" s="47" t="s">
        <v>7616</v>
      </c>
      <c r="F263" s="47">
        <v>2025</v>
      </c>
      <c r="G263" s="47" t="s">
        <v>275</v>
      </c>
      <c r="H263" s="199">
        <v>726000</v>
      </c>
      <c r="I263" s="313">
        <v>0</v>
      </c>
      <c r="J263" s="313">
        <v>0</v>
      </c>
      <c r="K263" s="313">
        <f t="shared" si="32"/>
        <v>0</v>
      </c>
      <c r="L263" s="313"/>
      <c r="M263" s="199">
        <f>H263</f>
        <v>726000</v>
      </c>
      <c r="N263" s="313">
        <v>0</v>
      </c>
      <c r="O263" s="313">
        <f t="shared" ref="O263:O326" si="33">O262-M263+N263</f>
        <v>121639342</v>
      </c>
      <c r="P263" s="80" t="s">
        <v>6</v>
      </c>
      <c r="Q263" s="80" t="s">
        <v>7756</v>
      </c>
      <c r="R263" s="80" t="s">
        <v>7757</v>
      </c>
    </row>
    <row r="264" spans="1:26">
      <c r="A264" s="320">
        <v>45870</v>
      </c>
      <c r="B264" s="320" t="s">
        <v>7795</v>
      </c>
      <c r="C264" t="s">
        <v>7617</v>
      </c>
      <c r="D264" t="s">
        <v>7416</v>
      </c>
      <c r="E264" s="47" t="s">
        <v>7618</v>
      </c>
      <c r="F264" s="47">
        <v>2025</v>
      </c>
      <c r="G264" s="47" t="s">
        <v>275</v>
      </c>
      <c r="H264" s="199">
        <v>216224</v>
      </c>
      <c r="I264" s="313">
        <v>0</v>
      </c>
      <c r="J264" s="313">
        <v>0</v>
      </c>
      <c r="K264" s="313">
        <f t="shared" si="32"/>
        <v>0</v>
      </c>
      <c r="L264" s="313"/>
      <c r="M264" s="199">
        <f>H264</f>
        <v>216224</v>
      </c>
      <c r="N264" s="313">
        <v>0</v>
      </c>
      <c r="O264" s="313">
        <f t="shared" si="33"/>
        <v>121423118</v>
      </c>
      <c r="P264" s="80" t="s">
        <v>6</v>
      </c>
      <c r="Q264" s="80" t="s">
        <v>7756</v>
      </c>
      <c r="R264" s="80" t="s">
        <v>7757</v>
      </c>
    </row>
    <row r="265" spans="1:26">
      <c r="A265" s="320">
        <v>45901</v>
      </c>
      <c r="B265" s="320" t="s">
        <v>7032</v>
      </c>
      <c r="D265" t="s">
        <v>7233</v>
      </c>
      <c r="G265" s="47" t="s">
        <v>7796</v>
      </c>
      <c r="H265" s="116">
        <v>1981982</v>
      </c>
      <c r="I265" s="313">
        <v>0</v>
      </c>
      <c r="J265" s="313">
        <v>0</v>
      </c>
      <c r="K265" s="313">
        <f t="shared" si="32"/>
        <v>0</v>
      </c>
      <c r="L265" s="313"/>
      <c r="M265" s="334">
        <v>0</v>
      </c>
      <c r="N265" s="116">
        <f>H265</f>
        <v>1981982</v>
      </c>
      <c r="O265" s="313">
        <f t="shared" si="33"/>
        <v>123405100</v>
      </c>
      <c r="P265" t="s">
        <v>920</v>
      </c>
      <c r="Q265" t="s">
        <v>7856</v>
      </c>
      <c r="R265" t="s">
        <v>7032</v>
      </c>
      <c r="S265" t="s">
        <v>4563</v>
      </c>
    </row>
    <row r="266" spans="1:26">
      <c r="A266" s="320">
        <v>45901</v>
      </c>
      <c r="B266" s="320" t="s">
        <v>7032</v>
      </c>
      <c r="D266" t="s">
        <v>7237</v>
      </c>
      <c r="G266" s="47" t="s">
        <v>7796</v>
      </c>
      <c r="H266" s="116">
        <v>506000</v>
      </c>
      <c r="I266" s="313">
        <v>0</v>
      </c>
      <c r="J266" s="313">
        <v>0</v>
      </c>
      <c r="K266" s="313">
        <f t="shared" si="32"/>
        <v>0</v>
      </c>
      <c r="L266" s="313"/>
      <c r="M266" s="334">
        <v>0</v>
      </c>
      <c r="N266" s="116">
        <f>H266</f>
        <v>506000</v>
      </c>
      <c r="O266" s="313">
        <f t="shared" si="33"/>
        <v>123911100</v>
      </c>
      <c r="P266" t="s">
        <v>920</v>
      </c>
      <c r="Q266" t="s">
        <v>7854</v>
      </c>
      <c r="R266" t="s">
        <v>7032</v>
      </c>
      <c r="S266" t="s">
        <v>4563</v>
      </c>
    </row>
    <row r="267" spans="1:26">
      <c r="A267" s="320">
        <v>45901</v>
      </c>
      <c r="B267" s="320" t="s">
        <v>7032</v>
      </c>
      <c r="D267" t="s">
        <v>7235</v>
      </c>
      <c r="E267" s="364" t="s">
        <v>26</v>
      </c>
      <c r="G267" s="47" t="s">
        <v>7796</v>
      </c>
      <c r="H267" s="116">
        <v>74324</v>
      </c>
      <c r="I267" s="313">
        <v>0</v>
      </c>
      <c r="J267" s="313">
        <v>0</v>
      </c>
      <c r="K267" s="313">
        <f t="shared" si="32"/>
        <v>0</v>
      </c>
      <c r="L267" s="313"/>
      <c r="M267" s="334">
        <v>0</v>
      </c>
      <c r="N267" s="116">
        <f>H267</f>
        <v>74324</v>
      </c>
      <c r="O267" s="313">
        <f t="shared" si="33"/>
        <v>123985424</v>
      </c>
      <c r="P267" t="s">
        <v>920</v>
      </c>
      <c r="Q267" t="s">
        <v>7854</v>
      </c>
      <c r="R267" t="s">
        <v>7032</v>
      </c>
      <c r="S267" t="s">
        <v>4563</v>
      </c>
    </row>
    <row r="268" spans="1:26">
      <c r="A268" s="320">
        <v>45901</v>
      </c>
      <c r="B268" s="320" t="s">
        <v>7032</v>
      </c>
      <c r="D268" t="s">
        <v>7249</v>
      </c>
      <c r="G268" s="47" t="s">
        <v>7796</v>
      </c>
      <c r="H268" s="116">
        <v>385000</v>
      </c>
      <c r="I268" s="313">
        <v>0</v>
      </c>
      <c r="J268" s="313">
        <v>0</v>
      </c>
      <c r="K268" s="313">
        <f t="shared" si="32"/>
        <v>0</v>
      </c>
      <c r="L268" s="313"/>
      <c r="M268" s="334">
        <v>0</v>
      </c>
      <c r="N268" s="116">
        <f>H268</f>
        <v>385000</v>
      </c>
      <c r="O268" s="313">
        <f t="shared" si="33"/>
        <v>124370424</v>
      </c>
      <c r="P268" t="s">
        <v>920</v>
      </c>
      <c r="Q268" t="s">
        <v>7854</v>
      </c>
      <c r="R268" t="s">
        <v>7032</v>
      </c>
      <c r="S268" t="s">
        <v>4563</v>
      </c>
    </row>
    <row r="269" spans="1:26" s="204" customFormat="1">
      <c r="A269" s="329">
        <v>45901</v>
      </c>
      <c r="B269" s="329" t="s">
        <v>7032</v>
      </c>
      <c r="D269" s="204" t="s">
        <v>7806</v>
      </c>
      <c r="E269" s="333"/>
      <c r="F269" s="333"/>
      <c r="G269" s="333" t="s">
        <v>7796</v>
      </c>
      <c r="H269" s="331">
        <v>9285948</v>
      </c>
      <c r="I269" s="313">
        <v>0</v>
      </c>
      <c r="J269" s="313">
        <v>0</v>
      </c>
      <c r="K269" s="313">
        <f t="shared" si="32"/>
        <v>0</v>
      </c>
      <c r="L269" s="313"/>
      <c r="M269" s="331">
        <v>0</v>
      </c>
      <c r="N269" s="116">
        <f>H269</f>
        <v>9285948</v>
      </c>
      <c r="O269" s="313">
        <f t="shared" si="33"/>
        <v>133656372</v>
      </c>
      <c r="P269" s="40" t="s">
        <v>920</v>
      </c>
      <c r="Q269" s="8" t="s">
        <v>7858</v>
      </c>
      <c r="R269" s="8" t="s">
        <v>7806</v>
      </c>
      <c r="U269" s="362" t="s">
        <v>277</v>
      </c>
      <c r="V269" s="331" t="s">
        <v>26</v>
      </c>
      <c r="W269" s="331" t="s">
        <v>26</v>
      </c>
      <c r="X269" s="204" t="s">
        <v>26</v>
      </c>
      <c r="Y269" s="362" t="s">
        <v>26</v>
      </c>
      <c r="Z269" s="204" t="s">
        <v>26</v>
      </c>
    </row>
    <row r="270" spans="1:26" s="8" customFormat="1">
      <c r="A270" s="332">
        <v>45901</v>
      </c>
      <c r="B270" s="332" t="s">
        <v>7032</v>
      </c>
      <c r="D270" s="8" t="s">
        <v>7807</v>
      </c>
      <c r="E270" s="200"/>
      <c r="F270" s="47" t="s">
        <v>26</v>
      </c>
      <c r="G270" s="200" t="s">
        <v>275</v>
      </c>
      <c r="H270" s="130">
        <v>0</v>
      </c>
      <c r="I270" s="341">
        <v>0</v>
      </c>
      <c r="J270" s="341">
        <v>0</v>
      </c>
      <c r="K270" s="341">
        <f t="shared" si="32"/>
        <v>0</v>
      </c>
      <c r="L270" s="341"/>
      <c r="M270" s="336">
        <f>H270</f>
        <v>0</v>
      </c>
      <c r="N270" s="313">
        <v>0</v>
      </c>
      <c r="O270" s="313">
        <f t="shared" si="33"/>
        <v>133656372</v>
      </c>
      <c r="P270" t="s">
        <v>1400</v>
      </c>
      <c r="Q270" t="s">
        <v>1400</v>
      </c>
      <c r="R270" t="s">
        <v>7810</v>
      </c>
      <c r="V270" s="130"/>
      <c r="W270" s="204" t="s">
        <v>26</v>
      </c>
    </row>
    <row r="271" spans="1:26">
      <c r="A271" s="320">
        <v>45901</v>
      </c>
      <c r="B271" s="320" t="s">
        <v>7795</v>
      </c>
      <c r="C271" t="s">
        <v>7619</v>
      </c>
      <c r="D271" t="s">
        <v>7243</v>
      </c>
      <c r="E271" s="47" t="s">
        <v>7620</v>
      </c>
      <c r="F271" s="47">
        <v>2025</v>
      </c>
      <c r="G271" s="47" t="s">
        <v>274</v>
      </c>
      <c r="H271" s="316">
        <v>25541126</v>
      </c>
      <c r="I271" s="313">
        <f>H271</f>
        <v>25541126</v>
      </c>
      <c r="J271" s="313">
        <f>-I271</f>
        <v>-25541126</v>
      </c>
      <c r="K271" s="313">
        <f>I271+J271</f>
        <v>0</v>
      </c>
      <c r="L271" s="313"/>
      <c r="M271" s="334">
        <v>0</v>
      </c>
      <c r="N271" s="313">
        <v>0</v>
      </c>
      <c r="O271" s="313">
        <f t="shared" si="33"/>
        <v>133656372</v>
      </c>
      <c r="P271" t="s">
        <v>920</v>
      </c>
      <c r="Q271" s="8" t="s">
        <v>7858</v>
      </c>
      <c r="R271" t="s">
        <v>7880</v>
      </c>
      <c r="S271" s="37" t="s">
        <v>1526</v>
      </c>
      <c r="V271"/>
      <c r="W271"/>
    </row>
    <row r="272" spans="1:26">
      <c r="A272" s="320">
        <v>45901</v>
      </c>
      <c r="B272" s="320" t="s">
        <v>7795</v>
      </c>
      <c r="C272" t="s">
        <v>7621</v>
      </c>
      <c r="D272" t="s">
        <v>7243</v>
      </c>
      <c r="E272" s="47" t="s">
        <v>7622</v>
      </c>
      <c r="F272" s="47">
        <v>2025</v>
      </c>
      <c r="G272" s="47" t="s">
        <v>274</v>
      </c>
      <c r="H272" s="316">
        <v>57477478</v>
      </c>
      <c r="I272" s="313">
        <f>H272</f>
        <v>57477478</v>
      </c>
      <c r="J272" s="313">
        <f>-I272</f>
        <v>-57477478</v>
      </c>
      <c r="K272" s="313">
        <f>I272+J272</f>
        <v>0</v>
      </c>
      <c r="L272" s="313"/>
      <c r="M272" s="334">
        <v>0</v>
      </c>
      <c r="N272" s="313">
        <v>0</v>
      </c>
      <c r="O272" s="313">
        <f t="shared" si="33"/>
        <v>133656372</v>
      </c>
      <c r="P272" t="s">
        <v>920</v>
      </c>
      <c r="Q272" s="8" t="s">
        <v>7858</v>
      </c>
      <c r="R272" t="s">
        <v>7880</v>
      </c>
      <c r="S272" s="37" t="s">
        <v>1526</v>
      </c>
      <c r="V272"/>
      <c r="W272"/>
    </row>
    <row r="273" spans="1:23">
      <c r="A273" s="320">
        <v>45901</v>
      </c>
      <c r="B273" s="320" t="s">
        <v>7795</v>
      </c>
      <c r="C273" t="s">
        <v>7623</v>
      </c>
      <c r="D273" t="s">
        <v>7256</v>
      </c>
      <c r="E273" s="47" t="s">
        <v>7624</v>
      </c>
      <c r="F273" s="47">
        <v>2025</v>
      </c>
      <c r="G273" s="47" t="s">
        <v>274</v>
      </c>
      <c r="H273" s="316">
        <v>29729730</v>
      </c>
      <c r="I273" s="313">
        <f>H273</f>
        <v>29729730</v>
      </c>
      <c r="J273" s="313">
        <f>-I273</f>
        <v>-29729730</v>
      </c>
      <c r="K273" s="313">
        <f>I273+J273</f>
        <v>0</v>
      </c>
      <c r="L273" s="313"/>
      <c r="M273" s="334">
        <v>0</v>
      </c>
      <c r="N273" s="313">
        <v>0</v>
      </c>
      <c r="O273" s="313">
        <f t="shared" si="33"/>
        <v>133656372</v>
      </c>
      <c r="P273" t="s">
        <v>920</v>
      </c>
      <c r="Q273" s="8" t="s">
        <v>7858</v>
      </c>
      <c r="R273" t="s">
        <v>7880</v>
      </c>
      <c r="S273" s="37" t="s">
        <v>1526</v>
      </c>
      <c r="V273"/>
      <c r="W273"/>
    </row>
    <row r="274" spans="1:23" s="8" customFormat="1">
      <c r="A274" s="332">
        <v>45901</v>
      </c>
      <c r="B274" s="332" t="s">
        <v>7795</v>
      </c>
      <c r="C274" s="8" t="s">
        <v>7625</v>
      </c>
      <c r="D274" s="8" t="s">
        <v>2319</v>
      </c>
      <c r="E274" s="200" t="s">
        <v>7626</v>
      </c>
      <c r="F274" s="200">
        <v>2025</v>
      </c>
      <c r="G274" s="130" t="s">
        <v>275</v>
      </c>
      <c r="H274" s="130">
        <v>38375697</v>
      </c>
      <c r="I274" s="339">
        <v>0</v>
      </c>
      <c r="J274" s="339">
        <v>0</v>
      </c>
      <c r="K274" s="339">
        <f t="shared" si="32"/>
        <v>0</v>
      </c>
      <c r="L274" s="339"/>
      <c r="M274" s="130">
        <f>H274</f>
        <v>38375697</v>
      </c>
      <c r="N274" s="313">
        <v>0</v>
      </c>
      <c r="O274" s="313">
        <f t="shared" si="33"/>
        <v>95280675</v>
      </c>
      <c r="P274" s="8" t="s">
        <v>6</v>
      </c>
      <c r="Q274" s="8" t="s">
        <v>7756</v>
      </c>
      <c r="R274" s="8" t="s">
        <v>7757</v>
      </c>
      <c r="S274" s="8" t="s">
        <v>7853</v>
      </c>
      <c r="V274" s="130"/>
      <c r="W274" s="130"/>
    </row>
    <row r="275" spans="1:23" s="204" customFormat="1">
      <c r="A275" s="329">
        <v>45901</v>
      </c>
      <c r="B275" s="320" t="s">
        <v>7795</v>
      </c>
      <c r="D275" s="204" t="s">
        <v>2319</v>
      </c>
      <c r="E275" s="333" t="s">
        <v>7626</v>
      </c>
      <c r="F275" s="333"/>
      <c r="G275" s="340" t="s">
        <v>275</v>
      </c>
      <c r="H275" s="340">
        <f>49595169-H274</f>
        <v>11219472</v>
      </c>
      <c r="I275" s="341">
        <v>0</v>
      </c>
      <c r="J275" s="341">
        <v>0</v>
      </c>
      <c r="K275" s="341">
        <v>0</v>
      </c>
      <c r="L275" s="341"/>
      <c r="M275" s="336">
        <f>H275</f>
        <v>11219472</v>
      </c>
      <c r="N275" s="313">
        <v>0</v>
      </c>
      <c r="O275" s="313">
        <f t="shared" si="33"/>
        <v>84061203</v>
      </c>
      <c r="P275" s="40" t="s">
        <v>920</v>
      </c>
      <c r="Q275" s="8" t="s">
        <v>7857</v>
      </c>
      <c r="R275" s="8" t="s">
        <v>7884</v>
      </c>
      <c r="S275" s="8" t="s">
        <v>7883</v>
      </c>
      <c r="V275" s="340"/>
      <c r="W275" s="340"/>
    </row>
    <row r="276" spans="1:23" s="40" customFormat="1">
      <c r="A276" s="321">
        <v>45901</v>
      </c>
      <c r="B276" s="320" t="s">
        <v>7795</v>
      </c>
      <c r="C276" s="40" t="s">
        <v>7627</v>
      </c>
      <c r="D276" s="40" t="s">
        <v>7331</v>
      </c>
      <c r="E276" s="49" t="s">
        <v>7628</v>
      </c>
      <c r="F276" s="49">
        <v>2024</v>
      </c>
      <c r="G276" s="49" t="s">
        <v>274</v>
      </c>
      <c r="H276" s="51">
        <v>9251220</v>
      </c>
      <c r="I276" s="313">
        <f t="shared" ref="I276:I281" si="34">H276</f>
        <v>9251220</v>
      </c>
      <c r="J276" s="313">
        <f t="shared" ref="J276:J281" si="35">-I276</f>
        <v>-9251220</v>
      </c>
      <c r="K276" s="313">
        <f t="shared" ref="K276:K281" si="36">I276+J276</f>
        <v>0</v>
      </c>
      <c r="L276" s="313"/>
      <c r="M276" s="116">
        <v>0</v>
      </c>
      <c r="N276" s="313">
        <v>0</v>
      </c>
      <c r="O276" s="313">
        <f t="shared" si="33"/>
        <v>84061203</v>
      </c>
      <c r="P276" t="s">
        <v>920</v>
      </c>
      <c r="Q276" s="8" t="s">
        <v>7858</v>
      </c>
      <c r="R276" s="8" t="s">
        <v>7879</v>
      </c>
      <c r="S276" s="37" t="s">
        <v>6338</v>
      </c>
    </row>
    <row r="277" spans="1:23">
      <c r="A277" s="320">
        <v>45901</v>
      </c>
      <c r="B277" s="320" t="s">
        <v>7795</v>
      </c>
      <c r="C277" t="s">
        <v>7629</v>
      </c>
      <c r="D277" t="s">
        <v>7331</v>
      </c>
      <c r="E277" s="47" t="s">
        <v>7630</v>
      </c>
      <c r="F277" s="47">
        <v>2025</v>
      </c>
      <c r="G277" s="47" t="s">
        <v>274</v>
      </c>
      <c r="H277" s="316">
        <v>6474548</v>
      </c>
      <c r="I277" s="313">
        <f t="shared" si="34"/>
        <v>6474548</v>
      </c>
      <c r="J277" s="313">
        <f t="shared" si="35"/>
        <v>-6474548</v>
      </c>
      <c r="K277" s="313">
        <f t="shared" si="36"/>
        <v>0</v>
      </c>
      <c r="L277" s="313"/>
      <c r="M277" s="334">
        <v>0</v>
      </c>
      <c r="N277" s="313">
        <v>0</v>
      </c>
      <c r="O277" s="313">
        <f t="shared" si="33"/>
        <v>84061203</v>
      </c>
      <c r="P277" t="s">
        <v>920</v>
      </c>
      <c r="Q277" s="8" t="s">
        <v>7858</v>
      </c>
      <c r="R277" t="s">
        <v>7880</v>
      </c>
      <c r="S277" s="37" t="s">
        <v>1526</v>
      </c>
      <c r="V277"/>
      <c r="W277"/>
    </row>
    <row r="278" spans="1:23" s="40" customFormat="1">
      <c r="A278" s="321">
        <v>45901</v>
      </c>
      <c r="B278" s="320" t="s">
        <v>7795</v>
      </c>
      <c r="C278" s="40" t="s">
        <v>7631</v>
      </c>
      <c r="D278" s="40" t="s">
        <v>7331</v>
      </c>
      <c r="E278" s="49" t="s">
        <v>7632</v>
      </c>
      <c r="F278" s="49">
        <v>2024</v>
      </c>
      <c r="G278" s="49" t="s">
        <v>274</v>
      </c>
      <c r="H278" s="51">
        <v>9188091</v>
      </c>
      <c r="I278" s="313">
        <f t="shared" si="34"/>
        <v>9188091</v>
      </c>
      <c r="J278" s="313">
        <f t="shared" si="35"/>
        <v>-9188091</v>
      </c>
      <c r="K278" s="313">
        <f t="shared" si="36"/>
        <v>0</v>
      </c>
      <c r="L278" s="313"/>
      <c r="M278" s="116">
        <v>0</v>
      </c>
      <c r="N278" s="313">
        <v>0</v>
      </c>
      <c r="O278" s="313">
        <f t="shared" si="33"/>
        <v>84061203</v>
      </c>
      <c r="P278" t="s">
        <v>920</v>
      </c>
      <c r="Q278" s="8" t="s">
        <v>7858</v>
      </c>
      <c r="R278" s="8" t="s">
        <v>7879</v>
      </c>
      <c r="S278" s="37" t="s">
        <v>6338</v>
      </c>
    </row>
    <row r="279" spans="1:23">
      <c r="A279" s="320">
        <v>45901</v>
      </c>
      <c r="B279" s="320" t="s">
        <v>7795</v>
      </c>
      <c r="C279" t="s">
        <v>7633</v>
      </c>
      <c r="D279" t="s">
        <v>7331</v>
      </c>
      <c r="E279" s="47" t="s">
        <v>7634</v>
      </c>
      <c r="F279" s="47">
        <v>2025</v>
      </c>
      <c r="G279" s="47" t="s">
        <v>274</v>
      </c>
      <c r="H279" s="316">
        <v>4488499</v>
      </c>
      <c r="I279" s="313">
        <f t="shared" si="34"/>
        <v>4488499</v>
      </c>
      <c r="J279" s="313">
        <f t="shared" si="35"/>
        <v>-4488499</v>
      </c>
      <c r="K279" s="313">
        <f t="shared" si="36"/>
        <v>0</v>
      </c>
      <c r="L279" s="313"/>
      <c r="M279" s="334">
        <v>0</v>
      </c>
      <c r="N279" s="313">
        <v>0</v>
      </c>
      <c r="O279" s="313">
        <f t="shared" si="33"/>
        <v>84061203</v>
      </c>
      <c r="P279" t="s">
        <v>920</v>
      </c>
      <c r="Q279" s="8" t="s">
        <v>7858</v>
      </c>
      <c r="R279" t="s">
        <v>7880</v>
      </c>
      <c r="S279" s="37" t="s">
        <v>1526</v>
      </c>
      <c r="V279"/>
      <c r="W279"/>
    </row>
    <row r="280" spans="1:23">
      <c r="A280" s="320">
        <v>45901</v>
      </c>
      <c r="B280" s="320" t="s">
        <v>7795</v>
      </c>
      <c r="C280" t="s">
        <v>7635</v>
      </c>
      <c r="D280" t="s">
        <v>304</v>
      </c>
      <c r="E280" s="47" t="s">
        <v>7636</v>
      </c>
      <c r="F280" s="47">
        <v>2025</v>
      </c>
      <c r="G280" s="47" t="s">
        <v>274</v>
      </c>
      <c r="H280" s="316">
        <v>22135023</v>
      </c>
      <c r="I280" s="313">
        <f t="shared" si="34"/>
        <v>22135023</v>
      </c>
      <c r="J280" s="313">
        <f t="shared" si="35"/>
        <v>-22135023</v>
      </c>
      <c r="K280" s="313">
        <f t="shared" si="36"/>
        <v>0</v>
      </c>
      <c r="L280" s="313"/>
      <c r="M280" s="334">
        <v>0</v>
      </c>
      <c r="N280" s="313">
        <v>0</v>
      </c>
      <c r="O280" s="313">
        <f t="shared" si="33"/>
        <v>84061203</v>
      </c>
      <c r="P280" t="s">
        <v>920</v>
      </c>
      <c r="Q280" s="8" t="s">
        <v>7858</v>
      </c>
      <c r="R280" t="s">
        <v>7880</v>
      </c>
      <c r="S280" s="37" t="s">
        <v>1526</v>
      </c>
      <c r="V280"/>
      <c r="W280"/>
    </row>
    <row r="281" spans="1:23">
      <c r="A281" s="320">
        <v>45901</v>
      </c>
      <c r="B281" s="320" t="s">
        <v>7795</v>
      </c>
      <c r="C281" t="s">
        <v>7637</v>
      </c>
      <c r="D281" t="s">
        <v>390</v>
      </c>
      <c r="E281" s="47" t="s">
        <v>7638</v>
      </c>
      <c r="F281" s="47">
        <v>2025</v>
      </c>
      <c r="G281" s="47" t="s">
        <v>274</v>
      </c>
      <c r="H281" s="316">
        <v>27747748</v>
      </c>
      <c r="I281" s="313">
        <f t="shared" si="34"/>
        <v>27747748</v>
      </c>
      <c r="J281" s="313">
        <f t="shared" si="35"/>
        <v>-27747748</v>
      </c>
      <c r="K281" s="313">
        <f t="shared" si="36"/>
        <v>0</v>
      </c>
      <c r="L281" s="313"/>
      <c r="M281" s="334">
        <v>0</v>
      </c>
      <c r="N281" s="313">
        <v>0</v>
      </c>
      <c r="O281" s="313">
        <f t="shared" si="33"/>
        <v>84061203</v>
      </c>
      <c r="P281" t="s">
        <v>920</v>
      </c>
      <c r="Q281" s="8" t="s">
        <v>7858</v>
      </c>
      <c r="R281" t="s">
        <v>7880</v>
      </c>
      <c r="S281" s="37" t="s">
        <v>1526</v>
      </c>
      <c r="V281"/>
      <c r="W281"/>
    </row>
    <row r="282" spans="1:23">
      <c r="A282" s="320">
        <v>45901</v>
      </c>
      <c r="B282" s="320" t="s">
        <v>7795</v>
      </c>
      <c r="C282" t="s">
        <v>7639</v>
      </c>
      <c r="D282" t="s">
        <v>3467</v>
      </c>
      <c r="E282" s="47" t="s">
        <v>7640</v>
      </c>
      <c r="F282" s="47">
        <v>2025</v>
      </c>
      <c r="G282" s="47" t="s">
        <v>275</v>
      </c>
      <c r="H282" s="199">
        <v>83471075</v>
      </c>
      <c r="I282" s="313">
        <v>0</v>
      </c>
      <c r="J282" s="313">
        <v>0</v>
      </c>
      <c r="K282" s="313">
        <f t="shared" si="32"/>
        <v>0</v>
      </c>
      <c r="L282" s="313"/>
      <c r="M282" s="199">
        <f t="shared" ref="M282:M290" si="37">H282</f>
        <v>83471075</v>
      </c>
      <c r="N282" s="313">
        <v>0</v>
      </c>
      <c r="O282" s="313">
        <f t="shared" si="33"/>
        <v>590128</v>
      </c>
      <c r="P282" s="80" t="s">
        <v>6</v>
      </c>
      <c r="Q282" s="80" t="s">
        <v>7756</v>
      </c>
      <c r="R282" s="80" t="s">
        <v>7757</v>
      </c>
    </row>
    <row r="283" spans="1:23">
      <c r="A283" s="320">
        <v>45901</v>
      </c>
      <c r="B283" s="320" t="s">
        <v>7795</v>
      </c>
      <c r="C283" t="s">
        <v>7641</v>
      </c>
      <c r="D283" t="s">
        <v>4042</v>
      </c>
      <c r="E283" s="47" t="s">
        <v>7642</v>
      </c>
      <c r="F283" s="47">
        <v>2025</v>
      </c>
      <c r="G283" s="47" t="s">
        <v>275</v>
      </c>
      <c r="H283" s="199">
        <v>1778333</v>
      </c>
      <c r="I283" s="313">
        <v>0</v>
      </c>
      <c r="J283" s="313">
        <v>0</v>
      </c>
      <c r="K283" s="313">
        <f t="shared" si="32"/>
        <v>0</v>
      </c>
      <c r="L283" s="313"/>
      <c r="M283" s="199">
        <f t="shared" si="37"/>
        <v>1778333</v>
      </c>
      <c r="N283" s="313">
        <v>0</v>
      </c>
      <c r="O283" s="313">
        <f t="shared" si="33"/>
        <v>-1188205</v>
      </c>
      <c r="P283" s="80" t="s">
        <v>6</v>
      </c>
      <c r="Q283" s="80" t="s">
        <v>7756</v>
      </c>
      <c r="R283" s="80" t="s">
        <v>7757</v>
      </c>
    </row>
    <row r="284" spans="1:23">
      <c r="A284" s="320">
        <v>45901</v>
      </c>
      <c r="B284" s="320" t="s">
        <v>7795</v>
      </c>
      <c r="C284" t="s">
        <v>7643</v>
      </c>
      <c r="D284" t="s">
        <v>4042</v>
      </c>
      <c r="E284" s="47" t="s">
        <v>7644</v>
      </c>
      <c r="F284" s="47">
        <v>2025</v>
      </c>
      <c r="G284" s="47" t="s">
        <v>275</v>
      </c>
      <c r="H284" s="199">
        <v>592778</v>
      </c>
      <c r="I284" s="313">
        <v>0</v>
      </c>
      <c r="J284" s="313">
        <v>0</v>
      </c>
      <c r="K284" s="313">
        <f t="shared" si="32"/>
        <v>0</v>
      </c>
      <c r="L284" s="313"/>
      <c r="M284" s="199">
        <f t="shared" si="37"/>
        <v>592778</v>
      </c>
      <c r="N284" s="313">
        <v>0</v>
      </c>
      <c r="O284" s="313">
        <f t="shared" si="33"/>
        <v>-1780983</v>
      </c>
      <c r="P284" s="80" t="s">
        <v>6</v>
      </c>
      <c r="Q284" s="80" t="s">
        <v>7756</v>
      </c>
      <c r="R284" s="80" t="s">
        <v>7757</v>
      </c>
    </row>
    <row r="285" spans="1:23">
      <c r="A285" s="320">
        <v>45901</v>
      </c>
      <c r="B285" s="320" t="s">
        <v>7795</v>
      </c>
      <c r="C285" t="s">
        <v>7645</v>
      </c>
      <c r="D285" t="s">
        <v>4042</v>
      </c>
      <c r="E285" s="47" t="s">
        <v>7646</v>
      </c>
      <c r="F285" s="47">
        <v>2025</v>
      </c>
      <c r="G285" s="47" t="s">
        <v>275</v>
      </c>
      <c r="H285" s="199">
        <v>592778</v>
      </c>
      <c r="I285" s="313">
        <v>0</v>
      </c>
      <c r="J285" s="313">
        <v>0</v>
      </c>
      <c r="K285" s="313">
        <f t="shared" si="32"/>
        <v>0</v>
      </c>
      <c r="L285" s="313"/>
      <c r="M285" s="199">
        <f t="shared" si="37"/>
        <v>592778</v>
      </c>
      <c r="N285" s="313">
        <v>0</v>
      </c>
      <c r="O285" s="313">
        <f t="shared" si="33"/>
        <v>-2373761</v>
      </c>
      <c r="P285" s="80" t="s">
        <v>6</v>
      </c>
      <c r="Q285" s="80" t="s">
        <v>7756</v>
      </c>
      <c r="R285" s="80" t="s">
        <v>7757</v>
      </c>
    </row>
    <row r="286" spans="1:23">
      <c r="A286" s="320">
        <v>45901</v>
      </c>
      <c r="B286" s="320" t="s">
        <v>7795</v>
      </c>
      <c r="C286" t="s">
        <v>7647</v>
      </c>
      <c r="D286" t="s">
        <v>4042</v>
      </c>
      <c r="E286" s="47" t="s">
        <v>7648</v>
      </c>
      <c r="F286" s="47">
        <v>2025</v>
      </c>
      <c r="G286" s="47" t="s">
        <v>275</v>
      </c>
      <c r="H286" s="199">
        <v>592778</v>
      </c>
      <c r="I286" s="313">
        <v>0</v>
      </c>
      <c r="J286" s="313">
        <v>0</v>
      </c>
      <c r="K286" s="313">
        <f t="shared" si="32"/>
        <v>0</v>
      </c>
      <c r="L286" s="313"/>
      <c r="M286" s="199">
        <f t="shared" si="37"/>
        <v>592778</v>
      </c>
      <c r="N286" s="313">
        <v>0</v>
      </c>
      <c r="O286" s="313">
        <f t="shared" si="33"/>
        <v>-2966539</v>
      </c>
      <c r="P286" s="80" t="s">
        <v>6</v>
      </c>
      <c r="Q286" s="80" t="s">
        <v>7756</v>
      </c>
      <c r="R286" s="80" t="s">
        <v>7757</v>
      </c>
    </row>
    <row r="287" spans="1:23">
      <c r="A287" s="320">
        <v>45901</v>
      </c>
      <c r="B287" s="320" t="s">
        <v>7795</v>
      </c>
      <c r="C287" t="s">
        <v>7649</v>
      </c>
      <c r="D287" t="s">
        <v>4042</v>
      </c>
      <c r="E287" s="47" t="s">
        <v>7650</v>
      </c>
      <c r="F287" s="47">
        <v>2025</v>
      </c>
      <c r="G287" s="47" t="s">
        <v>275</v>
      </c>
      <c r="H287" s="199">
        <v>444583</v>
      </c>
      <c r="I287" s="313">
        <v>0</v>
      </c>
      <c r="J287" s="313">
        <v>0</v>
      </c>
      <c r="K287" s="313">
        <f t="shared" si="32"/>
        <v>0</v>
      </c>
      <c r="L287" s="313"/>
      <c r="M287" s="199">
        <f t="shared" si="37"/>
        <v>444583</v>
      </c>
      <c r="N287" s="313">
        <v>0</v>
      </c>
      <c r="O287" s="313">
        <f t="shared" si="33"/>
        <v>-3411122</v>
      </c>
      <c r="P287" s="80" t="s">
        <v>6</v>
      </c>
      <c r="Q287" s="80" t="s">
        <v>7756</v>
      </c>
      <c r="R287" s="80" t="s">
        <v>7757</v>
      </c>
    </row>
    <row r="288" spans="1:23">
      <c r="A288" s="320">
        <v>45901</v>
      </c>
      <c r="B288" s="320" t="s">
        <v>7795</v>
      </c>
      <c r="C288" t="s">
        <v>7651</v>
      </c>
      <c r="D288" t="s">
        <v>4042</v>
      </c>
      <c r="E288" s="47" t="s">
        <v>7652</v>
      </c>
      <c r="F288" s="47">
        <v>2025</v>
      </c>
      <c r="G288" s="47" t="s">
        <v>275</v>
      </c>
      <c r="H288" s="199">
        <v>444583</v>
      </c>
      <c r="I288" s="313">
        <v>0</v>
      </c>
      <c r="J288" s="313">
        <v>0</v>
      </c>
      <c r="K288" s="313">
        <f t="shared" si="32"/>
        <v>0</v>
      </c>
      <c r="L288" s="313"/>
      <c r="M288" s="199">
        <f t="shared" si="37"/>
        <v>444583</v>
      </c>
      <c r="N288" s="313">
        <v>0</v>
      </c>
      <c r="O288" s="313">
        <f t="shared" si="33"/>
        <v>-3855705</v>
      </c>
      <c r="P288" s="80" t="s">
        <v>6</v>
      </c>
      <c r="Q288" s="80" t="s">
        <v>7756</v>
      </c>
      <c r="R288" s="80" t="s">
        <v>7757</v>
      </c>
    </row>
    <row r="289" spans="1:23">
      <c r="A289" s="320">
        <v>45901</v>
      </c>
      <c r="B289" s="320" t="s">
        <v>7795</v>
      </c>
      <c r="C289" t="s">
        <v>7653</v>
      </c>
      <c r="D289" t="s">
        <v>4042</v>
      </c>
      <c r="E289" s="47" t="s">
        <v>7654</v>
      </c>
      <c r="F289" s="47">
        <v>2025</v>
      </c>
      <c r="G289" s="47" t="s">
        <v>275</v>
      </c>
      <c r="H289" s="199">
        <v>444583</v>
      </c>
      <c r="I289" s="313">
        <v>0</v>
      </c>
      <c r="J289" s="313">
        <v>0</v>
      </c>
      <c r="K289" s="313">
        <f t="shared" si="32"/>
        <v>0</v>
      </c>
      <c r="L289" s="313"/>
      <c r="M289" s="199">
        <f t="shared" si="37"/>
        <v>444583</v>
      </c>
      <c r="N289" s="313">
        <v>0</v>
      </c>
      <c r="O289" s="313">
        <f t="shared" si="33"/>
        <v>-4300288</v>
      </c>
      <c r="P289" s="80" t="s">
        <v>6</v>
      </c>
      <c r="Q289" s="80" t="s">
        <v>7756</v>
      </c>
      <c r="R289" s="80" t="s">
        <v>7757</v>
      </c>
    </row>
    <row r="290" spans="1:23">
      <c r="A290" s="320">
        <v>45901</v>
      </c>
      <c r="B290" s="320" t="s">
        <v>7795</v>
      </c>
      <c r="C290" t="s">
        <v>7655</v>
      </c>
      <c r="D290" t="s">
        <v>4042</v>
      </c>
      <c r="E290" s="47" t="s">
        <v>7656</v>
      </c>
      <c r="F290" s="47">
        <v>2025</v>
      </c>
      <c r="G290" s="47" t="s">
        <v>275</v>
      </c>
      <c r="H290" s="199">
        <v>444583</v>
      </c>
      <c r="I290" s="313">
        <v>0</v>
      </c>
      <c r="J290" s="313">
        <v>0</v>
      </c>
      <c r="K290" s="313">
        <f t="shared" si="32"/>
        <v>0</v>
      </c>
      <c r="L290" s="313"/>
      <c r="M290" s="199">
        <f t="shared" si="37"/>
        <v>444583</v>
      </c>
      <c r="N290" s="313">
        <v>0</v>
      </c>
      <c r="O290" s="313">
        <f t="shared" si="33"/>
        <v>-4744871</v>
      </c>
      <c r="P290" s="80" t="s">
        <v>6</v>
      </c>
      <c r="Q290" s="80" t="s">
        <v>7756</v>
      </c>
      <c r="R290" s="80" t="s">
        <v>7757</v>
      </c>
    </row>
    <row r="291" spans="1:23" s="8" customFormat="1">
      <c r="A291" s="13">
        <v>45959</v>
      </c>
      <c r="B291" s="13" t="s">
        <v>7174</v>
      </c>
      <c r="C291" s="226" t="s">
        <v>7657</v>
      </c>
      <c r="D291" s="8" t="s">
        <v>7658</v>
      </c>
      <c r="E291" s="200" t="s">
        <v>7659</v>
      </c>
      <c r="F291" s="200"/>
      <c r="G291" s="200" t="s">
        <v>7828</v>
      </c>
      <c r="H291" s="130">
        <v>6944871</v>
      </c>
      <c r="I291" s="339">
        <v>0</v>
      </c>
      <c r="J291" s="339">
        <v>0</v>
      </c>
      <c r="K291" s="339">
        <f t="shared" si="32"/>
        <v>0</v>
      </c>
      <c r="L291" s="339"/>
      <c r="M291" s="130">
        <v>0</v>
      </c>
      <c r="N291" s="130">
        <v>6944871</v>
      </c>
      <c r="O291" s="313">
        <f t="shared" si="33"/>
        <v>2200000</v>
      </c>
      <c r="P291" s="8" t="s">
        <v>920</v>
      </c>
      <c r="Q291" t="s">
        <v>7856</v>
      </c>
      <c r="R291" s="8" t="s">
        <v>7147</v>
      </c>
      <c r="S291" s="8" t="s">
        <v>4563</v>
      </c>
    </row>
    <row r="292" spans="1:23">
      <c r="A292" s="320">
        <v>45931</v>
      </c>
      <c r="B292" s="320" t="s">
        <v>7032</v>
      </c>
      <c r="D292" t="s">
        <v>7660</v>
      </c>
      <c r="G292" s="47" t="s">
        <v>7796</v>
      </c>
      <c r="H292" s="116">
        <v>8406475</v>
      </c>
      <c r="I292" s="313">
        <v>0</v>
      </c>
      <c r="J292" s="313">
        <v>0</v>
      </c>
      <c r="K292" s="313">
        <f t="shared" si="32"/>
        <v>0</v>
      </c>
      <c r="L292" s="313"/>
      <c r="M292" s="334">
        <v>0</v>
      </c>
      <c r="N292" s="116">
        <f t="shared" ref="N292:N301" si="38">H292</f>
        <v>8406475</v>
      </c>
      <c r="O292" s="313">
        <f t="shared" si="33"/>
        <v>10606475</v>
      </c>
      <c r="P292" s="8" t="s">
        <v>920</v>
      </c>
      <c r="Q292" t="s">
        <v>7854</v>
      </c>
      <c r="R292" s="40" t="s">
        <v>7032</v>
      </c>
      <c r="S292" t="s">
        <v>4564</v>
      </c>
    </row>
    <row r="293" spans="1:23">
      <c r="A293" s="320">
        <v>45931</v>
      </c>
      <c r="B293" s="320" t="s">
        <v>7032</v>
      </c>
      <c r="D293" t="s">
        <v>7660</v>
      </c>
      <c r="G293" s="47" t="s">
        <v>7796</v>
      </c>
      <c r="H293" s="116">
        <v>8406475</v>
      </c>
      <c r="I293" s="313">
        <v>0</v>
      </c>
      <c r="J293" s="313">
        <v>0</v>
      </c>
      <c r="K293" s="313">
        <f t="shared" si="32"/>
        <v>0</v>
      </c>
      <c r="L293" s="313"/>
      <c r="M293" s="334">
        <v>0</v>
      </c>
      <c r="N293" s="116">
        <f t="shared" si="38"/>
        <v>8406475</v>
      </c>
      <c r="O293" s="313">
        <f t="shared" si="33"/>
        <v>19012950</v>
      </c>
      <c r="P293" s="8" t="s">
        <v>920</v>
      </c>
      <c r="Q293" t="s">
        <v>7854</v>
      </c>
      <c r="R293" s="40" t="s">
        <v>7032</v>
      </c>
      <c r="S293" t="s">
        <v>4564</v>
      </c>
    </row>
    <row r="294" spans="1:23">
      <c r="A294" s="320">
        <v>45931</v>
      </c>
      <c r="B294" s="320" t="s">
        <v>7032</v>
      </c>
      <c r="D294" t="s">
        <v>7660</v>
      </c>
      <c r="G294" s="47" t="s">
        <v>7796</v>
      </c>
      <c r="H294" s="116">
        <v>2075150</v>
      </c>
      <c r="I294" s="313">
        <v>0</v>
      </c>
      <c r="J294" s="313">
        <v>0</v>
      </c>
      <c r="K294" s="313">
        <f t="shared" si="32"/>
        <v>0</v>
      </c>
      <c r="L294" s="313"/>
      <c r="M294" s="334">
        <v>0</v>
      </c>
      <c r="N294" s="116">
        <f t="shared" si="38"/>
        <v>2075150</v>
      </c>
      <c r="O294" s="313">
        <f t="shared" si="33"/>
        <v>21088100</v>
      </c>
      <c r="P294" s="8" t="s">
        <v>920</v>
      </c>
      <c r="Q294" t="s">
        <v>7854</v>
      </c>
      <c r="R294" s="40" t="s">
        <v>7032</v>
      </c>
      <c r="S294" t="s">
        <v>4564</v>
      </c>
    </row>
    <row r="295" spans="1:23">
      <c r="A295" s="320">
        <v>45931</v>
      </c>
      <c r="B295" s="320" t="s">
        <v>7032</v>
      </c>
      <c r="D295" t="s">
        <v>7233</v>
      </c>
      <c r="G295" s="47" t="s">
        <v>7796</v>
      </c>
      <c r="H295" s="116">
        <v>1981982</v>
      </c>
      <c r="I295" s="313">
        <v>0</v>
      </c>
      <c r="J295" s="313">
        <v>0</v>
      </c>
      <c r="K295" s="313">
        <f t="shared" si="32"/>
        <v>0</v>
      </c>
      <c r="L295" s="313"/>
      <c r="M295" s="334">
        <v>0</v>
      </c>
      <c r="N295" s="116">
        <f t="shared" si="38"/>
        <v>1981982</v>
      </c>
      <c r="O295" s="313">
        <f t="shared" si="33"/>
        <v>23070082</v>
      </c>
      <c r="P295" t="s">
        <v>920</v>
      </c>
      <c r="Q295" t="s">
        <v>7856</v>
      </c>
      <c r="R295" t="s">
        <v>7032</v>
      </c>
      <c r="S295" t="s">
        <v>4564</v>
      </c>
    </row>
    <row r="296" spans="1:23">
      <c r="A296" s="320">
        <v>45931</v>
      </c>
      <c r="B296" s="320" t="s">
        <v>7032</v>
      </c>
      <c r="D296" t="s">
        <v>7661</v>
      </c>
      <c r="G296" s="47" t="s">
        <v>7796</v>
      </c>
      <c r="H296" s="116">
        <v>7535000</v>
      </c>
      <c r="I296" s="313">
        <v>0</v>
      </c>
      <c r="J296" s="313">
        <v>0</v>
      </c>
      <c r="K296" s="313">
        <f t="shared" si="32"/>
        <v>0</v>
      </c>
      <c r="L296" s="313"/>
      <c r="M296" s="334">
        <v>0</v>
      </c>
      <c r="N296" s="116">
        <f t="shared" si="38"/>
        <v>7535000</v>
      </c>
      <c r="O296" s="313">
        <f t="shared" si="33"/>
        <v>30605082</v>
      </c>
      <c r="P296" s="8" t="s">
        <v>920</v>
      </c>
      <c r="Q296" t="s">
        <v>7854</v>
      </c>
      <c r="R296" s="40" t="s">
        <v>7032</v>
      </c>
      <c r="S296" t="s">
        <v>4564</v>
      </c>
    </row>
    <row r="297" spans="1:23">
      <c r="A297" s="320">
        <v>45931</v>
      </c>
      <c r="B297" s="320" t="s">
        <v>7032</v>
      </c>
      <c r="D297" t="s">
        <v>7237</v>
      </c>
      <c r="G297" s="47" t="s">
        <v>7796</v>
      </c>
      <c r="H297" s="116">
        <v>506000</v>
      </c>
      <c r="I297" s="313">
        <v>0</v>
      </c>
      <c r="J297" s="313">
        <v>0</v>
      </c>
      <c r="K297" s="313">
        <f t="shared" si="32"/>
        <v>0</v>
      </c>
      <c r="L297" s="313"/>
      <c r="M297" s="334">
        <v>0</v>
      </c>
      <c r="N297" s="116">
        <f t="shared" si="38"/>
        <v>506000</v>
      </c>
      <c r="O297" s="313">
        <f t="shared" si="33"/>
        <v>31111082</v>
      </c>
      <c r="P297" s="8" t="s">
        <v>920</v>
      </c>
      <c r="Q297" t="s">
        <v>7854</v>
      </c>
      <c r="R297" s="40" t="s">
        <v>7032</v>
      </c>
      <c r="S297" t="s">
        <v>4564</v>
      </c>
    </row>
    <row r="298" spans="1:23">
      <c r="A298" s="320">
        <v>45931</v>
      </c>
      <c r="B298" s="320" t="s">
        <v>7032</v>
      </c>
      <c r="D298" t="s">
        <v>7501</v>
      </c>
      <c r="G298" s="47" t="s">
        <v>7796</v>
      </c>
      <c r="H298" s="116">
        <v>94875</v>
      </c>
      <c r="I298" s="313">
        <v>0</v>
      </c>
      <c r="J298" s="313">
        <v>0</v>
      </c>
      <c r="K298" s="313">
        <f t="shared" si="32"/>
        <v>0</v>
      </c>
      <c r="L298" s="313"/>
      <c r="M298" s="334">
        <v>0</v>
      </c>
      <c r="N298" s="116">
        <f t="shared" si="38"/>
        <v>94875</v>
      </c>
      <c r="O298" s="313">
        <f t="shared" si="33"/>
        <v>31205957</v>
      </c>
      <c r="P298" s="8" t="s">
        <v>920</v>
      </c>
      <c r="Q298" t="s">
        <v>7854</v>
      </c>
      <c r="R298" s="40" t="s">
        <v>7032</v>
      </c>
      <c r="S298" t="s">
        <v>4564</v>
      </c>
    </row>
    <row r="299" spans="1:23">
      <c r="A299" s="320">
        <v>45931</v>
      </c>
      <c r="B299" s="320" t="s">
        <v>7032</v>
      </c>
      <c r="D299" t="s">
        <v>7662</v>
      </c>
      <c r="G299" s="47" t="s">
        <v>7796</v>
      </c>
      <c r="H299" s="116">
        <v>4400000</v>
      </c>
      <c r="I299" s="313">
        <v>0</v>
      </c>
      <c r="J299" s="313">
        <v>0</v>
      </c>
      <c r="K299" s="313">
        <f t="shared" si="32"/>
        <v>0</v>
      </c>
      <c r="L299" s="313"/>
      <c r="M299" s="334">
        <v>0</v>
      </c>
      <c r="N299" s="116">
        <f t="shared" si="38"/>
        <v>4400000</v>
      </c>
      <c r="O299" s="313">
        <f t="shared" si="33"/>
        <v>35605957</v>
      </c>
      <c r="P299" s="8" t="s">
        <v>920</v>
      </c>
      <c r="Q299" t="s">
        <v>7854</v>
      </c>
      <c r="R299" s="40" t="s">
        <v>7032</v>
      </c>
      <c r="S299" t="s">
        <v>4564</v>
      </c>
    </row>
    <row r="300" spans="1:23">
      <c r="A300" s="320">
        <v>45931</v>
      </c>
      <c r="B300" s="320" t="s">
        <v>7032</v>
      </c>
      <c r="D300" t="s">
        <v>7235</v>
      </c>
      <c r="G300" s="47" t="s">
        <v>7796</v>
      </c>
      <c r="H300" s="116">
        <v>74324</v>
      </c>
      <c r="I300" s="313">
        <v>0</v>
      </c>
      <c r="J300" s="313">
        <v>0</v>
      </c>
      <c r="K300" s="313">
        <f t="shared" si="32"/>
        <v>0</v>
      </c>
      <c r="L300" s="313"/>
      <c r="M300" s="334">
        <v>0</v>
      </c>
      <c r="N300" s="116">
        <f t="shared" si="38"/>
        <v>74324</v>
      </c>
      <c r="O300" s="313">
        <f t="shared" si="33"/>
        <v>35680281</v>
      </c>
      <c r="P300" s="8" t="s">
        <v>920</v>
      </c>
      <c r="Q300" t="s">
        <v>7854</v>
      </c>
      <c r="R300" s="40" t="s">
        <v>7032</v>
      </c>
      <c r="S300" t="s">
        <v>4564</v>
      </c>
    </row>
    <row r="301" spans="1:23">
      <c r="A301" s="320">
        <v>45931</v>
      </c>
      <c r="B301" s="320" t="s">
        <v>7032</v>
      </c>
      <c r="D301" t="s">
        <v>7663</v>
      </c>
      <c r="G301" s="47" t="s">
        <v>7796</v>
      </c>
      <c r="H301" s="116">
        <v>24062500</v>
      </c>
      <c r="I301" s="313">
        <v>0</v>
      </c>
      <c r="J301" s="313">
        <v>0</v>
      </c>
      <c r="K301" s="313">
        <f t="shared" si="32"/>
        <v>0</v>
      </c>
      <c r="L301" s="313"/>
      <c r="M301" s="334">
        <v>0</v>
      </c>
      <c r="N301" s="116">
        <f t="shared" si="38"/>
        <v>24062500</v>
      </c>
      <c r="O301" s="313">
        <f t="shared" si="33"/>
        <v>59742781</v>
      </c>
      <c r="P301" s="80" t="s">
        <v>920</v>
      </c>
      <c r="Q301" t="s">
        <v>7856</v>
      </c>
      <c r="R301" s="40" t="s">
        <v>7032</v>
      </c>
      <c r="S301" t="s">
        <v>4564</v>
      </c>
    </row>
    <row r="302" spans="1:23" s="8" customFormat="1">
      <c r="A302" s="332">
        <v>45931</v>
      </c>
      <c r="B302" s="332" t="s">
        <v>7795</v>
      </c>
      <c r="C302" s="8" t="s">
        <v>7664</v>
      </c>
      <c r="D302" s="8" t="s">
        <v>1581</v>
      </c>
      <c r="E302" s="200" t="s">
        <v>7665</v>
      </c>
      <c r="F302" s="200">
        <v>2025</v>
      </c>
      <c r="G302" s="200" t="s">
        <v>275</v>
      </c>
      <c r="H302" s="130">
        <v>761179</v>
      </c>
      <c r="I302" s="341">
        <v>0</v>
      </c>
      <c r="J302" s="341">
        <v>0</v>
      </c>
      <c r="K302" s="341">
        <f t="shared" si="32"/>
        <v>0</v>
      </c>
      <c r="L302" s="341"/>
      <c r="M302" s="336">
        <f>H302</f>
        <v>761179</v>
      </c>
      <c r="N302" s="313">
        <v>0</v>
      </c>
      <c r="O302" s="313">
        <f t="shared" si="33"/>
        <v>58981602</v>
      </c>
      <c r="P302" s="8" t="s">
        <v>6</v>
      </c>
      <c r="Q302" s="8" t="s">
        <v>7756</v>
      </c>
      <c r="R302" s="8" t="s">
        <v>7757</v>
      </c>
      <c r="S302" s="8" t="s">
        <v>26</v>
      </c>
      <c r="V302" s="130"/>
      <c r="W302" s="130"/>
    </row>
    <row r="303" spans="1:23">
      <c r="A303" s="320">
        <v>45931</v>
      </c>
      <c r="B303" s="332" t="s">
        <v>7795</v>
      </c>
      <c r="C303" t="s">
        <v>7666</v>
      </c>
      <c r="D303" t="s">
        <v>304</v>
      </c>
      <c r="E303" s="47" t="s">
        <v>7667</v>
      </c>
      <c r="F303" s="47">
        <v>2025</v>
      </c>
      <c r="G303" s="47" t="s">
        <v>274</v>
      </c>
      <c r="H303" s="316">
        <v>86391721</v>
      </c>
      <c r="I303" s="313">
        <f>H303</f>
        <v>86391721</v>
      </c>
      <c r="J303" s="313">
        <f>-I303</f>
        <v>-86391721</v>
      </c>
      <c r="K303" s="313">
        <f>I303+J303</f>
        <v>0</v>
      </c>
      <c r="L303" s="313"/>
      <c r="M303" s="334">
        <v>0</v>
      </c>
      <c r="N303" s="313">
        <v>0</v>
      </c>
      <c r="O303" s="313">
        <f t="shared" si="33"/>
        <v>58981602</v>
      </c>
      <c r="P303" t="s">
        <v>920</v>
      </c>
      <c r="Q303" s="8" t="s">
        <v>7858</v>
      </c>
      <c r="R303" t="s">
        <v>7880</v>
      </c>
      <c r="S303" s="37" t="s">
        <v>1526</v>
      </c>
      <c r="V303"/>
      <c r="W303"/>
    </row>
    <row r="304" spans="1:23" s="40" customFormat="1">
      <c r="A304" s="321">
        <v>45931</v>
      </c>
      <c r="B304" s="332" t="s">
        <v>7795</v>
      </c>
      <c r="C304" s="40" t="s">
        <v>7668</v>
      </c>
      <c r="D304" s="40" t="s">
        <v>7331</v>
      </c>
      <c r="E304" s="49" t="s">
        <v>7669</v>
      </c>
      <c r="F304" s="47">
        <v>2024</v>
      </c>
      <c r="G304" s="47" t="s">
        <v>274</v>
      </c>
      <c r="H304" s="51">
        <v>4774000</v>
      </c>
      <c r="I304" s="313">
        <f>H304</f>
        <v>4774000</v>
      </c>
      <c r="J304" s="313">
        <f>-I304</f>
        <v>-4774000</v>
      </c>
      <c r="K304" s="313">
        <f>I304+J304</f>
        <v>0</v>
      </c>
      <c r="L304" s="313"/>
      <c r="M304" s="116">
        <v>0</v>
      </c>
      <c r="N304" s="313">
        <v>0</v>
      </c>
      <c r="O304" s="313">
        <f t="shared" si="33"/>
        <v>58981602</v>
      </c>
      <c r="P304" t="s">
        <v>920</v>
      </c>
      <c r="Q304" s="8" t="s">
        <v>7858</v>
      </c>
      <c r="R304" s="8" t="s">
        <v>7879</v>
      </c>
      <c r="S304" s="37" t="s">
        <v>6338</v>
      </c>
    </row>
    <row r="305" spans="1:23" s="40" customFormat="1">
      <c r="A305" s="321">
        <v>45931</v>
      </c>
      <c r="B305" s="332" t="s">
        <v>7795</v>
      </c>
      <c r="C305" s="40" t="s">
        <v>7670</v>
      </c>
      <c r="D305" s="40" t="s">
        <v>7331</v>
      </c>
      <c r="E305" s="49" t="s">
        <v>7671</v>
      </c>
      <c r="F305" s="47">
        <v>2024</v>
      </c>
      <c r="G305" s="47" t="s">
        <v>274</v>
      </c>
      <c r="H305" s="51">
        <v>4513720</v>
      </c>
      <c r="I305" s="313">
        <f>H305</f>
        <v>4513720</v>
      </c>
      <c r="J305" s="313">
        <f>-I305</f>
        <v>-4513720</v>
      </c>
      <c r="K305" s="313">
        <f>I305+J305</f>
        <v>0</v>
      </c>
      <c r="L305" s="313"/>
      <c r="M305" s="116">
        <v>0</v>
      </c>
      <c r="N305" s="313">
        <v>0</v>
      </c>
      <c r="O305" s="313">
        <f t="shared" si="33"/>
        <v>58981602</v>
      </c>
      <c r="P305" t="s">
        <v>920</v>
      </c>
      <c r="Q305" s="8" t="s">
        <v>7858</v>
      </c>
      <c r="R305" s="8" t="s">
        <v>7879</v>
      </c>
      <c r="S305" s="37" t="s">
        <v>6338</v>
      </c>
    </row>
    <row r="306" spans="1:23">
      <c r="A306" s="320">
        <v>45931</v>
      </c>
      <c r="B306" s="332" t="s">
        <v>7795</v>
      </c>
      <c r="C306" t="s">
        <v>7672</v>
      </c>
      <c r="D306" t="s">
        <v>7331</v>
      </c>
      <c r="E306" s="47" t="s">
        <v>7673</v>
      </c>
      <c r="F306" s="47">
        <v>2025</v>
      </c>
      <c r="G306" s="47" t="s">
        <v>274</v>
      </c>
      <c r="H306" s="316">
        <v>3040501</v>
      </c>
      <c r="I306" s="313">
        <f>H306</f>
        <v>3040501</v>
      </c>
      <c r="J306" s="313">
        <f>-I306</f>
        <v>-3040501</v>
      </c>
      <c r="K306" s="313">
        <f>I306+J306</f>
        <v>0</v>
      </c>
      <c r="L306" s="313"/>
      <c r="M306" s="334">
        <v>0</v>
      </c>
      <c r="N306" s="313">
        <v>0</v>
      </c>
      <c r="O306" s="313">
        <f t="shared" si="33"/>
        <v>58981602</v>
      </c>
      <c r="P306" t="s">
        <v>920</v>
      </c>
      <c r="Q306" s="8" t="s">
        <v>7858</v>
      </c>
      <c r="R306" t="s">
        <v>7880</v>
      </c>
      <c r="S306" s="37" t="s">
        <v>1526</v>
      </c>
      <c r="V306"/>
      <c r="W306"/>
    </row>
    <row r="307" spans="1:23">
      <c r="A307" s="320">
        <v>45931</v>
      </c>
      <c r="B307" s="332" t="s">
        <v>7795</v>
      </c>
      <c r="C307" t="s">
        <v>7674</v>
      </c>
      <c r="D307" t="s">
        <v>3466</v>
      </c>
      <c r="E307" s="47" t="s">
        <v>7675</v>
      </c>
      <c r="F307" s="47">
        <v>2025</v>
      </c>
      <c r="G307" s="199" t="s">
        <v>275</v>
      </c>
      <c r="H307" s="199">
        <v>189209790</v>
      </c>
      <c r="I307" s="313">
        <v>0</v>
      </c>
      <c r="J307" s="313">
        <v>0</v>
      </c>
      <c r="K307" s="313">
        <f t="shared" si="32"/>
        <v>0</v>
      </c>
      <c r="L307" s="313"/>
      <c r="M307" s="199">
        <f>H307</f>
        <v>189209790</v>
      </c>
      <c r="N307" s="313">
        <v>0</v>
      </c>
      <c r="O307" s="313">
        <f t="shared" si="33"/>
        <v>-130228188</v>
      </c>
      <c r="P307" s="80" t="s">
        <v>6</v>
      </c>
      <c r="Q307" s="80" t="s">
        <v>7756</v>
      </c>
      <c r="R307" s="80" t="s">
        <v>7757</v>
      </c>
    </row>
    <row r="308" spans="1:23" s="8" customFormat="1">
      <c r="A308" s="332"/>
      <c r="B308" s="332"/>
      <c r="E308" s="200"/>
      <c r="F308" s="200"/>
      <c r="G308" s="116"/>
      <c r="H308" s="116">
        <v>0</v>
      </c>
      <c r="I308" s="314">
        <v>0</v>
      </c>
      <c r="J308" s="314">
        <v>0</v>
      </c>
      <c r="K308" s="314">
        <v>0</v>
      </c>
      <c r="L308" s="314"/>
      <c r="M308" s="116">
        <v>2200000</v>
      </c>
      <c r="N308" s="116">
        <v>0</v>
      </c>
      <c r="O308" s="313">
        <f t="shared" si="33"/>
        <v>-132428188</v>
      </c>
      <c r="P308" s="8" t="s">
        <v>920</v>
      </c>
      <c r="Q308" s="8" t="s">
        <v>7857</v>
      </c>
      <c r="R308" s="363" t="s">
        <v>7825</v>
      </c>
      <c r="V308" s="116"/>
      <c r="W308" s="116"/>
    </row>
    <row r="309" spans="1:23" s="8" customFormat="1">
      <c r="A309" s="13">
        <v>45971</v>
      </c>
      <c r="B309" s="13" t="s">
        <v>7174</v>
      </c>
      <c r="C309" s="226" t="s">
        <v>7676</v>
      </c>
      <c r="D309" s="8" t="s">
        <v>7658</v>
      </c>
      <c r="E309" s="200" t="s">
        <v>7677</v>
      </c>
      <c r="F309" s="200"/>
      <c r="G309" s="200" t="s">
        <v>7828</v>
      </c>
      <c r="H309" s="130">
        <v>132428188</v>
      </c>
      <c r="I309" s="339">
        <v>0</v>
      </c>
      <c r="J309" s="339">
        <v>0</v>
      </c>
      <c r="K309" s="339">
        <f t="shared" si="32"/>
        <v>0</v>
      </c>
      <c r="L309" s="339"/>
      <c r="M309" s="130">
        <v>0</v>
      </c>
      <c r="N309" s="130">
        <v>132428188</v>
      </c>
      <c r="O309" s="313">
        <f t="shared" si="33"/>
        <v>0</v>
      </c>
      <c r="P309" s="8" t="s">
        <v>920</v>
      </c>
      <c r="Q309" t="s">
        <v>7856</v>
      </c>
      <c r="R309" s="8" t="s">
        <v>7147</v>
      </c>
      <c r="S309" s="8" t="s">
        <v>4564</v>
      </c>
    </row>
    <row r="310" spans="1:23">
      <c r="A310" s="320">
        <v>45962</v>
      </c>
      <c r="B310" s="320" t="s">
        <v>7032</v>
      </c>
      <c r="D310" t="s">
        <v>7235</v>
      </c>
      <c r="G310" s="47" t="s">
        <v>7796</v>
      </c>
      <c r="H310" s="116">
        <v>74324</v>
      </c>
      <c r="I310" s="313">
        <v>0</v>
      </c>
      <c r="J310" s="313">
        <v>0</v>
      </c>
      <c r="K310" s="313">
        <f t="shared" si="32"/>
        <v>0</v>
      </c>
      <c r="L310" s="313"/>
      <c r="M310" s="334">
        <v>0</v>
      </c>
      <c r="N310" s="116">
        <f t="shared" ref="N310:N316" si="39">H310</f>
        <v>74324</v>
      </c>
      <c r="O310" s="313">
        <f t="shared" si="33"/>
        <v>74324</v>
      </c>
      <c r="P310" t="s">
        <v>920</v>
      </c>
      <c r="Q310" t="s">
        <v>7854</v>
      </c>
      <c r="R310" t="s">
        <v>7032</v>
      </c>
      <c r="S310" t="s">
        <v>4565</v>
      </c>
    </row>
    <row r="311" spans="1:23">
      <c r="A311" s="320">
        <v>45962</v>
      </c>
      <c r="B311" s="320" t="s">
        <v>7032</v>
      </c>
      <c r="D311" t="s">
        <v>7678</v>
      </c>
      <c r="G311" s="47" t="s">
        <v>7796</v>
      </c>
      <c r="H311" s="116">
        <v>21989</v>
      </c>
      <c r="I311" s="313">
        <v>0</v>
      </c>
      <c r="J311" s="313">
        <v>0</v>
      </c>
      <c r="K311" s="313">
        <f t="shared" si="32"/>
        <v>0</v>
      </c>
      <c r="L311" s="313"/>
      <c r="M311" s="334">
        <v>0</v>
      </c>
      <c r="N311" s="116">
        <f t="shared" si="39"/>
        <v>21989</v>
      </c>
      <c r="O311" s="313">
        <f t="shared" si="33"/>
        <v>96313</v>
      </c>
      <c r="P311" t="s">
        <v>920</v>
      </c>
      <c r="Q311" t="s">
        <v>7854</v>
      </c>
      <c r="R311" t="s">
        <v>7032</v>
      </c>
      <c r="S311" t="s">
        <v>4565</v>
      </c>
    </row>
    <row r="312" spans="1:23">
      <c r="A312" s="320">
        <v>45962</v>
      </c>
      <c r="B312" s="320" t="s">
        <v>7032</v>
      </c>
      <c r="D312" t="s">
        <v>7233</v>
      </c>
      <c r="G312" s="47" t="s">
        <v>7796</v>
      </c>
      <c r="H312" s="116">
        <v>1981982</v>
      </c>
      <c r="I312" s="313">
        <v>0</v>
      </c>
      <c r="J312" s="313">
        <v>0</v>
      </c>
      <c r="K312" s="313">
        <f t="shared" si="32"/>
        <v>0</v>
      </c>
      <c r="L312" s="313"/>
      <c r="M312" s="334">
        <v>0</v>
      </c>
      <c r="N312" s="116">
        <f t="shared" si="39"/>
        <v>1981982</v>
      </c>
      <c r="O312" s="313">
        <f t="shared" si="33"/>
        <v>2078295</v>
      </c>
      <c r="P312" s="8" t="s">
        <v>920</v>
      </c>
      <c r="Q312" t="s">
        <v>7856</v>
      </c>
      <c r="R312" s="8" t="s">
        <v>7032</v>
      </c>
      <c r="S312" s="8" t="s">
        <v>4565</v>
      </c>
    </row>
    <row r="313" spans="1:23">
      <c r="A313" s="320">
        <v>45962</v>
      </c>
      <c r="B313" s="320" t="s">
        <v>7032</v>
      </c>
      <c r="D313" t="s">
        <v>7237</v>
      </c>
      <c r="G313" s="47" t="s">
        <v>7796</v>
      </c>
      <c r="H313" s="116">
        <v>506000</v>
      </c>
      <c r="I313" s="313">
        <v>0</v>
      </c>
      <c r="J313" s="313">
        <v>0</v>
      </c>
      <c r="K313" s="313">
        <f t="shared" si="32"/>
        <v>0</v>
      </c>
      <c r="L313" s="313"/>
      <c r="M313" s="334">
        <v>0</v>
      </c>
      <c r="N313" s="116">
        <f t="shared" si="39"/>
        <v>506000</v>
      </c>
      <c r="O313" s="313">
        <f t="shared" si="33"/>
        <v>2584295</v>
      </c>
      <c r="P313" t="s">
        <v>920</v>
      </c>
      <c r="Q313" t="s">
        <v>7854</v>
      </c>
      <c r="R313" t="s">
        <v>7032</v>
      </c>
      <c r="S313" t="s">
        <v>4565</v>
      </c>
    </row>
    <row r="314" spans="1:23" s="372" customFormat="1">
      <c r="A314" s="371">
        <v>45962</v>
      </c>
      <c r="B314" s="371" t="s">
        <v>7032</v>
      </c>
      <c r="D314" s="372" t="s">
        <v>7679</v>
      </c>
      <c r="E314" s="373"/>
      <c r="F314" s="373"/>
      <c r="G314" s="373" t="s">
        <v>7796</v>
      </c>
      <c r="H314" s="374">
        <v>25850</v>
      </c>
      <c r="I314" s="375">
        <v>0</v>
      </c>
      <c r="J314" s="375">
        <v>0</v>
      </c>
      <c r="K314" s="375">
        <f t="shared" si="32"/>
        <v>0</v>
      </c>
      <c r="L314" s="375"/>
      <c r="M314" s="376">
        <v>0</v>
      </c>
      <c r="N314" s="376">
        <f t="shared" si="39"/>
        <v>25850</v>
      </c>
      <c r="O314" s="375">
        <f t="shared" si="33"/>
        <v>2610145</v>
      </c>
      <c r="P314" s="372" t="s">
        <v>6</v>
      </c>
      <c r="Q314" s="372" t="s">
        <v>53</v>
      </c>
      <c r="R314" s="372" t="s">
        <v>7811</v>
      </c>
      <c r="S314" s="372" t="s">
        <v>4565</v>
      </c>
      <c r="V314" s="376"/>
      <c r="W314" s="376"/>
    </row>
    <row r="315" spans="1:23">
      <c r="A315" s="320">
        <v>45962</v>
      </c>
      <c r="B315" s="320" t="s">
        <v>7032</v>
      </c>
      <c r="D315" t="s">
        <v>7249</v>
      </c>
      <c r="G315" s="47" t="s">
        <v>7796</v>
      </c>
      <c r="H315" s="116">
        <v>385000</v>
      </c>
      <c r="I315" s="313">
        <v>0</v>
      </c>
      <c r="J315" s="313">
        <v>0</v>
      </c>
      <c r="K315" s="313">
        <f t="shared" si="32"/>
        <v>0</v>
      </c>
      <c r="L315" s="313"/>
      <c r="M315" s="334">
        <v>0</v>
      </c>
      <c r="N315" s="116">
        <f t="shared" si="39"/>
        <v>385000</v>
      </c>
      <c r="O315" s="313">
        <f t="shared" si="33"/>
        <v>2995145</v>
      </c>
      <c r="P315" t="s">
        <v>920</v>
      </c>
      <c r="Q315" t="s">
        <v>7854</v>
      </c>
      <c r="R315" t="s">
        <v>7032</v>
      </c>
      <c r="S315" t="s">
        <v>4564</v>
      </c>
    </row>
    <row r="316" spans="1:23" s="372" customFormat="1">
      <c r="A316" s="371">
        <v>45962</v>
      </c>
      <c r="B316" s="371" t="s">
        <v>7032</v>
      </c>
      <c r="D316" s="372" t="s">
        <v>7249</v>
      </c>
      <c r="E316" s="373"/>
      <c r="F316" s="373"/>
      <c r="G316" s="373" t="s">
        <v>7796</v>
      </c>
      <c r="H316" s="374">
        <v>385000</v>
      </c>
      <c r="I316" s="375">
        <v>0</v>
      </c>
      <c r="J316" s="375">
        <v>0</v>
      </c>
      <c r="K316" s="375">
        <f t="shared" si="32"/>
        <v>0</v>
      </c>
      <c r="L316" s="375"/>
      <c r="M316" s="376">
        <v>0</v>
      </c>
      <c r="N316" s="376">
        <f t="shared" si="39"/>
        <v>385000</v>
      </c>
      <c r="O316" s="375">
        <f t="shared" si="33"/>
        <v>3380145</v>
      </c>
      <c r="P316" s="372" t="s">
        <v>6</v>
      </c>
      <c r="Q316" s="372" t="s">
        <v>53</v>
      </c>
      <c r="R316" s="372" t="s">
        <v>7811</v>
      </c>
      <c r="S316" s="372" t="s">
        <v>4565</v>
      </c>
      <c r="V316" s="376"/>
      <c r="W316" s="376"/>
    </row>
    <row r="317" spans="1:23">
      <c r="A317" s="320">
        <v>45962</v>
      </c>
      <c r="B317" s="320" t="s">
        <v>7795</v>
      </c>
      <c r="C317" t="s">
        <v>7680</v>
      </c>
      <c r="D317" t="s">
        <v>5857</v>
      </c>
      <c r="E317" s="47" t="s">
        <v>7681</v>
      </c>
      <c r="F317" s="47">
        <v>2025</v>
      </c>
      <c r="G317" s="47" t="s">
        <v>274</v>
      </c>
      <c r="H317" s="316">
        <v>74324324</v>
      </c>
      <c r="I317" s="313">
        <f t="shared" ref="I317:I331" si="40">H317</f>
        <v>74324324</v>
      </c>
      <c r="J317" s="313">
        <f t="shared" ref="J317:J330" si="41">-I317</f>
        <v>-74324324</v>
      </c>
      <c r="K317" s="313">
        <f t="shared" ref="K317:K331" si="42">I317+J317</f>
        <v>0</v>
      </c>
      <c r="L317" s="313"/>
      <c r="M317" s="334">
        <v>0</v>
      </c>
      <c r="N317" s="313">
        <v>0</v>
      </c>
      <c r="O317" s="313">
        <f t="shared" si="33"/>
        <v>3380145</v>
      </c>
      <c r="P317" t="s">
        <v>920</v>
      </c>
      <c r="Q317" s="8" t="s">
        <v>7858</v>
      </c>
      <c r="R317" t="s">
        <v>7880</v>
      </c>
      <c r="S317" s="37" t="s">
        <v>1526</v>
      </c>
      <c r="V317"/>
      <c r="W317"/>
    </row>
    <row r="318" spans="1:23">
      <c r="A318" s="320">
        <v>45962</v>
      </c>
      <c r="B318" s="320" t="s">
        <v>7795</v>
      </c>
      <c r="C318" t="s">
        <v>7682</v>
      </c>
      <c r="D318" t="s">
        <v>7331</v>
      </c>
      <c r="E318" s="47" t="s">
        <v>7683</v>
      </c>
      <c r="F318" s="47">
        <v>2025</v>
      </c>
      <c r="G318" s="47" t="s">
        <v>274</v>
      </c>
      <c r="H318" s="316">
        <v>10675500</v>
      </c>
      <c r="I318" s="313">
        <f t="shared" si="40"/>
        <v>10675500</v>
      </c>
      <c r="J318" s="313">
        <f t="shared" si="41"/>
        <v>-10675500</v>
      </c>
      <c r="K318" s="313">
        <f t="shared" si="42"/>
        <v>0</v>
      </c>
      <c r="L318" s="313"/>
      <c r="M318" s="334">
        <v>0</v>
      </c>
      <c r="N318" s="313">
        <v>0</v>
      </c>
      <c r="O318" s="313">
        <f t="shared" si="33"/>
        <v>3380145</v>
      </c>
      <c r="P318" t="s">
        <v>920</v>
      </c>
      <c r="Q318" s="8" t="s">
        <v>7858</v>
      </c>
      <c r="R318" t="s">
        <v>7880</v>
      </c>
      <c r="S318" s="37" t="s">
        <v>1526</v>
      </c>
      <c r="V318"/>
      <c r="W318"/>
    </row>
    <row r="319" spans="1:23" s="40" customFormat="1">
      <c r="A319" s="321" t="s">
        <v>26</v>
      </c>
      <c r="B319" s="320" t="s">
        <v>7795</v>
      </c>
      <c r="C319" s="40" t="s">
        <v>26</v>
      </c>
      <c r="D319" s="40" t="s">
        <v>7331</v>
      </c>
      <c r="E319" s="49" t="s">
        <v>7232</v>
      </c>
      <c r="F319" s="49">
        <v>2024</v>
      </c>
      <c r="G319" s="49" t="s">
        <v>274</v>
      </c>
      <c r="H319" s="322">
        <v>11163614</v>
      </c>
      <c r="I319" s="313">
        <f t="shared" si="40"/>
        <v>11163614</v>
      </c>
      <c r="J319" s="313">
        <f t="shared" si="41"/>
        <v>-11163614</v>
      </c>
      <c r="K319" s="313">
        <f t="shared" si="42"/>
        <v>0</v>
      </c>
      <c r="L319" s="313"/>
      <c r="M319" s="130">
        <v>0</v>
      </c>
      <c r="N319" s="313">
        <v>0</v>
      </c>
      <c r="O319" s="313">
        <f t="shared" si="33"/>
        <v>3380145</v>
      </c>
      <c r="P319" t="s">
        <v>920</v>
      </c>
      <c r="Q319" s="8" t="s">
        <v>7858</v>
      </c>
      <c r="R319" s="8" t="s">
        <v>7879</v>
      </c>
      <c r="S319" s="37" t="s">
        <v>6338</v>
      </c>
    </row>
    <row r="320" spans="1:23">
      <c r="A320" s="320">
        <v>45962</v>
      </c>
      <c r="B320" s="320" t="s">
        <v>7795</v>
      </c>
      <c r="C320" t="s">
        <v>7684</v>
      </c>
      <c r="D320" t="s">
        <v>7331</v>
      </c>
      <c r="E320" s="47" t="s">
        <v>7685</v>
      </c>
      <c r="F320" s="47">
        <v>2025</v>
      </c>
      <c r="G320" s="47" t="s">
        <v>274</v>
      </c>
      <c r="H320" s="316">
        <v>24195402</v>
      </c>
      <c r="I320" s="313">
        <f t="shared" si="40"/>
        <v>24195402</v>
      </c>
      <c r="J320" s="313">
        <f t="shared" si="41"/>
        <v>-24195402</v>
      </c>
      <c r="K320" s="313">
        <f t="shared" si="42"/>
        <v>0</v>
      </c>
      <c r="L320" s="313"/>
      <c r="M320" s="334">
        <v>0</v>
      </c>
      <c r="N320" s="313">
        <v>0</v>
      </c>
      <c r="O320" s="313">
        <f t="shared" si="33"/>
        <v>3380145</v>
      </c>
      <c r="P320" t="s">
        <v>920</v>
      </c>
      <c r="Q320" s="8" t="s">
        <v>7858</v>
      </c>
      <c r="R320" t="s">
        <v>7880</v>
      </c>
      <c r="S320" s="37" t="s">
        <v>1526</v>
      </c>
      <c r="V320"/>
      <c r="W320"/>
    </row>
    <row r="321" spans="1:23">
      <c r="A321" s="320">
        <v>45962</v>
      </c>
      <c r="B321" s="320" t="s">
        <v>7795</v>
      </c>
      <c r="C321" t="s">
        <v>7686</v>
      </c>
      <c r="D321" t="s">
        <v>7331</v>
      </c>
      <c r="E321" s="47" t="s">
        <v>7687</v>
      </c>
      <c r="F321" s="47">
        <v>2025</v>
      </c>
      <c r="G321" s="47" t="s">
        <v>274</v>
      </c>
      <c r="H321" s="316">
        <v>4840000</v>
      </c>
      <c r="I321" s="313">
        <f t="shared" si="40"/>
        <v>4840000</v>
      </c>
      <c r="J321" s="313">
        <f t="shared" si="41"/>
        <v>-4840000</v>
      </c>
      <c r="K321" s="313">
        <f t="shared" si="42"/>
        <v>0</v>
      </c>
      <c r="L321" s="313"/>
      <c r="M321" s="334">
        <v>0</v>
      </c>
      <c r="N321" s="313">
        <v>0</v>
      </c>
      <c r="O321" s="313">
        <f t="shared" si="33"/>
        <v>3380145</v>
      </c>
      <c r="P321" t="s">
        <v>920</v>
      </c>
      <c r="Q321" s="8" t="s">
        <v>7858</v>
      </c>
      <c r="R321" t="s">
        <v>7880</v>
      </c>
      <c r="S321" s="37" t="s">
        <v>1526</v>
      </c>
      <c r="V321"/>
      <c r="W321"/>
    </row>
    <row r="322" spans="1:23">
      <c r="A322" s="320">
        <v>45962</v>
      </c>
      <c r="B322" s="320" t="s">
        <v>7795</v>
      </c>
      <c r="C322" t="s">
        <v>7688</v>
      </c>
      <c r="D322" t="s">
        <v>7331</v>
      </c>
      <c r="E322" s="47" t="s">
        <v>7689</v>
      </c>
      <c r="F322" s="47">
        <v>2025</v>
      </c>
      <c r="G322" s="47" t="s">
        <v>274</v>
      </c>
      <c r="H322" s="316">
        <v>19225718</v>
      </c>
      <c r="I322" s="313">
        <f t="shared" si="40"/>
        <v>19225718</v>
      </c>
      <c r="J322" s="313">
        <f t="shared" si="41"/>
        <v>-19225718</v>
      </c>
      <c r="K322" s="313">
        <f t="shared" si="42"/>
        <v>0</v>
      </c>
      <c r="L322" s="313"/>
      <c r="M322" s="334">
        <v>0</v>
      </c>
      <c r="N322" s="313">
        <v>0</v>
      </c>
      <c r="O322" s="313">
        <f t="shared" si="33"/>
        <v>3380145</v>
      </c>
      <c r="P322" t="s">
        <v>920</v>
      </c>
      <c r="Q322" s="8" t="s">
        <v>7858</v>
      </c>
      <c r="R322" t="s">
        <v>7880</v>
      </c>
      <c r="S322" s="37" t="s">
        <v>1526</v>
      </c>
      <c r="V322"/>
      <c r="W322"/>
    </row>
    <row r="323" spans="1:23" s="40" customFormat="1">
      <c r="A323" s="321">
        <v>45962</v>
      </c>
      <c r="B323" s="320" t="s">
        <v>7795</v>
      </c>
      <c r="C323" s="40" t="s">
        <v>7690</v>
      </c>
      <c r="D323" s="40" t="s">
        <v>7331</v>
      </c>
      <c r="E323" s="49" t="s">
        <v>7691</v>
      </c>
      <c r="F323" s="49">
        <v>2024</v>
      </c>
      <c r="G323" s="49" t="s">
        <v>274</v>
      </c>
      <c r="H323" s="326">
        <v>17592069</v>
      </c>
      <c r="I323" s="313">
        <f t="shared" si="40"/>
        <v>17592069</v>
      </c>
      <c r="J323" s="313">
        <f t="shared" si="41"/>
        <v>-17592069</v>
      </c>
      <c r="K323" s="313">
        <f t="shared" si="42"/>
        <v>0</v>
      </c>
      <c r="L323" s="313"/>
      <c r="M323" s="130">
        <v>0</v>
      </c>
      <c r="N323" s="313">
        <v>0</v>
      </c>
      <c r="O323" s="313">
        <f t="shared" si="33"/>
        <v>3380145</v>
      </c>
      <c r="P323" t="s">
        <v>920</v>
      </c>
      <c r="Q323" s="8" t="s">
        <v>7858</v>
      </c>
      <c r="R323" s="8" t="s">
        <v>7879</v>
      </c>
      <c r="S323" s="37" t="s">
        <v>6338</v>
      </c>
    </row>
    <row r="324" spans="1:23" s="40" customFormat="1">
      <c r="A324" s="321">
        <v>45962</v>
      </c>
      <c r="B324" s="320" t="s">
        <v>7795</v>
      </c>
      <c r="C324" s="40" t="s">
        <v>7692</v>
      </c>
      <c r="D324" s="40" t="s">
        <v>7331</v>
      </c>
      <c r="E324" s="49" t="s">
        <v>7693</v>
      </c>
      <c r="F324" s="49">
        <v>2024</v>
      </c>
      <c r="G324" s="49" t="s">
        <v>274</v>
      </c>
      <c r="H324" s="326">
        <v>12444425</v>
      </c>
      <c r="I324" s="313">
        <f t="shared" si="40"/>
        <v>12444425</v>
      </c>
      <c r="J324" s="313">
        <f t="shared" si="41"/>
        <v>-12444425</v>
      </c>
      <c r="K324" s="313">
        <f t="shared" si="42"/>
        <v>0</v>
      </c>
      <c r="L324" s="313"/>
      <c r="M324" s="116">
        <v>0</v>
      </c>
      <c r="N324" s="313">
        <v>0</v>
      </c>
      <c r="O324" s="313">
        <f t="shared" si="33"/>
        <v>3380145</v>
      </c>
      <c r="P324" t="s">
        <v>920</v>
      </c>
      <c r="Q324" s="8" t="s">
        <v>7858</v>
      </c>
      <c r="R324" s="8" t="s">
        <v>7879</v>
      </c>
      <c r="S324" s="37" t="s">
        <v>6338</v>
      </c>
    </row>
    <row r="325" spans="1:23" s="40" customFormat="1">
      <c r="A325" s="321">
        <v>45962</v>
      </c>
      <c r="B325" s="320" t="s">
        <v>7795</v>
      </c>
      <c r="C325" s="40" t="s">
        <v>7230</v>
      </c>
      <c r="D325" s="40" t="s">
        <v>7331</v>
      </c>
      <c r="E325" s="49" t="s">
        <v>7231</v>
      </c>
      <c r="F325" s="47">
        <v>2024</v>
      </c>
      <c r="G325" s="47" t="s">
        <v>274</v>
      </c>
      <c r="H325" s="322">
        <v>3825250</v>
      </c>
      <c r="I325" s="313">
        <f t="shared" si="40"/>
        <v>3825250</v>
      </c>
      <c r="J325" s="313">
        <f t="shared" si="41"/>
        <v>-3825250</v>
      </c>
      <c r="K325" s="313">
        <f t="shared" si="42"/>
        <v>0</v>
      </c>
      <c r="L325" s="313"/>
      <c r="M325" s="116">
        <v>0</v>
      </c>
      <c r="N325" s="313">
        <v>0</v>
      </c>
      <c r="O325" s="313">
        <f t="shared" si="33"/>
        <v>3380145</v>
      </c>
      <c r="P325" t="s">
        <v>920</v>
      </c>
      <c r="Q325" s="8" t="s">
        <v>7858</v>
      </c>
      <c r="R325" s="8" t="s">
        <v>7879</v>
      </c>
      <c r="S325" s="37" t="s">
        <v>6338</v>
      </c>
    </row>
    <row r="326" spans="1:23" s="40" customFormat="1">
      <c r="A326" s="321">
        <v>45962</v>
      </c>
      <c r="B326" s="320" t="s">
        <v>7795</v>
      </c>
      <c r="C326" s="40" t="s">
        <v>7228</v>
      </c>
      <c r="D326" s="40" t="s">
        <v>7331</v>
      </c>
      <c r="E326" s="49" t="s">
        <v>7229</v>
      </c>
      <c r="F326" s="49">
        <v>2024</v>
      </c>
      <c r="G326" s="49" t="s">
        <v>274</v>
      </c>
      <c r="H326" s="322">
        <v>17643345</v>
      </c>
      <c r="I326" s="313">
        <f t="shared" si="40"/>
        <v>17643345</v>
      </c>
      <c r="J326" s="313">
        <f t="shared" si="41"/>
        <v>-17643345</v>
      </c>
      <c r="K326" s="313">
        <f t="shared" si="42"/>
        <v>0</v>
      </c>
      <c r="L326" s="313"/>
      <c r="M326" s="116">
        <v>0</v>
      </c>
      <c r="N326" s="313">
        <v>0</v>
      </c>
      <c r="O326" s="313">
        <f t="shared" si="33"/>
        <v>3380145</v>
      </c>
      <c r="P326" t="s">
        <v>920</v>
      </c>
      <c r="Q326" s="8" t="s">
        <v>7858</v>
      </c>
      <c r="R326" s="8" t="s">
        <v>7879</v>
      </c>
      <c r="S326" s="37" t="s">
        <v>6338</v>
      </c>
    </row>
    <row r="327" spans="1:23" s="40" customFormat="1">
      <c r="A327" s="321">
        <v>45962</v>
      </c>
      <c r="B327" s="320" t="s">
        <v>7795</v>
      </c>
      <c r="C327" s="40" t="s">
        <v>7226</v>
      </c>
      <c r="D327" s="40" t="s">
        <v>7331</v>
      </c>
      <c r="E327" s="49" t="s">
        <v>7227</v>
      </c>
      <c r="F327" s="49">
        <v>2024</v>
      </c>
      <c r="G327" s="49" t="s">
        <v>274</v>
      </c>
      <c r="H327" s="322">
        <v>20250011</v>
      </c>
      <c r="I327" s="313">
        <f t="shared" si="40"/>
        <v>20250011</v>
      </c>
      <c r="J327" s="313">
        <f t="shared" si="41"/>
        <v>-20250011</v>
      </c>
      <c r="K327" s="313">
        <f t="shared" si="42"/>
        <v>0</v>
      </c>
      <c r="L327" s="313"/>
      <c r="M327" s="116">
        <v>0</v>
      </c>
      <c r="N327" s="313">
        <v>0</v>
      </c>
      <c r="O327" s="313">
        <f t="shared" ref="O327:O360" si="43">O326-M327+N327</f>
        <v>3380145</v>
      </c>
      <c r="P327" t="s">
        <v>920</v>
      </c>
      <c r="Q327" s="8" t="s">
        <v>7858</v>
      </c>
      <c r="R327" s="8" t="s">
        <v>7879</v>
      </c>
      <c r="S327" s="37" t="s">
        <v>6338</v>
      </c>
    </row>
    <row r="328" spans="1:23">
      <c r="A328" s="320">
        <v>45962</v>
      </c>
      <c r="B328" s="320" t="s">
        <v>7795</v>
      </c>
      <c r="C328" t="s">
        <v>7694</v>
      </c>
      <c r="D328" t="s">
        <v>7331</v>
      </c>
      <c r="E328" s="47" t="s">
        <v>7695</v>
      </c>
      <c r="F328" s="47">
        <v>2025</v>
      </c>
      <c r="G328" s="47" t="s">
        <v>274</v>
      </c>
      <c r="H328" s="316">
        <v>5872595</v>
      </c>
      <c r="I328" s="313">
        <f t="shared" si="40"/>
        <v>5872595</v>
      </c>
      <c r="J328" s="313">
        <f t="shared" si="41"/>
        <v>-5872595</v>
      </c>
      <c r="K328" s="313">
        <f t="shared" si="42"/>
        <v>0</v>
      </c>
      <c r="L328" s="313"/>
      <c r="M328" s="334">
        <v>0</v>
      </c>
      <c r="N328" s="313">
        <v>0</v>
      </c>
      <c r="O328" s="313">
        <f t="shared" si="43"/>
        <v>3380145</v>
      </c>
      <c r="P328" t="s">
        <v>920</v>
      </c>
      <c r="Q328" s="8" t="s">
        <v>7858</v>
      </c>
      <c r="R328" t="s">
        <v>7880</v>
      </c>
      <c r="S328" s="37" t="s">
        <v>1526</v>
      </c>
      <c r="V328"/>
      <c r="W328"/>
    </row>
    <row r="329" spans="1:23">
      <c r="A329" s="320">
        <v>45962</v>
      </c>
      <c r="B329" s="320" t="s">
        <v>7795</v>
      </c>
      <c r="C329" t="s">
        <v>7696</v>
      </c>
      <c r="D329" t="s">
        <v>7256</v>
      </c>
      <c r="E329" s="47" t="s">
        <v>7697</v>
      </c>
      <c r="F329" s="47">
        <v>2025</v>
      </c>
      <c r="G329" s="47" t="s">
        <v>274</v>
      </c>
      <c r="H329" s="316">
        <v>79279279</v>
      </c>
      <c r="I329" s="313">
        <f t="shared" si="40"/>
        <v>79279279</v>
      </c>
      <c r="J329" s="313">
        <f t="shared" si="41"/>
        <v>-79279279</v>
      </c>
      <c r="K329" s="313">
        <f t="shared" si="42"/>
        <v>0</v>
      </c>
      <c r="L329" s="313"/>
      <c r="M329" s="334">
        <v>0</v>
      </c>
      <c r="N329" s="313">
        <v>0</v>
      </c>
      <c r="O329" s="313">
        <f t="shared" si="43"/>
        <v>3380145</v>
      </c>
      <c r="P329" t="s">
        <v>920</v>
      </c>
      <c r="Q329" s="8" t="s">
        <v>7858</v>
      </c>
      <c r="R329" t="s">
        <v>7880</v>
      </c>
      <c r="S329" s="37" t="s">
        <v>1526</v>
      </c>
      <c r="V329"/>
      <c r="W329"/>
    </row>
    <row r="330" spans="1:23">
      <c r="A330" s="320">
        <v>45962</v>
      </c>
      <c r="B330" s="320" t="s">
        <v>7795</v>
      </c>
      <c r="C330" t="s">
        <v>7698</v>
      </c>
      <c r="D330" t="s">
        <v>304</v>
      </c>
      <c r="E330" s="47" t="s">
        <v>7699</v>
      </c>
      <c r="F330" s="47">
        <v>2025</v>
      </c>
      <c r="G330" s="47" t="s">
        <v>274</v>
      </c>
      <c r="H330" s="316">
        <v>667397370</v>
      </c>
      <c r="I330" s="313">
        <f t="shared" si="40"/>
        <v>667397370</v>
      </c>
      <c r="J330" s="313">
        <f t="shared" si="41"/>
        <v>-667397370</v>
      </c>
      <c r="K330" s="313">
        <f t="shared" si="42"/>
        <v>0</v>
      </c>
      <c r="L330" s="313"/>
      <c r="M330" s="334">
        <v>0</v>
      </c>
      <c r="N330" s="313">
        <v>0</v>
      </c>
      <c r="O330" s="313">
        <f t="shared" si="43"/>
        <v>3380145</v>
      </c>
      <c r="P330" t="s">
        <v>920</v>
      </c>
      <c r="Q330" s="8" t="s">
        <v>7858</v>
      </c>
      <c r="R330" t="s">
        <v>7880</v>
      </c>
      <c r="S330" s="37" t="s">
        <v>1526</v>
      </c>
      <c r="V330"/>
      <c r="W330"/>
    </row>
    <row r="331" spans="1:23">
      <c r="A331" s="320">
        <v>45962</v>
      </c>
      <c r="B331" s="320" t="s">
        <v>7795</v>
      </c>
      <c r="C331" t="s">
        <v>7700</v>
      </c>
      <c r="D331" t="s">
        <v>390</v>
      </c>
      <c r="E331" s="47" t="s">
        <v>7701</v>
      </c>
      <c r="F331" s="47">
        <v>2025</v>
      </c>
      <c r="G331" s="47" t="s">
        <v>274</v>
      </c>
      <c r="H331" s="316">
        <v>80270270</v>
      </c>
      <c r="I331" s="313">
        <f t="shared" si="40"/>
        <v>80270270</v>
      </c>
      <c r="J331" s="313">
        <v>0</v>
      </c>
      <c r="K331" s="313">
        <f t="shared" si="42"/>
        <v>80270270</v>
      </c>
      <c r="L331" s="313"/>
      <c r="M331" s="334">
        <v>0</v>
      </c>
      <c r="N331" s="313">
        <v>0</v>
      </c>
      <c r="O331" s="313">
        <f t="shared" si="43"/>
        <v>3380145</v>
      </c>
      <c r="P331" t="s">
        <v>26</v>
      </c>
      <c r="Q331" s="8" t="s">
        <v>26</v>
      </c>
      <c r="R331" t="s">
        <v>26</v>
      </c>
      <c r="S331" s="37" t="s">
        <v>26</v>
      </c>
      <c r="V331"/>
      <c r="W331"/>
    </row>
    <row r="332" spans="1:23">
      <c r="A332" s="320">
        <v>45962</v>
      </c>
      <c r="B332" s="320" t="s">
        <v>7795</v>
      </c>
      <c r="C332" t="s">
        <v>7702</v>
      </c>
      <c r="D332" t="s">
        <v>3466</v>
      </c>
      <c r="E332" s="47" t="s">
        <v>7703</v>
      </c>
      <c r="F332" s="47">
        <v>2025</v>
      </c>
      <c r="G332" s="199" t="s">
        <v>275</v>
      </c>
      <c r="H332" s="199">
        <v>20134400</v>
      </c>
      <c r="I332" s="313">
        <v>0</v>
      </c>
      <c r="J332" s="313">
        <v>0</v>
      </c>
      <c r="K332" s="313">
        <f t="shared" ref="K332:K360" si="44">I332-J332</f>
        <v>0</v>
      </c>
      <c r="L332" s="313"/>
      <c r="M332" s="199">
        <f>H332</f>
        <v>20134400</v>
      </c>
      <c r="N332" s="313">
        <v>0</v>
      </c>
      <c r="O332" s="313">
        <f t="shared" si="43"/>
        <v>-16754255</v>
      </c>
      <c r="P332" s="80" t="s">
        <v>6</v>
      </c>
      <c r="Q332" s="80" t="s">
        <v>7756</v>
      </c>
      <c r="R332" s="80" t="s">
        <v>7757</v>
      </c>
    </row>
    <row r="333" spans="1:23">
      <c r="A333" s="320">
        <v>45962</v>
      </c>
      <c r="B333" s="320" t="s">
        <v>7795</v>
      </c>
      <c r="C333" t="s">
        <v>7704</v>
      </c>
      <c r="D333" t="s">
        <v>304</v>
      </c>
      <c r="E333" s="47" t="s">
        <v>7705</v>
      </c>
      <c r="F333" s="47">
        <v>2025</v>
      </c>
      <c r="G333" s="47" t="s">
        <v>274</v>
      </c>
      <c r="H333" s="316">
        <v>84820607</v>
      </c>
      <c r="I333" s="313">
        <f>H333</f>
        <v>84820607</v>
      </c>
      <c r="J333" s="313">
        <f>-I333</f>
        <v>-84820607</v>
      </c>
      <c r="K333" s="313">
        <f>I333+J333</f>
        <v>0</v>
      </c>
      <c r="L333" s="313"/>
      <c r="M333" s="334">
        <v>0</v>
      </c>
      <c r="N333" s="313">
        <v>0</v>
      </c>
      <c r="O333" s="313">
        <f t="shared" si="43"/>
        <v>-16754255</v>
      </c>
      <c r="P333" t="s">
        <v>920</v>
      </c>
      <c r="Q333" s="8" t="s">
        <v>7858</v>
      </c>
      <c r="R333" t="s">
        <v>7880</v>
      </c>
      <c r="S333" s="37" t="s">
        <v>1526</v>
      </c>
      <c r="V333"/>
      <c r="W333"/>
    </row>
    <row r="334" spans="1:23">
      <c r="A334" s="320">
        <v>45962</v>
      </c>
      <c r="B334" s="320" t="s">
        <v>7795</v>
      </c>
      <c r="C334" t="s">
        <v>7706</v>
      </c>
      <c r="D334" t="s">
        <v>355</v>
      </c>
      <c r="E334" s="47" t="s">
        <v>7707</v>
      </c>
      <c r="F334" s="47">
        <v>2025</v>
      </c>
      <c r="G334" s="47" t="s">
        <v>274</v>
      </c>
      <c r="H334" s="316">
        <v>110000000</v>
      </c>
      <c r="I334" s="313">
        <f>H334</f>
        <v>110000000</v>
      </c>
      <c r="J334" s="313">
        <f>-I334</f>
        <v>-110000000</v>
      </c>
      <c r="K334" s="313">
        <f>I334+J334</f>
        <v>0</v>
      </c>
      <c r="L334" s="313"/>
      <c r="M334" s="334">
        <v>0</v>
      </c>
      <c r="N334" s="313">
        <v>0</v>
      </c>
      <c r="O334" s="313">
        <f t="shared" si="43"/>
        <v>-16754255</v>
      </c>
      <c r="P334" t="s">
        <v>920</v>
      </c>
      <c r="Q334" s="8" t="s">
        <v>7858</v>
      </c>
      <c r="R334" t="s">
        <v>7880</v>
      </c>
      <c r="S334" s="37" t="s">
        <v>1526</v>
      </c>
      <c r="V334"/>
      <c r="W334"/>
    </row>
    <row r="335" spans="1:23" s="366" customFormat="1">
      <c r="A335" s="365"/>
      <c r="B335" s="365" t="s">
        <v>7174</v>
      </c>
      <c r="C335" s="366" t="s">
        <v>7861</v>
      </c>
      <c r="E335" s="367"/>
      <c r="F335" s="367" t="s">
        <v>7881</v>
      </c>
      <c r="G335" s="367" t="s">
        <v>275</v>
      </c>
      <c r="H335" s="368">
        <v>16754255</v>
      </c>
      <c r="I335" s="369">
        <v>0</v>
      </c>
      <c r="J335" s="369">
        <v>0</v>
      </c>
      <c r="K335" s="369">
        <f t="shared" si="44"/>
        <v>0</v>
      </c>
      <c r="L335" s="369"/>
      <c r="M335" s="368">
        <v>0</v>
      </c>
      <c r="N335" s="368">
        <v>0</v>
      </c>
      <c r="O335" s="369">
        <f t="shared" si="43"/>
        <v>-16754255</v>
      </c>
      <c r="P335" s="366" t="s">
        <v>6</v>
      </c>
      <c r="Q335" s="366" t="s">
        <v>53</v>
      </c>
      <c r="R335" s="366" t="s">
        <v>7751</v>
      </c>
      <c r="S335" s="370" t="s">
        <v>7146</v>
      </c>
    </row>
    <row r="336" spans="1:23">
      <c r="A336" s="328">
        <v>45992</v>
      </c>
      <c r="B336" s="328" t="s">
        <v>7032</v>
      </c>
      <c r="D336" t="s">
        <v>7235</v>
      </c>
      <c r="G336" s="47" t="s">
        <v>7796</v>
      </c>
      <c r="H336" s="116">
        <v>74324</v>
      </c>
      <c r="I336" s="313">
        <v>0</v>
      </c>
      <c r="J336" s="313">
        <v>0</v>
      </c>
      <c r="K336" s="313">
        <f t="shared" si="44"/>
        <v>0</v>
      </c>
      <c r="L336" s="313"/>
      <c r="M336" s="334">
        <v>0</v>
      </c>
      <c r="N336" s="116">
        <f>H336</f>
        <v>74324</v>
      </c>
      <c r="O336" s="313">
        <f t="shared" si="43"/>
        <v>-16679931</v>
      </c>
      <c r="P336" s="80" t="s">
        <v>920</v>
      </c>
      <c r="Q336" t="s">
        <v>7854</v>
      </c>
      <c r="R336" t="s">
        <v>7032</v>
      </c>
      <c r="S336" t="s">
        <v>6537</v>
      </c>
    </row>
    <row r="337" spans="1:23">
      <c r="A337" s="328">
        <v>45992</v>
      </c>
      <c r="B337" s="328" t="s">
        <v>7032</v>
      </c>
      <c r="D337" t="s">
        <v>7708</v>
      </c>
      <c r="G337" s="47" t="s">
        <v>7796</v>
      </c>
      <c r="H337" s="116">
        <v>3006295</v>
      </c>
      <c r="I337" s="313">
        <v>0</v>
      </c>
      <c r="J337" s="313">
        <v>0</v>
      </c>
      <c r="K337" s="313">
        <f t="shared" si="44"/>
        <v>0</v>
      </c>
      <c r="L337" s="313"/>
      <c r="M337" s="334">
        <v>0</v>
      </c>
      <c r="N337" s="116">
        <f>H337</f>
        <v>3006295</v>
      </c>
      <c r="O337" s="313">
        <f t="shared" si="43"/>
        <v>-13673636</v>
      </c>
      <c r="P337" t="s">
        <v>920</v>
      </c>
      <c r="Q337" t="s">
        <v>7858</v>
      </c>
      <c r="R337" s="8" t="s">
        <v>7032</v>
      </c>
      <c r="S337" s="8" t="s">
        <v>4560</v>
      </c>
    </row>
    <row r="338" spans="1:23">
      <c r="A338" s="328">
        <v>45992</v>
      </c>
      <c r="B338" s="328" t="s">
        <v>7032</v>
      </c>
      <c r="D338" t="s">
        <v>7233</v>
      </c>
      <c r="G338" s="47" t="s">
        <v>7796</v>
      </c>
      <c r="H338" s="116">
        <v>1981982</v>
      </c>
      <c r="I338" s="313">
        <v>0</v>
      </c>
      <c r="J338" s="313">
        <v>0</v>
      </c>
      <c r="K338" s="313">
        <f t="shared" si="44"/>
        <v>0</v>
      </c>
      <c r="L338" s="313"/>
      <c r="M338" s="334">
        <v>0</v>
      </c>
      <c r="N338" s="116">
        <f>H338</f>
        <v>1981982</v>
      </c>
      <c r="O338" s="313">
        <f t="shared" si="43"/>
        <v>-11691654</v>
      </c>
      <c r="P338" t="s">
        <v>920</v>
      </c>
      <c r="Q338" t="s">
        <v>7856</v>
      </c>
      <c r="R338" t="s">
        <v>7032</v>
      </c>
      <c r="S338" t="s">
        <v>6537</v>
      </c>
    </row>
    <row r="339" spans="1:23">
      <c r="A339" s="328">
        <v>45992</v>
      </c>
      <c r="B339" s="328" t="s">
        <v>7032</v>
      </c>
      <c r="D339" t="s">
        <v>7237</v>
      </c>
      <c r="G339" s="47" t="s">
        <v>7796</v>
      </c>
      <c r="H339" s="116">
        <v>506000</v>
      </c>
      <c r="I339" s="313">
        <v>0</v>
      </c>
      <c r="J339" s="313">
        <v>0</v>
      </c>
      <c r="K339" s="313">
        <f t="shared" si="44"/>
        <v>0</v>
      </c>
      <c r="L339" s="313"/>
      <c r="M339" s="334">
        <v>0</v>
      </c>
      <c r="N339" s="116">
        <f>H339</f>
        <v>506000</v>
      </c>
      <c r="O339" s="313">
        <f t="shared" si="43"/>
        <v>-11185654</v>
      </c>
      <c r="P339" s="80" t="s">
        <v>920</v>
      </c>
      <c r="Q339" t="s">
        <v>7854</v>
      </c>
      <c r="R339" t="s">
        <v>7032</v>
      </c>
      <c r="S339" t="s">
        <v>6537</v>
      </c>
    </row>
    <row r="340" spans="1:23" s="372" customFormat="1">
      <c r="A340" s="371">
        <v>45992</v>
      </c>
      <c r="B340" s="371" t="s">
        <v>7032</v>
      </c>
      <c r="D340" s="372" t="s">
        <v>7249</v>
      </c>
      <c r="E340" s="373"/>
      <c r="F340" s="373"/>
      <c r="G340" s="373" t="s">
        <v>7796</v>
      </c>
      <c r="H340" s="374">
        <v>385000</v>
      </c>
      <c r="I340" s="375">
        <v>0</v>
      </c>
      <c r="J340" s="375">
        <v>0</v>
      </c>
      <c r="K340" s="375">
        <f t="shared" si="44"/>
        <v>0</v>
      </c>
      <c r="L340" s="375"/>
      <c r="M340" s="376">
        <v>0</v>
      </c>
      <c r="N340" s="376">
        <f>H340</f>
        <v>385000</v>
      </c>
      <c r="O340" s="375">
        <f t="shared" si="43"/>
        <v>-10800654</v>
      </c>
      <c r="P340" s="372" t="s">
        <v>6</v>
      </c>
      <c r="Q340" s="372" t="s">
        <v>53</v>
      </c>
      <c r="R340" s="372" t="s">
        <v>7811</v>
      </c>
      <c r="S340" s="372" t="s">
        <v>6537</v>
      </c>
      <c r="V340" s="376"/>
      <c r="W340" s="376"/>
    </row>
    <row r="341" spans="1:23" s="40" customFormat="1">
      <c r="A341" s="321">
        <v>45992</v>
      </c>
      <c r="B341" s="321" t="s">
        <v>7795</v>
      </c>
      <c r="C341" s="40" t="s">
        <v>7709</v>
      </c>
      <c r="D341" s="40" t="s">
        <v>7331</v>
      </c>
      <c r="E341" s="49" t="s">
        <v>7710</v>
      </c>
      <c r="F341" s="49">
        <v>2025</v>
      </c>
      <c r="G341" s="49" t="s">
        <v>274</v>
      </c>
      <c r="H341" s="316">
        <v>2454713</v>
      </c>
      <c r="I341" s="313">
        <f>H341</f>
        <v>2454713</v>
      </c>
      <c r="J341" s="313">
        <v>0</v>
      </c>
      <c r="K341" s="313">
        <f>I341+J341</f>
        <v>2454713</v>
      </c>
      <c r="L341" s="313"/>
      <c r="M341" s="116">
        <v>0</v>
      </c>
      <c r="N341" s="313">
        <v>0</v>
      </c>
      <c r="O341" s="313">
        <f t="shared" si="43"/>
        <v>-10800654</v>
      </c>
      <c r="P341" t="s">
        <v>26</v>
      </c>
      <c r="Q341" s="8" t="s">
        <v>26</v>
      </c>
      <c r="R341" t="s">
        <v>26</v>
      </c>
      <c r="S341" s="37" t="s">
        <v>26</v>
      </c>
    </row>
    <row r="342" spans="1:23">
      <c r="A342" s="320">
        <v>45992</v>
      </c>
      <c r="B342" s="321" t="s">
        <v>7795</v>
      </c>
      <c r="C342" t="s">
        <v>7711</v>
      </c>
      <c r="D342" t="s">
        <v>7331</v>
      </c>
      <c r="E342" s="47" t="s">
        <v>7712</v>
      </c>
      <c r="F342" s="47">
        <v>2025</v>
      </c>
      <c r="G342" s="47" t="s">
        <v>274</v>
      </c>
      <c r="H342" s="316">
        <v>1238551</v>
      </c>
      <c r="I342" s="313">
        <f>H342</f>
        <v>1238551</v>
      </c>
      <c r="J342" s="313">
        <v>0</v>
      </c>
      <c r="K342" s="313">
        <f>I342+J342</f>
        <v>1238551</v>
      </c>
      <c r="L342" s="313"/>
      <c r="M342" s="334">
        <v>0</v>
      </c>
      <c r="N342" s="313">
        <v>0</v>
      </c>
      <c r="O342" s="313">
        <f t="shared" si="43"/>
        <v>-10800654</v>
      </c>
      <c r="P342" t="s">
        <v>26</v>
      </c>
      <c r="Q342" s="8" t="s">
        <v>26</v>
      </c>
      <c r="R342" t="s">
        <v>26</v>
      </c>
      <c r="S342" s="37" t="s">
        <v>26</v>
      </c>
      <c r="V342"/>
      <c r="W342"/>
    </row>
    <row r="343" spans="1:23">
      <c r="A343" s="320">
        <v>45992</v>
      </c>
      <c r="B343" s="321" t="s">
        <v>7795</v>
      </c>
      <c r="C343" t="s">
        <v>7713</v>
      </c>
      <c r="D343" t="s">
        <v>7331</v>
      </c>
      <c r="E343" s="47" t="s">
        <v>7714</v>
      </c>
      <c r="F343" s="47">
        <v>2025</v>
      </c>
      <c r="G343" s="47" t="s">
        <v>274</v>
      </c>
      <c r="H343" s="316">
        <v>14417265</v>
      </c>
      <c r="I343" s="313">
        <f>H343</f>
        <v>14417265</v>
      </c>
      <c r="J343" s="313">
        <v>0</v>
      </c>
      <c r="K343" s="313">
        <f>I343+J343</f>
        <v>14417265</v>
      </c>
      <c r="L343" s="313"/>
      <c r="M343" s="334">
        <v>0</v>
      </c>
      <c r="N343" s="313">
        <v>0</v>
      </c>
      <c r="O343" s="313">
        <f t="shared" si="43"/>
        <v>-10800654</v>
      </c>
      <c r="P343" t="s">
        <v>26</v>
      </c>
      <c r="Q343" s="8" t="s">
        <v>26</v>
      </c>
      <c r="R343" t="s">
        <v>26</v>
      </c>
      <c r="S343" s="37" t="s">
        <v>26</v>
      </c>
      <c r="V343"/>
      <c r="W343"/>
    </row>
    <row r="344" spans="1:23">
      <c r="A344" s="328">
        <v>45992</v>
      </c>
      <c r="B344" s="321" t="s">
        <v>7795</v>
      </c>
      <c r="C344" t="s">
        <v>7715</v>
      </c>
      <c r="D344" t="s">
        <v>3467</v>
      </c>
      <c r="E344" s="47" t="s">
        <v>7716</v>
      </c>
      <c r="F344" s="47">
        <v>2025</v>
      </c>
      <c r="G344" s="199" t="s">
        <v>275</v>
      </c>
      <c r="H344" s="199">
        <v>10971817</v>
      </c>
      <c r="I344" s="313">
        <v>0</v>
      </c>
      <c r="J344" s="313">
        <v>0</v>
      </c>
      <c r="K344" s="313">
        <f t="shared" si="44"/>
        <v>0</v>
      </c>
      <c r="L344" s="313"/>
      <c r="M344" s="199">
        <f>H344</f>
        <v>10971817</v>
      </c>
      <c r="N344" s="313">
        <v>0</v>
      </c>
      <c r="O344" s="313">
        <f t="shared" si="43"/>
        <v>-21772471</v>
      </c>
      <c r="P344" s="80" t="s">
        <v>6</v>
      </c>
      <c r="Q344" s="80" t="s">
        <v>7756</v>
      </c>
      <c r="R344" s="80" t="s">
        <v>7757</v>
      </c>
    </row>
    <row r="345" spans="1:23" s="40" customFormat="1">
      <c r="A345" s="321">
        <v>45992</v>
      </c>
      <c r="B345" s="321" t="s">
        <v>7795</v>
      </c>
      <c r="C345" s="40" t="s">
        <v>7717</v>
      </c>
      <c r="D345" s="40" t="s">
        <v>7331</v>
      </c>
      <c r="E345" s="49" t="s">
        <v>7718</v>
      </c>
      <c r="F345" s="49">
        <v>2024</v>
      </c>
      <c r="G345" s="49" t="s">
        <v>274</v>
      </c>
      <c r="H345" s="51">
        <v>11616246</v>
      </c>
      <c r="I345" s="313">
        <f>H345</f>
        <v>11616246</v>
      </c>
      <c r="J345" s="313">
        <v>0</v>
      </c>
      <c r="K345" s="313">
        <f>I345+J345</f>
        <v>11616246</v>
      </c>
      <c r="L345" s="313"/>
      <c r="M345" s="116">
        <v>0</v>
      </c>
      <c r="N345" s="313">
        <v>0</v>
      </c>
      <c r="O345" s="313">
        <f t="shared" si="43"/>
        <v>-21772471</v>
      </c>
      <c r="P345" t="s">
        <v>26</v>
      </c>
      <c r="Q345" s="8" t="s">
        <v>26</v>
      </c>
      <c r="R345" s="80" t="s">
        <v>26</v>
      </c>
      <c r="S345" s="323" t="s">
        <v>26</v>
      </c>
    </row>
    <row r="346" spans="1:23">
      <c r="A346" s="328">
        <v>45992</v>
      </c>
      <c r="B346" s="321" t="s">
        <v>7795</v>
      </c>
      <c r="C346" t="s">
        <v>7719</v>
      </c>
      <c r="D346" t="s">
        <v>7331</v>
      </c>
      <c r="E346" s="47" t="s">
        <v>7720</v>
      </c>
      <c r="F346" s="47">
        <v>2025</v>
      </c>
      <c r="G346" s="47" t="s">
        <v>274</v>
      </c>
      <c r="H346" s="316">
        <v>8157672</v>
      </c>
      <c r="I346" s="313">
        <f>H346</f>
        <v>8157672</v>
      </c>
      <c r="J346" s="313">
        <v>0</v>
      </c>
      <c r="K346" s="313">
        <f>I346+J346</f>
        <v>8157672</v>
      </c>
      <c r="L346" s="313"/>
      <c r="M346" s="334">
        <v>0</v>
      </c>
      <c r="N346" s="313">
        <v>0</v>
      </c>
      <c r="O346" s="313">
        <f t="shared" si="43"/>
        <v>-21772471</v>
      </c>
      <c r="P346" t="s">
        <v>26</v>
      </c>
      <c r="Q346" s="8" t="s">
        <v>26</v>
      </c>
      <c r="R346" t="s">
        <v>26</v>
      </c>
      <c r="S346" s="37" t="s">
        <v>26</v>
      </c>
      <c r="V346"/>
      <c r="W346"/>
    </row>
    <row r="347" spans="1:23">
      <c r="A347" s="328">
        <v>45992</v>
      </c>
      <c r="B347" s="321" t="s">
        <v>7795</v>
      </c>
      <c r="C347" t="s">
        <v>7721</v>
      </c>
      <c r="D347" t="s">
        <v>7331</v>
      </c>
      <c r="E347" s="47" t="s">
        <v>7722</v>
      </c>
      <c r="F347" s="47">
        <v>2025</v>
      </c>
      <c r="G347" s="47" t="s">
        <v>274</v>
      </c>
      <c r="H347" s="316">
        <v>4735777</v>
      </c>
      <c r="I347" s="313">
        <f>H347</f>
        <v>4735777</v>
      </c>
      <c r="J347" s="313">
        <v>0</v>
      </c>
      <c r="K347" s="313">
        <f>I347+J347</f>
        <v>4735777</v>
      </c>
      <c r="L347" s="313"/>
      <c r="M347" s="334">
        <v>0</v>
      </c>
      <c r="N347" s="313">
        <v>0</v>
      </c>
      <c r="O347" s="313">
        <f t="shared" si="43"/>
        <v>-21772471</v>
      </c>
      <c r="P347" t="s">
        <v>26</v>
      </c>
      <c r="Q347" s="8" t="s">
        <v>26</v>
      </c>
      <c r="R347" t="s">
        <v>26</v>
      </c>
      <c r="S347" s="37" t="s">
        <v>26</v>
      </c>
      <c r="V347"/>
      <c r="W347"/>
    </row>
    <row r="348" spans="1:23">
      <c r="A348" s="328">
        <v>45992</v>
      </c>
      <c r="B348" s="321" t="s">
        <v>7795</v>
      </c>
      <c r="C348" t="s">
        <v>7723</v>
      </c>
      <c r="D348" t="s">
        <v>7331</v>
      </c>
      <c r="E348" s="47" t="s">
        <v>7724</v>
      </c>
      <c r="F348" s="47">
        <v>2025</v>
      </c>
      <c r="G348" s="47" t="s">
        <v>274</v>
      </c>
      <c r="H348" s="316">
        <v>6699034</v>
      </c>
      <c r="I348" s="313">
        <f>H348</f>
        <v>6699034</v>
      </c>
      <c r="J348" s="313">
        <v>0</v>
      </c>
      <c r="K348" s="313">
        <f>I348+J348</f>
        <v>6699034</v>
      </c>
      <c r="L348" s="313"/>
      <c r="M348" s="334">
        <v>0</v>
      </c>
      <c r="N348" s="313">
        <v>0</v>
      </c>
      <c r="O348" s="313">
        <f t="shared" si="43"/>
        <v>-21772471</v>
      </c>
      <c r="P348" t="s">
        <v>26</v>
      </c>
      <c r="Q348" s="8" t="s">
        <v>26</v>
      </c>
      <c r="R348" t="s">
        <v>26</v>
      </c>
      <c r="S348" s="37" t="s">
        <v>26</v>
      </c>
      <c r="V348"/>
      <c r="W348"/>
    </row>
    <row r="349" spans="1:23">
      <c r="A349" s="328">
        <v>45992</v>
      </c>
      <c r="B349" s="321" t="s">
        <v>7795</v>
      </c>
      <c r="C349" t="s">
        <v>7725</v>
      </c>
      <c r="D349" t="s">
        <v>7145</v>
      </c>
      <c r="E349" s="47" t="s">
        <v>7726</v>
      </c>
      <c r="F349" s="47">
        <v>2025</v>
      </c>
      <c r="G349" s="47" t="s">
        <v>274</v>
      </c>
      <c r="H349" s="316">
        <v>34729981</v>
      </c>
      <c r="I349" s="313">
        <f>H349</f>
        <v>34729981</v>
      </c>
      <c r="J349" s="313">
        <v>0</v>
      </c>
      <c r="K349" s="313">
        <f>I349+J349</f>
        <v>34729981</v>
      </c>
      <c r="L349" s="313"/>
      <c r="M349" s="334">
        <v>0</v>
      </c>
      <c r="N349" s="313">
        <v>0</v>
      </c>
      <c r="O349" s="313">
        <f t="shared" si="43"/>
        <v>-21772471</v>
      </c>
      <c r="P349" t="s">
        <v>26</v>
      </c>
      <c r="Q349" s="8" t="s">
        <v>26</v>
      </c>
      <c r="R349" t="s">
        <v>26</v>
      </c>
      <c r="S349" s="37" t="s">
        <v>26</v>
      </c>
      <c r="V349"/>
      <c r="W349"/>
    </row>
    <row r="350" spans="1:23" s="8" customFormat="1">
      <c r="A350" s="332">
        <v>45992</v>
      </c>
      <c r="B350" s="332" t="s">
        <v>7795</v>
      </c>
      <c r="C350" s="8" t="s">
        <v>7727</v>
      </c>
      <c r="D350" s="8" t="s">
        <v>3467</v>
      </c>
      <c r="E350" s="200" t="s">
        <v>7728</v>
      </c>
      <c r="F350" s="47">
        <v>2025</v>
      </c>
      <c r="G350" s="200" t="s">
        <v>275</v>
      </c>
      <c r="H350" s="336">
        <v>529650</v>
      </c>
      <c r="I350" s="313">
        <v>0</v>
      </c>
      <c r="J350" s="313">
        <v>0</v>
      </c>
      <c r="K350" s="313">
        <f t="shared" si="44"/>
        <v>0</v>
      </c>
      <c r="L350" s="313"/>
      <c r="M350" s="199">
        <f>H350</f>
        <v>529650</v>
      </c>
      <c r="N350" s="313">
        <v>0</v>
      </c>
      <c r="O350" s="313">
        <f t="shared" si="43"/>
        <v>-22302121</v>
      </c>
      <c r="P350" s="8" t="s">
        <v>6</v>
      </c>
      <c r="Q350" s="8" t="s">
        <v>7756</v>
      </c>
      <c r="R350" s="8" t="s">
        <v>7757</v>
      </c>
      <c r="S350" s="8" t="s">
        <v>26</v>
      </c>
      <c r="V350" s="116"/>
      <c r="W350" s="116"/>
    </row>
    <row r="351" spans="1:23">
      <c r="A351" s="328">
        <v>45992</v>
      </c>
      <c r="B351" s="321" t="s">
        <v>7795</v>
      </c>
      <c r="C351" t="s">
        <v>7729</v>
      </c>
      <c r="D351" t="s">
        <v>7243</v>
      </c>
      <c r="E351" s="47" t="s">
        <v>7730</v>
      </c>
      <c r="F351" s="47">
        <v>2025</v>
      </c>
      <c r="G351" s="47" t="s">
        <v>274</v>
      </c>
      <c r="H351" s="316">
        <v>64414415</v>
      </c>
      <c r="I351" s="313">
        <f>H351</f>
        <v>64414415</v>
      </c>
      <c r="J351" s="313">
        <f>-I351</f>
        <v>-64414415</v>
      </c>
      <c r="K351" s="313">
        <f>I351+J351</f>
        <v>0</v>
      </c>
      <c r="L351" s="313"/>
      <c r="M351" s="334">
        <v>0</v>
      </c>
      <c r="N351" s="313">
        <v>0</v>
      </c>
      <c r="O351" s="313">
        <f t="shared" si="43"/>
        <v>-22302121</v>
      </c>
      <c r="P351" t="s">
        <v>920</v>
      </c>
      <c r="Q351" s="8" t="s">
        <v>7858</v>
      </c>
      <c r="R351" t="s">
        <v>7880</v>
      </c>
      <c r="S351" s="37" t="s">
        <v>1526</v>
      </c>
      <c r="V351"/>
      <c r="W351"/>
    </row>
    <row r="352" spans="1:23">
      <c r="A352" s="328">
        <v>45992</v>
      </c>
      <c r="B352" s="321" t="s">
        <v>7795</v>
      </c>
      <c r="C352" t="s">
        <v>7731</v>
      </c>
      <c r="D352" t="s">
        <v>7243</v>
      </c>
      <c r="E352" s="47" t="s">
        <v>7732</v>
      </c>
      <c r="F352" s="47">
        <v>2025</v>
      </c>
      <c r="G352" s="47" t="s">
        <v>274</v>
      </c>
      <c r="H352" s="316">
        <v>79279279</v>
      </c>
      <c r="I352" s="313">
        <f>H352</f>
        <v>79279279</v>
      </c>
      <c r="J352" s="313">
        <f>-I352</f>
        <v>-79279279</v>
      </c>
      <c r="K352" s="313">
        <f>I352+J352</f>
        <v>0</v>
      </c>
      <c r="L352" s="313"/>
      <c r="M352" s="334">
        <v>0</v>
      </c>
      <c r="N352" s="313">
        <v>0</v>
      </c>
      <c r="O352" s="313">
        <f t="shared" si="43"/>
        <v>-22302121</v>
      </c>
      <c r="P352" t="s">
        <v>920</v>
      </c>
      <c r="Q352" s="8" t="s">
        <v>7858</v>
      </c>
      <c r="R352" t="s">
        <v>7880</v>
      </c>
      <c r="S352" s="37" t="s">
        <v>1526</v>
      </c>
      <c r="V352"/>
      <c r="W352"/>
    </row>
    <row r="353" spans="1:23">
      <c r="A353" s="328">
        <v>45992</v>
      </c>
      <c r="B353" s="321" t="s">
        <v>7795</v>
      </c>
      <c r="C353" t="s">
        <v>7733</v>
      </c>
      <c r="D353" t="s">
        <v>7243</v>
      </c>
      <c r="E353" s="47" t="s">
        <v>7734</v>
      </c>
      <c r="F353" s="47">
        <v>2025</v>
      </c>
      <c r="G353" s="47" t="s">
        <v>274</v>
      </c>
      <c r="H353" s="316">
        <v>49549550</v>
      </c>
      <c r="I353" s="313">
        <f>H353</f>
        <v>49549550</v>
      </c>
      <c r="J353" s="313">
        <f>-I353</f>
        <v>-49549550</v>
      </c>
      <c r="K353" s="313">
        <f>I353+J353</f>
        <v>0</v>
      </c>
      <c r="L353" s="313"/>
      <c r="M353" s="334">
        <v>0</v>
      </c>
      <c r="N353" s="313">
        <v>0</v>
      </c>
      <c r="O353" s="313">
        <f t="shared" si="43"/>
        <v>-22302121</v>
      </c>
      <c r="P353" t="s">
        <v>920</v>
      </c>
      <c r="Q353" s="8" t="s">
        <v>7858</v>
      </c>
      <c r="R353" t="s">
        <v>7880</v>
      </c>
      <c r="S353" s="37" t="s">
        <v>1526</v>
      </c>
      <c r="V353"/>
      <c r="W353"/>
    </row>
    <row r="354" spans="1:23">
      <c r="A354" s="328">
        <v>45992</v>
      </c>
      <c r="B354" s="321" t="s">
        <v>7795</v>
      </c>
      <c r="C354" t="s">
        <v>7735</v>
      </c>
      <c r="D354" t="s">
        <v>7736</v>
      </c>
      <c r="E354" s="47" t="s">
        <v>7737</v>
      </c>
      <c r="F354" s="47">
        <v>2025</v>
      </c>
      <c r="G354" s="47" t="s">
        <v>275</v>
      </c>
      <c r="H354" s="199">
        <v>4929375</v>
      </c>
      <c r="I354" s="313">
        <v>0</v>
      </c>
      <c r="J354" s="313">
        <v>0</v>
      </c>
      <c r="K354" s="313">
        <f t="shared" si="44"/>
        <v>0</v>
      </c>
      <c r="L354" s="313"/>
      <c r="M354" s="199">
        <f>H354</f>
        <v>4929375</v>
      </c>
      <c r="N354" s="313">
        <v>0</v>
      </c>
      <c r="O354" s="313">
        <f t="shared" si="43"/>
        <v>-27231496</v>
      </c>
      <c r="P354" s="80" t="s">
        <v>6</v>
      </c>
      <c r="Q354" s="80" t="s">
        <v>7756</v>
      </c>
      <c r="R354" s="80" t="s">
        <v>7757</v>
      </c>
    </row>
    <row r="355" spans="1:23">
      <c r="A355" s="328">
        <v>45992</v>
      </c>
      <c r="B355" s="321" t="s">
        <v>7795</v>
      </c>
      <c r="C355" t="s">
        <v>7738</v>
      </c>
      <c r="D355" t="s">
        <v>1581</v>
      </c>
      <c r="E355" s="47" t="s">
        <v>7739</v>
      </c>
      <c r="F355" s="47">
        <v>2025</v>
      </c>
      <c r="G355" s="47" t="s">
        <v>275</v>
      </c>
      <c r="H355" s="199">
        <v>3949954</v>
      </c>
      <c r="I355" s="313">
        <v>0</v>
      </c>
      <c r="J355" s="313">
        <v>0</v>
      </c>
      <c r="K355" s="313">
        <f t="shared" si="44"/>
        <v>0</v>
      </c>
      <c r="L355" s="313"/>
      <c r="M355" s="199">
        <f>H355</f>
        <v>3949954</v>
      </c>
      <c r="N355" s="313">
        <v>0</v>
      </c>
      <c r="O355" s="313">
        <f t="shared" si="43"/>
        <v>-31181450</v>
      </c>
      <c r="P355" s="80" t="s">
        <v>6</v>
      </c>
      <c r="Q355" s="80" t="s">
        <v>7756</v>
      </c>
      <c r="R355" s="80" t="s">
        <v>7757</v>
      </c>
    </row>
    <row r="356" spans="1:23">
      <c r="A356" s="328">
        <v>45992</v>
      </c>
      <c r="B356" s="321" t="s">
        <v>7795</v>
      </c>
      <c r="C356" t="s">
        <v>7740</v>
      </c>
      <c r="D356" t="s">
        <v>7243</v>
      </c>
      <c r="E356" s="47" t="s">
        <v>7741</v>
      </c>
      <c r="F356" s="47">
        <v>2025</v>
      </c>
      <c r="G356" s="47" t="s">
        <v>274</v>
      </c>
      <c r="H356" s="316">
        <v>17024700</v>
      </c>
      <c r="I356" s="313">
        <f>H356</f>
        <v>17024700</v>
      </c>
      <c r="J356" s="313">
        <v>0</v>
      </c>
      <c r="K356" s="313">
        <f>I356+J356</f>
        <v>17024700</v>
      </c>
      <c r="L356" s="313"/>
      <c r="M356" s="334">
        <v>0</v>
      </c>
      <c r="N356" s="313">
        <v>0</v>
      </c>
      <c r="O356" s="313">
        <f t="shared" si="43"/>
        <v>-31181450</v>
      </c>
      <c r="P356" t="s">
        <v>26</v>
      </c>
      <c r="Q356" s="8" t="s">
        <v>26</v>
      </c>
      <c r="R356" s="80" t="s">
        <v>26</v>
      </c>
      <c r="S356" s="323" t="s">
        <v>26</v>
      </c>
      <c r="V356"/>
      <c r="W356"/>
    </row>
    <row r="357" spans="1:23">
      <c r="A357" s="328">
        <v>45992</v>
      </c>
      <c r="B357" s="321" t="s">
        <v>7795</v>
      </c>
      <c r="C357" t="s">
        <v>7742</v>
      </c>
      <c r="D357" t="s">
        <v>7331</v>
      </c>
      <c r="E357" s="47" t="s">
        <v>7743</v>
      </c>
      <c r="F357" s="47">
        <v>2025</v>
      </c>
      <c r="G357" s="47" t="s">
        <v>274</v>
      </c>
      <c r="H357" s="316">
        <v>3085500</v>
      </c>
      <c r="I357" s="313">
        <f>H357</f>
        <v>3085500</v>
      </c>
      <c r="J357" s="313">
        <v>0</v>
      </c>
      <c r="K357" s="313">
        <f>I357+J357</f>
        <v>3085500</v>
      </c>
      <c r="L357" s="313"/>
      <c r="M357" s="334">
        <v>0</v>
      </c>
      <c r="N357" s="313">
        <v>0</v>
      </c>
      <c r="O357" s="313">
        <f t="shared" si="43"/>
        <v>-31181450</v>
      </c>
      <c r="P357" t="s">
        <v>26</v>
      </c>
      <c r="Q357" s="8" t="s">
        <v>26</v>
      </c>
      <c r="R357" s="80" t="s">
        <v>26</v>
      </c>
      <c r="S357" s="323" t="s">
        <v>26</v>
      </c>
      <c r="V357"/>
      <c r="W357"/>
    </row>
    <row r="358" spans="1:23" s="40" customFormat="1">
      <c r="A358" s="321">
        <v>45992</v>
      </c>
      <c r="B358" s="321" t="s">
        <v>7795</v>
      </c>
      <c r="C358" s="40" t="s">
        <v>7744</v>
      </c>
      <c r="D358" s="40" t="s">
        <v>7145</v>
      </c>
      <c r="E358" s="49" t="s">
        <v>7745</v>
      </c>
      <c r="F358" s="49">
        <v>2024</v>
      </c>
      <c r="G358" s="49" t="s">
        <v>274</v>
      </c>
      <c r="H358" s="51">
        <v>9603770</v>
      </c>
      <c r="I358" s="313">
        <f>H358</f>
        <v>9603770</v>
      </c>
      <c r="J358" s="313">
        <v>0</v>
      </c>
      <c r="K358" s="313">
        <f>I358+J358</f>
        <v>9603770</v>
      </c>
      <c r="L358" s="313"/>
      <c r="M358" s="116">
        <v>0</v>
      </c>
      <c r="N358" s="313">
        <v>0</v>
      </c>
      <c r="O358" s="313">
        <f t="shared" si="43"/>
        <v>-31181450</v>
      </c>
      <c r="P358" t="s">
        <v>26</v>
      </c>
      <c r="Q358" s="8" t="s">
        <v>26</v>
      </c>
      <c r="R358" s="80" t="s">
        <v>26</v>
      </c>
      <c r="S358" s="323" t="s">
        <v>26</v>
      </c>
    </row>
    <row r="359" spans="1:23" s="40" customFormat="1">
      <c r="A359" s="321">
        <v>45992</v>
      </c>
      <c r="B359" s="321" t="s">
        <v>7795</v>
      </c>
      <c r="C359" s="40" t="s">
        <v>7746</v>
      </c>
      <c r="D359" s="40" t="s">
        <v>7145</v>
      </c>
      <c r="E359" s="49" t="s">
        <v>7747</v>
      </c>
      <c r="F359" s="49">
        <v>2024</v>
      </c>
      <c r="G359" s="49" t="s">
        <v>274</v>
      </c>
      <c r="H359" s="51">
        <v>9849400</v>
      </c>
      <c r="I359" s="313">
        <f>H359</f>
        <v>9849400</v>
      </c>
      <c r="J359" s="313">
        <v>0</v>
      </c>
      <c r="K359" s="313">
        <f>I359+J359</f>
        <v>9849400</v>
      </c>
      <c r="L359" s="313"/>
      <c r="M359" s="116">
        <v>0</v>
      </c>
      <c r="N359" s="313">
        <v>0</v>
      </c>
      <c r="O359" s="313">
        <f t="shared" si="43"/>
        <v>-31181450</v>
      </c>
      <c r="P359" t="s">
        <v>26</v>
      </c>
      <c r="Q359" s="8" t="s">
        <v>26</v>
      </c>
      <c r="R359" s="80" t="s">
        <v>26</v>
      </c>
      <c r="S359" s="323" t="s">
        <v>26</v>
      </c>
    </row>
    <row r="360" spans="1:23" s="366" customFormat="1">
      <c r="A360" s="365"/>
      <c r="B360" s="365" t="s">
        <v>7174</v>
      </c>
      <c r="C360" s="366" t="s">
        <v>7862</v>
      </c>
      <c r="E360" s="367"/>
      <c r="F360" s="367" t="s">
        <v>7881</v>
      </c>
      <c r="G360" s="367" t="s">
        <v>275</v>
      </c>
      <c r="H360" s="368">
        <v>14427195</v>
      </c>
      <c r="I360" s="369">
        <v>0</v>
      </c>
      <c r="J360" s="369">
        <v>0</v>
      </c>
      <c r="K360" s="369">
        <f t="shared" si="44"/>
        <v>0</v>
      </c>
      <c r="L360" s="369"/>
      <c r="M360" s="368">
        <v>0</v>
      </c>
      <c r="N360" s="369">
        <f>M360</f>
        <v>0</v>
      </c>
      <c r="O360" s="369">
        <f t="shared" si="43"/>
        <v>-31181450</v>
      </c>
      <c r="P360" s="366" t="s">
        <v>6</v>
      </c>
      <c r="Q360" s="366" t="s">
        <v>53</v>
      </c>
      <c r="R360" s="366" t="s">
        <v>7752</v>
      </c>
      <c r="S360" s="370" t="s">
        <v>7146</v>
      </c>
    </row>
    <row r="362" spans="1:23">
      <c r="H362" s="125">
        <f>SUBTOTAL(9,H5:H361)</f>
        <v>4808827126</v>
      </c>
      <c r="I362" s="125">
        <f>SUBTOTAL(9,I5:I361)</f>
        <v>3574506259</v>
      </c>
      <c r="J362" s="125">
        <f>SUBTOTAL(9,J5:J361)</f>
        <v>-3355540228</v>
      </c>
      <c r="K362" s="125">
        <f>SUBTOTAL(9,K5:K361)</f>
        <v>218966031</v>
      </c>
      <c r="L362" s="125"/>
      <c r="M362" s="46">
        <f>SUBTOTAL(9,M5:M361)</f>
        <v>616526199</v>
      </c>
      <c r="N362" s="125">
        <f>SUBTOTAL(9,N5:N361)</f>
        <v>585344749</v>
      </c>
      <c r="O362" s="46" t="s">
        <v>26</v>
      </c>
    </row>
    <row r="363" spans="1:23">
      <c r="N363" s="116" t="s">
        <v>26</v>
      </c>
    </row>
  </sheetData>
  <autoFilter ref="A4:S360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6"/>
  <sheetViews>
    <sheetView tabSelected="1" topLeftCell="G129" workbookViewId="0">
      <selection activeCell="P163" sqref="P163"/>
    </sheetView>
  </sheetViews>
  <sheetFormatPr defaultColWidth="11.5546875" defaultRowHeight="15.75"/>
  <cols>
    <col min="2" max="2" width="35" customWidth="1"/>
    <col min="3" max="5" width="20.109375" customWidth="1"/>
    <col min="6" max="10" width="20.109375" style="8" customWidth="1"/>
    <col min="11" max="11" width="20.109375" customWidth="1"/>
    <col min="12" max="15" width="20.109375" style="8" customWidth="1"/>
    <col min="16" max="16" width="16.77734375" style="78" customWidth="1"/>
  </cols>
  <sheetData>
    <row r="3" spans="2:16">
      <c r="C3" s="48" t="s">
        <v>486</v>
      </c>
      <c r="D3" s="48" t="s">
        <v>457</v>
      </c>
      <c r="E3" s="48" t="s">
        <v>4235</v>
      </c>
      <c r="F3" s="124" t="s">
        <v>456</v>
      </c>
      <c r="G3" s="124" t="s">
        <v>42</v>
      </c>
      <c r="H3" s="124" t="s">
        <v>266</v>
      </c>
      <c r="I3" s="124" t="s">
        <v>241</v>
      </c>
      <c r="J3" s="124" t="s">
        <v>455</v>
      </c>
      <c r="K3" s="48" t="s">
        <v>4236</v>
      </c>
      <c r="L3" s="124" t="s">
        <v>4273</v>
      </c>
      <c r="M3" s="124" t="s">
        <v>43</v>
      </c>
      <c r="N3" s="124" t="s">
        <v>160</v>
      </c>
      <c r="O3" s="124" t="s">
        <v>7863</v>
      </c>
    </row>
    <row r="4" spans="2:16">
      <c r="C4" s="48"/>
      <c r="D4" s="48"/>
      <c r="E4" s="48"/>
      <c r="F4" s="124"/>
      <c r="G4" s="124"/>
      <c r="H4" s="124"/>
      <c r="I4" s="124"/>
      <c r="J4" s="124"/>
      <c r="K4" s="48"/>
      <c r="L4" s="124"/>
      <c r="M4" s="124"/>
      <c r="N4" s="124"/>
      <c r="O4" s="124"/>
    </row>
    <row r="5" spans="2:16">
      <c r="B5" t="s">
        <v>381</v>
      </c>
      <c r="C5" s="53">
        <v>-168567631</v>
      </c>
      <c r="D5" s="53">
        <v>168567631</v>
      </c>
      <c r="E5" s="53">
        <v>0</v>
      </c>
      <c r="F5" s="116">
        <v>0</v>
      </c>
      <c r="G5" s="116">
        <v>0</v>
      </c>
      <c r="H5" s="116">
        <v>0</v>
      </c>
      <c r="I5" s="116">
        <v>0</v>
      </c>
      <c r="J5" s="116">
        <v>0</v>
      </c>
      <c r="K5" s="53">
        <v>0</v>
      </c>
      <c r="L5" s="116">
        <v>0</v>
      </c>
      <c r="M5" s="116">
        <v>0</v>
      </c>
      <c r="N5" s="116">
        <v>0</v>
      </c>
      <c r="O5" s="116">
        <v>0</v>
      </c>
      <c r="P5" s="79">
        <f t="shared" ref="P5:P38" si="0">SUM(C5:O5)</f>
        <v>0</v>
      </c>
    </row>
    <row r="6" spans="2:16">
      <c r="B6" t="s">
        <v>4239</v>
      </c>
      <c r="C6" s="53">
        <v>-1115000000</v>
      </c>
      <c r="D6" s="53">
        <v>0</v>
      </c>
      <c r="E6" s="53">
        <v>1115000000</v>
      </c>
      <c r="F6" s="116">
        <v>0</v>
      </c>
      <c r="G6" s="116">
        <v>0</v>
      </c>
      <c r="H6" s="116">
        <v>0</v>
      </c>
      <c r="I6" s="116">
        <v>0</v>
      </c>
      <c r="J6" s="116">
        <v>0</v>
      </c>
      <c r="K6" s="53">
        <v>0</v>
      </c>
      <c r="L6" s="116">
        <v>0</v>
      </c>
      <c r="M6" s="116">
        <v>0</v>
      </c>
      <c r="N6" s="116">
        <v>0</v>
      </c>
      <c r="O6" s="116">
        <v>0</v>
      </c>
      <c r="P6" s="79">
        <f t="shared" si="0"/>
        <v>0</v>
      </c>
    </row>
    <row r="7" spans="2:16">
      <c r="B7" t="s">
        <v>453</v>
      </c>
      <c r="C7" s="53">
        <v>0</v>
      </c>
      <c r="D7" s="53">
        <v>0</v>
      </c>
      <c r="E7" s="53">
        <v>0</v>
      </c>
      <c r="F7" s="116">
        <v>0</v>
      </c>
      <c r="G7" s="116">
        <v>0</v>
      </c>
      <c r="H7" s="116">
        <v>0</v>
      </c>
      <c r="I7" s="116">
        <v>0</v>
      </c>
      <c r="J7" s="116">
        <v>0</v>
      </c>
      <c r="K7" s="53">
        <v>0</v>
      </c>
      <c r="L7" s="116">
        <v>0</v>
      </c>
      <c r="M7" s="116">
        <v>0</v>
      </c>
      <c r="N7" s="116">
        <v>0</v>
      </c>
      <c r="O7" s="116">
        <v>0</v>
      </c>
      <c r="P7" s="79">
        <f t="shared" si="0"/>
        <v>0</v>
      </c>
    </row>
    <row r="8" spans="2:16">
      <c r="B8" t="s">
        <v>487</v>
      </c>
      <c r="C8" s="53">
        <v>-1750000000</v>
      </c>
      <c r="D8" s="53">
        <v>0</v>
      </c>
      <c r="E8" s="53">
        <v>0</v>
      </c>
      <c r="F8" s="116">
        <v>0</v>
      </c>
      <c r="G8" s="116">
        <v>1750000000</v>
      </c>
      <c r="H8" s="116">
        <v>0</v>
      </c>
      <c r="I8" s="116">
        <v>0</v>
      </c>
      <c r="J8" s="116">
        <v>0</v>
      </c>
      <c r="K8" s="53">
        <v>0</v>
      </c>
      <c r="L8" s="116">
        <v>0</v>
      </c>
      <c r="M8" s="116">
        <v>0</v>
      </c>
      <c r="N8" s="116">
        <v>0</v>
      </c>
      <c r="O8" s="116">
        <v>0</v>
      </c>
      <c r="P8" s="79">
        <f t="shared" si="0"/>
        <v>0</v>
      </c>
    </row>
    <row r="9" spans="2:16">
      <c r="B9" t="s">
        <v>488</v>
      </c>
      <c r="C9" s="53">
        <v>0</v>
      </c>
      <c r="D9" s="53">
        <v>0</v>
      </c>
      <c r="E9" s="53">
        <v>0</v>
      </c>
      <c r="F9" s="116">
        <v>0</v>
      </c>
      <c r="G9" s="116">
        <v>0</v>
      </c>
      <c r="H9" s="116">
        <v>0</v>
      </c>
      <c r="I9" s="116">
        <v>0</v>
      </c>
      <c r="J9" s="116">
        <v>0</v>
      </c>
      <c r="K9" s="53">
        <v>0</v>
      </c>
      <c r="L9" s="116">
        <v>0</v>
      </c>
      <c r="M9" s="116">
        <v>0</v>
      </c>
      <c r="N9" s="116">
        <v>0</v>
      </c>
      <c r="O9" s="116">
        <v>0</v>
      </c>
      <c r="P9" s="79">
        <f t="shared" si="0"/>
        <v>0</v>
      </c>
    </row>
    <row r="10" spans="2:16">
      <c r="B10" t="s">
        <v>489</v>
      </c>
      <c r="C10" s="53">
        <v>0</v>
      </c>
      <c r="D10" s="53">
        <v>0</v>
      </c>
      <c r="E10" s="53">
        <v>0</v>
      </c>
      <c r="F10" s="116">
        <v>0</v>
      </c>
      <c r="G10" s="116">
        <v>0</v>
      </c>
      <c r="H10" s="116">
        <v>0</v>
      </c>
      <c r="I10" s="116">
        <v>0</v>
      </c>
      <c r="J10" s="116">
        <v>0</v>
      </c>
      <c r="K10" s="53">
        <v>0</v>
      </c>
      <c r="L10" s="116">
        <v>0</v>
      </c>
      <c r="M10" s="116">
        <v>0</v>
      </c>
      <c r="N10" s="116">
        <v>0</v>
      </c>
      <c r="O10" s="116">
        <v>0</v>
      </c>
      <c r="P10" s="79">
        <f t="shared" si="0"/>
        <v>0</v>
      </c>
    </row>
    <row r="11" spans="2:16">
      <c r="B11" t="s">
        <v>490</v>
      </c>
      <c r="C11" s="53">
        <v>0</v>
      </c>
      <c r="D11" s="53">
        <v>0</v>
      </c>
      <c r="E11" s="53">
        <v>0</v>
      </c>
      <c r="F11" s="116">
        <v>0</v>
      </c>
      <c r="G11" s="116">
        <v>0</v>
      </c>
      <c r="H11" s="116">
        <v>0</v>
      </c>
      <c r="I11" s="116">
        <v>0</v>
      </c>
      <c r="J11" s="116">
        <v>0</v>
      </c>
      <c r="K11" s="53">
        <v>0</v>
      </c>
      <c r="L11" s="116">
        <v>0</v>
      </c>
      <c r="M11" s="116">
        <v>0</v>
      </c>
      <c r="N11" s="116">
        <v>0</v>
      </c>
      <c r="O11" s="116">
        <v>0</v>
      </c>
      <c r="P11" s="79">
        <f t="shared" si="0"/>
        <v>0</v>
      </c>
    </row>
    <row r="12" spans="2:16">
      <c r="B12" t="s">
        <v>4255</v>
      </c>
      <c r="C12" s="53">
        <v>0</v>
      </c>
      <c r="D12" s="53">
        <v>0</v>
      </c>
      <c r="E12" s="53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53">
        <v>0</v>
      </c>
      <c r="L12" s="116">
        <v>0</v>
      </c>
      <c r="M12" s="116">
        <v>0</v>
      </c>
      <c r="N12" s="116">
        <v>0</v>
      </c>
      <c r="O12" s="116">
        <v>0</v>
      </c>
      <c r="P12" s="79">
        <f t="shared" si="0"/>
        <v>0</v>
      </c>
    </row>
    <row r="13" spans="2:16">
      <c r="B13" t="s">
        <v>4274</v>
      </c>
      <c r="C13" s="53">
        <v>0</v>
      </c>
      <c r="D13" s="53">
        <v>0</v>
      </c>
      <c r="E13" s="53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53">
        <v>0</v>
      </c>
      <c r="L13" s="116">
        <v>0</v>
      </c>
      <c r="M13" s="116">
        <v>0</v>
      </c>
      <c r="N13" s="116">
        <v>0</v>
      </c>
      <c r="O13" s="116">
        <v>0</v>
      </c>
      <c r="P13" s="79">
        <f t="shared" si="0"/>
        <v>0</v>
      </c>
    </row>
    <row r="14" spans="2:16">
      <c r="B14" t="s">
        <v>369</v>
      </c>
      <c r="C14" s="53">
        <v>0</v>
      </c>
      <c r="D14" s="53">
        <v>0</v>
      </c>
      <c r="E14" s="53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53">
        <v>0</v>
      </c>
      <c r="L14" s="116">
        <v>0</v>
      </c>
      <c r="M14" s="116">
        <v>0</v>
      </c>
      <c r="N14" s="116">
        <v>0</v>
      </c>
      <c r="O14" s="116">
        <v>0</v>
      </c>
      <c r="P14" s="79">
        <f t="shared" si="0"/>
        <v>0</v>
      </c>
    </row>
    <row r="15" spans="2:16">
      <c r="B15" t="s">
        <v>491</v>
      </c>
      <c r="C15" s="53">
        <v>-330000000</v>
      </c>
      <c r="D15" s="53">
        <v>0</v>
      </c>
      <c r="E15" s="53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53">
        <v>0</v>
      </c>
      <c r="L15" s="116">
        <v>0</v>
      </c>
      <c r="M15" s="116">
        <v>0</v>
      </c>
      <c r="N15" s="116">
        <v>330000000</v>
      </c>
      <c r="O15" s="116">
        <v>0</v>
      </c>
      <c r="P15" s="79">
        <f t="shared" si="0"/>
        <v>0</v>
      </c>
    </row>
    <row r="16" spans="2:16">
      <c r="B16" t="s">
        <v>7152</v>
      </c>
      <c r="C16" s="53">
        <v>0</v>
      </c>
      <c r="D16" s="53">
        <v>0</v>
      </c>
      <c r="E16" s="53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53">
        <v>0</v>
      </c>
      <c r="L16" s="116">
        <v>0</v>
      </c>
      <c r="M16" s="116">
        <v>0</v>
      </c>
      <c r="N16" s="116">
        <v>0</v>
      </c>
      <c r="O16" s="116">
        <v>0</v>
      </c>
      <c r="P16" s="79">
        <f t="shared" ref="P16" si="1">SUM(C16:O16)</f>
        <v>0</v>
      </c>
    </row>
    <row r="17" spans="2:16">
      <c r="B17" s="126" t="s">
        <v>371</v>
      </c>
      <c r="C17" s="53">
        <v>788340000</v>
      </c>
      <c r="D17" s="53">
        <v>-788340000</v>
      </c>
      <c r="E17" s="53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53">
        <v>0</v>
      </c>
      <c r="L17" s="116">
        <v>0</v>
      </c>
      <c r="M17" s="116">
        <v>0</v>
      </c>
      <c r="N17" s="116">
        <v>0</v>
      </c>
      <c r="O17" s="116">
        <v>0</v>
      </c>
      <c r="P17" s="127">
        <f t="shared" si="0"/>
        <v>0</v>
      </c>
    </row>
    <row r="18" spans="2:16">
      <c r="B18" s="126" t="s">
        <v>4241</v>
      </c>
      <c r="C18" s="53">
        <v>0</v>
      </c>
      <c r="D18" s="53">
        <v>-2496850000</v>
      </c>
      <c r="E18" s="53">
        <v>2496850000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53">
        <v>0</v>
      </c>
      <c r="L18" s="116">
        <v>0</v>
      </c>
      <c r="M18" s="116">
        <v>0</v>
      </c>
      <c r="N18" s="116">
        <v>0</v>
      </c>
      <c r="O18" s="116">
        <v>0</v>
      </c>
      <c r="P18" s="127">
        <f t="shared" si="0"/>
        <v>0</v>
      </c>
    </row>
    <row r="19" spans="2:16">
      <c r="B19" s="126" t="s">
        <v>350</v>
      </c>
      <c r="C19" s="53">
        <v>0</v>
      </c>
      <c r="D19" s="53">
        <v>-103000000</v>
      </c>
      <c r="E19" s="53">
        <v>0</v>
      </c>
      <c r="F19" s="116">
        <v>103000000</v>
      </c>
      <c r="G19" s="116">
        <v>0</v>
      </c>
      <c r="H19" s="116">
        <v>0</v>
      </c>
      <c r="I19" s="116">
        <v>0</v>
      </c>
      <c r="J19" s="116">
        <v>0</v>
      </c>
      <c r="K19" s="53">
        <v>0</v>
      </c>
      <c r="L19" s="116">
        <v>0</v>
      </c>
      <c r="M19" s="116">
        <v>0</v>
      </c>
      <c r="N19" s="116">
        <v>0</v>
      </c>
      <c r="O19" s="116">
        <v>0</v>
      </c>
      <c r="P19" s="127">
        <f t="shared" si="0"/>
        <v>0</v>
      </c>
    </row>
    <row r="20" spans="2:16">
      <c r="B20" s="126" t="s">
        <v>458</v>
      </c>
      <c r="C20" s="53">
        <v>0</v>
      </c>
      <c r="D20" s="53">
        <v>0</v>
      </c>
      <c r="E20" s="53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53">
        <v>0</v>
      </c>
      <c r="L20" s="116">
        <v>0</v>
      </c>
      <c r="M20" s="116">
        <v>0</v>
      </c>
      <c r="N20" s="116">
        <v>0</v>
      </c>
      <c r="O20" s="116">
        <v>0</v>
      </c>
      <c r="P20" s="127">
        <f t="shared" si="0"/>
        <v>0</v>
      </c>
    </row>
    <row r="21" spans="2:16">
      <c r="B21" s="126" t="s">
        <v>459</v>
      </c>
      <c r="C21" s="53">
        <v>0</v>
      </c>
      <c r="D21" s="53">
        <v>0</v>
      </c>
      <c r="E21" s="53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53">
        <v>0</v>
      </c>
      <c r="L21" s="116">
        <v>0</v>
      </c>
      <c r="M21" s="116">
        <v>0</v>
      </c>
      <c r="N21" s="116">
        <v>0</v>
      </c>
      <c r="O21" s="116">
        <v>0</v>
      </c>
      <c r="P21" s="127">
        <f t="shared" si="0"/>
        <v>0</v>
      </c>
    </row>
    <row r="22" spans="2:16">
      <c r="B22" s="126" t="s">
        <v>460</v>
      </c>
      <c r="C22" s="53">
        <v>0</v>
      </c>
      <c r="D22" s="53">
        <v>0</v>
      </c>
      <c r="E22" s="53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53">
        <v>0</v>
      </c>
      <c r="L22" s="116">
        <v>0</v>
      </c>
      <c r="M22" s="116">
        <v>0</v>
      </c>
      <c r="N22" s="116">
        <v>0</v>
      </c>
      <c r="O22" s="116">
        <v>0</v>
      </c>
      <c r="P22" s="127">
        <f t="shared" si="0"/>
        <v>0</v>
      </c>
    </row>
    <row r="23" spans="2:16">
      <c r="B23" s="126" t="s">
        <v>474</v>
      </c>
      <c r="C23" s="53">
        <v>0</v>
      </c>
      <c r="D23" s="53">
        <v>0</v>
      </c>
      <c r="E23" s="53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53">
        <v>0</v>
      </c>
      <c r="L23" s="116">
        <v>0</v>
      </c>
      <c r="M23" s="116">
        <v>0</v>
      </c>
      <c r="N23" s="116">
        <v>0</v>
      </c>
      <c r="O23" s="116">
        <v>0</v>
      </c>
      <c r="P23" s="127">
        <f t="shared" si="0"/>
        <v>0</v>
      </c>
    </row>
    <row r="24" spans="2:16">
      <c r="B24" s="126" t="s">
        <v>4256</v>
      </c>
      <c r="C24" s="53">
        <v>0</v>
      </c>
      <c r="D24" s="53">
        <v>0</v>
      </c>
      <c r="E24" s="53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53">
        <v>0</v>
      </c>
      <c r="L24" s="116">
        <v>0</v>
      </c>
      <c r="M24" s="116">
        <v>0</v>
      </c>
      <c r="N24" s="116">
        <v>0</v>
      </c>
      <c r="O24" s="116">
        <v>0</v>
      </c>
      <c r="P24" s="127">
        <f t="shared" si="0"/>
        <v>0</v>
      </c>
    </row>
    <row r="25" spans="2:16">
      <c r="B25" s="126" t="s">
        <v>4275</v>
      </c>
      <c r="C25" s="53">
        <v>0</v>
      </c>
      <c r="D25" s="53">
        <v>0</v>
      </c>
      <c r="E25" s="53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53">
        <v>0</v>
      </c>
      <c r="L25" s="116">
        <v>0</v>
      </c>
      <c r="M25" s="116">
        <v>0</v>
      </c>
      <c r="N25" s="116">
        <v>0</v>
      </c>
      <c r="O25" s="116">
        <v>0</v>
      </c>
      <c r="P25" s="127">
        <f t="shared" si="0"/>
        <v>0</v>
      </c>
    </row>
    <row r="26" spans="2:16">
      <c r="B26" s="126" t="s">
        <v>376</v>
      </c>
      <c r="C26" s="53">
        <v>0</v>
      </c>
      <c r="D26" s="53">
        <v>-133832904</v>
      </c>
      <c r="E26" s="53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53">
        <v>0</v>
      </c>
      <c r="L26" s="116">
        <v>0</v>
      </c>
      <c r="M26" s="116">
        <v>133832904</v>
      </c>
      <c r="N26" s="116">
        <v>0</v>
      </c>
      <c r="O26" s="116">
        <v>0</v>
      </c>
      <c r="P26" s="127">
        <f t="shared" si="0"/>
        <v>0</v>
      </c>
    </row>
    <row r="27" spans="2:16">
      <c r="B27" s="126" t="s">
        <v>400</v>
      </c>
      <c r="C27" s="53">
        <v>0</v>
      </c>
      <c r="D27" s="53">
        <v>-1915854778</v>
      </c>
      <c r="E27" s="53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53">
        <v>0</v>
      </c>
      <c r="L27" s="116">
        <v>0</v>
      </c>
      <c r="M27" s="116">
        <v>0</v>
      </c>
      <c r="N27" s="116">
        <v>1915854778</v>
      </c>
      <c r="O27" s="116">
        <v>0</v>
      </c>
      <c r="P27" s="127">
        <f t="shared" si="0"/>
        <v>0</v>
      </c>
    </row>
    <row r="28" spans="2:16">
      <c r="B28" t="s">
        <v>7864</v>
      </c>
      <c r="C28" s="53">
        <v>0</v>
      </c>
      <c r="D28" s="53">
        <v>-239778688</v>
      </c>
      <c r="E28" s="53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53">
        <v>0</v>
      </c>
      <c r="L28" s="116">
        <v>0</v>
      </c>
      <c r="M28" s="116">
        <v>0</v>
      </c>
      <c r="N28" s="116">
        <v>0</v>
      </c>
      <c r="O28" s="116">
        <v>239778688</v>
      </c>
      <c r="P28" s="79">
        <f t="shared" si="0"/>
        <v>0</v>
      </c>
    </row>
    <row r="29" spans="2:16">
      <c r="B29" t="s">
        <v>4240</v>
      </c>
      <c r="C29" s="53">
        <v>750000000</v>
      </c>
      <c r="D29" s="53">
        <v>0</v>
      </c>
      <c r="E29" s="53">
        <v>-750000000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53">
        <v>0</v>
      </c>
      <c r="L29" s="116">
        <v>0</v>
      </c>
      <c r="M29" s="116">
        <v>0</v>
      </c>
      <c r="N29" s="116">
        <v>0</v>
      </c>
      <c r="O29" s="116">
        <v>0</v>
      </c>
      <c r="P29" s="79">
        <f t="shared" si="0"/>
        <v>0</v>
      </c>
    </row>
    <row r="30" spans="2:16">
      <c r="B30" t="s">
        <v>4242</v>
      </c>
      <c r="C30" s="53">
        <v>0</v>
      </c>
      <c r="D30" s="53">
        <v>9024110743</v>
      </c>
      <c r="E30" s="53">
        <v>-9024110743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53">
        <v>0</v>
      </c>
      <c r="L30" s="116">
        <v>0</v>
      </c>
      <c r="M30" s="116">
        <v>0</v>
      </c>
      <c r="N30" s="116">
        <v>0</v>
      </c>
      <c r="O30" s="116">
        <v>0</v>
      </c>
      <c r="P30" s="79">
        <f t="shared" si="0"/>
        <v>0</v>
      </c>
    </row>
    <row r="31" spans="2:16">
      <c r="B31" t="s">
        <v>4246</v>
      </c>
      <c r="C31" s="53">
        <v>0</v>
      </c>
      <c r="D31" s="53">
        <v>0</v>
      </c>
      <c r="E31" s="53">
        <v>-460327835</v>
      </c>
      <c r="F31" s="116">
        <v>460327835</v>
      </c>
      <c r="G31" s="116">
        <v>0</v>
      </c>
      <c r="H31" s="116">
        <v>0</v>
      </c>
      <c r="I31" s="116">
        <v>0</v>
      </c>
      <c r="J31" s="116">
        <v>0</v>
      </c>
      <c r="K31" s="53">
        <v>0</v>
      </c>
      <c r="L31" s="116">
        <v>0</v>
      </c>
      <c r="M31" s="116">
        <v>0</v>
      </c>
      <c r="N31" s="116">
        <v>0</v>
      </c>
      <c r="O31" s="116">
        <v>0</v>
      </c>
      <c r="P31" s="79">
        <f t="shared" si="0"/>
        <v>0</v>
      </c>
    </row>
    <row r="32" spans="2:16">
      <c r="B32" t="s">
        <v>4248</v>
      </c>
      <c r="C32" s="53">
        <v>0</v>
      </c>
      <c r="D32" s="53">
        <v>0</v>
      </c>
      <c r="E32" s="53">
        <v>-60000</v>
      </c>
      <c r="F32" s="116">
        <v>0</v>
      </c>
      <c r="G32" s="116">
        <v>60000</v>
      </c>
      <c r="H32" s="116">
        <v>0</v>
      </c>
      <c r="I32" s="116">
        <v>0</v>
      </c>
      <c r="J32" s="116">
        <v>0</v>
      </c>
      <c r="K32" s="53">
        <v>0</v>
      </c>
      <c r="L32" s="116">
        <v>0</v>
      </c>
      <c r="M32" s="116">
        <v>0</v>
      </c>
      <c r="N32" s="116">
        <v>0</v>
      </c>
      <c r="O32" s="116">
        <v>0</v>
      </c>
      <c r="P32" s="79">
        <f t="shared" si="0"/>
        <v>0</v>
      </c>
    </row>
    <row r="33" spans="2:16">
      <c r="B33" t="s">
        <v>4258</v>
      </c>
      <c r="C33" s="53">
        <v>0</v>
      </c>
      <c r="D33" s="53">
        <v>0</v>
      </c>
      <c r="E33" s="53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53">
        <v>0</v>
      </c>
      <c r="L33" s="116">
        <v>0</v>
      </c>
      <c r="M33" s="116">
        <v>0</v>
      </c>
      <c r="N33" s="116">
        <v>0</v>
      </c>
      <c r="O33" s="116">
        <v>0</v>
      </c>
      <c r="P33" s="79">
        <f t="shared" si="0"/>
        <v>0</v>
      </c>
    </row>
    <row r="34" spans="2:16">
      <c r="B34" t="s">
        <v>4259</v>
      </c>
      <c r="C34" s="53">
        <v>0</v>
      </c>
      <c r="D34" s="53">
        <v>0</v>
      </c>
      <c r="E34" s="53">
        <v>0</v>
      </c>
      <c r="F34" s="116">
        <v>0</v>
      </c>
      <c r="G34" s="116">
        <v>0</v>
      </c>
      <c r="H34" s="116">
        <v>0</v>
      </c>
      <c r="I34" s="116">
        <v>0</v>
      </c>
      <c r="J34" s="116">
        <v>0</v>
      </c>
      <c r="K34" s="53">
        <v>0</v>
      </c>
      <c r="L34" s="116">
        <v>0</v>
      </c>
      <c r="M34" s="116">
        <v>0</v>
      </c>
      <c r="N34" s="116">
        <v>0</v>
      </c>
      <c r="O34" s="116">
        <v>0</v>
      </c>
      <c r="P34" s="79">
        <f t="shared" si="0"/>
        <v>0</v>
      </c>
    </row>
    <row r="35" spans="2:16">
      <c r="B35" t="s">
        <v>4247</v>
      </c>
      <c r="C35" s="53">
        <v>0</v>
      </c>
      <c r="D35" s="53">
        <v>0</v>
      </c>
      <c r="E35" s="53">
        <v>-150224667</v>
      </c>
      <c r="F35" s="116">
        <v>0</v>
      </c>
      <c r="G35" s="116">
        <v>0</v>
      </c>
      <c r="H35" s="116">
        <v>0</v>
      </c>
      <c r="I35" s="116">
        <v>0</v>
      </c>
      <c r="J35" s="116">
        <v>150224667</v>
      </c>
      <c r="K35" s="53">
        <v>0</v>
      </c>
      <c r="L35" s="116">
        <v>0</v>
      </c>
      <c r="M35" s="116">
        <v>0</v>
      </c>
      <c r="N35" s="116">
        <v>0</v>
      </c>
      <c r="O35" s="116">
        <v>0</v>
      </c>
      <c r="P35" s="79">
        <f t="shared" si="0"/>
        <v>0</v>
      </c>
    </row>
    <row r="36" spans="2:16">
      <c r="B36" t="s">
        <v>4257</v>
      </c>
      <c r="C36" s="53">
        <v>0</v>
      </c>
      <c r="D36" s="53">
        <v>0</v>
      </c>
      <c r="E36" s="53">
        <v>-2985065000</v>
      </c>
      <c r="F36" s="116">
        <v>0</v>
      </c>
      <c r="G36" s="116">
        <v>0</v>
      </c>
      <c r="H36" s="116">
        <v>0</v>
      </c>
      <c r="I36" s="116">
        <v>0</v>
      </c>
      <c r="J36" s="116">
        <v>0</v>
      </c>
      <c r="K36" s="53">
        <v>2985065000</v>
      </c>
      <c r="L36" s="116">
        <v>0</v>
      </c>
      <c r="M36" s="116">
        <v>0</v>
      </c>
      <c r="N36" s="116">
        <v>0</v>
      </c>
      <c r="O36" s="116">
        <v>0</v>
      </c>
      <c r="P36" s="79">
        <f t="shared" si="0"/>
        <v>0</v>
      </c>
    </row>
    <row r="37" spans="2:16">
      <c r="B37" t="s">
        <v>4276</v>
      </c>
      <c r="C37" s="53">
        <v>0</v>
      </c>
      <c r="D37" s="53">
        <v>0</v>
      </c>
      <c r="E37" s="53">
        <v>0</v>
      </c>
      <c r="F37" s="116">
        <v>0</v>
      </c>
      <c r="G37" s="116">
        <v>0</v>
      </c>
      <c r="H37" s="116">
        <v>0</v>
      </c>
      <c r="I37" s="116">
        <v>0</v>
      </c>
      <c r="J37" s="116">
        <v>0</v>
      </c>
      <c r="K37" s="53">
        <v>0</v>
      </c>
      <c r="L37" s="116">
        <v>0</v>
      </c>
      <c r="M37" s="116">
        <v>0</v>
      </c>
      <c r="N37" s="116">
        <v>0</v>
      </c>
      <c r="O37" s="116">
        <v>0</v>
      </c>
      <c r="P37" s="79">
        <f t="shared" si="0"/>
        <v>0</v>
      </c>
    </row>
    <row r="38" spans="2:16">
      <c r="B38" t="s">
        <v>4260</v>
      </c>
      <c r="C38" s="53">
        <v>0</v>
      </c>
      <c r="D38" s="53">
        <v>0</v>
      </c>
      <c r="E38" s="53">
        <v>0</v>
      </c>
      <c r="F38" s="116">
        <v>0</v>
      </c>
      <c r="G38" s="116">
        <v>0</v>
      </c>
      <c r="H38" s="116">
        <v>0</v>
      </c>
      <c r="I38" s="116">
        <v>0</v>
      </c>
      <c r="J38" s="116">
        <v>0</v>
      </c>
      <c r="K38" s="53">
        <v>0</v>
      </c>
      <c r="L38" s="116">
        <v>0</v>
      </c>
      <c r="M38" s="116">
        <v>0</v>
      </c>
      <c r="N38" s="116">
        <v>0</v>
      </c>
      <c r="O38" s="116">
        <v>0</v>
      </c>
      <c r="P38" s="79">
        <f t="shared" si="0"/>
        <v>0</v>
      </c>
    </row>
    <row r="39" spans="2:16">
      <c r="B39" t="s">
        <v>4250</v>
      </c>
      <c r="C39" s="53">
        <v>0</v>
      </c>
      <c r="D39" s="53">
        <v>0</v>
      </c>
      <c r="E39" s="53">
        <v>-3632297783</v>
      </c>
      <c r="F39" s="116">
        <v>0</v>
      </c>
      <c r="G39" s="116">
        <v>0</v>
      </c>
      <c r="H39" s="116">
        <v>0</v>
      </c>
      <c r="I39" s="116">
        <v>0</v>
      </c>
      <c r="J39" s="116">
        <v>0</v>
      </c>
      <c r="K39" s="53">
        <v>0</v>
      </c>
      <c r="L39" s="116">
        <v>0</v>
      </c>
      <c r="M39" s="116">
        <v>0</v>
      </c>
      <c r="N39" s="116">
        <v>3632297783</v>
      </c>
      <c r="O39" s="116">
        <v>0</v>
      </c>
      <c r="P39" s="79">
        <f t="shared" ref="P39:P73" si="2">SUM(C39:O39)</f>
        <v>0</v>
      </c>
    </row>
    <row r="40" spans="2:16">
      <c r="B40" t="s">
        <v>7865</v>
      </c>
      <c r="C40" s="53">
        <v>0</v>
      </c>
      <c r="D40" s="53">
        <v>0</v>
      </c>
      <c r="E40" s="53">
        <v>-330089699</v>
      </c>
      <c r="F40" s="116">
        <v>0</v>
      </c>
      <c r="G40" s="116">
        <v>0</v>
      </c>
      <c r="H40" s="116">
        <v>0</v>
      </c>
      <c r="I40" s="116">
        <v>0</v>
      </c>
      <c r="J40" s="116">
        <v>0</v>
      </c>
      <c r="K40" s="53">
        <v>0</v>
      </c>
      <c r="L40" s="116">
        <v>0</v>
      </c>
      <c r="M40" s="116">
        <v>0</v>
      </c>
      <c r="N40" s="116">
        <v>0</v>
      </c>
      <c r="O40" s="116">
        <v>330089699</v>
      </c>
      <c r="P40" s="79">
        <f t="shared" ref="P40" si="3">SUM(C40:O40)</f>
        <v>0</v>
      </c>
    </row>
    <row r="41" spans="2:16">
      <c r="B41" s="126" t="s">
        <v>492</v>
      </c>
      <c r="C41" s="53">
        <v>0</v>
      </c>
      <c r="D41" s="53">
        <v>0</v>
      </c>
      <c r="E41" s="53">
        <v>0</v>
      </c>
      <c r="F41" s="116">
        <v>0</v>
      </c>
      <c r="G41" s="116">
        <v>0</v>
      </c>
      <c r="H41" s="116">
        <v>0</v>
      </c>
      <c r="I41" s="116">
        <v>0</v>
      </c>
      <c r="J41" s="116">
        <v>0</v>
      </c>
      <c r="K41" s="53">
        <v>0</v>
      </c>
      <c r="L41" s="116">
        <v>0</v>
      </c>
      <c r="M41" s="116">
        <v>0</v>
      </c>
      <c r="N41" s="116">
        <v>0</v>
      </c>
      <c r="O41" s="116">
        <v>0</v>
      </c>
      <c r="P41" s="127">
        <f t="shared" si="2"/>
        <v>0</v>
      </c>
    </row>
    <row r="42" spans="2:16">
      <c r="B42" s="126" t="s">
        <v>351</v>
      </c>
      <c r="C42" s="53">
        <v>0</v>
      </c>
      <c r="D42" s="53">
        <v>110000</v>
      </c>
      <c r="E42" s="53">
        <v>0</v>
      </c>
      <c r="F42" s="116">
        <v>-110000</v>
      </c>
      <c r="G42" s="116">
        <v>0</v>
      </c>
      <c r="H42" s="116">
        <v>0</v>
      </c>
      <c r="I42" s="116">
        <v>0</v>
      </c>
      <c r="J42" s="116">
        <v>0</v>
      </c>
      <c r="K42" s="53">
        <v>0</v>
      </c>
      <c r="L42" s="116">
        <v>0</v>
      </c>
      <c r="M42" s="116">
        <v>0</v>
      </c>
      <c r="N42" s="116">
        <v>0</v>
      </c>
      <c r="O42" s="116">
        <v>0</v>
      </c>
      <c r="P42" s="127">
        <f t="shared" si="2"/>
        <v>0</v>
      </c>
    </row>
    <row r="43" spans="2:16">
      <c r="B43" s="126" t="s">
        <v>4253</v>
      </c>
      <c r="C43" s="53">
        <v>0</v>
      </c>
      <c r="D43" s="53">
        <v>0</v>
      </c>
      <c r="E43" s="53">
        <v>928997950</v>
      </c>
      <c r="F43" s="116">
        <v>-928997950</v>
      </c>
      <c r="G43" s="116">
        <v>0</v>
      </c>
      <c r="H43" s="116">
        <v>0</v>
      </c>
      <c r="I43" s="116">
        <v>0</v>
      </c>
      <c r="J43" s="116">
        <v>0</v>
      </c>
      <c r="K43" s="53">
        <v>0</v>
      </c>
      <c r="L43" s="116">
        <v>0</v>
      </c>
      <c r="M43" s="116">
        <v>0</v>
      </c>
      <c r="N43" s="116">
        <v>0</v>
      </c>
      <c r="O43" s="116">
        <v>0</v>
      </c>
      <c r="P43" s="127">
        <f t="shared" si="2"/>
        <v>0</v>
      </c>
    </row>
    <row r="44" spans="2:16">
      <c r="B44" s="126" t="s">
        <v>465</v>
      </c>
      <c r="C44" s="53">
        <v>0</v>
      </c>
      <c r="D44" s="53">
        <v>0</v>
      </c>
      <c r="E44" s="53">
        <v>0</v>
      </c>
      <c r="F44" s="116">
        <v>0</v>
      </c>
      <c r="G44" s="116">
        <v>0</v>
      </c>
      <c r="H44" s="116">
        <v>0</v>
      </c>
      <c r="I44" s="116">
        <v>0</v>
      </c>
      <c r="J44" s="116">
        <v>0</v>
      </c>
      <c r="K44" s="53">
        <v>0</v>
      </c>
      <c r="L44" s="116">
        <v>0</v>
      </c>
      <c r="M44" s="116">
        <v>0</v>
      </c>
      <c r="N44" s="116">
        <v>0</v>
      </c>
      <c r="O44" s="116">
        <v>0</v>
      </c>
      <c r="P44" s="127">
        <f t="shared" si="2"/>
        <v>0</v>
      </c>
    </row>
    <row r="45" spans="2:16">
      <c r="B45" s="126" t="s">
        <v>466</v>
      </c>
      <c r="C45" s="53">
        <v>0</v>
      </c>
      <c r="D45" s="53">
        <v>0</v>
      </c>
      <c r="E45" s="53">
        <v>0</v>
      </c>
      <c r="F45" s="116">
        <v>0</v>
      </c>
      <c r="G45" s="116">
        <v>0</v>
      </c>
      <c r="H45" s="116">
        <v>0</v>
      </c>
      <c r="I45" s="116">
        <v>0</v>
      </c>
      <c r="J45" s="116">
        <v>0</v>
      </c>
      <c r="K45" s="53">
        <v>0</v>
      </c>
      <c r="L45" s="116">
        <v>0</v>
      </c>
      <c r="M45" s="116">
        <v>0</v>
      </c>
      <c r="N45" s="116">
        <v>0</v>
      </c>
      <c r="O45" s="116">
        <v>0</v>
      </c>
      <c r="P45" s="127">
        <f t="shared" si="2"/>
        <v>0</v>
      </c>
    </row>
    <row r="46" spans="2:16">
      <c r="B46" s="126" t="s">
        <v>467</v>
      </c>
      <c r="C46" s="53">
        <v>0</v>
      </c>
      <c r="D46" s="53">
        <v>0</v>
      </c>
      <c r="E46" s="53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53">
        <v>0</v>
      </c>
      <c r="L46" s="116">
        <v>0</v>
      </c>
      <c r="M46" s="116">
        <v>0</v>
      </c>
      <c r="N46" s="116">
        <v>0</v>
      </c>
      <c r="O46" s="116">
        <v>0</v>
      </c>
      <c r="P46" s="127">
        <f t="shared" si="2"/>
        <v>0</v>
      </c>
    </row>
    <row r="47" spans="2:16">
      <c r="B47" s="126" t="s">
        <v>475</v>
      </c>
      <c r="C47" s="53">
        <v>0</v>
      </c>
      <c r="D47" s="53">
        <v>0</v>
      </c>
      <c r="E47" s="53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53">
        <v>0</v>
      </c>
      <c r="L47" s="116">
        <v>0</v>
      </c>
      <c r="M47" s="116">
        <v>0</v>
      </c>
      <c r="N47" s="116">
        <v>0</v>
      </c>
      <c r="O47" s="116">
        <v>0</v>
      </c>
      <c r="P47" s="127">
        <f t="shared" si="2"/>
        <v>0</v>
      </c>
    </row>
    <row r="48" spans="2:16">
      <c r="B48" s="126" t="s">
        <v>4261</v>
      </c>
      <c r="C48" s="53">
        <v>0</v>
      </c>
      <c r="D48" s="53">
        <v>0</v>
      </c>
      <c r="E48" s="53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53">
        <v>0</v>
      </c>
      <c r="L48" s="116">
        <v>0</v>
      </c>
      <c r="M48" s="116">
        <v>0</v>
      </c>
      <c r="N48" s="116">
        <v>0</v>
      </c>
      <c r="O48" s="116">
        <v>0</v>
      </c>
      <c r="P48" s="127">
        <f t="shared" si="2"/>
        <v>0</v>
      </c>
    </row>
    <row r="49" spans="2:16">
      <c r="B49" s="126" t="s">
        <v>4277</v>
      </c>
      <c r="C49" s="53">
        <v>0</v>
      </c>
      <c r="D49" s="53">
        <v>0</v>
      </c>
      <c r="E49" s="53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53">
        <v>0</v>
      </c>
      <c r="L49" s="116">
        <v>0</v>
      </c>
      <c r="M49" s="116">
        <v>0</v>
      </c>
      <c r="N49" s="116">
        <v>0</v>
      </c>
      <c r="O49" s="116">
        <v>0</v>
      </c>
      <c r="P49" s="127">
        <f t="shared" si="2"/>
        <v>0</v>
      </c>
    </row>
    <row r="50" spans="2:16">
      <c r="B50" s="126" t="s">
        <v>468</v>
      </c>
      <c r="C50" s="53">
        <v>0</v>
      </c>
      <c r="D50" s="53">
        <v>0</v>
      </c>
      <c r="E50" s="53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53">
        <v>0</v>
      </c>
      <c r="L50" s="116">
        <v>0</v>
      </c>
      <c r="M50" s="116">
        <v>0</v>
      </c>
      <c r="N50" s="116">
        <v>0</v>
      </c>
      <c r="O50" s="116">
        <v>0</v>
      </c>
      <c r="P50" s="127">
        <f t="shared" si="2"/>
        <v>0</v>
      </c>
    </row>
    <row r="51" spans="2:16">
      <c r="B51" s="126" t="s">
        <v>352</v>
      </c>
      <c r="C51" s="53">
        <v>0</v>
      </c>
      <c r="D51" s="53">
        <v>0</v>
      </c>
      <c r="E51" s="53">
        <v>0</v>
      </c>
      <c r="F51" s="116">
        <v>-2263471947</v>
      </c>
      <c r="G51" s="116">
        <v>0</v>
      </c>
      <c r="H51" s="116">
        <v>0</v>
      </c>
      <c r="I51" s="116">
        <v>0</v>
      </c>
      <c r="J51" s="116">
        <v>0</v>
      </c>
      <c r="K51" s="53">
        <v>0</v>
      </c>
      <c r="L51" s="116">
        <v>0</v>
      </c>
      <c r="M51" s="116">
        <v>0</v>
      </c>
      <c r="N51" s="116">
        <v>2263471947</v>
      </c>
      <c r="O51" s="116">
        <v>0</v>
      </c>
      <c r="P51" s="127">
        <f t="shared" si="2"/>
        <v>0</v>
      </c>
    </row>
    <row r="52" spans="2:16">
      <c r="B52" t="s">
        <v>7153</v>
      </c>
      <c r="C52" s="53">
        <v>0</v>
      </c>
      <c r="D52" s="53">
        <v>0</v>
      </c>
      <c r="E52" s="53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53">
        <v>0</v>
      </c>
      <c r="L52" s="116">
        <v>0</v>
      </c>
      <c r="M52" s="116">
        <v>0</v>
      </c>
      <c r="N52" s="116">
        <v>0</v>
      </c>
      <c r="O52" s="116">
        <v>0</v>
      </c>
      <c r="P52" s="79">
        <f t="shared" ref="P52" si="4">SUM(C52:O52)</f>
        <v>0</v>
      </c>
    </row>
    <row r="53" spans="2:16">
      <c r="B53" t="s">
        <v>493</v>
      </c>
      <c r="C53" s="53">
        <v>2200000000</v>
      </c>
      <c r="D53" s="53">
        <v>0</v>
      </c>
      <c r="E53" s="53">
        <v>0</v>
      </c>
      <c r="F53" s="116">
        <v>0</v>
      </c>
      <c r="G53" s="116">
        <v>-2200000000</v>
      </c>
      <c r="H53" s="116">
        <v>0</v>
      </c>
      <c r="I53" s="116">
        <v>0</v>
      </c>
      <c r="J53" s="116">
        <v>0</v>
      </c>
      <c r="K53" s="53">
        <v>0</v>
      </c>
      <c r="L53" s="116">
        <v>0</v>
      </c>
      <c r="M53" s="116">
        <v>0</v>
      </c>
      <c r="N53" s="116">
        <v>0</v>
      </c>
      <c r="O53" s="116">
        <v>0</v>
      </c>
      <c r="P53" s="79">
        <f t="shared" si="2"/>
        <v>0</v>
      </c>
    </row>
    <row r="54" spans="2:16">
      <c r="B54" t="s">
        <v>461</v>
      </c>
      <c r="C54" s="53">
        <v>0</v>
      </c>
      <c r="D54" s="53">
        <v>1514645000</v>
      </c>
      <c r="E54" s="53">
        <v>0</v>
      </c>
      <c r="F54" s="116">
        <v>0</v>
      </c>
      <c r="G54" s="116">
        <v>-1514645000</v>
      </c>
      <c r="H54" s="116">
        <v>0</v>
      </c>
      <c r="I54" s="116">
        <v>0</v>
      </c>
      <c r="J54" s="116">
        <v>0</v>
      </c>
      <c r="K54" s="53">
        <v>0</v>
      </c>
      <c r="L54" s="116">
        <v>0</v>
      </c>
      <c r="M54" s="116">
        <v>0</v>
      </c>
      <c r="N54" s="116">
        <v>0</v>
      </c>
      <c r="O54" s="116">
        <v>0</v>
      </c>
      <c r="P54" s="79">
        <f t="shared" si="2"/>
        <v>0</v>
      </c>
    </row>
    <row r="55" spans="2:16">
      <c r="B55" t="s">
        <v>4245</v>
      </c>
      <c r="C55" s="53">
        <v>0</v>
      </c>
      <c r="D55" s="53">
        <v>0</v>
      </c>
      <c r="E55" s="53">
        <v>4300000000</v>
      </c>
      <c r="F55" s="116">
        <v>0</v>
      </c>
      <c r="G55" s="116">
        <v>-4300000000</v>
      </c>
      <c r="H55" s="116">
        <v>0</v>
      </c>
      <c r="I55" s="116">
        <v>0</v>
      </c>
      <c r="J55" s="116">
        <v>0</v>
      </c>
      <c r="K55" s="53">
        <v>0</v>
      </c>
      <c r="L55" s="116">
        <v>0</v>
      </c>
      <c r="M55" s="116">
        <v>0</v>
      </c>
      <c r="N55" s="116">
        <v>0</v>
      </c>
      <c r="O55" s="116">
        <v>0</v>
      </c>
      <c r="P55" s="79">
        <f t="shared" si="2"/>
        <v>0</v>
      </c>
    </row>
    <row r="56" spans="2:16">
      <c r="B56" t="s">
        <v>469</v>
      </c>
      <c r="C56" s="53">
        <v>0</v>
      </c>
      <c r="D56" s="53">
        <v>0</v>
      </c>
      <c r="E56" s="53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53">
        <v>0</v>
      </c>
      <c r="L56" s="116">
        <v>0</v>
      </c>
      <c r="M56" s="116">
        <v>0</v>
      </c>
      <c r="N56" s="116">
        <v>0</v>
      </c>
      <c r="O56" s="116">
        <v>0</v>
      </c>
      <c r="P56" s="79">
        <f t="shared" si="2"/>
        <v>0</v>
      </c>
    </row>
    <row r="57" spans="2:16">
      <c r="B57" t="s">
        <v>283</v>
      </c>
      <c r="C57" s="53">
        <v>0</v>
      </c>
      <c r="D57" s="53">
        <v>0</v>
      </c>
      <c r="E57" s="53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53">
        <v>0</v>
      </c>
      <c r="L57" s="116">
        <v>0</v>
      </c>
      <c r="M57" s="116">
        <v>0</v>
      </c>
      <c r="N57" s="116">
        <v>0</v>
      </c>
      <c r="O57" s="116">
        <v>0</v>
      </c>
      <c r="P57" s="79">
        <f t="shared" si="2"/>
        <v>0</v>
      </c>
    </row>
    <row r="58" spans="2:16">
      <c r="B58" t="s">
        <v>294</v>
      </c>
      <c r="C58" s="53">
        <v>0</v>
      </c>
      <c r="D58" s="53">
        <v>0</v>
      </c>
      <c r="E58" s="53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53">
        <v>0</v>
      </c>
      <c r="L58" s="116">
        <v>0</v>
      </c>
      <c r="M58" s="116">
        <v>0</v>
      </c>
      <c r="N58" s="116">
        <v>0</v>
      </c>
      <c r="O58" s="116">
        <v>0</v>
      </c>
      <c r="P58" s="79">
        <f t="shared" si="2"/>
        <v>0</v>
      </c>
    </row>
    <row r="59" spans="2:16">
      <c r="B59" t="s">
        <v>347</v>
      </c>
      <c r="C59" s="53">
        <v>0</v>
      </c>
      <c r="D59" s="53">
        <v>0</v>
      </c>
      <c r="E59" s="53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53">
        <v>0</v>
      </c>
      <c r="L59" s="116">
        <v>0</v>
      </c>
      <c r="M59" s="116">
        <v>0</v>
      </c>
      <c r="N59" s="116">
        <v>0</v>
      </c>
      <c r="O59" s="116">
        <v>0</v>
      </c>
      <c r="P59" s="79">
        <f t="shared" si="2"/>
        <v>0</v>
      </c>
    </row>
    <row r="60" spans="2:16">
      <c r="B60" t="s">
        <v>4262</v>
      </c>
      <c r="C60" s="53">
        <v>0</v>
      </c>
      <c r="D60" s="53">
        <v>0</v>
      </c>
      <c r="E60" s="53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53">
        <v>0</v>
      </c>
      <c r="L60" s="116">
        <v>0</v>
      </c>
      <c r="M60" s="116">
        <v>0</v>
      </c>
      <c r="N60" s="116">
        <v>0</v>
      </c>
      <c r="O60" s="116">
        <v>0</v>
      </c>
      <c r="P60" s="79">
        <f t="shared" si="2"/>
        <v>0</v>
      </c>
    </row>
    <row r="61" spans="2:16">
      <c r="B61" t="s">
        <v>476</v>
      </c>
      <c r="C61" s="53">
        <v>0</v>
      </c>
      <c r="D61" s="53">
        <v>0</v>
      </c>
      <c r="E61" s="53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53">
        <v>0</v>
      </c>
      <c r="L61" s="116">
        <v>0</v>
      </c>
      <c r="M61" s="116">
        <v>0</v>
      </c>
      <c r="N61" s="116">
        <v>0</v>
      </c>
      <c r="O61" s="116">
        <v>0</v>
      </c>
      <c r="P61" s="79">
        <f t="shared" si="2"/>
        <v>0</v>
      </c>
    </row>
    <row r="62" spans="2:16">
      <c r="B62" t="s">
        <v>161</v>
      </c>
      <c r="C62" s="53">
        <v>0</v>
      </c>
      <c r="D62" s="53">
        <v>0</v>
      </c>
      <c r="E62" s="53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53">
        <v>0</v>
      </c>
      <c r="L62" s="116">
        <v>0</v>
      </c>
      <c r="M62" s="116">
        <v>0</v>
      </c>
      <c r="N62" s="116">
        <v>0</v>
      </c>
      <c r="O62" s="116">
        <v>0</v>
      </c>
      <c r="P62" s="79">
        <f t="shared" si="2"/>
        <v>0</v>
      </c>
    </row>
    <row r="63" spans="2:16">
      <c r="B63" t="s">
        <v>280</v>
      </c>
      <c r="C63" s="53">
        <v>0</v>
      </c>
      <c r="D63" s="53">
        <v>0</v>
      </c>
      <c r="E63" s="53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53">
        <v>0</v>
      </c>
      <c r="L63" s="116">
        <v>0</v>
      </c>
      <c r="M63" s="116">
        <v>0</v>
      </c>
      <c r="N63" s="116">
        <v>0</v>
      </c>
      <c r="O63" s="116">
        <v>0</v>
      </c>
      <c r="P63" s="79">
        <f t="shared" si="2"/>
        <v>0</v>
      </c>
    </row>
    <row r="64" spans="2:16">
      <c r="B64" t="s">
        <v>7154</v>
      </c>
      <c r="C64" s="53">
        <v>0</v>
      </c>
      <c r="D64" s="53">
        <v>0</v>
      </c>
      <c r="E64" s="53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53">
        <v>0</v>
      </c>
      <c r="L64" s="116">
        <v>0</v>
      </c>
      <c r="M64" s="116">
        <v>0</v>
      </c>
      <c r="N64" s="116">
        <v>0</v>
      </c>
      <c r="O64" s="116">
        <v>0</v>
      </c>
      <c r="P64" s="79">
        <f t="shared" ref="P64" si="5">SUM(C64:O64)</f>
        <v>0</v>
      </c>
    </row>
    <row r="65" spans="2:16">
      <c r="B65" s="128" t="s">
        <v>494</v>
      </c>
      <c r="C65" s="53">
        <v>0</v>
      </c>
      <c r="D65" s="53">
        <v>0</v>
      </c>
      <c r="E65" s="53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53">
        <v>0</v>
      </c>
      <c r="L65" s="116">
        <v>0</v>
      </c>
      <c r="M65" s="116">
        <v>0</v>
      </c>
      <c r="N65" s="116">
        <v>0</v>
      </c>
      <c r="O65" s="116">
        <v>0</v>
      </c>
      <c r="P65" s="127">
        <f t="shared" si="2"/>
        <v>0</v>
      </c>
    </row>
    <row r="66" spans="2:16">
      <c r="B66" s="128" t="s">
        <v>462</v>
      </c>
      <c r="C66" s="53">
        <v>0</v>
      </c>
      <c r="D66" s="53">
        <v>0</v>
      </c>
      <c r="E66" s="53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53">
        <v>0</v>
      </c>
      <c r="L66" s="116">
        <v>0</v>
      </c>
      <c r="M66" s="116">
        <v>0</v>
      </c>
      <c r="N66" s="116">
        <v>0</v>
      </c>
      <c r="O66" s="116">
        <v>0</v>
      </c>
      <c r="P66" s="127">
        <f t="shared" si="2"/>
        <v>0</v>
      </c>
    </row>
    <row r="67" spans="2:16">
      <c r="B67" s="128" t="s">
        <v>4263</v>
      </c>
      <c r="C67" s="53">
        <v>0</v>
      </c>
      <c r="D67" s="53">
        <v>0</v>
      </c>
      <c r="E67" s="53">
        <v>0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53">
        <v>0</v>
      </c>
      <c r="L67" s="116">
        <v>0</v>
      </c>
      <c r="M67" s="116">
        <v>0</v>
      </c>
      <c r="N67" s="116">
        <v>0</v>
      </c>
      <c r="O67" s="116">
        <v>0</v>
      </c>
      <c r="P67" s="127">
        <f t="shared" si="2"/>
        <v>0</v>
      </c>
    </row>
    <row r="68" spans="2:16">
      <c r="B68" s="128" t="s">
        <v>470</v>
      </c>
      <c r="C68" s="53">
        <v>0</v>
      </c>
      <c r="D68" s="53">
        <v>0</v>
      </c>
      <c r="E68" s="53">
        <v>0</v>
      </c>
      <c r="F68" s="116">
        <v>0</v>
      </c>
      <c r="G68" s="116">
        <v>0</v>
      </c>
      <c r="H68" s="116">
        <v>0</v>
      </c>
      <c r="I68" s="116">
        <v>0</v>
      </c>
      <c r="J68" s="116">
        <v>0</v>
      </c>
      <c r="K68" s="53">
        <v>0</v>
      </c>
      <c r="L68" s="116">
        <v>0</v>
      </c>
      <c r="M68" s="116">
        <v>0</v>
      </c>
      <c r="N68" s="116">
        <v>0</v>
      </c>
      <c r="O68" s="116">
        <v>0</v>
      </c>
      <c r="P68" s="127">
        <f t="shared" si="2"/>
        <v>0</v>
      </c>
    </row>
    <row r="69" spans="2:16">
      <c r="B69" s="128" t="s">
        <v>286</v>
      </c>
      <c r="C69" s="53">
        <v>0</v>
      </c>
      <c r="D69" s="53">
        <v>0</v>
      </c>
      <c r="E69" s="53">
        <v>0</v>
      </c>
      <c r="F69" s="116">
        <v>0</v>
      </c>
      <c r="G69" s="116">
        <v>0</v>
      </c>
      <c r="H69" s="116">
        <v>0</v>
      </c>
      <c r="I69" s="116">
        <v>0</v>
      </c>
      <c r="J69" s="116">
        <v>0</v>
      </c>
      <c r="K69" s="53">
        <v>0</v>
      </c>
      <c r="L69" s="116">
        <v>0</v>
      </c>
      <c r="M69" s="116">
        <v>0</v>
      </c>
      <c r="N69" s="116">
        <v>0</v>
      </c>
      <c r="O69" s="116">
        <v>0</v>
      </c>
      <c r="P69" s="127">
        <f t="shared" si="2"/>
        <v>0</v>
      </c>
    </row>
    <row r="70" spans="2:16">
      <c r="B70" s="128" t="s">
        <v>295</v>
      </c>
      <c r="C70" s="53">
        <v>0</v>
      </c>
      <c r="D70" s="53">
        <v>0</v>
      </c>
      <c r="E70" s="53">
        <v>0</v>
      </c>
      <c r="F70" s="116">
        <v>0</v>
      </c>
      <c r="G70" s="116">
        <v>0</v>
      </c>
      <c r="H70" s="116">
        <v>0</v>
      </c>
      <c r="I70" s="116">
        <v>0</v>
      </c>
      <c r="J70" s="116">
        <v>0</v>
      </c>
      <c r="K70" s="53">
        <v>0</v>
      </c>
      <c r="L70" s="116">
        <v>0</v>
      </c>
      <c r="M70" s="116">
        <v>0</v>
      </c>
      <c r="N70" s="116">
        <v>0</v>
      </c>
      <c r="O70" s="116">
        <v>0</v>
      </c>
      <c r="P70" s="127">
        <f t="shared" si="2"/>
        <v>0</v>
      </c>
    </row>
    <row r="71" spans="2:16">
      <c r="B71" s="128" t="s">
        <v>477</v>
      </c>
      <c r="C71" s="53">
        <v>0</v>
      </c>
      <c r="D71" s="53">
        <v>0</v>
      </c>
      <c r="E71" s="53">
        <v>0</v>
      </c>
      <c r="F71" s="116">
        <v>0</v>
      </c>
      <c r="G71" s="116">
        <v>0</v>
      </c>
      <c r="H71" s="116">
        <v>0</v>
      </c>
      <c r="I71" s="116">
        <v>0</v>
      </c>
      <c r="J71" s="116">
        <v>0</v>
      </c>
      <c r="K71" s="53">
        <v>0</v>
      </c>
      <c r="L71" s="116">
        <v>0</v>
      </c>
      <c r="M71" s="116">
        <v>0</v>
      </c>
      <c r="N71" s="116">
        <v>0</v>
      </c>
      <c r="O71" s="116">
        <v>0</v>
      </c>
      <c r="P71" s="127">
        <f t="shared" si="2"/>
        <v>0</v>
      </c>
    </row>
    <row r="72" spans="2:16">
      <c r="B72" s="128" t="s">
        <v>4264</v>
      </c>
      <c r="C72" s="53">
        <v>0</v>
      </c>
      <c r="D72" s="53">
        <v>0</v>
      </c>
      <c r="E72" s="53">
        <v>0</v>
      </c>
      <c r="F72" s="116">
        <v>0</v>
      </c>
      <c r="G72" s="116">
        <v>0</v>
      </c>
      <c r="H72" s="116">
        <v>0</v>
      </c>
      <c r="I72" s="116">
        <v>0</v>
      </c>
      <c r="J72" s="116">
        <v>0</v>
      </c>
      <c r="K72" s="53">
        <v>0</v>
      </c>
      <c r="L72" s="116">
        <v>0</v>
      </c>
      <c r="M72" s="116">
        <v>0</v>
      </c>
      <c r="N72" s="116">
        <v>0</v>
      </c>
      <c r="O72" s="116">
        <v>0</v>
      </c>
      <c r="P72" s="127">
        <f t="shared" si="2"/>
        <v>0</v>
      </c>
    </row>
    <row r="73" spans="2:16">
      <c r="B73" s="128" t="s">
        <v>4278</v>
      </c>
      <c r="C73" s="53">
        <v>0</v>
      </c>
      <c r="D73" s="53">
        <v>0</v>
      </c>
      <c r="E73" s="53">
        <v>0</v>
      </c>
      <c r="F73" s="116">
        <v>0</v>
      </c>
      <c r="G73" s="116">
        <v>0</v>
      </c>
      <c r="H73" s="116">
        <v>0</v>
      </c>
      <c r="I73" s="116">
        <v>0</v>
      </c>
      <c r="J73" s="116">
        <v>0</v>
      </c>
      <c r="K73" s="53">
        <v>0</v>
      </c>
      <c r="L73" s="116">
        <v>0</v>
      </c>
      <c r="M73" s="116">
        <v>0</v>
      </c>
      <c r="N73" s="116">
        <v>0</v>
      </c>
      <c r="O73" s="116">
        <v>0</v>
      </c>
      <c r="P73" s="127">
        <f t="shared" si="2"/>
        <v>0</v>
      </c>
    </row>
    <row r="74" spans="2:16">
      <c r="B74" s="128" t="s">
        <v>287</v>
      </c>
      <c r="C74" s="53">
        <v>0</v>
      </c>
      <c r="D74" s="53">
        <v>0</v>
      </c>
      <c r="E74" s="53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53">
        <v>0</v>
      </c>
      <c r="L74" s="116">
        <v>0</v>
      </c>
      <c r="M74" s="116">
        <v>0</v>
      </c>
      <c r="N74" s="116">
        <v>0</v>
      </c>
      <c r="O74" s="116">
        <v>0</v>
      </c>
      <c r="P74" s="127">
        <f t="shared" ref="P74:P99" si="6">SUM(C74:O74)</f>
        <v>0</v>
      </c>
    </row>
    <row r="75" spans="2:16">
      <c r="B75" s="128" t="s">
        <v>288</v>
      </c>
      <c r="C75" s="53">
        <v>0</v>
      </c>
      <c r="D75" s="53">
        <v>0</v>
      </c>
      <c r="E75" s="53">
        <v>0</v>
      </c>
      <c r="F75" s="116">
        <v>0</v>
      </c>
      <c r="G75" s="116">
        <v>0</v>
      </c>
      <c r="H75" s="116">
        <v>0</v>
      </c>
      <c r="I75" s="116">
        <v>0</v>
      </c>
      <c r="J75" s="116">
        <v>0</v>
      </c>
      <c r="K75" s="53">
        <v>0</v>
      </c>
      <c r="L75" s="116">
        <v>0</v>
      </c>
      <c r="M75" s="116">
        <v>0</v>
      </c>
      <c r="N75" s="116">
        <v>0</v>
      </c>
      <c r="O75" s="116">
        <v>0</v>
      </c>
      <c r="P75" s="127">
        <f t="shared" si="6"/>
        <v>0</v>
      </c>
    </row>
    <row r="76" spans="2:16">
      <c r="B76" t="s">
        <v>7155</v>
      </c>
      <c r="C76" s="53">
        <v>0</v>
      </c>
      <c r="D76" s="53">
        <v>0</v>
      </c>
      <c r="E76" s="53">
        <v>0</v>
      </c>
      <c r="F76" s="116">
        <v>0</v>
      </c>
      <c r="G76" s="116">
        <v>0</v>
      </c>
      <c r="H76" s="116">
        <v>0</v>
      </c>
      <c r="I76" s="116">
        <v>0</v>
      </c>
      <c r="J76" s="116">
        <v>0</v>
      </c>
      <c r="K76" s="53">
        <v>0</v>
      </c>
      <c r="L76" s="116">
        <v>0</v>
      </c>
      <c r="M76" s="116">
        <v>0</v>
      </c>
      <c r="N76" s="116">
        <v>0</v>
      </c>
      <c r="O76" s="116">
        <v>0</v>
      </c>
      <c r="P76" s="79">
        <f t="shared" ref="P76" si="7">SUM(C76:O76)</f>
        <v>0</v>
      </c>
    </row>
    <row r="77" spans="2:16">
      <c r="B77" t="s">
        <v>495</v>
      </c>
      <c r="C77" s="53">
        <v>0</v>
      </c>
      <c r="D77" s="53">
        <v>0</v>
      </c>
      <c r="E77" s="53">
        <v>0</v>
      </c>
      <c r="F77" s="116">
        <v>0</v>
      </c>
      <c r="G77" s="116">
        <v>0</v>
      </c>
      <c r="H77" s="116">
        <v>0</v>
      </c>
      <c r="I77" s="116">
        <v>0</v>
      </c>
      <c r="J77" s="116">
        <v>0</v>
      </c>
      <c r="K77" s="53">
        <v>0</v>
      </c>
      <c r="L77" s="116">
        <v>0</v>
      </c>
      <c r="M77" s="116">
        <v>0</v>
      </c>
      <c r="N77" s="116">
        <v>0</v>
      </c>
      <c r="O77" s="116">
        <v>0</v>
      </c>
      <c r="P77" s="79">
        <f t="shared" si="6"/>
        <v>0</v>
      </c>
    </row>
    <row r="78" spans="2:16">
      <c r="B78" t="s">
        <v>463</v>
      </c>
      <c r="C78" s="53">
        <v>0</v>
      </c>
      <c r="D78" s="53">
        <v>0</v>
      </c>
      <c r="E78" s="53">
        <v>0</v>
      </c>
      <c r="F78" s="116">
        <v>0</v>
      </c>
      <c r="G78" s="116">
        <v>0</v>
      </c>
      <c r="H78" s="116">
        <v>0</v>
      </c>
      <c r="I78" s="116">
        <v>0</v>
      </c>
      <c r="J78" s="116">
        <v>0</v>
      </c>
      <c r="K78" s="53">
        <v>0</v>
      </c>
      <c r="L78" s="116">
        <v>0</v>
      </c>
      <c r="M78" s="116">
        <v>0</v>
      </c>
      <c r="N78" s="116">
        <v>0</v>
      </c>
      <c r="O78" s="116">
        <v>0</v>
      </c>
      <c r="P78" s="79">
        <f t="shared" si="6"/>
        <v>0</v>
      </c>
    </row>
    <row r="79" spans="2:16">
      <c r="B79" t="s">
        <v>4265</v>
      </c>
      <c r="C79" s="53">
        <v>0</v>
      </c>
      <c r="D79" s="53">
        <v>0</v>
      </c>
      <c r="E79" s="53">
        <v>0</v>
      </c>
      <c r="F79" s="116">
        <v>0</v>
      </c>
      <c r="G79" s="116">
        <v>0</v>
      </c>
      <c r="H79" s="116">
        <v>0</v>
      </c>
      <c r="I79" s="116">
        <v>0</v>
      </c>
      <c r="J79" s="116">
        <v>0</v>
      </c>
      <c r="K79" s="53">
        <v>0</v>
      </c>
      <c r="L79" s="116">
        <v>0</v>
      </c>
      <c r="M79" s="116">
        <v>0</v>
      </c>
      <c r="N79" s="116">
        <v>0</v>
      </c>
      <c r="O79" s="116">
        <v>0</v>
      </c>
      <c r="P79" s="79">
        <f t="shared" si="6"/>
        <v>0</v>
      </c>
    </row>
    <row r="80" spans="2:16">
      <c r="B80" t="s">
        <v>471</v>
      </c>
      <c r="C80" s="53">
        <v>0</v>
      </c>
      <c r="D80" s="53">
        <v>0</v>
      </c>
      <c r="E80" s="53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53">
        <v>0</v>
      </c>
      <c r="L80" s="116">
        <v>0</v>
      </c>
      <c r="M80" s="116">
        <v>0</v>
      </c>
      <c r="N80" s="116">
        <v>0</v>
      </c>
      <c r="O80" s="116">
        <v>0</v>
      </c>
      <c r="P80" s="79">
        <f t="shared" si="6"/>
        <v>0</v>
      </c>
    </row>
    <row r="81" spans="2:16">
      <c r="B81" t="s">
        <v>298</v>
      </c>
      <c r="C81" s="53">
        <v>0</v>
      </c>
      <c r="D81" s="53">
        <v>0</v>
      </c>
      <c r="E81" s="53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53">
        <v>0</v>
      </c>
      <c r="L81" s="116">
        <v>0</v>
      </c>
      <c r="M81" s="116">
        <v>0</v>
      </c>
      <c r="N81" s="116">
        <v>0</v>
      </c>
      <c r="O81" s="116">
        <v>0</v>
      </c>
      <c r="P81" s="79">
        <f t="shared" si="6"/>
        <v>0</v>
      </c>
    </row>
    <row r="82" spans="2:16">
      <c r="B82" t="s">
        <v>299</v>
      </c>
      <c r="C82" s="53">
        <v>0</v>
      </c>
      <c r="D82" s="53">
        <v>0</v>
      </c>
      <c r="E82" s="53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53">
        <v>0</v>
      </c>
      <c r="L82" s="116">
        <v>0</v>
      </c>
      <c r="M82" s="116">
        <v>0</v>
      </c>
      <c r="N82" s="116">
        <v>0</v>
      </c>
      <c r="O82" s="116">
        <v>0</v>
      </c>
      <c r="P82" s="79">
        <f t="shared" si="6"/>
        <v>0</v>
      </c>
    </row>
    <row r="83" spans="2:16">
      <c r="B83" t="s">
        <v>478</v>
      </c>
      <c r="C83" s="53">
        <v>0</v>
      </c>
      <c r="D83" s="53">
        <v>0</v>
      </c>
      <c r="E83" s="53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53">
        <v>0</v>
      </c>
      <c r="L83" s="116">
        <v>0</v>
      </c>
      <c r="M83" s="116">
        <v>0</v>
      </c>
      <c r="N83" s="116">
        <v>0</v>
      </c>
      <c r="O83" s="116">
        <v>0</v>
      </c>
      <c r="P83" s="79">
        <f t="shared" si="6"/>
        <v>0</v>
      </c>
    </row>
    <row r="84" spans="2:16">
      <c r="B84" t="s">
        <v>4266</v>
      </c>
      <c r="C84" s="53">
        <v>0</v>
      </c>
      <c r="D84" s="53">
        <v>0</v>
      </c>
      <c r="E84" s="53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53">
        <v>0</v>
      </c>
      <c r="L84" s="116">
        <v>0</v>
      </c>
      <c r="M84" s="116">
        <v>0</v>
      </c>
      <c r="N84" s="116">
        <v>0</v>
      </c>
      <c r="O84" s="116">
        <v>0</v>
      </c>
      <c r="P84" s="79">
        <f t="shared" si="6"/>
        <v>0</v>
      </c>
    </row>
    <row r="85" spans="2:16">
      <c r="B85" t="s">
        <v>4279</v>
      </c>
      <c r="C85" s="53">
        <v>0</v>
      </c>
      <c r="D85" s="53">
        <v>0</v>
      </c>
      <c r="E85" s="53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53">
        <v>0</v>
      </c>
      <c r="L85" s="116">
        <v>0</v>
      </c>
      <c r="M85" s="116">
        <v>0</v>
      </c>
      <c r="N85" s="116">
        <v>0</v>
      </c>
      <c r="O85" s="116">
        <v>0</v>
      </c>
      <c r="P85" s="79">
        <f t="shared" si="6"/>
        <v>0</v>
      </c>
    </row>
    <row r="86" spans="2:16">
      <c r="B86" t="s">
        <v>300</v>
      </c>
      <c r="C86" s="53">
        <v>0</v>
      </c>
      <c r="D86" s="53">
        <v>0</v>
      </c>
      <c r="E86" s="53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53">
        <v>0</v>
      </c>
      <c r="L86" s="116">
        <v>0</v>
      </c>
      <c r="M86" s="116">
        <v>0</v>
      </c>
      <c r="N86" s="116">
        <v>0</v>
      </c>
      <c r="O86" s="116">
        <v>0</v>
      </c>
      <c r="P86" s="79">
        <f t="shared" si="6"/>
        <v>0</v>
      </c>
    </row>
    <row r="87" spans="2:16">
      <c r="B87" t="s">
        <v>301</v>
      </c>
      <c r="C87" s="53">
        <v>0</v>
      </c>
      <c r="D87" s="53">
        <v>0</v>
      </c>
      <c r="E87" s="53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53">
        <v>0</v>
      </c>
      <c r="L87" s="116">
        <v>0</v>
      </c>
      <c r="M87" s="116">
        <v>0</v>
      </c>
      <c r="N87" s="116">
        <v>0</v>
      </c>
      <c r="O87" s="116">
        <v>0</v>
      </c>
      <c r="P87" s="79">
        <f t="shared" si="6"/>
        <v>0</v>
      </c>
    </row>
    <row r="88" spans="2:16">
      <c r="B88" t="s">
        <v>7156</v>
      </c>
      <c r="C88" s="53">
        <v>0</v>
      </c>
      <c r="D88" s="53">
        <v>0</v>
      </c>
      <c r="E88" s="53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53">
        <v>0</v>
      </c>
      <c r="L88" s="116">
        <v>0</v>
      </c>
      <c r="M88" s="116">
        <v>0</v>
      </c>
      <c r="N88" s="116">
        <v>0</v>
      </c>
      <c r="O88" s="116">
        <v>0</v>
      </c>
      <c r="P88" s="79">
        <f t="shared" ref="P88" si="8">SUM(C88:O88)</f>
        <v>0</v>
      </c>
    </row>
    <row r="89" spans="2:16">
      <c r="B89" s="128" t="s">
        <v>496</v>
      </c>
      <c r="C89" s="53">
        <v>1250000</v>
      </c>
      <c r="D89" s="53">
        <v>0</v>
      </c>
      <c r="E89" s="53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-1250000</v>
      </c>
      <c r="K89" s="53">
        <v>0</v>
      </c>
      <c r="L89" s="116">
        <v>0</v>
      </c>
      <c r="M89" s="116">
        <v>0</v>
      </c>
      <c r="N89" s="116">
        <v>0</v>
      </c>
      <c r="O89" s="116">
        <v>0</v>
      </c>
      <c r="P89" s="127">
        <f t="shared" si="6"/>
        <v>0</v>
      </c>
    </row>
    <row r="90" spans="2:16">
      <c r="B90" s="128" t="s">
        <v>349</v>
      </c>
      <c r="C90" s="53">
        <v>0</v>
      </c>
      <c r="D90" s="53">
        <v>0</v>
      </c>
      <c r="E90" s="53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53">
        <v>0</v>
      </c>
      <c r="L90" s="116">
        <v>0</v>
      </c>
      <c r="M90" s="116">
        <v>0</v>
      </c>
      <c r="N90" s="116">
        <v>0</v>
      </c>
      <c r="O90" s="116">
        <v>0</v>
      </c>
      <c r="P90" s="127">
        <f t="shared" si="6"/>
        <v>0</v>
      </c>
    </row>
    <row r="91" spans="2:16">
      <c r="B91" s="128" t="s">
        <v>4267</v>
      </c>
      <c r="C91" s="53">
        <v>0</v>
      </c>
      <c r="D91" s="53">
        <v>0</v>
      </c>
      <c r="E91" s="53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53">
        <v>0</v>
      </c>
      <c r="L91" s="116">
        <v>0</v>
      </c>
      <c r="M91" s="116">
        <v>0</v>
      </c>
      <c r="N91" s="116">
        <v>0</v>
      </c>
      <c r="O91" s="116">
        <v>0</v>
      </c>
      <c r="P91" s="127">
        <f t="shared" si="6"/>
        <v>0</v>
      </c>
    </row>
    <row r="92" spans="2:16">
      <c r="B92" s="128" t="s">
        <v>348</v>
      </c>
      <c r="C92" s="53">
        <v>0</v>
      </c>
      <c r="D92" s="53">
        <v>0</v>
      </c>
      <c r="E92" s="53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53">
        <v>0</v>
      </c>
      <c r="L92" s="116">
        <v>0</v>
      </c>
      <c r="M92" s="116">
        <v>0</v>
      </c>
      <c r="N92" s="116">
        <v>0</v>
      </c>
      <c r="O92" s="116">
        <v>0</v>
      </c>
      <c r="P92" s="127">
        <f t="shared" si="6"/>
        <v>0</v>
      </c>
    </row>
    <row r="93" spans="2:16">
      <c r="B93" s="128" t="s">
        <v>479</v>
      </c>
      <c r="C93" s="53">
        <v>0</v>
      </c>
      <c r="D93" s="53">
        <v>0</v>
      </c>
      <c r="E93" s="53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53">
        <v>0</v>
      </c>
      <c r="L93" s="116">
        <v>0</v>
      </c>
      <c r="M93" s="116">
        <v>0</v>
      </c>
      <c r="N93" s="116">
        <v>0</v>
      </c>
      <c r="O93" s="116">
        <v>0</v>
      </c>
      <c r="P93" s="127">
        <f t="shared" si="6"/>
        <v>0</v>
      </c>
    </row>
    <row r="94" spans="2:16">
      <c r="B94" s="128" t="s">
        <v>483</v>
      </c>
      <c r="C94" s="53">
        <v>0</v>
      </c>
      <c r="D94" s="53">
        <v>0</v>
      </c>
      <c r="E94" s="53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53">
        <v>0</v>
      </c>
      <c r="L94" s="116">
        <v>0</v>
      </c>
      <c r="M94" s="116">
        <v>0</v>
      </c>
      <c r="N94" s="116">
        <v>0</v>
      </c>
      <c r="O94" s="116">
        <v>0</v>
      </c>
      <c r="P94" s="127">
        <f t="shared" si="6"/>
        <v>0</v>
      </c>
    </row>
    <row r="95" spans="2:16">
      <c r="B95" s="128" t="s">
        <v>480</v>
      </c>
      <c r="C95" s="53">
        <v>0</v>
      </c>
      <c r="D95" s="53">
        <v>0</v>
      </c>
      <c r="E95" s="53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53">
        <v>0</v>
      </c>
      <c r="L95" s="116">
        <v>0</v>
      </c>
      <c r="M95" s="116">
        <v>0</v>
      </c>
      <c r="N95" s="116">
        <v>0</v>
      </c>
      <c r="O95" s="116">
        <v>0</v>
      </c>
      <c r="P95" s="127">
        <f t="shared" si="6"/>
        <v>0</v>
      </c>
    </row>
    <row r="96" spans="2:16">
      <c r="B96" s="128" t="s">
        <v>4268</v>
      </c>
      <c r="C96" s="53">
        <v>0</v>
      </c>
      <c r="D96" s="53">
        <v>0</v>
      </c>
      <c r="E96" s="53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53">
        <v>0</v>
      </c>
      <c r="L96" s="116">
        <v>0</v>
      </c>
      <c r="M96" s="116">
        <v>0</v>
      </c>
      <c r="N96" s="116">
        <v>0</v>
      </c>
      <c r="O96" s="116">
        <v>0</v>
      </c>
      <c r="P96" s="127">
        <f t="shared" si="6"/>
        <v>0</v>
      </c>
    </row>
    <row r="97" spans="2:16">
      <c r="B97" s="128" t="s">
        <v>4280</v>
      </c>
      <c r="C97" s="53">
        <v>0</v>
      </c>
      <c r="D97" s="53">
        <v>0</v>
      </c>
      <c r="E97" s="53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53">
        <v>0</v>
      </c>
      <c r="L97" s="116">
        <v>0</v>
      </c>
      <c r="M97" s="116">
        <v>0</v>
      </c>
      <c r="N97" s="116">
        <v>0</v>
      </c>
      <c r="O97" s="116">
        <v>0</v>
      </c>
      <c r="P97" s="127">
        <f t="shared" si="6"/>
        <v>0</v>
      </c>
    </row>
    <row r="98" spans="2:16">
      <c r="B98" s="128" t="s">
        <v>481</v>
      </c>
      <c r="C98" s="53">
        <v>0</v>
      </c>
      <c r="D98" s="53">
        <v>0</v>
      </c>
      <c r="E98" s="53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53">
        <v>0</v>
      </c>
      <c r="L98" s="116">
        <v>0</v>
      </c>
      <c r="M98" s="116">
        <v>0</v>
      </c>
      <c r="N98" s="116">
        <v>0</v>
      </c>
      <c r="O98" s="116">
        <v>0</v>
      </c>
      <c r="P98" s="127">
        <f t="shared" si="6"/>
        <v>0</v>
      </c>
    </row>
    <row r="99" spans="2:16">
      <c r="B99" s="128" t="s">
        <v>482</v>
      </c>
      <c r="C99" s="53">
        <v>0</v>
      </c>
      <c r="D99" s="53">
        <v>0</v>
      </c>
      <c r="E99" s="53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53">
        <v>0</v>
      </c>
      <c r="L99" s="116">
        <v>0</v>
      </c>
      <c r="M99" s="116">
        <v>0</v>
      </c>
      <c r="N99" s="116">
        <v>0</v>
      </c>
      <c r="O99" s="116">
        <v>0</v>
      </c>
      <c r="P99" s="127">
        <f t="shared" si="6"/>
        <v>0</v>
      </c>
    </row>
    <row r="100" spans="2:16">
      <c r="B100" t="s">
        <v>7157</v>
      </c>
      <c r="C100" s="53">
        <v>0</v>
      </c>
      <c r="D100" s="53">
        <v>0</v>
      </c>
      <c r="E100" s="53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53">
        <v>0</v>
      </c>
      <c r="L100" s="116">
        <v>0</v>
      </c>
      <c r="M100" s="116">
        <v>0</v>
      </c>
      <c r="N100" s="116">
        <v>0</v>
      </c>
      <c r="O100" s="116">
        <v>0</v>
      </c>
      <c r="P100" s="79">
        <f t="shared" ref="P100" si="9">SUM(C100:O100)</f>
        <v>0</v>
      </c>
    </row>
    <row r="101" spans="2:16">
      <c r="B101" s="128" t="s">
        <v>4292</v>
      </c>
      <c r="C101" s="53">
        <v>0</v>
      </c>
      <c r="D101" s="53">
        <v>1900000000</v>
      </c>
      <c r="E101" s="53">
        <v>0</v>
      </c>
      <c r="F101" s="116">
        <v>0</v>
      </c>
      <c r="G101" s="116">
        <v>0</v>
      </c>
      <c r="H101" s="116">
        <v>0</v>
      </c>
      <c r="I101" s="116">
        <v>0</v>
      </c>
      <c r="J101" s="116">
        <v>0</v>
      </c>
      <c r="K101" s="53">
        <v>-1900000000</v>
      </c>
      <c r="L101" s="116">
        <v>0</v>
      </c>
      <c r="M101" s="116">
        <v>0</v>
      </c>
      <c r="N101" s="116">
        <v>0</v>
      </c>
      <c r="O101" s="116">
        <v>0</v>
      </c>
      <c r="P101" s="127">
        <f t="shared" ref="P101:P111" si="10">SUM(C101:O101)</f>
        <v>0</v>
      </c>
    </row>
    <row r="102" spans="2:16">
      <c r="B102" s="128" t="s">
        <v>4293</v>
      </c>
      <c r="C102" s="53">
        <v>0</v>
      </c>
      <c r="D102" s="53">
        <v>0</v>
      </c>
      <c r="E102" s="53">
        <v>4228150000</v>
      </c>
      <c r="F102" s="116">
        <v>0</v>
      </c>
      <c r="G102" s="116">
        <v>0</v>
      </c>
      <c r="H102" s="116">
        <v>0</v>
      </c>
      <c r="I102" s="116">
        <v>0</v>
      </c>
      <c r="J102" s="116">
        <v>0</v>
      </c>
      <c r="K102" s="53">
        <v>-4228150000</v>
      </c>
      <c r="L102" s="116">
        <v>0</v>
      </c>
      <c r="M102" s="116">
        <v>0</v>
      </c>
      <c r="N102" s="116">
        <v>0</v>
      </c>
      <c r="O102" s="116">
        <v>0</v>
      </c>
      <c r="P102" s="127">
        <f t="shared" si="10"/>
        <v>0</v>
      </c>
    </row>
    <row r="103" spans="2:16">
      <c r="B103" s="128" t="s">
        <v>4294</v>
      </c>
      <c r="C103" s="53">
        <v>0</v>
      </c>
      <c r="D103" s="53">
        <v>0</v>
      </c>
      <c r="E103" s="53">
        <v>0</v>
      </c>
      <c r="F103" s="116">
        <v>500000000</v>
      </c>
      <c r="G103" s="116">
        <v>0</v>
      </c>
      <c r="H103" s="116">
        <v>0</v>
      </c>
      <c r="I103" s="116">
        <v>0</v>
      </c>
      <c r="J103" s="116">
        <v>0</v>
      </c>
      <c r="K103" s="53">
        <v>-500000000</v>
      </c>
      <c r="L103" s="116">
        <v>0</v>
      </c>
      <c r="M103" s="116">
        <v>0</v>
      </c>
      <c r="N103" s="116">
        <v>0</v>
      </c>
      <c r="O103" s="116">
        <v>0</v>
      </c>
      <c r="P103" s="127">
        <f t="shared" si="10"/>
        <v>0</v>
      </c>
    </row>
    <row r="104" spans="2:16">
      <c r="B104" s="128" t="s">
        <v>4295</v>
      </c>
      <c r="C104" s="53">
        <v>0</v>
      </c>
      <c r="D104" s="53">
        <v>0</v>
      </c>
      <c r="E104" s="53">
        <v>0</v>
      </c>
      <c r="F104" s="116">
        <v>0</v>
      </c>
      <c r="G104" s="116">
        <v>0</v>
      </c>
      <c r="H104" s="116">
        <v>0</v>
      </c>
      <c r="I104" s="116">
        <v>0</v>
      </c>
      <c r="J104" s="116">
        <v>0</v>
      </c>
      <c r="K104" s="53">
        <v>0</v>
      </c>
      <c r="L104" s="116">
        <v>0</v>
      </c>
      <c r="M104" s="116">
        <v>0</v>
      </c>
      <c r="N104" s="116">
        <v>0</v>
      </c>
      <c r="O104" s="116">
        <v>0</v>
      </c>
      <c r="P104" s="127">
        <f t="shared" si="10"/>
        <v>0</v>
      </c>
    </row>
    <row r="105" spans="2:16">
      <c r="B105" s="128" t="s">
        <v>4296</v>
      </c>
      <c r="C105" s="53">
        <v>0</v>
      </c>
      <c r="D105" s="53">
        <v>0</v>
      </c>
      <c r="E105" s="53">
        <v>0</v>
      </c>
      <c r="F105" s="116">
        <v>0</v>
      </c>
      <c r="G105" s="116">
        <v>0</v>
      </c>
      <c r="H105" s="116">
        <v>0</v>
      </c>
      <c r="I105" s="116">
        <v>0</v>
      </c>
      <c r="J105" s="116">
        <v>0</v>
      </c>
      <c r="K105" s="53">
        <v>0</v>
      </c>
      <c r="L105" s="116">
        <v>0</v>
      </c>
      <c r="M105" s="116">
        <v>0</v>
      </c>
      <c r="N105" s="116">
        <v>0</v>
      </c>
      <c r="O105" s="116">
        <v>0</v>
      </c>
      <c r="P105" s="127">
        <f t="shared" si="10"/>
        <v>0</v>
      </c>
    </row>
    <row r="106" spans="2:16">
      <c r="B106" s="128" t="s">
        <v>4297</v>
      </c>
      <c r="C106" s="53">
        <v>0</v>
      </c>
      <c r="D106" s="53">
        <v>0</v>
      </c>
      <c r="E106" s="53">
        <v>0</v>
      </c>
      <c r="F106" s="116">
        <v>0</v>
      </c>
      <c r="G106" s="116">
        <v>0</v>
      </c>
      <c r="H106" s="116">
        <v>0</v>
      </c>
      <c r="I106" s="116">
        <v>0</v>
      </c>
      <c r="J106" s="116">
        <v>0</v>
      </c>
      <c r="K106" s="53">
        <v>0</v>
      </c>
      <c r="L106" s="116">
        <v>0</v>
      </c>
      <c r="M106" s="116">
        <v>0</v>
      </c>
      <c r="N106" s="116">
        <v>0</v>
      </c>
      <c r="O106" s="116">
        <v>0</v>
      </c>
      <c r="P106" s="127">
        <f t="shared" si="10"/>
        <v>0</v>
      </c>
    </row>
    <row r="107" spans="2:16">
      <c r="B107" s="128" t="s">
        <v>4298</v>
      </c>
      <c r="C107" s="53">
        <v>0</v>
      </c>
      <c r="D107" s="53">
        <v>0</v>
      </c>
      <c r="E107" s="53">
        <v>0</v>
      </c>
      <c r="F107" s="116">
        <v>0</v>
      </c>
      <c r="G107" s="116">
        <v>0</v>
      </c>
      <c r="H107" s="116">
        <v>0</v>
      </c>
      <c r="I107" s="116">
        <v>0</v>
      </c>
      <c r="J107" s="116">
        <v>0</v>
      </c>
      <c r="K107" s="53">
        <v>0</v>
      </c>
      <c r="L107" s="116">
        <v>0</v>
      </c>
      <c r="M107" s="116">
        <v>0</v>
      </c>
      <c r="N107" s="116">
        <v>0</v>
      </c>
      <c r="O107" s="116">
        <v>0</v>
      </c>
      <c r="P107" s="127">
        <f t="shared" si="10"/>
        <v>0</v>
      </c>
    </row>
    <row r="108" spans="2:16">
      <c r="B108" s="128" t="s">
        <v>4299</v>
      </c>
      <c r="C108" s="53">
        <v>0</v>
      </c>
      <c r="D108" s="53">
        <v>0</v>
      </c>
      <c r="E108" s="53">
        <v>0</v>
      </c>
      <c r="F108" s="116">
        <v>0</v>
      </c>
      <c r="G108" s="116">
        <v>0</v>
      </c>
      <c r="H108" s="116">
        <v>0</v>
      </c>
      <c r="I108" s="116">
        <v>0</v>
      </c>
      <c r="J108" s="116">
        <v>0</v>
      </c>
      <c r="K108" s="53">
        <v>0</v>
      </c>
      <c r="L108" s="116">
        <v>0</v>
      </c>
      <c r="M108" s="116">
        <v>0</v>
      </c>
      <c r="N108" s="116">
        <v>0</v>
      </c>
      <c r="O108" s="116">
        <v>0</v>
      </c>
      <c r="P108" s="127">
        <f t="shared" si="10"/>
        <v>0</v>
      </c>
    </row>
    <row r="109" spans="2:16">
      <c r="B109" s="128" t="s">
        <v>4300</v>
      </c>
      <c r="C109" s="53">
        <v>0</v>
      </c>
      <c r="D109" s="53">
        <v>0</v>
      </c>
      <c r="E109" s="53">
        <v>0</v>
      </c>
      <c r="F109" s="116">
        <v>0</v>
      </c>
      <c r="G109" s="116">
        <v>0</v>
      </c>
      <c r="H109" s="116">
        <v>0</v>
      </c>
      <c r="I109" s="116">
        <v>0</v>
      </c>
      <c r="J109" s="116">
        <v>0</v>
      </c>
      <c r="K109" s="53">
        <v>0</v>
      </c>
      <c r="L109" s="116">
        <v>0</v>
      </c>
      <c r="M109" s="116">
        <v>0</v>
      </c>
      <c r="N109" s="116">
        <v>0</v>
      </c>
      <c r="O109" s="116">
        <v>0</v>
      </c>
      <c r="P109" s="127">
        <f t="shared" si="10"/>
        <v>0</v>
      </c>
    </row>
    <row r="110" spans="2:16">
      <c r="B110" s="128" t="s">
        <v>4301</v>
      </c>
      <c r="C110" s="53">
        <v>0</v>
      </c>
      <c r="D110" s="53">
        <v>0</v>
      </c>
      <c r="E110" s="53">
        <v>0</v>
      </c>
      <c r="F110" s="116">
        <v>0</v>
      </c>
      <c r="G110" s="116">
        <v>0</v>
      </c>
      <c r="H110" s="116">
        <v>0</v>
      </c>
      <c r="I110" s="116">
        <v>0</v>
      </c>
      <c r="J110" s="116">
        <v>0</v>
      </c>
      <c r="K110" s="53">
        <v>0</v>
      </c>
      <c r="L110" s="116">
        <v>0</v>
      </c>
      <c r="M110" s="116">
        <v>0</v>
      </c>
      <c r="N110" s="116">
        <v>0</v>
      </c>
      <c r="O110" s="116">
        <v>0</v>
      </c>
      <c r="P110" s="127">
        <f t="shared" si="10"/>
        <v>0</v>
      </c>
    </row>
    <row r="111" spans="2:16">
      <c r="B111" s="128" t="s">
        <v>4302</v>
      </c>
      <c r="C111" s="53">
        <v>0</v>
      </c>
      <c r="D111" s="53">
        <v>0</v>
      </c>
      <c r="E111" s="53">
        <v>0</v>
      </c>
      <c r="F111" s="116">
        <v>0</v>
      </c>
      <c r="G111" s="116">
        <v>0</v>
      </c>
      <c r="H111" s="116">
        <v>0</v>
      </c>
      <c r="I111" s="116">
        <v>0</v>
      </c>
      <c r="J111" s="116">
        <v>0</v>
      </c>
      <c r="K111" s="53">
        <v>-17990922</v>
      </c>
      <c r="L111" s="116">
        <v>0</v>
      </c>
      <c r="M111" s="116">
        <v>0</v>
      </c>
      <c r="N111" s="116">
        <v>17990922</v>
      </c>
      <c r="O111" s="116">
        <v>0</v>
      </c>
      <c r="P111" s="127">
        <f t="shared" si="10"/>
        <v>0</v>
      </c>
    </row>
    <row r="112" spans="2:16">
      <c r="B112" t="s">
        <v>7158</v>
      </c>
      <c r="C112" s="53">
        <v>0</v>
      </c>
      <c r="D112" s="53">
        <v>0</v>
      </c>
      <c r="E112" s="53">
        <v>0</v>
      </c>
      <c r="F112" s="116">
        <v>0</v>
      </c>
      <c r="G112" s="116">
        <v>0</v>
      </c>
      <c r="H112" s="116">
        <v>0</v>
      </c>
      <c r="I112" s="116">
        <v>0</v>
      </c>
      <c r="J112" s="116">
        <v>0</v>
      </c>
      <c r="K112" s="53">
        <v>0</v>
      </c>
      <c r="L112" s="116">
        <v>0</v>
      </c>
      <c r="M112" s="116">
        <v>0</v>
      </c>
      <c r="N112" s="116">
        <v>0</v>
      </c>
      <c r="O112" s="116">
        <v>0</v>
      </c>
      <c r="P112" s="79">
        <f t="shared" ref="P112" si="11">SUM(C112:O112)</f>
        <v>0</v>
      </c>
    </row>
    <row r="113" spans="2:16">
      <c r="B113" t="s">
        <v>4281</v>
      </c>
      <c r="C113" s="53">
        <v>0</v>
      </c>
      <c r="D113" s="53">
        <v>0</v>
      </c>
      <c r="E113" s="53">
        <v>0</v>
      </c>
      <c r="F113" s="116">
        <v>0</v>
      </c>
      <c r="G113" s="116">
        <v>0</v>
      </c>
      <c r="H113" s="116">
        <v>0</v>
      </c>
      <c r="I113" s="116">
        <v>0</v>
      </c>
      <c r="J113" s="116">
        <v>0</v>
      </c>
      <c r="K113" s="53">
        <v>0</v>
      </c>
      <c r="L113" s="116">
        <v>0</v>
      </c>
      <c r="M113" s="116">
        <v>0</v>
      </c>
      <c r="N113" s="116">
        <v>0</v>
      </c>
      <c r="O113" s="116">
        <v>0</v>
      </c>
      <c r="P113" s="79">
        <f t="shared" ref="P113:P148" si="12">SUM(C113:O113)</f>
        <v>0</v>
      </c>
    </row>
    <row r="114" spans="2:16">
      <c r="B114" t="s">
        <v>4237</v>
      </c>
      <c r="C114" s="53">
        <v>0</v>
      </c>
      <c r="D114" s="53">
        <v>650000000</v>
      </c>
      <c r="E114" s="53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53">
        <v>0</v>
      </c>
      <c r="L114" s="116">
        <v>-650000000</v>
      </c>
      <c r="M114" s="116">
        <v>0</v>
      </c>
      <c r="N114" s="116">
        <v>0</v>
      </c>
      <c r="O114" s="116">
        <v>0</v>
      </c>
      <c r="P114" s="79">
        <f t="shared" si="12"/>
        <v>0</v>
      </c>
    </row>
    <row r="115" spans="2:16">
      <c r="B115" t="s">
        <v>4244</v>
      </c>
      <c r="C115" s="53">
        <v>0</v>
      </c>
      <c r="D115" s="53">
        <v>0</v>
      </c>
      <c r="E115" s="53">
        <v>500000000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53">
        <v>0</v>
      </c>
      <c r="L115" s="116">
        <v>-500000000</v>
      </c>
      <c r="M115" s="116">
        <v>0</v>
      </c>
      <c r="N115" s="116">
        <v>0</v>
      </c>
      <c r="O115" s="116">
        <v>0</v>
      </c>
      <c r="P115" s="79">
        <f t="shared" si="12"/>
        <v>0</v>
      </c>
    </row>
    <row r="116" spans="2:16">
      <c r="B116" t="s">
        <v>4282</v>
      </c>
      <c r="C116" s="53">
        <v>0</v>
      </c>
      <c r="D116" s="53">
        <v>0</v>
      </c>
      <c r="E116" s="53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53">
        <v>0</v>
      </c>
      <c r="L116" s="116">
        <v>0</v>
      </c>
      <c r="M116" s="116">
        <v>0</v>
      </c>
      <c r="N116" s="116">
        <v>0</v>
      </c>
      <c r="O116" s="116">
        <v>0</v>
      </c>
      <c r="P116" s="79">
        <f t="shared" si="12"/>
        <v>0</v>
      </c>
    </row>
    <row r="117" spans="2:16">
      <c r="B117" t="s">
        <v>4283</v>
      </c>
      <c r="C117" s="53">
        <v>0</v>
      </c>
      <c r="D117" s="53">
        <v>0</v>
      </c>
      <c r="E117" s="53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53">
        <v>0</v>
      </c>
      <c r="L117" s="116">
        <v>0</v>
      </c>
      <c r="M117" s="116">
        <v>0</v>
      </c>
      <c r="N117" s="116">
        <v>0</v>
      </c>
      <c r="O117" s="116">
        <v>0</v>
      </c>
      <c r="P117" s="79">
        <f t="shared" si="12"/>
        <v>0</v>
      </c>
    </row>
    <row r="118" spans="2:16">
      <c r="B118" t="s">
        <v>4284</v>
      </c>
      <c r="C118" s="53">
        <v>0</v>
      </c>
      <c r="D118" s="53">
        <v>0</v>
      </c>
      <c r="E118" s="53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53">
        <v>0</v>
      </c>
      <c r="L118" s="116">
        <v>0</v>
      </c>
      <c r="M118" s="116">
        <v>0</v>
      </c>
      <c r="N118" s="116">
        <v>0</v>
      </c>
      <c r="O118" s="116">
        <v>0</v>
      </c>
      <c r="P118" s="79">
        <f t="shared" si="12"/>
        <v>0</v>
      </c>
    </row>
    <row r="119" spans="2:16">
      <c r="B119" t="s">
        <v>4285</v>
      </c>
      <c r="C119" s="53">
        <v>0</v>
      </c>
      <c r="D119" s="53">
        <v>0</v>
      </c>
      <c r="E119" s="53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53">
        <v>0</v>
      </c>
      <c r="L119" s="116">
        <v>0</v>
      </c>
      <c r="M119" s="116">
        <v>0</v>
      </c>
      <c r="N119" s="116">
        <v>0</v>
      </c>
      <c r="O119" s="116">
        <v>0</v>
      </c>
      <c r="P119" s="79">
        <f t="shared" si="12"/>
        <v>0</v>
      </c>
    </row>
    <row r="120" spans="2:16">
      <c r="B120" t="s">
        <v>4286</v>
      </c>
      <c r="C120" s="53">
        <v>0</v>
      </c>
      <c r="D120" s="53">
        <v>0</v>
      </c>
      <c r="E120" s="53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53">
        <v>0</v>
      </c>
      <c r="L120" s="116">
        <v>0</v>
      </c>
      <c r="M120" s="116">
        <v>0</v>
      </c>
      <c r="N120" s="116">
        <v>0</v>
      </c>
      <c r="O120" s="116">
        <v>0</v>
      </c>
      <c r="P120" s="79">
        <f t="shared" si="12"/>
        <v>0</v>
      </c>
    </row>
    <row r="121" spans="2:16">
      <c r="B121" t="s">
        <v>4287</v>
      </c>
      <c r="C121" s="53">
        <v>0</v>
      </c>
      <c r="D121" s="53">
        <v>0</v>
      </c>
      <c r="E121" s="53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53">
        <v>0</v>
      </c>
      <c r="L121" s="116">
        <v>0</v>
      </c>
      <c r="M121" s="116">
        <v>0</v>
      </c>
      <c r="N121" s="116">
        <v>0</v>
      </c>
      <c r="O121" s="116">
        <v>0</v>
      </c>
      <c r="P121" s="79">
        <f t="shared" si="12"/>
        <v>0</v>
      </c>
    </row>
    <row r="122" spans="2:16">
      <c r="B122" t="s">
        <v>4288</v>
      </c>
      <c r="C122" s="53">
        <v>0</v>
      </c>
      <c r="D122" s="53">
        <v>0</v>
      </c>
      <c r="E122" s="53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53">
        <v>0</v>
      </c>
      <c r="L122" s="116">
        <v>0</v>
      </c>
      <c r="M122" s="116">
        <v>0</v>
      </c>
      <c r="N122" s="116">
        <v>0</v>
      </c>
      <c r="O122" s="116">
        <v>0</v>
      </c>
      <c r="P122" s="79">
        <f t="shared" si="12"/>
        <v>0</v>
      </c>
    </row>
    <row r="123" spans="2:16">
      <c r="B123" t="s">
        <v>4289</v>
      </c>
      <c r="C123" s="53">
        <v>0</v>
      </c>
      <c r="D123" s="53">
        <v>0</v>
      </c>
      <c r="E123" s="53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53">
        <v>0</v>
      </c>
      <c r="L123" s="116">
        <v>0</v>
      </c>
      <c r="M123" s="116">
        <v>0</v>
      </c>
      <c r="N123" s="116">
        <v>0</v>
      </c>
      <c r="O123" s="116">
        <v>0</v>
      </c>
      <c r="P123" s="79">
        <f t="shared" si="12"/>
        <v>0</v>
      </c>
    </row>
    <row r="124" spans="2:16">
      <c r="B124" t="s">
        <v>7159</v>
      </c>
      <c r="C124" s="53">
        <v>0</v>
      </c>
      <c r="D124" s="53">
        <v>0</v>
      </c>
      <c r="E124" s="53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53">
        <v>0</v>
      </c>
      <c r="L124" s="116">
        <v>0</v>
      </c>
      <c r="M124" s="116">
        <v>0</v>
      </c>
      <c r="N124" s="116">
        <v>0</v>
      </c>
      <c r="O124" s="116">
        <v>0</v>
      </c>
      <c r="P124" s="79">
        <f t="shared" ref="P124" si="13">SUM(C124:O124)</f>
        <v>0</v>
      </c>
    </row>
    <row r="125" spans="2:16">
      <c r="B125" s="128" t="s">
        <v>497</v>
      </c>
      <c r="C125" s="51">
        <v>1090000</v>
      </c>
      <c r="D125" s="51">
        <v>0</v>
      </c>
      <c r="E125" s="51">
        <v>0</v>
      </c>
      <c r="F125" s="130">
        <v>0</v>
      </c>
      <c r="G125" s="130">
        <v>0</v>
      </c>
      <c r="H125" s="130">
        <v>0</v>
      </c>
      <c r="I125" s="130">
        <v>0</v>
      </c>
      <c r="J125" s="130">
        <v>0</v>
      </c>
      <c r="K125" s="51">
        <v>0</v>
      </c>
      <c r="L125" s="130">
        <v>0</v>
      </c>
      <c r="M125" s="130">
        <v>-1090000</v>
      </c>
      <c r="N125" s="130">
        <v>0</v>
      </c>
      <c r="O125" s="130">
        <v>0</v>
      </c>
      <c r="P125" s="127">
        <f t="shared" si="12"/>
        <v>0</v>
      </c>
    </row>
    <row r="126" spans="2:16">
      <c r="B126" s="128" t="s">
        <v>377</v>
      </c>
      <c r="C126" s="51">
        <v>0</v>
      </c>
      <c r="D126" s="51">
        <v>56841</v>
      </c>
      <c r="E126" s="51">
        <v>0</v>
      </c>
      <c r="F126" s="130">
        <v>0</v>
      </c>
      <c r="G126" s="130">
        <v>0</v>
      </c>
      <c r="H126" s="130">
        <v>0</v>
      </c>
      <c r="I126" s="130">
        <v>0</v>
      </c>
      <c r="J126" s="130">
        <v>0</v>
      </c>
      <c r="K126" s="51">
        <v>0</v>
      </c>
      <c r="L126" s="130">
        <v>0</v>
      </c>
      <c r="M126" s="130">
        <v>-56841</v>
      </c>
      <c r="N126" s="130">
        <v>0</v>
      </c>
      <c r="O126" s="130">
        <v>0</v>
      </c>
      <c r="P126" s="127">
        <f t="shared" si="12"/>
        <v>0</v>
      </c>
    </row>
    <row r="127" spans="2:16">
      <c r="B127" s="128" t="s">
        <v>4269</v>
      </c>
      <c r="C127" s="51">
        <v>0</v>
      </c>
      <c r="D127" s="51">
        <v>0</v>
      </c>
      <c r="E127" s="51">
        <v>0</v>
      </c>
      <c r="F127" s="130">
        <v>0</v>
      </c>
      <c r="G127" s="130">
        <v>0</v>
      </c>
      <c r="H127" s="130">
        <v>0</v>
      </c>
      <c r="I127" s="130">
        <v>0</v>
      </c>
      <c r="J127" s="130">
        <v>0</v>
      </c>
      <c r="K127" s="51">
        <v>0</v>
      </c>
      <c r="L127" s="130">
        <v>0</v>
      </c>
      <c r="M127" s="130">
        <v>0</v>
      </c>
      <c r="N127" s="130">
        <v>0</v>
      </c>
      <c r="O127" s="130">
        <v>0</v>
      </c>
      <c r="P127" s="127">
        <f t="shared" si="12"/>
        <v>0</v>
      </c>
    </row>
    <row r="128" spans="2:16">
      <c r="B128" s="128" t="s">
        <v>472</v>
      </c>
      <c r="C128" s="51">
        <v>0</v>
      </c>
      <c r="D128" s="51">
        <v>0</v>
      </c>
      <c r="E128" s="51">
        <v>0</v>
      </c>
      <c r="F128" s="130">
        <v>0</v>
      </c>
      <c r="G128" s="130">
        <v>0</v>
      </c>
      <c r="H128" s="130">
        <v>0</v>
      </c>
      <c r="I128" s="130">
        <v>0</v>
      </c>
      <c r="J128" s="130">
        <v>0</v>
      </c>
      <c r="K128" s="51">
        <v>0</v>
      </c>
      <c r="L128" s="130">
        <v>0</v>
      </c>
      <c r="M128" s="130">
        <v>0</v>
      </c>
      <c r="N128" s="130">
        <v>0</v>
      </c>
      <c r="O128" s="130">
        <v>0</v>
      </c>
      <c r="P128" s="127">
        <f t="shared" si="12"/>
        <v>0</v>
      </c>
    </row>
    <row r="129" spans="2:16">
      <c r="B129" s="128" t="s">
        <v>162</v>
      </c>
      <c r="C129" s="51">
        <v>0</v>
      </c>
      <c r="D129" s="51">
        <v>0</v>
      </c>
      <c r="E129" s="51">
        <v>0</v>
      </c>
      <c r="F129" s="130">
        <v>0</v>
      </c>
      <c r="G129" s="130">
        <v>0</v>
      </c>
      <c r="H129" s="130">
        <v>0</v>
      </c>
      <c r="I129" s="130">
        <v>0</v>
      </c>
      <c r="J129" s="130">
        <v>0</v>
      </c>
      <c r="K129" s="51">
        <v>0</v>
      </c>
      <c r="L129" s="130">
        <v>0</v>
      </c>
      <c r="M129" s="130">
        <v>0</v>
      </c>
      <c r="N129" s="130">
        <v>0</v>
      </c>
      <c r="O129" s="130">
        <v>0</v>
      </c>
      <c r="P129" s="127">
        <f t="shared" si="12"/>
        <v>0</v>
      </c>
    </row>
    <row r="130" spans="2:16">
      <c r="B130" s="128" t="s">
        <v>284</v>
      </c>
      <c r="C130" s="51">
        <v>0</v>
      </c>
      <c r="D130" s="51">
        <v>0</v>
      </c>
      <c r="E130" s="51">
        <v>0</v>
      </c>
      <c r="F130" s="130">
        <v>0</v>
      </c>
      <c r="G130" s="130">
        <v>0</v>
      </c>
      <c r="H130" s="130">
        <v>0</v>
      </c>
      <c r="I130" s="130">
        <v>0</v>
      </c>
      <c r="J130" s="130">
        <v>0</v>
      </c>
      <c r="K130" s="51">
        <v>0</v>
      </c>
      <c r="L130" s="130">
        <v>0</v>
      </c>
      <c r="M130" s="130">
        <v>0</v>
      </c>
      <c r="N130" s="130">
        <v>0</v>
      </c>
      <c r="O130" s="130">
        <v>0</v>
      </c>
      <c r="P130" s="127">
        <f t="shared" si="12"/>
        <v>0</v>
      </c>
    </row>
    <row r="131" spans="2:16">
      <c r="B131" s="128" t="s">
        <v>296</v>
      </c>
      <c r="C131" s="51">
        <v>0</v>
      </c>
      <c r="D131" s="51">
        <v>0</v>
      </c>
      <c r="E131" s="51">
        <v>0</v>
      </c>
      <c r="F131" s="130">
        <v>0</v>
      </c>
      <c r="G131" s="130">
        <v>0</v>
      </c>
      <c r="H131" s="130">
        <v>0</v>
      </c>
      <c r="I131" s="130">
        <v>0</v>
      </c>
      <c r="J131" s="130">
        <v>0</v>
      </c>
      <c r="K131" s="51">
        <v>0</v>
      </c>
      <c r="L131" s="130">
        <v>0</v>
      </c>
      <c r="M131" s="130">
        <v>0</v>
      </c>
      <c r="N131" s="130">
        <v>0</v>
      </c>
      <c r="O131" s="130">
        <v>0</v>
      </c>
      <c r="P131" s="127">
        <f t="shared" si="12"/>
        <v>0</v>
      </c>
    </row>
    <row r="132" spans="2:16">
      <c r="B132" s="128" t="s">
        <v>484</v>
      </c>
      <c r="C132" s="51">
        <v>0</v>
      </c>
      <c r="D132" s="51">
        <v>0</v>
      </c>
      <c r="E132" s="51">
        <v>0</v>
      </c>
      <c r="F132" s="130">
        <v>0</v>
      </c>
      <c r="G132" s="130">
        <v>0</v>
      </c>
      <c r="H132" s="130">
        <v>0</v>
      </c>
      <c r="I132" s="130">
        <v>0</v>
      </c>
      <c r="J132" s="130">
        <v>0</v>
      </c>
      <c r="K132" s="51">
        <v>0</v>
      </c>
      <c r="L132" s="130">
        <v>0</v>
      </c>
      <c r="M132" s="130">
        <v>0</v>
      </c>
      <c r="N132" s="130">
        <v>0</v>
      </c>
      <c r="O132" s="130">
        <v>0</v>
      </c>
      <c r="P132" s="127">
        <f t="shared" si="12"/>
        <v>0</v>
      </c>
    </row>
    <row r="133" spans="2:16">
      <c r="B133" s="128" t="s">
        <v>4270</v>
      </c>
      <c r="C133" s="51">
        <v>0</v>
      </c>
      <c r="D133" s="51">
        <v>0</v>
      </c>
      <c r="E133" s="51">
        <v>0</v>
      </c>
      <c r="F133" s="130">
        <v>0</v>
      </c>
      <c r="G133" s="130">
        <v>0</v>
      </c>
      <c r="H133" s="130">
        <v>0</v>
      </c>
      <c r="I133" s="130">
        <v>0</v>
      </c>
      <c r="J133" s="130">
        <v>0</v>
      </c>
      <c r="K133" s="51">
        <v>0</v>
      </c>
      <c r="L133" s="130">
        <v>0</v>
      </c>
      <c r="M133" s="130">
        <v>0</v>
      </c>
      <c r="N133" s="130">
        <v>0</v>
      </c>
      <c r="O133" s="130">
        <v>0</v>
      </c>
      <c r="P133" s="127">
        <f t="shared" si="12"/>
        <v>0</v>
      </c>
    </row>
    <row r="134" spans="2:16">
      <c r="B134" s="128" t="s">
        <v>4290</v>
      </c>
      <c r="C134" s="51">
        <v>0</v>
      </c>
      <c r="D134" s="51">
        <v>0</v>
      </c>
      <c r="E134" s="51">
        <v>0</v>
      </c>
      <c r="F134" s="130">
        <v>0</v>
      </c>
      <c r="G134" s="130">
        <v>0</v>
      </c>
      <c r="H134" s="130">
        <v>0</v>
      </c>
      <c r="I134" s="130">
        <v>0</v>
      </c>
      <c r="J134" s="130">
        <v>0</v>
      </c>
      <c r="K134" s="51">
        <v>0</v>
      </c>
      <c r="L134" s="130">
        <v>0</v>
      </c>
      <c r="M134" s="130">
        <v>0</v>
      </c>
      <c r="N134" s="130">
        <v>0</v>
      </c>
      <c r="O134" s="130">
        <v>0</v>
      </c>
      <c r="P134" s="127">
        <f t="shared" si="12"/>
        <v>0</v>
      </c>
    </row>
    <row r="135" spans="2:16">
      <c r="B135" s="128" t="s">
        <v>163</v>
      </c>
      <c r="C135" s="51">
        <v>0</v>
      </c>
      <c r="D135" s="51">
        <v>0</v>
      </c>
      <c r="E135" s="51">
        <v>0</v>
      </c>
      <c r="F135" s="130">
        <v>0</v>
      </c>
      <c r="G135" s="130">
        <v>0</v>
      </c>
      <c r="H135" s="130">
        <v>0</v>
      </c>
      <c r="I135" s="130">
        <v>0</v>
      </c>
      <c r="J135" s="130">
        <v>0</v>
      </c>
      <c r="K135" s="51">
        <v>0</v>
      </c>
      <c r="L135" s="130">
        <v>0</v>
      </c>
      <c r="M135" s="130">
        <v>0</v>
      </c>
      <c r="N135" s="130">
        <v>0</v>
      </c>
      <c r="O135" s="130">
        <v>0</v>
      </c>
      <c r="P135" s="127">
        <f t="shared" si="12"/>
        <v>0</v>
      </c>
    </row>
    <row r="136" spans="2:16">
      <c r="B136" s="126" t="s">
        <v>7160</v>
      </c>
      <c r="C136" s="53">
        <v>0</v>
      </c>
      <c r="D136" s="53">
        <v>0</v>
      </c>
      <c r="E136" s="53">
        <v>0</v>
      </c>
      <c r="F136" s="116">
        <v>0</v>
      </c>
      <c r="G136" s="116">
        <v>0</v>
      </c>
      <c r="H136" s="116">
        <v>0</v>
      </c>
      <c r="I136" s="116">
        <v>0</v>
      </c>
      <c r="J136" s="116">
        <v>0</v>
      </c>
      <c r="K136" s="53">
        <v>0</v>
      </c>
      <c r="L136" s="116">
        <v>0</v>
      </c>
      <c r="M136" s="116">
        <v>0</v>
      </c>
      <c r="N136" s="116">
        <v>0</v>
      </c>
      <c r="O136" s="116">
        <v>0</v>
      </c>
      <c r="P136" s="127">
        <f t="shared" ref="P136" si="14">SUM(C136:O136)</f>
        <v>0</v>
      </c>
    </row>
    <row r="137" spans="2:16">
      <c r="B137" s="80" t="s">
        <v>498</v>
      </c>
      <c r="C137" s="53">
        <v>435373445</v>
      </c>
      <c r="D137" s="53">
        <v>0</v>
      </c>
      <c r="E137" s="53">
        <v>0</v>
      </c>
      <c r="F137" s="116">
        <v>0</v>
      </c>
      <c r="G137" s="116">
        <v>0</v>
      </c>
      <c r="H137" s="116">
        <v>0</v>
      </c>
      <c r="I137" s="116">
        <v>0</v>
      </c>
      <c r="J137" s="116">
        <v>0</v>
      </c>
      <c r="K137" s="53">
        <v>0</v>
      </c>
      <c r="L137" s="116">
        <v>0</v>
      </c>
      <c r="M137" s="116">
        <v>0</v>
      </c>
      <c r="N137" s="116">
        <v>-435373445</v>
      </c>
      <c r="O137" s="116">
        <v>0</v>
      </c>
      <c r="P137" s="79">
        <f t="shared" si="12"/>
        <v>0</v>
      </c>
    </row>
    <row r="138" spans="2:16">
      <c r="B138" s="80" t="s">
        <v>464</v>
      </c>
      <c r="C138" s="53">
        <v>0</v>
      </c>
      <c r="D138" s="53">
        <v>86132268</v>
      </c>
      <c r="E138" s="53">
        <v>0</v>
      </c>
      <c r="F138" s="116">
        <v>0</v>
      </c>
      <c r="G138" s="116">
        <v>0</v>
      </c>
      <c r="H138" s="116">
        <v>0</v>
      </c>
      <c r="I138" s="116">
        <v>0</v>
      </c>
      <c r="J138" s="116">
        <v>0</v>
      </c>
      <c r="K138" s="53">
        <v>0</v>
      </c>
      <c r="L138" s="116">
        <v>0</v>
      </c>
      <c r="M138" s="116">
        <v>0</v>
      </c>
      <c r="N138" s="116">
        <v>-86132268</v>
      </c>
      <c r="O138" s="116">
        <v>0</v>
      </c>
      <c r="P138" s="79">
        <f t="shared" si="12"/>
        <v>0</v>
      </c>
    </row>
    <row r="139" spans="2:16">
      <c r="B139" s="80" t="s">
        <v>4271</v>
      </c>
      <c r="C139" s="53">
        <v>0</v>
      </c>
      <c r="D139" s="53">
        <v>0</v>
      </c>
      <c r="E139" s="53">
        <v>0</v>
      </c>
      <c r="F139" s="116">
        <v>0</v>
      </c>
      <c r="G139" s="116">
        <v>0</v>
      </c>
      <c r="H139" s="116">
        <v>0</v>
      </c>
      <c r="I139" s="116">
        <v>0</v>
      </c>
      <c r="J139" s="116">
        <v>0</v>
      </c>
      <c r="K139" s="53">
        <v>0</v>
      </c>
      <c r="L139" s="116">
        <v>0</v>
      </c>
      <c r="M139" s="116">
        <v>0</v>
      </c>
      <c r="N139" s="116">
        <v>0</v>
      </c>
      <c r="O139" s="116">
        <v>0</v>
      </c>
      <c r="P139" s="79">
        <f t="shared" si="12"/>
        <v>0</v>
      </c>
    </row>
    <row r="140" spans="2:16">
      <c r="B140" s="80" t="s">
        <v>473</v>
      </c>
      <c r="C140" s="53">
        <v>0</v>
      </c>
      <c r="D140" s="53">
        <v>0</v>
      </c>
      <c r="E140" s="53">
        <v>0</v>
      </c>
      <c r="F140" s="116">
        <v>98047000</v>
      </c>
      <c r="G140" s="116">
        <v>0</v>
      </c>
      <c r="H140" s="116">
        <v>0</v>
      </c>
      <c r="I140" s="116">
        <v>0</v>
      </c>
      <c r="J140" s="116">
        <v>0</v>
      </c>
      <c r="K140" s="53">
        <v>0</v>
      </c>
      <c r="L140" s="116">
        <v>0</v>
      </c>
      <c r="M140" s="116">
        <v>0</v>
      </c>
      <c r="N140" s="116">
        <v>-98047000</v>
      </c>
      <c r="O140" s="116">
        <v>0</v>
      </c>
      <c r="P140" s="79">
        <f t="shared" si="12"/>
        <v>0</v>
      </c>
    </row>
    <row r="141" spans="2:16">
      <c r="B141" s="80" t="s">
        <v>164</v>
      </c>
      <c r="C141" s="53">
        <v>0</v>
      </c>
      <c r="D141" s="53">
        <v>0</v>
      </c>
      <c r="E141" s="53">
        <v>0</v>
      </c>
      <c r="F141" s="116">
        <v>0</v>
      </c>
      <c r="G141" s="116">
        <v>0</v>
      </c>
      <c r="H141" s="116">
        <v>0</v>
      </c>
      <c r="I141" s="116">
        <v>0</v>
      </c>
      <c r="J141" s="116">
        <v>0</v>
      </c>
      <c r="K141" s="53">
        <v>0</v>
      </c>
      <c r="L141" s="116">
        <v>0</v>
      </c>
      <c r="M141" s="116">
        <v>0</v>
      </c>
      <c r="N141" s="116">
        <v>0</v>
      </c>
      <c r="O141" s="116">
        <v>0</v>
      </c>
      <c r="P141" s="79">
        <f t="shared" si="12"/>
        <v>0</v>
      </c>
    </row>
    <row r="142" spans="2:16">
      <c r="B142" s="80" t="s">
        <v>285</v>
      </c>
      <c r="C142" s="53">
        <v>0</v>
      </c>
      <c r="D142" s="53">
        <v>0</v>
      </c>
      <c r="E142" s="53">
        <v>0</v>
      </c>
      <c r="F142" s="116">
        <v>0</v>
      </c>
      <c r="G142" s="116">
        <v>0</v>
      </c>
      <c r="H142" s="116">
        <v>0</v>
      </c>
      <c r="I142" s="116">
        <v>0</v>
      </c>
      <c r="J142" s="116">
        <v>0</v>
      </c>
      <c r="K142" s="53">
        <v>0</v>
      </c>
      <c r="L142" s="116">
        <v>0</v>
      </c>
      <c r="M142" s="116">
        <v>0</v>
      </c>
      <c r="N142" s="116">
        <v>0</v>
      </c>
      <c r="O142" s="116">
        <v>0</v>
      </c>
      <c r="P142" s="79">
        <f t="shared" si="12"/>
        <v>0</v>
      </c>
    </row>
    <row r="143" spans="2:16">
      <c r="B143" s="80" t="s">
        <v>297</v>
      </c>
      <c r="C143" s="53">
        <v>0</v>
      </c>
      <c r="D143" s="53">
        <v>0</v>
      </c>
      <c r="E143" s="53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53">
        <v>0</v>
      </c>
      <c r="L143" s="116">
        <v>0</v>
      </c>
      <c r="M143" s="116">
        <v>0</v>
      </c>
      <c r="N143" s="116">
        <v>0</v>
      </c>
      <c r="O143" s="116">
        <v>0</v>
      </c>
      <c r="P143" s="79">
        <f t="shared" si="12"/>
        <v>0</v>
      </c>
    </row>
    <row r="144" spans="2:16">
      <c r="B144" s="80" t="s">
        <v>485</v>
      </c>
      <c r="C144" s="53">
        <v>0</v>
      </c>
      <c r="D144" s="53">
        <v>0</v>
      </c>
      <c r="E144" s="53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53">
        <v>0</v>
      </c>
      <c r="L144" s="116">
        <v>0</v>
      </c>
      <c r="M144" s="116">
        <v>0</v>
      </c>
      <c r="N144" s="116">
        <v>0</v>
      </c>
      <c r="O144" s="116">
        <v>0</v>
      </c>
      <c r="P144" s="79">
        <f t="shared" si="12"/>
        <v>0</v>
      </c>
    </row>
    <row r="145" spans="2:16">
      <c r="B145" s="80" t="s">
        <v>4272</v>
      </c>
      <c r="C145" s="53">
        <v>0</v>
      </c>
      <c r="D145" s="53">
        <v>0</v>
      </c>
      <c r="E145" s="53">
        <v>0</v>
      </c>
      <c r="F145" s="116">
        <v>0</v>
      </c>
      <c r="G145" s="116">
        <v>0</v>
      </c>
      <c r="H145" s="116">
        <v>0</v>
      </c>
      <c r="I145" s="116">
        <v>0</v>
      </c>
      <c r="J145" s="116">
        <v>0</v>
      </c>
      <c r="K145" s="53">
        <v>0</v>
      </c>
      <c r="L145" s="116">
        <v>0</v>
      </c>
      <c r="M145" s="116">
        <v>0</v>
      </c>
      <c r="N145" s="116">
        <v>0</v>
      </c>
      <c r="O145" s="116">
        <v>0</v>
      </c>
      <c r="P145" s="79">
        <f t="shared" si="12"/>
        <v>0</v>
      </c>
    </row>
    <row r="146" spans="2:16">
      <c r="B146" s="80" t="s">
        <v>4291</v>
      </c>
      <c r="C146" s="53">
        <v>0</v>
      </c>
      <c r="D146" s="53">
        <v>0</v>
      </c>
      <c r="E146" s="53">
        <v>0</v>
      </c>
      <c r="F146" s="116">
        <v>0</v>
      </c>
      <c r="G146" s="116">
        <v>0</v>
      </c>
      <c r="H146" s="116">
        <v>0</v>
      </c>
      <c r="I146" s="116">
        <v>0</v>
      </c>
      <c r="J146" s="116">
        <v>0</v>
      </c>
      <c r="K146" s="53">
        <v>0</v>
      </c>
      <c r="L146" s="116">
        <v>0</v>
      </c>
      <c r="M146" s="116">
        <v>0</v>
      </c>
      <c r="N146" s="116">
        <v>0</v>
      </c>
      <c r="O146" s="116">
        <v>0</v>
      </c>
      <c r="P146" s="79">
        <f t="shared" si="12"/>
        <v>0</v>
      </c>
    </row>
    <row r="147" spans="2:16">
      <c r="B147" s="80" t="s">
        <v>165</v>
      </c>
      <c r="C147" s="53">
        <v>0</v>
      </c>
      <c r="D147" s="53">
        <v>0</v>
      </c>
      <c r="E147" s="53">
        <v>0</v>
      </c>
      <c r="F147" s="116">
        <v>0</v>
      </c>
      <c r="G147" s="116">
        <v>0</v>
      </c>
      <c r="H147" s="116">
        <v>0</v>
      </c>
      <c r="I147" s="116">
        <v>0</v>
      </c>
      <c r="J147" s="116">
        <v>0</v>
      </c>
      <c r="K147" s="53">
        <v>0</v>
      </c>
      <c r="L147" s="116">
        <v>0</v>
      </c>
      <c r="M147" s="116">
        <v>0</v>
      </c>
      <c r="N147" s="116">
        <v>0</v>
      </c>
      <c r="O147" s="116">
        <v>0</v>
      </c>
      <c r="P147" s="79">
        <f t="shared" ref="P147" si="15">SUM(C147:O147)</f>
        <v>0</v>
      </c>
    </row>
    <row r="148" spans="2:16">
      <c r="B148" s="80" t="s">
        <v>7866</v>
      </c>
      <c r="C148" s="53">
        <v>0</v>
      </c>
      <c r="D148" s="53">
        <v>0</v>
      </c>
      <c r="E148" s="53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53">
        <v>0</v>
      </c>
      <c r="L148" s="116">
        <v>0</v>
      </c>
      <c r="M148" s="116">
        <v>0</v>
      </c>
      <c r="N148" s="116">
        <v>-3370220740</v>
      </c>
      <c r="O148" s="116">
        <v>3370220740</v>
      </c>
      <c r="P148" s="79">
        <f t="shared" si="12"/>
        <v>0</v>
      </c>
    </row>
    <row r="149" spans="2:16">
      <c r="B149" s="128" t="s">
        <v>7867</v>
      </c>
      <c r="C149" s="53">
        <v>0</v>
      </c>
      <c r="D149" s="53">
        <v>0</v>
      </c>
      <c r="E149" s="53">
        <v>0</v>
      </c>
      <c r="F149" s="116">
        <v>0</v>
      </c>
      <c r="G149" s="116">
        <v>0</v>
      </c>
      <c r="H149" s="116">
        <v>0</v>
      </c>
      <c r="I149" s="116">
        <v>0</v>
      </c>
      <c r="J149" s="116">
        <v>0</v>
      </c>
      <c r="K149" s="53">
        <v>0</v>
      </c>
      <c r="L149" s="116">
        <v>0</v>
      </c>
      <c r="M149" s="116">
        <v>0</v>
      </c>
      <c r="N149" s="116">
        <v>0</v>
      </c>
      <c r="O149" s="116">
        <v>0</v>
      </c>
      <c r="P149" s="127">
        <f t="shared" ref="P149:P160" si="16">SUM(C149:O149)</f>
        <v>0</v>
      </c>
    </row>
    <row r="150" spans="2:16">
      <c r="B150" s="128" t="s">
        <v>7868</v>
      </c>
      <c r="C150" s="53">
        <v>0</v>
      </c>
      <c r="D150" s="53">
        <v>0</v>
      </c>
      <c r="E150" s="53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53">
        <v>0</v>
      </c>
      <c r="L150" s="116">
        <v>0</v>
      </c>
      <c r="M150" s="116">
        <v>0</v>
      </c>
      <c r="N150" s="116">
        <v>0</v>
      </c>
      <c r="O150" s="116">
        <v>0</v>
      </c>
      <c r="P150" s="127">
        <f t="shared" si="16"/>
        <v>0</v>
      </c>
    </row>
    <row r="151" spans="2:16">
      <c r="B151" s="128" t="s">
        <v>7869</v>
      </c>
      <c r="C151" s="53">
        <v>0</v>
      </c>
      <c r="D151" s="53">
        <v>0</v>
      </c>
      <c r="E151" s="53">
        <v>0</v>
      </c>
      <c r="F151" s="116">
        <v>0</v>
      </c>
      <c r="G151" s="116">
        <v>0</v>
      </c>
      <c r="H151" s="116">
        <v>0</v>
      </c>
      <c r="I151" s="116">
        <v>0</v>
      </c>
      <c r="J151" s="116">
        <v>0</v>
      </c>
      <c r="K151" s="53">
        <v>0</v>
      </c>
      <c r="L151" s="116">
        <v>0</v>
      </c>
      <c r="M151" s="116">
        <v>0</v>
      </c>
      <c r="N151" s="116">
        <v>0</v>
      </c>
      <c r="O151" s="116">
        <v>0</v>
      </c>
      <c r="P151" s="127">
        <f t="shared" si="16"/>
        <v>0</v>
      </c>
    </row>
    <row r="152" spans="2:16">
      <c r="B152" s="128" t="s">
        <v>7870</v>
      </c>
      <c r="C152" s="53">
        <v>0</v>
      </c>
      <c r="D152" s="53">
        <v>0</v>
      </c>
      <c r="E152" s="53">
        <v>0</v>
      </c>
      <c r="F152" s="116">
        <v>0</v>
      </c>
      <c r="G152" s="116">
        <v>0</v>
      </c>
      <c r="H152" s="116">
        <v>0</v>
      </c>
      <c r="I152" s="116">
        <v>0</v>
      </c>
      <c r="J152" s="116">
        <v>0</v>
      </c>
      <c r="K152" s="53">
        <v>0</v>
      </c>
      <c r="L152" s="116">
        <v>0</v>
      </c>
      <c r="M152" s="116">
        <v>0</v>
      </c>
      <c r="N152" s="116">
        <v>0</v>
      </c>
      <c r="O152" s="116">
        <v>0</v>
      </c>
      <c r="P152" s="127">
        <f t="shared" si="16"/>
        <v>0</v>
      </c>
    </row>
    <row r="153" spans="2:16">
      <c r="B153" s="128" t="s">
        <v>7871</v>
      </c>
      <c r="C153" s="53">
        <v>0</v>
      </c>
      <c r="D153" s="53">
        <v>0</v>
      </c>
      <c r="E153" s="53">
        <v>0</v>
      </c>
      <c r="F153" s="116">
        <v>0</v>
      </c>
      <c r="G153" s="116">
        <v>0</v>
      </c>
      <c r="H153" s="116">
        <v>0</v>
      </c>
      <c r="I153" s="116">
        <v>0</v>
      </c>
      <c r="J153" s="116">
        <v>0</v>
      </c>
      <c r="K153" s="53">
        <v>0</v>
      </c>
      <c r="L153" s="116">
        <v>0</v>
      </c>
      <c r="M153" s="116">
        <v>0</v>
      </c>
      <c r="N153" s="116">
        <v>0</v>
      </c>
      <c r="O153" s="116">
        <v>0</v>
      </c>
      <c r="P153" s="127">
        <f t="shared" si="16"/>
        <v>0</v>
      </c>
    </row>
    <row r="154" spans="2:16">
      <c r="B154" s="128" t="s">
        <v>7872</v>
      </c>
      <c r="C154" s="53">
        <v>0</v>
      </c>
      <c r="D154" s="53">
        <v>0</v>
      </c>
      <c r="E154" s="53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53">
        <v>0</v>
      </c>
      <c r="L154" s="116">
        <v>0</v>
      </c>
      <c r="M154" s="116">
        <v>0</v>
      </c>
      <c r="N154" s="116">
        <v>0</v>
      </c>
      <c r="O154" s="116">
        <v>0</v>
      </c>
      <c r="P154" s="127">
        <f t="shared" si="16"/>
        <v>0</v>
      </c>
    </row>
    <row r="155" spans="2:16">
      <c r="B155" s="128" t="s">
        <v>7873</v>
      </c>
      <c r="C155" s="53">
        <v>0</v>
      </c>
      <c r="D155" s="53">
        <v>0</v>
      </c>
      <c r="E155" s="53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53">
        <v>0</v>
      </c>
      <c r="L155" s="116">
        <v>0</v>
      </c>
      <c r="M155" s="116">
        <v>0</v>
      </c>
      <c r="N155" s="116">
        <v>0</v>
      </c>
      <c r="O155" s="116">
        <v>0</v>
      </c>
      <c r="P155" s="127">
        <f t="shared" si="16"/>
        <v>0</v>
      </c>
    </row>
    <row r="156" spans="2:16">
      <c r="B156" s="128" t="s">
        <v>7874</v>
      </c>
      <c r="C156" s="53">
        <v>0</v>
      </c>
      <c r="D156" s="53">
        <v>0</v>
      </c>
      <c r="E156" s="53">
        <v>0</v>
      </c>
      <c r="F156" s="116">
        <v>0</v>
      </c>
      <c r="G156" s="116">
        <v>0</v>
      </c>
      <c r="H156" s="116">
        <v>0</v>
      </c>
      <c r="I156" s="116">
        <v>0</v>
      </c>
      <c r="J156" s="116">
        <v>0</v>
      </c>
      <c r="K156" s="53">
        <v>0</v>
      </c>
      <c r="L156" s="116">
        <v>0</v>
      </c>
      <c r="M156" s="116">
        <v>0</v>
      </c>
      <c r="N156" s="116">
        <v>0</v>
      </c>
      <c r="O156" s="116">
        <v>0</v>
      </c>
      <c r="P156" s="127">
        <f t="shared" si="16"/>
        <v>0</v>
      </c>
    </row>
    <row r="157" spans="2:16">
      <c r="B157" s="128" t="s">
        <v>7875</v>
      </c>
      <c r="C157" s="53">
        <v>0</v>
      </c>
      <c r="D157" s="53">
        <v>0</v>
      </c>
      <c r="E157" s="53">
        <v>0</v>
      </c>
      <c r="F157" s="116">
        <v>0</v>
      </c>
      <c r="G157" s="116">
        <v>0</v>
      </c>
      <c r="H157" s="116">
        <v>0</v>
      </c>
      <c r="I157" s="116">
        <v>0</v>
      </c>
      <c r="J157" s="116">
        <v>0</v>
      </c>
      <c r="K157" s="53">
        <v>0</v>
      </c>
      <c r="L157" s="116">
        <v>0</v>
      </c>
      <c r="M157" s="116">
        <v>0</v>
      </c>
      <c r="N157" s="116">
        <v>0</v>
      </c>
      <c r="O157" s="116">
        <v>0</v>
      </c>
      <c r="P157" s="127">
        <f t="shared" si="16"/>
        <v>0</v>
      </c>
    </row>
    <row r="158" spans="2:16">
      <c r="B158" s="128" t="s">
        <v>7876</v>
      </c>
      <c r="C158" s="53">
        <v>0</v>
      </c>
      <c r="D158" s="53">
        <v>0</v>
      </c>
      <c r="E158" s="53">
        <v>0</v>
      </c>
      <c r="F158" s="116">
        <v>0</v>
      </c>
      <c r="G158" s="116">
        <v>0</v>
      </c>
      <c r="H158" s="116">
        <v>0</v>
      </c>
      <c r="I158" s="116">
        <v>0</v>
      </c>
      <c r="J158" s="116">
        <v>0</v>
      </c>
      <c r="K158" s="53">
        <v>0</v>
      </c>
      <c r="L158" s="116">
        <v>0</v>
      </c>
      <c r="M158" s="116">
        <v>0</v>
      </c>
      <c r="N158" s="116">
        <v>0</v>
      </c>
      <c r="O158" s="116">
        <v>0</v>
      </c>
      <c r="P158" s="127">
        <f t="shared" si="16"/>
        <v>0</v>
      </c>
    </row>
    <row r="159" spans="2:16">
      <c r="B159" s="128" t="s">
        <v>7877</v>
      </c>
      <c r="C159" s="53">
        <v>0</v>
      </c>
      <c r="D159" s="53">
        <v>0</v>
      </c>
      <c r="E159" s="53">
        <v>0</v>
      </c>
      <c r="F159" s="116">
        <v>0</v>
      </c>
      <c r="G159" s="116">
        <v>0</v>
      </c>
      <c r="H159" s="116">
        <v>0</v>
      </c>
      <c r="I159" s="116">
        <v>0</v>
      </c>
      <c r="J159" s="116">
        <v>0</v>
      </c>
      <c r="K159" s="53">
        <v>0</v>
      </c>
      <c r="L159" s="116">
        <v>0</v>
      </c>
      <c r="M159" s="116">
        <v>0</v>
      </c>
      <c r="N159" s="116">
        <v>0</v>
      </c>
      <c r="O159" s="116">
        <v>0</v>
      </c>
      <c r="P159" s="127">
        <f t="shared" si="16"/>
        <v>0</v>
      </c>
    </row>
    <row r="160" spans="2:16">
      <c r="B160" s="128" t="s">
        <v>7857</v>
      </c>
      <c r="C160" s="53">
        <v>0</v>
      </c>
      <c r="D160" s="53">
        <v>0</v>
      </c>
      <c r="E160" s="53">
        <v>0</v>
      </c>
      <c r="F160" s="116">
        <v>0</v>
      </c>
      <c r="G160" s="116">
        <v>0</v>
      </c>
      <c r="H160" s="116">
        <v>0</v>
      </c>
      <c r="I160" s="116">
        <v>0</v>
      </c>
      <c r="J160" s="116">
        <v>0</v>
      </c>
      <c r="K160" s="53">
        <v>0</v>
      </c>
      <c r="L160" s="116">
        <v>0</v>
      </c>
      <c r="M160" s="116">
        <v>0</v>
      </c>
      <c r="N160" s="116">
        <v>13419472</v>
      </c>
      <c r="O160" s="116">
        <v>-13419472</v>
      </c>
      <c r="P160" s="127">
        <f t="shared" si="16"/>
        <v>0</v>
      </c>
    </row>
    <row r="161" spans="2:16">
      <c r="B161" s="80"/>
      <c r="C161" s="51"/>
      <c r="D161" s="51"/>
      <c r="E161" s="51"/>
      <c r="F161" s="130"/>
      <c r="G161" s="130"/>
      <c r="H161" s="130"/>
      <c r="I161" s="130"/>
      <c r="J161" s="130"/>
      <c r="K161" s="51"/>
      <c r="L161" s="130"/>
      <c r="M161" s="130"/>
      <c r="N161" s="130"/>
      <c r="O161" s="130"/>
    </row>
    <row r="162" spans="2:16">
      <c r="C162" s="46">
        <f t="shared" ref="C162:N162" si="17">SUM(C5:C160)</f>
        <v>812485814</v>
      </c>
      <c r="D162" s="46">
        <f t="shared" si="17"/>
        <v>7665966113</v>
      </c>
      <c r="E162" s="46">
        <f t="shared" si="17"/>
        <v>-3763177777</v>
      </c>
      <c r="F162" s="46">
        <f t="shared" si="17"/>
        <v>-2031205062</v>
      </c>
      <c r="G162" s="46">
        <f t="shared" si="17"/>
        <v>-6264585000</v>
      </c>
      <c r="H162" s="46">
        <f t="shared" si="17"/>
        <v>0</v>
      </c>
      <c r="I162" s="46">
        <f t="shared" si="17"/>
        <v>0</v>
      </c>
      <c r="J162" s="46">
        <f t="shared" si="17"/>
        <v>148974667</v>
      </c>
      <c r="K162" s="46">
        <f t="shared" si="17"/>
        <v>-3661075922</v>
      </c>
      <c r="L162" s="46">
        <f t="shared" si="17"/>
        <v>-1150000000</v>
      </c>
      <c r="M162" s="46">
        <f t="shared" si="17"/>
        <v>132686063</v>
      </c>
      <c r="N162" s="46">
        <f t="shared" si="17"/>
        <v>4183261449</v>
      </c>
      <c r="O162" s="125">
        <f>SUM(O5:O160)</f>
        <v>3926669655</v>
      </c>
      <c r="P162" s="138">
        <f>SUM(P5:P148)</f>
        <v>0</v>
      </c>
    </row>
    <row r="164" spans="2:16" s="199" customFormat="1">
      <c r="C164" s="199">
        <v>812485814</v>
      </c>
      <c r="D164" s="199">
        <v>7665966113</v>
      </c>
      <c r="E164" s="199">
        <v>-3763177777</v>
      </c>
      <c r="F164" s="199">
        <v>-2031205062</v>
      </c>
      <c r="G164" s="199">
        <v>-6264585000</v>
      </c>
      <c r="H164" s="199">
        <v>0</v>
      </c>
      <c r="I164" s="199">
        <v>0</v>
      </c>
      <c r="J164" s="199">
        <v>148974667</v>
      </c>
      <c r="K164" s="199">
        <v>-3661075922</v>
      </c>
      <c r="L164" s="199">
        <v>-1150000000</v>
      </c>
      <c r="M164" s="199">
        <v>132686063</v>
      </c>
      <c r="N164" s="199">
        <v>4183261449</v>
      </c>
      <c r="O164" s="199">
        <v>3940089127</v>
      </c>
    </row>
    <row r="165" spans="2:16">
      <c r="D165" t="s">
        <v>26</v>
      </c>
      <c r="O165" s="199" t="s">
        <v>26</v>
      </c>
    </row>
    <row r="166" spans="2:16" s="141" customFormat="1" ht="15">
      <c r="C166" s="141">
        <f t="shared" ref="C166:M166" si="18">C162-C164</f>
        <v>0</v>
      </c>
      <c r="D166" s="141">
        <f t="shared" si="18"/>
        <v>0</v>
      </c>
      <c r="E166" s="141">
        <f t="shared" si="18"/>
        <v>0</v>
      </c>
      <c r="F166" s="141">
        <f t="shared" si="18"/>
        <v>0</v>
      </c>
      <c r="G166" s="141">
        <f t="shared" si="18"/>
        <v>0</v>
      </c>
      <c r="H166" s="141">
        <f t="shared" si="18"/>
        <v>0</v>
      </c>
      <c r="I166" s="141">
        <f t="shared" si="18"/>
        <v>0</v>
      </c>
      <c r="J166" s="141">
        <f t="shared" si="18"/>
        <v>0</v>
      </c>
      <c r="K166" s="141">
        <f t="shared" si="18"/>
        <v>0</v>
      </c>
      <c r="L166" s="141">
        <f t="shared" si="18"/>
        <v>0</v>
      </c>
      <c r="M166" s="141">
        <f t="shared" si="18"/>
        <v>0</v>
      </c>
      <c r="N166" s="141">
        <f t="shared" ref="N166:O166" si="19">N162-N164</f>
        <v>0</v>
      </c>
      <c r="O166" s="141">
        <f t="shared" si="19"/>
        <v>-13419472</v>
      </c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44"/>
  <sheetViews>
    <sheetView topLeftCell="I164" zoomScale="117" zoomScaleNormal="189" workbookViewId="0">
      <selection activeCell="E6" sqref="E6:F63"/>
    </sheetView>
  </sheetViews>
  <sheetFormatPr defaultColWidth="11.5546875" defaultRowHeight="15"/>
  <cols>
    <col min="1" max="1" width="7.44140625" customWidth="1"/>
    <col min="2" max="2" width="67.6640625" customWidth="1"/>
    <col min="3" max="3" width="20" style="1" customWidth="1"/>
    <col min="4" max="4" width="19.44140625" style="1" customWidth="1"/>
    <col min="5" max="5" width="20.33203125" style="1" customWidth="1"/>
    <col min="6" max="13" width="17.77734375" style="1" customWidth="1"/>
    <col min="14" max="14" width="17.77734375" style="82" customWidth="1"/>
    <col min="15" max="15" width="2" style="82" customWidth="1"/>
    <col min="16" max="16" width="19.44140625" style="1" customWidth="1"/>
    <col min="17" max="17" width="12.44140625" customWidth="1"/>
    <col min="19" max="19" width="16.6640625" bestFit="1" customWidth="1"/>
  </cols>
  <sheetData>
    <row r="1" spans="1:16" ht="18.75">
      <c r="A1" s="81" t="s">
        <v>166</v>
      </c>
    </row>
    <row r="2" spans="1:16" ht="18.75">
      <c r="A2" s="81" t="s">
        <v>7029</v>
      </c>
    </row>
    <row r="5" spans="1:16" ht="15.75">
      <c r="B5" s="9" t="s">
        <v>167</v>
      </c>
      <c r="C5" s="2" t="s">
        <v>168</v>
      </c>
      <c r="D5" s="2" t="s">
        <v>510</v>
      </c>
      <c r="E5" s="2" t="s">
        <v>26</v>
      </c>
      <c r="F5" s="2" t="s">
        <v>26</v>
      </c>
      <c r="G5" s="2" t="s">
        <v>26</v>
      </c>
      <c r="H5" s="2"/>
      <c r="I5" s="2"/>
      <c r="J5" s="2"/>
      <c r="K5" s="2"/>
      <c r="L5" s="2"/>
      <c r="P5" s="2" t="s">
        <v>169</v>
      </c>
    </row>
    <row r="6" spans="1:16" ht="15.75">
      <c r="A6" s="47">
        <v>1</v>
      </c>
      <c r="B6" s="40" t="s">
        <v>6581</v>
      </c>
      <c r="C6" s="1">
        <v>91025550</v>
      </c>
      <c r="D6" s="14">
        <v>-9020550</v>
      </c>
      <c r="E6" s="14" t="s">
        <v>26</v>
      </c>
      <c r="F6" s="1" t="s">
        <v>26</v>
      </c>
      <c r="G6" s="1" t="s">
        <v>277</v>
      </c>
      <c r="P6" s="1">
        <f t="shared" ref="P6:P63" si="0">SUM(C6:G6)</f>
        <v>82005000</v>
      </c>
    </row>
    <row r="7" spans="1:16" ht="15.75">
      <c r="A7" s="47">
        <f>+A6+1</f>
        <v>2</v>
      </c>
      <c r="B7" s="40" t="s">
        <v>5956</v>
      </c>
      <c r="C7" s="1">
        <v>500000000</v>
      </c>
      <c r="D7" s="14">
        <v>-49549550</v>
      </c>
      <c r="E7" s="14" t="s">
        <v>26</v>
      </c>
      <c r="F7" s="1" t="s">
        <v>26</v>
      </c>
      <c r="G7" s="1" t="s">
        <v>277</v>
      </c>
      <c r="P7" s="1">
        <f t="shared" si="0"/>
        <v>450450450</v>
      </c>
    </row>
    <row r="8" spans="1:16" ht="15.75">
      <c r="A8" s="47">
        <f t="shared" ref="A8:A63" si="1">+A7+1</f>
        <v>3</v>
      </c>
      <c r="B8" s="40" t="s">
        <v>1609</v>
      </c>
      <c r="C8" s="1">
        <v>522203385</v>
      </c>
      <c r="D8" s="14">
        <v>-51749885</v>
      </c>
      <c r="E8" s="14" t="s">
        <v>26</v>
      </c>
      <c r="F8" s="1" t="s">
        <v>26</v>
      </c>
      <c r="G8" s="1" t="s">
        <v>277</v>
      </c>
      <c r="P8" s="1">
        <f t="shared" si="0"/>
        <v>470453500</v>
      </c>
    </row>
    <row r="9" spans="1:16" ht="15.75">
      <c r="A9" s="47">
        <f t="shared" si="1"/>
        <v>4</v>
      </c>
      <c r="B9" s="40" t="s">
        <v>6582</v>
      </c>
      <c r="C9" s="1">
        <v>273000000</v>
      </c>
      <c r="D9" s="14">
        <v>-27054054</v>
      </c>
      <c r="E9" s="14" t="s">
        <v>26</v>
      </c>
      <c r="F9" s="1" t="s">
        <v>26</v>
      </c>
      <c r="G9" s="1" t="s">
        <v>277</v>
      </c>
      <c r="P9" s="1">
        <f t="shared" si="0"/>
        <v>245945946</v>
      </c>
    </row>
    <row r="10" spans="1:16" ht="15.75">
      <c r="A10" s="47">
        <f t="shared" si="1"/>
        <v>5</v>
      </c>
      <c r="B10" s="40" t="s">
        <v>5998</v>
      </c>
      <c r="C10" s="1">
        <v>650000000</v>
      </c>
      <c r="D10" s="14">
        <v>-64414415</v>
      </c>
      <c r="E10" s="14" t="s">
        <v>26</v>
      </c>
      <c r="F10" s="1" t="s">
        <v>26</v>
      </c>
      <c r="P10" s="1">
        <f t="shared" si="0"/>
        <v>585585585</v>
      </c>
    </row>
    <row r="11" spans="1:16" ht="15.75">
      <c r="A11" s="47">
        <f t="shared" si="1"/>
        <v>6</v>
      </c>
      <c r="B11" s="40" t="s">
        <v>6541</v>
      </c>
      <c r="C11" s="1">
        <v>171794700</v>
      </c>
      <c r="D11" s="14">
        <v>-17024700</v>
      </c>
      <c r="E11" s="14" t="s">
        <v>26</v>
      </c>
      <c r="F11" s="1" t="s">
        <v>26</v>
      </c>
      <c r="P11" s="1">
        <f t="shared" si="0"/>
        <v>154770000</v>
      </c>
    </row>
    <row r="12" spans="1:16" ht="15.75">
      <c r="A12" s="47">
        <f t="shared" si="1"/>
        <v>7</v>
      </c>
      <c r="B12" s="40" t="s">
        <v>6123</v>
      </c>
      <c r="C12" s="1">
        <v>116060262</v>
      </c>
      <c r="D12" s="14">
        <v>-11501467</v>
      </c>
      <c r="E12" s="14" t="s">
        <v>26</v>
      </c>
      <c r="F12" s="1" t="s">
        <v>26</v>
      </c>
      <c r="P12" s="1">
        <f t="shared" si="0"/>
        <v>104558795</v>
      </c>
    </row>
    <row r="13" spans="1:16" ht="15.75">
      <c r="A13" s="47">
        <f t="shared" si="1"/>
        <v>8</v>
      </c>
      <c r="B13" s="40" t="s">
        <v>6583</v>
      </c>
      <c r="C13" s="1">
        <v>842299025</v>
      </c>
      <c r="D13" s="14">
        <v>-83471075</v>
      </c>
      <c r="E13" s="14" t="s">
        <v>26</v>
      </c>
      <c r="F13" s="1" t="s">
        <v>26</v>
      </c>
      <c r="G13" s="1" t="s">
        <v>277</v>
      </c>
      <c r="P13" s="1">
        <f t="shared" si="0"/>
        <v>758827950</v>
      </c>
    </row>
    <row r="14" spans="1:16" ht="15.75">
      <c r="A14" s="47">
        <f t="shared" si="1"/>
        <v>9</v>
      </c>
      <c r="B14" s="40" t="s">
        <v>1411</v>
      </c>
      <c r="C14" s="1">
        <v>89790120</v>
      </c>
      <c r="D14" s="14">
        <v>-8898120</v>
      </c>
      <c r="E14" s="14" t="s">
        <v>26</v>
      </c>
      <c r="F14" s="1" t="s">
        <v>26</v>
      </c>
      <c r="G14" s="1" t="s">
        <v>277</v>
      </c>
      <c r="P14" s="1">
        <f t="shared" si="0"/>
        <v>80892000</v>
      </c>
    </row>
    <row r="15" spans="1:16" ht="15.75">
      <c r="A15" s="47">
        <f t="shared" si="1"/>
        <v>10</v>
      </c>
      <c r="B15" s="40" t="s">
        <v>1583</v>
      </c>
      <c r="C15" s="1">
        <v>188949750</v>
      </c>
      <c r="D15" s="14">
        <v>-18724750</v>
      </c>
      <c r="E15" s="14" t="s">
        <v>26</v>
      </c>
      <c r="F15" s="1" t="s">
        <v>26</v>
      </c>
      <c r="G15" s="1" t="s">
        <v>277</v>
      </c>
      <c r="P15" s="1">
        <f t="shared" si="0"/>
        <v>170225000</v>
      </c>
    </row>
    <row r="16" spans="1:16" ht="15.75">
      <c r="A16" s="47">
        <f t="shared" si="1"/>
        <v>11</v>
      </c>
      <c r="B16" s="40" t="s">
        <v>6584</v>
      </c>
      <c r="C16" s="1">
        <v>610000000</v>
      </c>
      <c r="D16" s="14">
        <v>-60450450</v>
      </c>
      <c r="E16" s="14" t="s">
        <v>26</v>
      </c>
      <c r="F16" s="1" t="s">
        <v>26</v>
      </c>
      <c r="G16" s="1" t="s">
        <v>277</v>
      </c>
      <c r="P16" s="1">
        <f t="shared" si="0"/>
        <v>549549550</v>
      </c>
    </row>
    <row r="17" spans="1:16" ht="15.75">
      <c r="A17" s="47">
        <f t="shared" si="1"/>
        <v>12</v>
      </c>
      <c r="B17" s="40" t="s">
        <v>2473</v>
      </c>
      <c r="C17" s="1">
        <v>222107670</v>
      </c>
      <c r="D17" s="14">
        <v>-22010670</v>
      </c>
      <c r="E17" s="14" t="s">
        <v>26</v>
      </c>
      <c r="F17" s="1" t="s">
        <v>26</v>
      </c>
      <c r="G17" s="1" t="s">
        <v>277</v>
      </c>
      <c r="P17" s="1">
        <f t="shared" si="0"/>
        <v>200097000</v>
      </c>
    </row>
    <row r="18" spans="1:16" ht="15.75">
      <c r="A18" s="47">
        <f t="shared" si="1"/>
        <v>13</v>
      </c>
      <c r="B18" s="40" t="s">
        <v>6585</v>
      </c>
      <c r="C18" s="1">
        <v>697303503</v>
      </c>
      <c r="D18" s="14">
        <v>-7586883</v>
      </c>
      <c r="E18" s="14" t="s">
        <v>26</v>
      </c>
      <c r="F18" s="1" t="s">
        <v>26</v>
      </c>
      <c r="G18" s="1" t="s">
        <v>277</v>
      </c>
      <c r="P18" s="1">
        <f t="shared" si="0"/>
        <v>689716620</v>
      </c>
    </row>
    <row r="19" spans="1:16" ht="15.75">
      <c r="A19" s="47">
        <f t="shared" si="1"/>
        <v>14</v>
      </c>
      <c r="B19" s="40" t="s">
        <v>7814</v>
      </c>
      <c r="C19" s="1">
        <v>92790562</v>
      </c>
      <c r="D19" s="14">
        <v>0</v>
      </c>
      <c r="E19" s="14" t="s">
        <v>26</v>
      </c>
      <c r="F19" s="1" t="s">
        <v>26</v>
      </c>
      <c r="G19" s="1" t="s">
        <v>277</v>
      </c>
      <c r="P19" s="1">
        <f t="shared" si="0"/>
        <v>92790562</v>
      </c>
    </row>
    <row r="20" spans="1:16" ht="15.75">
      <c r="A20" s="47">
        <f t="shared" si="1"/>
        <v>15</v>
      </c>
      <c r="B20" s="40" t="s">
        <v>433</v>
      </c>
      <c r="C20" s="1">
        <v>37887593</v>
      </c>
      <c r="D20" s="14">
        <v>0</v>
      </c>
      <c r="E20" s="14" t="s">
        <v>26</v>
      </c>
      <c r="F20" s="1" t="s">
        <v>26</v>
      </c>
      <c r="G20" s="1" t="s">
        <v>277</v>
      </c>
      <c r="P20" s="1">
        <f t="shared" si="0"/>
        <v>37887593</v>
      </c>
    </row>
    <row r="21" spans="1:16" ht="15.75">
      <c r="A21" s="47">
        <f t="shared" si="1"/>
        <v>16</v>
      </c>
      <c r="B21" s="40" t="s">
        <v>6004</v>
      </c>
      <c r="C21" s="1">
        <v>1061095676</v>
      </c>
      <c r="D21" s="14">
        <v>-105153627</v>
      </c>
      <c r="E21" s="14" t="s">
        <v>26</v>
      </c>
      <c r="F21" s="1" t="s">
        <v>26</v>
      </c>
      <c r="G21" s="1" t="s">
        <v>277</v>
      </c>
      <c r="P21" s="1">
        <f t="shared" si="0"/>
        <v>955942049</v>
      </c>
    </row>
    <row r="22" spans="1:16" ht="15.75">
      <c r="A22" s="47">
        <f t="shared" si="1"/>
        <v>17</v>
      </c>
      <c r="B22" s="40" t="s">
        <v>6003</v>
      </c>
      <c r="C22" s="1">
        <v>4015917032</v>
      </c>
      <c r="D22" s="14">
        <v>-397973759</v>
      </c>
      <c r="E22" s="14" t="s">
        <v>26</v>
      </c>
      <c r="F22" s="1" t="s">
        <v>26</v>
      </c>
      <c r="G22" s="1" t="s">
        <v>277</v>
      </c>
      <c r="P22" s="1">
        <f t="shared" si="0"/>
        <v>3617943273</v>
      </c>
    </row>
    <row r="23" spans="1:16" ht="15.75">
      <c r="A23" s="47">
        <f t="shared" si="1"/>
        <v>18</v>
      </c>
      <c r="B23" s="40" t="s">
        <v>6002</v>
      </c>
      <c r="C23" s="1">
        <v>3615950601</v>
      </c>
      <c r="D23" s="14">
        <v>-358337447</v>
      </c>
      <c r="E23" s="14" t="s">
        <v>26</v>
      </c>
      <c r="F23" s="1" t="s">
        <v>26</v>
      </c>
      <c r="G23" s="1" t="s">
        <v>277</v>
      </c>
      <c r="P23" s="1">
        <f t="shared" si="0"/>
        <v>3257613154</v>
      </c>
    </row>
    <row r="24" spans="1:16" ht="15.75">
      <c r="A24" s="47">
        <f t="shared" si="1"/>
        <v>19</v>
      </c>
      <c r="B24" s="40" t="s">
        <v>2316</v>
      </c>
      <c r="C24" s="1">
        <v>289537682</v>
      </c>
      <c r="D24" s="14">
        <v>-3150262</v>
      </c>
      <c r="E24" s="14" t="s">
        <v>26</v>
      </c>
      <c r="F24" s="1" t="s">
        <v>26</v>
      </c>
      <c r="G24" s="1" t="s">
        <v>277</v>
      </c>
      <c r="P24" s="1">
        <f t="shared" si="0"/>
        <v>286387420</v>
      </c>
    </row>
    <row r="25" spans="1:16" ht="15.75">
      <c r="A25" s="47">
        <f t="shared" si="1"/>
        <v>20</v>
      </c>
      <c r="B25" s="40" t="s">
        <v>1352</v>
      </c>
      <c r="C25" s="1">
        <v>10126735101</v>
      </c>
      <c r="D25" s="14">
        <v>-707739516</v>
      </c>
      <c r="E25" s="14" t="s">
        <v>26</v>
      </c>
      <c r="F25" s="1" t="s">
        <v>26</v>
      </c>
      <c r="G25" s="1" t="s">
        <v>277</v>
      </c>
      <c r="P25" s="1">
        <f t="shared" si="0"/>
        <v>9418995585</v>
      </c>
    </row>
    <row r="26" spans="1:16" ht="15.75">
      <c r="A26" s="47">
        <f t="shared" si="1"/>
        <v>21</v>
      </c>
      <c r="B26" s="40" t="s">
        <v>6586</v>
      </c>
      <c r="C26" s="1">
        <v>1171514114</v>
      </c>
      <c r="D26" s="14">
        <v>-116095994</v>
      </c>
      <c r="E26" s="14" t="s">
        <v>26</v>
      </c>
      <c r="F26" s="1" t="s">
        <v>26</v>
      </c>
      <c r="G26" s="1" t="s">
        <v>277</v>
      </c>
      <c r="P26" s="1">
        <f t="shared" si="0"/>
        <v>1055418120</v>
      </c>
    </row>
    <row r="27" spans="1:16" ht="15.75">
      <c r="A27" s="47">
        <f t="shared" si="1"/>
        <v>22</v>
      </c>
      <c r="B27" s="40" t="s">
        <v>6576</v>
      </c>
      <c r="C27" s="1">
        <v>6734646190</v>
      </c>
      <c r="D27" s="14">
        <v>-667397370</v>
      </c>
      <c r="E27" s="14" t="s">
        <v>26</v>
      </c>
      <c r="F27" s="1" t="s">
        <v>26</v>
      </c>
      <c r="G27" s="1" t="s">
        <v>277</v>
      </c>
      <c r="P27" s="1">
        <f t="shared" si="0"/>
        <v>6067248820</v>
      </c>
    </row>
    <row r="28" spans="1:16" ht="15.75">
      <c r="A28" s="47">
        <f t="shared" si="1"/>
        <v>23</v>
      </c>
      <c r="B28" s="40" t="s">
        <v>6575</v>
      </c>
      <c r="C28" s="1">
        <v>49741875</v>
      </c>
      <c r="D28" s="14">
        <v>-4929375</v>
      </c>
      <c r="E28" s="14" t="s">
        <v>26</v>
      </c>
      <c r="F28" s="1" t="s">
        <v>26</v>
      </c>
      <c r="P28" s="1">
        <f t="shared" si="0"/>
        <v>44812500</v>
      </c>
    </row>
    <row r="29" spans="1:16" ht="15.75">
      <c r="A29" s="47">
        <f t="shared" si="1"/>
        <v>24</v>
      </c>
      <c r="B29" s="40" t="s">
        <v>6587</v>
      </c>
      <c r="C29" s="1">
        <v>600457081</v>
      </c>
      <c r="D29" s="14">
        <v>-34729981</v>
      </c>
      <c r="E29" s="14" t="s">
        <v>26</v>
      </c>
      <c r="F29" s="1" t="s">
        <v>26</v>
      </c>
      <c r="G29" s="1" t="s">
        <v>277</v>
      </c>
      <c r="P29" s="1">
        <f t="shared" si="0"/>
        <v>565727100</v>
      </c>
    </row>
    <row r="30" spans="1:16" ht="15.75">
      <c r="A30" s="47">
        <f t="shared" si="1"/>
        <v>25</v>
      </c>
      <c r="B30" s="40" t="s">
        <v>6588</v>
      </c>
      <c r="C30" s="1">
        <v>1916624790</v>
      </c>
      <c r="D30" s="14">
        <v>-189935790</v>
      </c>
      <c r="E30" s="14" t="s">
        <v>26</v>
      </c>
      <c r="F30" s="1" t="s">
        <v>26</v>
      </c>
      <c r="G30" s="1" t="s">
        <v>277</v>
      </c>
      <c r="P30" s="1">
        <f t="shared" si="0"/>
        <v>1726689000</v>
      </c>
    </row>
    <row r="31" spans="1:16" ht="15.75">
      <c r="A31" s="47">
        <f t="shared" si="1"/>
        <v>26</v>
      </c>
      <c r="B31" s="40" t="s">
        <v>5748</v>
      </c>
      <c r="C31" s="1">
        <v>203174400</v>
      </c>
      <c r="D31" s="14">
        <v>-20134400</v>
      </c>
      <c r="E31" s="14" t="s">
        <v>26</v>
      </c>
      <c r="F31" s="1" t="s">
        <v>26</v>
      </c>
      <c r="G31" s="1" t="s">
        <v>277</v>
      </c>
      <c r="P31" s="1">
        <f t="shared" si="0"/>
        <v>183040000</v>
      </c>
    </row>
    <row r="32" spans="1:16" ht="15.75">
      <c r="A32" s="47">
        <f t="shared" si="1"/>
        <v>27</v>
      </c>
      <c r="B32" s="40" t="s">
        <v>2327</v>
      </c>
      <c r="C32" s="1">
        <v>38156250</v>
      </c>
      <c r="D32" s="14">
        <v>-3781250</v>
      </c>
      <c r="E32" s="14" t="s">
        <v>26</v>
      </c>
      <c r="F32" s="1" t="s">
        <v>26</v>
      </c>
      <c r="G32" s="1" t="s">
        <v>277</v>
      </c>
      <c r="P32" s="1">
        <f t="shared" si="0"/>
        <v>34375000</v>
      </c>
    </row>
    <row r="33" spans="1:16" ht="15.75">
      <c r="A33" s="47">
        <f t="shared" si="1"/>
        <v>28</v>
      </c>
      <c r="B33" s="40" t="s">
        <v>6589</v>
      </c>
      <c r="C33" s="1">
        <v>363036704</v>
      </c>
      <c r="D33" s="14">
        <v>-3949954</v>
      </c>
      <c r="E33" s="14" t="s">
        <v>26</v>
      </c>
      <c r="F33" s="1" t="s">
        <v>26</v>
      </c>
      <c r="P33" s="1">
        <f t="shared" si="0"/>
        <v>359086750</v>
      </c>
    </row>
    <row r="34" spans="1:16" ht="15.75">
      <c r="A34" s="47">
        <f t="shared" si="1"/>
        <v>29</v>
      </c>
      <c r="B34" s="40" t="s">
        <v>1368</v>
      </c>
      <c r="C34" s="1">
        <v>941795624</v>
      </c>
      <c r="D34" s="14">
        <v>-92828367</v>
      </c>
      <c r="E34" s="14" t="s">
        <v>26</v>
      </c>
      <c r="F34" s="1" t="s">
        <v>26</v>
      </c>
      <c r="G34" s="1" t="s">
        <v>277</v>
      </c>
      <c r="P34" s="1">
        <f t="shared" si="0"/>
        <v>848967257</v>
      </c>
    </row>
    <row r="35" spans="1:16" ht="15.75">
      <c r="A35" s="47">
        <f t="shared" si="1"/>
        <v>30</v>
      </c>
      <c r="B35" s="40" t="s">
        <v>6590</v>
      </c>
      <c r="C35" s="1">
        <v>131975286</v>
      </c>
      <c r="D35" s="14">
        <v>-1435932</v>
      </c>
      <c r="E35" s="14" t="s">
        <v>26</v>
      </c>
      <c r="F35" s="1" t="s">
        <v>26</v>
      </c>
      <c r="G35" s="1" t="s">
        <v>277</v>
      </c>
      <c r="P35" s="1">
        <f t="shared" si="0"/>
        <v>130539354</v>
      </c>
    </row>
    <row r="36" spans="1:16" s="8" customFormat="1" ht="15.75">
      <c r="A36" s="47">
        <f t="shared" si="1"/>
        <v>31</v>
      </c>
      <c r="B36" s="40" t="s">
        <v>6591</v>
      </c>
      <c r="C36" s="1">
        <v>76358087</v>
      </c>
      <c r="D36" s="14">
        <v>-830801</v>
      </c>
      <c r="E36" s="14" t="s">
        <v>26</v>
      </c>
      <c r="F36" s="1" t="s">
        <v>26</v>
      </c>
      <c r="G36" s="1" t="s">
        <v>277</v>
      </c>
      <c r="H36" s="1"/>
      <c r="I36" s="1"/>
      <c r="J36" s="1"/>
      <c r="K36" s="1"/>
      <c r="L36" s="1"/>
      <c r="M36" s="1"/>
      <c r="N36" s="82"/>
      <c r="O36" s="82"/>
      <c r="P36" s="1">
        <f t="shared" si="0"/>
        <v>75527286</v>
      </c>
    </row>
    <row r="37" spans="1:16" s="8" customFormat="1" ht="15.75">
      <c r="A37" s="47">
        <f t="shared" si="1"/>
        <v>32</v>
      </c>
      <c r="B37" s="40" t="s">
        <v>6592</v>
      </c>
      <c r="C37" s="1">
        <v>61050526</v>
      </c>
      <c r="D37" s="14">
        <v>-6050052</v>
      </c>
      <c r="E37" s="14" t="s">
        <v>26</v>
      </c>
      <c r="F37" s="1" t="s">
        <v>26</v>
      </c>
      <c r="G37" s="1" t="s">
        <v>277</v>
      </c>
      <c r="H37" s="1"/>
      <c r="I37" s="1"/>
      <c r="J37" s="1"/>
      <c r="K37" s="1"/>
      <c r="L37" s="1"/>
      <c r="M37" s="1"/>
      <c r="N37" s="82"/>
      <c r="O37" s="82"/>
      <c r="P37" s="1">
        <f t="shared" si="0"/>
        <v>55000474</v>
      </c>
    </row>
    <row r="38" spans="1:16" ht="15.75">
      <c r="A38" s="47">
        <f t="shared" si="1"/>
        <v>33</v>
      </c>
      <c r="B38" s="40" t="s">
        <v>4100</v>
      </c>
      <c r="C38" s="1">
        <v>31135500</v>
      </c>
      <c r="D38" s="14">
        <v>-3085500</v>
      </c>
      <c r="E38" s="14" t="s">
        <v>26</v>
      </c>
      <c r="F38" s="1" t="s">
        <v>26</v>
      </c>
      <c r="P38" s="1">
        <f t="shared" si="0"/>
        <v>28050000</v>
      </c>
    </row>
    <row r="39" spans="1:16" ht="15.75">
      <c r="A39" s="47">
        <f t="shared" si="1"/>
        <v>34</v>
      </c>
      <c r="B39" s="40" t="s">
        <v>1445</v>
      </c>
      <c r="C39" s="1">
        <v>601597518</v>
      </c>
      <c r="D39" s="14">
        <v>-46923177</v>
      </c>
      <c r="E39" s="14" t="s">
        <v>26</v>
      </c>
      <c r="F39" s="1" t="s">
        <v>26</v>
      </c>
      <c r="G39" s="1" t="s">
        <v>277</v>
      </c>
      <c r="P39" s="1">
        <f t="shared" si="0"/>
        <v>554674341</v>
      </c>
    </row>
    <row r="40" spans="1:16" ht="15.75">
      <c r="A40" s="47">
        <f t="shared" si="1"/>
        <v>35</v>
      </c>
      <c r="B40" s="40" t="s">
        <v>6005</v>
      </c>
      <c r="C40" s="1">
        <v>35964000</v>
      </c>
      <c r="D40" s="14">
        <v>-3564000</v>
      </c>
      <c r="E40" s="14" t="s">
        <v>26</v>
      </c>
      <c r="F40" s="1" t="s">
        <v>26</v>
      </c>
      <c r="G40" s="1" t="s">
        <v>277</v>
      </c>
      <c r="P40" s="1">
        <f t="shared" si="0"/>
        <v>32400000</v>
      </c>
    </row>
    <row r="41" spans="1:16" s="8" customFormat="1" ht="15.75">
      <c r="A41" s="47">
        <f t="shared" si="1"/>
        <v>36</v>
      </c>
      <c r="B41" s="40" t="s">
        <v>6593</v>
      </c>
      <c r="C41" s="11">
        <v>148948356</v>
      </c>
      <c r="D41" s="54">
        <v>-14417265</v>
      </c>
      <c r="E41" s="14" t="s">
        <v>26</v>
      </c>
      <c r="F41" s="1" t="s">
        <v>26</v>
      </c>
      <c r="G41" s="11" t="s">
        <v>277</v>
      </c>
      <c r="H41" s="11"/>
      <c r="I41" s="11"/>
      <c r="J41" s="11"/>
      <c r="K41" s="11"/>
      <c r="L41" s="11"/>
      <c r="M41" s="11"/>
      <c r="N41" s="82"/>
      <c r="O41" s="82"/>
      <c r="P41" s="1">
        <f t="shared" si="0"/>
        <v>134531091</v>
      </c>
    </row>
    <row r="42" spans="1:16" ht="15.75">
      <c r="A42" s="47">
        <f t="shared" si="1"/>
        <v>37</v>
      </c>
      <c r="B42" s="40" t="s">
        <v>6594</v>
      </c>
      <c r="C42" s="1">
        <v>9142665</v>
      </c>
      <c r="D42" s="14">
        <v>-906030</v>
      </c>
      <c r="E42" s="14" t="s">
        <v>26</v>
      </c>
      <c r="F42" s="1" t="s">
        <v>26</v>
      </c>
      <c r="G42" s="1" t="s">
        <v>277</v>
      </c>
      <c r="P42" s="1">
        <f t="shared" si="0"/>
        <v>8236635</v>
      </c>
    </row>
    <row r="43" spans="1:16" ht="15.75">
      <c r="A43" s="47">
        <f t="shared" si="1"/>
        <v>38</v>
      </c>
      <c r="B43" s="40" t="s">
        <v>6595</v>
      </c>
      <c r="C43" s="1">
        <v>12498105</v>
      </c>
      <c r="D43" s="14">
        <v>-1238551</v>
      </c>
      <c r="E43" s="14" t="s">
        <v>26</v>
      </c>
      <c r="F43" s="1" t="s">
        <v>26</v>
      </c>
      <c r="G43" s="1" t="s">
        <v>26</v>
      </c>
      <c r="P43" s="1">
        <f t="shared" si="0"/>
        <v>11259554</v>
      </c>
    </row>
    <row r="44" spans="1:16" ht="15.75">
      <c r="A44" s="47">
        <f t="shared" si="1"/>
        <v>39</v>
      </c>
      <c r="B44" s="40" t="s">
        <v>6596</v>
      </c>
      <c r="C44" s="1">
        <v>67599339</v>
      </c>
      <c r="D44" s="14">
        <v>-6699034</v>
      </c>
      <c r="E44" s="14" t="s">
        <v>26</v>
      </c>
      <c r="F44" s="1" t="s">
        <v>26</v>
      </c>
      <c r="P44" s="1">
        <f t="shared" si="0"/>
        <v>60900305</v>
      </c>
    </row>
    <row r="45" spans="1:16" ht="15.75">
      <c r="A45" s="47">
        <f t="shared" si="1"/>
        <v>40</v>
      </c>
      <c r="B45" s="40" t="s">
        <v>6597</v>
      </c>
      <c r="C45" s="1">
        <v>60169825</v>
      </c>
      <c r="D45" s="14">
        <v>-5872595</v>
      </c>
      <c r="E45" s="14" t="s">
        <v>26</v>
      </c>
      <c r="F45" s="1" t="s">
        <v>26</v>
      </c>
      <c r="G45" s="1" t="s">
        <v>277</v>
      </c>
      <c r="P45" s="1">
        <f t="shared" si="0"/>
        <v>54297230</v>
      </c>
    </row>
    <row r="46" spans="1:16" ht="15.75">
      <c r="A46" s="47">
        <f t="shared" si="1"/>
        <v>41</v>
      </c>
      <c r="B46" s="40" t="s">
        <v>4066</v>
      </c>
      <c r="C46" s="1">
        <v>65334071</v>
      </c>
      <c r="D46" s="14">
        <v>-6474548</v>
      </c>
      <c r="E46" s="14" t="s">
        <v>26</v>
      </c>
      <c r="F46" s="1" t="s">
        <v>26</v>
      </c>
      <c r="G46" s="1" t="s">
        <v>277</v>
      </c>
      <c r="P46" s="1">
        <f t="shared" si="0"/>
        <v>58859523</v>
      </c>
    </row>
    <row r="47" spans="1:16" ht="15.75">
      <c r="A47" s="47">
        <f t="shared" si="1"/>
        <v>42</v>
      </c>
      <c r="B47" s="40" t="s">
        <v>2322</v>
      </c>
      <c r="C47" s="1">
        <v>33371773</v>
      </c>
      <c r="D47" s="14">
        <v>-3307113</v>
      </c>
      <c r="E47" s="14" t="s">
        <v>26</v>
      </c>
      <c r="F47" s="1" t="s">
        <v>26</v>
      </c>
      <c r="G47" s="1" t="s">
        <v>277</v>
      </c>
      <c r="P47" s="1">
        <f t="shared" si="0"/>
        <v>30064660</v>
      </c>
    </row>
    <row r="48" spans="1:16" ht="15.75">
      <c r="A48" s="47">
        <f t="shared" si="1"/>
        <v>43</v>
      </c>
      <c r="B48" s="40" t="s">
        <v>1627</v>
      </c>
      <c r="C48" s="1">
        <v>107725500</v>
      </c>
      <c r="D48" s="14">
        <v>-10675500</v>
      </c>
      <c r="E48" s="14" t="s">
        <v>26</v>
      </c>
      <c r="F48" s="1" t="s">
        <v>26</v>
      </c>
      <c r="G48" s="1" t="s">
        <v>277</v>
      </c>
      <c r="P48" s="1">
        <f t="shared" si="0"/>
        <v>97050000</v>
      </c>
    </row>
    <row r="49" spans="1:16" ht="15.75">
      <c r="A49" s="47">
        <f t="shared" si="1"/>
        <v>44</v>
      </c>
      <c r="B49" s="40" t="s">
        <v>1634</v>
      </c>
      <c r="C49" s="1">
        <v>244153602</v>
      </c>
      <c r="D49" s="14">
        <v>-24195402</v>
      </c>
      <c r="E49" s="14" t="s">
        <v>26</v>
      </c>
      <c r="F49" s="1" t="s">
        <v>26</v>
      </c>
      <c r="G49" s="1" t="s">
        <v>277</v>
      </c>
      <c r="P49" s="1">
        <f t="shared" si="0"/>
        <v>219958200</v>
      </c>
    </row>
    <row r="50" spans="1:16" s="8" customFormat="1" ht="15.75">
      <c r="A50" s="47">
        <f t="shared" si="1"/>
        <v>45</v>
      </c>
      <c r="B50" s="40" t="s">
        <v>3092</v>
      </c>
      <c r="C50" s="1">
        <v>48840000</v>
      </c>
      <c r="D50" s="14">
        <v>-4840000</v>
      </c>
      <c r="E50" s="14" t="s">
        <v>26</v>
      </c>
      <c r="F50" s="1" t="s">
        <v>26</v>
      </c>
      <c r="G50" s="1" t="s">
        <v>277</v>
      </c>
      <c r="H50" s="1"/>
      <c r="I50" s="1"/>
      <c r="J50" s="1"/>
      <c r="K50" s="1"/>
      <c r="L50" s="1"/>
      <c r="M50" s="1"/>
      <c r="N50" s="82"/>
      <c r="O50" s="82"/>
      <c r="P50" s="1">
        <f t="shared" si="0"/>
        <v>44000000</v>
      </c>
    </row>
    <row r="51" spans="1:16" ht="15.75">
      <c r="A51" s="47">
        <f t="shared" si="1"/>
        <v>46</v>
      </c>
      <c r="B51" s="40" t="s">
        <v>1378</v>
      </c>
      <c r="C51" s="1">
        <v>194004968</v>
      </c>
      <c r="D51" s="14">
        <v>-19225718</v>
      </c>
      <c r="E51" s="14" t="s">
        <v>26</v>
      </c>
      <c r="F51" s="1" t="s">
        <v>26</v>
      </c>
      <c r="G51" s="1" t="s">
        <v>277</v>
      </c>
      <c r="P51" s="1">
        <f t="shared" si="0"/>
        <v>174779250</v>
      </c>
    </row>
    <row r="52" spans="1:16" ht="15.75">
      <c r="A52" s="47">
        <f t="shared" si="1"/>
        <v>47</v>
      </c>
      <c r="B52" s="40" t="s">
        <v>3460</v>
      </c>
      <c r="C52" s="1">
        <v>45293035</v>
      </c>
      <c r="D52" s="14">
        <v>-4488499</v>
      </c>
      <c r="E52" s="14" t="s">
        <v>26</v>
      </c>
      <c r="F52" s="1" t="s">
        <v>26</v>
      </c>
      <c r="G52" s="1" t="s">
        <v>277</v>
      </c>
      <c r="P52" s="1">
        <f t="shared" si="0"/>
        <v>40804536</v>
      </c>
    </row>
    <row r="53" spans="1:16" ht="15.75">
      <c r="A53" s="47">
        <f t="shared" si="1"/>
        <v>48</v>
      </c>
      <c r="B53" s="40" t="s">
        <v>2238</v>
      </c>
      <c r="C53" s="1">
        <v>317975400</v>
      </c>
      <c r="D53" s="14">
        <v>-30980400</v>
      </c>
      <c r="E53" s="14" t="s">
        <v>26</v>
      </c>
      <c r="F53" s="1" t="s">
        <v>26</v>
      </c>
      <c r="G53" s="1" t="s">
        <v>277</v>
      </c>
      <c r="P53" s="1">
        <f t="shared" si="0"/>
        <v>286995000</v>
      </c>
    </row>
    <row r="54" spans="1:16" ht="15.75">
      <c r="A54" s="47">
        <f t="shared" si="1"/>
        <v>49</v>
      </c>
      <c r="B54" s="40" t="s">
        <v>6598</v>
      </c>
      <c r="C54" s="1">
        <v>60771994</v>
      </c>
      <c r="D54" s="14">
        <v>-6022451</v>
      </c>
      <c r="E54" s="14" t="s">
        <v>26</v>
      </c>
      <c r="F54" s="1" t="s">
        <v>26</v>
      </c>
      <c r="G54" s="1" t="s">
        <v>277</v>
      </c>
      <c r="P54" s="1">
        <f t="shared" si="0"/>
        <v>54749543</v>
      </c>
    </row>
    <row r="55" spans="1:16" ht="15.75">
      <c r="A55" s="47">
        <f t="shared" si="1"/>
        <v>50</v>
      </c>
      <c r="B55" s="40" t="s">
        <v>7150</v>
      </c>
      <c r="C55" s="1">
        <v>24770289</v>
      </c>
      <c r="D55" s="14">
        <v>-2454713</v>
      </c>
      <c r="E55" s="14" t="s">
        <v>26</v>
      </c>
      <c r="F55" s="1" t="s">
        <v>26</v>
      </c>
      <c r="P55" s="1">
        <f t="shared" si="0"/>
        <v>22315576</v>
      </c>
    </row>
    <row r="56" spans="1:16" ht="15.75">
      <c r="A56" s="47">
        <f t="shared" si="1"/>
        <v>51</v>
      </c>
      <c r="B56" s="40" t="s">
        <v>4088</v>
      </c>
      <c r="C56" s="1">
        <v>82318331</v>
      </c>
      <c r="D56" s="14">
        <v>-8157672</v>
      </c>
      <c r="E56" s="14" t="s">
        <v>26</v>
      </c>
      <c r="F56" s="1" t="s">
        <v>26</v>
      </c>
      <c r="G56" s="1" t="s">
        <v>277</v>
      </c>
      <c r="P56" s="1">
        <f t="shared" si="0"/>
        <v>74160659</v>
      </c>
    </row>
    <row r="57" spans="1:16" ht="15.75">
      <c r="A57" s="47">
        <f t="shared" si="1"/>
        <v>52</v>
      </c>
      <c r="B57" s="40" t="s">
        <v>6599</v>
      </c>
      <c r="C57" s="1">
        <v>70314441</v>
      </c>
      <c r="D57" s="14">
        <v>-6968098</v>
      </c>
      <c r="E57" s="14" t="s">
        <v>26</v>
      </c>
      <c r="F57" s="1" t="s">
        <v>26</v>
      </c>
      <c r="G57" s="1" t="s">
        <v>277</v>
      </c>
      <c r="P57" s="1">
        <f t="shared" si="0"/>
        <v>63346343</v>
      </c>
    </row>
    <row r="58" spans="1:16" ht="15.75">
      <c r="A58" s="47">
        <f t="shared" si="1"/>
        <v>53</v>
      </c>
      <c r="B58" s="40" t="s">
        <v>1638</v>
      </c>
      <c r="C58" s="1">
        <v>47788297</v>
      </c>
      <c r="D58" s="14">
        <v>-4735777</v>
      </c>
      <c r="E58" s="14" t="s">
        <v>26</v>
      </c>
      <c r="F58" s="1" t="s">
        <v>26</v>
      </c>
      <c r="G58" s="1" t="s">
        <v>277</v>
      </c>
      <c r="P58" s="1">
        <f t="shared" si="0"/>
        <v>43052520</v>
      </c>
    </row>
    <row r="59" spans="1:16" ht="15.75">
      <c r="A59" s="47">
        <f t="shared" si="1"/>
        <v>54</v>
      </c>
      <c r="B59" s="40" t="s">
        <v>1593</v>
      </c>
      <c r="C59" s="1">
        <v>12807421</v>
      </c>
      <c r="D59" s="14">
        <v>-1269204</v>
      </c>
      <c r="E59" s="14" t="s">
        <v>26</v>
      </c>
      <c r="F59" s="1" t="s">
        <v>26</v>
      </c>
      <c r="G59" s="11" t="s">
        <v>277</v>
      </c>
      <c r="H59" s="11"/>
      <c r="I59" s="11"/>
      <c r="J59" s="11"/>
      <c r="K59" s="11"/>
      <c r="L59" s="11"/>
      <c r="M59" s="11"/>
      <c r="P59" s="1">
        <f t="shared" si="0"/>
        <v>11538217</v>
      </c>
    </row>
    <row r="60" spans="1:16" ht="15.75">
      <c r="A60" s="47">
        <f t="shared" si="1"/>
        <v>55</v>
      </c>
      <c r="B60" s="40" t="s">
        <v>1633</v>
      </c>
      <c r="C60" s="1">
        <v>55393646</v>
      </c>
      <c r="D60" s="14">
        <v>-5489460</v>
      </c>
      <c r="E60" s="14" t="s">
        <v>26</v>
      </c>
      <c r="F60" s="1" t="s">
        <v>26</v>
      </c>
      <c r="G60" s="1" t="s">
        <v>277</v>
      </c>
      <c r="P60" s="1">
        <f t="shared" si="0"/>
        <v>49904186</v>
      </c>
    </row>
    <row r="61" spans="1:16" s="8" customFormat="1" ht="15.75">
      <c r="A61" s="47">
        <f t="shared" si="1"/>
        <v>56</v>
      </c>
      <c r="B61" s="40" t="s">
        <v>3135</v>
      </c>
      <c r="C61" s="1">
        <v>30681419</v>
      </c>
      <c r="D61" s="14">
        <v>-3040501</v>
      </c>
      <c r="E61" s="14" t="s">
        <v>26</v>
      </c>
      <c r="F61" s="1" t="s">
        <v>26</v>
      </c>
      <c r="G61" s="1" t="s">
        <v>277</v>
      </c>
      <c r="H61" s="1"/>
      <c r="I61" s="1"/>
      <c r="J61" s="1"/>
      <c r="K61" s="1"/>
      <c r="L61" s="1"/>
      <c r="M61" s="1"/>
      <c r="N61" s="82"/>
      <c r="O61" s="82"/>
      <c r="P61" s="1">
        <f t="shared" si="0"/>
        <v>27640918</v>
      </c>
    </row>
    <row r="62" spans="1:16" s="8" customFormat="1" ht="15.75">
      <c r="A62" s="47">
        <f t="shared" si="1"/>
        <v>57</v>
      </c>
      <c r="B62" s="40" t="s">
        <v>1622</v>
      </c>
      <c r="C62" s="1">
        <v>1690642212</v>
      </c>
      <c r="D62" s="14">
        <v>-17750892</v>
      </c>
      <c r="E62" s="14" t="s">
        <v>26</v>
      </c>
      <c r="F62" s="1" t="s">
        <v>26</v>
      </c>
      <c r="G62" s="1" t="s">
        <v>277</v>
      </c>
      <c r="H62" s="1"/>
      <c r="I62" s="1"/>
      <c r="J62" s="1"/>
      <c r="K62" s="1"/>
      <c r="L62" s="1"/>
      <c r="M62" s="1"/>
      <c r="N62" s="82"/>
      <c r="O62" s="82"/>
      <c r="P62" s="1">
        <f t="shared" si="0"/>
        <v>1672891320</v>
      </c>
    </row>
    <row r="63" spans="1:16" ht="15.75">
      <c r="A63" s="47">
        <f t="shared" si="1"/>
        <v>58</v>
      </c>
      <c r="B63" s="40" t="s">
        <v>1376</v>
      </c>
      <c r="C63" s="1">
        <v>1871870987</v>
      </c>
      <c r="D63" s="14">
        <v>-20366550</v>
      </c>
      <c r="E63" s="14" t="s">
        <v>26</v>
      </c>
      <c r="F63" s="1" t="s">
        <v>26</v>
      </c>
      <c r="G63" s="1" t="s">
        <v>277</v>
      </c>
      <c r="P63" s="1">
        <f t="shared" si="0"/>
        <v>1851504437</v>
      </c>
    </row>
    <row r="64" spans="1:16" ht="15.75">
      <c r="A64" s="47" t="s">
        <v>26</v>
      </c>
      <c r="B64" s="8" t="s">
        <v>26</v>
      </c>
      <c r="C64" s="1" t="s">
        <v>26</v>
      </c>
      <c r="D64" s="14" t="s">
        <v>26</v>
      </c>
      <c r="E64" s="14" t="s">
        <v>26</v>
      </c>
      <c r="F64" s="1" t="s">
        <v>26</v>
      </c>
      <c r="G64" s="1" t="s">
        <v>26</v>
      </c>
      <c r="M64" s="1" t="s">
        <v>26</v>
      </c>
      <c r="P64" s="1" t="s">
        <v>26</v>
      </c>
    </row>
    <row r="65" spans="1:17" ht="15.75">
      <c r="A65" s="47"/>
      <c r="B65" s="8"/>
      <c r="C65" s="83">
        <f t="shared" ref="C65:I65" si="2">SUM(C6:C64)</f>
        <v>42474091833</v>
      </c>
      <c r="D65" s="83">
        <f t="shared" si="2"/>
        <v>-3409059096</v>
      </c>
      <c r="E65" s="83">
        <f t="shared" si="2"/>
        <v>0</v>
      </c>
      <c r="F65" s="83">
        <f t="shared" si="2"/>
        <v>0</v>
      </c>
      <c r="G65" s="83">
        <f t="shared" si="2"/>
        <v>0</v>
      </c>
      <c r="H65" s="83">
        <f t="shared" si="2"/>
        <v>0</v>
      </c>
      <c r="I65" s="83">
        <f t="shared" si="2"/>
        <v>0</v>
      </c>
      <c r="J65" s="83"/>
      <c r="K65" s="83"/>
      <c r="L65" s="83">
        <f>SUM(L6:L64)</f>
        <v>0</v>
      </c>
      <c r="P65" s="83">
        <f>SUM(P6:P64)</f>
        <v>39065032737</v>
      </c>
    </row>
    <row r="66" spans="1:17" ht="15.75">
      <c r="A66" s="47"/>
      <c r="P66" s="10" t="s">
        <v>26</v>
      </c>
      <c r="Q66" s="84" t="s">
        <v>26</v>
      </c>
    </row>
    <row r="67" spans="1:17" ht="15.75">
      <c r="B67" s="9" t="s">
        <v>170</v>
      </c>
      <c r="C67" s="2" t="s">
        <v>486</v>
      </c>
      <c r="D67" s="2" t="s">
        <v>273</v>
      </c>
      <c r="E67" s="2" t="s">
        <v>4235</v>
      </c>
      <c r="F67" s="2" t="s">
        <v>456</v>
      </c>
      <c r="G67" s="2" t="s">
        <v>80</v>
      </c>
      <c r="H67" s="85" t="s">
        <v>241</v>
      </c>
      <c r="I67" s="85" t="s">
        <v>455</v>
      </c>
      <c r="J67" s="85" t="s">
        <v>6129</v>
      </c>
      <c r="K67" s="2" t="s">
        <v>4273</v>
      </c>
      <c r="L67" s="85" t="s">
        <v>43</v>
      </c>
      <c r="M67" s="2" t="s">
        <v>44</v>
      </c>
      <c r="N67" s="2" t="s">
        <v>171</v>
      </c>
    </row>
    <row r="68" spans="1:17" s="8" customFormat="1" ht="15.75">
      <c r="A68" s="200">
        <v>1</v>
      </c>
      <c r="B68" s="8" t="str">
        <f t="shared" ref="B68:B80" si="3">B6</f>
        <v>BRI Ceremony Penyerahan BN Sar Lv Haji</v>
      </c>
      <c r="C68" s="14">
        <v>-3400000</v>
      </c>
      <c r="D68" s="14">
        <v>-25342500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-1408162</v>
      </c>
      <c r="N68" s="14">
        <v>0</v>
      </c>
      <c r="O68" s="55"/>
      <c r="P68" s="14">
        <f t="shared" ref="P68:P125" si="4">SUM(C68:N68)</f>
        <v>-30150662</v>
      </c>
    </row>
    <row r="69" spans="1:17" s="8" customFormat="1" ht="15.75">
      <c r="A69" s="200">
        <f>+A68+1</f>
        <v>2</v>
      </c>
      <c r="B69" s="8" t="str">
        <f t="shared" si="3"/>
        <v>BRI FGD Semarang</v>
      </c>
      <c r="C69" s="14">
        <v>-4400000</v>
      </c>
      <c r="D69" s="14">
        <v>-7500000</v>
      </c>
      <c r="E69" s="14">
        <v>-76824517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-254107220</v>
      </c>
      <c r="N69" s="14">
        <v>0</v>
      </c>
      <c r="O69" s="55"/>
      <c r="P69" s="14">
        <f t="shared" si="4"/>
        <v>-342831737</v>
      </c>
    </row>
    <row r="70" spans="1:17" s="8" customFormat="1" ht="15.75">
      <c r="A70" s="200">
        <f t="shared" ref="A70:A96" si="5">+A69+1</f>
        <v>3</v>
      </c>
      <c r="B70" s="8" t="str">
        <f t="shared" si="3"/>
        <v>BRI Halal Bihalal Bersama Developer</v>
      </c>
      <c r="C70" s="14">
        <v>-5900000</v>
      </c>
      <c r="D70" s="14">
        <v>-307713920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-5175822</v>
      </c>
      <c r="N70" s="14">
        <v>0</v>
      </c>
      <c r="O70" s="55"/>
      <c r="P70" s="14">
        <f t="shared" si="4"/>
        <v>-318789742</v>
      </c>
    </row>
    <row r="71" spans="1:17" s="8" customFormat="1" ht="15.75">
      <c r="A71" s="200">
        <f t="shared" si="5"/>
        <v>4</v>
      </c>
      <c r="B71" s="8" t="str">
        <f t="shared" si="3"/>
        <v>BRI Journalist Bootcamp</v>
      </c>
      <c r="C71" s="14">
        <v>-4550000</v>
      </c>
      <c r="D71" s="14">
        <v>-90103108</v>
      </c>
      <c r="E71" s="14">
        <v>0</v>
      </c>
      <c r="F71" s="14">
        <v>-30235420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-33215029</v>
      </c>
      <c r="N71" s="14">
        <v>0</v>
      </c>
      <c r="O71" s="55"/>
      <c r="P71" s="14">
        <f t="shared" si="4"/>
        <v>-158103557</v>
      </c>
    </row>
    <row r="72" spans="1:17" s="8" customFormat="1" ht="15.75">
      <c r="A72" s="200">
        <f t="shared" si="5"/>
        <v>5</v>
      </c>
      <c r="B72" s="8" t="str">
        <f t="shared" si="3"/>
        <v>BRI Kunjungan Kerja Bogor DPR Komisi XI</v>
      </c>
      <c r="C72" s="14">
        <v>-3800000</v>
      </c>
      <c r="D72" s="14">
        <v>-54275000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-414800</v>
      </c>
      <c r="M72" s="14">
        <v>-376979801</v>
      </c>
      <c r="N72" s="14">
        <v>0</v>
      </c>
      <c r="O72" s="55"/>
      <c r="P72" s="14">
        <f t="shared" si="4"/>
        <v>-435469601</v>
      </c>
    </row>
    <row r="73" spans="1:17" s="8" customFormat="1" ht="15.75">
      <c r="A73" s="200">
        <f t="shared" si="5"/>
        <v>6</v>
      </c>
      <c r="B73" s="8" t="str">
        <f t="shared" si="3"/>
        <v>BRI Peringatan Puncak HUT ke-26 DWP dan Hari Ibu ke-97 DWP BKN</v>
      </c>
      <c r="C73" s="14">
        <v>-3650000</v>
      </c>
      <c r="D73" s="14">
        <v>-69523600</v>
      </c>
      <c r="E73" s="14">
        <v>-2500000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-7942619</v>
      </c>
      <c r="N73" s="14"/>
      <c r="O73" s="55"/>
      <c r="P73" s="14">
        <f t="shared" si="4"/>
        <v>-83616219</v>
      </c>
    </row>
    <row r="74" spans="1:17" s="8" customFormat="1" ht="15.75">
      <c r="A74" s="200">
        <f t="shared" si="5"/>
        <v>7</v>
      </c>
      <c r="B74" s="8" t="str">
        <f t="shared" si="3"/>
        <v>BSIN Supplier Meeting</v>
      </c>
      <c r="C74" s="14">
        <v>-2550000</v>
      </c>
      <c r="D74" s="14">
        <v>-43280000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-12000</v>
      </c>
      <c r="M74" s="14">
        <v>-29023791</v>
      </c>
      <c r="N74" s="14">
        <v>0</v>
      </c>
      <c r="O74" s="55"/>
      <c r="P74" s="14">
        <f t="shared" si="4"/>
        <v>-74865791</v>
      </c>
    </row>
    <row r="75" spans="1:17" s="8" customFormat="1" ht="15.75">
      <c r="A75" s="200">
        <f t="shared" si="5"/>
        <v>8</v>
      </c>
      <c r="B75" s="8" t="str">
        <f t="shared" si="3"/>
        <v>BSIN Tomo Gathering</v>
      </c>
      <c r="C75" s="14">
        <v>-4800000</v>
      </c>
      <c r="D75" s="14">
        <v>-219827050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-501249</v>
      </c>
      <c r="M75" s="14">
        <v>-429440756</v>
      </c>
      <c r="N75" s="14">
        <v>0</v>
      </c>
      <c r="O75" s="55"/>
      <c r="P75" s="14">
        <f t="shared" si="4"/>
        <v>-654569055</v>
      </c>
    </row>
    <row r="76" spans="1:17" s="8" customFormat="1" ht="15.75">
      <c r="A76" s="200">
        <f t="shared" si="5"/>
        <v>9</v>
      </c>
      <c r="B76" s="8" t="str">
        <f t="shared" si="3"/>
        <v>BTN Booth Hut 75</v>
      </c>
      <c r="C76" s="14">
        <v>0</v>
      </c>
      <c r="D76" s="14">
        <v>-30250000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-427000</v>
      </c>
      <c r="M76" s="14">
        <v>0</v>
      </c>
      <c r="N76" s="14">
        <v>0</v>
      </c>
      <c r="O76" s="55"/>
      <c r="P76" s="14">
        <f t="shared" si="4"/>
        <v>-30677000</v>
      </c>
    </row>
    <row r="77" spans="1:17" s="8" customFormat="1" ht="15.75">
      <c r="A77" s="200">
        <f t="shared" si="5"/>
        <v>10</v>
      </c>
      <c r="B77" s="8" t="str">
        <f t="shared" si="3"/>
        <v>BTN Dekorasi HUT 75</v>
      </c>
      <c r="C77" s="14">
        <v>-800000</v>
      </c>
      <c r="D77" s="14">
        <v>-105506800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55"/>
      <c r="P77" s="14">
        <f t="shared" si="4"/>
        <v>-106306800</v>
      </c>
    </row>
    <row r="78" spans="1:17" s="8" customFormat="1" ht="15.75">
      <c r="A78" s="200">
        <f t="shared" si="5"/>
        <v>11</v>
      </c>
      <c r="B78" s="8" t="str">
        <f t="shared" si="3"/>
        <v>BTN Excellence Award</v>
      </c>
      <c r="C78" s="14">
        <v>-1900000</v>
      </c>
      <c r="D78" s="14">
        <v>-321398500</v>
      </c>
      <c r="E78" s="14">
        <v>-116200000</v>
      </c>
      <c r="F78" s="14">
        <v>-7800000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-183000</v>
      </c>
      <c r="M78" s="14">
        <v>-4593000</v>
      </c>
      <c r="N78" s="14">
        <v>0</v>
      </c>
      <c r="O78" s="55"/>
      <c r="P78" s="14">
        <f t="shared" si="4"/>
        <v>-452074500</v>
      </c>
    </row>
    <row r="79" spans="1:17" s="8" customFormat="1" ht="15.75">
      <c r="A79" s="200">
        <f t="shared" si="5"/>
        <v>12</v>
      </c>
      <c r="B79" s="8" t="str">
        <f t="shared" si="3"/>
        <v>BTN Mini Olympic</v>
      </c>
      <c r="C79" s="14">
        <v>-2300000</v>
      </c>
      <c r="D79" s="14">
        <v>-94675940</v>
      </c>
      <c r="E79" s="14">
        <v>-27750000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-185000</v>
      </c>
      <c r="M79" s="14">
        <v>-7685714</v>
      </c>
      <c r="N79" s="14">
        <v>0</v>
      </c>
      <c r="O79" s="55"/>
      <c r="P79" s="14">
        <f t="shared" si="4"/>
        <v>-132596654</v>
      </c>
    </row>
    <row r="80" spans="1:17" s="8" customFormat="1" ht="15.75">
      <c r="A80" s="200">
        <f t="shared" si="5"/>
        <v>13</v>
      </c>
      <c r="B80" s="8" t="str">
        <f t="shared" si="3"/>
        <v>Cirebon Power Employee Gathering Bandung</v>
      </c>
      <c r="C80" s="14">
        <v>-24650000</v>
      </c>
      <c r="D80" s="14">
        <v>-218964900</v>
      </c>
      <c r="E80" s="14">
        <v>-102133000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-1447500</v>
      </c>
      <c r="M80" s="14">
        <v>-172840149</v>
      </c>
      <c r="N80" s="14">
        <v>0</v>
      </c>
      <c r="O80" s="55"/>
      <c r="P80" s="14">
        <f t="shared" si="4"/>
        <v>-520035549</v>
      </c>
    </row>
    <row r="81" spans="1:16" s="8" customFormat="1" ht="15.75">
      <c r="A81" s="200">
        <f t="shared" si="5"/>
        <v>14</v>
      </c>
      <c r="B81" s="8" t="str">
        <f t="shared" ref="B81:B83" si="6">B19</f>
        <v>FIF NMC ACT Handling</v>
      </c>
      <c r="C81" s="14">
        <v>0</v>
      </c>
      <c r="D81" s="14">
        <v>-1875000</v>
      </c>
      <c r="E81" s="14">
        <v>-35250000</v>
      </c>
      <c r="F81" s="14">
        <v>-4835000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-2673749</v>
      </c>
      <c r="N81" s="14">
        <v>0</v>
      </c>
      <c r="O81" s="55"/>
      <c r="P81" s="14">
        <f t="shared" si="4"/>
        <v>-44633749</v>
      </c>
    </row>
    <row r="82" spans="1:16" s="8" customFormat="1" ht="15.75">
      <c r="A82" s="200">
        <f t="shared" si="5"/>
        <v>15</v>
      </c>
      <c r="B82" s="8" t="str">
        <f t="shared" si="6"/>
        <v>FIT Air Ticket And Others</v>
      </c>
      <c r="C82" s="14">
        <v>0</v>
      </c>
      <c r="D82" s="14">
        <v>0</v>
      </c>
      <c r="E82" s="14">
        <v>-53160950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3417344</v>
      </c>
      <c r="N82" s="14">
        <v>0</v>
      </c>
      <c r="O82" s="55"/>
      <c r="P82" s="14">
        <f t="shared" si="4"/>
        <v>-49743606</v>
      </c>
    </row>
    <row r="83" spans="1:16" s="8" customFormat="1" ht="15.75">
      <c r="A83" s="200">
        <f t="shared" si="5"/>
        <v>16</v>
      </c>
      <c r="B83" s="8" t="str">
        <f t="shared" si="6"/>
        <v>HIMBARA FGD Balikpapan</v>
      </c>
      <c r="C83" s="14">
        <v>-6150000</v>
      </c>
      <c r="D83" s="14">
        <v>-33000000</v>
      </c>
      <c r="E83" s="14">
        <v>-106480280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-1053445</v>
      </c>
      <c r="M83" s="14">
        <v>-473878000</v>
      </c>
      <c r="N83" s="14">
        <v>0</v>
      </c>
      <c r="O83" s="55"/>
      <c r="P83" s="14">
        <f t="shared" si="4"/>
        <v>-620561725</v>
      </c>
    </row>
    <row r="84" spans="1:16" s="8" customFormat="1" ht="15.75">
      <c r="A84" s="200">
        <f t="shared" si="5"/>
        <v>17</v>
      </c>
      <c r="B84" s="8" t="str">
        <f t="shared" ref="B84:B100" si="7">B22</f>
        <v>HIMBARA FGD Semarang</v>
      </c>
      <c r="C84" s="14">
        <v>-4500000</v>
      </c>
      <c r="D84" s="14">
        <v>-64000000</v>
      </c>
      <c r="E84" s="14">
        <v>-2847693050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-970315</v>
      </c>
      <c r="M84" s="14">
        <v>-47450517</v>
      </c>
      <c r="N84" s="14">
        <v>0</v>
      </c>
      <c r="O84" s="55"/>
      <c r="P84" s="14">
        <f t="shared" si="4"/>
        <v>-2964613882</v>
      </c>
    </row>
    <row r="85" spans="1:16" s="8" customFormat="1" ht="15.75">
      <c r="A85" s="200">
        <f t="shared" si="5"/>
        <v>18</v>
      </c>
      <c r="B85" s="8" t="str">
        <f t="shared" si="7"/>
        <v>HIMBARA Kunjungan Kerja Bali Bajo</v>
      </c>
      <c r="C85" s="14">
        <v>-633210000</v>
      </c>
      <c r="D85" s="14">
        <v>-182192500</v>
      </c>
      <c r="E85" s="14">
        <v>-78295753</v>
      </c>
      <c r="F85" s="14">
        <v>20000000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-2525778</v>
      </c>
      <c r="M85" s="14">
        <v>-1781201158</v>
      </c>
      <c r="N85" s="14">
        <v>0</v>
      </c>
      <c r="O85" s="55"/>
      <c r="P85" s="14">
        <f t="shared" si="4"/>
        <v>-2657425189</v>
      </c>
    </row>
    <row r="86" spans="1:16" s="8" customFormat="1" ht="15.75">
      <c r="A86" s="200">
        <f t="shared" si="5"/>
        <v>19</v>
      </c>
      <c r="B86" s="8" t="str">
        <f t="shared" si="7"/>
        <v>Insight Goes To Vietnam</v>
      </c>
      <c r="C86" s="14">
        <v>-3998100</v>
      </c>
      <c r="D86" s="14">
        <v>-115931851</v>
      </c>
      <c r="E86" s="14">
        <v>-122073245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-785000</v>
      </c>
      <c r="M86" s="14">
        <v>-12821641</v>
      </c>
      <c r="N86" s="14">
        <v>0</v>
      </c>
      <c r="O86" s="55"/>
      <c r="P86" s="14">
        <f t="shared" si="4"/>
        <v>-255609837</v>
      </c>
    </row>
    <row r="87" spans="1:16" s="8" customFormat="1" ht="15.75">
      <c r="A87" s="200">
        <f t="shared" si="5"/>
        <v>20</v>
      </c>
      <c r="B87" s="8" t="str">
        <f t="shared" si="7"/>
        <v>KBUMN Natal 2024</v>
      </c>
      <c r="C87" s="14">
        <v>-18450000</v>
      </c>
      <c r="D87" s="14">
        <v>-3693003890</v>
      </c>
      <c r="E87" s="14">
        <v>-1686112187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-1044739</v>
      </c>
      <c r="M87" s="14">
        <v>-843414981</v>
      </c>
      <c r="N87" s="14">
        <v>0</v>
      </c>
      <c r="O87" s="55"/>
      <c r="P87" s="14">
        <f t="shared" si="4"/>
        <v>-6242025797</v>
      </c>
    </row>
    <row r="88" spans="1:16" s="8" customFormat="1" ht="15.75">
      <c r="A88" s="200">
        <f t="shared" si="5"/>
        <v>21</v>
      </c>
      <c r="B88" s="8" t="str">
        <f t="shared" si="7"/>
        <v>KSEI Seminar Emiten</v>
      </c>
      <c r="C88" s="14">
        <v>-9100000</v>
      </c>
      <c r="D88" s="14">
        <v>-278657500</v>
      </c>
      <c r="E88" s="14">
        <v>-72049122</v>
      </c>
      <c r="F88" s="14">
        <v>-191665000</v>
      </c>
      <c r="G88" s="14">
        <v>0</v>
      </c>
      <c r="H88" s="14">
        <v>0</v>
      </c>
      <c r="I88" s="14">
        <v>0</v>
      </c>
      <c r="J88" s="14">
        <v>-147046150</v>
      </c>
      <c r="K88" s="14">
        <v>0</v>
      </c>
      <c r="L88" s="14">
        <v>-58058</v>
      </c>
      <c r="M88" s="14">
        <v>-32157015</v>
      </c>
      <c r="N88" s="14">
        <v>0</v>
      </c>
      <c r="O88" s="55"/>
      <c r="P88" s="14">
        <f t="shared" si="4"/>
        <v>-730732845</v>
      </c>
    </row>
    <row r="89" spans="1:16" s="8" customFormat="1" ht="15.75">
      <c r="A89" s="200">
        <f t="shared" si="5"/>
        <v>22</v>
      </c>
      <c r="B89" s="8" t="str">
        <f t="shared" si="7"/>
        <v>Mandiri Pasar Murah</v>
      </c>
      <c r="C89" s="14">
        <v>-30250000</v>
      </c>
      <c r="D89" s="14">
        <v>-1974194790</v>
      </c>
      <c r="E89" s="14">
        <v>-2578038820.1400003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-2693833</v>
      </c>
      <c r="M89" s="14">
        <v>-217578000</v>
      </c>
      <c r="N89" s="14">
        <v>0</v>
      </c>
      <c r="O89" s="55"/>
      <c r="P89" s="14">
        <f t="shared" si="4"/>
        <v>-4802755443.1400003</v>
      </c>
    </row>
    <row r="90" spans="1:16" s="8" customFormat="1" ht="15.75">
      <c r="A90" s="200">
        <f t="shared" si="5"/>
        <v>23</v>
      </c>
      <c r="B90" s="8" t="str">
        <f t="shared" si="7"/>
        <v xml:space="preserve">OJK Kunjungan Kerja Komisi XI DPR RI 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55"/>
      <c r="P90" s="14">
        <f t="shared" si="4"/>
        <v>0</v>
      </c>
    </row>
    <row r="91" spans="1:16" s="8" customFormat="1" ht="15.75">
      <c r="A91" s="200">
        <f t="shared" si="5"/>
        <v>24</v>
      </c>
      <c r="B91" s="8" t="str">
        <f t="shared" si="7"/>
        <v>PLN IP Energy Business Forum</v>
      </c>
      <c r="C91" s="14">
        <v>-1600000</v>
      </c>
      <c r="D91" s="14">
        <v>-218699000</v>
      </c>
      <c r="E91" s="14">
        <v>-122884615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-65530555</v>
      </c>
      <c r="N91" s="14">
        <v>0</v>
      </c>
      <c r="O91" s="55"/>
      <c r="P91" s="14">
        <f t="shared" si="4"/>
        <v>-408714170</v>
      </c>
    </row>
    <row r="92" spans="1:16" s="8" customFormat="1" ht="15.75">
      <c r="A92" s="200">
        <f t="shared" si="5"/>
        <v>25</v>
      </c>
      <c r="B92" s="8" t="str">
        <f t="shared" si="7"/>
        <v>PYC IEC</v>
      </c>
      <c r="C92" s="14">
        <v>-11200000</v>
      </c>
      <c r="D92" s="14">
        <v>-468490000</v>
      </c>
      <c r="E92" s="14">
        <v>-604596005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-1632900</v>
      </c>
      <c r="M92" s="14">
        <v>-29764751</v>
      </c>
      <c r="N92" s="14">
        <v>0</v>
      </c>
      <c r="O92" s="55"/>
      <c r="P92" s="14">
        <f t="shared" si="4"/>
        <v>-1115683656</v>
      </c>
    </row>
    <row r="93" spans="1:16" s="8" customFormat="1" ht="15.75">
      <c r="A93" s="200">
        <f t="shared" si="5"/>
        <v>26</v>
      </c>
      <c r="B93" s="8" t="str">
        <f t="shared" si="7"/>
        <v>PYC Talks</v>
      </c>
      <c r="C93" s="14">
        <v>-2650000</v>
      </c>
      <c r="D93" s="14">
        <v>-88274720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-1904156</v>
      </c>
      <c r="N93" s="14">
        <v>0</v>
      </c>
      <c r="O93" s="55"/>
      <c r="P93" s="14">
        <f t="shared" si="4"/>
        <v>-92828876</v>
      </c>
    </row>
    <row r="94" spans="1:16" s="8" customFormat="1" ht="15.75">
      <c r="A94" s="200">
        <f t="shared" si="5"/>
        <v>27</v>
      </c>
      <c r="B94" s="8" t="str">
        <f t="shared" si="7"/>
        <v>Sabic Broadcast Video Maker</v>
      </c>
      <c r="C94" s="14">
        <v>-800000</v>
      </c>
      <c r="D94" s="14">
        <v>-10000000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55"/>
      <c r="P94" s="14">
        <f t="shared" si="4"/>
        <v>-10800000</v>
      </c>
    </row>
    <row r="95" spans="1:16" s="8" customFormat="1" ht="15.75">
      <c r="A95" s="200">
        <f t="shared" si="5"/>
        <v>28</v>
      </c>
      <c r="B95" s="8" t="str">
        <f t="shared" si="7"/>
        <v>Shell MotoGP Sepang</v>
      </c>
      <c r="C95" s="14">
        <v>-800000</v>
      </c>
      <c r="D95" s="14">
        <v>-169949820</v>
      </c>
      <c r="E95" s="14">
        <v>-84188199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-463875</v>
      </c>
      <c r="M95" s="14">
        <v>-24152879</v>
      </c>
      <c r="N95" s="14">
        <v>0</v>
      </c>
      <c r="O95" s="55"/>
      <c r="P95" s="14">
        <f t="shared" si="4"/>
        <v>-279554773</v>
      </c>
    </row>
    <row r="96" spans="1:16" s="8" customFormat="1" ht="15.75">
      <c r="A96" s="200">
        <f t="shared" si="5"/>
        <v>29</v>
      </c>
      <c r="B96" s="8" t="str">
        <f t="shared" si="7"/>
        <v>Shell Network Persada</v>
      </c>
      <c r="C96" s="14">
        <v>-6350000</v>
      </c>
      <c r="D96" s="14">
        <v>-347897300</v>
      </c>
      <c r="E96" s="14">
        <v>-128064426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-42000</v>
      </c>
      <c r="M96" s="14">
        <v>-155838672</v>
      </c>
      <c r="N96" s="14">
        <v>0</v>
      </c>
      <c r="O96" s="55"/>
      <c r="P96" s="14">
        <f t="shared" si="4"/>
        <v>-638192398</v>
      </c>
    </row>
    <row r="97" spans="1:16" s="8" customFormat="1" ht="15.75">
      <c r="A97" s="200">
        <f t="shared" ref="A97:A125" si="8">+A96+1</f>
        <v>30</v>
      </c>
      <c r="B97" s="8" t="str">
        <f t="shared" si="7"/>
        <v>Shell Shanghai Tech Private Trip</v>
      </c>
      <c r="C97" s="14">
        <v>-56375000</v>
      </c>
      <c r="D97" s="14">
        <v>-7923890</v>
      </c>
      <c r="E97" s="14">
        <v>-9474406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-521165</v>
      </c>
      <c r="M97" s="14">
        <v>-33892630</v>
      </c>
      <c r="N97" s="14">
        <v>0</v>
      </c>
      <c r="O97" s="55"/>
      <c r="P97" s="14">
        <f t="shared" si="4"/>
        <v>-108187091</v>
      </c>
    </row>
    <row r="98" spans="1:16" s="8" customFormat="1" ht="15.75">
      <c r="A98" s="200">
        <f t="shared" si="8"/>
        <v>31</v>
      </c>
      <c r="B98" s="8" t="str">
        <f t="shared" si="7"/>
        <v>Shell Visit Factory Bangkok</v>
      </c>
      <c r="C98" s="14">
        <v>-10550000</v>
      </c>
      <c r="D98" s="14">
        <v>-29800335</v>
      </c>
      <c r="E98" s="14">
        <v>-265782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55000</v>
      </c>
      <c r="M98" s="14">
        <v>-21928603</v>
      </c>
      <c r="N98" s="14">
        <v>0</v>
      </c>
      <c r="O98" s="55"/>
      <c r="P98" s="14">
        <f t="shared" si="4"/>
        <v>-62489720</v>
      </c>
    </row>
    <row r="99" spans="1:16" s="8" customFormat="1" ht="15.75">
      <c r="A99" s="200">
        <f t="shared" si="8"/>
        <v>32</v>
      </c>
      <c r="B99" s="8" t="str">
        <f t="shared" si="7"/>
        <v>Telkomsel 1 on 1 Meeting Sumatera &amp; HQ</v>
      </c>
      <c r="C99" s="14">
        <v>-900000</v>
      </c>
      <c r="D99" s="14">
        <v>-550000</v>
      </c>
      <c r="E99" s="14">
        <v>-24503212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-794700</v>
      </c>
      <c r="M99" s="14">
        <v>-25286037</v>
      </c>
      <c r="N99" s="14">
        <v>0</v>
      </c>
      <c r="O99" s="55"/>
      <c r="P99" s="14">
        <f t="shared" si="4"/>
        <v>-52033949</v>
      </c>
    </row>
    <row r="100" spans="1:16" s="8" customFormat="1" ht="15.75">
      <c r="A100" s="200">
        <f t="shared" si="8"/>
        <v>33</v>
      </c>
      <c r="B100" s="8" t="str">
        <f t="shared" si="7"/>
        <v>Telkomsel Alignment SIFA Mobile &amp; Fixed</v>
      </c>
      <c r="C100" s="14">
        <v>0</v>
      </c>
      <c r="D100" s="14">
        <v>0</v>
      </c>
      <c r="E100" s="14">
        <v>-24939000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55"/>
      <c r="P100" s="14">
        <f t="shared" si="4"/>
        <v>-24939000</v>
      </c>
    </row>
    <row r="101" spans="1:16" s="8" customFormat="1" ht="15.75">
      <c r="A101" s="200">
        <f t="shared" si="8"/>
        <v>34</v>
      </c>
      <c r="B101" s="8" t="str">
        <f t="shared" ref="B101:B125" si="9">B39</f>
        <v>Telkomsel ANO Forum 2024 (Lampung)</v>
      </c>
      <c r="C101" s="14">
        <v>-8716000</v>
      </c>
      <c r="D101" s="14">
        <v>-122216145</v>
      </c>
      <c r="E101" s="14">
        <v>-181692382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-521500</v>
      </c>
      <c r="M101" s="14">
        <v>-87304372</v>
      </c>
      <c r="N101" s="14">
        <v>0</v>
      </c>
      <c r="O101" s="55"/>
      <c r="P101" s="14">
        <f t="shared" si="4"/>
        <v>-400450399</v>
      </c>
    </row>
    <row r="102" spans="1:16" s="8" customFormat="1" ht="15.75">
      <c r="A102" s="200">
        <f t="shared" si="8"/>
        <v>35</v>
      </c>
      <c r="B102" s="8" t="str">
        <f t="shared" si="9"/>
        <v>Telkomsel Campaign Pelanggan Prestige MyAds SBT</v>
      </c>
      <c r="C102" s="14">
        <v>0</v>
      </c>
      <c r="D102" s="14">
        <v>0</v>
      </c>
      <c r="E102" s="14">
        <v>-30000000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55"/>
      <c r="P102" s="14">
        <f t="shared" si="4"/>
        <v>-30000000</v>
      </c>
    </row>
    <row r="103" spans="1:16" s="8" customFormat="1" ht="15.75">
      <c r="A103" s="200">
        <f t="shared" si="8"/>
        <v>36</v>
      </c>
      <c r="B103" s="8" t="str">
        <f t="shared" si="9"/>
        <v>Telkomsel Delight and Excellent Execution</v>
      </c>
      <c r="C103" s="54">
        <v>0</v>
      </c>
      <c r="D103" s="54">
        <v>0</v>
      </c>
      <c r="E103" s="54">
        <v>-66612952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-48302506</v>
      </c>
      <c r="N103" s="54">
        <v>0</v>
      </c>
      <c r="O103" s="55"/>
      <c r="P103" s="14">
        <f t="shared" si="4"/>
        <v>-114915458</v>
      </c>
    </row>
    <row r="104" spans="1:16" s="8" customFormat="1" ht="15.75">
      <c r="A104" s="200">
        <f t="shared" si="8"/>
        <v>37</v>
      </c>
      <c r="B104" s="8" t="str">
        <f t="shared" si="9"/>
        <v>Telkomsel Duta Budget</v>
      </c>
      <c r="C104" s="14">
        <v>0</v>
      </c>
      <c r="D104" s="14">
        <v>0</v>
      </c>
      <c r="E104" s="14">
        <v>-6899780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-160500</v>
      </c>
      <c r="M104" s="14">
        <v>-480396</v>
      </c>
      <c r="N104" s="14">
        <v>0</v>
      </c>
      <c r="O104" s="55"/>
      <c r="P104" s="14">
        <f t="shared" si="4"/>
        <v>-7540676</v>
      </c>
    </row>
    <row r="105" spans="1:16" s="8" customFormat="1" ht="15.75">
      <c r="A105" s="200">
        <f t="shared" si="8"/>
        <v>38</v>
      </c>
      <c r="B105" s="8" t="str">
        <f t="shared" si="9"/>
        <v>Telkomsel Event Direksi Visit Medan and OM Consolidation</v>
      </c>
      <c r="C105" s="14">
        <v>0</v>
      </c>
      <c r="D105" s="14">
        <v>0</v>
      </c>
      <c r="E105" s="14">
        <v>-7465336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-2854577</v>
      </c>
      <c r="N105" s="14">
        <v>0</v>
      </c>
      <c r="O105" s="55"/>
      <c r="P105" s="14">
        <f t="shared" si="4"/>
        <v>-10319913</v>
      </c>
    </row>
    <row r="106" spans="1:16" s="8" customFormat="1" ht="15.75">
      <c r="A106" s="200">
        <f t="shared" si="8"/>
        <v>39</v>
      </c>
      <c r="B106" s="8" t="str">
        <f t="shared" si="9"/>
        <v>Telkomsel Event Market Recovery and City Fokus Q3</v>
      </c>
      <c r="C106" s="14">
        <v>0</v>
      </c>
      <c r="D106" s="14">
        <v>0</v>
      </c>
      <c r="E106" s="14">
        <v>-56847522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55"/>
      <c r="P106" s="14">
        <f t="shared" si="4"/>
        <v>-56847522</v>
      </c>
    </row>
    <row r="107" spans="1:16" s="8" customFormat="1" ht="15.75">
      <c r="A107" s="200">
        <f t="shared" si="8"/>
        <v>40</v>
      </c>
      <c r="B107" s="8" t="str">
        <f t="shared" si="9"/>
        <v>Telkomsel Event Vandalisme Palembang</v>
      </c>
      <c r="C107" s="14">
        <v>0</v>
      </c>
      <c r="D107" s="14">
        <v>0</v>
      </c>
      <c r="E107" s="14">
        <v>-38097818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-11900000</v>
      </c>
      <c r="N107" s="14">
        <v>0</v>
      </c>
      <c r="O107" s="55"/>
      <c r="P107" s="14">
        <f t="shared" si="4"/>
        <v>-49997818</v>
      </c>
    </row>
    <row r="108" spans="1:16" s="8" customFormat="1" ht="15.75">
      <c r="A108" s="200">
        <f t="shared" si="8"/>
        <v>41</v>
      </c>
      <c r="B108" s="8" t="str">
        <f t="shared" si="9"/>
        <v>Telkomsel Farewel Liwetan Sumbagteng</v>
      </c>
      <c r="C108" s="14">
        <v>0</v>
      </c>
      <c r="D108" s="14">
        <v>0</v>
      </c>
      <c r="E108" s="14">
        <v>-38929000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-13594248</v>
      </c>
      <c r="N108" s="14">
        <v>0</v>
      </c>
      <c r="O108" s="55"/>
      <c r="P108" s="14">
        <f t="shared" si="4"/>
        <v>-52523248</v>
      </c>
    </row>
    <row r="109" spans="1:16" s="8" customFormat="1" ht="15.75">
      <c r="A109" s="200">
        <f t="shared" si="8"/>
        <v>42</v>
      </c>
      <c r="B109" s="8" t="str">
        <f t="shared" si="9"/>
        <v>Telkomsel Finalisasi SOP Fulfillment</v>
      </c>
      <c r="C109" s="14">
        <v>0</v>
      </c>
      <c r="D109" s="14">
        <v>-14000000</v>
      </c>
      <c r="E109" s="14">
        <v>-12447850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-1079438</v>
      </c>
      <c r="N109" s="14">
        <v>0</v>
      </c>
      <c r="O109" s="55"/>
      <c r="P109" s="14">
        <f t="shared" si="4"/>
        <v>-27527288</v>
      </c>
    </row>
    <row r="110" spans="1:16" s="8" customFormat="1" ht="15.75">
      <c r="A110" s="200">
        <f t="shared" si="8"/>
        <v>43</v>
      </c>
      <c r="B110" s="8" t="str">
        <f t="shared" si="9"/>
        <v>Telkomsel Gamification Q4 2024</v>
      </c>
      <c r="C110" s="14">
        <v>0</v>
      </c>
      <c r="D110" s="14">
        <v>-10902000</v>
      </c>
      <c r="E110" s="14">
        <v>-64850000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-14817703</v>
      </c>
      <c r="N110" s="14">
        <v>0</v>
      </c>
      <c r="O110" s="55"/>
      <c r="P110" s="14">
        <f t="shared" si="4"/>
        <v>-90569703</v>
      </c>
    </row>
    <row r="111" spans="1:16" s="8" customFormat="1" ht="15.75">
      <c r="A111" s="200">
        <f t="shared" si="8"/>
        <v>44</v>
      </c>
      <c r="B111" s="8" t="str">
        <f t="shared" si="9"/>
        <v>Telkomsel GraPARI TOMO</v>
      </c>
      <c r="C111" s="14">
        <v>0</v>
      </c>
      <c r="D111" s="14">
        <v>-27906488</v>
      </c>
      <c r="E111" s="14">
        <v>-88782421</v>
      </c>
      <c r="F111" s="14">
        <v>0</v>
      </c>
      <c r="G111" s="14">
        <v>0</v>
      </c>
      <c r="H111" s="14">
        <v>0</v>
      </c>
      <c r="I111" s="14">
        <v>0</v>
      </c>
      <c r="J111" s="14">
        <v>-2772100</v>
      </c>
      <c r="K111" s="14">
        <v>0</v>
      </c>
      <c r="L111" s="14">
        <v>0</v>
      </c>
      <c r="M111" s="14">
        <v>-62528171</v>
      </c>
      <c r="N111" s="14">
        <v>0</v>
      </c>
      <c r="O111" s="55"/>
      <c r="P111" s="14">
        <f t="shared" si="4"/>
        <v>-181989180</v>
      </c>
    </row>
    <row r="112" spans="1:16" s="8" customFormat="1" ht="15.75">
      <c r="A112" s="200">
        <f t="shared" si="8"/>
        <v>45</v>
      </c>
      <c r="B112" s="8" t="str">
        <f t="shared" si="9"/>
        <v>Telkomsel Increase Fundamental Service to Improve Sales Acquisition</v>
      </c>
      <c r="C112" s="14">
        <v>0</v>
      </c>
      <c r="D112" s="14">
        <v>-5746000</v>
      </c>
      <c r="E112" s="14">
        <v>-22873376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-80000</v>
      </c>
      <c r="M112" s="14">
        <v>212688</v>
      </c>
      <c r="N112" s="14">
        <v>0</v>
      </c>
      <c r="O112" s="55"/>
      <c r="P112" s="14">
        <f t="shared" si="4"/>
        <v>-28486688</v>
      </c>
    </row>
    <row r="113" spans="1:16" s="8" customFormat="1" ht="15.75">
      <c r="A113" s="200">
        <f t="shared" si="8"/>
        <v>46</v>
      </c>
      <c r="B113" s="8" t="str">
        <f t="shared" si="9"/>
        <v>Telkomsel IPTV Product Sales Incentives Q3 2024</v>
      </c>
      <c r="C113" s="14">
        <v>0</v>
      </c>
      <c r="D113" s="14">
        <v>-167324500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-70000</v>
      </c>
      <c r="M113" s="14">
        <v>-150000</v>
      </c>
      <c r="N113" s="14">
        <v>0</v>
      </c>
      <c r="O113" s="55"/>
      <c r="P113" s="14">
        <f t="shared" si="4"/>
        <v>-167544500</v>
      </c>
    </row>
    <row r="114" spans="1:16" s="8" customFormat="1" ht="15.75">
      <c r="A114" s="200">
        <f t="shared" si="8"/>
        <v>47</v>
      </c>
      <c r="B114" s="8" t="str">
        <f t="shared" si="9"/>
        <v>Telkomsel Mini WS Sumbagteng Q2 2025</v>
      </c>
      <c r="C114" s="14">
        <v>0</v>
      </c>
      <c r="D114" s="14">
        <v>0</v>
      </c>
      <c r="E114" s="14">
        <v>-37957708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55"/>
      <c r="P114" s="14">
        <f t="shared" si="4"/>
        <v>-37957708</v>
      </c>
    </row>
    <row r="115" spans="1:16" s="8" customFormat="1" ht="15.75">
      <c r="A115" s="200">
        <f t="shared" si="8"/>
        <v>48</v>
      </c>
      <c r="B115" s="8" t="str">
        <f t="shared" si="9"/>
        <v>Telkomsel Orbit Household Q4 2024</v>
      </c>
      <c r="C115" s="14">
        <v>0</v>
      </c>
      <c r="D115" s="14">
        <v>-171451401</v>
      </c>
      <c r="E115" s="14">
        <v>-20772570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-49169122</v>
      </c>
      <c r="N115" s="14">
        <v>0</v>
      </c>
      <c r="O115" s="55"/>
      <c r="P115" s="14">
        <f t="shared" si="4"/>
        <v>-241393093</v>
      </c>
    </row>
    <row r="116" spans="1:16" s="8" customFormat="1" ht="15.75">
      <c r="A116" s="200">
        <f t="shared" si="8"/>
        <v>49</v>
      </c>
      <c r="B116" s="8" t="str">
        <f t="shared" si="9"/>
        <v>Telkomsel PCM Academy and Meeting Pengamanan Target Q1 2025 Area</v>
      </c>
      <c r="C116" s="14">
        <v>0</v>
      </c>
      <c r="D116" s="14">
        <v>-6401000</v>
      </c>
      <c r="E116" s="14">
        <v>-45969095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2958322</v>
      </c>
      <c r="N116" s="14">
        <v>0</v>
      </c>
      <c r="O116" s="55"/>
      <c r="P116" s="14">
        <f t="shared" si="4"/>
        <v>-49411773</v>
      </c>
    </row>
    <row r="117" spans="1:16" s="8" customFormat="1" ht="15.75">
      <c r="A117" s="200">
        <f t="shared" si="8"/>
        <v>50</v>
      </c>
      <c r="B117" s="8" t="str">
        <f t="shared" si="9"/>
        <v>Telkomsel Pengadaan untuk visit Cluster Area Sumatera Q3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55"/>
      <c r="P117" s="14">
        <f t="shared" si="4"/>
        <v>0</v>
      </c>
    </row>
    <row r="118" spans="1:16" s="8" customFormat="1" ht="15.75">
      <c r="A118" s="200">
        <f t="shared" si="8"/>
        <v>51</v>
      </c>
      <c r="B118" s="8" t="str">
        <f t="shared" si="9"/>
        <v>Telkomsel Pengamanan Target Sem II Reg. Sumbagsel</v>
      </c>
      <c r="C118" s="14">
        <v>0</v>
      </c>
      <c r="D118" s="14">
        <v>0</v>
      </c>
      <c r="E118" s="14">
        <v>-69250581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55"/>
      <c r="P118" s="14">
        <f t="shared" si="4"/>
        <v>-69250581</v>
      </c>
    </row>
    <row r="119" spans="1:16" s="8" customFormat="1" ht="15.75">
      <c r="A119" s="200">
        <f t="shared" si="8"/>
        <v>52</v>
      </c>
      <c r="B119" s="8" t="str">
        <f t="shared" si="9"/>
        <v>Telkomsel Percepatan Flush Out SA Reg SBS</v>
      </c>
      <c r="C119" s="14">
        <v>0</v>
      </c>
      <c r="D119" s="14">
        <v>0</v>
      </c>
      <c r="E119" s="14">
        <v>-59153363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55"/>
      <c r="P119" s="14">
        <f t="shared" si="4"/>
        <v>-59153363</v>
      </c>
    </row>
    <row r="120" spans="1:16" s="8" customFormat="1" ht="15.75">
      <c r="A120" s="200">
        <f t="shared" si="8"/>
        <v>53</v>
      </c>
      <c r="B120" s="8" t="str">
        <f t="shared" si="9"/>
        <v>Telkomsel Piala byU Q2 2025</v>
      </c>
      <c r="C120" s="14">
        <v>0</v>
      </c>
      <c r="D120" s="14">
        <v>-5610000</v>
      </c>
      <c r="E120" s="14">
        <v>-34626000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55"/>
      <c r="P120" s="14">
        <f t="shared" si="4"/>
        <v>-40236000</v>
      </c>
    </row>
    <row r="121" spans="1:16" s="8" customFormat="1" ht="15.75">
      <c r="A121" s="200">
        <f t="shared" si="8"/>
        <v>54</v>
      </c>
      <c r="B121" s="8" t="str">
        <f t="shared" si="9"/>
        <v>Telkomsel Polaris Palembang</v>
      </c>
      <c r="C121" s="14">
        <v>0</v>
      </c>
      <c r="D121" s="14">
        <v>-7150000</v>
      </c>
      <c r="E121" s="14">
        <v>-6845286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-7698800</v>
      </c>
      <c r="N121" s="14">
        <v>0</v>
      </c>
      <c r="O121" s="55"/>
      <c r="P121" s="14">
        <f t="shared" si="4"/>
        <v>-21694086</v>
      </c>
    </row>
    <row r="122" spans="1:16" s="8" customFormat="1" ht="15.75">
      <c r="A122" s="200">
        <f t="shared" si="8"/>
        <v>55</v>
      </c>
      <c r="B122" s="8" t="str">
        <f t="shared" si="9"/>
        <v>Telkomsel Securing RAFI 2025 Mitra SBP Area Sumatera</v>
      </c>
      <c r="C122" s="14">
        <v>0</v>
      </c>
      <c r="D122" s="14">
        <v>0</v>
      </c>
      <c r="E122" s="14">
        <v>-45611685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55"/>
      <c r="P122" s="14">
        <f t="shared" si="4"/>
        <v>-45611685</v>
      </c>
    </row>
    <row r="123" spans="1:16" s="8" customFormat="1" ht="15.75">
      <c r="A123" s="200">
        <f t="shared" si="8"/>
        <v>56</v>
      </c>
      <c r="B123" s="8" t="str">
        <f t="shared" si="9"/>
        <v>Telkomsel Visit Cluster Area Sumatera</v>
      </c>
      <c r="C123" s="14">
        <v>0</v>
      </c>
      <c r="D123" s="14">
        <v>0</v>
      </c>
      <c r="E123" s="14">
        <v>-35295530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-901384</v>
      </c>
      <c r="N123" s="14">
        <v>0</v>
      </c>
      <c r="O123" s="55"/>
      <c r="P123" s="14">
        <f t="shared" si="4"/>
        <v>-36196914</v>
      </c>
    </row>
    <row r="124" spans="1:16" s="8" customFormat="1" ht="15.75">
      <c r="A124" s="200">
        <f t="shared" si="8"/>
        <v>57</v>
      </c>
      <c r="B124" s="8" t="str">
        <f t="shared" si="9"/>
        <v>Trimegah Prestige Bajo</v>
      </c>
      <c r="C124" s="1">
        <v>-10050000</v>
      </c>
      <c r="D124" s="1">
        <v>-674204145</v>
      </c>
      <c r="E124" s="1">
        <v>-799126897</v>
      </c>
      <c r="F124" s="1">
        <v>-4960000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-1146575</v>
      </c>
      <c r="M124" s="1">
        <v>8238088</v>
      </c>
      <c r="N124" s="1">
        <v>0</v>
      </c>
      <c r="O124" s="55"/>
      <c r="P124" s="14">
        <f t="shared" si="4"/>
        <v>-1481249529</v>
      </c>
    </row>
    <row r="125" spans="1:16" ht="15.75">
      <c r="A125" s="200">
        <f t="shared" si="8"/>
        <v>58</v>
      </c>
      <c r="B125" s="8" t="str">
        <f t="shared" si="9"/>
        <v>Trimegah Training Camp Lombok</v>
      </c>
      <c r="C125" s="1">
        <v>-16600000</v>
      </c>
      <c r="D125" s="1">
        <v>-978147762</v>
      </c>
      <c r="E125" s="1">
        <v>-514827312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-2495000</v>
      </c>
      <c r="M125" s="1">
        <v>-144444428</v>
      </c>
      <c r="N125" s="1">
        <v>0</v>
      </c>
      <c r="P125" s="14">
        <f t="shared" si="4"/>
        <v>-1656514502</v>
      </c>
    </row>
    <row r="126" spans="1:16">
      <c r="B126" t="s">
        <v>26</v>
      </c>
      <c r="D126" s="1" t="s">
        <v>26</v>
      </c>
      <c r="E126" s="1" t="s">
        <v>26</v>
      </c>
    </row>
    <row r="127" spans="1:16" ht="15.75">
      <c r="C127" s="10">
        <f t="shared" ref="C127:N127" si="10">SUBTOTAL(9,C68:C126)</f>
        <v>-894949100</v>
      </c>
      <c r="D127" s="10">
        <f t="shared" si="10"/>
        <v>-11463861355</v>
      </c>
      <c r="E127" s="83">
        <f t="shared" si="10"/>
        <v>-11188411033.139999</v>
      </c>
      <c r="F127" s="83">
        <f t="shared" si="10"/>
        <v>-219495420</v>
      </c>
      <c r="G127" s="83">
        <f t="shared" si="10"/>
        <v>0</v>
      </c>
      <c r="H127" s="83">
        <f t="shared" si="10"/>
        <v>0</v>
      </c>
      <c r="I127" s="83">
        <f t="shared" si="10"/>
        <v>0</v>
      </c>
      <c r="J127" s="83">
        <f t="shared" si="10"/>
        <v>-149818250</v>
      </c>
      <c r="K127" s="83">
        <f t="shared" si="10"/>
        <v>0</v>
      </c>
      <c r="L127" s="10">
        <f t="shared" si="10"/>
        <v>-20174932</v>
      </c>
      <c r="M127" s="10">
        <f t="shared" si="10"/>
        <v>-5522284110</v>
      </c>
      <c r="N127" s="10">
        <f t="shared" si="10"/>
        <v>0</v>
      </c>
      <c r="P127" s="10">
        <f>SUBTOTAL(9,P68:P126)</f>
        <v>-29458994200.139999</v>
      </c>
    </row>
    <row r="128" spans="1:16" ht="15.75">
      <c r="B128" s="9" t="s">
        <v>172</v>
      </c>
    </row>
    <row r="129" spans="1:17" ht="15.75">
      <c r="A129" s="47">
        <v>1</v>
      </c>
      <c r="B129" s="8" t="str">
        <f t="shared" ref="B129:B140" si="11">B6</f>
        <v>BRI Ceremony Penyerahan BN Sar Lv Haji</v>
      </c>
      <c r="C129" s="1" t="s">
        <v>26</v>
      </c>
      <c r="D129" s="1" t="s">
        <v>26</v>
      </c>
      <c r="P129" s="1">
        <f>P6+P68</f>
        <v>51854338</v>
      </c>
      <c r="Q129" s="93">
        <f t="shared" ref="Q129:Q141" si="12">P129/P6</f>
        <v>0.63233141881592581</v>
      </c>
    </row>
    <row r="130" spans="1:17" ht="15.75">
      <c r="A130" s="47">
        <f>A129+1</f>
        <v>2</v>
      </c>
      <c r="B130" s="8" t="str">
        <f t="shared" si="11"/>
        <v>BRI FGD Semarang</v>
      </c>
      <c r="P130" s="1">
        <f t="shared" ref="P130:P186" si="13">P7+P69</f>
        <v>107618713</v>
      </c>
      <c r="Q130" s="93">
        <f t="shared" si="12"/>
        <v>0.23891354309891355</v>
      </c>
    </row>
    <row r="131" spans="1:17" ht="15.75">
      <c r="A131" s="47">
        <f t="shared" ref="A131:A186" si="14">A130+1</f>
        <v>3</v>
      </c>
      <c r="B131" s="8" t="str">
        <f t="shared" si="11"/>
        <v>BRI Halal Bihalal Bersama Developer</v>
      </c>
      <c r="C131" s="1" t="s">
        <v>26</v>
      </c>
      <c r="D131" s="1" t="s">
        <v>26</v>
      </c>
      <c r="P131" s="1">
        <f t="shared" si="13"/>
        <v>151663758</v>
      </c>
      <c r="Q131" s="93">
        <f t="shared" si="12"/>
        <v>0.32237778654000876</v>
      </c>
    </row>
    <row r="132" spans="1:17" ht="15.75">
      <c r="A132" s="47">
        <f t="shared" si="14"/>
        <v>4</v>
      </c>
      <c r="B132" s="8" t="str">
        <f t="shared" si="11"/>
        <v>BRI Journalist Bootcamp</v>
      </c>
      <c r="D132" s="1" t="s">
        <v>26</v>
      </c>
      <c r="P132" s="1">
        <f t="shared" si="13"/>
        <v>87842389</v>
      </c>
      <c r="Q132" s="93">
        <f t="shared" si="12"/>
        <v>0.35716136178963487</v>
      </c>
    </row>
    <row r="133" spans="1:17" ht="15.75">
      <c r="A133" s="47">
        <f t="shared" si="14"/>
        <v>5</v>
      </c>
      <c r="B133" s="8" t="str">
        <f t="shared" si="11"/>
        <v>BRI Kunjungan Kerja Bogor DPR Komisi XI</v>
      </c>
      <c r="P133" s="1">
        <f t="shared" si="13"/>
        <v>150115984</v>
      </c>
      <c r="Q133" s="93">
        <f t="shared" si="12"/>
        <v>0.25635191139481345</v>
      </c>
    </row>
    <row r="134" spans="1:17" ht="15.75">
      <c r="A134" s="47">
        <f t="shared" si="14"/>
        <v>6</v>
      </c>
      <c r="B134" s="8" t="str">
        <f t="shared" si="11"/>
        <v>BRI Peringatan Puncak HUT ke-26 DWP dan Hari Ibu ke-97 DWP BKN</v>
      </c>
      <c r="P134" s="1">
        <f t="shared" si="13"/>
        <v>71153781</v>
      </c>
      <c r="Q134" s="93">
        <f t="shared" si="12"/>
        <v>0.45973884473735221</v>
      </c>
    </row>
    <row r="135" spans="1:17" ht="15.75">
      <c r="A135" s="47">
        <f t="shared" si="14"/>
        <v>7</v>
      </c>
      <c r="B135" s="8" t="str">
        <f t="shared" si="11"/>
        <v>BSIN Supplier Meeting</v>
      </c>
      <c r="P135" s="1">
        <f t="shared" si="13"/>
        <v>29693004</v>
      </c>
      <c r="Q135" s="93">
        <f t="shared" si="12"/>
        <v>0.28398380069318896</v>
      </c>
    </row>
    <row r="136" spans="1:17" s="8" customFormat="1" ht="15.75">
      <c r="A136" s="47">
        <f t="shared" si="14"/>
        <v>8</v>
      </c>
      <c r="B136" s="8" t="str">
        <f t="shared" si="11"/>
        <v>BSIN Tomo Gathering</v>
      </c>
      <c r="C136" s="14"/>
      <c r="D136" s="14" t="s">
        <v>26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55"/>
      <c r="O136" s="55"/>
      <c r="P136" s="1">
        <f t="shared" si="13"/>
        <v>104258895</v>
      </c>
      <c r="Q136" s="93">
        <f t="shared" si="12"/>
        <v>0.13739464261958195</v>
      </c>
    </row>
    <row r="137" spans="1:17" s="8" customFormat="1" ht="15.75">
      <c r="A137" s="47">
        <f t="shared" si="14"/>
        <v>9</v>
      </c>
      <c r="B137" s="8" t="str">
        <f t="shared" si="11"/>
        <v>BTN Booth Hut 75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55"/>
      <c r="O137" s="55"/>
      <c r="P137" s="1">
        <f t="shared" si="13"/>
        <v>50215000</v>
      </c>
      <c r="Q137" s="93">
        <f t="shared" si="12"/>
        <v>0.62076595955100633</v>
      </c>
    </row>
    <row r="138" spans="1:17" s="8" customFormat="1" ht="15.75">
      <c r="A138" s="47">
        <f t="shared" si="14"/>
        <v>10</v>
      </c>
      <c r="B138" s="8" t="str">
        <f t="shared" si="11"/>
        <v>BTN Dekorasi HUT 75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55"/>
      <c r="O138" s="55"/>
      <c r="P138" s="1">
        <f t="shared" si="13"/>
        <v>63918200</v>
      </c>
      <c r="Q138" s="93">
        <f t="shared" si="12"/>
        <v>0.3754924364811279</v>
      </c>
    </row>
    <row r="139" spans="1:17" s="8" customFormat="1" ht="15.75">
      <c r="A139" s="47">
        <f t="shared" si="14"/>
        <v>11</v>
      </c>
      <c r="B139" s="8" t="str">
        <f t="shared" si="11"/>
        <v>BTN Excellence Award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55"/>
      <c r="O139" s="55"/>
      <c r="P139" s="1">
        <f t="shared" si="13"/>
        <v>97475050</v>
      </c>
      <c r="Q139" s="93">
        <f t="shared" si="12"/>
        <v>0.17737263182182572</v>
      </c>
    </row>
    <row r="140" spans="1:17" s="8" customFormat="1" ht="15.75">
      <c r="A140" s="47">
        <f t="shared" si="14"/>
        <v>12</v>
      </c>
      <c r="B140" s="8" t="str">
        <f t="shared" si="11"/>
        <v>BTN Mini Olympic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55"/>
      <c r="O140" s="55"/>
      <c r="P140" s="1">
        <f t="shared" si="13"/>
        <v>67500346</v>
      </c>
      <c r="Q140" s="93">
        <f t="shared" si="12"/>
        <v>0.3373381210113095</v>
      </c>
    </row>
    <row r="141" spans="1:17" s="8" customFormat="1" ht="15.75">
      <c r="A141" s="47">
        <f t="shared" si="14"/>
        <v>13</v>
      </c>
      <c r="B141" s="8" t="str">
        <f t="shared" ref="B141:B148" si="15">B18</f>
        <v>Cirebon Power Employee Gathering Bandung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55"/>
      <c r="O141" s="55"/>
      <c r="P141" s="1">
        <f t="shared" si="13"/>
        <v>169681071</v>
      </c>
      <c r="Q141" s="93">
        <f t="shared" si="12"/>
        <v>0.24601563320309724</v>
      </c>
    </row>
    <row r="142" spans="1:17" s="8" customFormat="1" ht="15.75">
      <c r="A142" s="200">
        <f t="shared" si="14"/>
        <v>14</v>
      </c>
      <c r="B142" s="8" t="str">
        <f t="shared" si="15"/>
        <v>FIF NMC ACT Handling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55"/>
      <c r="O142" s="55"/>
      <c r="P142" s="1">
        <f t="shared" si="13"/>
        <v>48156813</v>
      </c>
      <c r="Q142" s="342">
        <f>P142/P18</f>
        <v>6.9821157854656313E-2</v>
      </c>
    </row>
    <row r="143" spans="1:17" s="8" customFormat="1" ht="15.75">
      <c r="A143" s="47">
        <f t="shared" si="14"/>
        <v>15</v>
      </c>
      <c r="B143" s="8" t="str">
        <f t="shared" si="15"/>
        <v>FIT Air Ticket And Others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55"/>
      <c r="O143" s="55"/>
      <c r="P143" s="298">
        <f t="shared" si="13"/>
        <v>-11856013</v>
      </c>
      <c r="Q143" s="299">
        <f>P143/P19</f>
        <v>-0.12777175549383998</v>
      </c>
    </row>
    <row r="144" spans="1:17" s="8" customFormat="1" ht="15.75">
      <c r="A144" s="47">
        <f t="shared" si="14"/>
        <v>16</v>
      </c>
      <c r="B144" s="8" t="str">
        <f t="shared" si="15"/>
        <v>HIMBARA FGD Balikpapan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55"/>
      <c r="O144" s="55"/>
      <c r="P144" s="1">
        <f t="shared" si="13"/>
        <v>335380324</v>
      </c>
      <c r="Q144" s="93">
        <f t="shared" ref="Q144:Q186" si="16">P144/P21</f>
        <v>0.35083750563210137</v>
      </c>
    </row>
    <row r="145" spans="1:17" s="8" customFormat="1" ht="15.75">
      <c r="A145" s="47">
        <f t="shared" si="14"/>
        <v>17</v>
      </c>
      <c r="B145" s="8" t="str">
        <f t="shared" si="15"/>
        <v>HIMBARA FGD Semarang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55"/>
      <c r="O145" s="55"/>
      <c r="P145" s="1">
        <f t="shared" si="13"/>
        <v>653329391</v>
      </c>
      <c r="Q145" s="93">
        <f t="shared" si="16"/>
        <v>0.18058033023228112</v>
      </c>
    </row>
    <row r="146" spans="1:17" s="8" customFormat="1" ht="15.75">
      <c r="A146" s="47">
        <f t="shared" si="14"/>
        <v>18</v>
      </c>
      <c r="B146" s="8" t="str">
        <f t="shared" si="15"/>
        <v>HIMBARA Kunjungan Kerja Bali Bajo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55"/>
      <c r="O146" s="55"/>
      <c r="P146" s="1">
        <f t="shared" si="13"/>
        <v>600187965</v>
      </c>
      <c r="Q146" s="93">
        <f t="shared" si="16"/>
        <v>0.18424163233225943</v>
      </c>
    </row>
    <row r="147" spans="1:17" s="8" customFormat="1" ht="15.75">
      <c r="A147" s="47">
        <f t="shared" si="14"/>
        <v>19</v>
      </c>
      <c r="B147" s="8" t="str">
        <f t="shared" si="15"/>
        <v>Insight Goes To Vietnam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55"/>
      <c r="O147" s="55"/>
      <c r="P147" s="1">
        <f t="shared" si="13"/>
        <v>30777583</v>
      </c>
      <c r="Q147" s="93">
        <f t="shared" si="16"/>
        <v>0.10746834829546632</v>
      </c>
    </row>
    <row r="148" spans="1:17" s="8" customFormat="1" ht="15.75">
      <c r="A148" s="47">
        <f t="shared" si="14"/>
        <v>20</v>
      </c>
      <c r="B148" s="8" t="str">
        <f t="shared" si="15"/>
        <v>KBUMN Natal 2024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55"/>
      <c r="O148" s="55"/>
      <c r="P148" s="1">
        <f t="shared" si="13"/>
        <v>3176969788</v>
      </c>
      <c r="Q148" s="93">
        <f t="shared" si="16"/>
        <v>0.3372939035091394</v>
      </c>
    </row>
    <row r="149" spans="1:17" s="8" customFormat="1" ht="15.75">
      <c r="A149" s="47">
        <f t="shared" si="14"/>
        <v>21</v>
      </c>
      <c r="B149" s="8" t="str">
        <f t="shared" ref="B149:B161" si="17">B26</f>
        <v>KSEI Seminar Emiten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55"/>
      <c r="O149" s="55"/>
      <c r="P149" s="1">
        <f t="shared" si="13"/>
        <v>324685275</v>
      </c>
      <c r="Q149" s="93">
        <f t="shared" si="16"/>
        <v>0.30763663125283464</v>
      </c>
    </row>
    <row r="150" spans="1:17" s="8" customFormat="1" ht="15.75">
      <c r="A150" s="47">
        <f t="shared" si="14"/>
        <v>22</v>
      </c>
      <c r="B150" s="8" t="str">
        <f t="shared" si="17"/>
        <v>Mandiri Pasar Murah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55"/>
      <c r="O150" s="55"/>
      <c r="P150" s="1">
        <f t="shared" si="13"/>
        <v>1264493376.8599997</v>
      </c>
      <c r="Q150" s="93">
        <f t="shared" si="16"/>
        <v>0.20841297503602293</v>
      </c>
    </row>
    <row r="151" spans="1:17" s="8" customFormat="1" ht="15.75">
      <c r="A151" s="47">
        <f t="shared" si="14"/>
        <v>23</v>
      </c>
      <c r="B151" s="8" t="str">
        <f t="shared" si="17"/>
        <v xml:space="preserve">OJK Kunjungan Kerja Komisi XI DPR RI 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55"/>
      <c r="O151" s="55"/>
      <c r="P151" s="343">
        <f t="shared" si="13"/>
        <v>44812500</v>
      </c>
      <c r="Q151" s="300">
        <f t="shared" si="16"/>
        <v>1</v>
      </c>
    </row>
    <row r="152" spans="1:17" s="8" customFormat="1" ht="15.75">
      <c r="A152" s="47">
        <f t="shared" si="14"/>
        <v>24</v>
      </c>
      <c r="B152" s="8" t="str">
        <f t="shared" si="17"/>
        <v>PLN IP Energy Business Forum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55"/>
      <c r="O152" s="55"/>
      <c r="P152" s="41">
        <f t="shared" si="13"/>
        <v>157012930</v>
      </c>
      <c r="Q152" s="377">
        <f t="shared" si="16"/>
        <v>0.27754182184307591</v>
      </c>
    </row>
    <row r="153" spans="1:17" s="8" customFormat="1" ht="15.75">
      <c r="A153" s="47">
        <f t="shared" si="14"/>
        <v>25</v>
      </c>
      <c r="B153" s="8" t="str">
        <f t="shared" si="17"/>
        <v>PYC IEC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55"/>
      <c r="O153" s="55"/>
      <c r="P153" s="1">
        <f t="shared" si="13"/>
        <v>611005344</v>
      </c>
      <c r="Q153" s="93">
        <f t="shared" si="16"/>
        <v>0.35385952189421488</v>
      </c>
    </row>
    <row r="154" spans="1:17" s="8" customFormat="1" ht="15.75">
      <c r="A154" s="47">
        <f t="shared" si="14"/>
        <v>26</v>
      </c>
      <c r="B154" s="8" t="str">
        <f t="shared" si="17"/>
        <v>PYC Talks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55"/>
      <c r="O154" s="55"/>
      <c r="P154" s="1">
        <f t="shared" si="13"/>
        <v>90211124</v>
      </c>
      <c r="Q154" s="93">
        <f t="shared" si="16"/>
        <v>0.49284923513986012</v>
      </c>
    </row>
    <row r="155" spans="1:17" s="8" customFormat="1" ht="15.75">
      <c r="A155" s="47">
        <f t="shared" si="14"/>
        <v>27</v>
      </c>
      <c r="B155" s="8" t="str">
        <f t="shared" si="17"/>
        <v>Sabic Broadcast Video Maker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55"/>
      <c r="O155" s="55"/>
      <c r="P155" s="1">
        <f t="shared" si="13"/>
        <v>23575000</v>
      </c>
      <c r="Q155" s="93">
        <f t="shared" si="16"/>
        <v>0.68581818181818177</v>
      </c>
    </row>
    <row r="156" spans="1:17" s="8" customFormat="1" ht="15.75">
      <c r="A156" s="47">
        <f t="shared" si="14"/>
        <v>28</v>
      </c>
      <c r="B156" s="8" t="str">
        <f t="shared" si="17"/>
        <v>Shell MotoGP Sepang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55"/>
      <c r="O156" s="55"/>
      <c r="P156" s="1">
        <f t="shared" si="13"/>
        <v>79531977</v>
      </c>
      <c r="Q156" s="93">
        <f t="shared" si="16"/>
        <v>0.22148402022631022</v>
      </c>
    </row>
    <row r="157" spans="1:17" s="8" customFormat="1" ht="15.75">
      <c r="A157" s="47">
        <f t="shared" si="14"/>
        <v>29</v>
      </c>
      <c r="B157" s="8" t="str">
        <f t="shared" si="17"/>
        <v>Shell Network Persada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55"/>
      <c r="O157" s="55"/>
      <c r="P157" s="1">
        <f t="shared" si="13"/>
        <v>210774859</v>
      </c>
      <c r="Q157" s="93">
        <f t="shared" si="16"/>
        <v>0.24827207087446013</v>
      </c>
    </row>
    <row r="158" spans="1:17" s="8" customFormat="1" ht="15.75">
      <c r="A158" s="47">
        <f t="shared" si="14"/>
        <v>30</v>
      </c>
      <c r="B158" s="8" t="str">
        <f t="shared" si="17"/>
        <v>Shell Shanghai Tech Private Trip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55"/>
      <c r="O158" s="55"/>
      <c r="P158" s="1">
        <f t="shared" si="13"/>
        <v>22352263</v>
      </c>
      <c r="Q158" s="93">
        <f t="shared" si="16"/>
        <v>0.17123007212062655</v>
      </c>
    </row>
    <row r="159" spans="1:17" s="8" customFormat="1" ht="15.75">
      <c r="A159" s="47">
        <f t="shared" si="14"/>
        <v>31</v>
      </c>
      <c r="B159" s="8" t="str">
        <f t="shared" si="17"/>
        <v>Shell Visit Factory Bangkok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55"/>
      <c r="O159" s="55"/>
      <c r="P159" s="1">
        <f t="shared" si="13"/>
        <v>13037566</v>
      </c>
      <c r="Q159" s="93">
        <f t="shared" si="16"/>
        <v>0.17262060760398568</v>
      </c>
    </row>
    <row r="160" spans="1:17" s="8" customFormat="1" ht="15.75">
      <c r="A160" s="47">
        <f t="shared" si="14"/>
        <v>32</v>
      </c>
      <c r="B160" s="8" t="str">
        <f t="shared" si="17"/>
        <v>Telkomsel 1 on 1 Meeting Sumatera &amp; HQ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55"/>
      <c r="O160" s="55"/>
      <c r="P160" s="1">
        <f t="shared" si="13"/>
        <v>2966525</v>
      </c>
      <c r="Q160" s="93">
        <f t="shared" si="16"/>
        <v>5.3936353348518415E-2</v>
      </c>
    </row>
    <row r="161" spans="1:17" s="8" customFormat="1" ht="15.75">
      <c r="A161" s="47">
        <f t="shared" si="14"/>
        <v>33</v>
      </c>
      <c r="B161" s="8" t="str">
        <f t="shared" si="17"/>
        <v>Telkomsel Alignment SIFA Mobile &amp; Fixed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55"/>
      <c r="O161" s="55"/>
      <c r="P161" s="1">
        <f t="shared" si="13"/>
        <v>3111000</v>
      </c>
      <c r="Q161" s="93">
        <f t="shared" si="16"/>
        <v>0.11090909090909092</v>
      </c>
    </row>
    <row r="162" spans="1:17" s="8" customFormat="1" ht="15.75">
      <c r="A162" s="47">
        <f t="shared" si="14"/>
        <v>34</v>
      </c>
      <c r="B162" s="8" t="str">
        <f t="shared" ref="B162:B183" si="18">B39</f>
        <v>Telkomsel ANO Forum 2024 (Lampung)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55"/>
      <c r="O162" s="55"/>
      <c r="P162" s="41">
        <f t="shared" si="13"/>
        <v>154223942</v>
      </c>
      <c r="Q162" s="377">
        <f t="shared" si="16"/>
        <v>0.27804412535462858</v>
      </c>
    </row>
    <row r="163" spans="1:17" s="8" customFormat="1" ht="15.75">
      <c r="A163" s="47">
        <f t="shared" si="14"/>
        <v>35</v>
      </c>
      <c r="B163" s="8" t="str">
        <f t="shared" si="18"/>
        <v>Telkomsel Campaign Pelanggan Prestige MyAds SBT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55"/>
      <c r="O163" s="55"/>
      <c r="P163" s="1">
        <f t="shared" si="13"/>
        <v>2400000</v>
      </c>
      <c r="Q163" s="93">
        <f t="shared" si="16"/>
        <v>7.407407407407407E-2</v>
      </c>
    </row>
    <row r="164" spans="1:17" s="8" customFormat="1" ht="15.75">
      <c r="A164" s="47">
        <f t="shared" si="14"/>
        <v>36</v>
      </c>
      <c r="B164" s="8" t="str">
        <f t="shared" si="18"/>
        <v>Telkomsel Delight and Excellent Execution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55"/>
      <c r="O164" s="55"/>
      <c r="P164" s="1">
        <f t="shared" si="13"/>
        <v>19615633</v>
      </c>
      <c r="Q164" s="93">
        <f t="shared" si="16"/>
        <v>0.14580743272200178</v>
      </c>
    </row>
    <row r="165" spans="1:17" s="8" customFormat="1" ht="15.75">
      <c r="A165" s="47">
        <f t="shared" si="14"/>
        <v>37</v>
      </c>
      <c r="B165" s="8" t="str">
        <f t="shared" si="18"/>
        <v>Telkomsel Duta Budget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55"/>
      <c r="O165" s="55"/>
      <c r="P165" s="1">
        <f t="shared" si="13"/>
        <v>695959</v>
      </c>
      <c r="Q165" s="93">
        <f t="shared" si="16"/>
        <v>8.4495549456786667E-2</v>
      </c>
    </row>
    <row r="166" spans="1:17" s="8" customFormat="1" ht="15.75">
      <c r="A166" s="47">
        <f t="shared" si="14"/>
        <v>38</v>
      </c>
      <c r="B166" s="8" t="str">
        <f t="shared" si="18"/>
        <v>Telkomsel Event Direksi Visit Medan and OM Consolidation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55"/>
      <c r="O166" s="55"/>
      <c r="P166" s="1">
        <f t="shared" si="13"/>
        <v>939641</v>
      </c>
      <c r="Q166" s="93">
        <f t="shared" si="16"/>
        <v>8.345277264090567E-2</v>
      </c>
    </row>
    <row r="167" spans="1:17" s="8" customFormat="1" ht="15.75">
      <c r="A167" s="47">
        <f t="shared" si="14"/>
        <v>39</v>
      </c>
      <c r="B167" s="8" t="str">
        <f t="shared" si="18"/>
        <v>Telkomsel Event Market Recovery and City Fokus Q3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55"/>
      <c r="O167" s="55"/>
      <c r="P167" s="1">
        <f t="shared" si="13"/>
        <v>4052783</v>
      </c>
      <c r="Q167" s="93">
        <f t="shared" si="16"/>
        <v>6.6547827634032372E-2</v>
      </c>
    </row>
    <row r="168" spans="1:17" s="8" customFormat="1" ht="15.75">
      <c r="A168" s="47">
        <f t="shared" si="14"/>
        <v>40</v>
      </c>
      <c r="B168" s="8" t="str">
        <f t="shared" si="18"/>
        <v>Telkomsel Event Vandalisme Palembang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55"/>
      <c r="O168" s="55"/>
      <c r="P168" s="1">
        <f t="shared" si="13"/>
        <v>4299412</v>
      </c>
      <c r="Q168" s="93">
        <f t="shared" si="16"/>
        <v>7.9182897543760525E-2</v>
      </c>
    </row>
    <row r="169" spans="1:17" s="8" customFormat="1" ht="15.75">
      <c r="A169" s="47">
        <f t="shared" si="14"/>
        <v>41</v>
      </c>
      <c r="B169" s="8" t="str">
        <f t="shared" si="18"/>
        <v>Telkomsel Farewel Liwetan Sumbagteng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55"/>
      <c r="O169" s="55"/>
      <c r="P169" s="1">
        <f t="shared" si="13"/>
        <v>6336275</v>
      </c>
      <c r="Q169" s="93">
        <f t="shared" si="16"/>
        <v>0.10765080444161941</v>
      </c>
    </row>
    <row r="170" spans="1:17" ht="15.75">
      <c r="A170" s="47">
        <f t="shared" si="14"/>
        <v>42</v>
      </c>
      <c r="B170" s="8" t="str">
        <f t="shared" si="18"/>
        <v>Telkomsel Finalisasi SOP Fulfillment</v>
      </c>
      <c r="D170" s="1" t="s">
        <v>26</v>
      </c>
      <c r="P170" s="1">
        <f t="shared" si="13"/>
        <v>2537372</v>
      </c>
      <c r="Q170" s="93">
        <f t="shared" si="16"/>
        <v>8.4397162648771021E-2</v>
      </c>
    </row>
    <row r="171" spans="1:17" ht="15.75">
      <c r="A171" s="47">
        <f t="shared" si="14"/>
        <v>43</v>
      </c>
      <c r="B171" s="8" t="str">
        <f t="shared" si="18"/>
        <v>Telkomsel Gamification Q4 2024</v>
      </c>
      <c r="D171" s="1" t="s">
        <v>26</v>
      </c>
      <c r="P171" s="1">
        <f t="shared" si="13"/>
        <v>6480297</v>
      </c>
      <c r="Q171" s="93">
        <f t="shared" si="16"/>
        <v>6.6772766615146834E-2</v>
      </c>
    </row>
    <row r="172" spans="1:17" ht="15.75">
      <c r="A172" s="47">
        <f t="shared" si="14"/>
        <v>44</v>
      </c>
      <c r="B172" s="8" t="str">
        <f t="shared" si="18"/>
        <v>Telkomsel GraPARI TOMO</v>
      </c>
      <c r="P172" s="1">
        <f t="shared" si="13"/>
        <v>37969020</v>
      </c>
      <c r="Q172" s="93">
        <f t="shared" si="16"/>
        <v>0.17261925220337318</v>
      </c>
    </row>
    <row r="173" spans="1:17" ht="15.75">
      <c r="A173" s="47">
        <f t="shared" si="14"/>
        <v>45</v>
      </c>
      <c r="B173" s="8" t="str">
        <f t="shared" si="18"/>
        <v>Telkomsel Increase Fundamental Service to Improve Sales Acquisition</v>
      </c>
      <c r="D173" s="1" t="s">
        <v>26</v>
      </c>
      <c r="P173" s="1">
        <f t="shared" si="13"/>
        <v>15513312</v>
      </c>
      <c r="Q173" s="93">
        <f t="shared" si="16"/>
        <v>0.35257527272727274</v>
      </c>
    </row>
    <row r="174" spans="1:17" ht="15.75">
      <c r="A174" s="47">
        <f t="shared" si="14"/>
        <v>46</v>
      </c>
      <c r="B174" s="8" t="str">
        <f t="shared" si="18"/>
        <v>Telkomsel IPTV Product Sales Incentives Q3 2024</v>
      </c>
      <c r="D174" s="1" t="s">
        <v>26</v>
      </c>
      <c r="P174" s="1">
        <f t="shared" si="13"/>
        <v>7234750</v>
      </c>
      <c r="Q174" s="93">
        <f t="shared" si="16"/>
        <v>4.1393643696262569E-2</v>
      </c>
    </row>
    <row r="175" spans="1:17" ht="15.75">
      <c r="A175" s="47">
        <f t="shared" si="14"/>
        <v>47</v>
      </c>
      <c r="B175" s="8" t="str">
        <f t="shared" si="18"/>
        <v>Telkomsel Mini WS Sumbagteng Q2 2025</v>
      </c>
      <c r="D175" s="1" t="s">
        <v>26</v>
      </c>
      <c r="P175" s="1">
        <f t="shared" si="13"/>
        <v>2846828</v>
      </c>
      <c r="Q175" s="93">
        <f t="shared" si="16"/>
        <v>6.9767439580736806E-2</v>
      </c>
    </row>
    <row r="176" spans="1:17" s="8" customFormat="1" ht="15.75">
      <c r="A176" s="47">
        <f t="shared" si="14"/>
        <v>48</v>
      </c>
      <c r="B176" s="8" t="str">
        <f t="shared" si="18"/>
        <v>Telkomsel Orbit Household Q4 2024</v>
      </c>
      <c r="C176" s="14"/>
      <c r="D176" s="14" t="s">
        <v>26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55"/>
      <c r="O176" s="55"/>
      <c r="P176" s="1">
        <f t="shared" si="13"/>
        <v>45601907</v>
      </c>
      <c r="Q176" s="93">
        <f t="shared" si="16"/>
        <v>0.15889443021655431</v>
      </c>
    </row>
    <row r="177" spans="1:17" s="40" customFormat="1" ht="15.75">
      <c r="A177" s="47">
        <f t="shared" si="14"/>
        <v>49</v>
      </c>
      <c r="B177" s="8" t="str">
        <f t="shared" si="18"/>
        <v>Telkomsel PCM Academy and Meeting Pengamanan Target Q1 2025 Area</v>
      </c>
      <c r="C177" s="41"/>
      <c r="D177" s="41" t="s">
        <v>26</v>
      </c>
      <c r="E177" s="41"/>
      <c r="F177" s="41"/>
      <c r="G177" s="41"/>
      <c r="H177" s="41"/>
      <c r="I177" s="41"/>
      <c r="J177" s="41"/>
      <c r="K177" s="41"/>
      <c r="L177" s="41"/>
      <c r="M177" s="41"/>
      <c r="N177" s="50"/>
      <c r="O177" s="50"/>
      <c r="P177" s="1">
        <f t="shared" si="13"/>
        <v>5337770</v>
      </c>
      <c r="Q177" s="93">
        <f t="shared" si="16"/>
        <v>9.7494329770022009E-2</v>
      </c>
    </row>
    <row r="178" spans="1:17" s="40" customFormat="1" ht="15.75">
      <c r="A178" s="47">
        <f t="shared" si="14"/>
        <v>50</v>
      </c>
      <c r="B178" s="8" t="str">
        <f t="shared" si="18"/>
        <v>Telkomsel Pengadaan untuk visit Cluster Area Sumatera Q3</v>
      </c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50"/>
      <c r="O178" s="50"/>
      <c r="P178" s="343">
        <f t="shared" si="13"/>
        <v>22315576</v>
      </c>
      <c r="Q178" s="300">
        <f t="shared" si="16"/>
        <v>1</v>
      </c>
    </row>
    <row r="179" spans="1:17" ht="15.75">
      <c r="A179" s="47">
        <f t="shared" si="14"/>
        <v>51</v>
      </c>
      <c r="B179" s="8" t="str">
        <f t="shared" si="18"/>
        <v>Telkomsel Pengamanan Target Sem II Reg. Sumbagsel</v>
      </c>
      <c r="D179" s="1" t="s">
        <v>26</v>
      </c>
      <c r="P179" s="1">
        <f t="shared" si="13"/>
        <v>4910078</v>
      </c>
      <c r="Q179" s="93">
        <f t="shared" si="16"/>
        <v>6.620866192680408E-2</v>
      </c>
    </row>
    <row r="180" spans="1:17" s="40" customFormat="1" ht="15.75">
      <c r="A180" s="47">
        <f t="shared" si="14"/>
        <v>52</v>
      </c>
      <c r="B180" s="8" t="str">
        <f t="shared" si="18"/>
        <v>Telkomsel Percepatan Flush Out SA Reg SBS</v>
      </c>
      <c r="C180" s="41"/>
      <c r="D180" s="41" t="s">
        <v>26</v>
      </c>
      <c r="E180" s="41"/>
      <c r="F180" s="41"/>
      <c r="G180" s="41"/>
      <c r="H180" s="41"/>
      <c r="I180" s="41"/>
      <c r="J180" s="41"/>
      <c r="K180" s="41"/>
      <c r="L180" s="41"/>
      <c r="M180" s="41"/>
      <c r="N180" s="50"/>
      <c r="O180" s="50"/>
      <c r="P180" s="1">
        <f t="shared" si="13"/>
        <v>4192980</v>
      </c>
      <c r="Q180" s="93">
        <f t="shared" si="16"/>
        <v>6.6191350619877146E-2</v>
      </c>
    </row>
    <row r="181" spans="1:17" ht="15.75">
      <c r="A181" s="47">
        <f t="shared" si="14"/>
        <v>53</v>
      </c>
      <c r="B181" s="8" t="str">
        <f t="shared" si="18"/>
        <v>Telkomsel Piala byU Q2 2025</v>
      </c>
      <c r="D181" s="1" t="s">
        <v>26</v>
      </c>
      <c r="P181" s="1">
        <f t="shared" si="13"/>
        <v>2816520</v>
      </c>
      <c r="Q181" s="93">
        <f t="shared" si="16"/>
        <v>6.5420560747663545E-2</v>
      </c>
    </row>
    <row r="182" spans="1:17" ht="15.75">
      <c r="A182" s="47">
        <f t="shared" si="14"/>
        <v>54</v>
      </c>
      <c r="B182" s="8" t="str">
        <f t="shared" si="18"/>
        <v>Telkomsel Polaris Palembang</v>
      </c>
      <c r="D182" s="1" t="s">
        <v>26</v>
      </c>
      <c r="P182" s="298">
        <f t="shared" si="13"/>
        <v>-10155869</v>
      </c>
      <c r="Q182" s="299">
        <f t="shared" si="16"/>
        <v>-0.88019396757748625</v>
      </c>
    </row>
    <row r="183" spans="1:17" s="8" customFormat="1" ht="15.75">
      <c r="A183" s="47">
        <f t="shared" si="14"/>
        <v>55</v>
      </c>
      <c r="B183" s="8" t="str">
        <f t="shared" si="18"/>
        <v>Telkomsel Securing RAFI 2025 Mitra SBP Area Sumatera</v>
      </c>
      <c r="C183" s="14"/>
      <c r="D183" s="14" t="s">
        <v>26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55"/>
      <c r="O183" s="55"/>
      <c r="P183" s="1">
        <f t="shared" si="13"/>
        <v>4292501</v>
      </c>
      <c r="Q183" s="93">
        <f t="shared" si="16"/>
        <v>8.601484853394864E-2</v>
      </c>
    </row>
    <row r="184" spans="1:17" ht="15.75">
      <c r="A184" s="47">
        <f t="shared" si="14"/>
        <v>56</v>
      </c>
      <c r="B184" s="8" t="str">
        <f t="shared" ref="B184" si="19">B61</f>
        <v>Telkomsel Visit Cluster Area Sumatera</v>
      </c>
      <c r="D184" s="1" t="s">
        <v>26</v>
      </c>
      <c r="P184" s="298">
        <f t="shared" si="13"/>
        <v>-8555996</v>
      </c>
      <c r="Q184" s="299">
        <f t="shared" si="16"/>
        <v>-0.30954094939972687</v>
      </c>
    </row>
    <row r="185" spans="1:17" s="8" customFormat="1" ht="15.75">
      <c r="A185" s="47">
        <f t="shared" si="14"/>
        <v>57</v>
      </c>
      <c r="B185" s="8" t="str">
        <f>B62</f>
        <v>Trimegah Prestige Bajo</v>
      </c>
      <c r="C185" s="14"/>
      <c r="D185" s="14" t="s">
        <v>26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55"/>
      <c r="O185" s="55"/>
      <c r="P185" s="1">
        <f t="shared" si="13"/>
        <v>191641791</v>
      </c>
      <c r="Q185" s="93">
        <f t="shared" si="16"/>
        <v>0.11455722718436963</v>
      </c>
    </row>
    <row r="186" spans="1:17" s="40" customFormat="1" ht="15.75">
      <c r="A186" s="47">
        <f t="shared" si="14"/>
        <v>58</v>
      </c>
      <c r="B186" s="8" t="str">
        <f>B63</f>
        <v>Trimegah Training Camp Lombok</v>
      </c>
      <c r="C186" s="41"/>
      <c r="D186" s="41" t="s">
        <v>26</v>
      </c>
      <c r="E186" s="41"/>
      <c r="F186" s="41"/>
      <c r="G186" s="41"/>
      <c r="H186" s="41"/>
      <c r="I186" s="41"/>
      <c r="J186" s="41"/>
      <c r="K186" s="41"/>
      <c r="L186" s="41"/>
      <c r="M186" s="41"/>
      <c r="N186" s="50"/>
      <c r="O186" s="50"/>
      <c r="P186" s="1">
        <f t="shared" si="13"/>
        <v>194989935</v>
      </c>
      <c r="Q186" s="93">
        <f t="shared" si="16"/>
        <v>0.10531432229022522</v>
      </c>
    </row>
    <row r="187" spans="1:17" ht="15.75">
      <c r="A187" s="47"/>
      <c r="B187" s="8"/>
      <c r="Q187" s="86"/>
    </row>
    <row r="188" spans="1:17" ht="15.75">
      <c r="P188" s="10">
        <f>SUBTOTAL(9,P129:P186)</f>
        <v>9606038536.8600006</v>
      </c>
      <c r="Q188" s="87">
        <f>P188/P65</f>
        <v>0.24589864295087999</v>
      </c>
    </row>
    <row r="189" spans="1:17" ht="15.75">
      <c r="B189" s="88" t="s">
        <v>173</v>
      </c>
      <c r="C189" s="2" t="s">
        <v>486</v>
      </c>
      <c r="D189" s="2" t="s">
        <v>273</v>
      </c>
      <c r="E189" s="2" t="s">
        <v>15</v>
      </c>
      <c r="F189" s="2" t="s">
        <v>456</v>
      </c>
      <c r="G189" s="2" t="s">
        <v>42</v>
      </c>
      <c r="H189" s="85" t="s">
        <v>241</v>
      </c>
      <c r="I189" s="85" t="s">
        <v>455</v>
      </c>
      <c r="J189" s="85" t="s">
        <v>6129</v>
      </c>
      <c r="K189" s="85" t="s">
        <v>4273</v>
      </c>
      <c r="L189" s="85" t="s">
        <v>43</v>
      </c>
      <c r="M189" s="2" t="s">
        <v>44</v>
      </c>
      <c r="N189" s="2" t="s">
        <v>171</v>
      </c>
    </row>
    <row r="190" spans="1:17" ht="15.75">
      <c r="B190" s="89" t="s">
        <v>26</v>
      </c>
    </row>
    <row r="191" spans="1:17" ht="15.75">
      <c r="B191" s="88" t="s">
        <v>174</v>
      </c>
    </row>
    <row r="192" spans="1:17">
      <c r="B192" s="90" t="s">
        <v>251</v>
      </c>
      <c r="C192" s="1">
        <v>0</v>
      </c>
      <c r="D192" s="1">
        <v>0</v>
      </c>
      <c r="E192" s="1">
        <v>-81579902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P192" s="1">
        <f t="shared" ref="P192:P232" si="20">SUM(C192:N192)</f>
        <v>-81579902</v>
      </c>
    </row>
    <row r="193" spans="2:16">
      <c r="B193" s="90" t="s">
        <v>252</v>
      </c>
      <c r="C193" s="1">
        <v>-5985000</v>
      </c>
      <c r="D193" s="1">
        <v>0</v>
      </c>
      <c r="E193" s="1">
        <v>-206777456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P193" s="1">
        <f t="shared" si="20"/>
        <v>-212762456</v>
      </c>
    </row>
    <row r="194" spans="2:16">
      <c r="B194" s="90" t="s">
        <v>175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P194" s="1">
        <f t="shared" si="20"/>
        <v>0</v>
      </c>
    </row>
    <row r="195" spans="2:16">
      <c r="B195" s="90" t="s">
        <v>176</v>
      </c>
      <c r="C195" s="1">
        <v>0</v>
      </c>
      <c r="D195" s="1">
        <v>-3000000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P195" s="1">
        <f t="shared" si="20"/>
        <v>-3000000</v>
      </c>
    </row>
    <row r="196" spans="2:16">
      <c r="B196" s="90" t="s">
        <v>177</v>
      </c>
      <c r="C196" s="1">
        <v>-800000</v>
      </c>
      <c r="D196" s="1">
        <v>-11791000</v>
      </c>
      <c r="E196" s="1">
        <v>-10661500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-5659329</v>
      </c>
      <c r="M196" s="1">
        <v>-7722790</v>
      </c>
      <c r="N196" s="1">
        <v>0</v>
      </c>
      <c r="P196" s="1">
        <f t="shared" si="20"/>
        <v>-36634619</v>
      </c>
    </row>
    <row r="197" spans="2:16">
      <c r="B197" s="90" t="s">
        <v>66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-190650000</v>
      </c>
      <c r="N197" s="1">
        <v>0</v>
      </c>
      <c r="P197" s="1">
        <f t="shared" si="20"/>
        <v>-190650000</v>
      </c>
    </row>
    <row r="198" spans="2:16">
      <c r="B198" s="90" t="s">
        <v>63</v>
      </c>
      <c r="C198" s="1">
        <v>-582211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-3490817</v>
      </c>
      <c r="M198" s="1">
        <v>-14157485</v>
      </c>
      <c r="N198" s="1">
        <v>0</v>
      </c>
      <c r="P198" s="1">
        <f t="shared" si="20"/>
        <v>-18230513</v>
      </c>
    </row>
    <row r="199" spans="2:16">
      <c r="B199" s="90" t="s">
        <v>70</v>
      </c>
      <c r="C199" s="1">
        <v>-21102326</v>
      </c>
      <c r="D199" s="1">
        <v>-11325140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-4751825</v>
      </c>
      <c r="M199" s="1">
        <v>-85170331</v>
      </c>
      <c r="N199" s="1">
        <v>0</v>
      </c>
      <c r="P199" s="1">
        <f t="shared" si="20"/>
        <v>-122349622</v>
      </c>
    </row>
    <row r="200" spans="2:16">
      <c r="B200" s="90" t="s">
        <v>30</v>
      </c>
      <c r="C200" s="1">
        <v>-40895000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-3595000</v>
      </c>
      <c r="N200" s="1">
        <v>0</v>
      </c>
      <c r="P200" s="1">
        <f t="shared" si="20"/>
        <v>-44490000</v>
      </c>
    </row>
    <row r="201" spans="2:16">
      <c r="B201" s="90" t="s">
        <v>23</v>
      </c>
      <c r="C201" s="1">
        <v>-1008516525</v>
      </c>
      <c r="D201" s="1">
        <v>0</v>
      </c>
      <c r="E201" s="1">
        <v>-3601581728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-51549900</v>
      </c>
      <c r="N201" s="1">
        <v>0</v>
      </c>
      <c r="P201" s="1">
        <f t="shared" si="20"/>
        <v>-4661648153</v>
      </c>
    </row>
    <row r="202" spans="2:16" ht="15.75">
      <c r="B202" s="88" t="s">
        <v>8</v>
      </c>
      <c r="C202" s="1" t="s">
        <v>26</v>
      </c>
      <c r="D202" s="1" t="s">
        <v>26</v>
      </c>
      <c r="E202" s="1" t="s">
        <v>26</v>
      </c>
      <c r="F202" s="1" t="s">
        <v>26</v>
      </c>
      <c r="G202" s="1" t="s">
        <v>26</v>
      </c>
      <c r="H202" s="1" t="s">
        <v>26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26</v>
      </c>
      <c r="N202" s="1" t="s">
        <v>26</v>
      </c>
      <c r="O202" s="82" t="s">
        <v>26</v>
      </c>
      <c r="P202" s="1" t="s">
        <v>26</v>
      </c>
    </row>
    <row r="203" spans="2:16">
      <c r="B203" s="90" t="s">
        <v>33</v>
      </c>
      <c r="C203" s="1">
        <v>0</v>
      </c>
      <c r="D203" s="1">
        <v>-38000000</v>
      </c>
      <c r="E203" s="1">
        <v>-30898105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P203" s="1">
        <f t="shared" si="20"/>
        <v>-68898105</v>
      </c>
    </row>
    <row r="204" spans="2:16">
      <c r="B204" s="90" t="s">
        <v>178</v>
      </c>
      <c r="C204" s="1">
        <v>0</v>
      </c>
      <c r="D204" s="1">
        <v>-17307833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P204" s="1">
        <f t="shared" si="20"/>
        <v>-17307833</v>
      </c>
    </row>
    <row r="205" spans="2:16">
      <c r="B205" s="90" t="s">
        <v>179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P205" s="1">
        <f t="shared" si="20"/>
        <v>0</v>
      </c>
    </row>
    <row r="206" spans="2:16">
      <c r="B206" s="90" t="s">
        <v>180</v>
      </c>
      <c r="C206" s="1">
        <v>0</v>
      </c>
      <c r="D206" s="1">
        <v>-1250000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-2087880</v>
      </c>
      <c r="M206" s="1">
        <v>-15467060</v>
      </c>
      <c r="N206" s="1">
        <v>0</v>
      </c>
      <c r="P206" s="1">
        <f t="shared" si="20"/>
        <v>-18804940</v>
      </c>
    </row>
    <row r="207" spans="2:16">
      <c r="B207" s="90" t="s">
        <v>185</v>
      </c>
      <c r="C207" s="1">
        <v>0</v>
      </c>
      <c r="D207" s="1">
        <v>-2500000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P207" s="1">
        <f t="shared" si="20"/>
        <v>-2500000</v>
      </c>
    </row>
    <row r="208" spans="2:16">
      <c r="B208" s="90" t="s">
        <v>181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-10627850</v>
      </c>
      <c r="M208" s="1">
        <v>-2514700</v>
      </c>
      <c r="N208" s="1">
        <v>0</v>
      </c>
      <c r="P208" s="1">
        <f t="shared" si="20"/>
        <v>-13142550</v>
      </c>
    </row>
    <row r="209" spans="2:16">
      <c r="B209" s="90" t="s">
        <v>32</v>
      </c>
      <c r="C209" s="1">
        <v>0</v>
      </c>
      <c r="D209" s="1">
        <v>-37579900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-70000</v>
      </c>
      <c r="M209" s="1">
        <v>-14055055</v>
      </c>
      <c r="N209" s="1">
        <v>0</v>
      </c>
      <c r="P209" s="1">
        <f t="shared" si="20"/>
        <v>-51704955</v>
      </c>
    </row>
    <row r="210" spans="2:16">
      <c r="B210" s="90" t="s">
        <v>182</v>
      </c>
      <c r="C210" s="1">
        <v>0</v>
      </c>
      <c r="D210" s="1">
        <v>-19445000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P210" s="1">
        <f t="shared" si="20"/>
        <v>-19445000</v>
      </c>
    </row>
    <row r="211" spans="2:16">
      <c r="B211" s="90" t="s">
        <v>78</v>
      </c>
      <c r="C211" s="1">
        <v>0</v>
      </c>
      <c r="D211" s="1">
        <v>-12958807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-5399262</v>
      </c>
      <c r="M211" s="1">
        <v>-35464949</v>
      </c>
      <c r="N211" s="1">
        <v>0</v>
      </c>
      <c r="P211" s="1">
        <f t="shared" si="20"/>
        <v>-53823018</v>
      </c>
    </row>
    <row r="212" spans="2:16">
      <c r="B212" s="90" t="s">
        <v>77</v>
      </c>
      <c r="C212" s="1">
        <v>0</v>
      </c>
      <c r="D212" s="1">
        <v>0</v>
      </c>
      <c r="E212" s="1">
        <v>-216216228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P212" s="1">
        <f t="shared" si="20"/>
        <v>-216216228</v>
      </c>
    </row>
    <row r="213" spans="2:16">
      <c r="B213" s="90" t="s">
        <v>9</v>
      </c>
      <c r="C213" s="1">
        <v>0</v>
      </c>
      <c r="D213" s="1">
        <v>-8182436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P213" s="1">
        <f t="shared" si="20"/>
        <v>-8182436</v>
      </c>
    </row>
    <row r="214" spans="2:16">
      <c r="B214" s="90" t="s">
        <v>269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-8669800</v>
      </c>
      <c r="M214" s="1">
        <v>0</v>
      </c>
      <c r="N214" s="1">
        <v>0</v>
      </c>
      <c r="P214" s="1">
        <f t="shared" si="20"/>
        <v>-8669800</v>
      </c>
    </row>
    <row r="215" spans="2:16">
      <c r="B215" s="90" t="s">
        <v>183</v>
      </c>
      <c r="C215" s="1">
        <v>0</v>
      </c>
      <c r="D215" s="1">
        <v>-1875000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-1599583</v>
      </c>
      <c r="M215" s="1">
        <v>0</v>
      </c>
      <c r="N215" s="1">
        <v>0</v>
      </c>
      <c r="P215" s="1">
        <f t="shared" si="20"/>
        <v>-3474583</v>
      </c>
    </row>
    <row r="216" spans="2:16">
      <c r="B216" s="90" t="s">
        <v>184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-9557366</v>
      </c>
      <c r="N216" s="1">
        <v>0</v>
      </c>
      <c r="P216" s="1">
        <f t="shared" si="20"/>
        <v>-9557366</v>
      </c>
    </row>
    <row r="217" spans="2:16">
      <c r="B217" s="90" t="s">
        <v>31</v>
      </c>
      <c r="C217" s="1">
        <v>-2700000</v>
      </c>
      <c r="D217" s="1">
        <v>-7892122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-8759570</v>
      </c>
      <c r="M217" s="1">
        <v>-1230000</v>
      </c>
      <c r="N217" s="1">
        <v>0</v>
      </c>
      <c r="P217" s="1">
        <f t="shared" si="20"/>
        <v>-20581692</v>
      </c>
    </row>
    <row r="218" spans="2:16">
      <c r="B218" s="90" t="s">
        <v>14</v>
      </c>
      <c r="C218" s="1">
        <v>-5777000</v>
      </c>
      <c r="D218" s="1">
        <v>-117055240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-50002511</v>
      </c>
      <c r="M218" s="1">
        <v>-61513587</v>
      </c>
      <c r="N218" s="1">
        <v>0</v>
      </c>
      <c r="P218" s="1">
        <f t="shared" si="20"/>
        <v>-234348338</v>
      </c>
    </row>
    <row r="219" spans="2:16" ht="15.75">
      <c r="B219" s="88" t="s">
        <v>21</v>
      </c>
      <c r="C219" s="1" t="s">
        <v>26</v>
      </c>
      <c r="D219" s="1" t="s">
        <v>26</v>
      </c>
      <c r="E219" s="1" t="s">
        <v>26</v>
      </c>
      <c r="F219" s="1" t="s">
        <v>26</v>
      </c>
      <c r="G219" s="1" t="s">
        <v>26</v>
      </c>
      <c r="H219" s="1" t="s">
        <v>26</v>
      </c>
      <c r="I219" s="1" t="s">
        <v>26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82" t="s">
        <v>26</v>
      </c>
      <c r="P219" s="1" t="s">
        <v>26</v>
      </c>
    </row>
    <row r="220" spans="2:16">
      <c r="B220" s="90" t="s">
        <v>22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-13012167</v>
      </c>
      <c r="N220" s="1">
        <v>0</v>
      </c>
      <c r="P220" s="1">
        <f t="shared" si="20"/>
        <v>-13012167</v>
      </c>
    </row>
    <row r="221" spans="2:16">
      <c r="B221" s="90" t="s">
        <v>186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P221" s="1">
        <f t="shared" si="20"/>
        <v>0</v>
      </c>
    </row>
    <row r="222" spans="2:16">
      <c r="B222" s="90" t="s">
        <v>419</v>
      </c>
      <c r="C222" s="1">
        <v>-800000</v>
      </c>
      <c r="D222" s="1">
        <v>-1700000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P222" s="1">
        <f t="shared" si="20"/>
        <v>-2500000</v>
      </c>
    </row>
    <row r="223" spans="2:16">
      <c r="B223" s="90" t="s">
        <v>187</v>
      </c>
      <c r="C223" s="1">
        <v>-550000</v>
      </c>
      <c r="D223" s="1">
        <v>-32648100</v>
      </c>
      <c r="E223" s="1">
        <v>-33486710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-8549452</v>
      </c>
      <c r="M223" s="1">
        <v>-14753121</v>
      </c>
      <c r="N223" s="1">
        <v>0</v>
      </c>
      <c r="O223" s="1">
        <v>0</v>
      </c>
      <c r="P223" s="1">
        <f t="shared" si="20"/>
        <v>-89987383</v>
      </c>
    </row>
    <row r="224" spans="2:16">
      <c r="B224" s="90" t="s">
        <v>188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 t="shared" si="20"/>
        <v>0</v>
      </c>
    </row>
    <row r="225" spans="2:16" ht="15.75">
      <c r="B225" s="88" t="s">
        <v>19</v>
      </c>
      <c r="C225" s="1" t="s">
        <v>26</v>
      </c>
      <c r="D225" s="1" t="s">
        <v>26</v>
      </c>
      <c r="E225" s="1" t="s">
        <v>26</v>
      </c>
      <c r="F225" s="1" t="s">
        <v>26</v>
      </c>
      <c r="G225" s="1" t="s">
        <v>26</v>
      </c>
      <c r="H225" s="1" t="s">
        <v>26</v>
      </c>
      <c r="I225" s="1" t="s">
        <v>26</v>
      </c>
      <c r="J225" s="1" t="s">
        <v>26</v>
      </c>
      <c r="K225" s="1" t="s">
        <v>26</v>
      </c>
      <c r="L225" s="1" t="s">
        <v>26</v>
      </c>
      <c r="M225" s="1" t="s">
        <v>26</v>
      </c>
      <c r="N225" s="1" t="s">
        <v>26</v>
      </c>
      <c r="O225" s="82" t="s">
        <v>26</v>
      </c>
      <c r="P225" s="1" t="s">
        <v>26</v>
      </c>
    </row>
    <row r="226" spans="2:16">
      <c r="B226" s="90" t="s">
        <v>189</v>
      </c>
      <c r="C226" s="1">
        <v>-300000</v>
      </c>
      <c r="D226" s="1">
        <v>-2574020</v>
      </c>
      <c r="E226" s="1">
        <v>-1322400</v>
      </c>
      <c r="F226" s="1">
        <v>-2015000</v>
      </c>
      <c r="G226" s="1">
        <v>-456200</v>
      </c>
      <c r="H226" s="1">
        <v>-240000</v>
      </c>
      <c r="I226" s="1">
        <v>-433707</v>
      </c>
      <c r="J226" s="1">
        <v>-320231.95</v>
      </c>
      <c r="K226" s="1">
        <v>-137500</v>
      </c>
      <c r="L226" s="1">
        <v>0</v>
      </c>
      <c r="M226" s="1">
        <v>-28030450</v>
      </c>
      <c r="N226" s="1">
        <v>0</v>
      </c>
      <c r="P226" s="1">
        <f t="shared" si="20"/>
        <v>-35829508.950000003</v>
      </c>
    </row>
    <row r="227" spans="2:16">
      <c r="B227" s="90" t="s">
        <v>65</v>
      </c>
      <c r="C227" s="1">
        <v>0</v>
      </c>
      <c r="D227" s="1">
        <v>0</v>
      </c>
      <c r="E227" s="1">
        <v>-13369864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-17554911</v>
      </c>
      <c r="N227" s="1">
        <v>0</v>
      </c>
      <c r="P227" s="1">
        <f t="shared" si="20"/>
        <v>-30924775</v>
      </c>
    </row>
    <row r="228" spans="2:16" ht="15.75">
      <c r="B228" s="88" t="s">
        <v>190</v>
      </c>
      <c r="C228" s="1" t="s">
        <v>26</v>
      </c>
      <c r="D228" s="1" t="s">
        <v>26</v>
      </c>
      <c r="E228" s="1" t="s">
        <v>26</v>
      </c>
      <c r="F228" s="1" t="s">
        <v>26</v>
      </c>
      <c r="G228" s="1" t="s">
        <v>26</v>
      </c>
      <c r="H228" s="1" t="s">
        <v>26</v>
      </c>
      <c r="I228" s="1" t="s">
        <v>26</v>
      </c>
      <c r="J228" s="1" t="s">
        <v>26</v>
      </c>
      <c r="K228" s="1" t="s">
        <v>26</v>
      </c>
      <c r="L228" s="1" t="s">
        <v>26</v>
      </c>
      <c r="M228" s="1" t="s">
        <v>26</v>
      </c>
      <c r="N228" s="1" t="s">
        <v>26</v>
      </c>
      <c r="O228" s="82" t="s">
        <v>26</v>
      </c>
      <c r="P228" s="1" t="s">
        <v>26</v>
      </c>
    </row>
    <row r="229" spans="2:16">
      <c r="B229" s="90" t="s">
        <v>191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309">
        <v>0</v>
      </c>
      <c r="P229" s="1">
        <f t="shared" si="20"/>
        <v>0</v>
      </c>
    </row>
    <row r="230" spans="2:16">
      <c r="B230" s="90" t="s">
        <v>79</v>
      </c>
      <c r="C230" s="1">
        <v>24236.270000000008</v>
      </c>
      <c r="D230" s="1">
        <v>0</v>
      </c>
      <c r="E230" s="1">
        <v>13424464.900000002</v>
      </c>
      <c r="F230" s="1">
        <v>4255102</v>
      </c>
      <c r="G230" s="1">
        <v>7435689.0100000007</v>
      </c>
      <c r="H230" s="1">
        <v>0</v>
      </c>
      <c r="I230" s="1">
        <v>1614</v>
      </c>
      <c r="J230" s="1">
        <v>1704565.8499999996</v>
      </c>
      <c r="K230" s="1">
        <v>387440</v>
      </c>
      <c r="L230" s="1">
        <v>0</v>
      </c>
      <c r="M230" s="1">
        <v>0</v>
      </c>
      <c r="N230" s="1">
        <v>0</v>
      </c>
      <c r="P230" s="1">
        <f t="shared" si="20"/>
        <v>27233112.030000001</v>
      </c>
    </row>
    <row r="231" spans="2:16">
      <c r="B231" s="90" t="s">
        <v>69</v>
      </c>
      <c r="C231" s="1">
        <v>-16515001</v>
      </c>
      <c r="D231" s="1">
        <v>-275431</v>
      </c>
      <c r="E231" s="1">
        <v>-9406137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-34254171.559999935</v>
      </c>
      <c r="N231" s="345">
        <v>-3.814697265625E-5</v>
      </c>
      <c r="P231" s="1">
        <f t="shared" si="20"/>
        <v>-60450740.560038082</v>
      </c>
    </row>
    <row r="232" spans="2:16">
      <c r="B232" s="90" t="s">
        <v>192</v>
      </c>
      <c r="C232" s="1">
        <v>634294000</v>
      </c>
      <c r="D232" s="1">
        <v>0</v>
      </c>
      <c r="E232" s="1">
        <v>4.1399999999999997</v>
      </c>
      <c r="F232" s="1">
        <v>11000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3270000</v>
      </c>
      <c r="M232" s="1">
        <v>464334973.84000003</v>
      </c>
      <c r="N232" s="1">
        <v>0</v>
      </c>
      <c r="P232" s="1">
        <f t="shared" si="20"/>
        <v>1101909977.98</v>
      </c>
    </row>
    <row r="233" spans="2:16">
      <c r="B233" s="90"/>
    </row>
    <row r="234" spans="2:16" ht="15.75">
      <c r="B234" s="91" t="s">
        <v>193</v>
      </c>
      <c r="C234" s="10">
        <f t="shared" ref="C234:H234" si="21">SUBTOTAL(9,C192:C232)</f>
        <v>-470204826.73000002</v>
      </c>
      <c r="D234" s="10">
        <f t="shared" si="21"/>
        <v>-327360029</v>
      </c>
      <c r="E234" s="10">
        <f t="shared" si="21"/>
        <v>-4191875560.96</v>
      </c>
      <c r="F234" s="10">
        <f t="shared" si="21"/>
        <v>2251102</v>
      </c>
      <c r="G234" s="10">
        <f t="shared" si="21"/>
        <v>6979489.0100000007</v>
      </c>
      <c r="H234" s="10">
        <f t="shared" si="21"/>
        <v>-240000</v>
      </c>
      <c r="I234" s="10">
        <f t="shared" ref="I234:J234" si="22">SUBTOTAL(9,I192:I232)</f>
        <v>-432093</v>
      </c>
      <c r="J234" s="10">
        <f t="shared" si="22"/>
        <v>1384333.8999999997</v>
      </c>
      <c r="K234" s="10">
        <f t="shared" ref="K234" si="23">SUBTOTAL(9,K192:K232)</f>
        <v>249940</v>
      </c>
      <c r="L234" s="10">
        <f>SUBTOTAL(9,L192:L232)</f>
        <v>-106397879</v>
      </c>
      <c r="M234" s="10">
        <f>SUBTOTAL(9,M192:M232)</f>
        <v>-135918069.71999991</v>
      </c>
      <c r="N234" s="10">
        <f>SUBTOTAL(9,N192:N232)</f>
        <v>-3.814697265625E-5</v>
      </c>
      <c r="P234" s="10">
        <f>SUBTOTAL(9,P192:P232)</f>
        <v>-5221563593.5000381</v>
      </c>
    </row>
    <row r="236" spans="2:16" ht="15.75">
      <c r="B236" s="91" t="s">
        <v>194</v>
      </c>
      <c r="P236" s="10">
        <f>P188+P234</f>
        <v>4384474943.3599625</v>
      </c>
    </row>
    <row r="238" spans="2:16">
      <c r="B238" t="s">
        <v>195</v>
      </c>
      <c r="C238" s="1">
        <v>0</v>
      </c>
      <c r="D238" s="1">
        <v>0</v>
      </c>
      <c r="E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P238" s="1">
        <f>-'Deprec 2025'!S106</f>
        <v>-418228940.33333337</v>
      </c>
    </row>
    <row r="240" spans="2:16" ht="15.75">
      <c r="B240" s="91" t="s">
        <v>196</v>
      </c>
      <c r="P240" s="10">
        <f>P236+P238</f>
        <v>3966246003.026629</v>
      </c>
    </row>
    <row r="242" spans="2:20" ht="15.75">
      <c r="B242" t="s">
        <v>197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P242" s="41">
        <v>-661753441</v>
      </c>
      <c r="Q242" s="344" t="s">
        <v>26</v>
      </c>
    </row>
    <row r="244" spans="2:20" ht="15.75">
      <c r="B244" s="91" t="s">
        <v>198</v>
      </c>
      <c r="P244" s="92">
        <f>P240+P242</f>
        <v>3304492562.026629</v>
      </c>
      <c r="Q244" s="86">
        <f>P244/P65</f>
        <v>8.4589524966577498E-2</v>
      </c>
      <c r="S244" s="52" t="s">
        <v>26</v>
      </c>
      <c r="T244" s="93" t="s">
        <v>26</v>
      </c>
    </row>
  </sheetData>
  <pageMargins left="0.7" right="0.7" top="0.75" bottom="0.75" header="0.3" footer="0.3"/>
  <pageSetup paperSize="9" scale="25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00"/>
  <sheetViews>
    <sheetView zoomScale="91" workbookViewId="0">
      <selection activeCell="G50" sqref="G50"/>
    </sheetView>
  </sheetViews>
  <sheetFormatPr defaultColWidth="10.77734375" defaultRowHeight="15.75"/>
  <cols>
    <col min="1" max="1" width="10.77734375" style="17"/>
    <col min="2" max="2" width="48.109375" style="17" customWidth="1"/>
    <col min="3" max="3" width="6.77734375" style="17" customWidth="1"/>
    <col min="4" max="4" width="32.109375" style="17" customWidth="1"/>
    <col min="5" max="5" width="3.44140625" style="17" customWidth="1"/>
    <col min="6" max="6" width="10.77734375" style="17"/>
    <col min="7" max="7" width="22.109375" style="17" customWidth="1"/>
    <col min="8" max="16384" width="10.77734375" style="17"/>
  </cols>
  <sheetData>
    <row r="1" spans="2:7">
      <c r="B1" s="17" t="s">
        <v>26</v>
      </c>
    </row>
    <row r="2" spans="2:7" ht="18">
      <c r="B2" s="382" t="s">
        <v>199</v>
      </c>
      <c r="C2" s="382"/>
      <c r="D2" s="382"/>
    </row>
    <row r="3" spans="2:7" ht="18">
      <c r="B3" s="383" t="s">
        <v>7176</v>
      </c>
      <c r="C3" s="383"/>
      <c r="D3" s="383"/>
    </row>
    <row r="4" spans="2:7">
      <c r="B4" s="94"/>
      <c r="C4" s="94"/>
      <c r="D4" s="94"/>
    </row>
    <row r="5" spans="2:7">
      <c r="B5" s="95" t="s">
        <v>200</v>
      </c>
      <c r="C5" s="95"/>
      <c r="D5" s="97" t="s">
        <v>26</v>
      </c>
    </row>
    <row r="6" spans="2:7">
      <c r="B6" s="98" t="s">
        <v>201</v>
      </c>
      <c r="C6" s="98"/>
      <c r="D6" s="99"/>
    </row>
    <row r="7" spans="2:7">
      <c r="B7" s="100" t="s">
        <v>202</v>
      </c>
      <c r="C7" s="100"/>
      <c r="D7" s="99" t="s">
        <v>26</v>
      </c>
    </row>
    <row r="8" spans="2:7">
      <c r="B8" s="101" t="s">
        <v>43</v>
      </c>
      <c r="C8" s="101"/>
      <c r="D8" s="99">
        <v>754980</v>
      </c>
    </row>
    <row r="9" spans="2:7">
      <c r="B9" s="101" t="s">
        <v>203</v>
      </c>
      <c r="C9" s="101"/>
      <c r="D9" s="99">
        <v>0</v>
      </c>
    </row>
    <row r="10" spans="2:7">
      <c r="B10" s="101"/>
      <c r="C10" s="101"/>
      <c r="D10" s="99"/>
    </row>
    <row r="11" spans="2:7">
      <c r="B11" s="100" t="s">
        <v>204</v>
      </c>
      <c r="C11" s="100"/>
      <c r="D11" s="99" t="s">
        <v>26</v>
      </c>
    </row>
    <row r="12" spans="2:7">
      <c r="B12" s="101" t="s">
        <v>206</v>
      </c>
      <c r="C12" s="101"/>
      <c r="D12" s="99">
        <v>20814407.629999999</v>
      </c>
    </row>
    <row r="13" spans="2:7">
      <c r="B13" s="101" t="s">
        <v>323</v>
      </c>
      <c r="C13" s="101"/>
      <c r="D13" s="99">
        <v>671381134.48000002</v>
      </c>
    </row>
    <row r="14" spans="2:7">
      <c r="B14" s="101" t="s">
        <v>205</v>
      </c>
      <c r="C14" s="101"/>
      <c r="D14" s="99">
        <v>3477761043.4099994</v>
      </c>
    </row>
    <row r="15" spans="2:7">
      <c r="B15" s="101" t="s">
        <v>7177</v>
      </c>
      <c r="C15" s="101"/>
      <c r="D15" s="99">
        <v>1993505145.3299994</v>
      </c>
    </row>
    <row r="16" spans="2:7">
      <c r="B16" s="101" t="s">
        <v>7178</v>
      </c>
      <c r="C16" s="101"/>
      <c r="D16" s="99">
        <v>6491216.3599991519</v>
      </c>
      <c r="G16" s="103" t="s">
        <v>26</v>
      </c>
    </row>
    <row r="17" spans="2:7">
      <c r="B17" s="101" t="s">
        <v>7179</v>
      </c>
      <c r="C17" s="101"/>
      <c r="D17" s="99">
        <v>3316331.49</v>
      </c>
      <c r="G17" s="103" t="s">
        <v>26</v>
      </c>
    </row>
    <row r="18" spans="2:7">
      <c r="B18" s="101" t="s">
        <v>7180</v>
      </c>
      <c r="C18" s="101"/>
      <c r="D18" s="99">
        <v>1281227</v>
      </c>
    </row>
    <row r="19" spans="2:7">
      <c r="B19" s="101"/>
      <c r="C19" s="101"/>
      <c r="D19" s="99"/>
    </row>
    <row r="20" spans="2:7">
      <c r="B20" s="100" t="s">
        <v>207</v>
      </c>
      <c r="C20" s="100"/>
      <c r="D20" s="99" t="s">
        <v>26</v>
      </c>
    </row>
    <row r="21" spans="2:7">
      <c r="B21" s="101" t="s">
        <v>208</v>
      </c>
      <c r="C21" s="101"/>
      <c r="D21" s="99">
        <v>5052543582</v>
      </c>
    </row>
    <row r="23" spans="2:7">
      <c r="B23" s="100" t="s">
        <v>209</v>
      </c>
      <c r="C23" s="100"/>
      <c r="D23" s="99" t="s">
        <v>91</v>
      </c>
    </row>
    <row r="24" spans="2:7">
      <c r="B24" s="101" t="s">
        <v>11</v>
      </c>
      <c r="C24" s="101"/>
      <c r="D24" s="99">
        <v>28096000</v>
      </c>
    </row>
    <row r="25" spans="2:7">
      <c r="B25" s="101" t="s">
        <v>99</v>
      </c>
      <c r="C25" s="101"/>
      <c r="D25" s="99">
        <v>192073477</v>
      </c>
    </row>
    <row r="26" spans="2:7">
      <c r="B26" s="101" t="s">
        <v>76</v>
      </c>
      <c r="C26" s="101"/>
      <c r="D26" s="99">
        <v>527829606</v>
      </c>
    </row>
    <row r="27" spans="2:7">
      <c r="B27" s="101" t="s">
        <v>98</v>
      </c>
      <c r="C27" s="101"/>
      <c r="D27" s="99">
        <v>32854000</v>
      </c>
    </row>
    <row r="28" spans="2:7">
      <c r="B28" s="101" t="s">
        <v>210</v>
      </c>
      <c r="C28" s="101"/>
      <c r="D28" s="99">
        <v>3230257176</v>
      </c>
    </row>
    <row r="29" spans="2:7">
      <c r="B29" s="101" t="s">
        <v>93</v>
      </c>
      <c r="C29" s="101"/>
      <c r="D29" s="99">
        <v>1385000000</v>
      </c>
    </row>
    <row r="31" spans="2:7">
      <c r="B31" s="100" t="s">
        <v>211</v>
      </c>
      <c r="C31" s="100"/>
      <c r="D31" s="99" t="s">
        <v>91</v>
      </c>
    </row>
    <row r="32" spans="2:7">
      <c r="B32" s="104" t="s">
        <v>325</v>
      </c>
      <c r="C32" s="104"/>
      <c r="D32" s="99">
        <v>2701801</v>
      </c>
    </row>
    <row r="33" spans="2:4">
      <c r="B33" s="104" t="s">
        <v>87</v>
      </c>
      <c r="C33" s="104"/>
      <c r="D33" s="99">
        <v>5852239</v>
      </c>
    </row>
    <row r="34" spans="2:4">
      <c r="B34" s="104" t="s">
        <v>212</v>
      </c>
      <c r="C34" s="104"/>
      <c r="D34" s="99">
        <v>661753441</v>
      </c>
    </row>
    <row r="36" spans="2:4">
      <c r="B36" s="105" t="s">
        <v>213</v>
      </c>
      <c r="C36" s="105"/>
      <c r="D36" s="106">
        <f>SUM(D8:D35)</f>
        <v>17294266807.699997</v>
      </c>
    </row>
    <row r="38" spans="2:4">
      <c r="B38" s="95" t="s">
        <v>214</v>
      </c>
      <c r="C38" s="95"/>
      <c r="D38" s="99"/>
    </row>
    <row r="39" spans="2:4">
      <c r="B39" s="107" t="s">
        <v>215</v>
      </c>
      <c r="C39" s="107"/>
      <c r="D39" s="99">
        <v>1091175796</v>
      </c>
    </row>
    <row r="40" spans="2:4">
      <c r="B40" s="107" t="s">
        <v>216</v>
      </c>
      <c r="C40" s="107"/>
      <c r="D40" s="99">
        <v>967901036</v>
      </c>
    </row>
    <row r="41" spans="2:4">
      <c r="B41" s="107" t="s">
        <v>217</v>
      </c>
      <c r="C41" s="107"/>
      <c r="D41" s="99">
        <v>0</v>
      </c>
    </row>
    <row r="42" spans="2:4">
      <c r="B42" s="94" t="s">
        <v>218</v>
      </c>
      <c r="C42" s="94"/>
      <c r="D42" s="99">
        <v>-1183894353.6666665</v>
      </c>
    </row>
    <row r="43" spans="2:4">
      <c r="B43" s="105" t="s">
        <v>219</v>
      </c>
      <c r="C43" s="105"/>
      <c r="D43" s="108">
        <f>SUM(D39:D42)</f>
        <v>875182478.33333349</v>
      </c>
    </row>
    <row r="44" spans="2:4">
      <c r="B44" s="94"/>
      <c r="C44" s="94"/>
      <c r="D44" s="99"/>
    </row>
    <row r="46" spans="2:4">
      <c r="B46" s="109" t="s">
        <v>220</v>
      </c>
      <c r="C46" s="109"/>
      <c r="D46" s="110">
        <f>+D36+D43</f>
        <v>18169449286.033329</v>
      </c>
    </row>
    <row r="49" spans="2:4">
      <c r="B49" s="95" t="s">
        <v>221</v>
      </c>
      <c r="C49" s="95"/>
      <c r="D49" s="94"/>
    </row>
    <row r="50" spans="2:4">
      <c r="B50" s="95" t="s">
        <v>222</v>
      </c>
      <c r="C50" s="95"/>
      <c r="D50" s="94"/>
    </row>
    <row r="51" spans="2:4">
      <c r="B51" s="100" t="s">
        <v>223</v>
      </c>
      <c r="C51" s="100"/>
      <c r="D51" s="94" t="s">
        <v>26</v>
      </c>
    </row>
    <row r="52" spans="2:4">
      <c r="B52" s="101" t="s">
        <v>224</v>
      </c>
      <c r="C52" s="101"/>
      <c r="D52" s="99">
        <v>390174422</v>
      </c>
    </row>
    <row r="53" spans="2:4">
      <c r="B53" s="101" t="s">
        <v>225</v>
      </c>
      <c r="C53" s="101"/>
      <c r="D53" s="99">
        <v>0</v>
      </c>
    </row>
    <row r="54" spans="2:4">
      <c r="B54" s="101" t="s">
        <v>13</v>
      </c>
      <c r="C54" s="101"/>
      <c r="D54" s="99">
        <v>504883264</v>
      </c>
    </row>
    <row r="55" spans="2:4">
      <c r="B55" s="101" t="s">
        <v>52</v>
      </c>
      <c r="C55" s="101"/>
      <c r="D55" s="99">
        <v>0</v>
      </c>
    </row>
    <row r="56" spans="2:4">
      <c r="B56" s="101" t="s">
        <v>61</v>
      </c>
      <c r="C56" s="101"/>
      <c r="D56" s="99">
        <v>0</v>
      </c>
    </row>
    <row r="57" spans="2:4">
      <c r="B57" s="101" t="s">
        <v>226</v>
      </c>
      <c r="C57" s="101"/>
      <c r="D57" s="99">
        <v>0</v>
      </c>
    </row>
    <row r="58" spans="2:4">
      <c r="B58" s="101" t="s">
        <v>53</v>
      </c>
      <c r="C58" s="101"/>
      <c r="D58" s="99">
        <v>286821164</v>
      </c>
    </row>
    <row r="59" spans="2:4">
      <c r="B59" s="101" t="s">
        <v>7</v>
      </c>
      <c r="C59" s="101"/>
      <c r="D59" s="99">
        <v>883027129</v>
      </c>
    </row>
    <row r="60" spans="2:4">
      <c r="B60" s="101" t="s">
        <v>49</v>
      </c>
      <c r="C60" s="101"/>
      <c r="D60" s="99">
        <v>3000000</v>
      </c>
    </row>
    <row r="61" spans="2:4">
      <c r="B61" s="101"/>
      <c r="C61" s="101"/>
      <c r="D61" s="99"/>
    </row>
    <row r="62" spans="2:4">
      <c r="B62" s="100" t="s">
        <v>207</v>
      </c>
      <c r="C62" s="100"/>
      <c r="D62" s="99" t="s">
        <v>26</v>
      </c>
    </row>
    <row r="63" spans="2:4">
      <c r="B63" s="101" t="s">
        <v>227</v>
      </c>
      <c r="C63" s="101"/>
      <c r="D63" s="99">
        <v>1471000000</v>
      </c>
    </row>
    <row r="64" spans="2:4">
      <c r="B64" s="100"/>
      <c r="C64" s="100"/>
      <c r="D64" s="99"/>
    </row>
    <row r="65" spans="2:7">
      <c r="B65" s="100" t="s">
        <v>228</v>
      </c>
      <c r="C65" s="100"/>
      <c r="D65" s="99"/>
    </row>
    <row r="66" spans="2:7">
      <c r="B66" s="101" t="s">
        <v>229</v>
      </c>
      <c r="C66" s="101"/>
      <c r="D66" s="99">
        <v>2619430000</v>
      </c>
    </row>
    <row r="67" spans="2:7">
      <c r="B67" s="105" t="s">
        <v>230</v>
      </c>
      <c r="C67" s="105"/>
      <c r="D67" s="111">
        <f>SUM(D51:D66)</f>
        <v>6158335979</v>
      </c>
    </row>
    <row r="69" spans="2:7">
      <c r="B69" s="95" t="s">
        <v>231</v>
      </c>
      <c r="C69" s="95"/>
      <c r="D69" s="94"/>
    </row>
    <row r="70" spans="2:7">
      <c r="B70" s="100" t="s">
        <v>232</v>
      </c>
      <c r="C70" s="100"/>
      <c r="D70" s="99">
        <v>2500000000</v>
      </c>
      <c r="E70" s="42"/>
    </row>
    <row r="71" spans="2:7">
      <c r="B71" s="100" t="s">
        <v>233</v>
      </c>
      <c r="C71" s="100"/>
      <c r="D71" s="102" t="s">
        <v>26</v>
      </c>
    </row>
    <row r="72" spans="2:7">
      <c r="B72" s="101" t="s">
        <v>234</v>
      </c>
      <c r="C72" s="101"/>
      <c r="D72" s="99">
        <f>10453697304.0067-2000000000-2248830000</f>
        <v>6204867304.0067005</v>
      </c>
      <c r="G72" s="103" t="s">
        <v>26</v>
      </c>
    </row>
    <row r="73" spans="2:7">
      <c r="B73" s="101" t="s">
        <v>235</v>
      </c>
      <c r="C73" s="101"/>
      <c r="D73" s="99">
        <v>-660000000</v>
      </c>
    </row>
    <row r="74" spans="2:7">
      <c r="B74" s="101" t="s">
        <v>2436</v>
      </c>
      <c r="C74" s="101"/>
      <c r="D74" s="99">
        <f>PL!P240</f>
        <v>3966246003.026629</v>
      </c>
      <c r="F74" s="112" t="s">
        <v>26</v>
      </c>
      <c r="G74" s="57" t="s">
        <v>26</v>
      </c>
    </row>
    <row r="75" spans="2:7">
      <c r="B75" s="105" t="s">
        <v>236</v>
      </c>
      <c r="C75" s="105"/>
      <c r="D75" s="106">
        <f>SUM(D70:D74)</f>
        <v>12011113307.033329</v>
      </c>
      <c r="G75" s="103" t="s">
        <v>26</v>
      </c>
    </row>
    <row r="76" spans="2:7">
      <c r="B76" s="94"/>
      <c r="C76" s="94"/>
      <c r="D76" s="94"/>
    </row>
    <row r="77" spans="2:7">
      <c r="B77" s="94"/>
      <c r="C77" s="94"/>
      <c r="D77" s="94"/>
    </row>
    <row r="78" spans="2:7">
      <c r="B78" s="96" t="s">
        <v>237</v>
      </c>
      <c r="C78" s="96"/>
      <c r="D78" s="106">
        <f>+D67+D75</f>
        <v>18169449286.033329</v>
      </c>
    </row>
    <row r="79" spans="2:7">
      <c r="D79" s="102" t="s">
        <v>26</v>
      </c>
    </row>
    <row r="80" spans="2:7">
      <c r="D80" s="102" t="s">
        <v>26</v>
      </c>
    </row>
    <row r="81" spans="4:4">
      <c r="D81" s="94"/>
    </row>
    <row r="82" spans="4:4">
      <c r="D82" s="94"/>
    </row>
    <row r="83" spans="4:4">
      <c r="D83" s="94"/>
    </row>
    <row r="84" spans="4:4">
      <c r="D84" s="94"/>
    </row>
    <row r="85" spans="4:4">
      <c r="D85" s="94"/>
    </row>
    <row r="86" spans="4:4">
      <c r="D86" s="94"/>
    </row>
    <row r="87" spans="4:4">
      <c r="D87" s="94"/>
    </row>
    <row r="88" spans="4:4">
      <c r="D88" s="94"/>
    </row>
    <row r="89" spans="4:4">
      <c r="D89" s="94"/>
    </row>
    <row r="90" spans="4:4">
      <c r="D90" s="94"/>
    </row>
    <row r="91" spans="4:4">
      <c r="D91" s="94"/>
    </row>
    <row r="92" spans="4:4">
      <c r="D92" s="94"/>
    </row>
    <row r="93" spans="4:4">
      <c r="D93" s="94"/>
    </row>
    <row r="94" spans="4:4">
      <c r="D94" s="94"/>
    </row>
    <row r="95" spans="4:4">
      <c r="D95" s="94"/>
    </row>
    <row r="96" spans="4:4">
      <c r="D96" s="94"/>
    </row>
    <row r="97" spans="4:4">
      <c r="D97" s="94"/>
    </row>
    <row r="98" spans="4:4">
      <c r="D98" s="94"/>
    </row>
    <row r="99" spans="4:4">
      <c r="D99" s="94"/>
    </row>
    <row r="100" spans="4:4">
      <c r="D100" s="94"/>
    </row>
  </sheetData>
  <mergeCells count="2">
    <mergeCell ref="B2:D2"/>
    <mergeCell ref="B3:D3"/>
  </mergeCells>
  <conditionalFormatting sqref="D72 D74">
    <cfRule type="cellIs" dxfId="1" priority="1" stopIfTrue="1" operator="greaterThanOrEqual">
      <formula>0</formula>
    </cfRule>
    <cfRule type="cellIs" dxfId="0" priority="2" stopIfTrue="1" operator="lessThan">
      <formula>0</formula>
    </cfRule>
  </conditionalFormatting>
  <printOptions horizontalCentered="1" verticalCentered="1"/>
  <pageMargins left="0.75000000000000011" right="0.75000000000000011" top="1" bottom="1" header="0.5" footer="0.5"/>
  <pageSetup paperSize="9" scale="55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BCA Sho</vt:lpstr>
      <vt:lpstr>BCA Juanda</vt:lpstr>
      <vt:lpstr>Mandiri MP</vt:lpstr>
      <vt:lpstr>BRI Sho</vt:lpstr>
      <vt:lpstr>BTN</vt:lpstr>
      <vt:lpstr>Raya</vt:lpstr>
      <vt:lpstr>BRI Tebet</vt:lpstr>
      <vt:lpstr>Mandiri PM</vt:lpstr>
      <vt:lpstr>BNI</vt:lpstr>
      <vt:lpstr>Cash IDR</vt:lpstr>
      <vt:lpstr>Non CB</vt:lpstr>
      <vt:lpstr>List Invoice</vt:lpstr>
      <vt:lpstr>Deprec 2025</vt:lpstr>
      <vt:lpstr>AP</vt:lpstr>
      <vt:lpstr>AR</vt:lpstr>
      <vt:lpstr>PPN In and Out</vt:lpstr>
      <vt:lpstr>Inter Accounts</vt:lpstr>
      <vt:lpstr>PL</vt:lpstr>
      <vt:lpstr>Balance Sheet</vt:lpstr>
      <vt:lpstr>AP!Print_Area</vt:lpstr>
      <vt:lpstr>AR!Print_Area</vt:lpstr>
      <vt:lpstr>'Balance Sheet'!Print_Area</vt:lpstr>
      <vt:lpstr>'BCA Juanda'!Print_Area</vt:lpstr>
      <vt:lpstr>'Deprec 2025'!Print_Area</vt:lpstr>
      <vt:lpstr>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2026-06-04T09:53:57Z</cp:lastPrinted>
  <dcterms:created xsi:type="dcterms:W3CDTF">2022-01-08T11:05:28Z</dcterms:created>
  <dcterms:modified xsi:type="dcterms:W3CDTF">2026-08-02T12:08:30Z</dcterms:modified>
</cp:coreProperties>
</file>