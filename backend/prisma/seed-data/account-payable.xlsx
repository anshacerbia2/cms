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w folder (2)\new-cms\backend\prisma\seed-data\"/>
    </mc:Choice>
  </mc:AlternateContent>
  <bookViews>
    <workbookView xWindow="0" yWindow="660" windowWidth="30240" windowHeight="17685"/>
  </bookViews>
  <sheets>
    <sheet name="AP" sheetId="44" r:id="rId1"/>
  </sheets>
  <definedNames>
    <definedName name="_xlnm._FilterDatabase" localSheetId="0" hidden="1">AP!$A$3:$U$250</definedName>
    <definedName name="_xlnm.Print_Area" localSheetId="0">AP!$A$2:$U$212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7" i="44" l="1"/>
  <c r="U250" i="44" l="1"/>
  <c r="U249" i="44"/>
  <c r="U248" i="44"/>
  <c r="U247" i="44"/>
  <c r="U246" i="44"/>
  <c r="U245" i="44"/>
  <c r="U244" i="44"/>
  <c r="U243" i="44"/>
  <c r="U242" i="44"/>
  <c r="U241" i="44"/>
  <c r="U240" i="44"/>
  <c r="U239" i="44"/>
  <c r="U238" i="44"/>
  <c r="U237" i="44"/>
  <c r="U236" i="44"/>
  <c r="U235" i="44"/>
  <c r="U234" i="44"/>
  <c r="U233" i="44"/>
  <c r="U232" i="44"/>
  <c r="U231" i="44"/>
  <c r="U230" i="44"/>
  <c r="U229" i="44"/>
  <c r="U228" i="44"/>
  <c r="U227" i="44"/>
  <c r="U226" i="44"/>
  <c r="U225" i="44"/>
  <c r="U224" i="44"/>
  <c r="U223" i="44"/>
  <c r="U222" i="44"/>
  <c r="U221" i="44"/>
  <c r="U220" i="44"/>
  <c r="U219" i="44"/>
  <c r="U218" i="44"/>
  <c r="U217" i="44"/>
  <c r="U216" i="44"/>
  <c r="U215" i="44"/>
  <c r="U214" i="44"/>
  <c r="U213" i="44"/>
  <c r="U47" i="44" l="1"/>
  <c r="U43" i="44" l="1"/>
  <c r="S252" i="44"/>
  <c r="U45" i="44" l="1"/>
  <c r="U91" i="44" l="1"/>
  <c r="U211" i="44" l="1"/>
  <c r="U210" i="44"/>
  <c r="U209" i="44"/>
  <c r="U208" i="44"/>
  <c r="U206" i="44"/>
  <c r="U205" i="44"/>
  <c r="U90" i="44"/>
  <c r="U203" i="44"/>
  <c r="U202" i="44"/>
  <c r="R52" i="44" l="1"/>
  <c r="U207" i="44" l="1"/>
  <c r="U212" i="44" l="1"/>
  <c r="U204" i="44"/>
  <c r="U201" i="44"/>
  <c r="U200" i="44"/>
  <c r="U199" i="44"/>
  <c r="U198" i="44"/>
  <c r="U197" i="44"/>
  <c r="U196" i="44"/>
  <c r="U195" i="44"/>
  <c r="U194" i="44"/>
  <c r="U193" i="44"/>
  <c r="U192" i="44"/>
  <c r="U191" i="44"/>
  <c r="U190" i="44"/>
  <c r="U189" i="44"/>
  <c r="U92" i="44"/>
  <c r="U89" i="44"/>
  <c r="U88" i="44"/>
  <c r="U86" i="44"/>
  <c r="U38" i="44"/>
  <c r="U49" i="44" l="1"/>
  <c r="U50" i="44"/>
  <c r="U46" i="44"/>
  <c r="U44" i="44" l="1"/>
  <c r="U48" i="44"/>
  <c r="U42" i="44"/>
  <c r="U41" i="44"/>
  <c r="U40" i="44"/>
  <c r="U39" i="44"/>
  <c r="U37" i="44"/>
  <c r="U12" i="44" l="1"/>
  <c r="U82" i="44"/>
  <c r="U33" i="44" l="1"/>
  <c r="U32" i="44"/>
  <c r="U30" i="44" l="1"/>
  <c r="U29" i="44"/>
  <c r="U18" i="44"/>
  <c r="U31" i="44" l="1"/>
  <c r="U28" i="44"/>
  <c r="U27" i="44"/>
  <c r="U26" i="44"/>
  <c r="U25" i="44"/>
  <c r="U24" i="44"/>
  <c r="U23" i="44"/>
  <c r="U22" i="44"/>
  <c r="U21" i="44"/>
  <c r="U20" i="44"/>
  <c r="U19" i="44"/>
  <c r="U17" i="44"/>
  <c r="U16" i="44"/>
  <c r="U15" i="44"/>
  <c r="M5" i="44" l="1"/>
  <c r="U162" i="44" l="1"/>
  <c r="U161" i="44"/>
  <c r="U160" i="44"/>
  <c r="U159" i="44"/>
  <c r="U158" i="44"/>
  <c r="U157" i="44"/>
  <c r="U156" i="44"/>
  <c r="U155" i="44"/>
  <c r="U168" i="44"/>
  <c r="U167" i="44"/>
  <c r="U166" i="44"/>
  <c r="U165" i="44"/>
  <c r="U164" i="44"/>
  <c r="U163" i="44"/>
  <c r="U154" i="44"/>
  <c r="U153" i="44"/>
  <c r="U152" i="44"/>
  <c r="U151" i="44"/>
  <c r="U150" i="44"/>
  <c r="U143" i="44"/>
  <c r="U142" i="44"/>
  <c r="U125" i="44" l="1"/>
  <c r="U103" i="44"/>
  <c r="U102" i="44"/>
  <c r="U79" i="44" l="1"/>
  <c r="U78" i="44"/>
  <c r="U77" i="44"/>
  <c r="U76" i="44"/>
  <c r="U75" i="44"/>
  <c r="U74" i="44"/>
  <c r="U73" i="44"/>
  <c r="U72" i="44"/>
  <c r="U71" i="44"/>
  <c r="U115" i="44"/>
  <c r="U7" i="44"/>
  <c r="U70" i="44"/>
  <c r="U69" i="44"/>
  <c r="U68" i="44"/>
  <c r="U67" i="44"/>
  <c r="R252" i="44"/>
  <c r="Q252" i="44"/>
  <c r="P252" i="44"/>
  <c r="O252" i="44"/>
  <c r="N252" i="44"/>
  <c r="M252" i="44"/>
  <c r="K252" i="44"/>
  <c r="E252" i="44"/>
  <c r="U117" i="44"/>
  <c r="U188" i="44"/>
  <c r="U187" i="44"/>
  <c r="U186" i="44"/>
  <c r="U185" i="44"/>
  <c r="U184" i="44"/>
  <c r="U183" i="44"/>
  <c r="U182" i="44"/>
  <c r="U181" i="44"/>
  <c r="U180" i="44"/>
  <c r="U179" i="44"/>
  <c r="U178" i="44"/>
  <c r="U177" i="44"/>
  <c r="U176" i="44"/>
  <c r="U175" i="44"/>
  <c r="U174" i="44"/>
  <c r="U173" i="44"/>
  <c r="U172" i="44"/>
  <c r="U171" i="44"/>
  <c r="U170" i="44"/>
  <c r="U169" i="44"/>
  <c r="U149" i="44"/>
  <c r="U148" i="44"/>
  <c r="U147" i="44"/>
  <c r="U146" i="44"/>
  <c r="U145" i="44"/>
  <c r="U144" i="44"/>
  <c r="U141" i="44"/>
  <c r="U140" i="44"/>
  <c r="U139" i="44"/>
  <c r="U138" i="44"/>
  <c r="U137" i="44"/>
  <c r="U136" i="44"/>
  <c r="U135" i="44"/>
  <c r="U134" i="44"/>
  <c r="U133" i="44"/>
  <c r="U132" i="44"/>
  <c r="U131" i="44"/>
  <c r="U130" i="44"/>
  <c r="U129" i="44"/>
  <c r="U128" i="44"/>
  <c r="U127" i="44"/>
  <c r="U126" i="44"/>
  <c r="U124" i="44"/>
  <c r="U123" i="44"/>
  <c r="U122" i="44"/>
  <c r="U121" i="44"/>
  <c r="U120" i="44"/>
  <c r="U119" i="44"/>
  <c r="U118" i="44"/>
  <c r="U116" i="44"/>
  <c r="U114" i="44"/>
  <c r="U113" i="44"/>
  <c r="U112" i="44"/>
  <c r="U111" i="44"/>
  <c r="U110" i="44"/>
  <c r="U109" i="44"/>
  <c r="U108" i="44"/>
  <c r="U107" i="44"/>
  <c r="U106" i="44"/>
  <c r="U105" i="44"/>
  <c r="U104" i="44"/>
  <c r="U101" i="44"/>
  <c r="U100" i="44"/>
  <c r="U99" i="44"/>
  <c r="U98" i="44"/>
  <c r="U97" i="44"/>
  <c r="U96" i="44"/>
  <c r="U95" i="44"/>
  <c r="U94" i="44"/>
  <c r="U93" i="44"/>
  <c r="U85" i="44"/>
  <c r="U84" i="44"/>
  <c r="U83" i="44"/>
  <c r="U81" i="44"/>
  <c r="U80" i="44"/>
  <c r="U66" i="44"/>
  <c r="U65" i="44"/>
  <c r="U64" i="44"/>
  <c r="U63" i="44"/>
  <c r="U62" i="44"/>
  <c r="U61" i="44"/>
  <c r="U60" i="44"/>
  <c r="U59" i="44"/>
  <c r="U58" i="44"/>
  <c r="U57" i="44"/>
  <c r="U56" i="44"/>
  <c r="U55" i="44"/>
  <c r="U54" i="44"/>
  <c r="U53" i="44"/>
  <c r="U52" i="44"/>
  <c r="U51" i="44"/>
  <c r="U36" i="44"/>
  <c r="U35" i="44"/>
  <c r="U34" i="44"/>
  <c r="U14" i="44"/>
  <c r="U13" i="44"/>
  <c r="U11" i="44"/>
  <c r="U10" i="44"/>
  <c r="U9" i="44"/>
  <c r="U8" i="44"/>
  <c r="U6" i="44"/>
  <c r="U5" i="44"/>
  <c r="U4" i="44"/>
  <c r="U252" i="44" l="1"/>
  <c r="L252" i="44"/>
</calcChain>
</file>

<file path=xl/sharedStrings.xml><?xml version="1.0" encoding="utf-8"?>
<sst xmlns="http://schemas.openxmlformats.org/spreadsheetml/2006/main" count="1475" uniqueCount="334">
  <si>
    <t>COGS</t>
  </si>
  <si>
    <t>AP Trade</t>
  </si>
  <si>
    <t>Photocopy</t>
  </si>
  <si>
    <t>Odhey</t>
  </si>
  <si>
    <t>AP Expense</t>
  </si>
  <si>
    <t>Telkomsel Onboarding</t>
  </si>
  <si>
    <t>Salary and THR</t>
  </si>
  <si>
    <t>AP Temporary Loan</t>
  </si>
  <si>
    <t>David Harsamto</t>
  </si>
  <si>
    <t xml:space="preserve"> </t>
  </si>
  <si>
    <t>Overtime</t>
  </si>
  <si>
    <t>Telephone</t>
  </si>
  <si>
    <t>Sisa Budget</t>
  </si>
  <si>
    <t>Sisa Budget Saldo Akhir 2020 : Sesuai Meeting AH Yogi - 19-Jan-2021</t>
  </si>
  <si>
    <t xml:space="preserve">Telkomsel Loyalty Program </t>
  </si>
  <si>
    <t>PAYABLE</t>
  </si>
  <si>
    <t>YEAR</t>
  </si>
  <si>
    <t>VENDOR</t>
  </si>
  <si>
    <t>KETERANGAN</t>
  </si>
  <si>
    <t>IDR</t>
  </si>
  <si>
    <t>BTN</t>
  </si>
  <si>
    <t>Cash IDR</t>
  </si>
  <si>
    <t>Non CB</t>
  </si>
  <si>
    <t>Anne Hidayat</t>
  </si>
  <si>
    <t>Temporary Loan for operation expense</t>
  </si>
  <si>
    <t>Elly Hutabarat</t>
  </si>
  <si>
    <t>H S B C</t>
  </si>
  <si>
    <t>AP Others</t>
  </si>
  <si>
    <t>AP Credit Card</t>
  </si>
  <si>
    <t>Mandiri Visa</t>
  </si>
  <si>
    <t>AP Leasing</t>
  </si>
  <si>
    <t>AP Tax</t>
  </si>
  <si>
    <t>Age</t>
  </si>
  <si>
    <t>Alex</t>
  </si>
  <si>
    <t>Analita</t>
  </si>
  <si>
    <t>Frieda</t>
  </si>
  <si>
    <t>Patrice</t>
  </si>
  <si>
    <t>Titing</t>
  </si>
  <si>
    <t>Yogi</t>
  </si>
  <si>
    <t>HSBC</t>
  </si>
  <si>
    <t>Incentive and Bonus</t>
  </si>
  <si>
    <t>Telkomsel Bootcamp and Mentoring TINC</t>
  </si>
  <si>
    <t>Sisa Budget  as per 7 Jan</t>
  </si>
  <si>
    <t>Other Expense</t>
  </si>
  <si>
    <t xml:space="preserve">Telkomsel MICE InnoXtion </t>
  </si>
  <si>
    <t xml:space="preserve">Telkomsel Program Games Publishing </t>
  </si>
  <si>
    <t>Telkomsel Undian Jelajah Nusantara</t>
  </si>
  <si>
    <t>Office Rent</t>
  </si>
  <si>
    <t>OUTSTANDING</t>
  </si>
  <si>
    <t>DBS Visa White</t>
  </si>
  <si>
    <t>AP Deposit from customer</t>
  </si>
  <si>
    <t>HR Development</t>
  </si>
  <si>
    <t>Telkomsel Sales Collaboration with EAM Team</t>
  </si>
  <si>
    <t>Telkomsel Recruitment and Assesment</t>
  </si>
  <si>
    <t>Telkomsel Support Campaign Outlet Via My Ads</t>
  </si>
  <si>
    <t>BRI Corporate Card</t>
  </si>
  <si>
    <t>Telkomsel Pengadaan Program Corporate Ambassador for customer</t>
  </si>
  <si>
    <t>Telkomsel Pick Up point by U Q3</t>
  </si>
  <si>
    <t>Telkomsel Youth Battle School Visit Micro Cluster</t>
  </si>
  <si>
    <t xml:space="preserve">Telkomsel Program Talent Mobilty </t>
  </si>
  <si>
    <t>Seyna</t>
  </si>
  <si>
    <t>Helmi</t>
  </si>
  <si>
    <t>PCMI Team</t>
  </si>
  <si>
    <t>Whatsapp Yogi : Rabu, 8-Maret-2023 (approval dari Ibu Anne)</t>
  </si>
  <si>
    <t>Telkomsel Capex Paper Workshop</t>
  </si>
  <si>
    <t>Rizky</t>
  </si>
  <si>
    <t xml:space="preserve">Telkomsel Sharing Session SOP , Policy and Contracting </t>
  </si>
  <si>
    <t>Telkomsel EAM Team and Quarter 2 Cashback Program</t>
  </si>
  <si>
    <t>Telkomsel Data Solutions x IT Alignment</t>
  </si>
  <si>
    <t>Telkomsel Field Research and Area Alignment Q3</t>
  </si>
  <si>
    <t>Telkomsel Live Testing RoaMax Haji dan Umroh</t>
  </si>
  <si>
    <t>Telkomsel Support Program Surprise Deal Periode 2023</t>
  </si>
  <si>
    <t xml:space="preserve">Telkomsel Pembahasan Vandalisme di Area Sumatra </t>
  </si>
  <si>
    <t>Telkomsel Alignment Tools and Program and Site Visit Q3</t>
  </si>
  <si>
    <t>Whatsapp Yogi : Minggu, 30-Des-2023 23:20 WIB</t>
  </si>
  <si>
    <t>eMail Yogi : Sunday, 31-Dec-2023 at 10:44</t>
  </si>
  <si>
    <t>Sisa Budget : Dikoreksi Yogi 31-Des-23 waktu kasih daftar sisa budget 31-12-23</t>
  </si>
  <si>
    <t>Overtime Desember SUPRIYADI,</t>
  </si>
  <si>
    <t xml:space="preserve">TSel YouthBatt VMC Rm+Bfast Prasidya  GRAHA SANTIKA DYAN </t>
  </si>
  <si>
    <t>UOB Master</t>
  </si>
  <si>
    <t>Telkomsel Meeting Agency Indihome Sumatera</t>
  </si>
  <si>
    <t>Telkomsel PON XXI - Sumut Aceh</t>
  </si>
  <si>
    <t>Telkomsel FUT Singapura Malaysia</t>
  </si>
  <si>
    <t>Telkomsel Market Survey Modern Channel Q3 - 2024</t>
  </si>
  <si>
    <t>Telkomsel Hari Koperasi Nasional Batam</t>
  </si>
  <si>
    <t>Telkomsel BillCo Kemerdekaan ke 79 Tahun</t>
  </si>
  <si>
    <t>Telkomsel PON XXI Aceh Sumut 2024 (Bang Hadi)</t>
  </si>
  <si>
    <t>Telkomsel Backchecking Produk Halo+ Bold &amp; Supreme GraPARI A3</t>
  </si>
  <si>
    <t>Telkomsel CGBA Last Quartal 2024</t>
  </si>
  <si>
    <t>Telkomsel Meeting Evaluasi Semester I 2024</t>
  </si>
  <si>
    <t>Telkomsel BOS</t>
  </si>
  <si>
    <t>Telkomsel DRM Meeting A1</t>
  </si>
  <si>
    <t>Telkomsel RAN Nasional Q4 2024</t>
  </si>
  <si>
    <t>Telkomsel Focus Action Sumatera</t>
  </si>
  <si>
    <t>Telkomsel API Sales Racing Program</t>
  </si>
  <si>
    <t>Telkomsel Support and Recovery Impact FMC Migrasi Sumatera</t>
  </si>
  <si>
    <t xml:space="preserve">PLN Indonesia Power Inpower Festival </t>
  </si>
  <si>
    <t>Telkomsel Aquabike Toba</t>
  </si>
  <si>
    <t>BRI Tebet</t>
  </si>
  <si>
    <t>BRI Sahardjo</t>
  </si>
  <si>
    <t>BCA Juanda</t>
  </si>
  <si>
    <t>BCA Sahardjo</t>
  </si>
  <si>
    <t>Biaya Pengiriman Dokument Invoicing  PLN IP Area Bali</t>
  </si>
  <si>
    <t>Biaya Pengiriman Dokument Invoicing  PLN IP Area Cilegon</t>
  </si>
  <si>
    <t>Telkomsel Alignment Revenue Sumatera</t>
  </si>
  <si>
    <t>PLN Indonesia Power PIKK Bazaar Festival UMKM</t>
  </si>
  <si>
    <t>Bridgestone Indonesia Tomo Gathering</t>
  </si>
  <si>
    <t>Overtime Desember ADUN SOPANDI,</t>
  </si>
  <si>
    <t>Overtime Desember MUHAMMAD UJER AWAL,</t>
  </si>
  <si>
    <t>Overtime Desember SUKANDA,</t>
  </si>
  <si>
    <t xml:space="preserve">BSIN Tomo Gather Produksi Stage Dll IBNU CHUZAYMAH  </t>
  </si>
  <si>
    <t xml:space="preserve">TSel FocusActSum Visit Posko Siaga ADITYA JAYA  </t>
  </si>
  <si>
    <t xml:space="preserve">TSel AlignRevSum Dinner Batam LENA  </t>
  </si>
  <si>
    <t xml:space="preserve">Solo Keyboard PCMI YearEndDnr RD HIDIANITJE DRA  </t>
  </si>
  <si>
    <t xml:space="preserve">Beverages PCMI YearEndDnr RD HIDIANITJE DRA  </t>
  </si>
  <si>
    <t xml:space="preserve">PLN IP PIKK FestBz SoundSys+Mic TRIDAYA MEGA SWARA  </t>
  </si>
  <si>
    <t xml:space="preserve">TELKOM DIVRE2 02183700967     01 PAN CONVINCE MITRA   </t>
  </si>
  <si>
    <t xml:space="preserve">TELKOM DIVRE2 02183700934     01 PAN CONVINCE MITRA   </t>
  </si>
  <si>
    <t xml:space="preserve">TELKOM DIVRE2 02183700953     01 PAN CONVINCE MITRA   </t>
  </si>
  <si>
    <t xml:space="preserve">TELKOM DIVRE2 02183700923     01 PAN CONVINCE MITRA   </t>
  </si>
  <si>
    <t xml:space="preserve">TELKOM DIVRE2 02183700854     01 PAN CONVINCE MITRA   </t>
  </si>
  <si>
    <t xml:space="preserve">TELKOM DIVRE2 02183700926     01 PAN CONVINCE MITRA   </t>
  </si>
  <si>
    <t xml:space="preserve">TELKOM DIVRE2 02183700872     01 PAN CONVINCE MITRA   </t>
  </si>
  <si>
    <t xml:space="preserve">PLN IP PIKK FestBz 4 CrowdControl SANDI FITRIANSYAH  </t>
  </si>
  <si>
    <t xml:space="preserve">PLN IP PIKK FestBz Stage,Gate,FOH,dll IBNU CHUZAYMAH  </t>
  </si>
  <si>
    <t>TSel BOS  03958  MCM InhouseTrf  KE SAFIIH</t>
  </si>
  <si>
    <t xml:space="preserve">TSel Aquabike Toba 03965 MCM InhouseTrf  KE JULIANTI HALIM </t>
  </si>
  <si>
    <t>TSel FocusActSum    03964  BSMDIDJA/AULIA AYU ASYURA</t>
  </si>
  <si>
    <t xml:space="preserve">TSel DRM Meeting A1  03949  MCM InhouseTrf  KE PANTRAVEL </t>
  </si>
  <si>
    <t>TSel FocusActSum     03957 MCM InhouseTrf  KE PANTRAVEL</t>
  </si>
  <si>
    <t xml:space="preserve">TSel PON XII AS Hadi03971   BNINIDJA/HADI PRASTYA UTAMA </t>
  </si>
  <si>
    <t xml:space="preserve">TSel AlignRevSum  03950 MCM InhouseTrf  KE PANTRAVEL </t>
  </si>
  <si>
    <t>TSel AlignRevSum     03951  MCM InhouseTrf  KE PANTRAVEL</t>
  </si>
  <si>
    <t>TSel BOS  03977   MCM InhouseTrf  KE SAFIIH</t>
  </si>
  <si>
    <t>TSel FocusActSum    03921  BSMDIDJA/AULIA AYU ASYURA</t>
  </si>
  <si>
    <t xml:space="preserve">TSel RAN NAS Q4     03936  BBIJIDJA/I PUTU EKA UDAYANA RUDITA,ST </t>
  </si>
  <si>
    <t>TSel Aquabike Toba  03935   BNINIDJA/HADI PRASTYA UTAMA</t>
  </si>
  <si>
    <t>TSel API Sales RP   03934   BSMDIDJA/AMANDA LUGAS CAISARIO</t>
  </si>
  <si>
    <t>TSel FocusActSum    04002 BNINIDJA/JOSIA PRANANTA TARIGAN</t>
  </si>
  <si>
    <t xml:space="preserve">TSel AlignRevSum    04026    BSMDIDJA/AULIA AYU ASYURA </t>
  </si>
  <si>
    <t xml:space="preserve">Sewa gedung Des      03793  MCM InhouseTrf  KE PANTRAVEL </t>
  </si>
  <si>
    <t xml:space="preserve">TSel Align Rev Sum  04221  BNINIDJA/FATIMAH RIMA RAMADHANI </t>
  </si>
  <si>
    <t>PLN IP PIKK Fest Bzr Sewa Ramp Cable IFT_TO_ENDRIK SUYANTO ESB:CMSX:000L700F:2501107347182</t>
  </si>
  <si>
    <t>Biaya Pengiriman Dokument Invoicing  PLN IP Area Semarang</t>
  </si>
  <si>
    <t>Straples 5 pcs</t>
  </si>
  <si>
    <t>Isi Straples 8 pax</t>
  </si>
  <si>
    <t xml:space="preserve">TSel AlignRevSum OB&amp;Driver Batam  YOGI PURWO WIDODO </t>
  </si>
  <si>
    <t xml:space="preserve">PLN IP PIKK FestBz LED+Switcher  WIDI SURYA BUDIANA </t>
  </si>
  <si>
    <t xml:space="preserve">BRI BTK Brimo Fest Anggi Marito BPW SAHADEWA BASUN  </t>
  </si>
  <si>
    <t xml:space="preserve">BRI BTK Brimo Fest Bath utilities BOD BPW SAHADEWA BASUN  </t>
  </si>
  <si>
    <t>UBP60215001202FFFFFF029605884375113 : PPh-21 Desember 2024</t>
  </si>
  <si>
    <t>KBUMN Natal 2024</t>
  </si>
  <si>
    <t xml:space="preserve">Pembayaran add cost Taxi MS Tour/ Elgin </t>
  </si>
  <si>
    <t xml:space="preserve">TSel EventKnowFest   04790  Trf  KE LINGKARAN EDUKASI KREATIF </t>
  </si>
  <si>
    <t xml:space="preserve">TSel EventKnowFest   04789 Trf  KE LINGKARAN EDUKASI KREATIF </t>
  </si>
  <si>
    <t>PPh-4 Ayat 2</t>
  </si>
  <si>
    <t>PPh-23 yang Dipungut tapi Belum/Tidak Disetor</t>
  </si>
  <si>
    <t>PPh-25 Pajak Badan</t>
  </si>
  <si>
    <t>DH</t>
  </si>
  <si>
    <t>Kekurangan BCA 666 atas  Bonus BOD and Shareholder : Rp. 1.000.000.000 x 2</t>
  </si>
  <si>
    <t>Mutasi Mandiri 2025</t>
  </si>
  <si>
    <t>Photocopy Des OSC OFFICE MACHINE : Rp. 736.486</t>
  </si>
  <si>
    <t>WA AH 7-Mar-25 : Alokasi dana staff outing and training Rp. 250.000.000</t>
  </si>
  <si>
    <t>WA AH 7-Mar-25 : KPI - Bonus Staff Perfomance 2024</t>
  </si>
  <si>
    <t>Mutasi BCA Juanda 2025</t>
  </si>
  <si>
    <t>Mutasi Bank Mandiri 2025</t>
  </si>
  <si>
    <t>Mutasi BRI Sahardjo 2025</t>
  </si>
  <si>
    <t>Mutasi Cash IDR 2025</t>
  </si>
  <si>
    <t>Whatsapp Yogi : 27-feb-2025 18:03 (File Report Telkomsel 2024)</t>
  </si>
  <si>
    <t>Telkomsel Hear Me at GraPARI 2024</t>
  </si>
  <si>
    <t>Whatsapp Yogi : 27-feb-25 (File Report Telkomsel 2024) - dikoreksi WA 13-Mar-25</t>
  </si>
  <si>
    <t>Telkomsel Prestige Batam 2024</t>
  </si>
  <si>
    <t xml:space="preserve">Telkomsel Sumatra Defend Our Dominance Socialization 2024 (addcost) </t>
  </si>
  <si>
    <t>Telkomsel Support Pengadaan Telkomsel Racing – Pinjam Paket 2024.</t>
  </si>
  <si>
    <t>Telkomsel Town Hall Sales 2024</t>
  </si>
  <si>
    <t>BCA Juanda - Mutasi 2025</t>
  </si>
  <si>
    <t>Telkomsel Orbit Household Q4 2024</t>
  </si>
  <si>
    <t>BTN Mini Olympic</t>
  </si>
  <si>
    <t xml:space="preserve">TSel EventKnowFest SoundWirelessGense TRIDAYA MEGA SWARA  </t>
  </si>
  <si>
    <t>Mandiri Pasar Murah 2025</t>
  </si>
  <si>
    <t>Intrareps</t>
  </si>
  <si>
    <t>PLN NPTKT CapBuildFee PO            ALEXADRUS NULIADY,</t>
  </si>
  <si>
    <t>BRI Brimo Festival 2023</t>
  </si>
  <si>
    <t>Telkomsel Event Knowledge Festival</t>
  </si>
  <si>
    <t>OCBC Visa</t>
  </si>
  <si>
    <t>Belanja masking 2 inch 15 roll, lakban kain 2 inchi 14 roll, DT linchi 2 lusin</t>
  </si>
  <si>
    <t>Makan siang (KFC) team produksi include logistik &amp; runner</t>
  </si>
  <si>
    <t>Makan malam team produksi include logistik &amp; runner</t>
  </si>
  <si>
    <t>Print di snappy</t>
  </si>
  <si>
    <t>Belanja trashbag</t>
  </si>
  <si>
    <t>Print based que card</t>
  </si>
  <si>
    <t>Transfer to ableh (operasional loading 4 orang, tipping security, cemilan, kopi, dll) rek BCA an. R. Dinar Kusumayanti (NOTE : TIDAK ADA BON)</t>
  </si>
  <si>
    <t>Belanja indomaret</t>
  </si>
  <si>
    <t xml:space="preserve">transfer hadiah kahoot +628119694411 </t>
  </si>
  <si>
    <t xml:space="preserve">transfer hadiah kahoot +6281190090229 </t>
  </si>
  <si>
    <t xml:space="preserve">transfer hadiah kahoot +62811644066 </t>
  </si>
  <si>
    <t xml:space="preserve">transfer hadiah QnA EKF +62811200189 </t>
  </si>
  <si>
    <t xml:space="preserve">transfer hadiah QnA EKF +6281190090229 </t>
  </si>
  <si>
    <t xml:space="preserve">transfer hadiah QnA EKF +62811229948 </t>
  </si>
  <si>
    <t xml:space="preserve">transfer hadiah QnA EKF +628112223111 </t>
  </si>
  <si>
    <t xml:space="preserve">transfer hadiah QnA EKF +62811219419 </t>
  </si>
  <si>
    <t xml:space="preserve">transfer hadiah QnA EKF  D68F8EA512 </t>
  </si>
  <si>
    <t>Uang kebersihan venue (mandatory tsel) dikasih ke patrice (tidak ada bon)</t>
  </si>
  <si>
    <t>Mineral cleo 4 dus</t>
  </si>
  <si>
    <t>Tipping security venue</t>
  </si>
  <si>
    <t>PYC Talks</t>
  </si>
  <si>
    <t>PLN National Power Up Teluk KalTim Capacity Building</t>
  </si>
  <si>
    <t>BRI FGD Semarang</t>
  </si>
  <si>
    <t>Mutasi BCA Sahardjo 2025</t>
  </si>
  <si>
    <t>KBUMN Perayaan Natal Bersama 2023</t>
  </si>
  <si>
    <t>KBUMN Natal DP VS Band VIKY SIANIPAR PT : Rp, 133.200.000 : PPn Masukan</t>
  </si>
  <si>
    <t>MANDIRI Mid Plaza</t>
  </si>
  <si>
    <t>IDX ICME Tokyo</t>
  </si>
  <si>
    <t>Non Cash Bank 2025</t>
  </si>
  <si>
    <t>PPh-25 Pajak Badan SPT Th 2024</t>
  </si>
  <si>
    <t>BRI Kunjungan Kerja Bogor DPR Komisi XI</t>
  </si>
  <si>
    <t>HIMBARA FGD Semarang</t>
  </si>
  <si>
    <t>BSIN Supplier Meeting</t>
  </si>
  <si>
    <t>Sembako Palembang</t>
  </si>
  <si>
    <t>Sembako Jakarta</t>
  </si>
  <si>
    <t>Sembako Jayapura</t>
  </si>
  <si>
    <t>Sembako Kupang : Rp. 134.757.000</t>
  </si>
  <si>
    <t>Sembako Semarang</t>
  </si>
  <si>
    <t>Sembako Medan</t>
  </si>
  <si>
    <t>Sembako Bandung</t>
  </si>
  <si>
    <t>Sembako Samarinda</t>
  </si>
  <si>
    <t>Sembako Surabaya</t>
  </si>
  <si>
    <t>Sembako Makasar</t>
  </si>
  <si>
    <t>Sisa sembako Jayapura</t>
  </si>
  <si>
    <t>SETORAN TUNAI PEMBAYARAN MANDIRI FGD IKN,</t>
  </si>
  <si>
    <t>Mandiri FGD IKN</t>
  </si>
  <si>
    <t>CR 12/22 Z27J1  TIKA RISKI ASTARI : WA Tika 2-Jan-26 - Mandiri FGD IKN dari Patrice</t>
  </si>
  <si>
    <t>BRI Peringatan Puncak HUT ke-26 DWP dan Hari Ibu ke-97 DWP BKN</t>
  </si>
  <si>
    <t>Mandiri Pasar Murah</t>
  </si>
  <si>
    <t>BRI Journalist Bootcamp</t>
  </si>
  <si>
    <t>BSIN Tomo Gathering</t>
  </si>
  <si>
    <t>BTN Excellence Award</t>
  </si>
  <si>
    <t>Cirebon Power Employee Gathering Bandung</t>
  </si>
  <si>
    <t>Kurang Bayar PPh-21 Karyawan Th 2024</t>
  </si>
  <si>
    <t>PPh-23 Th 2025</t>
  </si>
  <si>
    <t>PPh-23 Tahun 2025 : Disetor di 23-Jan-2026</t>
  </si>
  <si>
    <t>PPh-4 Ayat 2 Tahun 2025 : Disetor di 23-Jan-2026</t>
  </si>
  <si>
    <t>PPh-4 Ayat 2 yang Dipungut tapi Belum/Tidak Disetor</t>
  </si>
  <si>
    <t>PAYMENT IN 2025</t>
  </si>
  <si>
    <t>PPn WAPU - 2023</t>
  </si>
  <si>
    <t>PPn WAPU - 2025</t>
  </si>
  <si>
    <t>PPn WAPU - 2024</t>
  </si>
  <si>
    <t>Data di Rincian AP PPN 23-25</t>
  </si>
  <si>
    <t>PPn Masa - Nopember</t>
  </si>
  <si>
    <t>PPn Masa - Desenber</t>
  </si>
  <si>
    <t>PPh-23 sebelum tahun 2025</t>
  </si>
  <si>
    <t>PPh-23 tahun 2025</t>
  </si>
  <si>
    <t>BRI KunKerBogorDPRTunai Selisih BOQ TIKA RISKI ASTARI</t>
  </si>
  <si>
    <t>BRI FGD Semarang  Tunai Selisih BOQ TIKA RISKI ASTARI</t>
  </si>
  <si>
    <t>HimbaraFGDSemarangTunai Selisih BOQ TIKA RISKI ASTARI</t>
  </si>
  <si>
    <t>Mandiri PasarMurahPO Fee            M RIZKY AULIA</t>
  </si>
  <si>
    <t>BSIN Tomo Gath    PO Fee            M RIZKY AULIA</t>
  </si>
  <si>
    <t>Cirebon Power EG  PO Fee            M RIZKY AULIA</t>
  </si>
  <si>
    <t>BTN Excellent Awd PO Fee            M RIZKY AULIA</t>
  </si>
  <si>
    <t>BTN Mini Olympic  PO Fee            M RIZKY AULIA</t>
  </si>
  <si>
    <t>BRI Journalist BC PO Fee            M RIZKY AULIA</t>
  </si>
  <si>
    <t>Internet</t>
  </si>
  <si>
    <t xml:space="preserve">TSel Orbit HH Q4 DP VillaKanaAtas  POPY FERINA </t>
  </si>
  <si>
    <t xml:space="preserve">TSel Orbit HH Q4 2 Hiace Situgunung BIG BIRD PUSAKA PT  </t>
  </si>
  <si>
    <t xml:space="preserve">TSel Orbit HH Q4 Lunas Visa Grp POPY FERINA  </t>
  </si>
  <si>
    <t xml:space="preserve">TSel Orbit HH Q4 UHPD 2D 16Paxs YOGI PURWO WIDODO  </t>
  </si>
  <si>
    <t xml:space="preserve">BRI FGD SEMARANG, Ke00026  BNINIDJA/PACTO </t>
  </si>
  <si>
    <t xml:space="preserve">TSel Orbit HH Q4, 16 00083 MCM InhouseTrf  KE TOKOLARI MITRA KREASI </t>
  </si>
  <si>
    <t>UBP60215001202FFFFFF041734140721304 : PPh-21 Karyawan, Masa Desember 2025 (Kurang Bayar)</t>
  </si>
  <si>
    <t>Overtime Des 2025 : Adun, Sukanda, Ujer, Yadi</t>
  </si>
  <si>
    <t>Internet Nop and Des 2025 MORA TELEMATIKA IN</t>
  </si>
  <si>
    <t xml:space="preserve"> Pembayaran Surat Tagihan Denda PPN Masa Agustus 2025 dan PPH Badan 2024</t>
  </si>
  <si>
    <t>Mutasi BCA Sahardjo 2026</t>
  </si>
  <si>
    <t>Mutasi BCA Juanda 2026</t>
  </si>
  <si>
    <t>Mutasi Mandiri MP 2026</t>
  </si>
  <si>
    <t>Mutasi Bank Mandiri MP 2026</t>
  </si>
  <si>
    <t>PPn Masukan 2025 dilaporkan 2026</t>
  </si>
  <si>
    <t>UBP60215001202FFFFFF042082495394940 MCM CASA UBP Pym 1L  : STP Denda Pajak PPN Masa Nop</t>
  </si>
  <si>
    <t xml:space="preserve">BRI FGD SEMARANG KOM00044   CENAIDJA/TIKA RISKI ASTARI </t>
  </si>
  <si>
    <t>BRI PERINGATAN PUNCA00051  020601052431504/OI36000807492341</t>
  </si>
  <si>
    <t xml:space="preserve">Mandiri Pasar Murah, 27084 MCM InhouseTrf  KE GNC </t>
  </si>
  <si>
    <t>BSIN Supplier Mtg, P BRINIDJA/KREASI MILIMETER NUS</t>
  </si>
  <si>
    <t>Cash IDR - Mutasi 2026</t>
  </si>
  <si>
    <t>Tol dan Parkir</t>
  </si>
  <si>
    <t>Pembelian meals</t>
  </si>
  <si>
    <t>UBP60215001202FFFFFF042000088846803 : Kurang Bayar PPh-21 Tahun 2025</t>
  </si>
  <si>
    <t>PPn Non WAPU - 2025</t>
  </si>
  <si>
    <t>PPn Non WAPU end of 2024</t>
  </si>
  <si>
    <t>AP In and Out</t>
  </si>
  <si>
    <t>PPn Masa - Desenber 2024</t>
  </si>
  <si>
    <t>PPN Masukan</t>
  </si>
  <si>
    <t>WA Yogi 5-Jun-26 : Inv 044/227/PCMI/AR/II/2026 Telkomsel ANO Forum 2024 (Lampung, 24-26 Feb2025) : Rp. 221.286.887 MASUK SALES 2025</t>
  </si>
  <si>
    <t>PPn WAPU - 2026</t>
  </si>
  <si>
    <t>SNAPY TEBET I</t>
  </si>
  <si>
    <t>SERIBU RASA GATOT SUBROTO</t>
  </si>
  <si>
    <t>SUPERINDO PCA PANCORAN JAKARTA</t>
  </si>
  <si>
    <t>APOTEK ALPRO TEBET BRT JAKARTA SLT</t>
  </si>
  <si>
    <t>2271 ST EG TEBET Jakarta Selat</t>
  </si>
  <si>
    <t>RUMAH SEAFOOD-HO</t>
  </si>
  <si>
    <t>ALFAMRT 2JS5 NUSAPUTRA SUKABUMI</t>
  </si>
  <si>
    <t>Cetak signage dan based que card</t>
  </si>
  <si>
    <t>Lalamove dari percetakan ke kantor</t>
  </si>
  <si>
    <t>Lalamove dari kantor ke venue</t>
  </si>
  <si>
    <t>Makan malam Rizky, Ableh, Iyan, Agung</t>
  </si>
  <si>
    <t xml:space="preserve">Beli amplop </t>
  </si>
  <si>
    <t>Beli lakban hitam 3 pcs</t>
  </si>
  <si>
    <t>Beli trashbag &amp; tissue</t>
  </si>
  <si>
    <t>Beli lakban hitam 1 pcs</t>
  </si>
  <si>
    <t>Makan Malam Loading Ableh &amp; Lonte</t>
  </si>
  <si>
    <t>Beli Snack Box Team</t>
  </si>
  <si>
    <t>Gosend Snack Box Team</t>
  </si>
  <si>
    <t>Makan Sarapan Ableh &amp; Lonte</t>
  </si>
  <si>
    <t>Parkir Motor Lonte</t>
  </si>
  <si>
    <t>Belanja Lakban &amp; Kertas HVS</t>
  </si>
  <si>
    <t>Belanja Air Mineral 330ml</t>
  </si>
  <si>
    <t>Belanja Label &amp; Tambahan Lakban</t>
  </si>
  <si>
    <t>Top Up Flazz (Tol Rizky)</t>
  </si>
  <si>
    <t>Print Cetakan Signage at Mahkota Print</t>
  </si>
  <si>
    <t xml:space="preserve">Gosend Cetakan </t>
  </si>
  <si>
    <t>Gosend Revisi Cetakan</t>
  </si>
  <si>
    <t>Makan Malam Loading : Rizky, Ableh, Praja, Komeng, Raka, Bokir &amp; Pak Yadi</t>
  </si>
  <si>
    <t>Beli Paket Internet Orbit</t>
  </si>
  <si>
    <t>Beli Kopi Kenangan untuk 4 Team Show Management &amp; 3 Team PCMI</t>
  </si>
  <si>
    <t>Reimburse Bensin Mobil Ableh</t>
  </si>
  <si>
    <t>Reimburse Tol Ableh (Pintu Tol Bambu Apus)</t>
  </si>
  <si>
    <t>Reimburse Tol Ableh (Pintu Tol Cikampek - Karawang Timur 2)</t>
  </si>
  <si>
    <t>Reimburse Tol Ableh (Tol Cikampek - Jakarta : Kertas Habis)</t>
  </si>
  <si>
    <t>Penukaran uang 1000 Real, 20 lembar pecahan 50</t>
  </si>
  <si>
    <t>Bucket Uang Real</t>
  </si>
  <si>
    <t>WA Message AH</t>
  </si>
  <si>
    <t>2025 PL Check as per 13-March by AH - Pengembalian dana ke panitia</t>
  </si>
  <si>
    <t>Laporan CA</t>
  </si>
  <si>
    <t>Bonus Karyawan - 2025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</si>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</sst>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(* #,##0.00_);_(* \(#,##0.00\);_(* &quot;-&quot;_);_(@_)"/>
  </numFmts>
  <fonts count="15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2"/>
      <name val="TimesNewRomanPSMT"/>
    </font>
    <font>
      <sz val="12"/>
      <name val="TimesNewRomanPSMT"/>
      <family val="2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sz val="12"/>
      <name val="Arial"/>
      <family val="2"/>
    </font>
    <font>
      <b/>
      <sz val="12"/>
      <name val="Times New Roman"/>
      <family val="1"/>
    </font>
    <font>
      <b/>
      <sz val="12"/>
      <name val="Arial"/>
      <family val="2"/>
    </font>
    <font>
      <b/>
      <sz val="12"/>
      <color rgb="FF0070C0"/>
      <name val="Times New Roman"/>
      <family val="1"/>
    </font>
    <font>
      <sz val="12"/>
      <color rgb="FF0070C0"/>
      <name val="Times New Roman"/>
      <family val="1"/>
    </font>
    <font>
      <sz val="12"/>
      <color rgb="FFFF0000"/>
      <name val="Times New Roman"/>
      <family val="1"/>
    </font>
    <font>
      <sz val="12"/>
      <name val="Times New Roman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0">
    <xf numFmtId="0" fontId="0" fillId="0" borderId="0"/>
    <xf numFmtId="164" fontId="1" fillId="0" borderId="0" applyFont="0" applyFill="0" applyBorder="0" applyAlignment="0" applyProtection="0"/>
    <xf numFmtId="0" fontId="4" fillId="0" borderId="0"/>
    <xf numFmtId="0" fontId="5" fillId="0" borderId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13" fillId="0" borderId="0"/>
    <xf numFmtId="164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0" borderId="0"/>
    <xf numFmtId="165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0" fontId="1" fillId="0" borderId="0"/>
  </cellStyleXfs>
  <cellXfs count="53">
    <xf numFmtId="0" fontId="0" fillId="0" borderId="0" xfId="0"/>
    <xf numFmtId="0" fontId="2" fillId="0" borderId="0" xfId="0" applyFont="1"/>
    <xf numFmtId="166" fontId="2" fillId="0" borderId="0" xfId="1" applyNumberFormat="1" applyFont="1"/>
    <xf numFmtId="0" fontId="5" fillId="0" borderId="0" xfId="2" quotePrefix="1" applyFont="1" applyAlignment="1">
      <alignment horizontal="center"/>
    </xf>
    <xf numFmtId="0" fontId="5" fillId="0" borderId="0" xfId="3"/>
    <xf numFmtId="166" fontId="5" fillId="0" borderId="0" xfId="4" applyNumberFormat="1" applyFont="1" applyFill="1"/>
    <xf numFmtId="0" fontId="6" fillId="0" borderId="0" xfId="2" applyFont="1"/>
    <xf numFmtId="0" fontId="5" fillId="0" borderId="0" xfId="2" applyFont="1"/>
    <xf numFmtId="166" fontId="5" fillId="0" borderId="0" xfId="4" applyNumberFormat="1" applyFont="1" applyFill="1" applyAlignment="1">
      <alignment horizontal="left"/>
    </xf>
    <xf numFmtId="0" fontId="7" fillId="0" borderId="0" xfId="2" applyFont="1" applyAlignment="1">
      <alignment horizontal="center"/>
    </xf>
    <xf numFmtId="0" fontId="7" fillId="0" borderId="0" xfId="3" applyFont="1" applyAlignment="1">
      <alignment horizontal="center"/>
    </xf>
    <xf numFmtId="0" fontId="8" fillId="0" borderId="0" xfId="2" applyFont="1" applyAlignment="1">
      <alignment horizontal="center"/>
    </xf>
    <xf numFmtId="166" fontId="5" fillId="0" borderId="0" xfId="4" applyNumberFormat="1" applyFont="1" applyFill="1" applyAlignment="1">
      <alignment horizontal="center"/>
    </xf>
    <xf numFmtId="0" fontId="5" fillId="0" borderId="0" xfId="2" applyFont="1" applyAlignment="1">
      <alignment horizontal="center"/>
    </xf>
    <xf numFmtId="0" fontId="9" fillId="0" borderId="0" xfId="2" applyFont="1" applyAlignment="1">
      <alignment horizontal="center"/>
    </xf>
    <xf numFmtId="166" fontId="5" fillId="0" borderId="0" xfId="4" applyNumberFormat="1" applyFont="1" applyFill="1" applyBorder="1"/>
    <xf numFmtId="0" fontId="6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43" fontId="5" fillId="0" borderId="0" xfId="2" applyNumberFormat="1" applyFont="1" applyAlignment="1">
      <alignment horizontal="left"/>
    </xf>
    <xf numFmtId="166" fontId="5" fillId="0" borderId="0" xfId="4" applyNumberFormat="1" applyFont="1" applyFill="1" applyBorder="1" applyAlignment="1">
      <alignment horizontal="left"/>
    </xf>
    <xf numFmtId="165" fontId="5" fillId="0" borderId="0" xfId="2" applyNumberFormat="1" applyFont="1" applyAlignment="1">
      <alignment horizontal="left"/>
    </xf>
    <xf numFmtId="0" fontId="0" fillId="0" borderId="0" xfId="2" quotePrefix="1" applyFont="1" applyAlignment="1">
      <alignment horizontal="center"/>
    </xf>
    <xf numFmtId="0" fontId="5" fillId="0" borderId="0" xfId="3" applyAlignment="1">
      <alignment horizontal="center"/>
    </xf>
    <xf numFmtId="0" fontId="3" fillId="0" borderId="0" xfId="2" applyFont="1" applyAlignment="1">
      <alignment horizontal="center"/>
    </xf>
    <xf numFmtId="0" fontId="5" fillId="0" borderId="0" xfId="3" applyAlignment="1">
      <alignment horizontal="left"/>
    </xf>
    <xf numFmtId="0" fontId="10" fillId="0" borderId="0" xfId="2" applyFont="1"/>
    <xf numFmtId="166" fontId="3" fillId="0" borderId="0" xfId="1" applyNumberFormat="1" applyFont="1" applyFill="1"/>
    <xf numFmtId="0" fontId="3" fillId="0" borderId="0" xfId="0" applyFont="1"/>
    <xf numFmtId="166" fontId="7" fillId="0" borderId="0" xfId="4" applyNumberFormat="1" applyFont="1" applyFill="1"/>
    <xf numFmtId="0" fontId="3" fillId="0" borderId="0" xfId="0" applyFont="1" applyAlignment="1">
      <alignment horizontal="center"/>
    </xf>
    <xf numFmtId="166" fontId="2" fillId="0" borderId="0" xfId="1" applyNumberFormat="1" applyFont="1" applyFill="1"/>
    <xf numFmtId="165" fontId="5" fillId="0" borderId="0" xfId="7" applyFont="1" applyFill="1" applyBorder="1" applyAlignment="1">
      <alignment horizontal="center"/>
    </xf>
    <xf numFmtId="166" fontId="11" fillId="0" borderId="0" xfId="4" applyNumberFormat="1" applyFont="1" applyFill="1"/>
    <xf numFmtId="0" fontId="3" fillId="0" borderId="0" xfId="2" quotePrefix="1" applyFont="1" applyAlignment="1">
      <alignment horizontal="center"/>
    </xf>
    <xf numFmtId="164" fontId="3" fillId="0" borderId="0" xfId="4" quotePrefix="1" applyFont="1" applyFill="1"/>
    <xf numFmtId="166" fontId="5" fillId="0" borderId="0" xfId="1" applyNumberFormat="1" applyFont="1" applyFill="1"/>
    <xf numFmtId="166" fontId="7" fillId="0" borderId="0" xfId="4" applyNumberFormat="1" applyFont="1" applyFill="1" applyAlignment="1">
      <alignment horizontal="center"/>
    </xf>
    <xf numFmtId="0" fontId="3" fillId="0" borderId="0" xfId="3" applyFont="1"/>
    <xf numFmtId="166" fontId="5" fillId="0" borderId="0" xfId="1" applyNumberFormat="1" applyFont="1" applyFill="1" applyBorder="1"/>
    <xf numFmtId="166" fontId="5" fillId="0" borderId="0" xfId="1" applyNumberFormat="1" applyFont="1" applyFill="1" applyBorder="1" applyAlignment="1">
      <alignment horizontal="center"/>
    </xf>
    <xf numFmtId="166" fontId="7" fillId="0" borderId="0" xfId="1" applyNumberFormat="1" applyFont="1" applyFill="1" applyBorder="1" applyAlignment="1">
      <alignment horizontal="center"/>
    </xf>
    <xf numFmtId="166" fontId="12" fillId="0" borderId="0" xfId="1" applyNumberFormat="1" applyFont="1" applyFill="1"/>
    <xf numFmtId="164" fontId="5" fillId="0" borderId="0" xfId="1" applyFont="1"/>
    <xf numFmtId="166" fontId="7" fillId="0" borderId="0" xfId="1" applyNumberFormat="1" applyFont="1" applyFill="1" applyBorder="1"/>
    <xf numFmtId="165" fontId="5" fillId="0" borderId="0" xfId="2" applyNumberFormat="1" applyFont="1"/>
    <xf numFmtId="0" fontId="2" fillId="0" borderId="0" xfId="0" applyFont="1" applyAlignment="1">
      <alignment horizontal="left"/>
    </xf>
    <xf numFmtId="166" fontId="2" fillId="0" borderId="0" xfId="1" applyNumberFormat="1" applyFont="1" applyFill="1" applyAlignment="1">
      <alignment horizontal="center"/>
    </xf>
    <xf numFmtId="166" fontId="5" fillId="0" borderId="0" xfId="4" applyNumberFormat="1" applyFont="1"/>
    <xf numFmtId="166" fontId="7" fillId="0" borderId="0" xfId="4" applyNumberFormat="1" applyFont="1" applyAlignment="1">
      <alignment horizontal="center"/>
    </xf>
    <xf numFmtId="166" fontId="10" fillId="0" borderId="0" xfId="4" applyNumberFormat="1" applyFont="1"/>
    <xf numFmtId="166" fontId="11" fillId="0" borderId="0" xfId="4" applyNumberFormat="1" applyFont="1"/>
    <xf numFmtId="166" fontId="5" fillId="0" borderId="0" xfId="0" applyNumberFormat="1" applyFont="1"/>
    <xf numFmtId="166" fontId="7" fillId="0" borderId="0" xfId="4" applyNumberFormat="1" applyFont="1" applyFill="1" applyAlignment="1">
      <alignment horizontal="center"/>
    </xf>
  </cellXfs>
  <cellStyles count="20">
    <cellStyle name="Comma [0]" xfId="1" builtinId="6"/>
    <cellStyle name="Comma [0] 2" xfId="4"/>
    <cellStyle name="Comma [0] 2 2" xfId="12"/>
    <cellStyle name="Comma [0] 2 3" xfId="5"/>
    <cellStyle name="Comma [0] 2 3 2" xfId="10"/>
    <cellStyle name="Comma [0] 2 3 2 2" xfId="17"/>
    <cellStyle name="Comma [0] 3" xfId="9"/>
    <cellStyle name="Comma [0] 4" xfId="16"/>
    <cellStyle name="Comma 2" xfId="6"/>
    <cellStyle name="Comma 2 2" xfId="7"/>
    <cellStyle name="Comma 3" xfId="13"/>
    <cellStyle name="Comma 4" xfId="15"/>
    <cellStyle name="Normal" xfId="0" builtinId="0"/>
    <cellStyle name="Normal 2" xfId="2"/>
    <cellStyle name="Normal 2 2" xfId="8"/>
    <cellStyle name="Normal 2 3" xfId="19"/>
    <cellStyle name="Normal 3" xfId="14"/>
    <cellStyle name="Normal 3 4 2" xfId="11"/>
    <cellStyle name="Normal 3 6" xfId="3"/>
    <cellStyle name="Normal 3 6 2" xfId="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347"/>
  <sheetViews>
    <sheetView tabSelected="1" topLeftCell="A232" zoomScaleNormal="100" workbookViewId="0">
      <selection activeCell="E249" sqref="E249"/>
    </sheetView>
  </sheetViews>
  <sheetFormatPr defaultColWidth="9.109375" defaultRowHeight="15.75"/>
  <cols>
    <col min="1" max="1" width="24.44140625" style="13" customWidth="1"/>
    <col min="2" max="2" width="11.109375" style="13" customWidth="1"/>
    <col min="3" max="3" width="29.33203125" style="4" customWidth="1"/>
    <col min="4" max="4" width="67" style="4" customWidth="1"/>
    <col min="5" max="5" width="21.77734375" style="38" customWidth="1"/>
    <col min="6" max="6" width="18.33203125" style="47" customWidth="1"/>
    <col min="7" max="7" width="19.33203125" style="47" customWidth="1"/>
    <col min="8" max="8" width="27.6640625" style="4" customWidth="1"/>
    <col min="9" max="9" width="65.6640625" style="4" customWidth="1"/>
    <col min="10" max="10" width="2.77734375" style="6" customWidth="1"/>
    <col min="11" max="11" width="20.33203125" style="5" customWidth="1"/>
    <col min="12" max="12" width="18.77734375" style="5" customWidth="1"/>
    <col min="13" max="13" width="20.77734375" style="5" customWidth="1"/>
    <col min="14" max="14" width="17" style="5" customWidth="1"/>
    <col min="15" max="16" width="19.33203125" style="5" customWidth="1"/>
    <col min="17" max="17" width="17" style="5" customWidth="1"/>
    <col min="18" max="18" width="19.6640625" style="5" customWidth="1"/>
    <col min="19" max="19" width="18.33203125" style="5" customWidth="1"/>
    <col min="20" max="20" width="1.77734375" style="5" customWidth="1"/>
    <col min="21" max="21" width="19.77734375" style="5" customWidth="1"/>
    <col min="22" max="22" width="29.6640625" style="25" customWidth="1"/>
    <col min="23" max="23" width="12.44140625" style="6" bestFit="1" customWidth="1"/>
    <col min="24" max="16384" width="9.109375" style="6"/>
  </cols>
  <sheetData>
    <row r="1" spans="1:22">
      <c r="E1" s="38" t="s">
        <v>9</v>
      </c>
      <c r="G1" s="47" t="s">
        <v>9</v>
      </c>
      <c r="L1" s="5" t="s">
        <v>9</v>
      </c>
      <c r="M1" s="5" t="s">
        <v>9</v>
      </c>
      <c r="R1" s="5" t="s">
        <v>9</v>
      </c>
    </row>
    <row r="2" spans="1:22">
      <c r="A2" s="31"/>
      <c r="B2" s="31"/>
      <c r="E2" s="39"/>
      <c r="K2" s="52" t="s">
        <v>243</v>
      </c>
      <c r="L2" s="52"/>
      <c r="M2" s="52"/>
      <c r="N2" s="52"/>
      <c r="O2" s="52"/>
      <c r="P2" s="52"/>
      <c r="Q2" s="52"/>
      <c r="R2" s="52"/>
      <c r="S2" s="52"/>
      <c r="U2" s="36" t="s">
        <v>48</v>
      </c>
    </row>
    <row r="3" spans="1:22" s="11" customFormat="1">
      <c r="A3" s="9" t="s">
        <v>15</v>
      </c>
      <c r="B3" s="9" t="s">
        <v>16</v>
      </c>
      <c r="C3" s="10" t="s">
        <v>17</v>
      </c>
      <c r="D3" s="10" t="s">
        <v>18</v>
      </c>
      <c r="E3" s="40" t="s">
        <v>19</v>
      </c>
      <c r="F3" s="48" t="s">
        <v>333</v>
      </c>
      <c r="G3" s="48">
        <v>14500</v>
      </c>
      <c r="H3" s="10"/>
      <c r="I3" s="10"/>
      <c r="K3" s="36" t="s">
        <v>101</v>
      </c>
      <c r="L3" s="36" t="s">
        <v>100</v>
      </c>
      <c r="M3" s="36" t="s">
        <v>211</v>
      </c>
      <c r="N3" s="36" t="s">
        <v>20</v>
      </c>
      <c r="O3" s="36" t="s">
        <v>99</v>
      </c>
      <c r="P3" s="36" t="s">
        <v>98</v>
      </c>
      <c r="Q3" s="36" t="s">
        <v>21</v>
      </c>
      <c r="R3" s="36" t="s">
        <v>22</v>
      </c>
      <c r="S3" s="36" t="s">
        <v>288</v>
      </c>
      <c r="T3" s="12"/>
      <c r="U3" s="36" t="s">
        <v>19</v>
      </c>
      <c r="V3" s="14"/>
    </row>
    <row r="4" spans="1:22" s="16" customFormat="1" ht="15" customHeight="1">
      <c r="A4" s="3" t="s">
        <v>7</v>
      </c>
      <c r="B4" s="13" t="s">
        <v>9</v>
      </c>
      <c r="C4" s="4" t="s">
        <v>23</v>
      </c>
      <c r="D4" s="4" t="s">
        <v>24</v>
      </c>
      <c r="E4" s="15">
        <v>0</v>
      </c>
      <c r="F4" s="47">
        <v>0</v>
      </c>
      <c r="G4" s="47">
        <v>0</v>
      </c>
      <c r="H4" s="4"/>
      <c r="I4" s="4"/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1249350000</v>
      </c>
      <c r="S4" s="5">
        <v>0</v>
      </c>
      <c r="T4" s="8"/>
      <c r="U4" s="5">
        <f t="shared" ref="U4:U36" si="0">E4+K4+L4+M4+N4+O4+P4+Q4+R4</f>
        <v>1249350000</v>
      </c>
      <c r="V4" s="17"/>
    </row>
    <row r="5" spans="1:22" s="16" customFormat="1" ht="15" customHeight="1">
      <c r="A5" s="3" t="s">
        <v>7</v>
      </c>
      <c r="B5" s="13" t="s">
        <v>9</v>
      </c>
      <c r="C5" s="4" t="s">
        <v>8</v>
      </c>
      <c r="D5" s="4" t="s">
        <v>24</v>
      </c>
      <c r="E5" s="15">
        <v>15566611</v>
      </c>
      <c r="F5" s="47">
        <v>0</v>
      </c>
      <c r="G5" s="47">
        <v>0</v>
      </c>
      <c r="H5" s="4"/>
      <c r="I5" s="4"/>
      <c r="K5" s="5">
        <v>433389</v>
      </c>
      <c r="L5" s="5">
        <v>50000000</v>
      </c>
      <c r="M5" s="5">
        <f>-50000000-1056500</f>
        <v>-51056500</v>
      </c>
      <c r="N5" s="5">
        <v>0</v>
      </c>
      <c r="O5" s="5">
        <v>0</v>
      </c>
      <c r="P5" s="5">
        <v>0</v>
      </c>
      <c r="Q5" s="5">
        <v>0</v>
      </c>
      <c r="R5" s="5">
        <v>1000536500</v>
      </c>
      <c r="S5" s="5">
        <v>0</v>
      </c>
      <c r="T5" s="8"/>
      <c r="U5" s="5">
        <f t="shared" si="0"/>
        <v>1015480000</v>
      </c>
      <c r="V5" s="18" t="s">
        <v>9</v>
      </c>
    </row>
    <row r="6" spans="1:22" s="16" customFormat="1" ht="15" customHeight="1">
      <c r="A6" s="3" t="s">
        <v>7</v>
      </c>
      <c r="B6" s="13" t="s">
        <v>9</v>
      </c>
      <c r="C6" s="4" t="s">
        <v>25</v>
      </c>
      <c r="D6" s="4" t="s">
        <v>24</v>
      </c>
      <c r="E6" s="19">
        <v>0</v>
      </c>
      <c r="F6" s="5">
        <v>0</v>
      </c>
      <c r="G6" s="47">
        <v>0</v>
      </c>
      <c r="H6" s="4"/>
      <c r="I6" s="4"/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8"/>
      <c r="U6" s="5">
        <f t="shared" si="0"/>
        <v>0</v>
      </c>
      <c r="V6" s="20" t="s">
        <v>9</v>
      </c>
    </row>
    <row r="7" spans="1:22" s="16" customFormat="1" ht="15" customHeight="1">
      <c r="A7" s="3" t="s">
        <v>7</v>
      </c>
      <c r="B7" s="13" t="s">
        <v>9</v>
      </c>
      <c r="C7" s="4" t="s">
        <v>180</v>
      </c>
      <c r="D7" s="4" t="s">
        <v>24</v>
      </c>
      <c r="E7" s="19">
        <v>0</v>
      </c>
      <c r="F7" s="5">
        <v>0</v>
      </c>
      <c r="G7" s="47">
        <v>0</v>
      </c>
      <c r="H7" s="4"/>
      <c r="I7" s="4"/>
      <c r="K7" s="5">
        <v>0</v>
      </c>
      <c r="L7" s="5">
        <v>342000000</v>
      </c>
      <c r="M7" s="5">
        <v>12600000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8"/>
      <c r="U7" s="5">
        <f t="shared" si="0"/>
        <v>354600000</v>
      </c>
      <c r="V7" s="20" t="s">
        <v>9</v>
      </c>
    </row>
    <row r="8" spans="1:22" s="16" customFormat="1" ht="15" customHeight="1">
      <c r="A8" s="3" t="s">
        <v>7</v>
      </c>
      <c r="B8" s="13" t="s">
        <v>9</v>
      </c>
      <c r="C8" s="4" t="s">
        <v>26</v>
      </c>
      <c r="D8" s="4" t="s">
        <v>24</v>
      </c>
      <c r="E8" s="5">
        <v>0</v>
      </c>
      <c r="F8" s="5">
        <v>0</v>
      </c>
      <c r="G8" s="47">
        <v>0</v>
      </c>
      <c r="H8" s="4"/>
      <c r="I8" s="4"/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8"/>
      <c r="U8" s="5">
        <f t="shared" si="0"/>
        <v>0</v>
      </c>
      <c r="V8" s="17"/>
    </row>
    <row r="9" spans="1:22" s="7" customFormat="1" ht="15.95" customHeight="1">
      <c r="A9" s="21" t="s">
        <v>28</v>
      </c>
      <c r="B9" s="22" t="s">
        <v>9</v>
      </c>
      <c r="C9" s="4" t="s">
        <v>49</v>
      </c>
      <c r="D9" s="4" t="s">
        <v>9</v>
      </c>
      <c r="E9" s="5">
        <v>0</v>
      </c>
      <c r="F9" s="5">
        <v>0</v>
      </c>
      <c r="G9" s="47">
        <v>0</v>
      </c>
      <c r="H9" s="4" t="s">
        <v>9</v>
      </c>
      <c r="I9" s="4"/>
      <c r="J9" s="6"/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25221305</v>
      </c>
      <c r="S9" s="5">
        <v>0</v>
      </c>
      <c r="T9" s="5"/>
      <c r="U9" s="5">
        <f t="shared" si="0"/>
        <v>25221305</v>
      </c>
    </row>
    <row r="10" spans="1:22" s="7" customFormat="1" ht="15.95" customHeight="1">
      <c r="A10" s="21" t="s">
        <v>28</v>
      </c>
      <c r="B10" s="22" t="s">
        <v>9</v>
      </c>
      <c r="C10" s="4" t="s">
        <v>79</v>
      </c>
      <c r="D10" s="4" t="s">
        <v>9</v>
      </c>
      <c r="E10" s="5">
        <v>121566475</v>
      </c>
      <c r="F10" s="5">
        <v>0</v>
      </c>
      <c r="G10" s="47">
        <v>0</v>
      </c>
      <c r="H10" s="4" t="s">
        <v>9</v>
      </c>
      <c r="I10" s="4"/>
      <c r="J10" s="6"/>
      <c r="K10" s="5">
        <v>0</v>
      </c>
      <c r="L10" s="5">
        <v>0</v>
      </c>
      <c r="M10" s="5">
        <v>-121566475</v>
      </c>
      <c r="N10" s="5">
        <v>0</v>
      </c>
      <c r="O10" s="5">
        <v>0</v>
      </c>
      <c r="P10" s="5">
        <v>0</v>
      </c>
      <c r="Q10" s="5">
        <v>0</v>
      </c>
      <c r="R10" s="5">
        <v>180036770</v>
      </c>
      <c r="S10" s="5">
        <v>0</v>
      </c>
      <c r="T10" s="5"/>
      <c r="U10" s="5">
        <f t="shared" si="0"/>
        <v>180036770</v>
      </c>
    </row>
    <row r="11" spans="1:22" s="7" customFormat="1" ht="15.95" customHeight="1">
      <c r="A11" s="21" t="s">
        <v>28</v>
      </c>
      <c r="B11" s="22" t="s">
        <v>9</v>
      </c>
      <c r="C11" s="4" t="s">
        <v>29</v>
      </c>
      <c r="D11" s="4" t="s">
        <v>9</v>
      </c>
      <c r="E11" s="5">
        <v>49811936</v>
      </c>
      <c r="F11" s="5">
        <v>0</v>
      </c>
      <c r="G11" s="47">
        <v>0</v>
      </c>
      <c r="H11" s="4" t="s">
        <v>9</v>
      </c>
      <c r="I11" s="4"/>
      <c r="J11" s="6"/>
      <c r="K11" s="5">
        <v>0</v>
      </c>
      <c r="L11" s="5">
        <v>0</v>
      </c>
      <c r="M11" s="5">
        <v>-49811936</v>
      </c>
      <c r="N11" s="5">
        <v>0</v>
      </c>
      <c r="O11" s="5">
        <v>0</v>
      </c>
      <c r="P11" s="5">
        <v>0</v>
      </c>
      <c r="Q11" s="5">
        <v>0</v>
      </c>
      <c r="R11" s="5">
        <v>48200000</v>
      </c>
      <c r="S11" s="5">
        <v>0</v>
      </c>
      <c r="T11" s="5"/>
      <c r="U11" s="5">
        <f t="shared" si="0"/>
        <v>48200000</v>
      </c>
    </row>
    <row r="12" spans="1:22" s="7" customFormat="1" ht="15.95" customHeight="1">
      <c r="A12" s="21" t="s">
        <v>28</v>
      </c>
      <c r="B12" s="22" t="s">
        <v>9</v>
      </c>
      <c r="C12" s="4" t="s">
        <v>55</v>
      </c>
      <c r="D12" s="4" t="s">
        <v>9</v>
      </c>
      <c r="E12" s="5">
        <v>154034667</v>
      </c>
      <c r="F12" s="5">
        <v>0</v>
      </c>
      <c r="G12" s="47">
        <v>0</v>
      </c>
      <c r="H12" s="4" t="s">
        <v>9</v>
      </c>
      <c r="I12" s="4"/>
      <c r="J12" s="6"/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-154034667</v>
      </c>
      <c r="Q12" s="5">
        <v>0</v>
      </c>
      <c r="R12" s="5">
        <v>26924174</v>
      </c>
      <c r="S12" s="5">
        <v>0</v>
      </c>
      <c r="T12" s="5"/>
      <c r="U12" s="5">
        <f t="shared" si="0"/>
        <v>26924174</v>
      </c>
    </row>
    <row r="13" spans="1:22" s="7" customFormat="1" ht="15.95" customHeight="1">
      <c r="A13" s="21" t="s">
        <v>28</v>
      </c>
      <c r="B13" s="22" t="s">
        <v>9</v>
      </c>
      <c r="C13" s="4" t="s">
        <v>184</v>
      </c>
      <c r="D13" s="4" t="s">
        <v>9</v>
      </c>
      <c r="E13" s="5">
        <v>0</v>
      </c>
      <c r="F13" s="5">
        <v>0</v>
      </c>
      <c r="G13" s="47">
        <v>0</v>
      </c>
      <c r="H13" s="4" t="s">
        <v>9</v>
      </c>
      <c r="I13" s="4"/>
      <c r="J13" s="6"/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109792173</v>
      </c>
      <c r="S13" s="5">
        <v>0</v>
      </c>
      <c r="T13" s="5"/>
      <c r="U13" s="5">
        <f t="shared" si="0"/>
        <v>109792173</v>
      </c>
    </row>
    <row r="14" spans="1:22" s="7" customFormat="1" ht="15.95" customHeight="1">
      <c r="A14" s="33" t="s">
        <v>50</v>
      </c>
      <c r="B14" s="22" t="s">
        <v>9</v>
      </c>
      <c r="C14" s="4" t="s">
        <v>233</v>
      </c>
      <c r="D14" s="34" t="s">
        <v>218</v>
      </c>
      <c r="E14" s="5">
        <v>0</v>
      </c>
      <c r="F14" s="5">
        <v>0</v>
      </c>
      <c r="G14" s="47">
        <v>0</v>
      </c>
      <c r="H14" s="4" t="s">
        <v>9</v>
      </c>
      <c r="I14" s="4"/>
      <c r="J14" s="6"/>
      <c r="K14" s="5">
        <v>13000000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/>
      <c r="U14" s="5">
        <f t="shared" si="0"/>
        <v>13000000</v>
      </c>
    </row>
    <row r="15" spans="1:22" s="7" customFormat="1" ht="15.95" customHeight="1">
      <c r="A15" s="33" t="s">
        <v>50</v>
      </c>
      <c r="B15" s="22" t="s">
        <v>9</v>
      </c>
      <c r="C15" s="4" t="s">
        <v>233</v>
      </c>
      <c r="D15" s="34" t="s">
        <v>219</v>
      </c>
      <c r="E15" s="5">
        <v>0</v>
      </c>
      <c r="F15" s="5">
        <v>0</v>
      </c>
      <c r="G15" s="47">
        <v>0</v>
      </c>
      <c r="H15" s="4" t="s">
        <v>9</v>
      </c>
      <c r="I15" s="4"/>
      <c r="J15" s="6"/>
      <c r="K15" s="5">
        <v>135000000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/>
      <c r="U15" s="5">
        <f t="shared" si="0"/>
        <v>135000000</v>
      </c>
    </row>
    <row r="16" spans="1:22" s="7" customFormat="1" ht="15.95" customHeight="1">
      <c r="A16" s="33" t="s">
        <v>50</v>
      </c>
      <c r="B16" s="22" t="s">
        <v>9</v>
      </c>
      <c r="C16" s="4" t="s">
        <v>233</v>
      </c>
      <c r="D16" s="34" t="s">
        <v>220</v>
      </c>
      <c r="E16" s="5">
        <v>0</v>
      </c>
      <c r="F16" s="5">
        <v>0</v>
      </c>
      <c r="G16" s="47">
        <v>0</v>
      </c>
      <c r="H16" s="4" t="s">
        <v>9</v>
      </c>
      <c r="I16" s="4"/>
      <c r="J16" s="6"/>
      <c r="K16" s="5">
        <v>25064000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/>
      <c r="U16" s="5">
        <f t="shared" si="0"/>
        <v>25064000</v>
      </c>
    </row>
    <row r="17" spans="1:21" s="7" customFormat="1" ht="15.95" customHeight="1">
      <c r="A17" s="33" t="s">
        <v>50</v>
      </c>
      <c r="B17" s="22" t="s">
        <v>9</v>
      </c>
      <c r="C17" s="4" t="s">
        <v>233</v>
      </c>
      <c r="D17" s="34" t="s">
        <v>221</v>
      </c>
      <c r="E17" s="5">
        <v>0</v>
      </c>
      <c r="F17" s="5">
        <v>0</v>
      </c>
      <c r="G17" s="47">
        <v>0</v>
      </c>
      <c r="H17" s="4" t="s">
        <v>9</v>
      </c>
      <c r="I17" s="4"/>
      <c r="J17" s="6"/>
      <c r="K17" s="5">
        <v>134757000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/>
      <c r="U17" s="5">
        <f t="shared" si="0"/>
        <v>134757000</v>
      </c>
    </row>
    <row r="18" spans="1:21" s="7" customFormat="1" ht="15.95" customHeight="1">
      <c r="A18" s="33" t="s">
        <v>50</v>
      </c>
      <c r="B18" s="22" t="s">
        <v>9</v>
      </c>
      <c r="C18" s="4" t="s">
        <v>233</v>
      </c>
      <c r="D18" s="34" t="s">
        <v>221</v>
      </c>
      <c r="E18" s="5">
        <v>0</v>
      </c>
      <c r="F18" s="5">
        <v>0</v>
      </c>
      <c r="G18" s="47">
        <v>0</v>
      </c>
      <c r="H18" s="4" t="s">
        <v>9</v>
      </c>
      <c r="I18" s="4"/>
      <c r="J18" s="6"/>
      <c r="K18" s="5">
        <v>243000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/>
      <c r="U18" s="5">
        <f t="shared" si="0"/>
        <v>243000</v>
      </c>
    </row>
    <row r="19" spans="1:21" s="7" customFormat="1" ht="15.95" customHeight="1">
      <c r="A19" s="33" t="s">
        <v>50</v>
      </c>
      <c r="B19" s="22" t="s">
        <v>9</v>
      </c>
      <c r="C19" s="4" t="s">
        <v>233</v>
      </c>
      <c r="D19" s="34" t="s">
        <v>220</v>
      </c>
      <c r="E19" s="5">
        <v>0</v>
      </c>
      <c r="F19" s="5">
        <v>0</v>
      </c>
      <c r="G19" s="47">
        <v>0</v>
      </c>
      <c r="H19" s="4" t="s">
        <v>9</v>
      </c>
      <c r="I19" s="4"/>
      <c r="J19" s="6"/>
      <c r="K19" s="5">
        <v>106060000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/>
      <c r="U19" s="5">
        <f t="shared" si="0"/>
        <v>106060000</v>
      </c>
    </row>
    <row r="20" spans="1:21" s="7" customFormat="1" ht="15.95" customHeight="1">
      <c r="A20" s="33" t="s">
        <v>50</v>
      </c>
      <c r="B20" s="22" t="s">
        <v>9</v>
      </c>
      <c r="C20" s="4" t="s">
        <v>233</v>
      </c>
      <c r="D20" s="34" t="s">
        <v>218</v>
      </c>
      <c r="E20" s="5">
        <v>0</v>
      </c>
      <c r="F20" s="5">
        <v>0</v>
      </c>
      <c r="G20" s="47">
        <v>0</v>
      </c>
      <c r="H20" s="4" t="s">
        <v>9</v>
      </c>
      <c r="I20" s="4"/>
      <c r="J20" s="6"/>
      <c r="K20" s="5">
        <v>79650000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/>
      <c r="U20" s="5">
        <f t="shared" si="0"/>
        <v>79650000</v>
      </c>
    </row>
    <row r="21" spans="1:21" s="7" customFormat="1" ht="15.95" customHeight="1">
      <c r="A21" s="33" t="s">
        <v>50</v>
      </c>
      <c r="B21" s="22" t="s">
        <v>9</v>
      </c>
      <c r="C21" s="4" t="s">
        <v>233</v>
      </c>
      <c r="D21" s="34" t="s">
        <v>218</v>
      </c>
      <c r="E21" s="5">
        <v>0</v>
      </c>
      <c r="F21" s="5">
        <v>0</v>
      </c>
      <c r="G21" s="47">
        <v>0</v>
      </c>
      <c r="H21" s="4" t="s">
        <v>9</v>
      </c>
      <c r="I21" s="4"/>
      <c r="J21" s="6"/>
      <c r="K21" s="5">
        <v>42350000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/>
      <c r="U21" s="5">
        <f t="shared" si="0"/>
        <v>42350000</v>
      </c>
    </row>
    <row r="22" spans="1:21" s="7" customFormat="1" ht="15.95" customHeight="1">
      <c r="A22" s="33" t="s">
        <v>50</v>
      </c>
      <c r="B22" s="22" t="s">
        <v>9</v>
      </c>
      <c r="C22" s="4" t="s">
        <v>233</v>
      </c>
      <c r="D22" s="34" t="s">
        <v>222</v>
      </c>
      <c r="E22" s="5">
        <v>0</v>
      </c>
      <c r="F22" s="5">
        <v>0</v>
      </c>
      <c r="G22" s="47">
        <v>0</v>
      </c>
      <c r="H22" s="4" t="s">
        <v>9</v>
      </c>
      <c r="I22" s="4"/>
      <c r="J22" s="6"/>
      <c r="K22" s="5">
        <v>135000000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/>
      <c r="U22" s="5">
        <f t="shared" si="0"/>
        <v>135000000</v>
      </c>
    </row>
    <row r="23" spans="1:21" s="7" customFormat="1" ht="15.95" customHeight="1">
      <c r="A23" s="33" t="s">
        <v>50</v>
      </c>
      <c r="B23" s="22" t="s">
        <v>9</v>
      </c>
      <c r="C23" s="4" t="s">
        <v>233</v>
      </c>
      <c r="D23" s="34" t="s">
        <v>223</v>
      </c>
      <c r="E23" s="5">
        <v>0</v>
      </c>
      <c r="F23" s="5">
        <v>0</v>
      </c>
      <c r="G23" s="47">
        <v>0</v>
      </c>
      <c r="H23" s="4" t="s">
        <v>9</v>
      </c>
      <c r="I23" s="4"/>
      <c r="J23" s="6"/>
      <c r="K23" s="5">
        <v>28431000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/>
      <c r="U23" s="5">
        <f t="shared" si="0"/>
        <v>28431000</v>
      </c>
    </row>
    <row r="24" spans="1:21" s="7" customFormat="1" ht="15.95" customHeight="1">
      <c r="A24" s="33" t="s">
        <v>50</v>
      </c>
      <c r="B24" s="22" t="s">
        <v>9</v>
      </c>
      <c r="C24" s="4" t="s">
        <v>233</v>
      </c>
      <c r="D24" s="34" t="s">
        <v>224</v>
      </c>
      <c r="E24" s="5">
        <v>0</v>
      </c>
      <c r="F24" s="5">
        <v>0</v>
      </c>
      <c r="G24" s="47">
        <v>0</v>
      </c>
      <c r="H24" s="4" t="s">
        <v>9</v>
      </c>
      <c r="I24" s="4"/>
      <c r="J24" s="6"/>
      <c r="K24" s="5">
        <v>100845000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/>
      <c r="U24" s="5">
        <f t="shared" si="0"/>
        <v>100845000</v>
      </c>
    </row>
    <row r="25" spans="1:21" s="7" customFormat="1" ht="15.95" customHeight="1">
      <c r="A25" s="33" t="s">
        <v>50</v>
      </c>
      <c r="B25" s="22" t="s">
        <v>9</v>
      </c>
      <c r="C25" s="4" t="s">
        <v>233</v>
      </c>
      <c r="D25" s="34" t="s">
        <v>225</v>
      </c>
      <c r="E25" s="5">
        <v>0</v>
      </c>
      <c r="F25" s="5">
        <v>0</v>
      </c>
      <c r="G25" s="47">
        <v>0</v>
      </c>
      <c r="H25" s="4" t="s">
        <v>9</v>
      </c>
      <c r="I25" s="4"/>
      <c r="J25" s="6"/>
      <c r="K25" s="5">
        <v>135000000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/>
      <c r="U25" s="5">
        <f t="shared" si="0"/>
        <v>135000000</v>
      </c>
    </row>
    <row r="26" spans="1:21" s="7" customFormat="1" ht="15.95" customHeight="1">
      <c r="A26" s="33" t="s">
        <v>50</v>
      </c>
      <c r="B26" s="22" t="s">
        <v>9</v>
      </c>
      <c r="C26" s="4" t="s">
        <v>233</v>
      </c>
      <c r="D26" s="34" t="s">
        <v>223</v>
      </c>
      <c r="E26" s="5">
        <v>0</v>
      </c>
      <c r="F26" s="5">
        <v>0</v>
      </c>
      <c r="G26" s="47">
        <v>0</v>
      </c>
      <c r="H26" s="4" t="s">
        <v>9</v>
      </c>
      <c r="I26" s="4"/>
      <c r="J26" s="6"/>
      <c r="K26" s="5">
        <v>106569000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/>
      <c r="U26" s="5">
        <f t="shared" si="0"/>
        <v>106569000</v>
      </c>
    </row>
    <row r="27" spans="1:21" s="7" customFormat="1" ht="15.95" customHeight="1">
      <c r="A27" s="33" t="s">
        <v>50</v>
      </c>
      <c r="B27" s="22" t="s">
        <v>9</v>
      </c>
      <c r="C27" s="4" t="s">
        <v>233</v>
      </c>
      <c r="D27" s="34" t="s">
        <v>224</v>
      </c>
      <c r="E27" s="5">
        <v>0</v>
      </c>
      <c r="F27" s="5">
        <v>0</v>
      </c>
      <c r="G27" s="47">
        <v>0</v>
      </c>
      <c r="H27" s="4" t="s">
        <v>9</v>
      </c>
      <c r="I27" s="4"/>
      <c r="J27" s="6"/>
      <c r="K27" s="5">
        <v>34155000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/>
      <c r="U27" s="5">
        <f t="shared" si="0"/>
        <v>34155000</v>
      </c>
    </row>
    <row r="28" spans="1:21" s="7" customFormat="1" ht="15.95" customHeight="1">
      <c r="A28" s="33" t="s">
        <v>50</v>
      </c>
      <c r="B28" s="22" t="s">
        <v>9</v>
      </c>
      <c r="C28" s="4" t="s">
        <v>233</v>
      </c>
      <c r="D28" s="34" t="s">
        <v>226</v>
      </c>
      <c r="E28" s="5">
        <v>0</v>
      </c>
      <c r="F28" s="5">
        <v>0</v>
      </c>
      <c r="G28" s="47">
        <v>0</v>
      </c>
      <c r="H28" s="4" t="s">
        <v>9</v>
      </c>
      <c r="I28" s="4"/>
      <c r="J28" s="6"/>
      <c r="K28" s="5">
        <v>135000000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/>
      <c r="U28" s="5">
        <f t="shared" si="0"/>
        <v>135000000</v>
      </c>
    </row>
    <row r="29" spans="1:21" s="7" customFormat="1" ht="15.95" customHeight="1">
      <c r="A29" s="33" t="s">
        <v>50</v>
      </c>
      <c r="B29" s="22" t="s">
        <v>9</v>
      </c>
      <c r="C29" s="4" t="s">
        <v>233</v>
      </c>
      <c r="D29" s="34" t="s">
        <v>227</v>
      </c>
      <c r="E29" s="5">
        <v>0</v>
      </c>
      <c r="F29" s="5">
        <v>0</v>
      </c>
      <c r="G29" s="47">
        <v>0</v>
      </c>
      <c r="H29" s="4" t="s">
        <v>9</v>
      </c>
      <c r="I29" s="4"/>
      <c r="J29" s="6"/>
      <c r="K29" s="5">
        <v>135000000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/>
      <c r="U29" s="5">
        <f t="shared" si="0"/>
        <v>135000000</v>
      </c>
    </row>
    <row r="30" spans="1:21" s="7" customFormat="1" ht="15.95" customHeight="1">
      <c r="A30" s="33" t="s">
        <v>50</v>
      </c>
      <c r="B30" s="22" t="s">
        <v>9</v>
      </c>
      <c r="C30" s="4" t="s">
        <v>233</v>
      </c>
      <c r="D30" s="34" t="s">
        <v>228</v>
      </c>
      <c r="E30" s="5">
        <v>0</v>
      </c>
      <c r="F30" s="5">
        <v>0</v>
      </c>
      <c r="G30" s="47">
        <v>0</v>
      </c>
      <c r="H30" s="4" t="s">
        <v>9</v>
      </c>
      <c r="I30" s="4"/>
      <c r="J30" s="6"/>
      <c r="K30" s="5">
        <v>4000000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/>
      <c r="U30" s="5">
        <f t="shared" si="0"/>
        <v>4000000</v>
      </c>
    </row>
    <row r="31" spans="1:21" s="7" customFormat="1" ht="15.95" customHeight="1">
      <c r="A31" s="33" t="s">
        <v>50</v>
      </c>
      <c r="B31" s="22" t="s">
        <v>9</v>
      </c>
      <c r="C31" s="4" t="s">
        <v>233</v>
      </c>
      <c r="D31" s="34" t="s">
        <v>228</v>
      </c>
      <c r="E31" s="5">
        <v>0</v>
      </c>
      <c r="F31" s="5">
        <v>0</v>
      </c>
      <c r="G31" s="47">
        <v>0</v>
      </c>
      <c r="H31" s="4" t="s">
        <v>9</v>
      </c>
      <c r="I31" s="4"/>
      <c r="J31" s="6"/>
      <c r="K31" s="5">
        <v>-124000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/>
      <c r="U31" s="5">
        <f t="shared" si="0"/>
        <v>-124000</v>
      </c>
    </row>
    <row r="32" spans="1:21" s="7" customFormat="1" ht="15.95" customHeight="1">
      <c r="A32" s="33" t="s">
        <v>50</v>
      </c>
      <c r="B32" s="22" t="s">
        <v>9</v>
      </c>
      <c r="C32" s="1" t="s">
        <v>230</v>
      </c>
      <c r="D32" s="34" t="s">
        <v>229</v>
      </c>
      <c r="E32" s="5">
        <v>0</v>
      </c>
      <c r="F32" s="5">
        <v>0</v>
      </c>
      <c r="G32" s="47">
        <v>0</v>
      </c>
      <c r="H32" s="4" t="s">
        <v>9</v>
      </c>
      <c r="I32" s="4"/>
      <c r="J32" s="6"/>
      <c r="K32" s="5">
        <v>120000000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/>
      <c r="U32" s="5">
        <f t="shared" si="0"/>
        <v>120000000</v>
      </c>
    </row>
    <row r="33" spans="1:23" s="7" customFormat="1" ht="15.95" customHeight="1">
      <c r="A33" s="33" t="s">
        <v>50</v>
      </c>
      <c r="B33" s="22" t="s">
        <v>9</v>
      </c>
      <c r="C33" s="1" t="s">
        <v>230</v>
      </c>
      <c r="D33" s="34" t="s">
        <v>231</v>
      </c>
      <c r="E33" s="5">
        <v>0</v>
      </c>
      <c r="F33" s="5">
        <v>0</v>
      </c>
      <c r="G33" s="47">
        <v>0</v>
      </c>
      <c r="H33" s="4" t="s">
        <v>9</v>
      </c>
      <c r="I33" s="4"/>
      <c r="J33" s="6"/>
      <c r="K33" s="5">
        <v>1000000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/>
      <c r="U33" s="5">
        <f t="shared" si="0"/>
        <v>1000000</v>
      </c>
    </row>
    <row r="34" spans="1:23" s="7" customFormat="1" ht="15.95" customHeight="1">
      <c r="A34" s="3" t="s">
        <v>30</v>
      </c>
      <c r="B34" s="23" t="s">
        <v>9</v>
      </c>
      <c r="C34" s="4" t="s">
        <v>9</v>
      </c>
      <c r="D34" s="27" t="s">
        <v>9</v>
      </c>
      <c r="E34" s="5">
        <v>0</v>
      </c>
      <c r="F34" s="5">
        <v>0</v>
      </c>
      <c r="G34" s="47">
        <v>0</v>
      </c>
      <c r="H34" s="4" t="s">
        <v>9</v>
      </c>
      <c r="I34" t="s">
        <v>9</v>
      </c>
      <c r="J34" s="6"/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/>
      <c r="U34" s="5">
        <f t="shared" si="0"/>
        <v>0</v>
      </c>
    </row>
    <row r="35" spans="1:23" s="7" customFormat="1" ht="15.95" customHeight="1">
      <c r="A35" s="33" t="s">
        <v>27</v>
      </c>
      <c r="B35" s="22" t="s">
        <v>9</v>
      </c>
      <c r="C35" s="4" t="s">
        <v>8</v>
      </c>
      <c r="D35" s="4" t="s">
        <v>9</v>
      </c>
      <c r="E35" s="5">
        <v>100000000</v>
      </c>
      <c r="F35" s="5">
        <v>0</v>
      </c>
      <c r="G35" s="47">
        <v>0</v>
      </c>
      <c r="H35" s="4" t="s">
        <v>9</v>
      </c>
      <c r="I35" s="4" t="s">
        <v>9</v>
      </c>
      <c r="J35" s="6"/>
      <c r="K35" s="5">
        <v>-100000000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/>
      <c r="U35" s="5">
        <f t="shared" si="0"/>
        <v>0</v>
      </c>
    </row>
    <row r="36" spans="1:23" s="7" customFormat="1" ht="15.95" customHeight="1">
      <c r="A36" s="33" t="s">
        <v>27</v>
      </c>
      <c r="B36" s="22" t="s">
        <v>9</v>
      </c>
      <c r="C36" s="4" t="s">
        <v>23</v>
      </c>
      <c r="D36" s="4" t="s">
        <v>9</v>
      </c>
      <c r="E36" s="5">
        <v>100000000</v>
      </c>
      <c r="F36" s="5">
        <v>0</v>
      </c>
      <c r="G36" s="47">
        <v>0</v>
      </c>
      <c r="H36" s="4" t="s">
        <v>9</v>
      </c>
      <c r="I36" s="4" t="s">
        <v>9</v>
      </c>
      <c r="J36" s="6"/>
      <c r="K36" s="5">
        <v>-100000000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/>
      <c r="U36" s="5">
        <f t="shared" si="0"/>
        <v>0</v>
      </c>
    </row>
    <row r="37" spans="1:23" ht="15.95" customHeight="1">
      <c r="A37" s="33" t="s">
        <v>31</v>
      </c>
      <c r="B37" s="23" t="s">
        <v>9</v>
      </c>
      <c r="C37" s="24" t="s">
        <v>250</v>
      </c>
      <c r="D37" s="4" t="s">
        <v>156</v>
      </c>
      <c r="E37" s="5">
        <v>978588</v>
      </c>
      <c r="F37" s="5">
        <v>0</v>
      </c>
      <c r="G37" s="47">
        <v>0</v>
      </c>
      <c r="H37" s="4" t="s">
        <v>9</v>
      </c>
      <c r="I37" s="4" t="s">
        <v>9</v>
      </c>
      <c r="K37" s="5">
        <v>0</v>
      </c>
      <c r="L37" s="32">
        <v>0</v>
      </c>
      <c r="M37" s="5">
        <v>-978588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U37" s="5">
        <f t="shared" ref="U37:U50" si="1">E37+SUM(K37:S37)</f>
        <v>0</v>
      </c>
      <c r="V37" s="7"/>
    </row>
    <row r="38" spans="1:23" ht="15.95" customHeight="1">
      <c r="A38" s="33" t="s">
        <v>31</v>
      </c>
      <c r="B38" s="23" t="s">
        <v>9</v>
      </c>
      <c r="C38" s="24" t="s">
        <v>251</v>
      </c>
      <c r="D38" s="4" t="s">
        <v>156</v>
      </c>
      <c r="E38" s="5">
        <v>0</v>
      </c>
      <c r="F38" s="5">
        <v>0</v>
      </c>
      <c r="G38" s="47">
        <v>0</v>
      </c>
      <c r="H38" s="4" t="s">
        <v>9</v>
      </c>
      <c r="I38" s="4" t="s">
        <v>9</v>
      </c>
      <c r="K38" s="5">
        <v>0</v>
      </c>
      <c r="L38" s="5">
        <v>127688</v>
      </c>
      <c r="M38" s="5">
        <v>1718342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U38" s="5">
        <f t="shared" si="1"/>
        <v>1846030</v>
      </c>
      <c r="V38" s="7"/>
    </row>
    <row r="39" spans="1:23" ht="15.95" customHeight="1">
      <c r="A39" s="33" t="s">
        <v>31</v>
      </c>
      <c r="B39" s="23" t="s">
        <v>9</v>
      </c>
      <c r="C39" s="24" t="s">
        <v>239</v>
      </c>
      <c r="D39" s="4" t="s">
        <v>240</v>
      </c>
      <c r="E39" s="5">
        <v>0</v>
      </c>
      <c r="F39" s="5">
        <v>0</v>
      </c>
      <c r="G39" s="47">
        <v>0</v>
      </c>
      <c r="H39" s="4" t="s">
        <v>9</v>
      </c>
      <c r="I39" s="4" t="s">
        <v>9</v>
      </c>
      <c r="K39" s="5">
        <v>0</v>
      </c>
      <c r="L39" s="5">
        <v>7328440</v>
      </c>
      <c r="M39" s="5">
        <v>3450224</v>
      </c>
      <c r="N39" s="5">
        <v>0</v>
      </c>
      <c r="O39" s="5">
        <v>0</v>
      </c>
      <c r="P39" s="5">
        <v>0</v>
      </c>
      <c r="Q39" s="5">
        <v>0</v>
      </c>
      <c r="R39" s="5">
        <v>546599</v>
      </c>
      <c r="S39" s="5">
        <v>0</v>
      </c>
      <c r="U39" s="5">
        <f t="shared" si="1"/>
        <v>11325263</v>
      </c>
      <c r="V39" s="7"/>
    </row>
    <row r="40" spans="1:23" ht="15.95" customHeight="1">
      <c r="A40" s="33" t="s">
        <v>31</v>
      </c>
      <c r="B40" s="23">
        <v>2023</v>
      </c>
      <c r="C40" s="24" t="s">
        <v>157</v>
      </c>
      <c r="D40" s="4" t="s">
        <v>214</v>
      </c>
      <c r="E40" s="5">
        <v>919865320</v>
      </c>
      <c r="F40" s="5">
        <v>0</v>
      </c>
      <c r="G40" s="47">
        <v>0</v>
      </c>
      <c r="H40" s="4" t="s">
        <v>9</v>
      </c>
      <c r="I40" s="4" t="s">
        <v>9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-919865320</v>
      </c>
      <c r="S40" s="5">
        <v>0</v>
      </c>
      <c r="U40" s="5">
        <f t="shared" si="1"/>
        <v>0</v>
      </c>
      <c r="V40" s="7"/>
    </row>
    <row r="41" spans="1:23" ht="15.95" customHeight="1">
      <c r="A41" s="33" t="s">
        <v>31</v>
      </c>
      <c r="B41" s="23">
        <v>2023</v>
      </c>
      <c r="C41" s="24" t="s">
        <v>155</v>
      </c>
      <c r="D41" s="4" t="s">
        <v>242</v>
      </c>
      <c r="E41" s="5">
        <v>0</v>
      </c>
      <c r="F41" s="5">
        <v>0</v>
      </c>
      <c r="G41" s="47">
        <v>0</v>
      </c>
      <c r="H41" s="4" t="s">
        <v>9</v>
      </c>
      <c r="I41" s="4" t="s">
        <v>9</v>
      </c>
      <c r="K41" s="5">
        <v>0</v>
      </c>
      <c r="L41" s="5">
        <v>0</v>
      </c>
      <c r="M41" s="5">
        <v>1801802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U41" s="5">
        <f t="shared" si="1"/>
        <v>1801802</v>
      </c>
      <c r="V41" s="7"/>
    </row>
    <row r="42" spans="1:23" ht="15.95" customHeight="1">
      <c r="A42" s="33" t="s">
        <v>31</v>
      </c>
      <c r="B42" s="23">
        <v>2023</v>
      </c>
      <c r="C42" s="24" t="s">
        <v>155</v>
      </c>
      <c r="D42" s="4" t="s">
        <v>241</v>
      </c>
      <c r="E42" s="5">
        <v>0</v>
      </c>
      <c r="F42" s="5">
        <v>0</v>
      </c>
      <c r="G42" s="47">
        <v>0</v>
      </c>
      <c r="H42" s="4" t="s">
        <v>9</v>
      </c>
      <c r="I42" s="4" t="s">
        <v>9</v>
      </c>
      <c r="K42" s="5">
        <v>0</v>
      </c>
      <c r="L42" s="5">
        <v>0</v>
      </c>
      <c r="M42" s="5">
        <v>3603604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U42" s="5">
        <f t="shared" si="1"/>
        <v>3603604</v>
      </c>
      <c r="V42" s="7"/>
    </row>
    <row r="43" spans="1:23" s="7" customFormat="1" ht="15.95" customHeight="1">
      <c r="A43" s="3" t="s">
        <v>31</v>
      </c>
      <c r="B43" s="23">
        <v>2025</v>
      </c>
      <c r="C43" s="24" t="s">
        <v>290</v>
      </c>
      <c r="D43" s="4" t="s">
        <v>276</v>
      </c>
      <c r="E43" s="26">
        <v>0</v>
      </c>
      <c r="F43" s="5">
        <v>0</v>
      </c>
      <c r="G43" s="47">
        <v>0</v>
      </c>
      <c r="H43" s="24" t="s">
        <v>9</v>
      </c>
      <c r="I43" s="27" t="s">
        <v>9</v>
      </c>
      <c r="J43" s="27" t="s">
        <v>9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795850</v>
      </c>
      <c r="T43" s="5"/>
      <c r="U43" s="5">
        <f t="shared" si="1"/>
        <v>795850</v>
      </c>
    </row>
    <row r="44" spans="1:23" s="7" customFormat="1" ht="15.95" customHeight="1">
      <c r="A44" s="3" t="s">
        <v>31</v>
      </c>
      <c r="B44" s="23">
        <v>2023</v>
      </c>
      <c r="C44" s="24" t="s">
        <v>244</v>
      </c>
      <c r="D44" s="24" t="s">
        <v>247</v>
      </c>
      <c r="E44" s="26">
        <v>19257150</v>
      </c>
      <c r="F44" s="5">
        <v>0</v>
      </c>
      <c r="G44" s="47">
        <v>0</v>
      </c>
      <c r="H44" s="24" t="s">
        <v>9</v>
      </c>
      <c r="I44" s="27" t="s">
        <v>9</v>
      </c>
      <c r="J44" s="27" t="s">
        <v>9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-19257150</v>
      </c>
      <c r="T44" s="5"/>
      <c r="U44" s="5">
        <f t="shared" si="1"/>
        <v>0</v>
      </c>
    </row>
    <row r="45" spans="1:23" s="7" customFormat="1" ht="15.95" customHeight="1">
      <c r="A45" s="3" t="s">
        <v>31</v>
      </c>
      <c r="B45" s="23">
        <v>2024</v>
      </c>
      <c r="C45" s="24" t="s">
        <v>246</v>
      </c>
      <c r="D45" s="24" t="s">
        <v>247</v>
      </c>
      <c r="E45" s="26">
        <v>766597874</v>
      </c>
      <c r="F45" s="5">
        <v>0</v>
      </c>
      <c r="G45" s="47">
        <v>0</v>
      </c>
      <c r="H45" s="24" t="s">
        <v>9</v>
      </c>
      <c r="I45" s="27" t="s">
        <v>9</v>
      </c>
      <c r="J45" s="27" t="s">
        <v>9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-735528458</v>
      </c>
      <c r="T45" s="5"/>
      <c r="U45" s="5">
        <f t="shared" si="1"/>
        <v>31069416</v>
      </c>
      <c r="V45" s="42" t="s">
        <v>9</v>
      </c>
      <c r="W45" s="44" t="s">
        <v>9</v>
      </c>
    </row>
    <row r="46" spans="1:23" s="7" customFormat="1" ht="15.95" customHeight="1">
      <c r="A46" s="3" t="s">
        <v>31</v>
      </c>
      <c r="B46" s="23">
        <v>2024</v>
      </c>
      <c r="C46" s="24" t="s">
        <v>245</v>
      </c>
      <c r="D46" s="24" t="s">
        <v>247</v>
      </c>
      <c r="E46" s="26">
        <v>2784023038</v>
      </c>
      <c r="F46" s="5">
        <v>0</v>
      </c>
      <c r="G46" s="47">
        <v>0</v>
      </c>
      <c r="H46" s="24" t="s">
        <v>9</v>
      </c>
      <c r="I46" s="27" t="s">
        <v>9</v>
      </c>
      <c r="J46" s="27" t="s">
        <v>9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-2600754620</v>
      </c>
      <c r="T46" s="5"/>
      <c r="U46" s="5">
        <f t="shared" si="1"/>
        <v>183268418</v>
      </c>
      <c r="V46" s="42" t="s">
        <v>9</v>
      </c>
      <c r="W46" s="44" t="s">
        <v>9</v>
      </c>
    </row>
    <row r="47" spans="1:23" s="7" customFormat="1" ht="15.95" customHeight="1">
      <c r="A47" s="3" t="s">
        <v>31</v>
      </c>
      <c r="B47" s="23">
        <v>2025</v>
      </c>
      <c r="C47" s="24" t="s">
        <v>292</v>
      </c>
      <c r="D47" s="24" t="s">
        <v>291</v>
      </c>
      <c r="E47" s="26">
        <v>21929331</v>
      </c>
      <c r="F47" s="5">
        <v>0</v>
      </c>
      <c r="G47" s="47">
        <v>0</v>
      </c>
      <c r="H47" s="24" t="s">
        <v>9</v>
      </c>
      <c r="I47" s="27" t="s">
        <v>9</v>
      </c>
      <c r="J47" s="27" t="s">
        <v>9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/>
      <c r="U47" s="5">
        <f t="shared" si="1"/>
        <v>21929331</v>
      </c>
    </row>
    <row r="48" spans="1:23" ht="15.95" customHeight="1">
      <c r="A48" s="33" t="s">
        <v>31</v>
      </c>
      <c r="B48" s="23">
        <v>2023</v>
      </c>
      <c r="C48" s="24" t="s">
        <v>287</v>
      </c>
      <c r="D48" s="24" t="s">
        <v>289</v>
      </c>
      <c r="E48" s="5">
        <v>11822877</v>
      </c>
      <c r="F48" s="5">
        <v>0</v>
      </c>
      <c r="G48" s="47">
        <v>0</v>
      </c>
      <c r="H48" s="4" t="s">
        <v>9</v>
      </c>
      <c r="I48" s="4" t="s">
        <v>9</v>
      </c>
      <c r="K48" s="5">
        <v>0</v>
      </c>
      <c r="L48" s="5">
        <v>0</v>
      </c>
      <c r="M48" s="5">
        <v>-11822877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U48" s="5">
        <f t="shared" si="1"/>
        <v>0</v>
      </c>
      <c r="V48" s="7"/>
    </row>
    <row r="49" spans="1:21" s="7" customFormat="1" ht="15.95" customHeight="1">
      <c r="A49" s="3" t="s">
        <v>31</v>
      </c>
      <c r="B49" s="23">
        <v>2025</v>
      </c>
      <c r="C49" s="24" t="s">
        <v>286</v>
      </c>
      <c r="D49" s="24" t="s">
        <v>248</v>
      </c>
      <c r="E49" s="26">
        <v>0</v>
      </c>
      <c r="F49" s="5">
        <v>0</v>
      </c>
      <c r="G49" s="47">
        <v>0</v>
      </c>
      <c r="H49" s="24" t="s">
        <v>9</v>
      </c>
      <c r="I49" s="27" t="s">
        <v>9</v>
      </c>
      <c r="J49" s="27" t="s">
        <v>9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16754255</v>
      </c>
      <c r="T49" s="5"/>
      <c r="U49" s="5">
        <f t="shared" si="1"/>
        <v>16754255</v>
      </c>
    </row>
    <row r="50" spans="1:21" s="7" customFormat="1" ht="15.95" customHeight="1">
      <c r="A50" s="3" t="s">
        <v>31</v>
      </c>
      <c r="B50" s="23">
        <v>2025</v>
      </c>
      <c r="C50" s="24" t="s">
        <v>286</v>
      </c>
      <c r="D50" s="24" t="s">
        <v>249</v>
      </c>
      <c r="E50" s="26">
        <v>0</v>
      </c>
      <c r="F50" s="5">
        <v>0</v>
      </c>
      <c r="G50" s="47">
        <v>0</v>
      </c>
      <c r="H50" s="24" t="s">
        <v>9</v>
      </c>
      <c r="I50" s="27" t="s">
        <v>9</v>
      </c>
      <c r="J50" s="27" t="s">
        <v>9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14427195</v>
      </c>
      <c r="T50" s="5"/>
      <c r="U50" s="5">
        <f t="shared" si="1"/>
        <v>14427195</v>
      </c>
    </row>
    <row r="51" spans="1:21" s="7" customFormat="1" ht="15.95" customHeight="1">
      <c r="A51" s="3" t="s">
        <v>1</v>
      </c>
      <c r="B51" s="23">
        <v>2018</v>
      </c>
      <c r="C51" s="4" t="s">
        <v>12</v>
      </c>
      <c r="D51" s="4" t="s">
        <v>13</v>
      </c>
      <c r="E51" s="41">
        <v>144630000</v>
      </c>
      <c r="F51" s="5">
        <v>0</v>
      </c>
      <c r="G51" s="47">
        <v>0</v>
      </c>
      <c r="H51" s="4" t="s">
        <v>0</v>
      </c>
      <c r="I51" s="37" t="s">
        <v>14</v>
      </c>
      <c r="J51" s="6"/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-144630000</v>
      </c>
      <c r="S51" s="5">
        <v>0</v>
      </c>
      <c r="T51" s="5"/>
      <c r="U51" s="32">
        <f t="shared" ref="U51:U82" si="2">E51+K51+L51+M51+N51+O51+P51+Q51+R51</f>
        <v>0</v>
      </c>
    </row>
    <row r="52" spans="1:21" s="7" customFormat="1" ht="15.95" customHeight="1">
      <c r="A52" s="21" t="s">
        <v>27</v>
      </c>
      <c r="B52" s="22" t="s">
        <v>9</v>
      </c>
      <c r="C52" s="4" t="s">
        <v>32</v>
      </c>
      <c r="D52" s="4" t="s">
        <v>9</v>
      </c>
      <c r="E52" s="5">
        <v>14450000</v>
      </c>
      <c r="F52" s="5">
        <v>0</v>
      </c>
      <c r="G52" s="47">
        <v>0</v>
      </c>
      <c r="H52" s="4" t="s">
        <v>9</v>
      </c>
      <c r="I52" s="4" t="s">
        <v>9</v>
      </c>
      <c r="J52" s="6"/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f>-14450000</f>
        <v>-14450000</v>
      </c>
      <c r="S52" s="5">
        <v>0</v>
      </c>
      <c r="T52" s="5"/>
      <c r="U52" s="5">
        <f t="shared" si="2"/>
        <v>0</v>
      </c>
    </row>
    <row r="53" spans="1:21" s="7" customFormat="1" ht="15.95" customHeight="1">
      <c r="A53" s="21" t="s">
        <v>27</v>
      </c>
      <c r="B53" s="22" t="s">
        <v>9</v>
      </c>
      <c r="C53" s="4" t="s">
        <v>33</v>
      </c>
      <c r="D53" s="4" t="s">
        <v>9</v>
      </c>
      <c r="E53" s="5">
        <v>6338300</v>
      </c>
      <c r="F53" s="5">
        <v>0</v>
      </c>
      <c r="G53" s="47">
        <v>0</v>
      </c>
      <c r="H53" s="4" t="s">
        <v>9</v>
      </c>
      <c r="I53" s="4" t="s">
        <v>9</v>
      </c>
      <c r="J53" s="6"/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-6338300</v>
      </c>
      <c r="S53" s="5">
        <v>0</v>
      </c>
      <c r="T53" s="5"/>
      <c r="U53" s="5">
        <f t="shared" si="2"/>
        <v>0</v>
      </c>
    </row>
    <row r="54" spans="1:21" s="7" customFormat="1" ht="15.95" customHeight="1">
      <c r="A54" s="21" t="s">
        <v>27</v>
      </c>
      <c r="B54" s="22" t="s">
        <v>9</v>
      </c>
      <c r="C54" s="4" t="s">
        <v>34</v>
      </c>
      <c r="D54" s="4" t="s">
        <v>9</v>
      </c>
      <c r="E54" s="5">
        <v>39100</v>
      </c>
      <c r="F54" s="5">
        <v>0</v>
      </c>
      <c r="G54" s="47">
        <v>0</v>
      </c>
      <c r="H54" s="4" t="s">
        <v>9</v>
      </c>
      <c r="I54" s="4" t="s">
        <v>9</v>
      </c>
      <c r="J54" s="6"/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-39100</v>
      </c>
      <c r="S54" s="5">
        <v>0</v>
      </c>
      <c r="T54" s="5"/>
      <c r="U54" s="5">
        <f t="shared" si="2"/>
        <v>0</v>
      </c>
    </row>
    <row r="55" spans="1:21" s="7" customFormat="1" ht="15.95" customHeight="1">
      <c r="A55" s="21" t="s">
        <v>27</v>
      </c>
      <c r="B55" s="22" t="s">
        <v>9</v>
      </c>
      <c r="C55" s="4" t="s">
        <v>8</v>
      </c>
      <c r="D55" s="4" t="s">
        <v>9</v>
      </c>
      <c r="E55" s="5">
        <v>3000000</v>
      </c>
      <c r="F55" s="5">
        <v>0</v>
      </c>
      <c r="G55" s="47">
        <v>0</v>
      </c>
      <c r="H55" s="4" t="s">
        <v>9</v>
      </c>
      <c r="I55" s="4" t="s">
        <v>9</v>
      </c>
      <c r="J55" s="6"/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/>
      <c r="U55" s="5">
        <f t="shared" si="2"/>
        <v>3000000</v>
      </c>
    </row>
    <row r="56" spans="1:21" s="7" customFormat="1" ht="15.95" customHeight="1">
      <c r="A56" s="21" t="s">
        <v>27</v>
      </c>
      <c r="B56" s="22" t="s">
        <v>9</v>
      </c>
      <c r="C56" s="4" t="s">
        <v>35</v>
      </c>
      <c r="D56" s="4" t="s">
        <v>9</v>
      </c>
      <c r="E56" s="5">
        <v>15550</v>
      </c>
      <c r="F56" s="5">
        <v>0</v>
      </c>
      <c r="G56" s="47">
        <v>0</v>
      </c>
      <c r="H56" s="4" t="s">
        <v>9</v>
      </c>
      <c r="I56" s="4" t="s">
        <v>9</v>
      </c>
      <c r="J56" s="6"/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-15550</v>
      </c>
      <c r="S56" s="5">
        <v>0</v>
      </c>
      <c r="T56" s="5"/>
      <c r="U56" s="5">
        <f t="shared" si="2"/>
        <v>0</v>
      </c>
    </row>
    <row r="57" spans="1:21" s="7" customFormat="1" ht="15.95" customHeight="1">
      <c r="A57" s="21" t="s">
        <v>27</v>
      </c>
      <c r="B57" s="22" t="s">
        <v>9</v>
      </c>
      <c r="C57" s="4" t="s">
        <v>61</v>
      </c>
      <c r="D57" s="4" t="s">
        <v>9</v>
      </c>
      <c r="E57" s="5">
        <v>778500</v>
      </c>
      <c r="F57" s="5">
        <v>0</v>
      </c>
      <c r="G57" s="5">
        <v>0</v>
      </c>
      <c r="H57" s="4" t="s">
        <v>9</v>
      </c>
      <c r="I57" s="4" t="s">
        <v>9</v>
      </c>
      <c r="J57" s="6"/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-778500</v>
      </c>
      <c r="S57" s="5">
        <v>0</v>
      </c>
      <c r="T57" s="5"/>
      <c r="U57" s="5">
        <f t="shared" si="2"/>
        <v>0</v>
      </c>
    </row>
    <row r="58" spans="1:21" s="7" customFormat="1" ht="15.95" customHeight="1">
      <c r="A58" s="21" t="s">
        <v>27</v>
      </c>
      <c r="B58" s="22" t="s">
        <v>9</v>
      </c>
      <c r="C58" s="4" t="s">
        <v>3</v>
      </c>
      <c r="D58" s="4" t="s">
        <v>9</v>
      </c>
      <c r="E58" s="5">
        <v>352765</v>
      </c>
      <c r="F58" s="5">
        <v>0</v>
      </c>
      <c r="G58" s="47">
        <v>0</v>
      </c>
      <c r="H58" s="4" t="s">
        <v>9</v>
      </c>
      <c r="I58" s="4" t="s">
        <v>9</v>
      </c>
      <c r="J58" s="6"/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-352765</v>
      </c>
      <c r="S58" s="5">
        <v>0</v>
      </c>
      <c r="T58" s="5"/>
      <c r="U58" s="5">
        <f t="shared" si="2"/>
        <v>0</v>
      </c>
    </row>
    <row r="59" spans="1:21" s="7" customFormat="1" ht="15.95" customHeight="1">
      <c r="A59" s="33" t="s">
        <v>27</v>
      </c>
      <c r="B59" s="22" t="s">
        <v>9</v>
      </c>
      <c r="C59" s="4" t="s">
        <v>36</v>
      </c>
      <c r="D59" s="4" t="s">
        <v>9</v>
      </c>
      <c r="E59" s="5">
        <v>146401</v>
      </c>
      <c r="F59" s="5">
        <v>0</v>
      </c>
      <c r="G59" s="47">
        <v>0</v>
      </c>
      <c r="H59" s="4" t="s">
        <v>9</v>
      </c>
      <c r="I59" s="4" t="s">
        <v>9</v>
      </c>
      <c r="J59" s="6"/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-146401</v>
      </c>
      <c r="S59" s="5">
        <v>0</v>
      </c>
      <c r="T59" s="5"/>
      <c r="U59" s="5">
        <f t="shared" si="2"/>
        <v>0</v>
      </c>
    </row>
    <row r="60" spans="1:21" s="7" customFormat="1" ht="15.95" customHeight="1">
      <c r="A60" s="21" t="s">
        <v>27</v>
      </c>
      <c r="B60" s="22" t="s">
        <v>9</v>
      </c>
      <c r="C60" s="4" t="s">
        <v>65</v>
      </c>
      <c r="D60" s="4" t="s">
        <v>9</v>
      </c>
      <c r="E60" s="5">
        <v>398000</v>
      </c>
      <c r="F60" s="5">
        <v>0</v>
      </c>
      <c r="G60" s="47">
        <v>0</v>
      </c>
      <c r="H60" s="4" t="s">
        <v>9</v>
      </c>
      <c r="I60" s="4" t="s">
        <v>9</v>
      </c>
      <c r="J60" s="6"/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-398000</v>
      </c>
      <c r="S60" s="5">
        <v>0</v>
      </c>
      <c r="T60" s="5"/>
      <c r="U60" s="5">
        <f t="shared" si="2"/>
        <v>0</v>
      </c>
    </row>
    <row r="61" spans="1:21" s="7" customFormat="1" ht="15.95" customHeight="1">
      <c r="A61" s="21" t="s">
        <v>27</v>
      </c>
      <c r="B61" s="22" t="s">
        <v>9</v>
      </c>
      <c r="C61" s="4" t="s">
        <v>60</v>
      </c>
      <c r="D61" s="4" t="s">
        <v>9</v>
      </c>
      <c r="E61" s="5">
        <v>2893700</v>
      </c>
      <c r="F61" s="5">
        <v>0</v>
      </c>
      <c r="G61" s="47">
        <v>0</v>
      </c>
      <c r="H61" s="4" t="s">
        <v>9</v>
      </c>
      <c r="I61" s="4" t="s">
        <v>9</v>
      </c>
      <c r="J61" s="6"/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-2893700</v>
      </c>
      <c r="S61" s="5">
        <v>0</v>
      </c>
      <c r="T61" s="5"/>
      <c r="U61" s="5">
        <f t="shared" si="2"/>
        <v>0</v>
      </c>
    </row>
    <row r="62" spans="1:21" s="7" customFormat="1" ht="15.95" customHeight="1">
      <c r="A62" s="21" t="s">
        <v>27</v>
      </c>
      <c r="B62" s="22" t="s">
        <v>9</v>
      </c>
      <c r="C62" s="4" t="s">
        <v>37</v>
      </c>
      <c r="D62" s="4" t="s">
        <v>9</v>
      </c>
      <c r="E62" s="5">
        <v>0</v>
      </c>
      <c r="F62" s="5">
        <v>0</v>
      </c>
      <c r="G62" s="47">
        <v>0</v>
      </c>
      <c r="H62" s="4" t="s">
        <v>9</v>
      </c>
      <c r="I62" s="4" t="s">
        <v>9</v>
      </c>
      <c r="J62" s="6"/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/>
      <c r="U62" s="5">
        <f t="shared" si="2"/>
        <v>0</v>
      </c>
    </row>
    <row r="63" spans="1:21" s="7" customFormat="1" ht="15.95" customHeight="1">
      <c r="A63" s="21" t="s">
        <v>27</v>
      </c>
      <c r="B63" s="22" t="s">
        <v>9</v>
      </c>
      <c r="C63" s="4" t="s">
        <v>38</v>
      </c>
      <c r="D63" s="4" t="s">
        <v>9</v>
      </c>
      <c r="E63" s="5">
        <v>0</v>
      </c>
      <c r="F63" s="5">
        <v>0</v>
      </c>
      <c r="G63" s="47">
        <v>0</v>
      </c>
      <c r="H63" s="4" t="s">
        <v>9</v>
      </c>
      <c r="I63" s="4" t="s">
        <v>9</v>
      </c>
      <c r="J63" s="6"/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/>
      <c r="U63" s="5">
        <f t="shared" si="2"/>
        <v>0</v>
      </c>
    </row>
    <row r="64" spans="1:21" s="7" customFormat="1" ht="15.95" customHeight="1">
      <c r="A64" s="33" t="s">
        <v>27</v>
      </c>
      <c r="B64" s="22" t="s">
        <v>9</v>
      </c>
      <c r="C64" s="4" t="s">
        <v>39</v>
      </c>
      <c r="D64" s="4" t="s">
        <v>9</v>
      </c>
      <c r="E64" s="5">
        <v>32662441.840000004</v>
      </c>
      <c r="F64" s="5">
        <v>0</v>
      </c>
      <c r="G64" s="47">
        <v>0</v>
      </c>
      <c r="H64" s="4" t="s">
        <v>9</v>
      </c>
      <c r="I64" s="4" t="s">
        <v>9</v>
      </c>
      <c r="J64" s="6"/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-32662441.84</v>
      </c>
      <c r="S64" s="5">
        <v>0</v>
      </c>
      <c r="T64" s="5"/>
      <c r="U64" s="5">
        <f t="shared" si="2"/>
        <v>0</v>
      </c>
    </row>
    <row r="65" spans="1:22" s="7" customFormat="1" ht="15.95" customHeight="1">
      <c r="A65" s="3" t="s">
        <v>1</v>
      </c>
      <c r="B65" s="23">
        <v>2020</v>
      </c>
      <c r="C65" s="4" t="s">
        <v>12</v>
      </c>
      <c r="D65" s="4" t="s">
        <v>42</v>
      </c>
      <c r="E65" s="35">
        <v>8124732</v>
      </c>
      <c r="F65" s="5">
        <v>0</v>
      </c>
      <c r="G65" s="47">
        <v>0</v>
      </c>
      <c r="H65" s="4" t="s">
        <v>0</v>
      </c>
      <c r="I65" s="27" t="s">
        <v>41</v>
      </c>
      <c r="J65" s="6"/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/>
      <c r="U65" s="5">
        <f t="shared" si="2"/>
        <v>8124732</v>
      </c>
    </row>
    <row r="66" spans="1:22" s="7" customFormat="1" ht="15.95" customHeight="1">
      <c r="A66" s="3" t="s">
        <v>4</v>
      </c>
      <c r="B66" s="23">
        <v>2023</v>
      </c>
      <c r="C66" s="24" t="s">
        <v>158</v>
      </c>
      <c r="D66" s="1" t="s">
        <v>159</v>
      </c>
      <c r="E66" s="5">
        <v>317650000</v>
      </c>
      <c r="F66" s="5">
        <v>0</v>
      </c>
      <c r="G66" s="47">
        <v>0</v>
      </c>
      <c r="H66" s="24" t="s">
        <v>4</v>
      </c>
      <c r="I66" s="1" t="s">
        <v>6</v>
      </c>
      <c r="J66" t="s">
        <v>9</v>
      </c>
      <c r="K66" s="5">
        <v>-317650000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/>
      <c r="U66" s="5">
        <f t="shared" si="2"/>
        <v>0</v>
      </c>
      <c r="V66" s="44" t="s">
        <v>9</v>
      </c>
    </row>
    <row r="67" spans="1:22" s="7" customFormat="1" ht="15.95" customHeight="1">
      <c r="A67" s="3" t="s">
        <v>4</v>
      </c>
      <c r="B67" s="23">
        <v>2024</v>
      </c>
      <c r="C67" s="24" t="s">
        <v>208</v>
      </c>
      <c r="D67" s="1" t="s">
        <v>107</v>
      </c>
      <c r="E67" s="5">
        <v>640000</v>
      </c>
      <c r="F67" s="5">
        <v>0</v>
      </c>
      <c r="G67" s="5">
        <v>0</v>
      </c>
      <c r="H67" s="24" t="s">
        <v>4</v>
      </c>
      <c r="I67" s="1" t="s">
        <v>6</v>
      </c>
      <c r="J67" t="s">
        <v>9</v>
      </c>
      <c r="K67" s="5">
        <v>-640000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/>
      <c r="U67" s="5">
        <f t="shared" si="2"/>
        <v>0</v>
      </c>
    </row>
    <row r="68" spans="1:22" s="7" customFormat="1" ht="15.95" customHeight="1">
      <c r="A68" s="3" t="s">
        <v>4</v>
      </c>
      <c r="B68" s="23">
        <v>2024</v>
      </c>
      <c r="C68" s="24" t="s">
        <v>208</v>
      </c>
      <c r="D68" s="1" t="s">
        <v>77</v>
      </c>
      <c r="E68" s="5">
        <v>480000</v>
      </c>
      <c r="F68" s="5">
        <v>0</v>
      </c>
      <c r="G68" s="47">
        <v>0</v>
      </c>
      <c r="H68" s="24" t="s">
        <v>4</v>
      </c>
      <c r="I68" s="1" t="s">
        <v>6</v>
      </c>
      <c r="J68" t="s">
        <v>9</v>
      </c>
      <c r="K68" s="5">
        <v>-480000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/>
      <c r="U68" s="5">
        <f t="shared" si="2"/>
        <v>0</v>
      </c>
    </row>
    <row r="69" spans="1:22" s="7" customFormat="1" ht="15.95" customHeight="1">
      <c r="A69" s="3" t="s">
        <v>4</v>
      </c>
      <c r="B69" s="23">
        <v>2024</v>
      </c>
      <c r="C69" s="24" t="s">
        <v>208</v>
      </c>
      <c r="D69" s="1" t="s">
        <v>108</v>
      </c>
      <c r="E69" s="5">
        <v>820000</v>
      </c>
      <c r="F69" s="5">
        <v>0</v>
      </c>
      <c r="G69" s="47">
        <v>0</v>
      </c>
      <c r="H69" s="24" t="s">
        <v>4</v>
      </c>
      <c r="I69" s="1" t="s">
        <v>6</v>
      </c>
      <c r="J69" t="s">
        <v>9</v>
      </c>
      <c r="K69" s="5">
        <v>-820000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/>
      <c r="U69" s="5">
        <f t="shared" si="2"/>
        <v>0</v>
      </c>
    </row>
    <row r="70" spans="1:22" s="7" customFormat="1" ht="15.95" customHeight="1">
      <c r="A70" s="3" t="s">
        <v>4</v>
      </c>
      <c r="B70" s="23">
        <v>2024</v>
      </c>
      <c r="C70" s="24" t="s">
        <v>208</v>
      </c>
      <c r="D70" s="1" t="s">
        <v>109</v>
      </c>
      <c r="E70" s="5">
        <v>2025000</v>
      </c>
      <c r="F70" s="5">
        <v>0</v>
      </c>
      <c r="G70" s="47">
        <v>0</v>
      </c>
      <c r="H70" s="24" t="s">
        <v>4</v>
      </c>
      <c r="I70" s="1" t="s">
        <v>6</v>
      </c>
      <c r="J70" t="s">
        <v>9</v>
      </c>
      <c r="K70" s="5">
        <v>-2025000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/>
      <c r="U70" s="5">
        <f t="shared" si="2"/>
        <v>0</v>
      </c>
    </row>
    <row r="71" spans="1:22" s="7" customFormat="1" ht="15.95" customHeight="1">
      <c r="A71" s="3" t="s">
        <v>4</v>
      </c>
      <c r="B71" s="23">
        <v>2024</v>
      </c>
      <c r="C71" s="24" t="s">
        <v>164</v>
      </c>
      <c r="D71" s="1" t="s">
        <v>113</v>
      </c>
      <c r="E71" s="5">
        <v>6500000</v>
      </c>
      <c r="F71" s="5">
        <v>0</v>
      </c>
      <c r="G71" s="47">
        <v>0</v>
      </c>
      <c r="H71" s="24" t="s">
        <v>4</v>
      </c>
      <c r="I71" s="1" t="s">
        <v>51</v>
      </c>
      <c r="J71" t="s">
        <v>9</v>
      </c>
      <c r="K71" s="5">
        <v>0</v>
      </c>
      <c r="L71" s="5">
        <v>-6500000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/>
      <c r="U71" s="5">
        <f t="shared" si="2"/>
        <v>0</v>
      </c>
    </row>
    <row r="72" spans="1:22" s="7" customFormat="1" ht="15.95" customHeight="1">
      <c r="A72" s="3" t="s">
        <v>4</v>
      </c>
      <c r="B72" s="23">
        <v>2024</v>
      </c>
      <c r="C72" s="24" t="s">
        <v>164</v>
      </c>
      <c r="D72" s="1" t="s">
        <v>114</v>
      </c>
      <c r="E72" s="5">
        <v>5250000</v>
      </c>
      <c r="F72" s="5">
        <v>0</v>
      </c>
      <c r="G72" s="5">
        <v>0</v>
      </c>
      <c r="H72" s="24" t="s">
        <v>4</v>
      </c>
      <c r="I72" s="1" t="s">
        <v>51</v>
      </c>
      <c r="J72" t="s">
        <v>9</v>
      </c>
      <c r="K72" s="5">
        <v>0</v>
      </c>
      <c r="L72" s="5">
        <v>-5250000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/>
      <c r="U72" s="5">
        <f t="shared" si="2"/>
        <v>0</v>
      </c>
    </row>
    <row r="73" spans="1:22" s="7" customFormat="1" ht="15.95" customHeight="1">
      <c r="A73" s="3" t="s">
        <v>4</v>
      </c>
      <c r="B73" s="23">
        <v>2024</v>
      </c>
      <c r="C73" s="24" t="s">
        <v>164</v>
      </c>
      <c r="D73" s="1" t="s">
        <v>116</v>
      </c>
      <c r="E73" s="5">
        <v>66936</v>
      </c>
      <c r="F73" s="5">
        <v>0</v>
      </c>
      <c r="G73" s="47">
        <v>0</v>
      </c>
      <c r="H73" s="24" t="s">
        <v>4</v>
      </c>
      <c r="I73" s="1" t="s">
        <v>11</v>
      </c>
      <c r="J73" t="s">
        <v>9</v>
      </c>
      <c r="K73" s="5">
        <v>0</v>
      </c>
      <c r="L73" s="5">
        <v>-66936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/>
      <c r="U73" s="5">
        <f t="shared" si="2"/>
        <v>0</v>
      </c>
    </row>
    <row r="74" spans="1:22" s="7" customFormat="1" ht="15.95" customHeight="1">
      <c r="A74" s="3" t="s">
        <v>4</v>
      </c>
      <c r="B74" s="23">
        <v>2024</v>
      </c>
      <c r="C74" s="24" t="s">
        <v>164</v>
      </c>
      <c r="D74" s="1" t="s">
        <v>117</v>
      </c>
      <c r="E74" s="5">
        <v>98490</v>
      </c>
      <c r="F74" s="5">
        <v>0</v>
      </c>
      <c r="G74" s="47">
        <v>0</v>
      </c>
      <c r="H74" s="24" t="s">
        <v>4</v>
      </c>
      <c r="I74" s="1" t="s">
        <v>11</v>
      </c>
      <c r="J74" t="s">
        <v>9</v>
      </c>
      <c r="K74" s="5">
        <v>0</v>
      </c>
      <c r="L74" s="5">
        <v>-98490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/>
      <c r="U74" s="5">
        <f t="shared" si="2"/>
        <v>0</v>
      </c>
    </row>
    <row r="75" spans="1:22" s="7" customFormat="1" ht="15.95" customHeight="1">
      <c r="A75" s="3" t="s">
        <v>4</v>
      </c>
      <c r="B75" s="23">
        <v>2024</v>
      </c>
      <c r="C75" s="24" t="s">
        <v>164</v>
      </c>
      <c r="D75" s="1" t="s">
        <v>118</v>
      </c>
      <c r="E75" s="5">
        <v>66936</v>
      </c>
      <c r="F75" s="5">
        <v>0</v>
      </c>
      <c r="G75" s="47">
        <v>0</v>
      </c>
      <c r="H75" s="24" t="s">
        <v>4</v>
      </c>
      <c r="I75" s="1" t="s">
        <v>11</v>
      </c>
      <c r="J75" t="s">
        <v>9</v>
      </c>
      <c r="K75" s="5">
        <v>0</v>
      </c>
      <c r="L75" s="5">
        <v>-66936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/>
      <c r="U75" s="5">
        <f t="shared" si="2"/>
        <v>0</v>
      </c>
    </row>
    <row r="76" spans="1:22" s="7" customFormat="1" ht="15.95" customHeight="1">
      <c r="A76" s="3" t="s">
        <v>4</v>
      </c>
      <c r="B76" s="23">
        <v>2024</v>
      </c>
      <c r="C76" s="24" t="s">
        <v>164</v>
      </c>
      <c r="D76" s="1" t="s">
        <v>119</v>
      </c>
      <c r="E76" s="5">
        <v>66936</v>
      </c>
      <c r="F76" s="5">
        <v>0</v>
      </c>
      <c r="G76" s="47">
        <v>0</v>
      </c>
      <c r="H76" s="24" t="s">
        <v>4</v>
      </c>
      <c r="I76" s="1" t="s">
        <v>11</v>
      </c>
      <c r="J76" t="s">
        <v>9</v>
      </c>
      <c r="K76" s="5">
        <v>0</v>
      </c>
      <c r="L76" s="5">
        <v>-66936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/>
      <c r="U76" s="5">
        <f t="shared" si="2"/>
        <v>0</v>
      </c>
    </row>
    <row r="77" spans="1:22" s="7" customFormat="1" ht="15.95" customHeight="1">
      <c r="A77" s="3" t="s">
        <v>4</v>
      </c>
      <c r="B77" s="23">
        <v>2024</v>
      </c>
      <c r="C77" s="24" t="s">
        <v>164</v>
      </c>
      <c r="D77" s="1" t="s">
        <v>120</v>
      </c>
      <c r="E77" s="5">
        <v>66936</v>
      </c>
      <c r="F77" s="5">
        <v>0</v>
      </c>
      <c r="G77" s="47">
        <v>0</v>
      </c>
      <c r="H77" s="24" t="s">
        <v>4</v>
      </c>
      <c r="I77" s="1" t="s">
        <v>11</v>
      </c>
      <c r="J77" t="s">
        <v>9</v>
      </c>
      <c r="K77" s="5">
        <v>0</v>
      </c>
      <c r="L77" s="5">
        <v>-66936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/>
      <c r="U77" s="5">
        <f t="shared" si="2"/>
        <v>0</v>
      </c>
    </row>
    <row r="78" spans="1:22" s="7" customFormat="1" ht="15.95" customHeight="1">
      <c r="A78" s="3" t="s">
        <v>4</v>
      </c>
      <c r="B78" s="23">
        <v>2024</v>
      </c>
      <c r="C78" s="24" t="s">
        <v>164</v>
      </c>
      <c r="D78" s="1" t="s">
        <v>121</v>
      </c>
      <c r="E78" s="5">
        <v>66936</v>
      </c>
      <c r="F78" s="5">
        <v>0</v>
      </c>
      <c r="G78" s="47">
        <v>0</v>
      </c>
      <c r="H78" s="24" t="s">
        <v>4</v>
      </c>
      <c r="I78" s="1" t="s">
        <v>11</v>
      </c>
      <c r="J78" t="s">
        <v>9</v>
      </c>
      <c r="K78" s="5">
        <v>0</v>
      </c>
      <c r="L78" s="5">
        <v>-66936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/>
      <c r="U78" s="5">
        <f t="shared" si="2"/>
        <v>0</v>
      </c>
    </row>
    <row r="79" spans="1:22" s="7" customFormat="1" ht="15.95" customHeight="1">
      <c r="A79" s="3" t="s">
        <v>4</v>
      </c>
      <c r="B79" s="23">
        <v>2024</v>
      </c>
      <c r="C79" s="24" t="s">
        <v>164</v>
      </c>
      <c r="D79" s="1" t="s">
        <v>122</v>
      </c>
      <c r="E79" s="5">
        <v>66936</v>
      </c>
      <c r="F79" s="5">
        <v>0</v>
      </c>
      <c r="G79" s="47">
        <v>0</v>
      </c>
      <c r="H79" s="24" t="s">
        <v>4</v>
      </c>
      <c r="I79" s="1" t="s">
        <v>11</v>
      </c>
      <c r="J79" t="s">
        <v>9</v>
      </c>
      <c r="K79" s="5">
        <v>0</v>
      </c>
      <c r="L79" s="5">
        <v>-66936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/>
      <c r="U79" s="5">
        <f t="shared" si="2"/>
        <v>0</v>
      </c>
    </row>
    <row r="80" spans="1:22" s="7" customFormat="1" ht="15.95" customHeight="1">
      <c r="A80" s="3" t="s">
        <v>4</v>
      </c>
      <c r="B80" s="23">
        <v>2024</v>
      </c>
      <c r="C80" s="24" t="s">
        <v>160</v>
      </c>
      <c r="D80" s="1" t="s">
        <v>150</v>
      </c>
      <c r="E80" s="5">
        <v>21419217</v>
      </c>
      <c r="F80" s="5">
        <v>0</v>
      </c>
      <c r="G80" s="47">
        <v>0</v>
      </c>
      <c r="H80" s="24" t="s">
        <v>4</v>
      </c>
      <c r="I80" s="1" t="s">
        <v>6</v>
      </c>
      <c r="J80" t="s">
        <v>9</v>
      </c>
      <c r="K80" s="5">
        <v>0</v>
      </c>
      <c r="L80" s="5">
        <v>0</v>
      </c>
      <c r="M80" s="5">
        <v>-21419217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/>
      <c r="U80" s="5">
        <f t="shared" si="2"/>
        <v>0</v>
      </c>
    </row>
    <row r="81" spans="1:21" s="7" customFormat="1" ht="15.95" customHeight="1">
      <c r="A81" s="3" t="s">
        <v>4</v>
      </c>
      <c r="B81" s="23">
        <v>2024</v>
      </c>
      <c r="C81" s="24" t="s">
        <v>160</v>
      </c>
      <c r="D81" s="1" t="s">
        <v>140</v>
      </c>
      <c r="E81" s="5">
        <v>18198200</v>
      </c>
      <c r="F81" s="5">
        <v>0</v>
      </c>
      <c r="G81" s="47">
        <v>0</v>
      </c>
      <c r="H81" s="24" t="s">
        <v>4</v>
      </c>
      <c r="I81" s="1" t="s">
        <v>47</v>
      </c>
      <c r="J81" t="s">
        <v>9</v>
      </c>
      <c r="K81" s="5">
        <v>0</v>
      </c>
      <c r="L81" s="5">
        <v>0</v>
      </c>
      <c r="M81" s="5">
        <v>-18018020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/>
      <c r="U81" s="5">
        <f t="shared" si="2"/>
        <v>180180</v>
      </c>
    </row>
    <row r="82" spans="1:21" s="7" customFormat="1" ht="15.95" customHeight="1">
      <c r="A82" s="3" t="s">
        <v>4</v>
      </c>
      <c r="B82" s="23">
        <v>2024</v>
      </c>
      <c r="C82" s="24" t="s">
        <v>160</v>
      </c>
      <c r="D82" s="1" t="s">
        <v>238</v>
      </c>
      <c r="E82" s="5">
        <v>53505410</v>
      </c>
      <c r="F82" s="5">
        <v>0</v>
      </c>
      <c r="G82" s="47">
        <v>0</v>
      </c>
      <c r="H82" s="24" t="s">
        <v>4</v>
      </c>
      <c r="I82" s="1" t="s">
        <v>6</v>
      </c>
      <c r="J82" t="s">
        <v>9</v>
      </c>
      <c r="K82" s="5">
        <v>0</v>
      </c>
      <c r="L82" s="5">
        <v>0</v>
      </c>
      <c r="M82" s="5">
        <v>-53505410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/>
      <c r="U82" s="5">
        <f t="shared" si="2"/>
        <v>0</v>
      </c>
    </row>
    <row r="83" spans="1:21" s="7" customFormat="1" ht="15.95" customHeight="1">
      <c r="A83" s="3" t="s">
        <v>4</v>
      </c>
      <c r="B83" s="23">
        <v>2024</v>
      </c>
      <c r="C83" s="24" t="s">
        <v>100</v>
      </c>
      <c r="D83" s="1" t="s">
        <v>161</v>
      </c>
      <c r="E83" s="5">
        <v>749999</v>
      </c>
      <c r="F83" s="5">
        <v>0</v>
      </c>
      <c r="G83" s="47">
        <v>0</v>
      </c>
      <c r="H83" s="24" t="s">
        <v>4</v>
      </c>
      <c r="I83" s="1" t="s">
        <v>2</v>
      </c>
      <c r="J83" t="s">
        <v>9</v>
      </c>
      <c r="K83" s="5">
        <v>0</v>
      </c>
      <c r="L83" s="5">
        <v>-675675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/>
      <c r="U83" s="5">
        <f t="shared" ref="U83:U114" si="3">E83+K83+L83+M83+N83+O83+P83+Q83+R83</f>
        <v>74324</v>
      </c>
    </row>
    <row r="84" spans="1:21" s="7" customFormat="1" ht="15.95" customHeight="1">
      <c r="A84" s="3" t="s">
        <v>4</v>
      </c>
      <c r="B84" s="23">
        <v>2024</v>
      </c>
      <c r="C84" s="24" t="s">
        <v>62</v>
      </c>
      <c r="D84" t="s">
        <v>162</v>
      </c>
      <c r="E84" s="5">
        <v>250000000</v>
      </c>
      <c r="F84" s="5">
        <v>0</v>
      </c>
      <c r="G84" s="47">
        <v>0</v>
      </c>
      <c r="H84" s="24" t="s">
        <v>4</v>
      </c>
      <c r="I84" s="1" t="s">
        <v>51</v>
      </c>
      <c r="J84" t="s">
        <v>9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/>
      <c r="U84" s="5">
        <f t="shared" si="3"/>
        <v>250000000</v>
      </c>
    </row>
    <row r="85" spans="1:21" s="7" customFormat="1" ht="15.95" customHeight="1">
      <c r="A85" s="3" t="s">
        <v>4</v>
      </c>
      <c r="B85" s="23">
        <v>2024</v>
      </c>
      <c r="C85" s="24" t="s">
        <v>62</v>
      </c>
      <c r="D85" t="s">
        <v>163</v>
      </c>
      <c r="E85" s="5">
        <v>262137500</v>
      </c>
      <c r="F85" s="5">
        <v>0</v>
      </c>
      <c r="G85" s="47">
        <v>0</v>
      </c>
      <c r="H85" s="24" t="s">
        <v>4</v>
      </c>
      <c r="I85" s="1" t="s">
        <v>40</v>
      </c>
      <c r="J85" t="s">
        <v>9</v>
      </c>
      <c r="K85" s="5">
        <v>-262137500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/>
      <c r="U85" s="5">
        <f t="shared" si="3"/>
        <v>0</v>
      </c>
    </row>
    <row r="86" spans="1:21" s="7" customFormat="1" ht="15.95" customHeight="1">
      <c r="A86" s="3" t="s">
        <v>4</v>
      </c>
      <c r="B86" s="23">
        <v>2025</v>
      </c>
      <c r="C86" s="24" t="s">
        <v>272</v>
      </c>
      <c r="D86" t="s">
        <v>269</v>
      </c>
      <c r="E86" s="5">
        <v>0</v>
      </c>
      <c r="F86" s="5">
        <v>0</v>
      </c>
      <c r="G86" s="47">
        <v>0</v>
      </c>
      <c r="H86" s="24" t="s">
        <v>4</v>
      </c>
      <c r="I86" s="1" t="s">
        <v>10</v>
      </c>
      <c r="J86" t="s">
        <v>9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3595000</v>
      </c>
      <c r="S86" s="5">
        <v>0</v>
      </c>
      <c r="T86" s="5"/>
      <c r="U86" s="5">
        <f t="shared" si="3"/>
        <v>3595000</v>
      </c>
    </row>
    <row r="87" spans="1:21" s="7" customFormat="1" ht="15.95" customHeight="1">
      <c r="A87" s="3" t="s">
        <v>4</v>
      </c>
      <c r="B87" s="23">
        <v>2025</v>
      </c>
      <c r="C87" s="24" t="s">
        <v>272</v>
      </c>
      <c r="D87" t="s">
        <v>332</v>
      </c>
      <c r="E87" s="5">
        <v>0</v>
      </c>
      <c r="F87" s="5">
        <v>0</v>
      </c>
      <c r="G87" s="47">
        <v>0</v>
      </c>
      <c r="H87" s="24" t="s">
        <v>4</v>
      </c>
      <c r="I87" s="1" t="s">
        <v>40</v>
      </c>
      <c r="J87" t="s">
        <v>9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190650000</v>
      </c>
      <c r="S87" s="5">
        <v>0</v>
      </c>
      <c r="T87" s="5"/>
      <c r="U87" s="5">
        <f t="shared" si="3"/>
        <v>190650000</v>
      </c>
    </row>
    <row r="88" spans="1:21" s="7" customFormat="1" ht="15.95" customHeight="1">
      <c r="A88" s="3" t="s">
        <v>4</v>
      </c>
      <c r="B88" s="23">
        <v>2025</v>
      </c>
      <c r="C88" s="24" t="s">
        <v>273</v>
      </c>
      <c r="D88" t="s">
        <v>270</v>
      </c>
      <c r="E88" s="5">
        <v>0</v>
      </c>
      <c r="F88" s="5">
        <v>0</v>
      </c>
      <c r="G88" s="47">
        <v>0</v>
      </c>
      <c r="H88" s="24" t="s">
        <v>4</v>
      </c>
      <c r="I88" s="1" t="s">
        <v>261</v>
      </c>
      <c r="J88" t="s">
        <v>9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7000000</v>
      </c>
      <c r="S88" s="5">
        <v>0</v>
      </c>
      <c r="T88" s="5"/>
      <c r="U88" s="5">
        <f t="shared" si="3"/>
        <v>7000000</v>
      </c>
    </row>
    <row r="89" spans="1:21" s="7" customFormat="1" ht="15.95" customHeight="1">
      <c r="A89" s="3" t="s">
        <v>4</v>
      </c>
      <c r="B89" s="23">
        <v>2025</v>
      </c>
      <c r="C89" s="24" t="s">
        <v>274</v>
      </c>
      <c r="D89" t="s">
        <v>271</v>
      </c>
      <c r="E89" s="5">
        <v>0</v>
      </c>
      <c r="F89" s="5">
        <v>0</v>
      </c>
      <c r="G89" s="47">
        <v>0</v>
      </c>
      <c r="H89" s="24" t="s">
        <v>4</v>
      </c>
      <c r="I89" s="1" t="s">
        <v>43</v>
      </c>
      <c r="J89" t="s">
        <v>9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1678046</v>
      </c>
      <c r="S89" s="5">
        <v>0</v>
      </c>
      <c r="T89" s="5"/>
      <c r="U89" s="5">
        <f t="shared" si="3"/>
        <v>1678046</v>
      </c>
    </row>
    <row r="90" spans="1:21" s="7" customFormat="1" ht="15.95" customHeight="1">
      <c r="A90" s="3" t="s">
        <v>4</v>
      </c>
      <c r="B90" s="23">
        <v>2025</v>
      </c>
      <c r="C90" s="24" t="s">
        <v>274</v>
      </c>
      <c r="D90" t="s">
        <v>268</v>
      </c>
      <c r="E90" s="5">
        <v>0</v>
      </c>
      <c r="F90" s="5">
        <v>0</v>
      </c>
      <c r="G90" s="47">
        <v>0</v>
      </c>
      <c r="H90" s="24" t="s">
        <v>4</v>
      </c>
      <c r="I90" s="1" t="s">
        <v>6</v>
      </c>
      <c r="J90" t="s">
        <v>9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1231050</v>
      </c>
      <c r="S90" s="5">
        <v>0</v>
      </c>
      <c r="T90" s="5"/>
      <c r="U90" s="5">
        <f t="shared" si="3"/>
        <v>1231050</v>
      </c>
    </row>
    <row r="91" spans="1:21" s="7" customFormat="1" ht="15.95" customHeight="1">
      <c r="A91" s="3" t="s">
        <v>4</v>
      </c>
      <c r="B91" s="23">
        <v>2025</v>
      </c>
      <c r="C91" s="24" t="s">
        <v>274</v>
      </c>
      <c r="D91" t="s">
        <v>285</v>
      </c>
      <c r="E91" s="5">
        <v>0</v>
      </c>
      <c r="F91" s="5">
        <v>0</v>
      </c>
      <c r="G91" s="47">
        <v>0</v>
      </c>
      <c r="H91" s="24" t="s">
        <v>4</v>
      </c>
      <c r="I91" s="1" t="s">
        <v>6</v>
      </c>
      <c r="J91" t="s">
        <v>9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50318850</v>
      </c>
      <c r="S91" s="5">
        <v>0</v>
      </c>
      <c r="T91" s="5"/>
      <c r="U91" s="5">
        <f t="shared" si="3"/>
        <v>50318850</v>
      </c>
    </row>
    <row r="92" spans="1:21" s="7" customFormat="1" ht="15.95" customHeight="1">
      <c r="A92" s="3" t="s">
        <v>4</v>
      </c>
      <c r="B92" s="23">
        <v>2025</v>
      </c>
      <c r="C92" s="24" t="s">
        <v>274</v>
      </c>
      <c r="D92" t="s">
        <v>277</v>
      </c>
      <c r="E92" s="5">
        <v>0</v>
      </c>
      <c r="F92" s="5">
        <v>0</v>
      </c>
      <c r="G92" s="47">
        <v>0</v>
      </c>
      <c r="H92" s="24" t="s">
        <v>4</v>
      </c>
      <c r="I92" s="1" t="s">
        <v>43</v>
      </c>
      <c r="J92" t="s">
        <v>9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155814</v>
      </c>
      <c r="S92" s="5">
        <v>0</v>
      </c>
      <c r="T92" s="5"/>
      <c r="U92" s="5">
        <f t="shared" si="3"/>
        <v>155814</v>
      </c>
    </row>
    <row r="93" spans="1:21" s="7" customFormat="1" ht="15.95" customHeight="1">
      <c r="A93" s="3" t="s">
        <v>1</v>
      </c>
      <c r="B93" s="23">
        <v>2021</v>
      </c>
      <c r="C93" s="24" t="s">
        <v>12</v>
      </c>
      <c r="D93" s="24" t="s">
        <v>12</v>
      </c>
      <c r="E93" s="26">
        <v>5483800</v>
      </c>
      <c r="F93" s="5">
        <v>0</v>
      </c>
      <c r="G93" s="47">
        <v>0</v>
      </c>
      <c r="H93" s="4" t="s">
        <v>0</v>
      </c>
      <c r="I93" s="1" t="s">
        <v>54</v>
      </c>
      <c r="J93" s="27" t="s">
        <v>9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-5483800</v>
      </c>
      <c r="S93" s="5">
        <v>0</v>
      </c>
      <c r="T93" s="5"/>
      <c r="U93" s="32">
        <f t="shared" si="3"/>
        <v>0</v>
      </c>
    </row>
    <row r="94" spans="1:21" s="7" customFormat="1" ht="15.95" customHeight="1">
      <c r="A94" s="3" t="s">
        <v>1</v>
      </c>
      <c r="B94" s="23">
        <v>2021</v>
      </c>
      <c r="C94" s="24" t="s">
        <v>12</v>
      </c>
      <c r="D94" s="24" t="s">
        <v>76</v>
      </c>
      <c r="E94" s="26">
        <v>5672024</v>
      </c>
      <c r="F94" s="5">
        <v>0</v>
      </c>
      <c r="G94" s="47">
        <v>0</v>
      </c>
      <c r="H94" s="4" t="s">
        <v>0</v>
      </c>
      <c r="I94" s="1" t="s">
        <v>44</v>
      </c>
      <c r="J94" s="27" t="s">
        <v>9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-5672024</v>
      </c>
      <c r="S94" s="5">
        <v>0</v>
      </c>
      <c r="T94" s="5"/>
      <c r="U94" s="32">
        <f t="shared" si="3"/>
        <v>0</v>
      </c>
    </row>
    <row r="95" spans="1:21" s="7" customFormat="1" ht="15.95" customHeight="1">
      <c r="A95" s="3" t="s">
        <v>1</v>
      </c>
      <c r="B95" s="23">
        <v>2021</v>
      </c>
      <c r="C95" s="24" t="s">
        <v>12</v>
      </c>
      <c r="D95" s="24" t="s">
        <v>76</v>
      </c>
      <c r="E95" s="26">
        <v>3111463</v>
      </c>
      <c r="F95" s="5">
        <v>0</v>
      </c>
      <c r="G95" s="47">
        <v>0</v>
      </c>
      <c r="H95" s="4" t="s">
        <v>0</v>
      </c>
      <c r="I95" s="1" t="s">
        <v>5</v>
      </c>
      <c r="J95" s="27" t="s">
        <v>9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-3111463</v>
      </c>
      <c r="S95" s="5">
        <v>0</v>
      </c>
      <c r="T95" s="5"/>
      <c r="U95" s="32">
        <f t="shared" si="3"/>
        <v>0</v>
      </c>
    </row>
    <row r="96" spans="1:21" s="7" customFormat="1" ht="15.95" customHeight="1">
      <c r="A96" s="3" t="s">
        <v>1</v>
      </c>
      <c r="B96" s="23">
        <v>2021</v>
      </c>
      <c r="C96" s="24" t="s">
        <v>12</v>
      </c>
      <c r="D96" s="24" t="s">
        <v>12</v>
      </c>
      <c r="E96" s="26">
        <v>27182168</v>
      </c>
      <c r="F96" s="5">
        <v>0</v>
      </c>
      <c r="G96" s="47">
        <v>0</v>
      </c>
      <c r="H96" s="4" t="s">
        <v>0</v>
      </c>
      <c r="I96" s="1" t="s">
        <v>45</v>
      </c>
      <c r="J96" s="27" t="s">
        <v>9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-27182168</v>
      </c>
      <c r="S96" s="5">
        <v>0</v>
      </c>
      <c r="T96" s="5"/>
      <c r="U96" s="32">
        <f t="shared" si="3"/>
        <v>0</v>
      </c>
    </row>
    <row r="97" spans="1:21" s="7" customFormat="1" ht="15.95" customHeight="1">
      <c r="A97" s="3" t="s">
        <v>1</v>
      </c>
      <c r="B97" s="23">
        <v>2021</v>
      </c>
      <c r="C97" s="24" t="s">
        <v>12</v>
      </c>
      <c r="D97" s="24" t="s">
        <v>12</v>
      </c>
      <c r="E97" s="26">
        <v>7539477</v>
      </c>
      <c r="F97" s="5">
        <v>0</v>
      </c>
      <c r="G97" s="47">
        <v>0</v>
      </c>
      <c r="H97" s="4" t="s">
        <v>0</v>
      </c>
      <c r="I97" s="1" t="s">
        <v>52</v>
      </c>
      <c r="J97" s="27" t="s">
        <v>9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-7539477</v>
      </c>
      <c r="S97" s="5">
        <v>0</v>
      </c>
      <c r="T97" s="5"/>
      <c r="U97" s="32">
        <f t="shared" si="3"/>
        <v>0</v>
      </c>
    </row>
    <row r="98" spans="1:21" s="7" customFormat="1" ht="15.95" customHeight="1">
      <c r="A98" s="3" t="s">
        <v>1</v>
      </c>
      <c r="B98" s="23">
        <v>2021</v>
      </c>
      <c r="C98" s="24" t="s">
        <v>12</v>
      </c>
      <c r="D98" s="24" t="s">
        <v>76</v>
      </c>
      <c r="E98" s="26">
        <v>109793300</v>
      </c>
      <c r="F98" s="5">
        <v>0</v>
      </c>
      <c r="G98" s="47">
        <v>0</v>
      </c>
      <c r="H98" s="4" t="s">
        <v>0</v>
      </c>
      <c r="I98" s="1" t="s">
        <v>46</v>
      </c>
      <c r="J98" s="27" t="s">
        <v>9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-30000000</v>
      </c>
      <c r="S98" s="5">
        <v>0</v>
      </c>
      <c r="T98" s="5"/>
      <c r="U98" s="5">
        <f t="shared" si="3"/>
        <v>79793300</v>
      </c>
    </row>
    <row r="99" spans="1:21" s="7" customFormat="1" ht="15.95" customHeight="1">
      <c r="A99" s="3" t="s">
        <v>1</v>
      </c>
      <c r="B99" s="23">
        <v>2022</v>
      </c>
      <c r="C99" s="24" t="s">
        <v>12</v>
      </c>
      <c r="D99" s="27" t="s">
        <v>74</v>
      </c>
      <c r="E99" s="26">
        <v>4403000</v>
      </c>
      <c r="F99" s="5">
        <v>0</v>
      </c>
      <c r="G99" s="47">
        <v>0</v>
      </c>
      <c r="H99" s="4" t="s">
        <v>0</v>
      </c>
      <c r="I99" s="1" t="s">
        <v>56</v>
      </c>
      <c r="J99" s="27" t="s">
        <v>9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-4403000</v>
      </c>
      <c r="S99" s="5">
        <v>0</v>
      </c>
      <c r="T99" s="5"/>
      <c r="U99" s="32">
        <f t="shared" si="3"/>
        <v>0</v>
      </c>
    </row>
    <row r="100" spans="1:21" s="7" customFormat="1" ht="15.95" customHeight="1">
      <c r="A100" s="3" t="s">
        <v>1</v>
      </c>
      <c r="B100" s="23">
        <v>2022</v>
      </c>
      <c r="C100" s="24" t="s">
        <v>12</v>
      </c>
      <c r="D100" s="27" t="s">
        <v>63</v>
      </c>
      <c r="E100" s="26">
        <v>275647507</v>
      </c>
      <c r="F100" s="5">
        <v>0</v>
      </c>
      <c r="G100" s="5">
        <v>0</v>
      </c>
      <c r="H100" s="4" t="s">
        <v>0</v>
      </c>
      <c r="I100" s="1" t="s">
        <v>57</v>
      </c>
      <c r="J100" s="27" t="s">
        <v>9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/>
      <c r="U100" s="5">
        <f t="shared" si="3"/>
        <v>275647507</v>
      </c>
    </row>
    <row r="101" spans="1:21" s="7" customFormat="1" ht="15.95" customHeight="1">
      <c r="A101" s="3" t="s">
        <v>1</v>
      </c>
      <c r="B101" s="23">
        <v>2022</v>
      </c>
      <c r="C101" s="24" t="s">
        <v>12</v>
      </c>
      <c r="D101" s="24" t="s">
        <v>76</v>
      </c>
      <c r="E101" s="26">
        <v>6230368</v>
      </c>
      <c r="F101" s="5">
        <v>0</v>
      </c>
      <c r="G101" s="5">
        <v>0</v>
      </c>
      <c r="H101" s="4" t="s">
        <v>0</v>
      </c>
      <c r="I101" s="1" t="s">
        <v>53</v>
      </c>
      <c r="J101" s="27" t="s">
        <v>9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-6230368</v>
      </c>
      <c r="S101" s="5">
        <v>0</v>
      </c>
      <c r="T101" s="5"/>
      <c r="U101" s="32">
        <f t="shared" si="3"/>
        <v>0</v>
      </c>
    </row>
    <row r="102" spans="1:21" s="7" customFormat="1" ht="15.95" customHeight="1">
      <c r="A102" s="3" t="s">
        <v>1</v>
      </c>
      <c r="B102" s="23">
        <v>2024</v>
      </c>
      <c r="C102" s="24" t="s">
        <v>164</v>
      </c>
      <c r="D102" s="1" t="s">
        <v>148</v>
      </c>
      <c r="E102" s="30">
        <v>14717633</v>
      </c>
      <c r="F102" s="5">
        <v>0</v>
      </c>
      <c r="G102" s="5">
        <v>0</v>
      </c>
      <c r="H102" s="4" t="s">
        <v>0</v>
      </c>
      <c r="I102" s="27" t="s">
        <v>182</v>
      </c>
      <c r="J102" s="27" t="s">
        <v>9</v>
      </c>
      <c r="K102" s="2">
        <v>0</v>
      </c>
      <c r="L102" s="5">
        <v>-14717633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/>
      <c r="U102" s="5">
        <f t="shared" si="3"/>
        <v>0</v>
      </c>
    </row>
    <row r="103" spans="1:21" s="7" customFormat="1" ht="15.95" customHeight="1">
      <c r="A103" s="3" t="s">
        <v>1</v>
      </c>
      <c r="B103" s="23">
        <v>2024</v>
      </c>
      <c r="C103" s="24" t="s">
        <v>164</v>
      </c>
      <c r="D103" s="1" t="s">
        <v>149</v>
      </c>
      <c r="E103" s="30">
        <v>5120000</v>
      </c>
      <c r="F103" s="5">
        <v>0</v>
      </c>
      <c r="G103" s="5">
        <v>0</v>
      </c>
      <c r="H103" s="4" t="s">
        <v>0</v>
      </c>
      <c r="I103" s="27" t="s">
        <v>182</v>
      </c>
      <c r="J103" s="27" t="s">
        <v>9</v>
      </c>
      <c r="K103" s="2">
        <v>0</v>
      </c>
      <c r="L103" s="5">
        <v>-5120000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/>
      <c r="U103" s="5">
        <f t="shared" si="3"/>
        <v>0</v>
      </c>
    </row>
    <row r="104" spans="1:21" s="7" customFormat="1" ht="15.95" customHeight="1">
      <c r="A104" s="3" t="s">
        <v>1</v>
      </c>
      <c r="B104" s="23">
        <v>2023</v>
      </c>
      <c r="C104" s="24" t="s">
        <v>12</v>
      </c>
      <c r="D104" s="27" t="s">
        <v>75</v>
      </c>
      <c r="E104" s="26">
        <v>10211600</v>
      </c>
      <c r="F104" s="5">
        <v>0</v>
      </c>
      <c r="G104" s="5">
        <v>0</v>
      </c>
      <c r="H104" s="4" t="s">
        <v>0</v>
      </c>
      <c r="I104" s="1" t="s">
        <v>73</v>
      </c>
      <c r="J104" s="27" t="s">
        <v>9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/>
      <c r="U104" s="5">
        <f t="shared" si="3"/>
        <v>10211600</v>
      </c>
    </row>
    <row r="105" spans="1:21" s="7" customFormat="1" ht="15.95" customHeight="1">
      <c r="A105" s="3" t="s">
        <v>1</v>
      </c>
      <c r="B105" s="23">
        <v>2023</v>
      </c>
      <c r="C105" s="24" t="s">
        <v>12</v>
      </c>
      <c r="D105" s="27" t="s">
        <v>75</v>
      </c>
      <c r="E105" s="26">
        <v>2500</v>
      </c>
      <c r="F105" s="5">
        <v>0</v>
      </c>
      <c r="G105" s="5">
        <v>0</v>
      </c>
      <c r="H105" s="4" t="s">
        <v>0</v>
      </c>
      <c r="I105" s="1" t="s">
        <v>64</v>
      </c>
      <c r="J105" s="27" t="s">
        <v>9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-2500</v>
      </c>
      <c r="S105" s="5">
        <v>0</v>
      </c>
      <c r="T105" s="5"/>
      <c r="U105" s="32">
        <f t="shared" si="3"/>
        <v>0</v>
      </c>
    </row>
    <row r="106" spans="1:21" s="7" customFormat="1" ht="15.95" customHeight="1">
      <c r="A106" s="3" t="s">
        <v>1</v>
      </c>
      <c r="B106" s="23">
        <v>2023</v>
      </c>
      <c r="C106" s="24" t="s">
        <v>12</v>
      </c>
      <c r="D106" s="27" t="s">
        <v>75</v>
      </c>
      <c r="E106" s="26">
        <v>7798061</v>
      </c>
      <c r="F106" s="5">
        <v>0</v>
      </c>
      <c r="G106" s="5">
        <v>0</v>
      </c>
      <c r="H106" s="4" t="s">
        <v>0</v>
      </c>
      <c r="I106" s="1" t="s">
        <v>68</v>
      </c>
      <c r="J106" s="27" t="s">
        <v>9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/>
      <c r="U106" s="5">
        <f t="shared" si="3"/>
        <v>7798061</v>
      </c>
    </row>
    <row r="107" spans="1:21" s="7" customFormat="1" ht="15.95" customHeight="1">
      <c r="A107" s="3" t="s">
        <v>1</v>
      </c>
      <c r="B107" s="23">
        <v>2023</v>
      </c>
      <c r="C107" s="24" t="s">
        <v>12</v>
      </c>
      <c r="D107" s="27" t="s">
        <v>75</v>
      </c>
      <c r="E107" s="26">
        <v>176833</v>
      </c>
      <c r="F107" s="5">
        <v>0</v>
      </c>
      <c r="G107" s="5">
        <v>0</v>
      </c>
      <c r="H107" s="4" t="s">
        <v>0</v>
      </c>
      <c r="I107" s="1" t="s">
        <v>67</v>
      </c>
      <c r="J107" s="27" t="s">
        <v>9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-176833</v>
      </c>
      <c r="S107" s="5">
        <v>0</v>
      </c>
      <c r="T107" s="5"/>
      <c r="U107" s="32">
        <f t="shared" si="3"/>
        <v>0</v>
      </c>
    </row>
    <row r="108" spans="1:21" s="7" customFormat="1" ht="15.95" customHeight="1">
      <c r="A108" s="3" t="s">
        <v>1</v>
      </c>
      <c r="B108" s="23">
        <v>2023</v>
      </c>
      <c r="C108" s="24" t="s">
        <v>12</v>
      </c>
      <c r="D108" s="27" t="s">
        <v>75</v>
      </c>
      <c r="E108" s="26">
        <v>2214975</v>
      </c>
      <c r="F108" s="5">
        <v>0</v>
      </c>
      <c r="G108" s="5">
        <v>0</v>
      </c>
      <c r="H108" s="4" t="s">
        <v>0</v>
      </c>
      <c r="I108" s="1" t="s">
        <v>69</v>
      </c>
      <c r="J108" s="27" t="s">
        <v>9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-2214975</v>
      </c>
      <c r="S108" s="5">
        <v>0</v>
      </c>
      <c r="T108" s="5"/>
      <c r="U108" s="32">
        <f t="shared" si="3"/>
        <v>0</v>
      </c>
    </row>
    <row r="109" spans="1:21" s="7" customFormat="1" ht="15.95" customHeight="1">
      <c r="A109" s="3" t="s">
        <v>1</v>
      </c>
      <c r="B109" s="23">
        <v>2023</v>
      </c>
      <c r="C109" s="24" t="s">
        <v>12</v>
      </c>
      <c r="D109" s="27" t="s">
        <v>75</v>
      </c>
      <c r="E109" s="26">
        <v>6328939</v>
      </c>
      <c r="F109" s="5">
        <v>0</v>
      </c>
      <c r="G109" s="5">
        <v>0</v>
      </c>
      <c r="H109" s="4" t="s">
        <v>0</v>
      </c>
      <c r="I109" s="1" t="s">
        <v>70</v>
      </c>
      <c r="J109" s="27" t="s">
        <v>9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/>
      <c r="U109" s="5">
        <f t="shared" si="3"/>
        <v>6328939</v>
      </c>
    </row>
    <row r="110" spans="1:21" s="7" customFormat="1" ht="15.95" customHeight="1">
      <c r="A110" s="3" t="s">
        <v>1</v>
      </c>
      <c r="B110" s="23">
        <v>2023</v>
      </c>
      <c r="C110" s="24" t="s">
        <v>12</v>
      </c>
      <c r="D110" s="27" t="s">
        <v>75</v>
      </c>
      <c r="E110" s="26">
        <v>82432</v>
      </c>
      <c r="F110" s="5">
        <v>0</v>
      </c>
      <c r="G110" s="5">
        <v>0</v>
      </c>
      <c r="H110" s="4" t="s">
        <v>0</v>
      </c>
      <c r="I110" s="1" t="s">
        <v>72</v>
      </c>
      <c r="J110" s="27" t="s">
        <v>9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-82432</v>
      </c>
      <c r="S110" s="5">
        <v>0</v>
      </c>
      <c r="T110" s="5"/>
      <c r="U110" s="32">
        <f t="shared" si="3"/>
        <v>0</v>
      </c>
    </row>
    <row r="111" spans="1:21" s="7" customFormat="1" ht="15.95" customHeight="1">
      <c r="A111" s="3" t="s">
        <v>1</v>
      </c>
      <c r="B111" s="23">
        <v>2023</v>
      </c>
      <c r="C111" s="24" t="s">
        <v>12</v>
      </c>
      <c r="D111" s="27" t="s">
        <v>75</v>
      </c>
      <c r="E111" s="26">
        <v>523080</v>
      </c>
      <c r="F111" s="5">
        <v>0</v>
      </c>
      <c r="G111" s="5">
        <v>0</v>
      </c>
      <c r="H111" s="4" t="s">
        <v>0</v>
      </c>
      <c r="I111" s="1" t="s">
        <v>59</v>
      </c>
      <c r="J111" s="27" t="s">
        <v>9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-523080</v>
      </c>
      <c r="S111" s="5">
        <v>0</v>
      </c>
      <c r="T111" s="5"/>
      <c r="U111" s="32">
        <f t="shared" si="3"/>
        <v>0</v>
      </c>
    </row>
    <row r="112" spans="1:21" s="7" customFormat="1" ht="15.95" customHeight="1">
      <c r="A112" s="3" t="s">
        <v>1</v>
      </c>
      <c r="B112" s="23">
        <v>2023</v>
      </c>
      <c r="C112" s="24" t="s">
        <v>12</v>
      </c>
      <c r="D112" s="27" t="s">
        <v>75</v>
      </c>
      <c r="E112" s="26">
        <v>396234</v>
      </c>
      <c r="F112" s="5">
        <v>0</v>
      </c>
      <c r="G112" s="5">
        <v>0</v>
      </c>
      <c r="H112" s="4" t="s">
        <v>0</v>
      </c>
      <c r="I112" s="1" t="s">
        <v>66</v>
      </c>
      <c r="J112" s="27" t="s">
        <v>9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-396234</v>
      </c>
      <c r="S112" s="5">
        <v>0</v>
      </c>
      <c r="T112" s="5"/>
      <c r="U112" s="32">
        <f t="shared" si="3"/>
        <v>0</v>
      </c>
    </row>
    <row r="113" spans="1:21" s="7" customFormat="1" ht="15.95" customHeight="1">
      <c r="A113" s="3" t="s">
        <v>1</v>
      </c>
      <c r="B113" s="23">
        <v>2023</v>
      </c>
      <c r="C113" s="24" t="s">
        <v>12</v>
      </c>
      <c r="D113" s="27" t="s">
        <v>75</v>
      </c>
      <c r="E113" s="26">
        <v>30000</v>
      </c>
      <c r="F113" s="5">
        <v>0</v>
      </c>
      <c r="G113" s="5">
        <v>0</v>
      </c>
      <c r="H113" s="4" t="s">
        <v>0</v>
      </c>
      <c r="I113" s="1" t="s">
        <v>71</v>
      </c>
      <c r="J113" s="27" t="s">
        <v>9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-30000</v>
      </c>
      <c r="S113" s="5">
        <v>0</v>
      </c>
      <c r="T113" s="5"/>
      <c r="U113" s="32">
        <f t="shared" si="3"/>
        <v>0</v>
      </c>
    </row>
    <row r="114" spans="1:21" s="7" customFormat="1" ht="15.95" customHeight="1">
      <c r="A114" s="3" t="s">
        <v>1</v>
      </c>
      <c r="B114" s="23">
        <v>2023</v>
      </c>
      <c r="C114" s="24" t="s">
        <v>12</v>
      </c>
      <c r="D114" s="45" t="s">
        <v>78</v>
      </c>
      <c r="E114" s="46">
        <v>68065254</v>
      </c>
      <c r="F114" s="5">
        <v>0</v>
      </c>
      <c r="G114" s="5">
        <v>0</v>
      </c>
      <c r="H114" s="4" t="s">
        <v>0</v>
      </c>
      <c r="I114" s="1" t="s">
        <v>58</v>
      </c>
      <c r="J114" s="27" t="s">
        <v>9</v>
      </c>
      <c r="K114" s="5">
        <v>0</v>
      </c>
      <c r="L114" s="5">
        <v>0</v>
      </c>
      <c r="M114" s="5">
        <v>-15415256</v>
      </c>
      <c r="N114" s="5">
        <v>0</v>
      </c>
      <c r="O114" s="5">
        <v>0</v>
      </c>
      <c r="P114" s="5">
        <v>0</v>
      </c>
      <c r="Q114" s="5">
        <v>0</v>
      </c>
      <c r="R114" s="5">
        <v>-52649998</v>
      </c>
      <c r="S114" s="5">
        <v>0</v>
      </c>
      <c r="T114" s="5"/>
      <c r="U114" s="32">
        <f t="shared" si="3"/>
        <v>0</v>
      </c>
    </row>
    <row r="115" spans="1:21" s="7" customFormat="1" ht="15.95" customHeight="1">
      <c r="A115" s="3" t="s">
        <v>1</v>
      </c>
      <c r="B115" s="23">
        <v>2024</v>
      </c>
      <c r="C115" s="24" t="s">
        <v>208</v>
      </c>
      <c r="D115" s="27" t="s">
        <v>181</v>
      </c>
      <c r="E115" s="2">
        <v>1000000</v>
      </c>
      <c r="F115" s="5">
        <v>0</v>
      </c>
      <c r="G115" s="5">
        <v>0</v>
      </c>
      <c r="H115" s="4" t="s">
        <v>0</v>
      </c>
      <c r="I115" s="27" t="s">
        <v>206</v>
      </c>
      <c r="J115" s="27" t="s">
        <v>9</v>
      </c>
      <c r="K115" s="2">
        <v>-1000000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/>
      <c r="U115" s="5">
        <f t="shared" ref="U115:U146" si="4">E115+K115+L115+M115+N115+O115+P115+Q115+R115</f>
        <v>0</v>
      </c>
    </row>
    <row r="116" spans="1:21" s="7" customFormat="1" ht="15.95" customHeight="1">
      <c r="A116" s="3" t="s">
        <v>1</v>
      </c>
      <c r="B116" s="23">
        <v>2024</v>
      </c>
      <c r="C116" s="24" t="s">
        <v>164</v>
      </c>
      <c r="D116" s="27" t="s">
        <v>110</v>
      </c>
      <c r="E116" s="2">
        <v>59934100</v>
      </c>
      <c r="F116" s="5">
        <v>0</v>
      </c>
      <c r="G116" s="5">
        <v>0</v>
      </c>
      <c r="H116" s="4" t="s">
        <v>0</v>
      </c>
      <c r="I116" s="27" t="s">
        <v>106</v>
      </c>
      <c r="J116" s="27" t="s">
        <v>9</v>
      </c>
      <c r="K116" s="5">
        <v>0</v>
      </c>
      <c r="L116" s="5">
        <v>-59934100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/>
      <c r="U116" s="5">
        <f t="shared" si="4"/>
        <v>0</v>
      </c>
    </row>
    <row r="117" spans="1:21" s="7" customFormat="1" ht="15.95" customHeight="1">
      <c r="A117" s="3" t="s">
        <v>1</v>
      </c>
      <c r="B117" s="29">
        <v>2024</v>
      </c>
      <c r="C117" s="24" t="s">
        <v>175</v>
      </c>
      <c r="D117" s="27" t="s">
        <v>210</v>
      </c>
      <c r="E117" s="30">
        <v>13200000</v>
      </c>
      <c r="F117" s="5">
        <v>0</v>
      </c>
      <c r="G117" s="5">
        <v>0</v>
      </c>
      <c r="H117" s="4" t="s">
        <v>0</v>
      </c>
      <c r="I117" s="1" t="s">
        <v>209</v>
      </c>
      <c r="J117" s="27" t="s">
        <v>9</v>
      </c>
      <c r="K117" s="5">
        <v>0</v>
      </c>
      <c r="L117" s="5">
        <v>-13200000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/>
      <c r="U117" s="5">
        <f t="shared" si="4"/>
        <v>0</v>
      </c>
    </row>
    <row r="118" spans="1:21" s="7" customFormat="1" ht="15.95" customHeight="1">
      <c r="A118" s="3" t="s">
        <v>1</v>
      </c>
      <c r="B118" s="23">
        <v>2024</v>
      </c>
      <c r="C118" s="24" t="s">
        <v>164</v>
      </c>
      <c r="D118" s="27" t="s">
        <v>111</v>
      </c>
      <c r="E118" s="2">
        <v>361900</v>
      </c>
      <c r="F118" s="5">
        <v>0</v>
      </c>
      <c r="G118" s="5">
        <v>0</v>
      </c>
      <c r="H118" s="4" t="s">
        <v>0</v>
      </c>
      <c r="I118" s="27" t="s">
        <v>93</v>
      </c>
      <c r="J118" s="27" t="s">
        <v>9</v>
      </c>
      <c r="K118" s="5">
        <v>0</v>
      </c>
      <c r="L118" s="5">
        <v>-361900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/>
      <c r="U118" s="5">
        <f t="shared" si="4"/>
        <v>0</v>
      </c>
    </row>
    <row r="119" spans="1:21" s="7" customFormat="1" ht="15.95" customHeight="1">
      <c r="A119" s="3" t="s">
        <v>1</v>
      </c>
      <c r="B119" s="23">
        <v>2024</v>
      </c>
      <c r="C119" s="24" t="s">
        <v>164</v>
      </c>
      <c r="D119" s="27" t="s">
        <v>112</v>
      </c>
      <c r="E119" s="2">
        <v>2686000</v>
      </c>
      <c r="F119" s="5">
        <v>0</v>
      </c>
      <c r="G119" s="5">
        <v>0</v>
      </c>
      <c r="H119" s="4" t="s">
        <v>0</v>
      </c>
      <c r="I119" s="27" t="s">
        <v>104</v>
      </c>
      <c r="J119" s="27" t="s">
        <v>9</v>
      </c>
      <c r="K119" s="5">
        <v>0</v>
      </c>
      <c r="L119" s="2">
        <v>-2686000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/>
      <c r="U119" s="5">
        <f t="shared" si="4"/>
        <v>0</v>
      </c>
    </row>
    <row r="120" spans="1:21" s="7" customFormat="1" ht="15.95" customHeight="1">
      <c r="A120" s="3" t="s">
        <v>1</v>
      </c>
      <c r="B120" s="23">
        <v>2024</v>
      </c>
      <c r="C120" s="24" t="s">
        <v>164</v>
      </c>
      <c r="D120" s="27" t="s">
        <v>115</v>
      </c>
      <c r="E120" s="2">
        <v>21783750</v>
      </c>
      <c r="F120" s="5">
        <v>0</v>
      </c>
      <c r="G120" s="5">
        <v>0</v>
      </c>
      <c r="H120" s="4" t="s">
        <v>0</v>
      </c>
      <c r="I120" s="27" t="s">
        <v>105</v>
      </c>
      <c r="J120" s="27" t="s">
        <v>9</v>
      </c>
      <c r="K120" s="5">
        <v>0</v>
      </c>
      <c r="L120" s="2">
        <v>-21783750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/>
      <c r="U120" s="5">
        <f t="shared" si="4"/>
        <v>0</v>
      </c>
    </row>
    <row r="121" spans="1:21" s="7" customFormat="1" ht="15.95" customHeight="1">
      <c r="A121" s="3" t="s">
        <v>1</v>
      </c>
      <c r="B121" s="23">
        <v>2024</v>
      </c>
      <c r="C121" s="24" t="s">
        <v>164</v>
      </c>
      <c r="D121" s="27" t="s">
        <v>123</v>
      </c>
      <c r="E121" s="2">
        <v>1600000</v>
      </c>
      <c r="F121" s="5">
        <v>0</v>
      </c>
      <c r="G121" s="5">
        <v>0</v>
      </c>
      <c r="H121" s="4" t="s">
        <v>0</v>
      </c>
      <c r="I121" s="27" t="s">
        <v>105</v>
      </c>
      <c r="J121" s="27" t="s">
        <v>9</v>
      </c>
      <c r="K121" s="5">
        <v>0</v>
      </c>
      <c r="L121" s="2">
        <v>-1600000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/>
      <c r="U121" s="5">
        <f t="shared" si="4"/>
        <v>0</v>
      </c>
    </row>
    <row r="122" spans="1:21" s="7" customFormat="1" ht="15.95" customHeight="1">
      <c r="A122" s="3" t="s">
        <v>1</v>
      </c>
      <c r="B122" s="23">
        <v>2024</v>
      </c>
      <c r="C122" s="24" t="s">
        <v>164</v>
      </c>
      <c r="D122" s="27" t="s">
        <v>124</v>
      </c>
      <c r="E122" s="2">
        <v>50084580</v>
      </c>
      <c r="F122" s="5">
        <v>0</v>
      </c>
      <c r="G122" s="5">
        <v>0</v>
      </c>
      <c r="H122" s="4" t="s">
        <v>0</v>
      </c>
      <c r="I122" s="27" t="s">
        <v>105</v>
      </c>
      <c r="J122" s="27" t="s">
        <v>9</v>
      </c>
      <c r="K122" s="5">
        <v>0</v>
      </c>
      <c r="L122" s="2">
        <v>-50084580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/>
      <c r="U122" s="5">
        <f t="shared" si="4"/>
        <v>0</v>
      </c>
    </row>
    <row r="123" spans="1:21" s="7" customFormat="1" ht="15.95" customHeight="1">
      <c r="A123" s="3" t="s">
        <v>1</v>
      </c>
      <c r="B123" s="23">
        <v>2024</v>
      </c>
      <c r="C123" s="24" t="s">
        <v>164</v>
      </c>
      <c r="D123" s="27" t="s">
        <v>146</v>
      </c>
      <c r="E123" s="2">
        <v>2300000</v>
      </c>
      <c r="F123" s="5">
        <v>0</v>
      </c>
      <c r="G123" s="5">
        <v>0</v>
      </c>
      <c r="H123" s="4" t="s">
        <v>0</v>
      </c>
      <c r="I123" s="27" t="s">
        <v>104</v>
      </c>
      <c r="J123" s="27" t="s">
        <v>9</v>
      </c>
      <c r="K123" s="5">
        <v>0</v>
      </c>
      <c r="L123" s="2">
        <v>-2300000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/>
      <c r="U123" s="5">
        <f t="shared" si="4"/>
        <v>0</v>
      </c>
    </row>
    <row r="124" spans="1:21" s="7" customFormat="1" ht="15.95" customHeight="1">
      <c r="A124" s="3" t="s">
        <v>1</v>
      </c>
      <c r="B124" s="23">
        <v>2024</v>
      </c>
      <c r="C124" s="24" t="s">
        <v>164</v>
      </c>
      <c r="D124" s="27" t="s">
        <v>147</v>
      </c>
      <c r="E124" s="2">
        <v>15500000</v>
      </c>
      <c r="F124" s="5">
        <v>0</v>
      </c>
      <c r="G124" s="5">
        <v>0</v>
      </c>
      <c r="H124" s="4" t="s">
        <v>0</v>
      </c>
      <c r="I124" s="27" t="s">
        <v>105</v>
      </c>
      <c r="J124" s="27" t="s">
        <v>9</v>
      </c>
      <c r="K124" s="5">
        <v>0</v>
      </c>
      <c r="L124" s="5">
        <v>-15500000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/>
      <c r="U124" s="5">
        <f t="shared" si="4"/>
        <v>0</v>
      </c>
    </row>
    <row r="125" spans="1:21" s="7" customFormat="1" ht="15.95" customHeight="1">
      <c r="A125" s="3" t="s">
        <v>1</v>
      </c>
      <c r="B125" s="23">
        <v>2024</v>
      </c>
      <c r="C125" s="24" t="s">
        <v>164</v>
      </c>
      <c r="D125" s="1" t="s">
        <v>178</v>
      </c>
      <c r="E125" s="2">
        <v>15145000</v>
      </c>
      <c r="F125" s="5">
        <v>0</v>
      </c>
      <c r="G125" s="5">
        <v>0</v>
      </c>
      <c r="H125" s="4" t="s">
        <v>0</v>
      </c>
      <c r="I125" s="27" t="s">
        <v>183</v>
      </c>
      <c r="J125" s="27" t="s">
        <v>9</v>
      </c>
      <c r="K125" s="2">
        <v>0</v>
      </c>
      <c r="L125" s="5">
        <v>-15145000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/>
      <c r="U125" s="5">
        <f t="shared" si="4"/>
        <v>0</v>
      </c>
    </row>
    <row r="126" spans="1:21" s="7" customFormat="1" ht="15.95" customHeight="1">
      <c r="A126" s="3" t="s">
        <v>1</v>
      </c>
      <c r="B126" s="23">
        <v>2024</v>
      </c>
      <c r="C126" s="24" t="s">
        <v>165</v>
      </c>
      <c r="D126" s="27" t="s">
        <v>125</v>
      </c>
      <c r="E126" s="2">
        <v>8035098</v>
      </c>
      <c r="F126" s="5">
        <v>0</v>
      </c>
      <c r="G126" s="51">
        <v>0</v>
      </c>
      <c r="H126" s="4" t="s">
        <v>0</v>
      </c>
      <c r="I126" s="27" t="s">
        <v>90</v>
      </c>
      <c r="J126" s="27" t="s">
        <v>9</v>
      </c>
      <c r="K126" s="5">
        <v>0</v>
      </c>
      <c r="L126" s="5">
        <v>0</v>
      </c>
      <c r="M126" s="26">
        <v>-8035098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/>
      <c r="U126" s="5">
        <f t="shared" si="4"/>
        <v>0</v>
      </c>
    </row>
    <row r="127" spans="1:21" s="7" customFormat="1" ht="15.95" customHeight="1">
      <c r="A127" s="3" t="s">
        <v>1</v>
      </c>
      <c r="B127" s="23">
        <v>2024</v>
      </c>
      <c r="C127" s="24" t="s">
        <v>165</v>
      </c>
      <c r="D127" s="27" t="s">
        <v>126</v>
      </c>
      <c r="E127" s="2">
        <v>5662500</v>
      </c>
      <c r="F127" s="5">
        <v>0</v>
      </c>
      <c r="G127" s="51">
        <v>0</v>
      </c>
      <c r="H127" s="4" t="s">
        <v>0</v>
      </c>
      <c r="I127" s="27" t="s">
        <v>97</v>
      </c>
      <c r="J127" s="27" t="s">
        <v>9</v>
      </c>
      <c r="K127" s="5">
        <v>0</v>
      </c>
      <c r="L127" s="5">
        <v>0</v>
      </c>
      <c r="M127" s="5">
        <v>-5662500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/>
      <c r="U127" s="5">
        <f t="shared" si="4"/>
        <v>0</v>
      </c>
    </row>
    <row r="128" spans="1:21" s="7" customFormat="1" ht="15.95" customHeight="1">
      <c r="A128" s="3" t="s">
        <v>1</v>
      </c>
      <c r="B128" s="29">
        <v>2024</v>
      </c>
      <c r="C128" s="24" t="s">
        <v>165</v>
      </c>
      <c r="D128" s="27" t="s">
        <v>127</v>
      </c>
      <c r="E128" s="2">
        <v>1067000</v>
      </c>
      <c r="F128" s="5">
        <v>0</v>
      </c>
      <c r="G128" s="51">
        <v>0</v>
      </c>
      <c r="H128" s="4" t="s">
        <v>0</v>
      </c>
      <c r="I128" s="27" t="s">
        <v>93</v>
      </c>
      <c r="J128" s="27" t="s">
        <v>9</v>
      </c>
      <c r="K128" s="5">
        <v>0</v>
      </c>
      <c r="L128" s="5">
        <v>0</v>
      </c>
      <c r="M128" s="2">
        <v>-1067000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/>
      <c r="U128" s="5">
        <f t="shared" si="4"/>
        <v>0</v>
      </c>
    </row>
    <row r="129" spans="1:21" s="7" customFormat="1" ht="15.95" customHeight="1">
      <c r="A129" s="3" t="s">
        <v>1</v>
      </c>
      <c r="B129" s="29">
        <v>2024</v>
      </c>
      <c r="C129" s="24" t="s">
        <v>165</v>
      </c>
      <c r="D129" s="27" t="s">
        <v>128</v>
      </c>
      <c r="E129" s="2">
        <v>3355964</v>
      </c>
      <c r="F129" s="5">
        <v>0</v>
      </c>
      <c r="G129" s="51">
        <v>0</v>
      </c>
      <c r="H129" s="4" t="s">
        <v>0</v>
      </c>
      <c r="I129" s="27" t="s">
        <v>91</v>
      </c>
      <c r="J129" s="27" t="s">
        <v>9</v>
      </c>
      <c r="K129" s="5">
        <v>0</v>
      </c>
      <c r="L129" s="5">
        <v>0</v>
      </c>
      <c r="M129" s="26">
        <v>-3355964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/>
      <c r="U129" s="5">
        <f t="shared" si="4"/>
        <v>0</v>
      </c>
    </row>
    <row r="130" spans="1:21" s="7" customFormat="1" ht="15.95" customHeight="1">
      <c r="A130" s="3" t="s">
        <v>1</v>
      </c>
      <c r="B130" s="29">
        <v>2024</v>
      </c>
      <c r="C130" s="24" t="s">
        <v>165</v>
      </c>
      <c r="D130" s="27" t="s">
        <v>129</v>
      </c>
      <c r="E130" s="2">
        <v>2138888</v>
      </c>
      <c r="F130" s="5">
        <v>0</v>
      </c>
      <c r="G130" s="51">
        <v>0</v>
      </c>
      <c r="H130" s="4" t="s">
        <v>0</v>
      </c>
      <c r="I130" s="27" t="s">
        <v>93</v>
      </c>
      <c r="J130" s="27" t="s">
        <v>9</v>
      </c>
      <c r="K130" s="5">
        <v>0</v>
      </c>
      <c r="L130" s="5">
        <v>0</v>
      </c>
      <c r="M130" s="2">
        <v>-2138888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/>
      <c r="U130" s="5">
        <f t="shared" si="4"/>
        <v>0</v>
      </c>
    </row>
    <row r="131" spans="1:21" s="7" customFormat="1" ht="15.95" customHeight="1">
      <c r="A131" s="3" t="s">
        <v>1</v>
      </c>
      <c r="B131" s="29">
        <v>2024</v>
      </c>
      <c r="C131" s="24" t="s">
        <v>165</v>
      </c>
      <c r="D131" s="27" t="s">
        <v>130</v>
      </c>
      <c r="E131" s="2">
        <v>5178800</v>
      </c>
      <c r="F131" s="5">
        <v>0</v>
      </c>
      <c r="G131" s="51">
        <v>0</v>
      </c>
      <c r="H131" s="4" t="s">
        <v>0</v>
      </c>
      <c r="I131" s="27" t="s">
        <v>86</v>
      </c>
      <c r="J131" s="27" t="s">
        <v>9</v>
      </c>
      <c r="K131" s="5">
        <v>0</v>
      </c>
      <c r="L131" s="5">
        <v>0</v>
      </c>
      <c r="M131" s="5">
        <v>-5178800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/>
      <c r="U131" s="5">
        <f t="shared" si="4"/>
        <v>0</v>
      </c>
    </row>
    <row r="132" spans="1:21" s="7" customFormat="1" ht="15.95" customHeight="1">
      <c r="A132" s="3" t="s">
        <v>1</v>
      </c>
      <c r="B132" s="29">
        <v>2024</v>
      </c>
      <c r="C132" s="24" t="s">
        <v>165</v>
      </c>
      <c r="D132" s="27" t="s">
        <v>131</v>
      </c>
      <c r="E132" s="2">
        <v>4901737</v>
      </c>
      <c r="F132" s="5">
        <v>0</v>
      </c>
      <c r="G132" s="47">
        <v>0</v>
      </c>
      <c r="H132" s="4" t="s">
        <v>0</v>
      </c>
      <c r="I132" s="27" t="s">
        <v>104</v>
      </c>
      <c r="J132" s="27" t="s">
        <v>9</v>
      </c>
      <c r="K132" s="5">
        <v>0</v>
      </c>
      <c r="L132" s="5">
        <v>0</v>
      </c>
      <c r="M132" s="26">
        <v>-4901737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/>
      <c r="U132" s="5">
        <f t="shared" si="4"/>
        <v>0</v>
      </c>
    </row>
    <row r="133" spans="1:21" s="7" customFormat="1" ht="15.95" customHeight="1">
      <c r="A133" s="3" t="s">
        <v>1</v>
      </c>
      <c r="B133" s="29">
        <v>2024</v>
      </c>
      <c r="C133" s="24" t="s">
        <v>165</v>
      </c>
      <c r="D133" s="27" t="s">
        <v>132</v>
      </c>
      <c r="E133" s="2">
        <v>4613332</v>
      </c>
      <c r="F133" s="5">
        <v>0</v>
      </c>
      <c r="G133" s="47">
        <v>0</v>
      </c>
      <c r="H133" s="4" t="s">
        <v>0</v>
      </c>
      <c r="I133" s="27" t="s">
        <v>104</v>
      </c>
      <c r="J133" s="27" t="s">
        <v>9</v>
      </c>
      <c r="K133" s="5">
        <v>0</v>
      </c>
      <c r="L133" s="5">
        <v>0</v>
      </c>
      <c r="M133" s="26">
        <v>-4613332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/>
      <c r="U133" s="5">
        <f t="shared" si="4"/>
        <v>0</v>
      </c>
    </row>
    <row r="134" spans="1:21" s="7" customFormat="1" ht="15.95" customHeight="1">
      <c r="A134" s="3" t="s">
        <v>1</v>
      </c>
      <c r="B134" s="29">
        <v>2024</v>
      </c>
      <c r="C134" s="24" t="s">
        <v>165</v>
      </c>
      <c r="D134" s="27" t="s">
        <v>133</v>
      </c>
      <c r="E134" s="2">
        <v>1021300</v>
      </c>
      <c r="F134" s="5">
        <v>0</v>
      </c>
      <c r="G134" s="47">
        <v>0</v>
      </c>
      <c r="H134" s="4" t="s">
        <v>0</v>
      </c>
      <c r="I134" s="27" t="s">
        <v>90</v>
      </c>
      <c r="J134" s="27" t="s">
        <v>9</v>
      </c>
      <c r="K134" s="5">
        <v>0</v>
      </c>
      <c r="L134" s="5">
        <v>0</v>
      </c>
      <c r="M134" s="5">
        <v>-1021300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/>
      <c r="U134" s="5">
        <f t="shared" si="4"/>
        <v>0</v>
      </c>
    </row>
    <row r="135" spans="1:21" s="7" customFormat="1" ht="15.95" customHeight="1">
      <c r="A135" s="3" t="s">
        <v>1</v>
      </c>
      <c r="B135" s="29">
        <v>2024</v>
      </c>
      <c r="C135" s="24" t="s">
        <v>165</v>
      </c>
      <c r="D135" s="27" t="s">
        <v>134</v>
      </c>
      <c r="E135" s="2">
        <v>2909066</v>
      </c>
      <c r="F135" s="5">
        <v>0</v>
      </c>
      <c r="G135" s="47">
        <v>0</v>
      </c>
      <c r="H135" s="4" t="s">
        <v>0</v>
      </c>
      <c r="I135" s="27" t="s">
        <v>93</v>
      </c>
      <c r="J135" s="27" t="s">
        <v>9</v>
      </c>
      <c r="K135" s="5">
        <v>0</v>
      </c>
      <c r="L135" s="5">
        <v>0</v>
      </c>
      <c r="M135" s="2">
        <v>-2909066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/>
      <c r="U135" s="5">
        <f t="shared" si="4"/>
        <v>0</v>
      </c>
    </row>
    <row r="136" spans="1:21" s="7" customFormat="1" ht="15.95" customHeight="1">
      <c r="A136" s="3" t="s">
        <v>1</v>
      </c>
      <c r="B136" s="23">
        <v>2024</v>
      </c>
      <c r="C136" s="24" t="s">
        <v>165</v>
      </c>
      <c r="D136" s="27" t="s">
        <v>135</v>
      </c>
      <c r="E136" s="2">
        <v>2755030</v>
      </c>
      <c r="F136" s="5">
        <v>0</v>
      </c>
      <c r="G136" s="47">
        <v>0</v>
      </c>
      <c r="H136" s="4" t="s">
        <v>0</v>
      </c>
      <c r="I136" s="27" t="s">
        <v>84</v>
      </c>
      <c r="J136" s="27" t="s">
        <v>9</v>
      </c>
      <c r="K136" s="5">
        <v>0</v>
      </c>
      <c r="L136" s="5">
        <v>0</v>
      </c>
      <c r="M136" s="5">
        <v>-2755030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/>
      <c r="U136" s="5">
        <f t="shared" si="4"/>
        <v>0</v>
      </c>
    </row>
    <row r="137" spans="1:21" s="7" customFormat="1" ht="15.95" customHeight="1">
      <c r="A137" s="3" t="s">
        <v>1</v>
      </c>
      <c r="B137" s="23">
        <v>2024</v>
      </c>
      <c r="C137" s="24" t="s">
        <v>165</v>
      </c>
      <c r="D137" s="27" t="s">
        <v>136</v>
      </c>
      <c r="E137" s="2">
        <v>4586171</v>
      </c>
      <c r="F137" s="5">
        <v>0</v>
      </c>
      <c r="G137" s="47">
        <v>0</v>
      </c>
      <c r="H137" s="4" t="s">
        <v>0</v>
      </c>
      <c r="I137" s="27" t="s">
        <v>97</v>
      </c>
      <c r="J137" s="27" t="s">
        <v>9</v>
      </c>
      <c r="K137" s="5">
        <v>0</v>
      </c>
      <c r="L137" s="5">
        <v>0</v>
      </c>
      <c r="M137" s="5">
        <v>-4586171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/>
      <c r="U137" s="5">
        <f t="shared" si="4"/>
        <v>0</v>
      </c>
    </row>
    <row r="138" spans="1:21" s="7" customFormat="1" ht="15.95" customHeight="1">
      <c r="A138" s="3" t="s">
        <v>1</v>
      </c>
      <c r="B138" s="23">
        <v>2024</v>
      </c>
      <c r="C138" s="24" t="s">
        <v>165</v>
      </c>
      <c r="D138" s="27" t="s">
        <v>137</v>
      </c>
      <c r="E138" s="2">
        <v>11360105</v>
      </c>
      <c r="F138" s="5">
        <v>0</v>
      </c>
      <c r="G138" s="47">
        <v>0</v>
      </c>
      <c r="H138" s="4" t="s">
        <v>0</v>
      </c>
      <c r="I138" s="27" t="s">
        <v>94</v>
      </c>
      <c r="J138" s="27" t="s">
        <v>9</v>
      </c>
      <c r="K138" s="5">
        <v>0</v>
      </c>
      <c r="L138" s="5">
        <v>0</v>
      </c>
      <c r="M138" s="5">
        <v>-11360105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/>
      <c r="U138" s="5">
        <f t="shared" si="4"/>
        <v>0</v>
      </c>
    </row>
    <row r="139" spans="1:21" s="7" customFormat="1" ht="15.95" customHeight="1">
      <c r="A139" s="3" t="s">
        <v>1</v>
      </c>
      <c r="B139" s="23">
        <v>2024</v>
      </c>
      <c r="C139" s="24" t="s">
        <v>165</v>
      </c>
      <c r="D139" s="27" t="s">
        <v>138</v>
      </c>
      <c r="E139" s="2">
        <v>3019900</v>
      </c>
      <c r="F139" s="5">
        <v>0</v>
      </c>
      <c r="G139" s="47">
        <v>0</v>
      </c>
      <c r="H139" s="4" t="s">
        <v>0</v>
      </c>
      <c r="I139" s="27" t="s">
        <v>93</v>
      </c>
      <c r="J139" s="27" t="s">
        <v>9</v>
      </c>
      <c r="K139" s="5">
        <v>0</v>
      </c>
      <c r="L139" s="5">
        <v>0</v>
      </c>
      <c r="M139" s="2">
        <v>-3019900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/>
      <c r="U139" s="5">
        <f t="shared" si="4"/>
        <v>0</v>
      </c>
    </row>
    <row r="140" spans="1:21" s="7" customFormat="1" ht="15.95" customHeight="1">
      <c r="A140" s="3" t="s">
        <v>1</v>
      </c>
      <c r="B140" s="23">
        <v>2024</v>
      </c>
      <c r="C140" s="24" t="s">
        <v>165</v>
      </c>
      <c r="D140" s="27" t="s">
        <v>139</v>
      </c>
      <c r="E140" s="2">
        <v>2597500</v>
      </c>
      <c r="F140" s="5">
        <v>0</v>
      </c>
      <c r="G140" s="47">
        <v>0</v>
      </c>
      <c r="H140" s="4" t="s">
        <v>0</v>
      </c>
      <c r="I140" s="27" t="s">
        <v>104</v>
      </c>
      <c r="J140" s="27" t="s">
        <v>9</v>
      </c>
      <c r="K140" s="5">
        <v>0</v>
      </c>
      <c r="L140" s="5">
        <v>0</v>
      </c>
      <c r="M140" s="26">
        <v>-2597500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/>
      <c r="U140" s="5">
        <f t="shared" si="4"/>
        <v>0</v>
      </c>
    </row>
    <row r="141" spans="1:21" s="7" customFormat="1" ht="15.95" customHeight="1">
      <c r="A141" s="3" t="s">
        <v>1</v>
      </c>
      <c r="B141" s="23">
        <v>2024</v>
      </c>
      <c r="C141" s="24" t="s">
        <v>165</v>
      </c>
      <c r="D141" s="27" t="s">
        <v>141</v>
      </c>
      <c r="E141" s="2">
        <v>2095985</v>
      </c>
      <c r="F141" s="5">
        <v>0</v>
      </c>
      <c r="G141" s="47">
        <v>0</v>
      </c>
      <c r="H141" s="4" t="s">
        <v>0</v>
      </c>
      <c r="I141" s="27" t="s">
        <v>104</v>
      </c>
      <c r="J141" s="27" t="s">
        <v>9</v>
      </c>
      <c r="K141" s="5">
        <v>0</v>
      </c>
      <c r="L141" s="5">
        <v>0</v>
      </c>
      <c r="M141" s="26">
        <v>-2095985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/>
      <c r="U141" s="5">
        <f t="shared" si="4"/>
        <v>0</v>
      </c>
    </row>
    <row r="142" spans="1:21" s="7" customFormat="1" ht="15.95" customHeight="1">
      <c r="A142" s="3" t="s">
        <v>1</v>
      </c>
      <c r="B142" s="23">
        <v>2024</v>
      </c>
      <c r="C142" s="24" t="s">
        <v>165</v>
      </c>
      <c r="D142" s="27" t="s">
        <v>153</v>
      </c>
      <c r="E142" s="2">
        <v>1340000</v>
      </c>
      <c r="F142" s="5">
        <v>0</v>
      </c>
      <c r="G142" s="47">
        <v>0</v>
      </c>
      <c r="H142" s="4" t="s">
        <v>0</v>
      </c>
      <c r="I142" s="27" t="s">
        <v>183</v>
      </c>
      <c r="J142" s="27" t="s">
        <v>9</v>
      </c>
      <c r="K142" s="2">
        <v>0</v>
      </c>
      <c r="L142" s="5">
        <v>0</v>
      </c>
      <c r="M142" s="2">
        <v>-1340000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/>
      <c r="U142" s="5">
        <f t="shared" si="4"/>
        <v>0</v>
      </c>
    </row>
    <row r="143" spans="1:21" s="7" customFormat="1" ht="15.95" customHeight="1">
      <c r="A143" s="3" t="s">
        <v>1</v>
      </c>
      <c r="B143" s="23">
        <v>2024</v>
      </c>
      <c r="C143" s="24" t="s">
        <v>165</v>
      </c>
      <c r="D143" s="27" t="s">
        <v>154</v>
      </c>
      <c r="E143" s="2">
        <v>2084000</v>
      </c>
      <c r="F143" s="5">
        <v>0</v>
      </c>
      <c r="G143" s="47">
        <v>0</v>
      </c>
      <c r="H143" s="4" t="s">
        <v>0</v>
      </c>
      <c r="I143" s="27" t="s">
        <v>183</v>
      </c>
      <c r="J143" s="27" t="s">
        <v>9</v>
      </c>
      <c r="K143" s="2">
        <v>0</v>
      </c>
      <c r="L143" s="5">
        <v>0</v>
      </c>
      <c r="M143" s="2">
        <v>-2084000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/>
      <c r="U143" s="5">
        <f t="shared" si="4"/>
        <v>0</v>
      </c>
    </row>
    <row r="144" spans="1:21" s="7" customFormat="1" ht="15.95" customHeight="1">
      <c r="A144" s="3" t="s">
        <v>1</v>
      </c>
      <c r="B144" s="29">
        <v>2024</v>
      </c>
      <c r="C144" s="24" t="s">
        <v>166</v>
      </c>
      <c r="D144" s="27" t="s">
        <v>142</v>
      </c>
      <c r="E144" s="2">
        <v>1500000</v>
      </c>
      <c r="F144" s="5">
        <v>0</v>
      </c>
      <c r="G144" s="47">
        <v>0</v>
      </c>
      <c r="H144" s="4" t="s">
        <v>0</v>
      </c>
      <c r="I144" s="27" t="s">
        <v>105</v>
      </c>
      <c r="J144" s="27" t="s">
        <v>9</v>
      </c>
      <c r="K144" s="5">
        <v>0</v>
      </c>
      <c r="L144" s="5">
        <v>0</v>
      </c>
      <c r="M144" s="5">
        <v>0</v>
      </c>
      <c r="N144" s="5">
        <v>0</v>
      </c>
      <c r="O144" s="5">
        <v>-1500000</v>
      </c>
      <c r="P144" s="5">
        <v>0</v>
      </c>
      <c r="Q144" s="5">
        <v>0</v>
      </c>
      <c r="R144" s="5">
        <v>0</v>
      </c>
      <c r="S144" s="5">
        <v>0</v>
      </c>
      <c r="T144" s="5"/>
      <c r="U144" s="5">
        <f t="shared" si="4"/>
        <v>0</v>
      </c>
    </row>
    <row r="145" spans="1:21" s="7" customFormat="1" ht="15.95" customHeight="1">
      <c r="A145" s="3" t="s">
        <v>1</v>
      </c>
      <c r="B145" s="29">
        <v>2024</v>
      </c>
      <c r="C145" s="24" t="s">
        <v>167</v>
      </c>
      <c r="D145" s="27" t="s">
        <v>103</v>
      </c>
      <c r="E145" s="2">
        <v>31000</v>
      </c>
      <c r="F145" s="5">
        <v>0</v>
      </c>
      <c r="G145" s="47">
        <v>0</v>
      </c>
      <c r="H145" s="4" t="s">
        <v>0</v>
      </c>
      <c r="I145" s="27" t="s">
        <v>96</v>
      </c>
      <c r="J145" s="27" t="s">
        <v>9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2">
        <v>-31000</v>
      </c>
      <c r="R145" s="5">
        <v>0</v>
      </c>
      <c r="S145" s="5">
        <v>0</v>
      </c>
      <c r="T145" s="5"/>
      <c r="U145" s="5">
        <f t="shared" si="4"/>
        <v>0</v>
      </c>
    </row>
    <row r="146" spans="1:21" s="7" customFormat="1" ht="15.95" customHeight="1">
      <c r="A146" s="3" t="s">
        <v>1</v>
      </c>
      <c r="B146" s="29">
        <v>2024</v>
      </c>
      <c r="C146" s="24" t="s">
        <v>167</v>
      </c>
      <c r="D146" s="27" t="s">
        <v>143</v>
      </c>
      <c r="E146" s="2">
        <v>19000</v>
      </c>
      <c r="F146" s="5">
        <v>0</v>
      </c>
      <c r="G146" s="47">
        <v>0</v>
      </c>
      <c r="H146" s="4" t="s">
        <v>0</v>
      </c>
      <c r="I146" s="27" t="s">
        <v>96</v>
      </c>
      <c r="J146" s="27" t="s">
        <v>9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2">
        <v>-19000</v>
      </c>
      <c r="R146" s="5">
        <v>0</v>
      </c>
      <c r="S146" s="5">
        <v>0</v>
      </c>
      <c r="T146" s="5"/>
      <c r="U146" s="5">
        <f t="shared" si="4"/>
        <v>0</v>
      </c>
    </row>
    <row r="147" spans="1:21" s="7" customFormat="1" ht="15.95" customHeight="1">
      <c r="A147" s="3" t="s">
        <v>1</v>
      </c>
      <c r="B147" s="29">
        <v>2024</v>
      </c>
      <c r="C147" s="24" t="s">
        <v>167</v>
      </c>
      <c r="D147" s="27" t="s">
        <v>102</v>
      </c>
      <c r="E147" s="2">
        <v>27000</v>
      </c>
      <c r="F147" s="5">
        <v>0</v>
      </c>
      <c r="G147" s="47">
        <v>0</v>
      </c>
      <c r="H147" s="4" t="s">
        <v>0</v>
      </c>
      <c r="I147" s="27" t="s">
        <v>96</v>
      </c>
      <c r="J147" s="27" t="s">
        <v>9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2">
        <v>-27000</v>
      </c>
      <c r="R147" s="5">
        <v>0</v>
      </c>
      <c r="S147" s="5">
        <v>0</v>
      </c>
      <c r="T147" s="5"/>
      <c r="U147" s="5">
        <f t="shared" ref="U147:U178" si="5">E147+K147+L147+M147+N147+O147+P147+Q147+R147</f>
        <v>0</v>
      </c>
    </row>
    <row r="148" spans="1:21" s="7" customFormat="1" ht="15.95" customHeight="1">
      <c r="A148" s="3" t="s">
        <v>1</v>
      </c>
      <c r="B148" s="29">
        <v>2024</v>
      </c>
      <c r="C148" s="24" t="s">
        <v>167</v>
      </c>
      <c r="D148" s="27" t="s">
        <v>144</v>
      </c>
      <c r="E148" s="2">
        <v>175000</v>
      </c>
      <c r="F148" s="5">
        <v>0</v>
      </c>
      <c r="G148" s="47">
        <v>0</v>
      </c>
      <c r="H148" s="4" t="s">
        <v>0</v>
      </c>
      <c r="I148" s="27" t="s">
        <v>96</v>
      </c>
      <c r="J148" s="27" t="s">
        <v>9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2">
        <v>-175000</v>
      </c>
      <c r="R148" s="5">
        <v>0</v>
      </c>
      <c r="S148" s="5">
        <v>0</v>
      </c>
      <c r="T148" s="5"/>
      <c r="U148" s="5">
        <f t="shared" si="5"/>
        <v>0</v>
      </c>
    </row>
    <row r="149" spans="1:21" s="7" customFormat="1" ht="15.95" customHeight="1">
      <c r="A149" s="3" t="s">
        <v>1</v>
      </c>
      <c r="B149" s="29">
        <v>2024</v>
      </c>
      <c r="C149" s="24" t="s">
        <v>167</v>
      </c>
      <c r="D149" s="27" t="s">
        <v>145</v>
      </c>
      <c r="E149" s="2">
        <v>80000</v>
      </c>
      <c r="F149" s="5">
        <v>0</v>
      </c>
      <c r="G149" s="47">
        <v>0</v>
      </c>
      <c r="H149" s="4" t="s">
        <v>0</v>
      </c>
      <c r="I149" s="27" t="s">
        <v>96</v>
      </c>
      <c r="J149" s="27" t="s">
        <v>9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2">
        <v>-80000</v>
      </c>
      <c r="R149" s="5">
        <v>0</v>
      </c>
      <c r="S149" s="5">
        <v>0</v>
      </c>
      <c r="T149" s="5"/>
      <c r="U149" s="5">
        <f t="shared" si="5"/>
        <v>0</v>
      </c>
    </row>
    <row r="150" spans="1:21" s="7" customFormat="1" ht="15.95" customHeight="1">
      <c r="A150" s="3" t="s">
        <v>1</v>
      </c>
      <c r="B150" s="29">
        <v>2024</v>
      </c>
      <c r="C150" s="24" t="s">
        <v>167</v>
      </c>
      <c r="D150" s="27" t="s">
        <v>152</v>
      </c>
      <c r="E150" s="2">
        <v>2180000</v>
      </c>
      <c r="F150" s="5">
        <v>0</v>
      </c>
      <c r="G150" s="47">
        <v>0</v>
      </c>
      <c r="H150" s="4" t="s">
        <v>0</v>
      </c>
      <c r="I150" s="27" t="s">
        <v>212</v>
      </c>
      <c r="J150" s="27" t="s">
        <v>9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-2180000</v>
      </c>
      <c r="R150" s="5">
        <v>0</v>
      </c>
      <c r="S150" s="5">
        <v>0</v>
      </c>
      <c r="T150" s="5"/>
      <c r="U150" s="5">
        <f t="shared" si="5"/>
        <v>0</v>
      </c>
    </row>
    <row r="151" spans="1:21" s="7" customFormat="1" ht="15.95" customHeight="1">
      <c r="A151" s="3" t="s">
        <v>1</v>
      </c>
      <c r="B151" s="29">
        <v>2024</v>
      </c>
      <c r="C151" s="24" t="s">
        <v>213</v>
      </c>
      <c r="D151" s="27" t="s">
        <v>185</v>
      </c>
      <c r="E151" s="2">
        <v>551000</v>
      </c>
      <c r="F151" s="5">
        <v>0</v>
      </c>
      <c r="G151" s="47">
        <v>0</v>
      </c>
      <c r="H151" s="4" t="s">
        <v>0</v>
      </c>
      <c r="I151" s="27" t="s">
        <v>183</v>
      </c>
      <c r="J151" s="27" t="s">
        <v>9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-551000</v>
      </c>
      <c r="S151" s="5">
        <v>0</v>
      </c>
      <c r="T151" s="5"/>
      <c r="U151" s="5">
        <f t="shared" si="5"/>
        <v>0</v>
      </c>
    </row>
    <row r="152" spans="1:21" s="7" customFormat="1" ht="15.95" customHeight="1">
      <c r="A152" s="3" t="s">
        <v>1</v>
      </c>
      <c r="B152" s="29">
        <v>2024</v>
      </c>
      <c r="C152" s="24" t="s">
        <v>213</v>
      </c>
      <c r="D152" s="27" t="s">
        <v>186</v>
      </c>
      <c r="E152" s="2">
        <v>194000</v>
      </c>
      <c r="F152" s="5">
        <v>0</v>
      </c>
      <c r="G152" s="47">
        <v>0</v>
      </c>
      <c r="H152" s="4" t="s">
        <v>0</v>
      </c>
      <c r="I152" s="27" t="s">
        <v>183</v>
      </c>
      <c r="J152" s="27" t="s">
        <v>9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-194000</v>
      </c>
      <c r="S152" s="5">
        <v>0</v>
      </c>
      <c r="T152" s="5"/>
      <c r="U152" s="5">
        <f t="shared" si="5"/>
        <v>0</v>
      </c>
    </row>
    <row r="153" spans="1:21" s="7" customFormat="1" ht="15.95" customHeight="1">
      <c r="A153" s="3" t="s">
        <v>1</v>
      </c>
      <c r="B153" s="29">
        <v>2024</v>
      </c>
      <c r="C153" s="24" t="s">
        <v>213</v>
      </c>
      <c r="D153" s="27" t="s">
        <v>187</v>
      </c>
      <c r="E153" s="2">
        <v>97000</v>
      </c>
      <c r="F153" s="5">
        <v>0</v>
      </c>
      <c r="G153" s="47">
        <v>0</v>
      </c>
      <c r="H153" s="4" t="s">
        <v>0</v>
      </c>
      <c r="I153" s="27" t="s">
        <v>183</v>
      </c>
      <c r="J153" s="27" t="s">
        <v>9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-97000</v>
      </c>
      <c r="S153" s="5">
        <v>0</v>
      </c>
      <c r="T153" s="5"/>
      <c r="U153" s="5">
        <f t="shared" si="5"/>
        <v>0</v>
      </c>
    </row>
    <row r="154" spans="1:21" s="7" customFormat="1" ht="15.95" customHeight="1">
      <c r="A154" s="3" t="s">
        <v>1</v>
      </c>
      <c r="B154" s="29">
        <v>2024</v>
      </c>
      <c r="C154" s="24" t="s">
        <v>213</v>
      </c>
      <c r="D154" s="27" t="s">
        <v>188</v>
      </c>
      <c r="E154" s="2">
        <v>196000</v>
      </c>
      <c r="F154" s="5">
        <v>0</v>
      </c>
      <c r="G154" s="47">
        <v>0</v>
      </c>
      <c r="H154" s="4" t="s">
        <v>0</v>
      </c>
      <c r="I154" s="27" t="s">
        <v>183</v>
      </c>
      <c r="J154" s="27" t="s">
        <v>9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-196000</v>
      </c>
      <c r="S154" s="5">
        <v>0</v>
      </c>
      <c r="T154" s="5"/>
      <c r="U154" s="5">
        <f t="shared" si="5"/>
        <v>0</v>
      </c>
    </row>
    <row r="155" spans="1:21" s="7" customFormat="1" ht="15.95" customHeight="1">
      <c r="A155" s="3" t="s">
        <v>1</v>
      </c>
      <c r="B155" s="29">
        <v>2024</v>
      </c>
      <c r="C155" s="24" t="s">
        <v>213</v>
      </c>
      <c r="D155" s="27" t="s">
        <v>189</v>
      </c>
      <c r="E155" s="2">
        <v>14990</v>
      </c>
      <c r="F155" s="5">
        <v>0</v>
      </c>
      <c r="G155" s="47">
        <v>0</v>
      </c>
      <c r="H155" s="4" t="s">
        <v>0</v>
      </c>
      <c r="I155" s="27" t="s">
        <v>183</v>
      </c>
      <c r="J155" s="27" t="s">
        <v>9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-14990</v>
      </c>
      <c r="S155" s="5">
        <v>0</v>
      </c>
      <c r="T155" s="5"/>
      <c r="U155" s="5">
        <f t="shared" si="5"/>
        <v>0</v>
      </c>
    </row>
    <row r="156" spans="1:21" s="7" customFormat="1" ht="15.95" customHeight="1">
      <c r="A156" s="3" t="s">
        <v>1</v>
      </c>
      <c r="B156" s="29">
        <v>2024</v>
      </c>
      <c r="C156" s="24" t="s">
        <v>213</v>
      </c>
      <c r="D156" s="27" t="s">
        <v>190</v>
      </c>
      <c r="E156" s="2">
        <v>60000</v>
      </c>
      <c r="F156" s="5">
        <v>0</v>
      </c>
      <c r="G156" s="47">
        <v>0</v>
      </c>
      <c r="H156" s="4" t="s">
        <v>0</v>
      </c>
      <c r="I156" s="27" t="s">
        <v>183</v>
      </c>
      <c r="J156" s="27" t="s">
        <v>9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-60000</v>
      </c>
      <c r="S156" s="5">
        <v>0</v>
      </c>
      <c r="T156" s="5"/>
      <c r="U156" s="5">
        <f t="shared" si="5"/>
        <v>0</v>
      </c>
    </row>
    <row r="157" spans="1:21" s="7" customFormat="1" ht="15.95" customHeight="1">
      <c r="A157" s="3" t="s">
        <v>1</v>
      </c>
      <c r="B157" s="29">
        <v>2024</v>
      </c>
      <c r="C157" s="24" t="s">
        <v>213</v>
      </c>
      <c r="D157" s="27" t="s">
        <v>191</v>
      </c>
      <c r="E157" s="2">
        <v>400000</v>
      </c>
      <c r="F157" s="5">
        <v>0</v>
      </c>
      <c r="G157" s="47">
        <v>0</v>
      </c>
      <c r="H157" s="4" t="s">
        <v>0</v>
      </c>
      <c r="I157" s="27" t="s">
        <v>183</v>
      </c>
      <c r="J157" s="27" t="s">
        <v>9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-400000</v>
      </c>
      <c r="S157" s="5">
        <v>0</v>
      </c>
      <c r="T157" s="5"/>
      <c r="U157" s="5">
        <f t="shared" si="5"/>
        <v>0</v>
      </c>
    </row>
    <row r="158" spans="1:21" s="7" customFormat="1" ht="15.95" customHeight="1">
      <c r="A158" s="3" t="s">
        <v>1</v>
      </c>
      <c r="B158" s="29">
        <v>2024</v>
      </c>
      <c r="C158" s="24" t="s">
        <v>213</v>
      </c>
      <c r="D158" s="27" t="s">
        <v>192</v>
      </c>
      <c r="E158" s="2">
        <v>79500</v>
      </c>
      <c r="F158" s="5">
        <v>0</v>
      </c>
      <c r="G158" s="47">
        <v>0</v>
      </c>
      <c r="H158" s="4" t="s">
        <v>0</v>
      </c>
      <c r="I158" s="27" t="s">
        <v>183</v>
      </c>
      <c r="J158" s="27" t="s">
        <v>9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-79500</v>
      </c>
      <c r="S158" s="5">
        <v>0</v>
      </c>
      <c r="T158" s="5"/>
      <c r="U158" s="5">
        <f t="shared" si="5"/>
        <v>0</v>
      </c>
    </row>
    <row r="159" spans="1:21" s="7" customFormat="1" ht="15.95" customHeight="1">
      <c r="A159" s="3" t="s">
        <v>1</v>
      </c>
      <c r="B159" s="29">
        <v>2024</v>
      </c>
      <c r="C159" s="24" t="s">
        <v>213</v>
      </c>
      <c r="D159" s="27" t="s">
        <v>193</v>
      </c>
      <c r="E159" s="2">
        <v>150000</v>
      </c>
      <c r="F159" s="5">
        <v>0</v>
      </c>
      <c r="G159" s="47">
        <v>0</v>
      </c>
      <c r="H159" s="4" t="s">
        <v>0</v>
      </c>
      <c r="I159" s="27" t="s">
        <v>183</v>
      </c>
      <c r="J159" s="27" t="s">
        <v>9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-150000</v>
      </c>
      <c r="S159" s="5">
        <v>0</v>
      </c>
      <c r="T159" s="5"/>
      <c r="U159" s="5">
        <f t="shared" si="5"/>
        <v>0</v>
      </c>
    </row>
    <row r="160" spans="1:21" s="7" customFormat="1" ht="15.95" customHeight="1">
      <c r="A160" s="3" t="s">
        <v>1</v>
      </c>
      <c r="B160" s="29">
        <v>2024</v>
      </c>
      <c r="C160" s="24" t="s">
        <v>213</v>
      </c>
      <c r="D160" s="27" t="s">
        <v>194</v>
      </c>
      <c r="E160" s="2">
        <v>150000</v>
      </c>
      <c r="F160" s="5">
        <v>0</v>
      </c>
      <c r="G160" s="47">
        <v>0</v>
      </c>
      <c r="H160" s="4" t="s">
        <v>0</v>
      </c>
      <c r="I160" s="27" t="s">
        <v>183</v>
      </c>
      <c r="J160" s="27" t="s">
        <v>9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-150000</v>
      </c>
      <c r="S160" s="5">
        <v>0</v>
      </c>
      <c r="T160" s="5"/>
      <c r="U160" s="5">
        <f t="shared" si="5"/>
        <v>0</v>
      </c>
    </row>
    <row r="161" spans="1:21" s="7" customFormat="1" ht="15.95" customHeight="1">
      <c r="A161" s="3" t="s">
        <v>1</v>
      </c>
      <c r="B161" s="29">
        <v>2024</v>
      </c>
      <c r="C161" s="24" t="s">
        <v>213</v>
      </c>
      <c r="D161" s="27" t="s">
        <v>195</v>
      </c>
      <c r="E161" s="2">
        <v>150000</v>
      </c>
      <c r="F161" s="5">
        <v>0</v>
      </c>
      <c r="G161" s="47">
        <v>0</v>
      </c>
      <c r="H161" s="4" t="s">
        <v>0</v>
      </c>
      <c r="I161" s="27" t="s">
        <v>183</v>
      </c>
      <c r="J161" s="27" t="s">
        <v>9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-150000</v>
      </c>
      <c r="S161" s="5">
        <v>0</v>
      </c>
      <c r="T161" s="5"/>
      <c r="U161" s="5">
        <f t="shared" si="5"/>
        <v>0</v>
      </c>
    </row>
    <row r="162" spans="1:21" s="7" customFormat="1" ht="15.95" customHeight="1">
      <c r="A162" s="3" t="s">
        <v>1</v>
      </c>
      <c r="B162" s="29">
        <v>2024</v>
      </c>
      <c r="C162" s="24" t="s">
        <v>213</v>
      </c>
      <c r="D162" s="27" t="s">
        <v>196</v>
      </c>
      <c r="E162" s="2">
        <v>150000</v>
      </c>
      <c r="F162" s="5">
        <v>0</v>
      </c>
      <c r="G162" s="47">
        <v>0</v>
      </c>
      <c r="H162" s="4" t="s">
        <v>0</v>
      </c>
      <c r="I162" s="27" t="s">
        <v>183</v>
      </c>
      <c r="J162" s="27" t="s">
        <v>9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-150000</v>
      </c>
      <c r="S162" s="5">
        <v>0</v>
      </c>
      <c r="T162" s="5"/>
      <c r="U162" s="5">
        <f t="shared" si="5"/>
        <v>0</v>
      </c>
    </row>
    <row r="163" spans="1:21" s="7" customFormat="1" ht="15.95" customHeight="1">
      <c r="A163" s="3" t="s">
        <v>1</v>
      </c>
      <c r="B163" s="29">
        <v>2024</v>
      </c>
      <c r="C163" s="24" t="s">
        <v>213</v>
      </c>
      <c r="D163" s="27" t="s">
        <v>197</v>
      </c>
      <c r="E163" s="2">
        <v>150000</v>
      </c>
      <c r="F163" s="5">
        <v>0</v>
      </c>
      <c r="G163" s="47">
        <v>0</v>
      </c>
      <c r="H163" s="4" t="s">
        <v>0</v>
      </c>
      <c r="I163" s="27" t="s">
        <v>183</v>
      </c>
      <c r="J163" s="27" t="s">
        <v>9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-150000</v>
      </c>
      <c r="S163" s="5">
        <v>0</v>
      </c>
      <c r="T163" s="5"/>
      <c r="U163" s="5">
        <f t="shared" si="5"/>
        <v>0</v>
      </c>
    </row>
    <row r="164" spans="1:21" s="7" customFormat="1" ht="15.95" customHeight="1">
      <c r="A164" s="3" t="s">
        <v>1</v>
      </c>
      <c r="B164" s="29">
        <v>2024</v>
      </c>
      <c r="C164" s="24" t="s">
        <v>213</v>
      </c>
      <c r="D164" s="27" t="s">
        <v>198</v>
      </c>
      <c r="E164" s="2">
        <v>150000</v>
      </c>
      <c r="F164" s="5">
        <v>0</v>
      </c>
      <c r="G164" s="47">
        <v>0</v>
      </c>
      <c r="H164" s="4" t="s">
        <v>0</v>
      </c>
      <c r="I164" s="27" t="s">
        <v>183</v>
      </c>
      <c r="J164" s="27" t="s">
        <v>9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-150000</v>
      </c>
      <c r="S164" s="5">
        <v>0</v>
      </c>
      <c r="T164" s="5"/>
      <c r="U164" s="5">
        <f t="shared" si="5"/>
        <v>0</v>
      </c>
    </row>
    <row r="165" spans="1:21" s="7" customFormat="1" ht="15.95" customHeight="1">
      <c r="A165" s="3" t="s">
        <v>1</v>
      </c>
      <c r="B165" s="29">
        <v>2024</v>
      </c>
      <c r="C165" s="24" t="s">
        <v>213</v>
      </c>
      <c r="D165" s="27" t="s">
        <v>199</v>
      </c>
      <c r="E165" s="2">
        <v>150000</v>
      </c>
      <c r="F165" s="5">
        <v>0</v>
      </c>
      <c r="G165" s="47">
        <v>0</v>
      </c>
      <c r="H165" s="4" t="s">
        <v>0</v>
      </c>
      <c r="I165" s="27" t="s">
        <v>183</v>
      </c>
      <c r="J165" s="27" t="s">
        <v>9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-150000</v>
      </c>
      <c r="S165" s="5">
        <v>0</v>
      </c>
      <c r="T165" s="5"/>
      <c r="U165" s="5">
        <f t="shared" si="5"/>
        <v>0</v>
      </c>
    </row>
    <row r="166" spans="1:21" s="7" customFormat="1" ht="15.95" customHeight="1">
      <c r="A166" s="3" t="s">
        <v>1</v>
      </c>
      <c r="B166" s="29">
        <v>2024</v>
      </c>
      <c r="C166" s="24" t="s">
        <v>213</v>
      </c>
      <c r="D166" s="27" t="s">
        <v>200</v>
      </c>
      <c r="E166" s="2">
        <v>150000</v>
      </c>
      <c r="F166" s="5">
        <v>0</v>
      </c>
      <c r="G166" s="47">
        <v>0</v>
      </c>
      <c r="H166" s="4" t="s">
        <v>0</v>
      </c>
      <c r="I166" s="27" t="s">
        <v>183</v>
      </c>
      <c r="J166" s="27" t="s">
        <v>9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-150000</v>
      </c>
      <c r="S166" s="5">
        <v>0</v>
      </c>
      <c r="T166" s="5"/>
      <c r="U166" s="5">
        <f t="shared" si="5"/>
        <v>0</v>
      </c>
    </row>
    <row r="167" spans="1:21" s="7" customFormat="1" ht="15.95" customHeight="1">
      <c r="A167" s="3" t="s">
        <v>1</v>
      </c>
      <c r="B167" s="29">
        <v>2024</v>
      </c>
      <c r="C167" s="24" t="s">
        <v>213</v>
      </c>
      <c r="D167" s="27" t="s">
        <v>201</v>
      </c>
      <c r="E167" s="2">
        <v>150000</v>
      </c>
      <c r="F167" s="5">
        <v>0</v>
      </c>
      <c r="G167" s="47">
        <v>0</v>
      </c>
      <c r="H167" s="4" t="s">
        <v>0</v>
      </c>
      <c r="I167" s="27" t="s">
        <v>183</v>
      </c>
      <c r="J167" s="27" t="s">
        <v>9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-150000</v>
      </c>
      <c r="S167" s="5">
        <v>0</v>
      </c>
      <c r="T167" s="5"/>
      <c r="U167" s="5">
        <f t="shared" si="5"/>
        <v>0</v>
      </c>
    </row>
    <row r="168" spans="1:21" s="7" customFormat="1" ht="15.95" customHeight="1">
      <c r="A168" s="3" t="s">
        <v>1</v>
      </c>
      <c r="B168" s="29">
        <v>2024</v>
      </c>
      <c r="C168" s="24" t="s">
        <v>213</v>
      </c>
      <c r="D168" s="27" t="s">
        <v>202</v>
      </c>
      <c r="E168" s="2">
        <v>2000000</v>
      </c>
      <c r="F168" s="5">
        <v>0</v>
      </c>
      <c r="G168" s="47">
        <v>0</v>
      </c>
      <c r="H168" s="4" t="s">
        <v>0</v>
      </c>
      <c r="I168" s="27" t="s">
        <v>183</v>
      </c>
      <c r="J168" s="27" t="s">
        <v>9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-2000000</v>
      </c>
      <c r="S168" s="5">
        <v>0</v>
      </c>
      <c r="T168" s="5"/>
      <c r="U168" s="5">
        <f t="shared" si="5"/>
        <v>0</v>
      </c>
    </row>
    <row r="169" spans="1:21" s="7" customFormat="1" ht="15.95" customHeight="1">
      <c r="A169" s="3" t="s">
        <v>1</v>
      </c>
      <c r="B169" s="29">
        <v>2024</v>
      </c>
      <c r="C169" s="24" t="s">
        <v>12</v>
      </c>
      <c r="D169" s="27" t="s">
        <v>168</v>
      </c>
      <c r="E169" s="30">
        <v>7397530</v>
      </c>
      <c r="F169" s="5">
        <v>0</v>
      </c>
      <c r="G169" s="47">
        <v>0</v>
      </c>
      <c r="H169" s="4" t="s">
        <v>0</v>
      </c>
      <c r="I169" s="27" t="s">
        <v>94</v>
      </c>
      <c r="J169" s="27" t="s">
        <v>9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-7397530</v>
      </c>
      <c r="S169" s="5">
        <v>0</v>
      </c>
      <c r="T169" s="5"/>
      <c r="U169" s="5">
        <f t="shared" si="5"/>
        <v>0</v>
      </c>
    </row>
    <row r="170" spans="1:21" s="7" customFormat="1" ht="15.95" customHeight="1">
      <c r="A170" s="3" t="s">
        <v>1</v>
      </c>
      <c r="B170" s="29">
        <v>2024</v>
      </c>
      <c r="C170" s="24" t="s">
        <v>12</v>
      </c>
      <c r="D170" s="27" t="s">
        <v>168</v>
      </c>
      <c r="E170" s="30">
        <v>1717810</v>
      </c>
      <c r="F170" s="5">
        <v>0</v>
      </c>
      <c r="G170" s="47">
        <v>0</v>
      </c>
      <c r="H170" s="4" t="s">
        <v>0</v>
      </c>
      <c r="I170" s="27" t="s">
        <v>87</v>
      </c>
      <c r="J170" s="27" t="s">
        <v>9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-1717810</v>
      </c>
      <c r="S170" s="5">
        <v>0</v>
      </c>
      <c r="T170" s="5"/>
      <c r="U170" s="5">
        <f t="shared" si="5"/>
        <v>0</v>
      </c>
    </row>
    <row r="171" spans="1:21" s="7" customFormat="1" ht="15.95" customHeight="1">
      <c r="A171" s="3" t="s">
        <v>1</v>
      </c>
      <c r="B171" s="29">
        <v>2024</v>
      </c>
      <c r="C171" s="24" t="s">
        <v>12</v>
      </c>
      <c r="D171" s="27" t="s">
        <v>168</v>
      </c>
      <c r="E171" s="30">
        <v>946000</v>
      </c>
      <c r="F171" s="5">
        <v>0</v>
      </c>
      <c r="G171" s="47">
        <v>0</v>
      </c>
      <c r="H171" s="4" t="s">
        <v>0</v>
      </c>
      <c r="I171" s="27" t="s">
        <v>85</v>
      </c>
      <c r="J171" s="27" t="s">
        <v>9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-946000</v>
      </c>
      <c r="S171" s="5">
        <v>0</v>
      </c>
      <c r="T171" s="5"/>
      <c r="U171" s="5">
        <f t="shared" si="5"/>
        <v>0</v>
      </c>
    </row>
    <row r="172" spans="1:21" s="7" customFormat="1" ht="15.95" customHeight="1">
      <c r="A172" s="3" t="s">
        <v>1</v>
      </c>
      <c r="B172" s="29">
        <v>2024</v>
      </c>
      <c r="C172" s="24" t="s">
        <v>12</v>
      </c>
      <c r="D172" s="27" t="s">
        <v>168</v>
      </c>
      <c r="E172" s="30">
        <v>384475</v>
      </c>
      <c r="F172" s="5">
        <v>0</v>
      </c>
      <c r="G172" s="47">
        <v>0</v>
      </c>
      <c r="H172" s="4" t="s">
        <v>0</v>
      </c>
      <c r="I172" s="27" t="s">
        <v>90</v>
      </c>
      <c r="J172" s="27" t="s">
        <v>9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-380500</v>
      </c>
      <c r="R172" s="5">
        <v>-3975</v>
      </c>
      <c r="S172" s="5">
        <v>0</v>
      </c>
      <c r="T172" s="5"/>
      <c r="U172" s="5">
        <f t="shared" si="5"/>
        <v>0</v>
      </c>
    </row>
    <row r="173" spans="1:21" s="7" customFormat="1" ht="15.95" customHeight="1">
      <c r="A173" s="3" t="s">
        <v>1</v>
      </c>
      <c r="B173" s="29">
        <v>2024</v>
      </c>
      <c r="C173" s="24" t="s">
        <v>12</v>
      </c>
      <c r="D173" s="27" t="s">
        <v>168</v>
      </c>
      <c r="E173" s="30">
        <v>44322</v>
      </c>
      <c r="F173" s="5">
        <v>0</v>
      </c>
      <c r="G173" s="47">
        <v>0</v>
      </c>
      <c r="H173" s="4" t="s">
        <v>0</v>
      </c>
      <c r="I173" s="27" t="s">
        <v>88</v>
      </c>
      <c r="J173" s="27" t="s">
        <v>9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-44322</v>
      </c>
      <c r="S173" s="5">
        <v>0</v>
      </c>
      <c r="T173" s="5"/>
      <c r="U173" s="5">
        <f t="shared" si="5"/>
        <v>0</v>
      </c>
    </row>
    <row r="174" spans="1:21" s="7" customFormat="1" ht="15.95" customHeight="1">
      <c r="A174" s="3" t="s">
        <v>1</v>
      </c>
      <c r="B174" s="29">
        <v>2024</v>
      </c>
      <c r="C174" s="24" t="s">
        <v>12</v>
      </c>
      <c r="D174" s="27" t="s">
        <v>168</v>
      </c>
      <c r="E174" s="30">
        <v>4448800</v>
      </c>
      <c r="F174" s="5">
        <v>0</v>
      </c>
      <c r="G174" s="47">
        <v>0</v>
      </c>
      <c r="H174" s="4" t="s">
        <v>0</v>
      </c>
      <c r="I174" s="27" t="s">
        <v>93</v>
      </c>
      <c r="J174" s="27" t="s">
        <v>9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-4448800</v>
      </c>
      <c r="S174" s="5">
        <v>0</v>
      </c>
      <c r="T174" s="5"/>
      <c r="U174" s="5">
        <f t="shared" si="5"/>
        <v>0</v>
      </c>
    </row>
    <row r="175" spans="1:21" s="7" customFormat="1" ht="15.95" customHeight="1">
      <c r="A175" s="3" t="s">
        <v>1</v>
      </c>
      <c r="B175" s="29">
        <v>2024</v>
      </c>
      <c r="C175" s="24" t="s">
        <v>12</v>
      </c>
      <c r="D175" s="27" t="s">
        <v>168</v>
      </c>
      <c r="E175" s="30">
        <v>1965606</v>
      </c>
      <c r="F175" s="5">
        <v>0</v>
      </c>
      <c r="G175" s="47">
        <v>0</v>
      </c>
      <c r="H175" s="4" t="s">
        <v>0</v>
      </c>
      <c r="I175" s="27" t="s">
        <v>82</v>
      </c>
      <c r="J175" s="27" t="s">
        <v>9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-1965606</v>
      </c>
      <c r="S175" s="5">
        <v>0</v>
      </c>
      <c r="T175" s="5"/>
      <c r="U175" s="5">
        <f t="shared" si="5"/>
        <v>0</v>
      </c>
    </row>
    <row r="176" spans="1:21" s="7" customFormat="1" ht="15.95" customHeight="1">
      <c r="A176" s="3" t="s">
        <v>1</v>
      </c>
      <c r="B176" s="29">
        <v>2024</v>
      </c>
      <c r="C176" s="24" t="s">
        <v>12</v>
      </c>
      <c r="D176" s="27" t="s">
        <v>168</v>
      </c>
      <c r="E176" s="30">
        <v>3466605</v>
      </c>
      <c r="F176" s="5">
        <v>0</v>
      </c>
      <c r="G176" s="47">
        <v>0</v>
      </c>
      <c r="H176" s="4" t="s">
        <v>0</v>
      </c>
      <c r="I176" s="27" t="s">
        <v>84</v>
      </c>
      <c r="J176" s="27" t="s">
        <v>9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-3466605</v>
      </c>
      <c r="S176" s="5">
        <v>0</v>
      </c>
      <c r="T176" s="5"/>
      <c r="U176" s="5">
        <f t="shared" si="5"/>
        <v>0</v>
      </c>
    </row>
    <row r="177" spans="1:21" s="7" customFormat="1" ht="15.95" customHeight="1">
      <c r="A177" s="3" t="s">
        <v>1</v>
      </c>
      <c r="B177" s="29">
        <v>2024</v>
      </c>
      <c r="C177" s="24" t="s">
        <v>12</v>
      </c>
      <c r="D177" s="27" t="s">
        <v>168</v>
      </c>
      <c r="E177" s="30">
        <v>35440000</v>
      </c>
      <c r="F177" s="5">
        <v>0</v>
      </c>
      <c r="G177" s="47">
        <v>0</v>
      </c>
      <c r="H177" s="4" t="s">
        <v>0</v>
      </c>
      <c r="I177" s="27" t="s">
        <v>169</v>
      </c>
      <c r="J177" s="27" t="s">
        <v>9</v>
      </c>
      <c r="K177" s="5">
        <v>0</v>
      </c>
      <c r="L177" s="5">
        <v>-34913500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/>
      <c r="U177" s="5">
        <f t="shared" si="5"/>
        <v>526500</v>
      </c>
    </row>
    <row r="178" spans="1:21" s="7" customFormat="1" ht="15.95" customHeight="1">
      <c r="A178" s="3" t="s">
        <v>1</v>
      </c>
      <c r="B178" s="29">
        <v>2024</v>
      </c>
      <c r="C178" s="24" t="s">
        <v>12</v>
      </c>
      <c r="D178" s="27" t="s">
        <v>168</v>
      </c>
      <c r="E178" s="30">
        <v>16823</v>
      </c>
      <c r="F178" s="5">
        <v>0</v>
      </c>
      <c r="G178" s="47">
        <v>0</v>
      </c>
      <c r="H178" s="4" t="s">
        <v>0</v>
      </c>
      <c r="I178" s="27" t="s">
        <v>83</v>
      </c>
      <c r="J178" s="27" t="s">
        <v>9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-16823</v>
      </c>
      <c r="S178" s="5">
        <v>0</v>
      </c>
      <c r="T178" s="5"/>
      <c r="U178" s="5">
        <f t="shared" si="5"/>
        <v>0</v>
      </c>
    </row>
    <row r="179" spans="1:21" s="7" customFormat="1" ht="15.95" customHeight="1">
      <c r="A179" s="3" t="s">
        <v>1</v>
      </c>
      <c r="B179" s="29">
        <v>2024</v>
      </c>
      <c r="C179" s="24" t="s">
        <v>12</v>
      </c>
      <c r="D179" s="27" t="s">
        <v>168</v>
      </c>
      <c r="E179" s="30">
        <v>634400</v>
      </c>
      <c r="F179" s="5">
        <v>0</v>
      </c>
      <c r="G179" s="47">
        <v>0</v>
      </c>
      <c r="H179" s="4" t="s">
        <v>0</v>
      </c>
      <c r="I179" s="27" t="s">
        <v>80</v>
      </c>
      <c r="J179" s="27" t="s">
        <v>9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-634400</v>
      </c>
      <c r="S179" s="5">
        <v>0</v>
      </c>
      <c r="T179" s="5"/>
      <c r="U179" s="5">
        <f t="shared" ref="U179:U210" si="6">E179+K179+L179+M179+N179+O179+P179+Q179+R179</f>
        <v>0</v>
      </c>
    </row>
    <row r="180" spans="1:21" s="7" customFormat="1" ht="15.95" customHeight="1">
      <c r="A180" s="3" t="s">
        <v>1</v>
      </c>
      <c r="B180" s="29">
        <v>2024</v>
      </c>
      <c r="C180" s="24" t="s">
        <v>12</v>
      </c>
      <c r="D180" s="27" t="s">
        <v>170</v>
      </c>
      <c r="E180" s="30">
        <v>4898973</v>
      </c>
      <c r="F180" s="5">
        <v>0</v>
      </c>
      <c r="G180" s="47">
        <v>0</v>
      </c>
      <c r="H180" s="4" t="s">
        <v>0</v>
      </c>
      <c r="I180" s="27" t="s">
        <v>89</v>
      </c>
      <c r="J180" s="27" t="s">
        <v>9</v>
      </c>
      <c r="K180" s="5">
        <v>0</v>
      </c>
      <c r="L180" s="5">
        <v>0</v>
      </c>
      <c r="M180" s="5">
        <v>-3568545</v>
      </c>
      <c r="N180" s="5">
        <v>0</v>
      </c>
      <c r="O180" s="5">
        <v>0</v>
      </c>
      <c r="P180" s="5">
        <v>0</v>
      </c>
      <c r="Q180" s="5">
        <v>0</v>
      </c>
      <c r="R180" s="5">
        <v>-1330428</v>
      </c>
      <c r="S180" s="5">
        <v>0</v>
      </c>
      <c r="T180" s="5"/>
      <c r="U180" s="5">
        <f t="shared" si="6"/>
        <v>0</v>
      </c>
    </row>
    <row r="181" spans="1:21" s="7" customFormat="1" ht="15.95" customHeight="1">
      <c r="A181" s="3" t="s">
        <v>1</v>
      </c>
      <c r="B181" s="29">
        <v>2024</v>
      </c>
      <c r="C181" s="24" t="s">
        <v>12</v>
      </c>
      <c r="D181" s="27" t="s">
        <v>168</v>
      </c>
      <c r="E181" s="30">
        <v>23821424</v>
      </c>
      <c r="F181" s="5">
        <v>0</v>
      </c>
      <c r="G181" s="47">
        <v>0</v>
      </c>
      <c r="H181" s="4" t="s">
        <v>0</v>
      </c>
      <c r="I181" s="27" t="s">
        <v>86</v>
      </c>
      <c r="J181" s="27" t="s">
        <v>9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-23821424</v>
      </c>
      <c r="S181" s="5">
        <v>0</v>
      </c>
      <c r="T181" s="5"/>
      <c r="U181" s="5">
        <f t="shared" si="6"/>
        <v>0</v>
      </c>
    </row>
    <row r="182" spans="1:21" s="7" customFormat="1" ht="15.95" customHeight="1">
      <c r="A182" s="3" t="s">
        <v>1</v>
      </c>
      <c r="B182" s="29">
        <v>2024</v>
      </c>
      <c r="C182" s="24" t="s">
        <v>12</v>
      </c>
      <c r="D182" s="27" t="s">
        <v>168</v>
      </c>
      <c r="E182" s="30">
        <v>32037507</v>
      </c>
      <c r="F182" s="5">
        <v>0</v>
      </c>
      <c r="G182" s="47">
        <v>0</v>
      </c>
      <c r="H182" s="4" t="s">
        <v>0</v>
      </c>
      <c r="I182" s="27" t="s">
        <v>81</v>
      </c>
      <c r="J182" s="27" t="s">
        <v>9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-32037507</v>
      </c>
      <c r="S182" s="5">
        <v>0</v>
      </c>
      <c r="T182" s="5"/>
      <c r="U182" s="5">
        <f t="shared" si="6"/>
        <v>0</v>
      </c>
    </row>
    <row r="183" spans="1:21" s="7" customFormat="1" ht="15.95" customHeight="1">
      <c r="A183" s="3" t="s">
        <v>1</v>
      </c>
      <c r="B183" s="29">
        <v>2024</v>
      </c>
      <c r="C183" s="24" t="s">
        <v>12</v>
      </c>
      <c r="D183" s="27" t="s">
        <v>168</v>
      </c>
      <c r="E183" s="30">
        <v>96693309</v>
      </c>
      <c r="F183" s="5">
        <v>0</v>
      </c>
      <c r="G183" s="47">
        <v>0</v>
      </c>
      <c r="H183" s="4" t="s">
        <v>0</v>
      </c>
      <c r="I183" s="27" t="s">
        <v>171</v>
      </c>
      <c r="J183" s="27" t="s">
        <v>9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-96693309</v>
      </c>
      <c r="S183" s="5">
        <v>0</v>
      </c>
      <c r="T183" s="5"/>
      <c r="U183" s="5">
        <f t="shared" si="6"/>
        <v>0</v>
      </c>
    </row>
    <row r="184" spans="1:21" s="7" customFormat="1" ht="15.95" customHeight="1">
      <c r="A184" s="3" t="s">
        <v>1</v>
      </c>
      <c r="B184" s="29">
        <v>2024</v>
      </c>
      <c r="C184" s="24" t="s">
        <v>12</v>
      </c>
      <c r="D184" s="27" t="s">
        <v>168</v>
      </c>
      <c r="E184" s="30">
        <v>15573978</v>
      </c>
      <c r="F184" s="5">
        <v>0</v>
      </c>
      <c r="G184" s="47">
        <v>0</v>
      </c>
      <c r="H184" s="4" t="s">
        <v>0</v>
      </c>
      <c r="I184" s="27" t="s">
        <v>92</v>
      </c>
      <c r="J184" s="27" t="s">
        <v>9</v>
      </c>
      <c r="K184" s="5">
        <v>0</v>
      </c>
      <c r="L184" s="5">
        <v>0</v>
      </c>
      <c r="M184" s="5">
        <v>-354200</v>
      </c>
      <c r="N184" s="5">
        <v>0</v>
      </c>
      <c r="O184" s="5">
        <v>0</v>
      </c>
      <c r="P184" s="5">
        <v>0</v>
      </c>
      <c r="Q184" s="5">
        <v>0</v>
      </c>
      <c r="R184" s="5">
        <v>-15219778</v>
      </c>
      <c r="S184" s="5">
        <v>0</v>
      </c>
      <c r="T184" s="5"/>
      <c r="U184" s="5">
        <f t="shared" si="6"/>
        <v>0</v>
      </c>
    </row>
    <row r="185" spans="1:21" s="7" customFormat="1" ht="15.95" customHeight="1">
      <c r="A185" s="3" t="s">
        <v>1</v>
      </c>
      <c r="B185" s="29">
        <v>2024</v>
      </c>
      <c r="C185" s="24" t="s">
        <v>12</v>
      </c>
      <c r="D185" s="27" t="s">
        <v>168</v>
      </c>
      <c r="E185" s="30">
        <v>1405635</v>
      </c>
      <c r="F185" s="5">
        <v>0</v>
      </c>
      <c r="G185" s="47">
        <v>0</v>
      </c>
      <c r="H185" s="4" t="s">
        <v>0</v>
      </c>
      <c r="I185" s="27" t="s">
        <v>172</v>
      </c>
      <c r="J185" s="27" t="s">
        <v>9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-1405635</v>
      </c>
      <c r="S185" s="5">
        <v>0</v>
      </c>
      <c r="T185" s="5"/>
      <c r="U185" s="5">
        <f t="shared" si="6"/>
        <v>0</v>
      </c>
    </row>
    <row r="186" spans="1:21" s="7" customFormat="1" ht="15.95" customHeight="1">
      <c r="A186" s="3" t="s">
        <v>1</v>
      </c>
      <c r="B186" s="29">
        <v>2024</v>
      </c>
      <c r="C186" s="24" t="s">
        <v>12</v>
      </c>
      <c r="D186" s="27" t="s">
        <v>168</v>
      </c>
      <c r="E186" s="30">
        <v>4937500</v>
      </c>
      <c r="F186" s="5">
        <v>0</v>
      </c>
      <c r="G186" s="47">
        <v>0</v>
      </c>
      <c r="H186" s="4" t="s">
        <v>0</v>
      </c>
      <c r="I186" s="27" t="s">
        <v>95</v>
      </c>
      <c r="J186" s="27" t="s">
        <v>9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-4937500</v>
      </c>
      <c r="S186" s="5">
        <v>0</v>
      </c>
      <c r="T186" s="5"/>
      <c r="U186" s="5">
        <f t="shared" si="6"/>
        <v>0</v>
      </c>
    </row>
    <row r="187" spans="1:21" s="7" customFormat="1" ht="15.95" customHeight="1">
      <c r="A187" s="3" t="s">
        <v>1</v>
      </c>
      <c r="B187" s="29">
        <v>2024</v>
      </c>
      <c r="C187" s="24" t="s">
        <v>12</v>
      </c>
      <c r="D187" s="27" t="s">
        <v>168</v>
      </c>
      <c r="E187" s="30">
        <v>583049</v>
      </c>
      <c r="F187" s="5">
        <v>0</v>
      </c>
      <c r="G187" s="47">
        <v>0</v>
      </c>
      <c r="H187" s="4" t="s">
        <v>0</v>
      </c>
      <c r="I187" s="27" t="s">
        <v>173</v>
      </c>
      <c r="J187" s="27" t="s">
        <v>9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-583049</v>
      </c>
      <c r="S187" s="5">
        <v>0</v>
      </c>
      <c r="T187" s="5"/>
      <c r="U187" s="5">
        <f t="shared" si="6"/>
        <v>0</v>
      </c>
    </row>
    <row r="188" spans="1:21" s="7" customFormat="1" ht="15.95" customHeight="1">
      <c r="A188" s="3" t="s">
        <v>1</v>
      </c>
      <c r="B188" s="29">
        <v>2024</v>
      </c>
      <c r="C188" s="24" t="s">
        <v>12</v>
      </c>
      <c r="D188" s="27" t="s">
        <v>168</v>
      </c>
      <c r="E188" s="30">
        <v>1911337</v>
      </c>
      <c r="F188" s="5">
        <v>0</v>
      </c>
      <c r="G188" s="47">
        <v>0</v>
      </c>
      <c r="H188" s="4" t="s">
        <v>0</v>
      </c>
      <c r="I188" s="27" t="s">
        <v>174</v>
      </c>
      <c r="J188" s="27" t="s">
        <v>9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-1911337</v>
      </c>
      <c r="S188" s="5">
        <v>0</v>
      </c>
      <c r="T188" s="5"/>
      <c r="U188" s="5">
        <f t="shared" si="6"/>
        <v>0</v>
      </c>
    </row>
    <row r="189" spans="1:21" s="7" customFormat="1" ht="15.95" customHeight="1">
      <c r="A189" s="3" t="s">
        <v>1</v>
      </c>
      <c r="B189" s="29">
        <v>2025</v>
      </c>
      <c r="C189" s="24" t="s">
        <v>272</v>
      </c>
      <c r="D189" s="27" t="s">
        <v>252</v>
      </c>
      <c r="E189" s="30">
        <v>0</v>
      </c>
      <c r="F189" s="5">
        <v>0</v>
      </c>
      <c r="G189" s="47">
        <v>0</v>
      </c>
      <c r="H189" s="4" t="s">
        <v>0</v>
      </c>
      <c r="I189" s="27" t="s">
        <v>215</v>
      </c>
      <c r="J189" s="27" t="s">
        <v>9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14279600</v>
      </c>
      <c r="S189" s="5">
        <v>0</v>
      </c>
      <c r="T189" s="5"/>
      <c r="U189" s="5">
        <f t="shared" si="6"/>
        <v>14279600</v>
      </c>
    </row>
    <row r="190" spans="1:21" s="7" customFormat="1" ht="15.95" customHeight="1">
      <c r="A190" s="3" t="s">
        <v>1</v>
      </c>
      <c r="B190" s="29">
        <v>2025</v>
      </c>
      <c r="C190" s="24" t="s">
        <v>272</v>
      </c>
      <c r="D190" s="27" t="s">
        <v>253</v>
      </c>
      <c r="E190" s="30">
        <v>0</v>
      </c>
      <c r="F190" s="5">
        <v>0</v>
      </c>
      <c r="G190" s="47">
        <v>0</v>
      </c>
      <c r="H190" s="4" t="s">
        <v>0</v>
      </c>
      <c r="I190" s="27" t="s">
        <v>207</v>
      </c>
      <c r="J190" s="27" t="s">
        <v>9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7280000</v>
      </c>
      <c r="S190" s="5">
        <v>0</v>
      </c>
      <c r="T190" s="5"/>
      <c r="U190" s="5">
        <f t="shared" si="6"/>
        <v>7280000</v>
      </c>
    </row>
    <row r="191" spans="1:21" s="7" customFormat="1" ht="15.95" customHeight="1">
      <c r="A191" s="3" t="s">
        <v>1</v>
      </c>
      <c r="B191" s="29">
        <v>2025</v>
      </c>
      <c r="C191" s="24" t="s">
        <v>272</v>
      </c>
      <c r="D191" s="27" t="s">
        <v>254</v>
      </c>
      <c r="E191" s="30">
        <v>0</v>
      </c>
      <c r="F191" s="5">
        <v>0</v>
      </c>
      <c r="G191" s="47">
        <v>0</v>
      </c>
      <c r="H191" s="4" t="s">
        <v>0</v>
      </c>
      <c r="I191" s="27" t="s">
        <v>216</v>
      </c>
      <c r="J191" s="27" t="s">
        <v>9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1477475</v>
      </c>
      <c r="S191" s="5">
        <v>0</v>
      </c>
      <c r="T191" s="5"/>
      <c r="U191" s="5">
        <f t="shared" si="6"/>
        <v>1477475</v>
      </c>
    </row>
    <row r="192" spans="1:21" s="7" customFormat="1" ht="15.95" customHeight="1">
      <c r="A192" s="3" t="s">
        <v>1</v>
      </c>
      <c r="B192" s="29">
        <v>2025</v>
      </c>
      <c r="C192" s="24" t="s">
        <v>272</v>
      </c>
      <c r="D192" s="27" t="s">
        <v>255</v>
      </c>
      <c r="E192" s="30">
        <v>0</v>
      </c>
      <c r="F192" s="5">
        <v>0</v>
      </c>
      <c r="G192" s="5">
        <v>0</v>
      </c>
      <c r="H192" s="4" t="s">
        <v>0</v>
      </c>
      <c r="I192" s="27" t="s">
        <v>179</v>
      </c>
      <c r="J192" s="27" t="s">
        <v>9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1500000</v>
      </c>
      <c r="S192" s="5">
        <v>0</v>
      </c>
      <c r="T192" s="5"/>
      <c r="U192" s="5">
        <f t="shared" si="6"/>
        <v>1500000</v>
      </c>
    </row>
    <row r="193" spans="1:21" s="7" customFormat="1" ht="15.95" customHeight="1">
      <c r="A193" s="3" t="s">
        <v>1</v>
      </c>
      <c r="B193" s="29">
        <v>2025</v>
      </c>
      <c r="C193" s="24" t="s">
        <v>272</v>
      </c>
      <c r="D193" s="27" t="s">
        <v>256</v>
      </c>
      <c r="E193" s="30">
        <v>0</v>
      </c>
      <c r="F193" s="5">
        <v>0</v>
      </c>
      <c r="G193" s="47">
        <v>0</v>
      </c>
      <c r="H193" s="4" t="s">
        <v>0</v>
      </c>
      <c r="I193" s="27" t="s">
        <v>235</v>
      </c>
      <c r="J193" s="27" t="s">
        <v>9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3500000</v>
      </c>
      <c r="S193" s="5">
        <v>0</v>
      </c>
      <c r="T193" s="5"/>
      <c r="U193" s="5">
        <f t="shared" si="6"/>
        <v>3500000</v>
      </c>
    </row>
    <row r="194" spans="1:21" s="7" customFormat="1" ht="15.95" customHeight="1">
      <c r="A194" s="3" t="s">
        <v>1</v>
      </c>
      <c r="B194" s="29">
        <v>2025</v>
      </c>
      <c r="C194" s="24" t="s">
        <v>272</v>
      </c>
      <c r="D194" s="27" t="s">
        <v>257</v>
      </c>
      <c r="E194" s="30">
        <v>0</v>
      </c>
      <c r="F194" s="5">
        <v>0</v>
      </c>
      <c r="G194" s="47">
        <v>0</v>
      </c>
      <c r="H194" s="4" t="s">
        <v>0</v>
      </c>
      <c r="I194" s="27" t="s">
        <v>237</v>
      </c>
      <c r="J194" s="27" t="s">
        <v>9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2500000</v>
      </c>
      <c r="S194" s="5">
        <v>0</v>
      </c>
      <c r="T194" s="5"/>
      <c r="U194" s="5">
        <f t="shared" si="6"/>
        <v>2500000</v>
      </c>
    </row>
    <row r="195" spans="1:21" s="7" customFormat="1" ht="15.95" customHeight="1">
      <c r="A195" s="3" t="s">
        <v>1</v>
      </c>
      <c r="B195" s="29">
        <v>2025</v>
      </c>
      <c r="C195" s="24" t="s">
        <v>272</v>
      </c>
      <c r="D195" s="27" t="s">
        <v>258</v>
      </c>
      <c r="E195" s="30">
        <v>0</v>
      </c>
      <c r="F195" s="5">
        <v>0</v>
      </c>
      <c r="G195" s="47">
        <v>0</v>
      </c>
      <c r="H195" s="4" t="s">
        <v>0</v>
      </c>
      <c r="I195" s="27" t="s">
        <v>236</v>
      </c>
      <c r="J195" s="27" t="s">
        <v>9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1500000</v>
      </c>
      <c r="S195" s="5">
        <v>0</v>
      </c>
      <c r="T195" s="5"/>
      <c r="U195" s="5">
        <f t="shared" si="6"/>
        <v>1500000</v>
      </c>
    </row>
    <row r="196" spans="1:21" s="7" customFormat="1" ht="15.95" customHeight="1">
      <c r="A196" s="3" t="s">
        <v>1</v>
      </c>
      <c r="B196" s="29">
        <v>2025</v>
      </c>
      <c r="C196" s="24" t="s">
        <v>272</v>
      </c>
      <c r="D196" s="27" t="s">
        <v>259</v>
      </c>
      <c r="E196" s="30">
        <v>0</v>
      </c>
      <c r="F196" s="5">
        <v>0</v>
      </c>
      <c r="G196" s="5">
        <v>0</v>
      </c>
      <c r="H196" s="4" t="s">
        <v>0</v>
      </c>
      <c r="I196" s="27" t="s">
        <v>177</v>
      </c>
      <c r="J196" s="27" t="s">
        <v>9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3500000</v>
      </c>
      <c r="S196" s="5">
        <v>0</v>
      </c>
      <c r="T196" s="5"/>
      <c r="U196" s="5">
        <f t="shared" si="6"/>
        <v>3500000</v>
      </c>
    </row>
    <row r="197" spans="1:21" s="7" customFormat="1" ht="15.95" customHeight="1">
      <c r="A197" s="3" t="s">
        <v>1</v>
      </c>
      <c r="B197" s="29">
        <v>2025</v>
      </c>
      <c r="C197" s="24" t="s">
        <v>272</v>
      </c>
      <c r="D197" s="27" t="s">
        <v>260</v>
      </c>
      <c r="E197" s="30">
        <v>0</v>
      </c>
      <c r="F197" s="5">
        <v>0</v>
      </c>
      <c r="G197" s="5">
        <v>0</v>
      </c>
      <c r="H197" s="4" t="s">
        <v>0</v>
      </c>
      <c r="I197" s="27" t="s">
        <v>234</v>
      </c>
      <c r="J197" s="27" t="s">
        <v>9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3500000</v>
      </c>
      <c r="S197" s="5">
        <v>0</v>
      </c>
      <c r="T197" s="5"/>
      <c r="U197" s="5">
        <f t="shared" si="6"/>
        <v>3500000</v>
      </c>
    </row>
    <row r="198" spans="1:21" s="7" customFormat="1" ht="15.95" customHeight="1">
      <c r="A198" s="3" t="s">
        <v>1</v>
      </c>
      <c r="B198" s="29">
        <v>2025</v>
      </c>
      <c r="C198" s="24" t="s">
        <v>273</v>
      </c>
      <c r="D198" s="27" t="s">
        <v>262</v>
      </c>
      <c r="E198" s="30">
        <v>0</v>
      </c>
      <c r="F198" s="5">
        <v>0</v>
      </c>
      <c r="G198" s="5">
        <v>0</v>
      </c>
      <c r="H198" s="4" t="s">
        <v>0</v>
      </c>
      <c r="I198" s="27" t="s">
        <v>176</v>
      </c>
      <c r="J198" s="27" t="s">
        <v>9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2700000</v>
      </c>
      <c r="S198" s="5">
        <v>0</v>
      </c>
      <c r="T198" s="5"/>
      <c r="U198" s="5">
        <f t="shared" si="6"/>
        <v>2700000</v>
      </c>
    </row>
    <row r="199" spans="1:21" s="7" customFormat="1" ht="15.95" customHeight="1">
      <c r="A199" s="3" t="s">
        <v>1</v>
      </c>
      <c r="B199" s="29">
        <v>2025</v>
      </c>
      <c r="C199" s="24" t="s">
        <v>273</v>
      </c>
      <c r="D199" s="27" t="s">
        <v>263</v>
      </c>
      <c r="E199" s="30">
        <v>0</v>
      </c>
      <c r="F199" s="5">
        <v>0</v>
      </c>
      <c r="G199" s="5">
        <v>0</v>
      </c>
      <c r="H199" s="4" t="s">
        <v>0</v>
      </c>
      <c r="I199" s="27" t="s">
        <v>176</v>
      </c>
      <c r="J199" s="27" t="s">
        <v>9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8980000</v>
      </c>
      <c r="S199" s="5">
        <v>0</v>
      </c>
      <c r="T199" s="5"/>
      <c r="U199" s="5">
        <f t="shared" si="6"/>
        <v>8980000</v>
      </c>
    </row>
    <row r="200" spans="1:21" s="7" customFormat="1" ht="15.95" customHeight="1">
      <c r="A200" s="3" t="s">
        <v>1</v>
      </c>
      <c r="B200" s="29">
        <v>2025</v>
      </c>
      <c r="C200" s="24" t="s">
        <v>273</v>
      </c>
      <c r="D200" s="27" t="s">
        <v>264</v>
      </c>
      <c r="E200" s="30">
        <v>0</v>
      </c>
      <c r="F200" s="5">
        <v>0</v>
      </c>
      <c r="G200" s="5">
        <v>0</v>
      </c>
      <c r="H200" s="4" t="s">
        <v>0</v>
      </c>
      <c r="I200" s="27" t="s">
        <v>176</v>
      </c>
      <c r="J200" s="27" t="s">
        <v>9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3100000</v>
      </c>
      <c r="S200" s="5">
        <v>0</v>
      </c>
      <c r="T200" s="5"/>
      <c r="U200" s="5">
        <f t="shared" si="6"/>
        <v>3100000</v>
      </c>
    </row>
    <row r="201" spans="1:21" s="7" customFormat="1" ht="15.95" customHeight="1">
      <c r="A201" s="3" t="s">
        <v>1</v>
      </c>
      <c r="B201" s="29">
        <v>2025</v>
      </c>
      <c r="C201" s="24" t="s">
        <v>273</v>
      </c>
      <c r="D201" s="27" t="s">
        <v>265</v>
      </c>
      <c r="E201" s="30">
        <v>0</v>
      </c>
      <c r="F201" s="5">
        <v>0</v>
      </c>
      <c r="G201" s="5">
        <v>0</v>
      </c>
      <c r="H201" s="4" t="s">
        <v>0</v>
      </c>
      <c r="I201" s="27" t="s">
        <v>176</v>
      </c>
      <c r="J201" s="27" t="s">
        <v>9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12942000</v>
      </c>
      <c r="S201" s="5">
        <v>0</v>
      </c>
      <c r="T201" s="5"/>
      <c r="U201" s="5">
        <f t="shared" si="6"/>
        <v>12942000</v>
      </c>
    </row>
    <row r="202" spans="1:21" s="7" customFormat="1" ht="15.95" customHeight="1">
      <c r="A202" s="3" t="s">
        <v>1</v>
      </c>
      <c r="B202" s="29">
        <v>2025</v>
      </c>
      <c r="C202" s="24" t="s">
        <v>273</v>
      </c>
      <c r="D202" s="27" t="s">
        <v>264</v>
      </c>
      <c r="E202" s="30">
        <v>0</v>
      </c>
      <c r="F202" s="5">
        <v>0</v>
      </c>
      <c r="G202" s="5">
        <v>0</v>
      </c>
      <c r="H202" s="4" t="s">
        <v>0</v>
      </c>
      <c r="I202" s="27" t="s">
        <v>176</v>
      </c>
      <c r="J202" s="27" t="s">
        <v>9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331100</v>
      </c>
      <c r="S202" s="5">
        <v>0</v>
      </c>
      <c r="T202" s="5"/>
      <c r="U202" s="5">
        <f t="shared" si="6"/>
        <v>331100</v>
      </c>
    </row>
    <row r="203" spans="1:21" s="7" customFormat="1" ht="15.95" customHeight="1">
      <c r="A203" s="3" t="s">
        <v>1</v>
      </c>
      <c r="B203" s="29">
        <v>2025</v>
      </c>
      <c r="C203" s="24" t="s">
        <v>273</v>
      </c>
      <c r="D203" s="27" t="s">
        <v>265</v>
      </c>
      <c r="E203" s="30">
        <v>0</v>
      </c>
      <c r="F203" s="5">
        <v>0</v>
      </c>
      <c r="G203" s="5">
        <v>0</v>
      </c>
      <c r="H203" s="4" t="s">
        <v>0</v>
      </c>
      <c r="I203" s="27" t="s">
        <v>176</v>
      </c>
      <c r="J203" s="27" t="s">
        <v>9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1387155</v>
      </c>
      <c r="S203" s="5">
        <v>0</v>
      </c>
      <c r="T203" s="5"/>
      <c r="U203" s="5">
        <f t="shared" si="6"/>
        <v>1387155</v>
      </c>
    </row>
    <row r="204" spans="1:21" s="7" customFormat="1" ht="15.95" customHeight="1">
      <c r="A204" s="3" t="s">
        <v>1</v>
      </c>
      <c r="B204" s="29">
        <v>2025</v>
      </c>
      <c r="C204" s="24" t="s">
        <v>275</v>
      </c>
      <c r="D204" s="27" t="s">
        <v>266</v>
      </c>
      <c r="E204" s="30">
        <v>0</v>
      </c>
      <c r="F204" s="5">
        <v>0</v>
      </c>
      <c r="G204" s="5">
        <v>0</v>
      </c>
      <c r="H204" s="4" t="s">
        <v>0</v>
      </c>
      <c r="I204" s="27" t="s">
        <v>207</v>
      </c>
      <c r="J204" s="27" t="s">
        <v>9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2350000</v>
      </c>
      <c r="S204" s="5">
        <v>0</v>
      </c>
      <c r="T204" s="5"/>
      <c r="U204" s="5">
        <f t="shared" si="6"/>
        <v>2350000</v>
      </c>
    </row>
    <row r="205" spans="1:21" s="7" customFormat="1" ht="15.95" customHeight="1">
      <c r="A205" s="3" t="s">
        <v>1</v>
      </c>
      <c r="B205" s="29">
        <v>2025</v>
      </c>
      <c r="C205" s="24" t="s">
        <v>275</v>
      </c>
      <c r="D205" s="1" t="s">
        <v>278</v>
      </c>
      <c r="E205" s="30">
        <v>0</v>
      </c>
      <c r="F205" s="5">
        <v>0</v>
      </c>
      <c r="G205" s="5">
        <v>0</v>
      </c>
      <c r="H205" s="4" t="s">
        <v>0</v>
      </c>
      <c r="I205" s="27" t="s">
        <v>207</v>
      </c>
      <c r="J205" s="27" t="s">
        <v>9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50053500</v>
      </c>
      <c r="S205" s="5">
        <v>0</v>
      </c>
      <c r="T205" s="5"/>
      <c r="U205" s="5">
        <f t="shared" si="6"/>
        <v>50053500</v>
      </c>
    </row>
    <row r="206" spans="1:21" s="7" customFormat="1" ht="15.95" customHeight="1">
      <c r="A206" s="3" t="s">
        <v>1</v>
      </c>
      <c r="B206" s="29">
        <v>2025</v>
      </c>
      <c r="C206" s="24" t="s">
        <v>275</v>
      </c>
      <c r="D206" s="1" t="s">
        <v>279</v>
      </c>
      <c r="E206" s="30">
        <v>0</v>
      </c>
      <c r="F206" s="5">
        <v>0</v>
      </c>
      <c r="G206" s="5">
        <v>0</v>
      </c>
      <c r="H206" s="4" t="s">
        <v>0</v>
      </c>
      <c r="I206" s="1" t="s">
        <v>232</v>
      </c>
      <c r="J206" s="27" t="s">
        <v>9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5000000</v>
      </c>
      <c r="S206" s="5">
        <v>0</v>
      </c>
      <c r="T206" s="5"/>
      <c r="U206" s="5">
        <f t="shared" si="6"/>
        <v>5000000</v>
      </c>
    </row>
    <row r="207" spans="1:21" s="7" customFormat="1" ht="15.95" customHeight="1">
      <c r="A207" s="3" t="s">
        <v>1</v>
      </c>
      <c r="B207" s="29">
        <v>2025</v>
      </c>
      <c r="C207" s="24" t="s">
        <v>275</v>
      </c>
      <c r="D207" s="27" t="s">
        <v>267</v>
      </c>
      <c r="E207" s="30">
        <v>0</v>
      </c>
      <c r="F207" s="5">
        <v>0</v>
      </c>
      <c r="G207" s="5">
        <v>0</v>
      </c>
      <c r="H207" s="4" t="s">
        <v>0</v>
      </c>
      <c r="I207" s="27" t="s">
        <v>176</v>
      </c>
      <c r="J207" s="27" t="s">
        <v>9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3345000</v>
      </c>
      <c r="S207" s="5">
        <v>0</v>
      </c>
      <c r="T207" s="5"/>
      <c r="U207" s="5">
        <f t="shared" si="6"/>
        <v>3345000</v>
      </c>
    </row>
    <row r="208" spans="1:21" s="7" customFormat="1" ht="15.95" customHeight="1">
      <c r="A208" s="3" t="s">
        <v>1</v>
      </c>
      <c r="B208" s="29">
        <v>2025</v>
      </c>
      <c r="C208" s="24" t="s">
        <v>275</v>
      </c>
      <c r="D208" s="27" t="s">
        <v>280</v>
      </c>
      <c r="E208" s="30">
        <v>0</v>
      </c>
      <c r="F208" s="5">
        <v>0</v>
      </c>
      <c r="G208" s="5">
        <v>0</v>
      </c>
      <c r="H208" s="4" t="s">
        <v>0</v>
      </c>
      <c r="I208" s="1" t="s">
        <v>233</v>
      </c>
      <c r="J208" s="27" t="s">
        <v>9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119000</v>
      </c>
      <c r="S208" s="5">
        <v>0</v>
      </c>
      <c r="T208" s="5"/>
      <c r="U208" s="5">
        <f t="shared" si="6"/>
        <v>119000</v>
      </c>
    </row>
    <row r="209" spans="1:21" s="7" customFormat="1" ht="15.95" customHeight="1">
      <c r="A209" s="3" t="s">
        <v>1</v>
      </c>
      <c r="B209" s="29">
        <v>2025</v>
      </c>
      <c r="C209" s="24" t="s">
        <v>275</v>
      </c>
      <c r="D209" s="27" t="s">
        <v>281</v>
      </c>
      <c r="E209" s="30">
        <v>0</v>
      </c>
      <c r="F209" s="5">
        <v>0</v>
      </c>
      <c r="G209" s="5">
        <v>0</v>
      </c>
      <c r="H209" s="4" t="s">
        <v>0</v>
      </c>
      <c r="I209" s="1" t="s">
        <v>217</v>
      </c>
      <c r="J209" s="27" t="s">
        <v>9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18000000</v>
      </c>
      <c r="S209" s="5">
        <v>0</v>
      </c>
      <c r="T209" s="5"/>
      <c r="U209" s="5">
        <f t="shared" si="6"/>
        <v>18000000</v>
      </c>
    </row>
    <row r="210" spans="1:21" s="7" customFormat="1" ht="15.95" customHeight="1">
      <c r="A210" s="3" t="s">
        <v>1</v>
      </c>
      <c r="B210" s="29">
        <v>2025</v>
      </c>
      <c r="C210" s="24" t="s">
        <v>282</v>
      </c>
      <c r="D210" t="s">
        <v>283</v>
      </c>
      <c r="E210" s="30">
        <v>0</v>
      </c>
      <c r="F210" s="5">
        <v>0</v>
      </c>
      <c r="G210" s="5">
        <v>0</v>
      </c>
      <c r="H210" s="4" t="s">
        <v>0</v>
      </c>
      <c r="I210" s="27" t="s">
        <v>176</v>
      </c>
      <c r="J210" s="27" t="s">
        <v>9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183500</v>
      </c>
      <c r="S210" s="5">
        <v>0</v>
      </c>
      <c r="T210" s="5"/>
      <c r="U210" s="5">
        <f t="shared" si="6"/>
        <v>183500</v>
      </c>
    </row>
    <row r="211" spans="1:21" s="7" customFormat="1" ht="15.95" customHeight="1">
      <c r="A211" s="3" t="s">
        <v>1</v>
      </c>
      <c r="B211" s="29">
        <v>2025</v>
      </c>
      <c r="C211" s="24" t="s">
        <v>282</v>
      </c>
      <c r="D211" t="s">
        <v>284</v>
      </c>
      <c r="E211" s="30">
        <v>0</v>
      </c>
      <c r="F211" s="5">
        <v>0</v>
      </c>
      <c r="G211" s="5">
        <v>0</v>
      </c>
      <c r="H211" s="4" t="s">
        <v>0</v>
      </c>
      <c r="I211" s="27" t="s">
        <v>176</v>
      </c>
      <c r="J211" s="27" t="s">
        <v>9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21000</v>
      </c>
      <c r="S211" s="5">
        <v>0</v>
      </c>
      <c r="T211" s="5"/>
      <c r="U211" s="5">
        <f t="shared" ref="U211:U242" si="7">E211+K211+L211+M211+N211+O211+P211+Q211+R211</f>
        <v>21000</v>
      </c>
    </row>
    <row r="212" spans="1:21" s="7" customFormat="1" ht="15.95" customHeight="1">
      <c r="A212" s="3" t="s">
        <v>1</v>
      </c>
      <c r="B212" s="29">
        <v>2025</v>
      </c>
      <c r="C212" s="24" t="s">
        <v>329</v>
      </c>
      <c r="D212" s="27" t="s">
        <v>330</v>
      </c>
      <c r="E212" s="30">
        <v>0</v>
      </c>
      <c r="F212" s="5">
        <v>0</v>
      </c>
      <c r="G212" s="5">
        <v>0</v>
      </c>
      <c r="H212" s="4" t="s">
        <v>0</v>
      </c>
      <c r="I212" s="27" t="s">
        <v>151</v>
      </c>
      <c r="J212" s="27" t="s">
        <v>9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327642222</v>
      </c>
      <c r="S212" s="5">
        <v>0</v>
      </c>
      <c r="T212" s="5"/>
      <c r="U212" s="5">
        <f t="shared" si="7"/>
        <v>327642222</v>
      </c>
    </row>
    <row r="213" spans="1:21" s="7" customFormat="1" ht="15.95" customHeight="1">
      <c r="A213" s="3" t="s">
        <v>1</v>
      </c>
      <c r="B213" s="29">
        <v>2025</v>
      </c>
      <c r="C213" s="24" t="s">
        <v>331</v>
      </c>
      <c r="D213" s="27" t="s">
        <v>293</v>
      </c>
      <c r="E213" s="30">
        <v>0</v>
      </c>
      <c r="F213" s="5">
        <v>0</v>
      </c>
      <c r="G213" s="5">
        <v>0</v>
      </c>
      <c r="H213" s="4" t="s">
        <v>0</v>
      </c>
      <c r="I213" s="27" t="s">
        <v>217</v>
      </c>
      <c r="J213" s="27" t="s">
        <v>9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163415</v>
      </c>
      <c r="S213" s="5">
        <v>0</v>
      </c>
      <c r="T213" s="5"/>
      <c r="U213" s="5">
        <f t="shared" si="7"/>
        <v>163415</v>
      </c>
    </row>
    <row r="214" spans="1:21" s="7" customFormat="1" ht="15.95" customHeight="1">
      <c r="A214" s="3" t="s">
        <v>1</v>
      </c>
      <c r="B214" s="29">
        <v>2025</v>
      </c>
      <c r="C214" s="24" t="s">
        <v>331</v>
      </c>
      <c r="D214" s="27" t="s">
        <v>294</v>
      </c>
      <c r="E214" s="30">
        <v>0</v>
      </c>
      <c r="F214" s="5">
        <v>0</v>
      </c>
      <c r="G214" s="5">
        <v>0</v>
      </c>
      <c r="H214" s="4" t="s">
        <v>0</v>
      </c>
      <c r="I214" s="27" t="s">
        <v>176</v>
      </c>
      <c r="J214" s="27" t="s">
        <v>9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6806591</v>
      </c>
      <c r="S214" s="5">
        <v>0</v>
      </c>
      <c r="T214" s="5"/>
      <c r="U214" s="5">
        <f t="shared" si="7"/>
        <v>6806591</v>
      </c>
    </row>
    <row r="215" spans="1:21" s="7" customFormat="1" ht="15.95" customHeight="1">
      <c r="A215" s="3" t="s">
        <v>1</v>
      </c>
      <c r="B215" s="29">
        <v>2025</v>
      </c>
      <c r="C215" s="24" t="s">
        <v>331</v>
      </c>
      <c r="D215" s="27" t="s">
        <v>295</v>
      </c>
      <c r="E215" s="30">
        <v>0</v>
      </c>
      <c r="F215" s="5">
        <v>0</v>
      </c>
      <c r="G215" s="5">
        <v>0</v>
      </c>
      <c r="H215" s="4" t="s">
        <v>0</v>
      </c>
      <c r="I215" s="27" t="s">
        <v>176</v>
      </c>
      <c r="J215" s="27" t="s">
        <v>9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1360325</v>
      </c>
      <c r="S215" s="5">
        <v>0</v>
      </c>
      <c r="T215" s="5"/>
      <c r="U215" s="5">
        <f t="shared" si="7"/>
        <v>1360325</v>
      </c>
    </row>
    <row r="216" spans="1:21" s="7" customFormat="1" ht="15.95" customHeight="1">
      <c r="A216" s="3" t="s">
        <v>1</v>
      </c>
      <c r="B216" s="29">
        <v>2025</v>
      </c>
      <c r="C216" s="24" t="s">
        <v>331</v>
      </c>
      <c r="D216" s="27" t="s">
        <v>296</v>
      </c>
      <c r="E216" s="30">
        <v>0</v>
      </c>
      <c r="F216" s="5">
        <v>0</v>
      </c>
      <c r="G216" s="5">
        <v>0</v>
      </c>
      <c r="H216" s="4" t="s">
        <v>0</v>
      </c>
      <c r="I216" s="27" t="s">
        <v>176</v>
      </c>
      <c r="J216" s="27" t="s">
        <v>9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307701</v>
      </c>
      <c r="S216" s="5">
        <v>0</v>
      </c>
      <c r="T216" s="5"/>
      <c r="U216" s="5">
        <f t="shared" si="7"/>
        <v>307701</v>
      </c>
    </row>
    <row r="217" spans="1:21" s="7" customFormat="1" ht="15.95" customHeight="1">
      <c r="A217" s="3" t="s">
        <v>1</v>
      </c>
      <c r="B217" s="29">
        <v>2025</v>
      </c>
      <c r="C217" s="24" t="s">
        <v>331</v>
      </c>
      <c r="D217" s="27" t="s">
        <v>297</v>
      </c>
      <c r="E217" s="30">
        <v>0</v>
      </c>
      <c r="F217" s="5">
        <v>0</v>
      </c>
      <c r="G217" s="5">
        <v>0</v>
      </c>
      <c r="H217" s="4" t="s">
        <v>0</v>
      </c>
      <c r="I217" s="27" t="s">
        <v>176</v>
      </c>
      <c r="J217" s="27" t="s">
        <v>9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309000</v>
      </c>
      <c r="S217" s="5">
        <v>0</v>
      </c>
      <c r="T217" s="5"/>
      <c r="U217" s="5">
        <f t="shared" si="7"/>
        <v>309000</v>
      </c>
    </row>
    <row r="218" spans="1:21" s="7" customFormat="1" ht="15.95" customHeight="1">
      <c r="A218" s="3" t="s">
        <v>1</v>
      </c>
      <c r="B218" s="29">
        <v>2025</v>
      </c>
      <c r="C218" s="24" t="s">
        <v>331</v>
      </c>
      <c r="D218" s="27" t="s">
        <v>298</v>
      </c>
      <c r="E218" s="30">
        <v>0</v>
      </c>
      <c r="F218" s="5">
        <v>0</v>
      </c>
      <c r="G218" s="5">
        <v>0</v>
      </c>
      <c r="H218" s="4" t="s">
        <v>0</v>
      </c>
      <c r="I218" s="27" t="s">
        <v>176</v>
      </c>
      <c r="J218" s="27" t="s">
        <v>9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2371450</v>
      </c>
      <c r="S218" s="5">
        <v>0</v>
      </c>
      <c r="T218" s="5"/>
      <c r="U218" s="5">
        <f t="shared" si="7"/>
        <v>2371450</v>
      </c>
    </row>
    <row r="219" spans="1:21" s="7" customFormat="1" ht="15.95" customHeight="1">
      <c r="A219" s="3" t="s">
        <v>1</v>
      </c>
      <c r="B219" s="29">
        <v>2025</v>
      </c>
      <c r="C219" s="24" t="s">
        <v>331</v>
      </c>
      <c r="D219" s="27" t="s">
        <v>299</v>
      </c>
      <c r="E219" s="30">
        <v>0</v>
      </c>
      <c r="F219" s="5">
        <v>0</v>
      </c>
      <c r="G219" s="5">
        <v>0</v>
      </c>
      <c r="H219" s="4" t="s">
        <v>0</v>
      </c>
      <c r="I219" s="27" t="s">
        <v>176</v>
      </c>
      <c r="J219" s="27" t="s">
        <v>9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137300</v>
      </c>
      <c r="S219" s="5">
        <v>0</v>
      </c>
      <c r="T219" s="5"/>
      <c r="U219" s="5">
        <f t="shared" si="7"/>
        <v>137300</v>
      </c>
    </row>
    <row r="220" spans="1:21" s="7" customFormat="1" ht="15.95" customHeight="1">
      <c r="A220" s="3" t="s">
        <v>1</v>
      </c>
      <c r="B220" s="29">
        <v>2025</v>
      </c>
      <c r="C220" s="24" t="s">
        <v>331</v>
      </c>
      <c r="D220" s="27" t="s">
        <v>300</v>
      </c>
      <c r="E220" s="30">
        <v>0</v>
      </c>
      <c r="F220" s="5">
        <v>0</v>
      </c>
      <c r="G220" s="47">
        <v>0</v>
      </c>
      <c r="H220" s="4" t="s">
        <v>0</v>
      </c>
      <c r="I220" s="27" t="s">
        <v>205</v>
      </c>
      <c r="J220" s="27" t="s">
        <v>9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80400</v>
      </c>
      <c r="S220" s="5">
        <v>0</v>
      </c>
      <c r="T220" s="5"/>
      <c r="U220" s="5">
        <f t="shared" si="7"/>
        <v>80400</v>
      </c>
    </row>
    <row r="221" spans="1:21" s="7" customFormat="1" ht="15.95" customHeight="1">
      <c r="A221" s="3" t="s">
        <v>1</v>
      </c>
      <c r="B221" s="29">
        <v>2025</v>
      </c>
      <c r="C221" s="24" t="s">
        <v>331</v>
      </c>
      <c r="D221" s="27" t="s">
        <v>301</v>
      </c>
      <c r="E221" s="30">
        <v>0</v>
      </c>
      <c r="F221" s="5">
        <v>0</v>
      </c>
      <c r="G221" s="47">
        <v>0</v>
      </c>
      <c r="H221" s="4" t="s">
        <v>0</v>
      </c>
      <c r="I221" s="27" t="s">
        <v>205</v>
      </c>
      <c r="J221" s="27" t="s">
        <v>9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35959</v>
      </c>
      <c r="S221" s="5">
        <v>0</v>
      </c>
      <c r="T221" s="5"/>
      <c r="U221" s="5">
        <f t="shared" si="7"/>
        <v>35959</v>
      </c>
    </row>
    <row r="222" spans="1:21" s="7" customFormat="1" ht="15.95" customHeight="1">
      <c r="A222" s="3" t="s">
        <v>1</v>
      </c>
      <c r="B222" s="29">
        <v>2025</v>
      </c>
      <c r="C222" s="24" t="s">
        <v>331</v>
      </c>
      <c r="D222" s="27" t="s">
        <v>302</v>
      </c>
      <c r="E222" s="30">
        <v>0</v>
      </c>
      <c r="F222" s="5">
        <v>0</v>
      </c>
      <c r="G222" s="47">
        <v>0</v>
      </c>
      <c r="H222" s="4" t="s">
        <v>0</v>
      </c>
      <c r="I222" s="27" t="s">
        <v>205</v>
      </c>
      <c r="J222" s="27" t="s">
        <v>9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76297</v>
      </c>
      <c r="S222" s="5">
        <v>0</v>
      </c>
      <c r="T222" s="5"/>
      <c r="U222" s="5">
        <f t="shared" si="7"/>
        <v>76297</v>
      </c>
    </row>
    <row r="223" spans="1:21" s="7" customFormat="1" ht="15.95" customHeight="1">
      <c r="A223" s="3" t="s">
        <v>1</v>
      </c>
      <c r="B223" s="29">
        <v>2025</v>
      </c>
      <c r="C223" s="24" t="s">
        <v>331</v>
      </c>
      <c r="D223" s="27" t="s">
        <v>303</v>
      </c>
      <c r="E223" s="30">
        <v>0</v>
      </c>
      <c r="F223" s="5">
        <v>0</v>
      </c>
      <c r="G223" s="47">
        <v>0</v>
      </c>
      <c r="H223" s="4" t="s">
        <v>0</v>
      </c>
      <c r="I223" s="27" t="s">
        <v>205</v>
      </c>
      <c r="J223" s="27" t="s">
        <v>9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120000</v>
      </c>
      <c r="S223" s="5">
        <v>0</v>
      </c>
      <c r="T223" s="5"/>
      <c r="U223" s="5">
        <f t="shared" si="7"/>
        <v>120000</v>
      </c>
    </row>
    <row r="224" spans="1:21" s="7" customFormat="1" ht="15.95" customHeight="1">
      <c r="A224" s="3" t="s">
        <v>1</v>
      </c>
      <c r="B224" s="29">
        <v>2025</v>
      </c>
      <c r="C224" s="24" t="s">
        <v>331</v>
      </c>
      <c r="D224" s="27" t="s">
        <v>304</v>
      </c>
      <c r="E224" s="30">
        <v>0</v>
      </c>
      <c r="F224" s="5">
        <v>0</v>
      </c>
      <c r="G224" s="47">
        <v>0</v>
      </c>
      <c r="H224" s="4" t="s">
        <v>0</v>
      </c>
      <c r="I224" s="27" t="s">
        <v>205</v>
      </c>
      <c r="J224" s="27" t="s">
        <v>9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10000</v>
      </c>
      <c r="S224" s="5">
        <v>0</v>
      </c>
      <c r="T224" s="5"/>
      <c r="U224" s="5">
        <f t="shared" si="7"/>
        <v>10000</v>
      </c>
    </row>
    <row r="225" spans="1:21" s="7" customFormat="1" ht="15.95" customHeight="1">
      <c r="A225" s="3" t="s">
        <v>1</v>
      </c>
      <c r="B225" s="29">
        <v>2025</v>
      </c>
      <c r="C225" s="24" t="s">
        <v>331</v>
      </c>
      <c r="D225" s="27" t="s">
        <v>305</v>
      </c>
      <c r="E225" s="30">
        <v>0</v>
      </c>
      <c r="F225" s="5">
        <v>0</v>
      </c>
      <c r="G225" s="47">
        <v>0</v>
      </c>
      <c r="H225" s="4" t="s">
        <v>0</v>
      </c>
      <c r="I225" s="27" t="s">
        <v>205</v>
      </c>
      <c r="J225" s="27" t="s">
        <v>9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54000</v>
      </c>
      <c r="S225" s="5">
        <v>0</v>
      </c>
      <c r="T225" s="5"/>
      <c r="U225" s="5">
        <f t="shared" si="7"/>
        <v>54000</v>
      </c>
    </row>
    <row r="226" spans="1:21" s="7" customFormat="1" ht="15.95" customHeight="1">
      <c r="A226" s="3" t="s">
        <v>1</v>
      </c>
      <c r="B226" s="29">
        <v>2025</v>
      </c>
      <c r="C226" s="24" t="s">
        <v>331</v>
      </c>
      <c r="D226" s="27" t="s">
        <v>306</v>
      </c>
      <c r="E226" s="30">
        <v>0</v>
      </c>
      <c r="F226" s="5">
        <v>0</v>
      </c>
      <c r="G226" s="47">
        <v>0</v>
      </c>
      <c r="H226" s="4" t="s">
        <v>0</v>
      </c>
      <c r="I226" s="27" t="s">
        <v>205</v>
      </c>
      <c r="J226" s="27" t="s">
        <v>9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30000</v>
      </c>
      <c r="S226" s="5">
        <v>0</v>
      </c>
      <c r="T226" s="5"/>
      <c r="U226" s="5">
        <f t="shared" si="7"/>
        <v>30000</v>
      </c>
    </row>
    <row r="227" spans="1:21" s="7" customFormat="1" ht="15.95" customHeight="1">
      <c r="A227" s="3" t="s">
        <v>1</v>
      </c>
      <c r="B227" s="29">
        <v>2025</v>
      </c>
      <c r="C227" s="24" t="s">
        <v>331</v>
      </c>
      <c r="D227" s="27" t="s">
        <v>307</v>
      </c>
      <c r="E227" s="30">
        <v>0</v>
      </c>
      <c r="F227" s="5">
        <v>0</v>
      </c>
      <c r="G227" s="47">
        <v>0</v>
      </c>
      <c r="H227" s="4" t="s">
        <v>0</v>
      </c>
      <c r="I227" s="27" t="s">
        <v>205</v>
      </c>
      <c r="J227" s="27" t="s">
        <v>9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25000</v>
      </c>
      <c r="S227" s="5">
        <v>0</v>
      </c>
      <c r="T227" s="5"/>
      <c r="U227" s="5">
        <f t="shared" si="7"/>
        <v>25000</v>
      </c>
    </row>
    <row r="228" spans="1:21" s="7" customFormat="1" ht="15.95" customHeight="1">
      <c r="A228" s="3" t="s">
        <v>1</v>
      </c>
      <c r="B228" s="29">
        <v>2025</v>
      </c>
      <c r="C228" s="24" t="s">
        <v>331</v>
      </c>
      <c r="D228" s="27" t="s">
        <v>203</v>
      </c>
      <c r="E228" s="30">
        <v>0</v>
      </c>
      <c r="F228" s="5">
        <v>0</v>
      </c>
      <c r="G228" s="47">
        <v>0</v>
      </c>
      <c r="H228" s="4" t="s">
        <v>0</v>
      </c>
      <c r="I228" s="27" t="s">
        <v>205</v>
      </c>
      <c r="J228" s="27" t="s">
        <v>9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88000</v>
      </c>
      <c r="S228" s="5">
        <v>0</v>
      </c>
      <c r="T228" s="5"/>
      <c r="U228" s="5">
        <f t="shared" si="7"/>
        <v>88000</v>
      </c>
    </row>
    <row r="229" spans="1:21" s="7" customFormat="1" ht="15.95" customHeight="1">
      <c r="A229" s="3" t="s">
        <v>1</v>
      </c>
      <c r="B229" s="29">
        <v>2025</v>
      </c>
      <c r="C229" s="24" t="s">
        <v>331</v>
      </c>
      <c r="D229" s="27" t="s">
        <v>204</v>
      </c>
      <c r="E229" s="30">
        <v>0</v>
      </c>
      <c r="F229" s="5">
        <v>0</v>
      </c>
      <c r="G229" s="47">
        <v>0</v>
      </c>
      <c r="H229" s="4" t="s">
        <v>0</v>
      </c>
      <c r="I229" s="27" t="s">
        <v>205</v>
      </c>
      <c r="J229" s="27" t="s">
        <v>9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150000</v>
      </c>
      <c r="S229" s="5">
        <v>0</v>
      </c>
      <c r="T229" s="5"/>
      <c r="U229" s="5">
        <f t="shared" si="7"/>
        <v>150000</v>
      </c>
    </row>
    <row r="230" spans="1:21" s="7" customFormat="1" ht="15.95" customHeight="1">
      <c r="A230" s="3" t="s">
        <v>1</v>
      </c>
      <c r="B230" s="29">
        <v>2025</v>
      </c>
      <c r="C230" s="24" t="s">
        <v>331</v>
      </c>
      <c r="D230" s="27" t="s">
        <v>308</v>
      </c>
      <c r="E230" s="30">
        <v>0</v>
      </c>
      <c r="F230" s="5">
        <v>0</v>
      </c>
      <c r="G230" s="47">
        <v>0</v>
      </c>
      <c r="H230" s="4" t="s">
        <v>0</v>
      </c>
      <c r="I230" s="27" t="s">
        <v>205</v>
      </c>
      <c r="J230" s="27" t="s">
        <v>9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96000</v>
      </c>
      <c r="S230" s="5">
        <v>0</v>
      </c>
      <c r="T230" s="5"/>
      <c r="U230" s="5">
        <f t="shared" si="7"/>
        <v>96000</v>
      </c>
    </row>
    <row r="231" spans="1:21" s="7" customFormat="1" ht="15.95" customHeight="1">
      <c r="A231" s="3" t="s">
        <v>1</v>
      </c>
      <c r="B231" s="29">
        <v>2025</v>
      </c>
      <c r="C231" s="24" t="s">
        <v>331</v>
      </c>
      <c r="D231" s="27" t="s">
        <v>309</v>
      </c>
      <c r="E231" s="30">
        <v>0</v>
      </c>
      <c r="F231" s="5">
        <v>0</v>
      </c>
      <c r="G231" s="47">
        <v>0</v>
      </c>
      <c r="H231" s="4" t="s">
        <v>0</v>
      </c>
      <c r="I231" s="27" t="s">
        <v>205</v>
      </c>
      <c r="J231" s="27" t="s">
        <v>9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315000</v>
      </c>
      <c r="S231" s="5">
        <v>0</v>
      </c>
      <c r="T231" s="5"/>
      <c r="U231" s="5">
        <f t="shared" si="7"/>
        <v>315000</v>
      </c>
    </row>
    <row r="232" spans="1:21" s="7" customFormat="1" ht="15.95" customHeight="1">
      <c r="A232" s="3" t="s">
        <v>1</v>
      </c>
      <c r="B232" s="29">
        <v>2025</v>
      </c>
      <c r="C232" s="24" t="s">
        <v>331</v>
      </c>
      <c r="D232" s="27" t="s">
        <v>310</v>
      </c>
      <c r="E232" s="30">
        <v>0</v>
      </c>
      <c r="F232" s="5">
        <v>0</v>
      </c>
      <c r="G232" s="47">
        <v>0</v>
      </c>
      <c r="H232" s="4" t="s">
        <v>0</v>
      </c>
      <c r="I232" s="27" t="s">
        <v>205</v>
      </c>
      <c r="J232" s="27" t="s">
        <v>9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55500</v>
      </c>
      <c r="S232" s="5">
        <v>0</v>
      </c>
      <c r="T232" s="5"/>
      <c r="U232" s="5">
        <f t="shared" si="7"/>
        <v>55500</v>
      </c>
    </row>
    <row r="233" spans="1:21" s="7" customFormat="1" ht="15.95" customHeight="1">
      <c r="A233" s="3" t="s">
        <v>1</v>
      </c>
      <c r="B233" s="29">
        <v>2025</v>
      </c>
      <c r="C233" s="24" t="s">
        <v>331</v>
      </c>
      <c r="D233" s="27" t="s">
        <v>311</v>
      </c>
      <c r="E233" s="30">
        <v>0</v>
      </c>
      <c r="F233" s="5">
        <v>0</v>
      </c>
      <c r="G233" s="47">
        <v>0</v>
      </c>
      <c r="H233" s="4" t="s">
        <v>0</v>
      </c>
      <c r="I233" s="27" t="s">
        <v>205</v>
      </c>
      <c r="J233" s="27" t="s">
        <v>9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60000</v>
      </c>
      <c r="S233" s="5">
        <v>0</v>
      </c>
      <c r="T233" s="5"/>
      <c r="U233" s="5">
        <f t="shared" si="7"/>
        <v>60000</v>
      </c>
    </row>
    <row r="234" spans="1:21" s="7" customFormat="1" ht="15.95" customHeight="1">
      <c r="A234" s="3" t="s">
        <v>1</v>
      </c>
      <c r="B234" s="29">
        <v>2025</v>
      </c>
      <c r="C234" s="24" t="s">
        <v>331</v>
      </c>
      <c r="D234" s="27" t="s">
        <v>312</v>
      </c>
      <c r="E234" s="30">
        <v>0</v>
      </c>
      <c r="F234" s="5">
        <v>0</v>
      </c>
      <c r="G234" s="47">
        <v>0</v>
      </c>
      <c r="H234" s="4" t="s">
        <v>0</v>
      </c>
      <c r="I234" s="27" t="s">
        <v>205</v>
      </c>
      <c r="J234" s="27" t="s">
        <v>9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12000</v>
      </c>
      <c r="S234" s="5">
        <v>0</v>
      </c>
      <c r="T234" s="5"/>
      <c r="U234" s="5">
        <f t="shared" si="7"/>
        <v>12000</v>
      </c>
    </row>
    <row r="235" spans="1:21" s="7" customFormat="1" ht="15.95" customHeight="1">
      <c r="A235" s="3" t="s">
        <v>1</v>
      </c>
      <c r="B235" s="29">
        <v>2025</v>
      </c>
      <c r="C235" s="24" t="s">
        <v>331</v>
      </c>
      <c r="D235" s="27" t="s">
        <v>313</v>
      </c>
      <c r="E235" s="30">
        <v>0</v>
      </c>
      <c r="F235" s="5">
        <v>0</v>
      </c>
      <c r="G235" s="47">
        <v>0</v>
      </c>
      <c r="H235" s="4" t="s">
        <v>0</v>
      </c>
      <c r="I235" s="27" t="s">
        <v>217</v>
      </c>
      <c r="J235" s="27" t="s">
        <v>9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184000</v>
      </c>
      <c r="S235" s="5">
        <v>0</v>
      </c>
      <c r="T235" s="5"/>
      <c r="U235" s="5">
        <f t="shared" si="7"/>
        <v>184000</v>
      </c>
    </row>
    <row r="236" spans="1:21" s="7" customFormat="1" ht="15.95" customHeight="1">
      <c r="A236" s="3" t="s">
        <v>1</v>
      </c>
      <c r="B236" s="29">
        <v>2025</v>
      </c>
      <c r="C236" s="24" t="s">
        <v>331</v>
      </c>
      <c r="D236" s="27" t="s">
        <v>314</v>
      </c>
      <c r="E236" s="30">
        <v>0</v>
      </c>
      <c r="F236" s="5">
        <v>0</v>
      </c>
      <c r="G236" s="47">
        <v>0</v>
      </c>
      <c r="H236" s="4" t="s">
        <v>0</v>
      </c>
      <c r="I236" s="27" t="s">
        <v>217</v>
      </c>
      <c r="J236" s="27" t="s">
        <v>9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66000</v>
      </c>
      <c r="S236" s="5">
        <v>0</v>
      </c>
      <c r="T236" s="5"/>
      <c r="U236" s="5">
        <f t="shared" si="7"/>
        <v>66000</v>
      </c>
    </row>
    <row r="237" spans="1:21" s="7" customFormat="1" ht="15.95" customHeight="1">
      <c r="A237" s="3" t="s">
        <v>1</v>
      </c>
      <c r="B237" s="29">
        <v>2025</v>
      </c>
      <c r="C237" s="24" t="s">
        <v>331</v>
      </c>
      <c r="D237" s="27" t="s">
        <v>315</v>
      </c>
      <c r="E237" s="30">
        <v>0</v>
      </c>
      <c r="F237" s="5">
        <v>0</v>
      </c>
      <c r="G237" s="47">
        <v>0</v>
      </c>
      <c r="H237" s="4" t="s">
        <v>0</v>
      </c>
      <c r="I237" s="27" t="s">
        <v>217</v>
      </c>
      <c r="J237" s="27" t="s">
        <v>9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50000</v>
      </c>
      <c r="S237" s="5">
        <v>0</v>
      </c>
      <c r="T237" s="5"/>
      <c r="U237" s="5">
        <f t="shared" si="7"/>
        <v>50000</v>
      </c>
    </row>
    <row r="238" spans="1:21" s="7" customFormat="1" ht="15.95" customHeight="1">
      <c r="A238" s="3" t="s">
        <v>1</v>
      </c>
      <c r="B238" s="29">
        <v>2025</v>
      </c>
      <c r="C238" s="24" t="s">
        <v>331</v>
      </c>
      <c r="D238" s="27" t="s">
        <v>316</v>
      </c>
      <c r="E238" s="30">
        <v>0</v>
      </c>
      <c r="F238" s="5">
        <v>0</v>
      </c>
      <c r="G238" s="47">
        <v>0</v>
      </c>
      <c r="H238" s="4" t="s">
        <v>0</v>
      </c>
      <c r="I238" s="27" t="s">
        <v>217</v>
      </c>
      <c r="J238" s="27" t="s">
        <v>9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50000</v>
      </c>
      <c r="S238" s="5">
        <v>0</v>
      </c>
      <c r="T238" s="5"/>
      <c r="U238" s="5">
        <f t="shared" si="7"/>
        <v>50000</v>
      </c>
    </row>
    <row r="239" spans="1:21" s="7" customFormat="1" ht="15.95" customHeight="1">
      <c r="A239" s="3" t="s">
        <v>1</v>
      </c>
      <c r="B239" s="29">
        <v>2025</v>
      </c>
      <c r="C239" s="24" t="s">
        <v>331</v>
      </c>
      <c r="D239" s="27" t="s">
        <v>317</v>
      </c>
      <c r="E239" s="30">
        <v>0</v>
      </c>
      <c r="F239" s="5">
        <v>0</v>
      </c>
      <c r="G239" s="47">
        <v>0</v>
      </c>
      <c r="H239" s="4" t="s">
        <v>0</v>
      </c>
      <c r="I239" s="27" t="s">
        <v>217</v>
      </c>
      <c r="J239" s="27" t="s">
        <v>9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650000</v>
      </c>
      <c r="S239" s="5">
        <v>0</v>
      </c>
      <c r="T239" s="5"/>
      <c r="U239" s="5">
        <f t="shared" si="7"/>
        <v>650000</v>
      </c>
    </row>
    <row r="240" spans="1:21" s="7" customFormat="1" ht="15.95" customHeight="1">
      <c r="A240" s="3" t="s">
        <v>1</v>
      </c>
      <c r="B240" s="29">
        <v>2025</v>
      </c>
      <c r="C240" s="24" t="s">
        <v>331</v>
      </c>
      <c r="D240" s="27" t="s">
        <v>318</v>
      </c>
      <c r="E240" s="30">
        <v>0</v>
      </c>
      <c r="F240" s="5">
        <v>0</v>
      </c>
      <c r="G240" s="47">
        <v>0</v>
      </c>
      <c r="H240" s="4" t="s">
        <v>0</v>
      </c>
      <c r="I240" s="27" t="s">
        <v>217</v>
      </c>
      <c r="J240" s="27" t="s">
        <v>9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19500</v>
      </c>
      <c r="S240" s="5">
        <v>0</v>
      </c>
      <c r="T240" s="5"/>
      <c r="U240" s="5">
        <f t="shared" si="7"/>
        <v>19500</v>
      </c>
    </row>
    <row r="241" spans="1:22" s="7" customFormat="1" ht="15.95" customHeight="1">
      <c r="A241" s="3" t="s">
        <v>1</v>
      </c>
      <c r="B241" s="29">
        <v>2025</v>
      </c>
      <c r="C241" s="24" t="s">
        <v>331</v>
      </c>
      <c r="D241" s="27" t="s">
        <v>319</v>
      </c>
      <c r="E241" s="30">
        <v>0</v>
      </c>
      <c r="F241" s="5">
        <v>0</v>
      </c>
      <c r="G241" s="47">
        <v>0</v>
      </c>
      <c r="H241" s="4" t="s">
        <v>0</v>
      </c>
      <c r="I241" s="27" t="s">
        <v>217</v>
      </c>
      <c r="J241" s="27" t="s">
        <v>9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19500</v>
      </c>
      <c r="S241" s="5">
        <v>0</v>
      </c>
      <c r="T241" s="5"/>
      <c r="U241" s="5">
        <f t="shared" si="7"/>
        <v>19500</v>
      </c>
    </row>
    <row r="242" spans="1:22" s="7" customFormat="1" ht="15.95" customHeight="1">
      <c r="A242" s="3" t="s">
        <v>1</v>
      </c>
      <c r="B242" s="29">
        <v>2025</v>
      </c>
      <c r="C242" s="24" t="s">
        <v>331</v>
      </c>
      <c r="D242" s="27" t="s">
        <v>320</v>
      </c>
      <c r="E242" s="30">
        <v>0</v>
      </c>
      <c r="F242" s="5">
        <v>0</v>
      </c>
      <c r="G242" s="5">
        <v>0</v>
      </c>
      <c r="H242" s="4" t="s">
        <v>0</v>
      </c>
      <c r="I242" s="27" t="s">
        <v>217</v>
      </c>
      <c r="J242" s="27" t="s">
        <v>9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270000</v>
      </c>
      <c r="S242" s="5">
        <v>0</v>
      </c>
      <c r="T242" s="5"/>
      <c r="U242" s="5">
        <f t="shared" si="7"/>
        <v>270000</v>
      </c>
    </row>
    <row r="243" spans="1:22" s="7" customFormat="1" ht="15.95" customHeight="1">
      <c r="A243" s="3" t="s">
        <v>1</v>
      </c>
      <c r="B243" s="29">
        <v>2025</v>
      </c>
      <c r="C243" s="24" t="s">
        <v>331</v>
      </c>
      <c r="D243" s="27" t="s">
        <v>321</v>
      </c>
      <c r="E243" s="30">
        <v>0</v>
      </c>
      <c r="F243" s="5">
        <v>0</v>
      </c>
      <c r="G243" s="5">
        <v>0</v>
      </c>
      <c r="H243" s="4" t="s">
        <v>0</v>
      </c>
      <c r="I243" s="27" t="s">
        <v>217</v>
      </c>
      <c r="J243" s="27" t="s">
        <v>9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200000</v>
      </c>
      <c r="S243" s="5">
        <v>0</v>
      </c>
      <c r="T243" s="5"/>
      <c r="U243" s="5">
        <f t="shared" ref="U243:U250" si="8">E243+K243+L243+M243+N243+O243+P243+Q243+R243</f>
        <v>200000</v>
      </c>
    </row>
    <row r="244" spans="1:22" s="7" customFormat="1" ht="15.95" customHeight="1">
      <c r="A244" s="3" t="s">
        <v>1</v>
      </c>
      <c r="B244" s="29">
        <v>2025</v>
      </c>
      <c r="C244" s="24" t="s">
        <v>331</v>
      </c>
      <c r="D244" s="27" t="s">
        <v>322</v>
      </c>
      <c r="E244" s="30">
        <v>0</v>
      </c>
      <c r="F244" s="5">
        <v>0</v>
      </c>
      <c r="G244" s="5">
        <v>0</v>
      </c>
      <c r="H244" s="4" t="s">
        <v>0</v>
      </c>
      <c r="I244" s="27" t="s">
        <v>217</v>
      </c>
      <c r="J244" s="27" t="s">
        <v>9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134000</v>
      </c>
      <c r="S244" s="5">
        <v>0</v>
      </c>
      <c r="T244" s="5"/>
      <c r="U244" s="5">
        <f t="shared" si="8"/>
        <v>134000</v>
      </c>
    </row>
    <row r="245" spans="1:22" s="7" customFormat="1" ht="15.95" customHeight="1">
      <c r="A245" s="3" t="s">
        <v>1</v>
      </c>
      <c r="B245" s="29">
        <v>2025</v>
      </c>
      <c r="C245" s="24" t="s">
        <v>331</v>
      </c>
      <c r="D245" s="27" t="s">
        <v>323</v>
      </c>
      <c r="E245" s="30">
        <v>0</v>
      </c>
      <c r="F245" s="5">
        <v>0</v>
      </c>
      <c r="G245" s="5">
        <v>0</v>
      </c>
      <c r="H245" s="4" t="s">
        <v>0</v>
      </c>
      <c r="I245" s="27" t="s">
        <v>217</v>
      </c>
      <c r="J245" s="27" t="s">
        <v>9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150000</v>
      </c>
      <c r="S245" s="5">
        <v>0</v>
      </c>
      <c r="T245" s="5"/>
      <c r="U245" s="5">
        <f t="shared" si="8"/>
        <v>150000</v>
      </c>
    </row>
    <row r="246" spans="1:22" s="7" customFormat="1" ht="15.95" customHeight="1">
      <c r="A246" s="3" t="s">
        <v>1</v>
      </c>
      <c r="B246" s="29">
        <v>2025</v>
      </c>
      <c r="C246" s="24" t="s">
        <v>331</v>
      </c>
      <c r="D246" s="27" t="s">
        <v>324</v>
      </c>
      <c r="E246" s="30">
        <v>0</v>
      </c>
      <c r="F246" s="5">
        <v>0</v>
      </c>
      <c r="G246" s="5">
        <v>0</v>
      </c>
      <c r="H246" s="4" t="s">
        <v>0</v>
      </c>
      <c r="I246" s="27" t="s">
        <v>217</v>
      </c>
      <c r="J246" s="27" t="s">
        <v>9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7000</v>
      </c>
      <c r="S246" s="5">
        <v>0</v>
      </c>
      <c r="T246" s="5"/>
      <c r="U246" s="5">
        <f t="shared" si="8"/>
        <v>7000</v>
      </c>
    </row>
    <row r="247" spans="1:22" s="7" customFormat="1" ht="15.95" customHeight="1">
      <c r="A247" s="3" t="s">
        <v>1</v>
      </c>
      <c r="B247" s="29">
        <v>2025</v>
      </c>
      <c r="C247" s="24" t="s">
        <v>331</v>
      </c>
      <c r="D247" s="27" t="s">
        <v>325</v>
      </c>
      <c r="E247" s="30">
        <v>0</v>
      </c>
      <c r="F247" s="5">
        <v>0</v>
      </c>
      <c r="G247" s="5">
        <v>0</v>
      </c>
      <c r="H247" s="4" t="s">
        <v>0</v>
      </c>
      <c r="I247" s="27" t="s">
        <v>217</v>
      </c>
      <c r="J247" s="27" t="s">
        <v>9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27000</v>
      </c>
      <c r="S247" s="5">
        <v>0</v>
      </c>
      <c r="T247" s="5"/>
      <c r="U247" s="5">
        <f t="shared" si="8"/>
        <v>27000</v>
      </c>
    </row>
    <row r="248" spans="1:22" s="7" customFormat="1" ht="15.95" customHeight="1">
      <c r="A248" s="3" t="s">
        <v>1</v>
      </c>
      <c r="B248" s="29">
        <v>2025</v>
      </c>
      <c r="C248" s="24" t="s">
        <v>331</v>
      </c>
      <c r="D248" s="27" t="s">
        <v>326</v>
      </c>
      <c r="E248" s="30">
        <v>0</v>
      </c>
      <c r="F248" s="5">
        <v>0</v>
      </c>
      <c r="G248" s="5">
        <v>0</v>
      </c>
      <c r="H248" s="4" t="s">
        <v>0</v>
      </c>
      <c r="I248" s="27" t="s">
        <v>217</v>
      </c>
      <c r="J248" s="27" t="s">
        <v>9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27000</v>
      </c>
      <c r="S248" s="5">
        <v>0</v>
      </c>
      <c r="T248" s="5"/>
      <c r="U248" s="5">
        <f t="shared" si="8"/>
        <v>27000</v>
      </c>
    </row>
    <row r="249" spans="1:22" s="7" customFormat="1" ht="15.95" customHeight="1">
      <c r="A249" s="3" t="s">
        <v>1</v>
      </c>
      <c r="B249" s="29">
        <v>2025</v>
      </c>
      <c r="C249" s="24" t="s">
        <v>331</v>
      </c>
      <c r="D249" s="27" t="s">
        <v>327</v>
      </c>
      <c r="E249" s="30">
        <v>0</v>
      </c>
      <c r="F249" s="5">
        <v>0</v>
      </c>
      <c r="G249" s="5">
        <v>0</v>
      </c>
      <c r="H249" s="4" t="s">
        <v>0</v>
      </c>
      <c r="I249" s="27" t="s">
        <v>176</v>
      </c>
      <c r="J249" s="27" t="s">
        <v>9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4717000</v>
      </c>
      <c r="S249" s="5">
        <v>0</v>
      </c>
      <c r="T249" s="5"/>
      <c r="U249" s="5">
        <f t="shared" si="8"/>
        <v>4717000</v>
      </c>
    </row>
    <row r="250" spans="1:22" s="7" customFormat="1" ht="15.95" customHeight="1">
      <c r="A250" s="3" t="s">
        <v>1</v>
      </c>
      <c r="B250" s="29">
        <v>2025</v>
      </c>
      <c r="C250" s="24" t="s">
        <v>331</v>
      </c>
      <c r="D250" s="27" t="s">
        <v>328</v>
      </c>
      <c r="E250" s="30">
        <v>0</v>
      </c>
      <c r="F250" s="5">
        <v>0</v>
      </c>
      <c r="G250" s="5">
        <v>0</v>
      </c>
      <c r="H250" s="4" t="s">
        <v>0</v>
      </c>
      <c r="I250" s="27" t="s">
        <v>176</v>
      </c>
      <c r="J250" s="27" t="s">
        <v>9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170000</v>
      </c>
      <c r="S250" s="5">
        <v>0</v>
      </c>
      <c r="T250" s="5"/>
      <c r="U250" s="5">
        <f t="shared" si="8"/>
        <v>170000</v>
      </c>
    </row>
    <row r="251" spans="1:22">
      <c r="F251" s="5"/>
      <c r="G251" s="5"/>
    </row>
    <row r="252" spans="1:22" s="25" customFormat="1">
      <c r="A252" s="13"/>
      <c r="B252" s="13"/>
      <c r="C252" s="4"/>
      <c r="D252" s="4"/>
      <c r="E252" s="38">
        <f>SUBTOTAL(9,E4:E251)</f>
        <v>7279486715.8400002</v>
      </c>
      <c r="F252" s="5"/>
      <c r="G252" s="5"/>
      <c r="H252" s="4"/>
      <c r="I252" s="4"/>
      <c r="J252" s="6"/>
      <c r="K252" s="43">
        <f t="shared" ref="K252:S252" si="9">SUBTOTAL(9,K4:K251)</f>
        <v>686680889</v>
      </c>
      <c r="L252" s="43">
        <f t="shared" si="9"/>
        <v>149183884</v>
      </c>
      <c r="M252" s="43">
        <f t="shared" si="9"/>
        <v>-393065428</v>
      </c>
      <c r="N252" s="43">
        <f t="shared" si="9"/>
        <v>0</v>
      </c>
      <c r="O252" s="43">
        <f t="shared" si="9"/>
        <v>-1500000</v>
      </c>
      <c r="P252" s="43">
        <f t="shared" si="9"/>
        <v>-154034667</v>
      </c>
      <c r="Q252" s="43">
        <f t="shared" si="9"/>
        <v>-2892500</v>
      </c>
      <c r="R252" s="43">
        <f t="shared" si="9"/>
        <v>1918040013.1600001</v>
      </c>
      <c r="S252" s="43">
        <f t="shared" si="9"/>
        <v>-3323562928</v>
      </c>
      <c r="T252" s="28"/>
      <c r="U252" s="43">
        <f>SUBTOTAL(9,U4:U251)</f>
        <v>6158335979</v>
      </c>
    </row>
    <row r="253" spans="1:22" s="15" customFormat="1">
      <c r="A253" s="13"/>
      <c r="B253" s="13"/>
      <c r="C253" s="4"/>
      <c r="D253" s="4" t="s">
        <v>9</v>
      </c>
      <c r="E253" s="38"/>
      <c r="F253" s="5"/>
      <c r="G253" s="5"/>
      <c r="H253" s="4"/>
      <c r="I253" s="4"/>
      <c r="J253" s="6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25"/>
    </row>
    <row r="254" spans="1:22">
      <c r="F254" s="5"/>
      <c r="G254" s="5"/>
    </row>
    <row r="255" spans="1:22">
      <c r="F255" s="5"/>
      <c r="G255" s="5"/>
      <c r="R255" s="5" t="s">
        <v>9</v>
      </c>
    </row>
    <row r="256" spans="1:22">
      <c r="F256" s="5"/>
      <c r="G256" s="5"/>
      <c r="R256" s="5" t="s">
        <v>9</v>
      </c>
    </row>
    <row r="257" spans="6:7">
      <c r="F257" s="5"/>
      <c r="G257" s="5"/>
    </row>
    <row r="258" spans="6:7">
      <c r="F258" s="5"/>
      <c r="G258" s="5"/>
    </row>
    <row r="259" spans="6:7">
      <c r="F259" s="5"/>
      <c r="G259" s="5"/>
    </row>
    <row r="260" spans="6:7">
      <c r="F260" s="5"/>
      <c r="G260" s="5"/>
    </row>
    <row r="261" spans="6:7">
      <c r="F261" s="5"/>
      <c r="G261" s="5"/>
    </row>
    <row r="262" spans="6:7">
      <c r="F262" s="5"/>
      <c r="G262" s="5"/>
    </row>
    <row r="263" spans="6:7">
      <c r="F263" s="5"/>
      <c r="G263" s="5"/>
    </row>
    <row r="264" spans="6:7">
      <c r="F264" s="5"/>
      <c r="G264" s="5"/>
    </row>
    <row r="265" spans="6:7">
      <c r="F265" s="5"/>
      <c r="G265" s="5"/>
    </row>
    <row r="266" spans="6:7">
      <c r="F266" s="5"/>
      <c r="G266" s="5"/>
    </row>
    <row r="267" spans="6:7">
      <c r="F267" s="5"/>
      <c r="G267" s="5"/>
    </row>
    <row r="268" spans="6:7">
      <c r="F268" s="5"/>
      <c r="G268" s="5"/>
    </row>
    <row r="269" spans="6:7">
      <c r="F269" s="5"/>
      <c r="G269" s="5"/>
    </row>
    <row r="270" spans="6:7">
      <c r="F270" s="5"/>
      <c r="G270" s="5"/>
    </row>
    <row r="271" spans="6:7">
      <c r="F271" s="5"/>
      <c r="G271" s="5"/>
    </row>
    <row r="272" spans="6:7">
      <c r="F272" s="5"/>
      <c r="G272" s="5"/>
    </row>
    <row r="273" spans="6:7">
      <c r="F273" s="5"/>
      <c r="G273" s="5"/>
    </row>
    <row r="274" spans="6:7">
      <c r="F274" s="5"/>
      <c r="G274" s="5"/>
    </row>
    <row r="275" spans="6:7">
      <c r="F275" s="5"/>
      <c r="G275" s="5"/>
    </row>
    <row r="276" spans="6:7">
      <c r="F276" s="5"/>
      <c r="G276" s="5"/>
    </row>
    <row r="277" spans="6:7">
      <c r="F277" s="5"/>
      <c r="G277" s="5"/>
    </row>
    <row r="278" spans="6:7">
      <c r="F278" s="5"/>
      <c r="G278" s="5"/>
    </row>
    <row r="279" spans="6:7">
      <c r="F279" s="5"/>
      <c r="G279" s="5"/>
    </row>
    <row r="280" spans="6:7">
      <c r="F280" s="5"/>
      <c r="G280" s="5"/>
    </row>
    <row r="281" spans="6:7">
      <c r="F281" s="5"/>
      <c r="G281" s="5"/>
    </row>
    <row r="282" spans="6:7">
      <c r="F282" s="5"/>
      <c r="G282" s="5"/>
    </row>
    <row r="283" spans="6:7">
      <c r="F283" s="5"/>
      <c r="G283" s="5"/>
    </row>
    <row r="284" spans="6:7">
      <c r="F284" s="5"/>
      <c r="G284" s="5"/>
    </row>
    <row r="285" spans="6:7">
      <c r="F285" s="5"/>
      <c r="G285" s="5"/>
    </row>
    <row r="286" spans="6:7">
      <c r="F286" s="5"/>
      <c r="G286" s="5"/>
    </row>
    <row r="287" spans="6:7">
      <c r="F287" s="5"/>
      <c r="G287" s="5"/>
    </row>
    <row r="288" spans="6:7">
      <c r="F288" s="5"/>
      <c r="G288" s="5"/>
    </row>
    <row r="289" spans="6:7">
      <c r="F289" s="5"/>
      <c r="G289" s="5"/>
    </row>
    <row r="290" spans="6:7">
      <c r="F290" s="5"/>
      <c r="G290" s="5"/>
    </row>
    <row r="291" spans="6:7">
      <c r="F291" s="5"/>
      <c r="G291" s="5"/>
    </row>
    <row r="292" spans="6:7">
      <c r="F292" s="5"/>
      <c r="G292" s="5"/>
    </row>
    <row r="293" spans="6:7">
      <c r="F293" s="5"/>
      <c r="G293" s="5"/>
    </row>
    <row r="294" spans="6:7">
      <c r="F294" s="5"/>
      <c r="G294" s="5"/>
    </row>
    <row r="295" spans="6:7">
      <c r="F295" s="5"/>
      <c r="G295" s="5"/>
    </row>
    <row r="296" spans="6:7">
      <c r="F296" s="5"/>
      <c r="G296" s="5"/>
    </row>
    <row r="297" spans="6:7">
      <c r="F297" s="5"/>
      <c r="G297" s="5"/>
    </row>
    <row r="298" spans="6:7">
      <c r="F298" s="5"/>
      <c r="G298" s="5"/>
    </row>
    <row r="299" spans="6:7">
      <c r="F299" s="5"/>
      <c r="G299" s="5"/>
    </row>
    <row r="300" spans="6:7">
      <c r="F300" s="5"/>
      <c r="G300" s="5"/>
    </row>
    <row r="301" spans="6:7">
      <c r="F301" s="5"/>
      <c r="G301" s="5"/>
    </row>
    <row r="302" spans="6:7">
      <c r="F302" s="5"/>
      <c r="G302" s="5"/>
    </row>
    <row r="303" spans="6:7">
      <c r="F303" s="5"/>
      <c r="G303" s="5"/>
    </row>
    <row r="304" spans="6:7">
      <c r="F304" s="5"/>
      <c r="G304" s="5"/>
    </row>
    <row r="305" spans="6:7">
      <c r="F305" s="5"/>
      <c r="G305" s="5"/>
    </row>
    <row r="306" spans="6:7">
      <c r="F306" s="5"/>
      <c r="G306" s="5"/>
    </row>
    <row r="307" spans="6:7">
      <c r="F307" s="5"/>
      <c r="G307" s="5"/>
    </row>
    <row r="308" spans="6:7">
      <c r="F308" s="5"/>
      <c r="G308" s="5"/>
    </row>
    <row r="309" spans="6:7">
      <c r="F309" s="5"/>
      <c r="G309" s="5"/>
    </row>
    <row r="310" spans="6:7">
      <c r="F310" s="5"/>
      <c r="G310" s="5"/>
    </row>
    <row r="311" spans="6:7">
      <c r="F311" s="5"/>
      <c r="G311" s="5"/>
    </row>
    <row r="312" spans="6:7">
      <c r="F312" s="5"/>
      <c r="G312" s="5"/>
    </row>
    <row r="313" spans="6:7">
      <c r="F313" s="5"/>
      <c r="G313" s="5"/>
    </row>
    <row r="314" spans="6:7">
      <c r="F314" s="5"/>
      <c r="G314" s="5"/>
    </row>
    <row r="315" spans="6:7">
      <c r="F315" s="5"/>
      <c r="G315" s="5"/>
    </row>
    <row r="316" spans="6:7">
      <c r="F316" s="5"/>
      <c r="G316" s="5"/>
    </row>
    <row r="317" spans="6:7">
      <c r="F317" s="5"/>
      <c r="G317" s="5"/>
    </row>
    <row r="318" spans="6:7">
      <c r="F318" s="5"/>
      <c r="G318" s="5"/>
    </row>
    <row r="319" spans="6:7">
      <c r="F319" s="5"/>
      <c r="G319" s="5"/>
    </row>
    <row r="320" spans="6:7">
      <c r="F320" s="5"/>
      <c r="G320" s="5"/>
    </row>
    <row r="321" spans="6:7">
      <c r="F321" s="5"/>
      <c r="G321" s="5"/>
    </row>
    <row r="322" spans="6:7">
      <c r="F322" s="5"/>
      <c r="G322" s="5"/>
    </row>
    <row r="323" spans="6:7">
      <c r="F323" s="5"/>
      <c r="G323" s="5"/>
    </row>
    <row r="324" spans="6:7">
      <c r="F324" s="5"/>
      <c r="G324" s="5"/>
    </row>
    <row r="325" spans="6:7">
      <c r="F325" s="5"/>
      <c r="G325" s="5"/>
    </row>
    <row r="326" spans="6:7">
      <c r="F326" s="5"/>
      <c r="G326" s="5"/>
    </row>
    <row r="327" spans="6:7">
      <c r="F327" s="5"/>
      <c r="G327" s="5"/>
    </row>
    <row r="328" spans="6:7">
      <c r="F328" s="5"/>
      <c r="G328" s="5"/>
    </row>
    <row r="329" spans="6:7">
      <c r="F329" s="5"/>
      <c r="G329" s="5"/>
    </row>
    <row r="330" spans="6:7">
      <c r="F330" s="5"/>
      <c r="G330" s="5"/>
    </row>
    <row r="331" spans="6:7">
      <c r="F331" s="5"/>
      <c r="G331" s="5"/>
    </row>
    <row r="332" spans="6:7">
      <c r="F332" s="5"/>
      <c r="G332" s="5"/>
    </row>
    <row r="333" spans="6:7">
      <c r="F333" s="5"/>
      <c r="G333" s="5"/>
    </row>
    <row r="334" spans="6:7">
      <c r="F334" s="5"/>
      <c r="G334" s="5"/>
    </row>
    <row r="335" spans="6:7">
      <c r="F335" s="5"/>
      <c r="G335" s="5"/>
    </row>
    <row r="336" spans="6:7">
      <c r="F336" s="5"/>
      <c r="G336" s="5"/>
    </row>
    <row r="337" spans="6:7">
      <c r="F337" s="5"/>
      <c r="G337" s="5"/>
    </row>
    <row r="338" spans="6:7">
      <c r="F338" s="5"/>
      <c r="G338" s="5"/>
    </row>
    <row r="339" spans="6:7">
      <c r="F339" s="5"/>
      <c r="G339" s="5"/>
    </row>
    <row r="340" spans="6:7">
      <c r="F340" s="5"/>
      <c r="G340" s="5"/>
    </row>
    <row r="341" spans="6:7">
      <c r="F341" s="5"/>
      <c r="G341" s="5"/>
    </row>
    <row r="343" spans="6:7">
      <c r="F343" s="38"/>
      <c r="G343" s="38"/>
    </row>
    <row r="345" spans="6:7">
      <c r="F345" s="49"/>
      <c r="G345" s="49"/>
    </row>
    <row r="347" spans="6:7">
      <c r="F347" s="50"/>
      <c r="G347" s="50"/>
    </row>
  </sheetData>
  <autoFilter ref="A3:U250"/>
  <mergeCells count="1">
    <mergeCell ref="K2:S2"/>
  </mergeCells>
  <pageMargins left="0.45" right="0.45" top="0.75" bottom="0.75" header="0.3" footer="0.3"/>
  <pageSetup scale="25" orientation="landscape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AP</vt:lpstr>
      <vt:lpstr>AP!Print_Area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ATI-Administrator</cp:lastModifiedBy>
  <cp:lastPrinted>2026-06-04T09:53:57Z</cp:lastPrinted>
  <dcterms:created xsi:type="dcterms:W3CDTF">2022-01-08T11:05:28Z</dcterms:created>
  <dcterms:modified xsi:type="dcterms:W3CDTF">2026-08-02T12:00:33Z</dcterms:modified>
</cp:coreProperties>
</file>