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-User\Downloads\PCMI-Apps\"/>
    </mc:Choice>
  </mc:AlternateContent>
  <xr:revisionPtr revIDLastSave="0" documentId="8_{3884FBE0-54B7-485E-96A3-BCEA370A8BE3}" xr6:coauthVersionLast="47" xr6:coauthVersionMax="47" xr10:uidLastSave="{00000000-0000-0000-0000-000000000000}"/>
  <bookViews>
    <workbookView xWindow="-103" yWindow="-103" windowWidth="24892" windowHeight="14914" xr2:uid="{C49568A5-158C-924F-8878-5D75329F86B5}"/>
  </bookViews>
  <sheets>
    <sheet name="AP" sheetId="44" r:id="rId1"/>
  </sheets>
  <definedNames>
    <definedName name="_xlnm._FilterDatabase" localSheetId="0" hidden="1">AP!$A$3:$V$340</definedName>
    <definedName name="_xlnm.Print_Area" localSheetId="0">AP!$A$2:$V$340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0" i="44" l="1"/>
  <c r="S342" i="44"/>
  <c r="U52" i="44" l="1"/>
  <c r="V158" i="44" l="1"/>
  <c r="U158" i="44"/>
  <c r="V339" i="44" l="1"/>
  <c r="U339" i="44"/>
  <c r="V338" i="44"/>
  <c r="U338" i="44"/>
  <c r="V337" i="44"/>
  <c r="U337" i="44"/>
  <c r="V336" i="44"/>
  <c r="U336" i="44"/>
  <c r="V334" i="44"/>
  <c r="U334" i="44"/>
  <c r="V333" i="44"/>
  <c r="U333" i="44"/>
  <c r="V157" i="44"/>
  <c r="U157" i="44"/>
  <c r="V331" i="44"/>
  <c r="U331" i="44"/>
  <c r="V330" i="44"/>
  <c r="U330" i="44"/>
  <c r="R58" i="44" l="1"/>
  <c r="V335" i="44" l="1"/>
  <c r="U335" i="44"/>
  <c r="V340" i="44" l="1"/>
  <c r="U340" i="44"/>
  <c r="V332" i="44"/>
  <c r="U332" i="44"/>
  <c r="V329" i="44"/>
  <c r="U329" i="44"/>
  <c r="V328" i="44"/>
  <c r="U328" i="44"/>
  <c r="V327" i="44"/>
  <c r="U327" i="44"/>
  <c r="V326" i="44"/>
  <c r="U326" i="44"/>
  <c r="V325" i="44"/>
  <c r="U325" i="44"/>
  <c r="V324" i="44"/>
  <c r="U324" i="44"/>
  <c r="V323" i="44"/>
  <c r="U323" i="44"/>
  <c r="V322" i="44"/>
  <c r="U322" i="44"/>
  <c r="V321" i="44"/>
  <c r="U321" i="44"/>
  <c r="V320" i="44"/>
  <c r="U320" i="44"/>
  <c r="V319" i="44"/>
  <c r="U319" i="44"/>
  <c r="V318" i="44"/>
  <c r="U318" i="44"/>
  <c r="V317" i="44"/>
  <c r="U317" i="44"/>
  <c r="V159" i="44"/>
  <c r="U159" i="44"/>
  <c r="V156" i="44"/>
  <c r="U156" i="44"/>
  <c r="V155" i="44"/>
  <c r="U155" i="44"/>
  <c r="V154" i="44"/>
  <c r="U154" i="44"/>
  <c r="V38" i="44"/>
  <c r="U38" i="44"/>
  <c r="M1" i="44"/>
  <c r="U55" i="44" l="1"/>
  <c r="U56" i="44"/>
  <c r="U53" i="44"/>
  <c r="U51" i="44" l="1"/>
  <c r="U54" i="44"/>
  <c r="U49" i="44"/>
  <c r="U48" i="44"/>
  <c r="U47" i="44"/>
  <c r="U46" i="44"/>
  <c r="U45" i="44"/>
  <c r="U44" i="44"/>
  <c r="U43" i="44"/>
  <c r="U42" i="44"/>
  <c r="U41" i="44"/>
  <c r="U40" i="44"/>
  <c r="U39" i="44"/>
  <c r="U37" i="44"/>
  <c r="V12" i="44" l="1"/>
  <c r="U12" i="44"/>
  <c r="V49" i="44"/>
  <c r="V150" i="44"/>
  <c r="U150" i="44"/>
  <c r="V39" i="44"/>
  <c r="V33" i="44" l="1"/>
  <c r="U33" i="44"/>
  <c r="V32" i="44"/>
  <c r="U32" i="44"/>
  <c r="V30" i="44" l="1"/>
  <c r="U30" i="44"/>
  <c r="V29" i="44"/>
  <c r="U29" i="44"/>
  <c r="V18" i="44"/>
  <c r="U18" i="44"/>
  <c r="V31" i="44" l="1"/>
  <c r="U31" i="44"/>
  <c r="V28" i="44"/>
  <c r="U28" i="44"/>
  <c r="V27" i="44"/>
  <c r="U27" i="44"/>
  <c r="V26" i="44"/>
  <c r="U26" i="44"/>
  <c r="V25" i="44"/>
  <c r="U25" i="44"/>
  <c r="V24" i="44"/>
  <c r="U24" i="44"/>
  <c r="V23" i="44"/>
  <c r="U23" i="44"/>
  <c r="V22" i="44"/>
  <c r="U22" i="44"/>
  <c r="V21" i="44"/>
  <c r="U21" i="44"/>
  <c r="V20" i="44"/>
  <c r="U20" i="44"/>
  <c r="V19" i="44"/>
  <c r="U19" i="44"/>
  <c r="V17" i="44"/>
  <c r="U17" i="44"/>
  <c r="V16" i="44"/>
  <c r="U16" i="44"/>
  <c r="V15" i="44"/>
  <c r="U15" i="44"/>
  <c r="M5" i="44" l="1"/>
  <c r="E1" i="44"/>
  <c r="R1" i="44" s="1"/>
  <c r="V44" i="44" l="1"/>
  <c r="V290" i="44" l="1"/>
  <c r="U290" i="44"/>
  <c r="V289" i="44"/>
  <c r="U289" i="44"/>
  <c r="V288" i="44"/>
  <c r="U288" i="44"/>
  <c r="V287" i="44"/>
  <c r="U287" i="44"/>
  <c r="V286" i="44"/>
  <c r="U286" i="44"/>
  <c r="V285" i="44"/>
  <c r="U285" i="44"/>
  <c r="V284" i="44"/>
  <c r="U284" i="44"/>
  <c r="V283" i="44"/>
  <c r="U283" i="44"/>
  <c r="V296" i="44"/>
  <c r="U296" i="44"/>
  <c r="V295" i="44"/>
  <c r="U295" i="44"/>
  <c r="V294" i="44"/>
  <c r="U294" i="44"/>
  <c r="V293" i="44"/>
  <c r="U293" i="44"/>
  <c r="V292" i="44"/>
  <c r="U292" i="44"/>
  <c r="V291" i="44"/>
  <c r="U291" i="44"/>
  <c r="V282" i="44"/>
  <c r="U282" i="44"/>
  <c r="V281" i="44"/>
  <c r="U281" i="44"/>
  <c r="V280" i="44"/>
  <c r="U280" i="44"/>
  <c r="V279" i="44"/>
  <c r="U279" i="44"/>
  <c r="V278" i="44"/>
  <c r="U278" i="44"/>
  <c r="V271" i="44"/>
  <c r="U271" i="44"/>
  <c r="V270" i="44"/>
  <c r="U270" i="44"/>
  <c r="V253" i="44" l="1"/>
  <c r="U253" i="44"/>
  <c r="V211" i="44"/>
  <c r="U211" i="44"/>
  <c r="V210" i="44"/>
  <c r="U210" i="44"/>
  <c r="V147" i="44" l="1"/>
  <c r="U147" i="44"/>
  <c r="V146" i="44"/>
  <c r="U146" i="44"/>
  <c r="V145" i="44"/>
  <c r="U145" i="44"/>
  <c r="V144" i="44"/>
  <c r="U144" i="44"/>
  <c r="V143" i="44"/>
  <c r="U143" i="44"/>
  <c r="V142" i="44"/>
  <c r="U142" i="44"/>
  <c r="V141" i="44"/>
  <c r="U141" i="44"/>
  <c r="V140" i="44"/>
  <c r="U140" i="44"/>
  <c r="V139" i="44"/>
  <c r="U139" i="44"/>
  <c r="V243" i="44"/>
  <c r="U243" i="44"/>
  <c r="V7" i="44"/>
  <c r="U7" i="44"/>
  <c r="V138" i="44"/>
  <c r="U138" i="44"/>
  <c r="V137" i="44"/>
  <c r="U137" i="44"/>
  <c r="V136" i="44"/>
  <c r="U136" i="44"/>
  <c r="V135" i="44"/>
  <c r="U135" i="44"/>
  <c r="S346" i="44"/>
  <c r="R342" i="44"/>
  <c r="R346" i="44" s="1"/>
  <c r="Q342" i="44"/>
  <c r="Q346" i="44" s="1"/>
  <c r="P342" i="44"/>
  <c r="P346" i="44" s="1"/>
  <c r="O342" i="44"/>
  <c r="O346" i="44" s="1"/>
  <c r="N342" i="44"/>
  <c r="N346" i="44" s="1"/>
  <c r="M342" i="44"/>
  <c r="M346" i="44" s="1"/>
  <c r="K342" i="44"/>
  <c r="K346" i="44" s="1"/>
  <c r="G342" i="44"/>
  <c r="F342" i="44"/>
  <c r="E342" i="44"/>
  <c r="V245" i="44"/>
  <c r="U245" i="44"/>
  <c r="V316" i="44"/>
  <c r="U316" i="44"/>
  <c r="V315" i="44"/>
  <c r="U315" i="44"/>
  <c r="V314" i="44"/>
  <c r="U314" i="44"/>
  <c r="V313" i="44"/>
  <c r="U313" i="44"/>
  <c r="V312" i="44"/>
  <c r="U312" i="44"/>
  <c r="V311" i="44"/>
  <c r="U311" i="44"/>
  <c r="V310" i="44"/>
  <c r="U310" i="44"/>
  <c r="V309" i="44"/>
  <c r="U309" i="44"/>
  <c r="V308" i="44"/>
  <c r="U308" i="44"/>
  <c r="V307" i="44"/>
  <c r="U307" i="44"/>
  <c r="V306" i="44"/>
  <c r="U306" i="44"/>
  <c r="V305" i="44"/>
  <c r="U305" i="44"/>
  <c r="V304" i="44"/>
  <c r="U304" i="44"/>
  <c r="V303" i="44"/>
  <c r="U303" i="44"/>
  <c r="V302" i="44"/>
  <c r="U302" i="44"/>
  <c r="V301" i="44"/>
  <c r="U301" i="44"/>
  <c r="V300" i="44"/>
  <c r="U300" i="44"/>
  <c r="V299" i="44"/>
  <c r="U299" i="44"/>
  <c r="V298" i="44"/>
  <c r="U298" i="44"/>
  <c r="V297" i="44"/>
  <c r="U297" i="44"/>
  <c r="V277" i="44"/>
  <c r="U277" i="44"/>
  <c r="V276" i="44"/>
  <c r="U276" i="44"/>
  <c r="V275" i="44"/>
  <c r="U275" i="44"/>
  <c r="V274" i="44"/>
  <c r="U274" i="44"/>
  <c r="V273" i="44"/>
  <c r="U273" i="44"/>
  <c r="V272" i="44"/>
  <c r="U272" i="44"/>
  <c r="V269" i="44"/>
  <c r="U269" i="44"/>
  <c r="V268" i="44"/>
  <c r="U268" i="44"/>
  <c r="V267" i="44"/>
  <c r="U267" i="44"/>
  <c r="V266" i="44"/>
  <c r="U266" i="44"/>
  <c r="V265" i="44"/>
  <c r="U265" i="44"/>
  <c r="V264" i="44"/>
  <c r="U264" i="44"/>
  <c r="V263" i="44"/>
  <c r="U263" i="44"/>
  <c r="V262" i="44"/>
  <c r="U262" i="44"/>
  <c r="V261" i="44"/>
  <c r="U261" i="44"/>
  <c r="V260" i="44"/>
  <c r="U260" i="44"/>
  <c r="V259" i="44"/>
  <c r="U259" i="44"/>
  <c r="V258" i="44"/>
  <c r="U258" i="44"/>
  <c r="V257" i="44"/>
  <c r="U257" i="44"/>
  <c r="V256" i="44"/>
  <c r="U256" i="44"/>
  <c r="V255" i="44"/>
  <c r="U255" i="44"/>
  <c r="V254" i="44"/>
  <c r="U254" i="44"/>
  <c r="V252" i="44"/>
  <c r="U252" i="44"/>
  <c r="V251" i="44"/>
  <c r="U251" i="44"/>
  <c r="V250" i="44"/>
  <c r="U250" i="44"/>
  <c r="V249" i="44"/>
  <c r="U249" i="44"/>
  <c r="V248" i="44"/>
  <c r="U248" i="44"/>
  <c r="V247" i="44"/>
  <c r="U247" i="44"/>
  <c r="V246" i="44"/>
  <c r="U246" i="44"/>
  <c r="V244" i="44"/>
  <c r="U244" i="44"/>
  <c r="V242" i="44"/>
  <c r="U242" i="44"/>
  <c r="V241" i="44"/>
  <c r="U241" i="44"/>
  <c r="V240" i="44"/>
  <c r="U240" i="44"/>
  <c r="V239" i="44"/>
  <c r="U239" i="44"/>
  <c r="V238" i="44"/>
  <c r="U238" i="44"/>
  <c r="V237" i="44"/>
  <c r="U237" i="44"/>
  <c r="V236" i="44"/>
  <c r="U236" i="44"/>
  <c r="V235" i="44"/>
  <c r="U235" i="44"/>
  <c r="V234" i="44"/>
  <c r="U234" i="44"/>
  <c r="V233" i="44"/>
  <c r="U233" i="44"/>
  <c r="V232" i="44"/>
  <c r="U232" i="44"/>
  <c r="V231" i="44"/>
  <c r="U231" i="44"/>
  <c r="V230" i="44"/>
  <c r="U230" i="44"/>
  <c r="V229" i="44"/>
  <c r="U229" i="44"/>
  <c r="V228" i="44"/>
  <c r="U228" i="44"/>
  <c r="V227" i="44"/>
  <c r="U227" i="44"/>
  <c r="V226" i="44"/>
  <c r="U226" i="44"/>
  <c r="V225" i="44"/>
  <c r="U225" i="44"/>
  <c r="V224" i="44"/>
  <c r="U224" i="44"/>
  <c r="V223" i="44"/>
  <c r="U223" i="44"/>
  <c r="V222" i="44"/>
  <c r="U222" i="44"/>
  <c r="V221" i="44"/>
  <c r="U221" i="44"/>
  <c r="V220" i="44"/>
  <c r="U220" i="44"/>
  <c r="V219" i="44"/>
  <c r="U219" i="44"/>
  <c r="V218" i="44"/>
  <c r="U218" i="44"/>
  <c r="V217" i="44"/>
  <c r="U217" i="44"/>
  <c r="V216" i="44"/>
  <c r="U216" i="44"/>
  <c r="V215" i="44"/>
  <c r="U215" i="44"/>
  <c r="V214" i="44"/>
  <c r="U214" i="44"/>
  <c r="V213" i="44"/>
  <c r="U213" i="44"/>
  <c r="V212" i="44"/>
  <c r="U212" i="44"/>
  <c r="V209" i="44"/>
  <c r="U209" i="44"/>
  <c r="V208" i="44"/>
  <c r="U208" i="44"/>
  <c r="V207" i="44"/>
  <c r="U207" i="44"/>
  <c r="V206" i="44"/>
  <c r="U206" i="44"/>
  <c r="V205" i="44"/>
  <c r="U205" i="44"/>
  <c r="V204" i="44"/>
  <c r="U204" i="44"/>
  <c r="V203" i="44"/>
  <c r="U203" i="44"/>
  <c r="V202" i="44"/>
  <c r="U202" i="44"/>
  <c r="V201" i="44"/>
  <c r="U201" i="44"/>
  <c r="V200" i="44"/>
  <c r="U200" i="44"/>
  <c r="V199" i="44"/>
  <c r="U199" i="44"/>
  <c r="V198" i="44"/>
  <c r="U198" i="44"/>
  <c r="V197" i="44"/>
  <c r="U197" i="44"/>
  <c r="V196" i="44"/>
  <c r="U196" i="44"/>
  <c r="V195" i="44"/>
  <c r="U195" i="44"/>
  <c r="V194" i="44"/>
  <c r="U194" i="44"/>
  <c r="V193" i="44"/>
  <c r="U193" i="44"/>
  <c r="V192" i="44"/>
  <c r="U192" i="44"/>
  <c r="V191" i="44"/>
  <c r="U191" i="44"/>
  <c r="V190" i="44"/>
  <c r="U190" i="44"/>
  <c r="V189" i="44"/>
  <c r="U189" i="44"/>
  <c r="V188" i="44"/>
  <c r="U188" i="44"/>
  <c r="V187" i="44"/>
  <c r="U187" i="44"/>
  <c r="V186" i="44"/>
  <c r="U186" i="44"/>
  <c r="V185" i="44"/>
  <c r="U185" i="44"/>
  <c r="V184" i="44"/>
  <c r="U184" i="44"/>
  <c r="V183" i="44"/>
  <c r="U183" i="44"/>
  <c r="V182" i="44"/>
  <c r="U182" i="44"/>
  <c r="V181" i="44"/>
  <c r="U181" i="44"/>
  <c r="V180" i="44"/>
  <c r="U180" i="44"/>
  <c r="V179" i="44"/>
  <c r="U179" i="44"/>
  <c r="V178" i="44"/>
  <c r="U178" i="44"/>
  <c r="V177" i="44"/>
  <c r="U177" i="44"/>
  <c r="V176" i="44"/>
  <c r="U176" i="44"/>
  <c r="V175" i="44"/>
  <c r="U175" i="44"/>
  <c r="V174" i="44"/>
  <c r="U174" i="44"/>
  <c r="V173" i="44"/>
  <c r="U173" i="44"/>
  <c r="V172" i="44"/>
  <c r="U172" i="44"/>
  <c r="V171" i="44"/>
  <c r="U171" i="44"/>
  <c r="V170" i="44"/>
  <c r="U170" i="44"/>
  <c r="V169" i="44"/>
  <c r="U169" i="44"/>
  <c r="V168" i="44"/>
  <c r="U168" i="44"/>
  <c r="V167" i="44"/>
  <c r="U167" i="44"/>
  <c r="V166" i="44"/>
  <c r="U166" i="44"/>
  <c r="V165" i="44"/>
  <c r="U165" i="44"/>
  <c r="V164" i="44"/>
  <c r="U164" i="44"/>
  <c r="V163" i="44"/>
  <c r="U163" i="44"/>
  <c r="V162" i="44"/>
  <c r="U162" i="44"/>
  <c r="V161" i="44"/>
  <c r="U161" i="44"/>
  <c r="V160" i="44"/>
  <c r="U160" i="44"/>
  <c r="V153" i="44"/>
  <c r="U153" i="44"/>
  <c r="V152" i="44"/>
  <c r="U152" i="44"/>
  <c r="V151" i="44"/>
  <c r="U151" i="44"/>
  <c r="V149" i="44"/>
  <c r="U149" i="44"/>
  <c r="V148" i="44"/>
  <c r="U148" i="44"/>
  <c r="V134" i="44"/>
  <c r="U134" i="44"/>
  <c r="V133" i="44"/>
  <c r="U133" i="44"/>
  <c r="V132" i="44"/>
  <c r="U132" i="44"/>
  <c r="V131" i="44"/>
  <c r="U131" i="44"/>
  <c r="V130" i="44"/>
  <c r="U130" i="44"/>
  <c r="V129" i="44"/>
  <c r="U129" i="44"/>
  <c r="V128" i="44"/>
  <c r="U128" i="44"/>
  <c r="V127" i="44"/>
  <c r="U127" i="44"/>
  <c r="V126" i="44"/>
  <c r="U126" i="44"/>
  <c r="V125" i="44"/>
  <c r="U125" i="44"/>
  <c r="V124" i="44"/>
  <c r="U124" i="44"/>
  <c r="V123" i="44"/>
  <c r="U123" i="44"/>
  <c r="V122" i="44"/>
  <c r="U122" i="44"/>
  <c r="V121" i="44"/>
  <c r="U121" i="44"/>
  <c r="V120" i="44"/>
  <c r="U120" i="44"/>
  <c r="V119" i="44"/>
  <c r="U119" i="44"/>
  <c r="V118" i="44"/>
  <c r="U118" i="44"/>
  <c r="V117" i="44"/>
  <c r="U117" i="44"/>
  <c r="V116" i="44"/>
  <c r="U116" i="44"/>
  <c r="V115" i="44"/>
  <c r="U115" i="44"/>
  <c r="V114" i="44"/>
  <c r="U114" i="44"/>
  <c r="V113" i="44"/>
  <c r="U113" i="44"/>
  <c r="V112" i="44"/>
  <c r="U112" i="44"/>
  <c r="V111" i="44"/>
  <c r="U111" i="44"/>
  <c r="V110" i="44"/>
  <c r="U110" i="44"/>
  <c r="V109" i="44"/>
  <c r="U109" i="44"/>
  <c r="V108" i="44"/>
  <c r="U108" i="44"/>
  <c r="V107" i="44"/>
  <c r="U107" i="44"/>
  <c r="V106" i="44"/>
  <c r="U106" i="44"/>
  <c r="V105" i="44"/>
  <c r="U105" i="44"/>
  <c r="V104" i="44"/>
  <c r="U104" i="44"/>
  <c r="V103" i="44"/>
  <c r="U103" i="44"/>
  <c r="V102" i="44"/>
  <c r="U102" i="44"/>
  <c r="V101" i="44"/>
  <c r="U101" i="44"/>
  <c r="V100" i="44"/>
  <c r="U100" i="44"/>
  <c r="V99" i="44"/>
  <c r="U99" i="44"/>
  <c r="V98" i="44"/>
  <c r="U98" i="44"/>
  <c r="V97" i="44"/>
  <c r="U97" i="44"/>
  <c r="V96" i="44"/>
  <c r="U96" i="44"/>
  <c r="V95" i="44"/>
  <c r="U95" i="44"/>
  <c r="V94" i="44"/>
  <c r="U94" i="44"/>
  <c r="V93" i="44"/>
  <c r="U93" i="44"/>
  <c r="V92" i="44"/>
  <c r="U92" i="44"/>
  <c r="V91" i="44"/>
  <c r="U91" i="44"/>
  <c r="V90" i="44"/>
  <c r="U90" i="44"/>
  <c r="V89" i="44"/>
  <c r="U89" i="44"/>
  <c r="V88" i="44"/>
  <c r="U88" i="44"/>
  <c r="V87" i="44"/>
  <c r="U87" i="44"/>
  <c r="V86" i="44"/>
  <c r="U86" i="44"/>
  <c r="V85" i="44"/>
  <c r="U85" i="44"/>
  <c r="V84" i="44"/>
  <c r="U84" i="44"/>
  <c r="V83" i="44"/>
  <c r="U83" i="44"/>
  <c r="V82" i="44"/>
  <c r="U82" i="44"/>
  <c r="V81" i="44"/>
  <c r="U81" i="44"/>
  <c r="V80" i="44"/>
  <c r="U80" i="44"/>
  <c r="V79" i="44"/>
  <c r="U79" i="44"/>
  <c r="V78" i="44"/>
  <c r="U78" i="44"/>
  <c r="V77" i="44"/>
  <c r="U77" i="44"/>
  <c r="V76" i="44"/>
  <c r="U76" i="44"/>
  <c r="V75" i="44"/>
  <c r="U75" i="44"/>
  <c r="V74" i="44"/>
  <c r="U74" i="44"/>
  <c r="V73" i="44"/>
  <c r="U73" i="44"/>
  <c r="V72" i="44"/>
  <c r="U72" i="44"/>
  <c r="V71" i="44"/>
  <c r="U71" i="44"/>
  <c r="V70" i="44"/>
  <c r="U70" i="44"/>
  <c r="V69" i="44"/>
  <c r="U69" i="44"/>
  <c r="V68" i="44"/>
  <c r="U68" i="44"/>
  <c r="V67" i="44"/>
  <c r="U67" i="44"/>
  <c r="V66" i="44"/>
  <c r="U66" i="44"/>
  <c r="V65" i="44"/>
  <c r="U65" i="44"/>
  <c r="V64" i="44"/>
  <c r="U64" i="44"/>
  <c r="V63" i="44"/>
  <c r="U63" i="44"/>
  <c r="V62" i="44"/>
  <c r="U62" i="44"/>
  <c r="V61" i="44"/>
  <c r="U61" i="44"/>
  <c r="V60" i="44"/>
  <c r="U60" i="44"/>
  <c r="V59" i="44"/>
  <c r="U59" i="44"/>
  <c r="V58" i="44"/>
  <c r="U58" i="44"/>
  <c r="V57" i="44"/>
  <c r="U57" i="44"/>
  <c r="V54" i="44"/>
  <c r="V48" i="44"/>
  <c r="V47" i="44"/>
  <c r="V46" i="44"/>
  <c r="V45" i="44"/>
  <c r="V43" i="44"/>
  <c r="V42" i="44"/>
  <c r="V41" i="44"/>
  <c r="V40" i="44"/>
  <c r="V37" i="44"/>
  <c r="V36" i="44"/>
  <c r="U36" i="44"/>
  <c r="V35" i="44"/>
  <c r="U35" i="44"/>
  <c r="V34" i="44"/>
  <c r="U34" i="44"/>
  <c r="V14" i="44"/>
  <c r="U14" i="44"/>
  <c r="V13" i="44"/>
  <c r="U13" i="44"/>
  <c r="V11" i="44"/>
  <c r="U11" i="44"/>
  <c r="V10" i="44"/>
  <c r="U10" i="44"/>
  <c r="V9" i="44"/>
  <c r="U9" i="44"/>
  <c r="V8" i="44"/>
  <c r="U8" i="44"/>
  <c r="V6" i="44"/>
  <c r="U6" i="44"/>
  <c r="V5" i="44"/>
  <c r="U5" i="44"/>
  <c r="V4" i="44"/>
  <c r="U4" i="44"/>
  <c r="L1" i="44"/>
  <c r="V342" i="44" l="1"/>
  <c r="U342" i="44"/>
  <c r="W74" i="44"/>
  <c r="L342" i="44"/>
  <c r="L346" i="44" s="1"/>
</calcChain>
</file>

<file path=xl/sharedStrings.xml><?xml version="1.0" encoding="utf-8"?>
<sst xmlns="http://schemas.openxmlformats.org/spreadsheetml/2006/main" count="1999" uniqueCount="482">
  <si>
    <t>COGS</t>
  </si>
  <si>
    <t>AP Trade</t>
  </si>
  <si>
    <t>BRI Paralimpiade</t>
  </si>
  <si>
    <t>KPEI Team Building Virtual</t>
  </si>
  <si>
    <t>BRI MOU UMI</t>
  </si>
  <si>
    <t>Photocopy</t>
  </si>
  <si>
    <t>Odhey</t>
  </si>
  <si>
    <t>AP Expense</t>
  </si>
  <si>
    <t>BRI IDX Opening Bell Right Issue</t>
  </si>
  <si>
    <t>Telkomsel Onboarding</t>
  </si>
  <si>
    <t>Salary and THR</t>
  </si>
  <si>
    <t>AP Temporary Loan</t>
  </si>
  <si>
    <t>David Harsamto</t>
  </si>
  <si>
    <t xml:space="preserve"> </t>
  </si>
  <si>
    <t>Overtime</t>
  </si>
  <si>
    <t>Telkomsel Leveraging Message</t>
  </si>
  <si>
    <t>Telephone</t>
  </si>
  <si>
    <t>BRI Gesit</t>
  </si>
  <si>
    <t>Internet and emails</t>
  </si>
  <si>
    <t>Sisa Budget</t>
  </si>
  <si>
    <t>Sisa Budget Saldo Akhir 2020 : Sesuai Meeting AH Yogi - 19-Jan-2021</t>
  </si>
  <si>
    <t xml:space="preserve">Telkomsel Loyalty Program </t>
  </si>
  <si>
    <t>PAYABLE</t>
  </si>
  <si>
    <t>YEAR</t>
  </si>
  <si>
    <t>VENDOR</t>
  </si>
  <si>
    <t>KETERANGAN</t>
  </si>
  <si>
    <t>IDR</t>
  </si>
  <si>
    <t>USD</t>
  </si>
  <si>
    <t>BTN</t>
  </si>
  <si>
    <t>Cash IDR</t>
  </si>
  <si>
    <t>Non CB</t>
  </si>
  <si>
    <t>Anne Hidayat</t>
  </si>
  <si>
    <t>Temporary Loan for operation expense</t>
  </si>
  <si>
    <t>Elly Hutabarat</t>
  </si>
  <si>
    <t>H S B C</t>
  </si>
  <si>
    <t>AP Others</t>
  </si>
  <si>
    <t>AP Credit Card</t>
  </si>
  <si>
    <t>Mandiri Visa</t>
  </si>
  <si>
    <t>AP Leasing</t>
  </si>
  <si>
    <t>AP Tax</t>
  </si>
  <si>
    <t>Age</t>
  </si>
  <si>
    <t>Alex</t>
  </si>
  <si>
    <t>Analita</t>
  </si>
  <si>
    <t>Frieda</t>
  </si>
  <si>
    <t>Januar</t>
  </si>
  <si>
    <t>Merry</t>
  </si>
  <si>
    <t>Patrice</t>
  </si>
  <si>
    <t>Titing</t>
  </si>
  <si>
    <t>Yogi</t>
  </si>
  <si>
    <t>HSBC</t>
  </si>
  <si>
    <t>Interest Loan</t>
  </si>
  <si>
    <t>Incentive and Bonus</t>
  </si>
  <si>
    <t>Telkomsel Bootcamp and Mentoring TINC</t>
  </si>
  <si>
    <t>Sisa Budget  as per 7 Jan</t>
  </si>
  <si>
    <t>Other Expense</t>
  </si>
  <si>
    <t>Biaya sewa Mobil 1 Unit Ertiga @300.000/days x 6 days tgl 14 - 19 Juni 2021</t>
  </si>
  <si>
    <t>Entertaiment</t>
  </si>
  <si>
    <t>Medical Allowance</t>
  </si>
  <si>
    <t>BRI FGD Lintas Kementerian</t>
  </si>
  <si>
    <t>'Pembayaran biaya swab crew  27 Pax 11 Mei 2021</t>
  </si>
  <si>
    <t xml:space="preserve">Bayar biaya swab crew dan BRI </t>
  </si>
  <si>
    <t>Bayar sewa Hiace Premio 2 hari 10-11 Nov</t>
  </si>
  <si>
    <t>BRI Iwabri Bandung</t>
  </si>
  <si>
    <t>Pembayaran biaya swab PCR crew  42 Pax 12 Sep 2021</t>
  </si>
  <si>
    <t>Inv : 1723 - Pemakaian kendaraan 23-24 Des 2021</t>
  </si>
  <si>
    <t>Swab Antigen 23 Des'21 31 pax</t>
  </si>
  <si>
    <t>BRI Pengukuhan Team Elang</t>
  </si>
  <si>
    <t>'Pembayaran biaya swab crew 12 April 2021 24 Pax</t>
  </si>
  <si>
    <t>BRI RUPST Luar Biasa  Juli</t>
  </si>
  <si>
    <t>Pembayaran biaya swab Antigen crew  43 Pax 21 Juli 2021</t>
  </si>
  <si>
    <t xml:space="preserve">Reimburse Swab antigen Chaplin untuk event </t>
  </si>
  <si>
    <t xml:space="preserve">pembayaran Sewa Mobil Tujuan Sukabumi 02-03 Oktober 2021 ( Ibu Tika) </t>
  </si>
  <si>
    <t xml:space="preserve">Telkomsel Sewa Mobil </t>
  </si>
  <si>
    <t xml:space="preserve">Telkomsel WS Subdir Sales Strategy Group  </t>
  </si>
  <si>
    <t>Inv: 1722 - Pemakaian Innova Reborn Jakarta-Bogor-Jakarta 16 Des'21</t>
  </si>
  <si>
    <t xml:space="preserve">Telkomsel MICE InnoXtion </t>
  </si>
  <si>
    <t xml:space="preserve">Telkomsel Program Games Publishing </t>
  </si>
  <si>
    <t>Telkomsel Undian Jelajah Nusantara</t>
  </si>
  <si>
    <t>Office Rent</t>
  </si>
  <si>
    <t>PPh-23</t>
  </si>
  <si>
    <t>OUTSTANDING</t>
  </si>
  <si>
    <t>Bali Victory</t>
  </si>
  <si>
    <t>DBS Visa White</t>
  </si>
  <si>
    <t>AP Deposit from customer</t>
  </si>
  <si>
    <t>Honorarium</t>
  </si>
  <si>
    <t>HR Development</t>
  </si>
  <si>
    <t>Sales and Promotion</t>
  </si>
  <si>
    <t>BRI MotoGP Mandalika</t>
  </si>
  <si>
    <t>BRI Penghargaan Pelampauan Kinerja</t>
  </si>
  <si>
    <t>BRI Transport 2022</t>
  </si>
  <si>
    <t>Telkomsel Support Program BSM AOC</t>
  </si>
  <si>
    <t>Telkomsel Sales Collaboration with EAM Team</t>
  </si>
  <si>
    <t>Telkomsel Recruitment and Assesment</t>
  </si>
  <si>
    <t>Telkomsel Shifting to self service channel MEC</t>
  </si>
  <si>
    <t>University of Twente - Anrgi Workshop</t>
  </si>
  <si>
    <t>Telkomsel Support Campaign Outlet Via My Ads</t>
  </si>
  <si>
    <t>BRI Corporate Card</t>
  </si>
  <si>
    <t>Pembayaran Invoice No. V1726 - Sewa 1 Unit Alphard Bank BRI</t>
  </si>
  <si>
    <t>KBUMN Malam Apresiasi Dukungan Untuk G20</t>
  </si>
  <si>
    <t>Telkomsel byU Explore SMK Jawa Barat</t>
  </si>
  <si>
    <t>Telkomsel Pengadaan Sales Fee Indihome Halo</t>
  </si>
  <si>
    <t>Telkomsel Pengadaan Program Corporate Ambassador for customer</t>
  </si>
  <si>
    <t>Telkomsel Pick Up point by U Q3</t>
  </si>
  <si>
    <t>Telkomsel Youth Battle School Visit Micro Cluster</t>
  </si>
  <si>
    <t xml:space="preserve">Telkomsel Program Talent Mobilty </t>
  </si>
  <si>
    <t>Seyna</t>
  </si>
  <si>
    <t>BRI RUPS Tahunan 2022</t>
  </si>
  <si>
    <t>Helmi</t>
  </si>
  <si>
    <t>PCMI Team</t>
  </si>
  <si>
    <t>Staff Outing</t>
  </si>
  <si>
    <t>Inv : 006762 - Oleh2 u/ bu Dewi DPR &amp; team</t>
  </si>
  <si>
    <t>PV-18278 - BRI Medika</t>
  </si>
  <si>
    <t>Swab antigen crew 14 org 24 Jan'22</t>
  </si>
  <si>
    <t>PV-18738</t>
  </si>
  <si>
    <t>Kwi : V 1725 / 20 Mar'22</t>
  </si>
  <si>
    <t>PV-18951 - BRI Medika</t>
  </si>
  <si>
    <t>Swab antigen crew 72 org 21 Mar'22</t>
  </si>
  <si>
    <t>PV-18569 - BRI Medika</t>
  </si>
  <si>
    <t>Swab antigen crew 22 org, 28 Feb'22</t>
  </si>
  <si>
    <t>PV-21583 - VGM</t>
  </si>
  <si>
    <t>Pembayaran Invoice V-1742 : 1 Unit Alphard (Selfdrive) 25 - 27 Agustus 2022</t>
  </si>
  <si>
    <t>PV-18934 - VGM</t>
  </si>
  <si>
    <t>PV-19332 - VGM</t>
  </si>
  <si>
    <t>Inv : 1727- pemakaian Alphard 20-21 Apr'22</t>
  </si>
  <si>
    <t>PV-21584</t>
  </si>
  <si>
    <t>Pembayaran Invoice V-1741 : 1 Unit Alphard (Iga Mawarni) 28 - 30 November 2022</t>
  </si>
  <si>
    <t>PV-21640 Odhey</t>
  </si>
  <si>
    <t>PO Fee Odhey</t>
  </si>
  <si>
    <t>PV-21326</t>
  </si>
  <si>
    <t>Inv. 1740 - Sewa mobil survey 23/11/22</t>
  </si>
  <si>
    <t>PV-21582</t>
  </si>
  <si>
    <t>Inv. 1743 - Sewa mobil 14 &amp; 17 Des'22</t>
  </si>
  <si>
    <t>PV-19942</t>
  </si>
  <si>
    <t>Pembayaran rent mobil innova - untuk narasumber</t>
  </si>
  <si>
    <t>PV-20648</t>
  </si>
  <si>
    <t xml:space="preserve">pemakaian kendaran 29-30 Sept 2022 ( jakarta - bandung PP ) </t>
  </si>
  <si>
    <t>PV-19401</t>
  </si>
  <si>
    <t>Kwi : V 1728 / 7 Jun 2022</t>
  </si>
  <si>
    <t>Whatsapp Yogi : Rabu, 8-Maret-2023 (approval dari Ibu Anne)</t>
  </si>
  <si>
    <t>Telkomsel Capex Paper Workshop</t>
  </si>
  <si>
    <t>BRI PIISEI GOLF</t>
  </si>
  <si>
    <t>Rizky</t>
  </si>
  <si>
    <t xml:space="preserve">Telkomsel Sharing Session SOP , Policy and Contracting </t>
  </si>
  <si>
    <t>Mandiri Booth Range</t>
  </si>
  <si>
    <t>Telkomsel Program Sosialisasi AM 2023</t>
  </si>
  <si>
    <t>Telkomsel Digiads Partnership and Performance Review</t>
  </si>
  <si>
    <t>Telkomsel Digiads PNV Market Penetration</t>
  </si>
  <si>
    <t>Telkomsel Digiads Solutions Updated</t>
  </si>
  <si>
    <t>Telkomsel EAM Team and Quarter 2 Cashback Program</t>
  </si>
  <si>
    <t>Mark Asia Cilegon Festival</t>
  </si>
  <si>
    <t>Telkomsel Data Solutions x IT Alignment</t>
  </si>
  <si>
    <t>Telkomsel Field Research and Area Alignment Q3</t>
  </si>
  <si>
    <t>BRI FGD Komisi VI dan XI</t>
  </si>
  <si>
    <t>BRI BTK Brimo Festival</t>
  </si>
  <si>
    <t>PLN Indonesia Power HUT ke 28</t>
  </si>
  <si>
    <t>Telkomsel Live Testing RoaMax Haji dan Umroh</t>
  </si>
  <si>
    <t>Telkomsel HCM Project Strategic Worforce Planning</t>
  </si>
  <si>
    <t>Telkomsel MICE Sumatra - Last Evaluation Sprint in 2023</t>
  </si>
  <si>
    <t>Telkomsel Support Program Surprise Deal Periode 2023</t>
  </si>
  <si>
    <t xml:space="preserve">Telkomsel Pembahasan Vandalisme di Area Sumatra </t>
  </si>
  <si>
    <t>Telkomsel Program Sales Annual Plan 2024</t>
  </si>
  <si>
    <t>BRI Co-Branding Partners Appreciation</t>
  </si>
  <si>
    <t>Telkomsel Alignment Tools and Program and Site Visit Q3</t>
  </si>
  <si>
    <t>Telkomsel Whatsapp Business API Subsrciption : Jul-Des 2023</t>
  </si>
  <si>
    <t>Whatsapp Yogi : Minggu, 30-Des-2023 23:20 WIB</t>
  </si>
  <si>
    <t>eMail Yogi : Sunday, 31-Dec-2023 at 10:44</t>
  </si>
  <si>
    <t>Sisa Budget : Dikoreksi Yogi 31-Des-23 waktu kasih daftar sisa budget 31-12-23</t>
  </si>
  <si>
    <t>Penerbitan Bukti Potong dan Setoran PPh-23 sepanjang 2023</t>
  </si>
  <si>
    <t>Lunas Bunga HSBC 900  HSBCIDJA/NURLAILA HUTABARAT</t>
  </si>
  <si>
    <t>LunasBunga HSBC-902 HSBCIDJA/NURLAILA HUTABARAT</t>
  </si>
  <si>
    <t>Fee Bersih2 GudangSUPRIYADI,</t>
  </si>
  <si>
    <t>Fee Bersih2 GudangADUN SOPANDI,</t>
  </si>
  <si>
    <t>Fee Bersih2 GudangSUKANDA,</t>
  </si>
  <si>
    <t>Fee Bersih2 GudangSUTARNO,</t>
  </si>
  <si>
    <t>UM Bersih2 Gudang TitingYadiSukanda RD HIDIANITJE DRA,</t>
  </si>
  <si>
    <t>Overtime Des      SUKANDA,</t>
  </si>
  <si>
    <t>Overtime Des      MUHAMMAD UJER AWAL,</t>
  </si>
  <si>
    <t>Overtime Des      ADUN SOPANDI,</t>
  </si>
  <si>
    <t>Overtime Desember SUPRIYADI,</t>
  </si>
  <si>
    <t>BRI FGD Kom VI+XI Sisa Budget Cash  YULI NURFIVA YAHYA,</t>
  </si>
  <si>
    <t>PLN IP HUT ke-28  Lee Fee Event     ANANDA PUTRI YUDIS,</t>
  </si>
  <si>
    <t xml:space="preserve">Lunas Sys PCMI RD HIDIANITJE DRA  </t>
  </si>
  <si>
    <t xml:space="preserve">TSel YouthBatt VMC Rm+Bfast Prasidya  GRAHA SANTIKA DYAN </t>
  </si>
  <si>
    <t xml:space="preserve">HP TSel AH Jan RD HIDIANITJE DRA  </t>
  </si>
  <si>
    <t xml:space="preserve">HP Excel AH Dec RD HIDIANITJE DRA  </t>
  </si>
  <si>
    <t xml:space="preserve">BRI Co-Branding PA Mutimedia Content IBRAHIM SALADDIN  </t>
  </si>
  <si>
    <t xml:space="preserve">BRI Co-Branding PA Sewa Tanaman HARTONO  </t>
  </si>
  <si>
    <t xml:space="preserve">BRI Co-Branding PA Sewa MultiCam SUTRISNO  </t>
  </si>
  <si>
    <t xml:space="preserve">BRI Co-Branding PA Sewa EarTech+Ongki ILHAM GUMELAR  </t>
  </si>
  <si>
    <t xml:space="preserve">BRI Co-Branding PA Dokumentasi 19Des KATHERIN VICENTIA  </t>
  </si>
  <si>
    <t xml:space="preserve">BRI BTK Brimo Fest Tiket DPSJKT RD HIDIANITJE DRA  </t>
  </si>
  <si>
    <t>Bonus 2023 (35X) Drivers+MessengersDAVID HARSAMTO,</t>
  </si>
  <si>
    <t>Bonus PCMI 2022   Part-1            DAVID HARSAMTO,</t>
  </si>
  <si>
    <t>TSel MICE Sum LES   0238  BNINIDJA/PACTO 20240119BMRIIDJA010O9934271378</t>
  </si>
  <si>
    <t>Internet Des 2023 MORA TELEMATIKA IN  : Rp. 3.815.000</t>
  </si>
  <si>
    <t>MA Cilegon Fest      00950 MCM InhouseTrf  KE RAMA DWI PUTRA</t>
  </si>
  <si>
    <t>BCA - Mutasi 2024</t>
  </si>
  <si>
    <t>Bonus PCMI 2022   Part-2            DAVID HARSAMTO,</t>
  </si>
  <si>
    <t>BCA Business - Mutasi 2024</t>
  </si>
  <si>
    <t>Fixed Asset</t>
  </si>
  <si>
    <t>Mandiri - Mutasi 2024</t>
  </si>
  <si>
    <t>DJP Online</t>
  </si>
  <si>
    <t>PPh-21 Masa : Jan - Dec 2023</t>
  </si>
  <si>
    <t>UOB Master</t>
  </si>
  <si>
    <t>Mandiri BoothRangeFee PIC PIK 15Feb R DINAR KUSUMAYANT,</t>
  </si>
  <si>
    <t>BRI Co-Brand PA   SPJ 1D 19Des      JANUAR CAHYO SURYA,</t>
  </si>
  <si>
    <t>BRI Co-Brand PA   SPJ 1D 19Des      SUPRIYADI,</t>
  </si>
  <si>
    <t>BRI Co-Brand PA   Fee ProjectOfficerDEDI PURWANTO SE,</t>
  </si>
  <si>
    <t>Mandiri BoothRangeFee PIC KunCi 8MarR DINAR KUSUMAYANT,</t>
  </si>
  <si>
    <t>Medical Allowance 2023              RD HIDIANITJE DRA,</t>
  </si>
  <si>
    <t xml:space="preserve">BRI Co-Brand PA Sewa Furniture  SAMMY SHAKTI REFFA </t>
  </si>
  <si>
    <t xml:space="preserve">Mandiri BoothRange Retouch Prod PIK  BAMBANG SUPRIYANTO </t>
  </si>
  <si>
    <t xml:space="preserve">Mandiri BoothRange RetouchProdNeoSoho  BAMBANG SUPRIYANTO </t>
  </si>
  <si>
    <t xml:space="preserve">BRI Co-Brand PA Totem+8 Cards  IBNU CHUZAYMAH </t>
  </si>
  <si>
    <t xml:space="preserve">BRI Co-Brand PA Lighting System  MASRUHIN </t>
  </si>
  <si>
    <t xml:space="preserve">Mandiri BoothRange Retouch KuninganCt  BAMBANG SUPRIYANTO </t>
  </si>
  <si>
    <t>H Ultra Club SCBD Bar/fee entry masuk</t>
  </si>
  <si>
    <t>PT Usaha Enternaiment/year end dinner PCMI</t>
  </si>
  <si>
    <t>Beer Hall/minum dan snack di Beerhall</t>
  </si>
  <si>
    <t>DBS Visa W JT-6Feb</t>
  </si>
  <si>
    <t>Telkomsel Meeting Agency Indihome Sumatera</t>
  </si>
  <si>
    <t>Telkomsel PON XXI - Sumut Aceh</t>
  </si>
  <si>
    <t>Telkomsel FUT Singapura Malaysia</t>
  </si>
  <si>
    <t>Telkomsel Market Survey Modern Channel Q3 - 2024</t>
  </si>
  <si>
    <t>Telkomsel Hari Koperasi Nasional Batam</t>
  </si>
  <si>
    <t>Telkomsel BillCo Kemerdekaan ke 79 Tahun</t>
  </si>
  <si>
    <t>Telkomsel PON XXI Aceh Sumut 2024 (Bang Hadi)</t>
  </si>
  <si>
    <t>Telkomsel Backchecking Produk Halo+ Bold &amp; Supreme GraPARI A3</t>
  </si>
  <si>
    <t>Telkomsel CGBA Last Quartal 2024</t>
  </si>
  <si>
    <t>Telkomsel Meeting Evaluasi Semester I 2024</t>
  </si>
  <si>
    <t>Telkomsel BOS</t>
  </si>
  <si>
    <t>Telkomsel DRM Meeting A1</t>
  </si>
  <si>
    <t>Telkomsel RAN Nasional Q4 2024</t>
  </si>
  <si>
    <t>Telkomsel Focus Action Sumatera</t>
  </si>
  <si>
    <t>Telkomsel API Sales Racing Program</t>
  </si>
  <si>
    <t>Telkomsel Support and Recovery Impact FMC Migrasi Sumatera</t>
  </si>
  <si>
    <t xml:space="preserve">PLN Indonesia Power Inpower Festival </t>
  </si>
  <si>
    <t>Telkomsel Aquabike Toba</t>
  </si>
  <si>
    <t>BRI Tebet</t>
  </si>
  <si>
    <t>BRI Sahardjo</t>
  </si>
  <si>
    <t>BCA Juanda</t>
  </si>
  <si>
    <t>BCA Sahardjo</t>
  </si>
  <si>
    <t>Biaya Pengiriman Dokument Invoicing  PLN IP Area Bali</t>
  </si>
  <si>
    <t>Biaya Pengiriman Dokument Invoicing  PLN IP Area Cilegon</t>
  </si>
  <si>
    <t>Telkomsel Alignment Revenue Sumatera</t>
  </si>
  <si>
    <t>PLN Indonesia Power PIKK Bazaar Festival UMKM</t>
  </si>
  <si>
    <t>Bridgestone Indonesia Tomo Gathering</t>
  </si>
  <si>
    <t>Overtime Desember ADUN SOPANDI,</t>
  </si>
  <si>
    <t>Overtime Desember MUHAMMAD UJER AWAL,</t>
  </si>
  <si>
    <t>Overtime Desember SUKANDA,</t>
  </si>
  <si>
    <t xml:space="preserve">BSIN Tomo Gather Produksi Stage Dll IBNU CHUZAYMAH  </t>
  </si>
  <si>
    <t xml:space="preserve">TSel FocusActSum Visit Posko Siaga ADITYA JAYA  </t>
  </si>
  <si>
    <t xml:space="preserve">TSel AlignRevSum Dinner Batam LENA  </t>
  </si>
  <si>
    <t xml:space="preserve">Solo Keyboard PCMI YearEndDnr RD HIDIANITJE DRA  </t>
  </si>
  <si>
    <t xml:space="preserve">Beverages PCMI YearEndDnr RD HIDIANITJE DRA  </t>
  </si>
  <si>
    <t xml:space="preserve">PLN IP PIKK FestBz SoundSys+Mic TRIDAYA MEGA SWARA  </t>
  </si>
  <si>
    <t xml:space="preserve">TELKOM DIVRE2 02183700967     01 PAN CONVINCE MITRA   </t>
  </si>
  <si>
    <t xml:space="preserve">TELKOM DIVRE2 02183700934     01 PAN CONVINCE MITRA   </t>
  </si>
  <si>
    <t xml:space="preserve">TELKOM DIVRE2 02183700953     01 PAN CONVINCE MITRA   </t>
  </si>
  <si>
    <t xml:space="preserve">TELKOM DIVRE2 02183700923     01 PAN CONVINCE MITRA   </t>
  </si>
  <si>
    <t xml:space="preserve">TELKOM DIVRE2 02183700854     01 PAN CONVINCE MITRA   </t>
  </si>
  <si>
    <t xml:space="preserve">TELKOM DIVRE2 02183700926     01 PAN CONVINCE MITRA   </t>
  </si>
  <si>
    <t xml:space="preserve">TELKOM DIVRE2 02183700872     01 PAN CONVINCE MITRA   </t>
  </si>
  <si>
    <t xml:space="preserve">PLN IP PIKK FestBz 4 CrowdControl SANDI FITRIANSYAH  </t>
  </si>
  <si>
    <t xml:space="preserve">PLN IP PIKK FestBz Stage,Gate,FOH,dll IBNU CHUZAYMAH  </t>
  </si>
  <si>
    <t>TSel BOS  03958  MCM InhouseTrf  KE SAFIIH</t>
  </si>
  <si>
    <t xml:space="preserve">TSel Aquabike Toba 03965 MCM InhouseTrf  KE JULIANTI HALIM </t>
  </si>
  <si>
    <t>TSel FocusActSum    03964  BSMDIDJA/AULIA AYU ASYURA</t>
  </si>
  <si>
    <t xml:space="preserve">TSel DRM Meeting A1  03949  MCM InhouseTrf  KE PANTRAVEL </t>
  </si>
  <si>
    <t>TSel FocusActSum     03957 MCM InhouseTrf  KE PANTRAVEL</t>
  </si>
  <si>
    <t xml:space="preserve">TSel PON XII AS Hadi03971   BNINIDJA/HADI PRASTYA UTAMA </t>
  </si>
  <si>
    <t xml:space="preserve">TSel AlignRevSum  03950 MCM InhouseTrf  KE PANTRAVEL </t>
  </si>
  <si>
    <t>TSel AlignRevSum     03951  MCM InhouseTrf  KE PANTRAVEL</t>
  </si>
  <si>
    <t>TSel BOS  03977   MCM InhouseTrf  KE SAFIIH</t>
  </si>
  <si>
    <t>TSel FocusActSum    03921  BSMDIDJA/AULIA AYU ASYURA</t>
  </si>
  <si>
    <t xml:space="preserve">TSel RAN NAS Q4     03936  BBIJIDJA/I PUTU EKA UDAYANA RUDITA,ST </t>
  </si>
  <si>
    <t>TSel Aquabike Toba  03935   BNINIDJA/HADI PRASTYA UTAMA</t>
  </si>
  <si>
    <t>TSel API Sales RP   03934   BSMDIDJA/AMANDA LUGAS CAISARIO</t>
  </si>
  <si>
    <t>TSel FocusActSum    04002 BNINIDJA/JOSIA PRANANTA TARIGAN</t>
  </si>
  <si>
    <t xml:space="preserve">TSel AlignRevSum    04026    BSMDIDJA/AULIA AYU ASYURA </t>
  </si>
  <si>
    <t xml:space="preserve">Sewa gedung Des      03793  MCM InhouseTrf  KE PANTRAVEL </t>
  </si>
  <si>
    <t xml:space="preserve">TSel Align Rev Sum  04221  BNINIDJA/FATIMAH RIMA RAMADHANI </t>
  </si>
  <si>
    <t>PLN IP PIKK Fest Bzr Sewa Ramp Cable IFT_TO_ENDRIK SUYANTO ESB:CMSX:000L700F:2501107347182</t>
  </si>
  <si>
    <t>Biaya Pengiriman Dokument Invoicing  PLN IP Area Semarang</t>
  </si>
  <si>
    <t>Straples 5 pcs</t>
  </si>
  <si>
    <t>Isi Straples 8 pax</t>
  </si>
  <si>
    <t xml:space="preserve">TSel AlignRevSum OB&amp;Driver Batam  YOGI PURWO WIDODO </t>
  </si>
  <si>
    <t xml:space="preserve">PLN IP PIKK FestBz LED+Switcher  WIDI SURYA BUDIANA </t>
  </si>
  <si>
    <t xml:space="preserve">BRI BTK Brimo Fest Anggi Marito BPW SAHADEWA BASUN  </t>
  </si>
  <si>
    <t xml:space="preserve">BRI BTK Brimo Fest Bath utilities BOD BPW SAHADEWA BASUN  </t>
  </si>
  <si>
    <t>UBP60215001202FFFFFF029605884375113 : PPh-21 Desember 2024</t>
  </si>
  <si>
    <t>KBUMN Natal 2024</t>
  </si>
  <si>
    <t xml:space="preserve">Pembayaran add cost Taxi MS Tour/ Elgin </t>
  </si>
  <si>
    <t xml:space="preserve">TSel EventKnowFest   04790  Trf  KE LINGKARAN EDUKASI KREATIF </t>
  </si>
  <si>
    <t xml:space="preserve">TSel EventKnowFest   04789 Trf  KE LINGKARAN EDUKASI KREATIF </t>
  </si>
  <si>
    <t>PPh-4 Ayat 2</t>
  </si>
  <si>
    <t>PPh-23 yang Dipungut tapi Belum/Tidak Disetor</t>
  </si>
  <si>
    <t>PPh-25 Pajak Badan</t>
  </si>
  <si>
    <t>PPh-25 Pajak Badan Th 2022</t>
  </si>
  <si>
    <t>PPh-25 Pajak Badan Th 2023</t>
  </si>
  <si>
    <t>PPh-21</t>
  </si>
  <si>
    <t>Penerbitan Bukti Potong dan Setoran PPh-21 sepanjang 2023</t>
  </si>
  <si>
    <t>Penerbitan Bukti Potong dan Setoran PPh-23 sepanjang 2024</t>
  </si>
  <si>
    <t>BRI Corp Card JT-Feb</t>
  </si>
  <si>
    <t>Gopay-Gojek - Pengantaran Dokumen Visa Korea-Employee Gathering</t>
  </si>
  <si>
    <t>Starbucks - Pengecekan dan Penyerahan Dokument Visa Korea outting PCM</t>
  </si>
  <si>
    <t>UOB Master JT-Mar</t>
  </si>
  <si>
    <t>CO., LTD. PETITE FRAN GAPYEONG-GUN - Tiket Masuk Petite France 13 Pax</t>
  </si>
  <si>
    <t>KICC_HAEOI Seoul- Tiket Masuk Include Penyeberangan Ferry Nami Island</t>
  </si>
  <si>
    <t>NONGEOBHOISABEOBINJOOS Gapyeong-gun - Tiket Masuk Garden Of Morning Calm</t>
  </si>
  <si>
    <t>CO.,LTD SHOULDER COMPA SEOUL - Sewa Hanbook Gyeongbok Palace</t>
  </si>
  <si>
    <t>KOREA ROPEWAY INDUSTRY SEOUL - Tiket Masuk Include Cable Car Return Namsan Tower</t>
  </si>
  <si>
    <t>Mandiri Visa - JT Mar</t>
  </si>
  <si>
    <t>JOOSIKHWESA SINHWAPOOD INCHEON KR - Lunch At Incheon</t>
  </si>
  <si>
    <t>7-ELEVEN SEOUL KR - Sarapan Untuk Staff</t>
  </si>
  <si>
    <t>SERVICE 1409859INCHEON KR - Sarapan Untuk Staff</t>
  </si>
  <si>
    <t>HAN RIVER BARBECUE SEOUL KR - Dinner Staff</t>
  </si>
  <si>
    <t>SUMHANG 5682954CHUNCHEON-SI KR- Lunch Staff</t>
  </si>
  <si>
    <t>CO.,LTD NAMMUN 6018442CHUNCHEON-SI KR - Jajanan Di Namun Island</t>
  </si>
  <si>
    <t>IGA&amp;YUKHOIMALYEONEO Seoul KR - Lunch Staff</t>
  </si>
  <si>
    <t>CO., LTD TOSOKCHON GINSENSEOUL KR - Lunch Staff</t>
  </si>
  <si>
    <t>DALGANG 0794008SEOUL KR- Bfast,Tissue,Noodle</t>
  </si>
  <si>
    <t>BRI Corp Card JT-Mar</t>
  </si>
  <si>
    <t>Co Ltd Nammun - Beli Kopi 2 Cup Di Nami Island - Pcmi Trip</t>
  </si>
  <si>
    <t>CA-005/24 Yulie</t>
  </si>
  <si>
    <t>Tip bus driver - (180.000 Won * Rp11.9)</t>
  </si>
  <si>
    <t>Roti&amp; otherbfast - (16.000 Won * Rp11.9)</t>
  </si>
  <si>
    <t>Roti&amp; otherbfast - (66.800 Won * Rp11.9)</t>
  </si>
  <si>
    <t>Cash bus - (3.825.000 Won * Rp11.9)</t>
  </si>
  <si>
    <t>Cash untuk staff 12 x @400.000 (4.800.000 Won * Rp11.9)</t>
  </si>
  <si>
    <t>Deposit u/seafood - (130.000 Won * Rp11.9)</t>
  </si>
  <si>
    <t>Cash untuk AH - (400.000 Won * Rp11.9)</t>
  </si>
  <si>
    <t>Cash untuk Staff 12 x @15.000 - (180.000 Won * Rp11.9)</t>
  </si>
  <si>
    <t>Cash untuk Breakfast - (63.700 Won * Rp11.9)</t>
  </si>
  <si>
    <t>Tambahan Breakfast - (22.350 Won * Rp11.9)</t>
  </si>
  <si>
    <t>Breakfast - (13.000 Won * Rp11.9)</t>
  </si>
  <si>
    <t>Tambahan Breakfast - (12.800 Won * Rp11.9)</t>
  </si>
  <si>
    <t>Cash Makan siang 12 x @15,000 - (180.000 Won * Rp11.9)</t>
  </si>
  <si>
    <t>Cash  Malam untk tgl 12 - (180.000 Won * Rp11.9)</t>
  </si>
  <si>
    <t>AutoRent</t>
  </si>
  <si>
    <t>Selisih Lebih Bayar</t>
  </si>
  <si>
    <t>Salary sesuai Laporan Pajak 2023</t>
  </si>
  <si>
    <t>DH</t>
  </si>
  <si>
    <t>Kekurangan BCA 666 atas  Bonus BOD and Shareholder : Rp. 1.000.000.000 x 2</t>
  </si>
  <si>
    <t>Mutasi Mandiri 2025</t>
  </si>
  <si>
    <t>Photocopy Des OSC OFFICE MACHINE : Rp. 736.486</t>
  </si>
  <si>
    <t>WA AH 7-Mar-25 : Alokasi dana staff outing and training Rp. 250.000.000</t>
  </si>
  <si>
    <t>WA AH 7-Mar-25 : KPI - Bonus Staff Perfomance 2024</t>
  </si>
  <si>
    <t>BRI Tebet - Mutasi 2024</t>
  </si>
  <si>
    <t>CGW619001 SUTARNO</t>
  </si>
  <si>
    <t>Cash IDR - Mutasi 2024</t>
  </si>
  <si>
    <t>Cetak Laporan Kegiatan Grow &amp; Green BRI</t>
  </si>
  <si>
    <t>Cetak Laporan Kegiatan Pasar Murah Merdeka</t>
  </si>
  <si>
    <t>MA Cilegon Festival 02400  BNINIDJA/MARKASIA</t>
  </si>
  <si>
    <t>WA EH-AH-DH 6Dec CENAIDJA/DAVID HARSAMTO</t>
  </si>
  <si>
    <t>WA EH-AH-DH 6Dec23 CENAIDJA/DAVID HARSAMTO</t>
  </si>
  <si>
    <t>Mutasi BCA Juanda 2025</t>
  </si>
  <si>
    <t>Mutasi Bank Mandiri 2025</t>
  </si>
  <si>
    <t>Mutasi BRI Sahardjo 2025</t>
  </si>
  <si>
    <t>Mutasi Cash IDR 2025</t>
  </si>
  <si>
    <t>Whatsapp Yogi : 27-feb-2025 18:03 (File Report Telkomsel 2024)</t>
  </si>
  <si>
    <t>Telkomsel Hear Me at GraPARI 2024</t>
  </si>
  <si>
    <t>Whatsapp Yogi : 27-feb-25 (File Report Telkomsel 2024) - dikoreksi WA 13-Mar-25</t>
  </si>
  <si>
    <t>Telkomsel Prestige Batam 2024</t>
  </si>
  <si>
    <t xml:space="preserve">Telkomsel Sumatra Defend Our Dominance Socialization 2024 (addcost) </t>
  </si>
  <si>
    <t>Telkomsel Support Pengadaan Telkomsel Racing – Pinjam Paket 2024.</t>
  </si>
  <si>
    <t>Telkomsel Town Hall Sales 2024</t>
  </si>
  <si>
    <t>BCA Juanda - Mutasi 2025</t>
  </si>
  <si>
    <t>Telkomsel Orbit Household Q4 2024</t>
  </si>
  <si>
    <t>BTN Mini Olympic</t>
  </si>
  <si>
    <t xml:space="preserve">TSel EventKnowFest SoundWirelessGense TRIDAYA MEGA SWARA  </t>
  </si>
  <si>
    <t>Mandiri Pasar Murah 2025</t>
  </si>
  <si>
    <t>Intrareps</t>
  </si>
  <si>
    <t>eMail Yogi : Sunday, 31-Dec-2023 at 10:44, WA Yogi 20-Jul-25 Revisi cost</t>
  </si>
  <si>
    <t>PLN NPTKT CapBuildFee PO            ALEXADRUS NULIADY,</t>
  </si>
  <si>
    <t>BRI Brimo Festival 2023</t>
  </si>
  <si>
    <t>Telkomsel Event Knowledge Festival</t>
  </si>
  <si>
    <t>OCBC Visa</t>
  </si>
  <si>
    <t>Belanja masking 2 inch 15 roll, lakban kain 2 inchi 14 roll, DT linchi 2 lusin</t>
  </si>
  <si>
    <t>Makan siang (KFC) team produksi include logistik &amp; runner</t>
  </si>
  <si>
    <t>Makan malam team produksi include logistik &amp; runner</t>
  </si>
  <si>
    <t>Print di snappy</t>
  </si>
  <si>
    <t>Belanja trashbag</t>
  </si>
  <si>
    <t>Print based que card</t>
  </si>
  <si>
    <t>Transfer to ableh (operasional loading 4 orang, tipping security, cemilan, kopi, dll) rek BCA an. R. Dinar Kusumayanti (NOTE : TIDAK ADA BON)</t>
  </si>
  <si>
    <t>Belanja indomaret</t>
  </si>
  <si>
    <t xml:space="preserve">transfer hadiah kahoot +628119694411 </t>
  </si>
  <si>
    <t xml:space="preserve">transfer hadiah kahoot +6281190090229 </t>
  </si>
  <si>
    <t xml:space="preserve">transfer hadiah kahoot +62811644066 </t>
  </si>
  <si>
    <t xml:space="preserve">transfer hadiah QnA EKF +62811200189 </t>
  </si>
  <si>
    <t xml:space="preserve">transfer hadiah QnA EKF +6281190090229 </t>
  </si>
  <si>
    <t xml:space="preserve">transfer hadiah QnA EKF +62811229948 </t>
  </si>
  <si>
    <t xml:space="preserve">transfer hadiah QnA EKF +628112223111 </t>
  </si>
  <si>
    <t xml:space="preserve">transfer hadiah QnA EKF +62811219419 </t>
  </si>
  <si>
    <t xml:space="preserve">transfer hadiah QnA EKF  D68F8EA512 </t>
  </si>
  <si>
    <t>Uang kebersihan venue (mandatory tsel) dikasih ke patrice (tidak ada bon)</t>
  </si>
  <si>
    <t>PLN National Power Up Teluk KalTim Capacity Building</t>
  </si>
  <si>
    <t>BRI FGD Semarang</t>
  </si>
  <si>
    <t>Mutasi BCA Sahardjo 2025</t>
  </si>
  <si>
    <t>KBUMN Perayaan Natal Bersama 2023</t>
  </si>
  <si>
    <t>KBUMN Natal DP VS Band VIKY SIANIPAR PT : Rp, 133.200.000 : PPn Masukan</t>
  </si>
  <si>
    <t>MANDIRI Mid Plaza</t>
  </si>
  <si>
    <t>IDX ICME Tokyo</t>
  </si>
  <si>
    <t>Non Cash Bank 2025</t>
  </si>
  <si>
    <t>PPh-25 Pajak Badan SPT Th 2024</t>
  </si>
  <si>
    <t>BRI Kunjungan Kerja Bogor DPR Komisi XI</t>
  </si>
  <si>
    <t>HIMBARA FGD Semarang</t>
  </si>
  <si>
    <t>BSIN Supplier Meeting</t>
  </si>
  <si>
    <t>Sembako Palembang</t>
  </si>
  <si>
    <t>Sembako Jakarta</t>
  </si>
  <si>
    <t>Sembako Jayapura</t>
  </si>
  <si>
    <t>Sembako Kupang : Rp. 134.757.000</t>
  </si>
  <si>
    <t>Sembako Semarang</t>
  </si>
  <si>
    <t>Sembako Medan</t>
  </si>
  <si>
    <t>Sembako Bandung</t>
  </si>
  <si>
    <t>Sembako Samarinda</t>
  </si>
  <si>
    <t>Sembako Surabaya</t>
  </si>
  <si>
    <t>Sembako Makasar</t>
  </si>
  <si>
    <t>Sisa sembako Jayapura</t>
  </si>
  <si>
    <t>SETORAN TUNAI PEMBAYARAN MANDIRI FGD IKN,</t>
  </si>
  <si>
    <t>Mandiri FGD IKN</t>
  </si>
  <si>
    <t>CR 12/22 Z27J1  TIKA RISKI ASTARI : WA Tika 2-Jan-26 - Mandiri FGD IKN dari Patrice</t>
  </si>
  <si>
    <t>BRI Peringatan Puncak HUT ke-26 DWP dan Hari Ibu ke-97 DWP BKN</t>
  </si>
  <si>
    <t>Mandiri Pasar Murah</t>
  </si>
  <si>
    <t>BRI Journalist Bootcamp</t>
  </si>
  <si>
    <t>BSIN Tomo Gathering</t>
  </si>
  <si>
    <t>BTN Excellence Award</t>
  </si>
  <si>
    <t>Cirebon Power Employee Gathering Bandung</t>
  </si>
  <si>
    <t>Kurang Bayar PPh-21 Karyawan Th 2024</t>
  </si>
  <si>
    <t>PPh-23 Th 2025</t>
  </si>
  <si>
    <t>PPh-23 Tahun 2025 : Disetor di 23-Jan-2026</t>
  </si>
  <si>
    <t>PPh-4 Ayat 2 Tahun 2025 : Disetor di 23-Jan-2026</t>
  </si>
  <si>
    <t>PPh-4 Ayat 2 yang Dipungut tapi Belum/Tidak Disetor</t>
  </si>
  <si>
    <t>PAYMENT IN 2025</t>
  </si>
  <si>
    <t>PPn WAPU - 2023</t>
  </si>
  <si>
    <t>PPn WAPU - 2025</t>
  </si>
  <si>
    <t>PPn WAPU - 2024</t>
  </si>
  <si>
    <t>Data di Rincian AP PPN 23-25</t>
  </si>
  <si>
    <t>PPn Masa - Nopember</t>
  </si>
  <si>
    <t>PPn Masa - Desenber</t>
  </si>
  <si>
    <t>PPh-23 sebelum tahun 2025</t>
  </si>
  <si>
    <t>PPh-23 tahun 2025</t>
  </si>
  <si>
    <t>BRI KunKerBogorDPRTunai Selisih BOQ TIKA RISKI ASTARI</t>
  </si>
  <si>
    <t>BRI FGD Semarang  Tunai Selisih BOQ TIKA RISKI ASTARI</t>
  </si>
  <si>
    <t>HimbaraFGDSemarangTunai Selisih BOQ TIKA RISKI ASTARI</t>
  </si>
  <si>
    <t>Mandiri PasarMurahPO Fee            M RIZKY AULIA</t>
  </si>
  <si>
    <t>BSIN Tomo Gath    PO Fee            M RIZKY AULIA</t>
  </si>
  <si>
    <t>Cirebon Power EG  PO Fee            M RIZKY AULIA</t>
  </si>
  <si>
    <t>BTN Excellent Awd PO Fee            M RIZKY AULIA</t>
  </si>
  <si>
    <t>BTN Mini Olympic  PO Fee            M RIZKY AULIA</t>
  </si>
  <si>
    <t>BRI Journalist BC PO Fee            M RIZKY AULIA</t>
  </si>
  <si>
    <t>Internet</t>
  </si>
  <si>
    <t xml:space="preserve">TSel Orbit HH Q4 DP VillaKanaAtas  POPY FERINA </t>
  </si>
  <si>
    <t xml:space="preserve">TSel Orbit HH Q4 2 Hiace Situgunung BIG BIRD PUSAKA PT  </t>
  </si>
  <si>
    <t xml:space="preserve">TSel Orbit HH Q4 Lunas Visa Grp POPY FERINA  </t>
  </si>
  <si>
    <t xml:space="preserve">TSel Orbit HH Q4 UHPD 2D 16Paxs YOGI PURWO WIDODO  </t>
  </si>
  <si>
    <t xml:space="preserve">BRI FGD SEMARANG, Ke00026  BNINIDJA/PACTO </t>
  </si>
  <si>
    <t xml:space="preserve">TSel Orbit HH Q4, 16 00083 MCM InhouseTrf  KE TOKOLARI MITRA KREASI </t>
  </si>
  <si>
    <t>UBP60215001202FFFFFF041734140721304 : PPh-21 Karyawan, Masa Desember 2025 (Kurang Bayar)</t>
  </si>
  <si>
    <t>Overtime Des 2025 : Adun, Sukanda, Ujer, Yadi</t>
  </si>
  <si>
    <t>Internet Nop and Des 2025 MORA TELEMATIKA IN</t>
  </si>
  <si>
    <t xml:space="preserve"> Pembayaran Surat Tagihan Denda PPN Masa Agustus 2025 dan PPH Badan 2024</t>
  </si>
  <si>
    <t>Mutasi BCA Sahardjo 2026</t>
  </si>
  <si>
    <t>Mutasi BCA Juanda 2026</t>
  </si>
  <si>
    <t>Mutasi Mandiri MP 2026</t>
  </si>
  <si>
    <t>Mutasi Bank Mandiri MP 2026</t>
  </si>
  <si>
    <t>PPn Masukan 2025 dilaporkan 2026</t>
  </si>
  <si>
    <t>WA AH : 2025 PL Check as per 13-March - Pengembalian dana ke panitia</t>
  </si>
  <si>
    <t>UBP60215001202FFFFFF042082495394940 MCM CASA UBP Pym 1L  : STP Denda Pajak PPN Masa Nop</t>
  </si>
  <si>
    <t xml:space="preserve">BRI FGD SEMARANG KOM00044   CENAIDJA/TIKA RISKI ASTARI </t>
  </si>
  <si>
    <t>BRI PERINGATAN PUNCA00051  020601052431504/OI36000807492341</t>
  </si>
  <si>
    <t xml:space="preserve">Mandiri Pasar Murah, 27084 MCM InhouseTrf  KE GNC </t>
  </si>
  <si>
    <t>BSIN Supplier Mtg, P BRINIDJA/KREASI MILIMETER NUS</t>
  </si>
  <si>
    <t>Cash IDR - Mutasi 2026</t>
  </si>
  <si>
    <t>Tol dan Parkir</t>
  </si>
  <si>
    <t>Pembelian meals</t>
  </si>
  <si>
    <t>UBP60215001202FFFFFF042000088846803 : Kurang Bayar PPh-21 Tahun 2025</t>
  </si>
  <si>
    <t>PPn Non WAPU - 2025</t>
  </si>
  <si>
    <t>PPn Non WAPU end of 2024</t>
  </si>
  <si>
    <t>AP In and Out</t>
  </si>
  <si>
    <t>PPn Masa - Desenber 2024</t>
  </si>
  <si>
    <t>PPN Masukan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</si>
</sst>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5" formatCode="_(* #,##0.00_);_(* \(#,##0.00\);_(* &quot;-&quot;_);_(@_)"/>
    <numFmt numFmtId="167" formatCode="_-* #,##0.00_-;\-* #,##0.00_-;_-* &quot;-&quot;??_-;_-@_-"/>
    <numFmt numFmtId="169" formatCode="_-* #,##0_-;\-* #,##0_-;_-* &quot;-&quot;_-;_-@_-"/>
  </numFmts>
  <fonts count="19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70C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Arial"/>
      <family val="2"/>
    </font>
    <font>
      <sz val="12"/>
      <name val="Times New Roman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41" fontId="1" fillId="0" borderId="0" applyFont="0" applyFill="0" applyBorder="0" applyAlignment="0" applyProtection="0"/>
    <xf numFmtId="0" fontId="5" fillId="0" borderId="0"/>
    <xf numFmtId="0" fontId="6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6" fillId="0" borderId="0"/>
    <xf numFmtId="41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0" fontId="3" fillId="0" borderId="0" xfId="0" applyFont="1"/>
    <xf numFmtId="165" fontId="0" fillId="0" borderId="0" xfId="1" applyNumberFormat="1" applyFont="1" applyFill="1"/>
    <xf numFmtId="165" fontId="3" fillId="0" borderId="0" xfId="1" applyNumberFormat="1" applyFont="1"/>
    <xf numFmtId="0" fontId="6" fillId="0" borderId="0" xfId="2" quotePrefix="1" applyFont="1" applyAlignment="1">
      <alignment horizontal="center"/>
    </xf>
    <xf numFmtId="0" fontId="6" fillId="0" borderId="0" xfId="3"/>
    <xf numFmtId="165" fontId="6" fillId="0" borderId="0" xfId="4" applyNumberFormat="1" applyFont="1" applyFill="1"/>
    <xf numFmtId="0" fontId="7" fillId="0" borderId="0" xfId="2" applyFont="1"/>
    <xf numFmtId="0" fontId="6" fillId="0" borderId="0" xfId="2" applyFont="1"/>
    <xf numFmtId="165" fontId="6" fillId="0" borderId="0" xfId="4" applyNumberFormat="1" applyFont="1" applyFill="1" applyAlignment="1">
      <alignment horizontal="left"/>
    </xf>
    <xf numFmtId="0" fontId="8" fillId="0" borderId="0" xfId="2" applyFont="1" applyAlignment="1">
      <alignment horizontal="center"/>
    </xf>
    <xf numFmtId="0" fontId="8" fillId="0" borderId="0" xfId="3" applyFont="1" applyAlignment="1">
      <alignment horizontal="center"/>
    </xf>
    <xf numFmtId="0" fontId="9" fillId="0" borderId="0" xfId="2" applyFont="1" applyAlignment="1">
      <alignment horizontal="center"/>
    </xf>
    <xf numFmtId="165" fontId="6" fillId="0" borderId="0" xfId="4" applyNumberFormat="1" applyFont="1" applyFill="1" applyAlignment="1">
      <alignment horizontal="center"/>
    </xf>
    <xf numFmtId="0" fontId="6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165" fontId="6" fillId="0" borderId="0" xfId="4" applyNumberFormat="1" applyFont="1" applyFill="1" applyBorder="1"/>
    <xf numFmtId="165" fontId="6" fillId="0" borderId="0" xfId="4" applyNumberFormat="1" applyFont="1"/>
    <xf numFmtId="0" fontId="7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167" fontId="6" fillId="0" borderId="0" xfId="2" applyNumberFormat="1" applyFont="1" applyAlignment="1">
      <alignment horizontal="left"/>
    </xf>
    <xf numFmtId="165" fontId="6" fillId="0" borderId="0" xfId="4" applyNumberFormat="1" applyFont="1" applyFill="1" applyBorder="1" applyAlignment="1">
      <alignment horizontal="left"/>
    </xf>
    <xf numFmtId="43" fontId="6" fillId="0" borderId="0" xfId="2" applyNumberFormat="1" applyFont="1" applyAlignment="1">
      <alignment horizontal="left"/>
    </xf>
    <xf numFmtId="0" fontId="0" fillId="0" borderId="0" xfId="2" quotePrefix="1" applyFont="1" applyAlignment="1">
      <alignment horizontal="center"/>
    </xf>
    <xf numFmtId="0" fontId="6" fillId="0" borderId="0" xfId="3" applyAlignment="1">
      <alignment horizontal="center"/>
    </xf>
    <xf numFmtId="0" fontId="4" fillId="0" borderId="0" xfId="2" applyFont="1" applyAlignment="1">
      <alignment horizontal="center"/>
    </xf>
    <xf numFmtId="0" fontId="6" fillId="0" borderId="0" xfId="3" applyAlignment="1">
      <alignment horizontal="left"/>
    </xf>
    <xf numFmtId="0" fontId="11" fillId="0" borderId="0" xfId="2" applyFont="1"/>
    <xf numFmtId="165" fontId="4" fillId="0" borderId="0" xfId="1" applyNumberFormat="1" applyFont="1" applyFill="1"/>
    <xf numFmtId="0" fontId="4" fillId="0" borderId="0" xfId="0" applyFont="1"/>
    <xf numFmtId="165" fontId="4" fillId="0" borderId="0" xfId="1" applyNumberFormat="1" applyFont="1"/>
    <xf numFmtId="0" fontId="12" fillId="0" borderId="0" xfId="3" applyFont="1"/>
    <xf numFmtId="0" fontId="6" fillId="0" borderId="0" xfId="0" applyFont="1"/>
    <xf numFmtId="0" fontId="13" fillId="0" borderId="0" xfId="0" quotePrefix="1" applyFont="1"/>
    <xf numFmtId="165" fontId="8" fillId="0" borderId="0" xfId="4" applyNumberFormat="1" applyFont="1" applyFill="1"/>
    <xf numFmtId="0" fontId="4" fillId="0" borderId="0" xfId="0" applyFont="1" applyAlignment="1">
      <alignment horizontal="center"/>
    </xf>
    <xf numFmtId="165" fontId="3" fillId="0" borderId="0" xfId="1" applyNumberFormat="1" applyFont="1" applyFill="1"/>
    <xf numFmtId="165" fontId="12" fillId="0" borderId="0" xfId="4" applyNumberFormat="1" applyFont="1"/>
    <xf numFmtId="43" fontId="6" fillId="0" borderId="0" xfId="7" applyFont="1" applyFill="1" applyBorder="1" applyAlignment="1">
      <alignment horizontal="center"/>
    </xf>
    <xf numFmtId="0" fontId="2" fillId="0" borderId="0" xfId="0" applyFont="1"/>
    <xf numFmtId="165" fontId="12" fillId="0" borderId="0" xfId="4" applyNumberFormat="1" applyFont="1" applyFill="1"/>
    <xf numFmtId="0" fontId="12" fillId="0" borderId="0" xfId="2" applyFont="1"/>
    <xf numFmtId="0" fontId="4" fillId="0" borderId="0" xfId="2" quotePrefix="1" applyFont="1" applyAlignment="1">
      <alignment horizontal="center"/>
    </xf>
    <xf numFmtId="41" fontId="4" fillId="0" borderId="0" xfId="4" quotePrefix="1" applyFont="1" applyFill="1"/>
    <xf numFmtId="165" fontId="6" fillId="0" borderId="0" xfId="1" applyNumberFormat="1" applyFont="1" applyFill="1"/>
    <xf numFmtId="0" fontId="6" fillId="0" borderId="0" xfId="0" applyFont="1" applyAlignment="1">
      <alignment horizontal="left"/>
    </xf>
    <xf numFmtId="165" fontId="8" fillId="0" borderId="0" xfId="4" applyNumberFormat="1" applyFont="1" applyAlignment="1">
      <alignment horizontal="center"/>
    </xf>
    <xf numFmtId="165" fontId="8" fillId="0" borderId="0" xfId="4" applyNumberFormat="1" applyFont="1" applyFill="1" applyAlignment="1">
      <alignment horizontal="center"/>
    </xf>
    <xf numFmtId="0" fontId="14" fillId="0" borderId="0" xfId="2" applyFont="1"/>
    <xf numFmtId="0" fontId="4" fillId="0" borderId="0" xfId="3" applyFont="1"/>
    <xf numFmtId="165" fontId="6" fillId="0" borderId="0" xfId="1" applyNumberFormat="1" applyFont="1" applyFill="1" applyBorder="1"/>
    <xf numFmtId="165" fontId="6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5" fontId="15" fillId="0" borderId="0" xfId="1" applyNumberFormat="1" applyFont="1" applyFill="1"/>
    <xf numFmtId="41" fontId="6" fillId="0" borderId="0" xfId="1" applyFont="1"/>
    <xf numFmtId="165" fontId="8" fillId="0" borderId="0" xfId="1" applyNumberFormat="1" applyFont="1" applyFill="1" applyBorder="1"/>
    <xf numFmtId="0" fontId="12" fillId="0" borderId="0" xfId="2" applyFont="1" applyAlignment="1">
      <alignment horizontal="center"/>
    </xf>
    <xf numFmtId="165" fontId="12" fillId="0" borderId="0" xfId="1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2" applyNumberFormat="1" applyFont="1"/>
    <xf numFmtId="165" fontId="11" fillId="0" borderId="0" xfId="4" applyNumberFormat="1" applyFont="1" applyFill="1"/>
    <xf numFmtId="165" fontId="6" fillId="0" borderId="0" xfId="0" applyNumberFormat="1" applyFont="1"/>
    <xf numFmtId="0" fontId="11" fillId="0" borderId="0" xfId="3" applyFont="1"/>
    <xf numFmtId="0" fontId="11" fillId="0" borderId="0" xfId="2" applyFont="1" applyAlignment="1">
      <alignment horizontal="center"/>
    </xf>
    <xf numFmtId="165" fontId="11" fillId="0" borderId="0" xfId="1" applyNumberFormat="1" applyFont="1" applyFill="1" applyBorder="1"/>
    <xf numFmtId="165" fontId="11" fillId="0" borderId="0" xfId="4" applyNumberFormat="1" applyFont="1"/>
    <xf numFmtId="0" fontId="18" fillId="0" borderId="0" xfId="2" applyFont="1"/>
    <xf numFmtId="0" fontId="3" fillId="0" borderId="0" xfId="0" applyFont="1" applyAlignment="1">
      <alignment horizontal="left"/>
    </xf>
    <xf numFmtId="165" fontId="3" fillId="0" borderId="0" xfId="1" applyNumberFormat="1" applyFont="1" applyFill="1" applyAlignment="1">
      <alignment horizontal="center"/>
    </xf>
    <xf numFmtId="165" fontId="8" fillId="0" borderId="0" xfId="4" applyNumberFormat="1" applyFont="1" applyFill="1" applyAlignment="1">
      <alignment horizontal="center"/>
    </xf>
  </cellXfs>
  <cellStyles count="20">
    <cellStyle name="Comma [0]" xfId="1" builtinId="6"/>
    <cellStyle name="Comma [0] 2" xfId="4" xr:uid="{E206625D-CE92-B946-878E-6AA0829E898C}"/>
    <cellStyle name="Comma [0] 2 2" xfId="12" xr:uid="{2A804006-5001-5049-84D3-FB258FE2E1AB}"/>
    <cellStyle name="Comma [0] 2 3" xfId="5" xr:uid="{20A799B3-BE5A-964F-BE1E-1391E29E7052}"/>
    <cellStyle name="Comma [0] 2 3 2" xfId="10" xr:uid="{6B5DF09C-6668-004E-832C-859692394773}"/>
    <cellStyle name="Comma [0] 2 3 2 2" xfId="17" xr:uid="{2EC272E1-F154-DE4D-8FFC-1738E0F2B485}"/>
    <cellStyle name="Comma [0] 3" xfId="9" xr:uid="{DCC47050-EC02-4040-8ED8-306B64C985B1}"/>
    <cellStyle name="Comma [0] 4" xfId="16" xr:uid="{5B145FB2-4D0A-B249-B369-54ABF0C38C9B}"/>
    <cellStyle name="Comma 2" xfId="6" xr:uid="{EAAE8118-4A1E-3049-ADC2-FB2BB5557A52}"/>
    <cellStyle name="Comma 2 2" xfId="7" xr:uid="{B0896BE0-35A1-2F49-8BC0-6D90093B48F4}"/>
    <cellStyle name="Comma 3" xfId="13" xr:uid="{D01750FA-08E4-0C47-9357-0F62E9D605A3}"/>
    <cellStyle name="Comma 4" xfId="15" xr:uid="{A2EC2101-5781-AC44-BED5-F1BDBB670F1A}"/>
    <cellStyle name="Normal" xfId="0" builtinId="0"/>
    <cellStyle name="Normal 2" xfId="2" xr:uid="{3B5401B9-DE75-EB48-9DE0-B2B7DAD183EC}"/>
    <cellStyle name="Normal 2 2" xfId="8" xr:uid="{54DAEB53-87F6-084C-A87B-7176E7EB83C2}"/>
    <cellStyle name="Normal 2 3" xfId="19" xr:uid="{FA86753D-0FFC-1948-8EF3-B2B2A5BEC3D7}"/>
    <cellStyle name="Normal 3" xfId="14" xr:uid="{8B874317-EAD8-D042-9017-3A3DD28E4B28}"/>
    <cellStyle name="Normal 3 4 2" xfId="11" xr:uid="{B424239B-ED7C-D142-AC4A-5D267E1997FC}"/>
    <cellStyle name="Normal 3 6" xfId="3" xr:uid="{0DE30895-D5B6-4F42-8773-FC3E05E857CB}"/>
    <cellStyle name="Normal 3 6 2" xfId="18" xr:uid="{8ECA74BB-2D76-474D-9277-CB573693B1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47C6-9DB2-EE43-A590-530E996D9E45}">
  <sheetPr>
    <pageSetUpPr fitToPage="1"/>
  </sheetPr>
  <dimension ref="A1:X349"/>
  <sheetViews>
    <sheetView tabSelected="1" topLeftCell="R1" zoomScale="108" zoomScaleNormal="98" workbookViewId="0">
      <selection activeCell="C56" sqref="C56"/>
    </sheetView>
  </sheetViews>
  <sheetFormatPr defaultColWidth="9.1875" defaultRowHeight="15.45"/>
  <cols>
    <col min="1" max="1" width="23" style="14" customWidth="1"/>
    <col min="2" max="2" width="11.1875" style="14" customWidth="1"/>
    <col min="3" max="3" width="29.3125" style="5" customWidth="1"/>
    <col min="4" max="4" width="67" style="5" customWidth="1"/>
    <col min="5" max="5" width="21.8125" style="50" customWidth="1"/>
    <col min="6" max="6" width="18.3125" style="17" customWidth="1"/>
    <col min="7" max="7" width="19.3125" style="17" customWidth="1"/>
    <col min="8" max="8" width="27.6875" style="5" customWidth="1"/>
    <col min="9" max="9" width="65.6875" style="5" customWidth="1"/>
    <col min="10" max="10" width="2.8125" style="7" customWidth="1"/>
    <col min="11" max="11" width="20.3125" style="6" customWidth="1"/>
    <col min="12" max="12" width="18.8125" style="6" customWidth="1"/>
    <col min="13" max="13" width="20.8125" style="6" customWidth="1"/>
    <col min="14" max="14" width="17" style="6" customWidth="1"/>
    <col min="15" max="16" width="19.3125" style="6" customWidth="1"/>
    <col min="17" max="17" width="17" style="6" customWidth="1"/>
    <col min="18" max="18" width="19.6875" style="6" customWidth="1"/>
    <col min="19" max="19" width="18.3125" style="6" customWidth="1"/>
    <col min="20" max="20" width="1.8125" style="6" customWidth="1"/>
    <col min="21" max="21" width="19.8125" style="6" customWidth="1"/>
    <col min="22" max="22" width="18.8125" style="6" customWidth="1"/>
    <col min="23" max="23" width="29.6875" style="27" customWidth="1"/>
    <col min="24" max="24" width="12.5" style="7" bestFit="1" customWidth="1"/>
    <col min="25" max="16384" width="9.1875" style="7"/>
  </cols>
  <sheetData>
    <row r="1" spans="1:23">
      <c r="E1" s="50">
        <f>E5+250000000+R5</f>
        <v>266623111</v>
      </c>
      <c r="G1" s="17" t="s">
        <v>13</v>
      </c>
      <c r="L1" s="6">
        <f>+L75+M75</f>
        <v>0</v>
      </c>
      <c r="M1" s="6">
        <f>E37-M37</f>
        <v>1957176</v>
      </c>
      <c r="R1" s="6">
        <f>E1+R5</f>
        <v>267679611</v>
      </c>
    </row>
    <row r="2" spans="1:23">
      <c r="A2" s="38"/>
      <c r="B2" s="38"/>
      <c r="E2" s="51"/>
      <c r="K2" s="69" t="s">
        <v>433</v>
      </c>
      <c r="L2" s="69"/>
      <c r="M2" s="69"/>
      <c r="N2" s="69"/>
      <c r="O2" s="69"/>
      <c r="P2" s="69"/>
      <c r="Q2" s="69"/>
      <c r="R2" s="69"/>
      <c r="S2" s="69"/>
      <c r="U2" s="69" t="s">
        <v>80</v>
      </c>
      <c r="V2" s="69"/>
    </row>
    <row r="3" spans="1:23" s="12" customFormat="1">
      <c r="A3" s="10" t="s">
        <v>22</v>
      </c>
      <c r="B3" s="10" t="s">
        <v>23</v>
      </c>
      <c r="C3" s="11" t="s">
        <v>24</v>
      </c>
      <c r="D3" s="11" t="s">
        <v>25</v>
      </c>
      <c r="E3" s="52" t="s">
        <v>26</v>
      </c>
      <c r="F3" s="46" t="s">
        <v>27</v>
      </c>
      <c r="G3" s="46">
        <v>14500</v>
      </c>
      <c r="H3" s="11"/>
      <c r="I3" s="11"/>
      <c r="K3" s="47" t="s">
        <v>241</v>
      </c>
      <c r="L3" s="47" t="s">
        <v>240</v>
      </c>
      <c r="M3" s="47" t="s">
        <v>401</v>
      </c>
      <c r="N3" s="47" t="s">
        <v>28</v>
      </c>
      <c r="O3" s="47" t="s">
        <v>239</v>
      </c>
      <c r="P3" s="47" t="s">
        <v>238</v>
      </c>
      <c r="Q3" s="47" t="s">
        <v>29</v>
      </c>
      <c r="R3" s="47" t="s">
        <v>30</v>
      </c>
      <c r="S3" s="47" t="s">
        <v>479</v>
      </c>
      <c r="T3" s="13"/>
      <c r="U3" s="47" t="s">
        <v>26</v>
      </c>
      <c r="V3" s="47" t="s">
        <v>27</v>
      </c>
      <c r="W3" s="15"/>
    </row>
    <row r="4" spans="1:23" s="18" customFormat="1" ht="15" customHeight="1">
      <c r="A4" s="4" t="s">
        <v>11</v>
      </c>
      <c r="B4" s="14" t="s">
        <v>13</v>
      </c>
      <c r="C4" s="5" t="s">
        <v>31</v>
      </c>
      <c r="D4" s="5" t="s">
        <v>32</v>
      </c>
      <c r="E4" s="16">
        <v>0</v>
      </c>
      <c r="F4" s="17">
        <v>0</v>
      </c>
      <c r="G4" s="17">
        <v>0</v>
      </c>
      <c r="H4" s="5"/>
      <c r="I4" s="5"/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9"/>
      <c r="U4" s="6">
        <f>E4+K4+L4+M4+N4+O4+P4+Q4+R4</f>
        <v>0</v>
      </c>
      <c r="V4" s="6">
        <f>G4+S4</f>
        <v>0</v>
      </c>
      <c r="W4" s="19"/>
    </row>
    <row r="5" spans="1:23" s="18" customFormat="1" ht="15" customHeight="1">
      <c r="A5" s="4" t="s">
        <v>11</v>
      </c>
      <c r="B5" s="14" t="s">
        <v>13</v>
      </c>
      <c r="C5" s="5" t="s">
        <v>12</v>
      </c>
      <c r="D5" s="5" t="s">
        <v>32</v>
      </c>
      <c r="E5" s="16">
        <v>15566611</v>
      </c>
      <c r="F5" s="17">
        <v>0</v>
      </c>
      <c r="G5" s="17">
        <v>0</v>
      </c>
      <c r="H5" s="5"/>
      <c r="I5" s="5"/>
      <c r="K5" s="6">
        <v>433389</v>
      </c>
      <c r="L5" s="6">
        <v>50000000</v>
      </c>
      <c r="M5" s="6">
        <f>-50000000-1056500</f>
        <v>-51056500</v>
      </c>
      <c r="N5" s="6">
        <v>0</v>
      </c>
      <c r="O5" s="6">
        <v>0</v>
      </c>
      <c r="P5" s="6">
        <v>0</v>
      </c>
      <c r="Q5" s="6">
        <v>0</v>
      </c>
      <c r="R5" s="6">
        <v>1056500</v>
      </c>
      <c r="S5" s="6">
        <v>0</v>
      </c>
      <c r="T5" s="9"/>
      <c r="U5" s="6">
        <f t="shared" ref="U5:U101" si="0">E5+K5+L5+M5+N5+O5+P5+Q5+R5</f>
        <v>16000000</v>
      </c>
      <c r="V5" s="6">
        <f t="shared" ref="V5:V99" si="1">G5+S5</f>
        <v>0</v>
      </c>
      <c r="W5" s="20" t="s">
        <v>13</v>
      </c>
    </row>
    <row r="6" spans="1:23" s="18" customFormat="1" ht="15" customHeight="1">
      <c r="A6" s="4" t="s">
        <v>11</v>
      </c>
      <c r="B6" s="14" t="s">
        <v>13</v>
      </c>
      <c r="C6" s="5" t="s">
        <v>33</v>
      </c>
      <c r="D6" s="5" t="s">
        <v>32</v>
      </c>
      <c r="E6" s="21">
        <v>0</v>
      </c>
      <c r="F6" s="6">
        <v>0</v>
      </c>
      <c r="G6" s="17">
        <v>0</v>
      </c>
      <c r="H6" s="5"/>
      <c r="I6" s="5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9"/>
      <c r="U6" s="6">
        <f t="shared" si="0"/>
        <v>0</v>
      </c>
      <c r="V6" s="6">
        <f t="shared" si="1"/>
        <v>0</v>
      </c>
      <c r="W6" s="22" t="s">
        <v>13</v>
      </c>
    </row>
    <row r="7" spans="1:23" s="18" customFormat="1" ht="15" customHeight="1">
      <c r="A7" s="4" t="s">
        <v>11</v>
      </c>
      <c r="B7" s="14" t="s">
        <v>13</v>
      </c>
      <c r="C7" s="5" t="s">
        <v>372</v>
      </c>
      <c r="D7" s="5" t="s">
        <v>32</v>
      </c>
      <c r="E7" s="21">
        <v>0</v>
      </c>
      <c r="F7" s="6">
        <v>0</v>
      </c>
      <c r="G7" s="17">
        <v>0</v>
      </c>
      <c r="H7" s="5"/>
      <c r="I7" s="5"/>
      <c r="K7" s="6">
        <v>0</v>
      </c>
      <c r="L7" s="6">
        <v>342000000</v>
      </c>
      <c r="M7" s="6">
        <v>12600000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9"/>
      <c r="U7" s="6">
        <f t="shared" ref="U7" si="2">E7+K7+L7+M7+N7+O7+P7+Q7+R7</f>
        <v>354600000</v>
      </c>
      <c r="V7" s="6">
        <f t="shared" ref="V7" si="3">G7+S7</f>
        <v>0</v>
      </c>
      <c r="W7" s="22" t="s">
        <v>13</v>
      </c>
    </row>
    <row r="8" spans="1:23" s="18" customFormat="1" ht="15" customHeight="1">
      <c r="A8" s="4" t="s">
        <v>11</v>
      </c>
      <c r="B8" s="14" t="s">
        <v>13</v>
      </c>
      <c r="C8" s="5" t="s">
        <v>34</v>
      </c>
      <c r="D8" s="5" t="s">
        <v>32</v>
      </c>
      <c r="E8" s="6">
        <v>0</v>
      </c>
      <c r="F8" s="6">
        <v>0</v>
      </c>
      <c r="G8" s="17">
        <v>0</v>
      </c>
      <c r="H8" s="5"/>
      <c r="I8" s="5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9"/>
      <c r="U8" s="6">
        <f t="shared" si="0"/>
        <v>0</v>
      </c>
      <c r="V8" s="6">
        <f t="shared" si="1"/>
        <v>0</v>
      </c>
      <c r="W8" s="19"/>
    </row>
    <row r="9" spans="1:23" s="8" customFormat="1" ht="16" customHeight="1">
      <c r="A9" s="23" t="s">
        <v>36</v>
      </c>
      <c r="B9" s="24" t="s">
        <v>13</v>
      </c>
      <c r="C9" s="5" t="s">
        <v>82</v>
      </c>
      <c r="D9" s="5" t="s">
        <v>13</v>
      </c>
      <c r="E9" s="6">
        <v>0</v>
      </c>
      <c r="F9" s="6">
        <v>0</v>
      </c>
      <c r="G9" s="17">
        <v>0</v>
      </c>
      <c r="H9" s="5" t="s">
        <v>13</v>
      </c>
      <c r="I9" s="5"/>
      <c r="J9" s="7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25221305</v>
      </c>
      <c r="S9" s="6">
        <v>0</v>
      </c>
      <c r="T9" s="6"/>
      <c r="U9" s="6">
        <f t="shared" si="0"/>
        <v>25221305</v>
      </c>
      <c r="V9" s="6">
        <f t="shared" si="1"/>
        <v>0</v>
      </c>
    </row>
    <row r="10" spans="1:23" s="8" customFormat="1" ht="16" customHeight="1">
      <c r="A10" s="23" t="s">
        <v>36</v>
      </c>
      <c r="B10" s="24" t="s">
        <v>13</v>
      </c>
      <c r="C10" s="5" t="s">
        <v>203</v>
      </c>
      <c r="D10" s="5" t="s">
        <v>13</v>
      </c>
      <c r="E10" s="6">
        <v>121566475</v>
      </c>
      <c r="F10" s="6">
        <v>0</v>
      </c>
      <c r="G10" s="17">
        <v>0</v>
      </c>
      <c r="H10" s="5" t="s">
        <v>13</v>
      </c>
      <c r="I10" s="5"/>
      <c r="J10" s="7"/>
      <c r="K10" s="6">
        <v>0</v>
      </c>
      <c r="L10" s="6">
        <v>0</v>
      </c>
      <c r="M10" s="6">
        <v>-121566475</v>
      </c>
      <c r="N10" s="6">
        <v>0</v>
      </c>
      <c r="O10" s="6">
        <v>0</v>
      </c>
      <c r="P10" s="6">
        <v>0</v>
      </c>
      <c r="Q10" s="6">
        <v>0</v>
      </c>
      <c r="R10" s="6">
        <v>180036770</v>
      </c>
      <c r="S10" s="6">
        <v>0</v>
      </c>
      <c r="T10" s="6"/>
      <c r="U10" s="6">
        <f t="shared" si="0"/>
        <v>180036770</v>
      </c>
      <c r="V10" s="6">
        <f t="shared" si="1"/>
        <v>0</v>
      </c>
    </row>
    <row r="11" spans="1:23" s="8" customFormat="1" ht="16" customHeight="1">
      <c r="A11" s="23" t="s">
        <v>36</v>
      </c>
      <c r="B11" s="24" t="s">
        <v>13</v>
      </c>
      <c r="C11" s="5" t="s">
        <v>37</v>
      </c>
      <c r="D11" s="5" t="s">
        <v>13</v>
      </c>
      <c r="E11" s="6">
        <v>49811936</v>
      </c>
      <c r="F11" s="6">
        <v>0</v>
      </c>
      <c r="G11" s="17">
        <v>0</v>
      </c>
      <c r="H11" s="5" t="s">
        <v>13</v>
      </c>
      <c r="I11" s="5"/>
      <c r="J11" s="7"/>
      <c r="K11" s="6">
        <v>0</v>
      </c>
      <c r="L11" s="6">
        <v>0</v>
      </c>
      <c r="M11" s="6">
        <v>-49811936</v>
      </c>
      <c r="N11" s="6">
        <v>0</v>
      </c>
      <c r="O11" s="6">
        <v>0</v>
      </c>
      <c r="P11" s="6">
        <v>0</v>
      </c>
      <c r="Q11" s="6">
        <v>0</v>
      </c>
      <c r="R11" s="6">
        <v>48200000</v>
      </c>
      <c r="S11" s="6">
        <v>0</v>
      </c>
      <c r="T11" s="6"/>
      <c r="U11" s="6">
        <f t="shared" si="0"/>
        <v>48200000</v>
      </c>
      <c r="V11" s="6">
        <f t="shared" si="1"/>
        <v>0</v>
      </c>
    </row>
    <row r="12" spans="1:23" s="8" customFormat="1" ht="16" customHeight="1">
      <c r="A12" s="23" t="s">
        <v>36</v>
      </c>
      <c r="B12" s="24" t="s">
        <v>13</v>
      </c>
      <c r="C12" s="5" t="s">
        <v>96</v>
      </c>
      <c r="D12" s="5" t="s">
        <v>13</v>
      </c>
      <c r="E12" s="6">
        <v>154034667</v>
      </c>
      <c r="F12" s="6">
        <v>0</v>
      </c>
      <c r="G12" s="17">
        <v>0</v>
      </c>
      <c r="H12" s="5" t="s">
        <v>13</v>
      </c>
      <c r="I12" s="5"/>
      <c r="J12" s="7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-154034667</v>
      </c>
      <c r="Q12" s="6">
        <v>0</v>
      </c>
      <c r="R12" s="6">
        <v>26924174</v>
      </c>
      <c r="S12" s="6">
        <v>0</v>
      </c>
      <c r="T12" s="6"/>
      <c r="U12" s="6">
        <f t="shared" ref="U12" si="4">E12+K12+L12+M12+N12+O12+P12+Q12+R12</f>
        <v>26924174</v>
      </c>
      <c r="V12" s="6">
        <f t="shared" ref="V12" si="5">G12+S12</f>
        <v>0</v>
      </c>
    </row>
    <row r="13" spans="1:23" s="8" customFormat="1" ht="16" customHeight="1">
      <c r="A13" s="23" t="s">
        <v>36</v>
      </c>
      <c r="B13" s="24" t="s">
        <v>13</v>
      </c>
      <c r="C13" s="5" t="s">
        <v>377</v>
      </c>
      <c r="D13" s="5" t="s">
        <v>13</v>
      </c>
      <c r="E13" s="6">
        <v>0</v>
      </c>
      <c r="F13" s="6">
        <v>0</v>
      </c>
      <c r="G13" s="17">
        <v>0</v>
      </c>
      <c r="H13" s="5" t="s">
        <v>13</v>
      </c>
      <c r="I13" s="5"/>
      <c r="J13" s="7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109792173</v>
      </c>
      <c r="S13" s="6">
        <v>0</v>
      </c>
      <c r="T13" s="6"/>
      <c r="U13" s="6">
        <f t="shared" si="0"/>
        <v>109792173</v>
      </c>
      <c r="V13" s="6">
        <f t="shared" si="1"/>
        <v>0</v>
      </c>
    </row>
    <row r="14" spans="1:23" s="8" customFormat="1" ht="16" customHeight="1">
      <c r="A14" s="42" t="s">
        <v>83</v>
      </c>
      <c r="B14" s="24" t="s">
        <v>13</v>
      </c>
      <c r="C14" s="5" t="s">
        <v>423</v>
      </c>
      <c r="D14" s="43" t="s">
        <v>408</v>
      </c>
      <c r="E14" s="6">
        <v>0</v>
      </c>
      <c r="F14" s="6">
        <v>0</v>
      </c>
      <c r="G14" s="17">
        <v>0</v>
      </c>
      <c r="H14" s="5" t="s">
        <v>13</v>
      </c>
      <c r="I14" s="5"/>
      <c r="J14" s="7"/>
      <c r="K14" s="6">
        <v>13000000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/>
      <c r="U14" s="6">
        <f t="shared" si="0"/>
        <v>13000000</v>
      </c>
      <c r="V14" s="6">
        <f t="shared" si="1"/>
        <v>0</v>
      </c>
    </row>
    <row r="15" spans="1:23" s="8" customFormat="1" ht="16" customHeight="1">
      <c r="A15" s="42" t="s">
        <v>83</v>
      </c>
      <c r="B15" s="24" t="s">
        <v>13</v>
      </c>
      <c r="C15" s="5" t="s">
        <v>423</v>
      </c>
      <c r="D15" s="43" t="s">
        <v>409</v>
      </c>
      <c r="E15" s="6">
        <v>0</v>
      </c>
      <c r="F15" s="6">
        <v>0</v>
      </c>
      <c r="G15" s="17">
        <v>0</v>
      </c>
      <c r="H15" s="5" t="s">
        <v>13</v>
      </c>
      <c r="I15" s="5"/>
      <c r="J15" s="7"/>
      <c r="K15" s="6">
        <v>135000000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/>
      <c r="U15" s="6">
        <f t="shared" ref="U15:U31" si="6">E15+K15+L15+M15+N15+O15+P15+Q15+R15</f>
        <v>135000000</v>
      </c>
      <c r="V15" s="6">
        <f t="shared" ref="V15:V31" si="7">G15+S15</f>
        <v>0</v>
      </c>
    </row>
    <row r="16" spans="1:23" s="8" customFormat="1" ht="16" customHeight="1">
      <c r="A16" s="42" t="s">
        <v>83</v>
      </c>
      <c r="B16" s="24" t="s">
        <v>13</v>
      </c>
      <c r="C16" s="5" t="s">
        <v>423</v>
      </c>
      <c r="D16" s="43" t="s">
        <v>410</v>
      </c>
      <c r="E16" s="6">
        <v>0</v>
      </c>
      <c r="F16" s="6">
        <v>0</v>
      </c>
      <c r="G16" s="17">
        <v>0</v>
      </c>
      <c r="H16" s="5" t="s">
        <v>13</v>
      </c>
      <c r="I16" s="5"/>
      <c r="J16" s="7"/>
      <c r="K16" s="6">
        <v>25064000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/>
      <c r="U16" s="6">
        <f t="shared" si="6"/>
        <v>25064000</v>
      </c>
      <c r="V16" s="6">
        <f t="shared" si="7"/>
        <v>0</v>
      </c>
    </row>
    <row r="17" spans="1:22" s="8" customFormat="1" ht="16" customHeight="1">
      <c r="A17" s="42" t="s">
        <v>83</v>
      </c>
      <c r="B17" s="24" t="s">
        <v>13</v>
      </c>
      <c r="C17" s="5" t="s">
        <v>423</v>
      </c>
      <c r="D17" s="43" t="s">
        <v>411</v>
      </c>
      <c r="E17" s="6">
        <v>0</v>
      </c>
      <c r="F17" s="6">
        <v>0</v>
      </c>
      <c r="G17" s="17">
        <v>0</v>
      </c>
      <c r="H17" s="5" t="s">
        <v>13</v>
      </c>
      <c r="I17" s="5"/>
      <c r="J17" s="7"/>
      <c r="K17" s="6">
        <v>134757000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/>
      <c r="U17" s="6">
        <f t="shared" si="6"/>
        <v>134757000</v>
      </c>
      <c r="V17" s="6">
        <f t="shared" si="7"/>
        <v>0</v>
      </c>
    </row>
    <row r="18" spans="1:22" s="8" customFormat="1" ht="16" customHeight="1">
      <c r="A18" s="42" t="s">
        <v>83</v>
      </c>
      <c r="B18" s="24" t="s">
        <v>13</v>
      </c>
      <c r="C18" s="5" t="s">
        <v>423</v>
      </c>
      <c r="D18" s="43" t="s">
        <v>411</v>
      </c>
      <c r="E18" s="6">
        <v>0</v>
      </c>
      <c r="F18" s="6">
        <v>0</v>
      </c>
      <c r="G18" s="17">
        <v>0</v>
      </c>
      <c r="H18" s="5" t="s">
        <v>13</v>
      </c>
      <c r="I18" s="5"/>
      <c r="J18" s="7"/>
      <c r="K18" s="6">
        <v>243000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/>
      <c r="U18" s="6">
        <f t="shared" ref="U18" si="8">E18+K18+L18+M18+N18+O18+P18+Q18+R18</f>
        <v>243000</v>
      </c>
      <c r="V18" s="6">
        <f t="shared" ref="V18" si="9">G18+S18</f>
        <v>0</v>
      </c>
    </row>
    <row r="19" spans="1:22" s="8" customFormat="1" ht="16" customHeight="1">
      <c r="A19" s="42" t="s">
        <v>83</v>
      </c>
      <c r="B19" s="24" t="s">
        <v>13</v>
      </c>
      <c r="C19" s="5" t="s">
        <v>423</v>
      </c>
      <c r="D19" s="43" t="s">
        <v>410</v>
      </c>
      <c r="E19" s="6">
        <v>0</v>
      </c>
      <c r="F19" s="6">
        <v>0</v>
      </c>
      <c r="G19" s="17">
        <v>0</v>
      </c>
      <c r="H19" s="5" t="s">
        <v>13</v>
      </c>
      <c r="I19" s="5"/>
      <c r="J19" s="7"/>
      <c r="K19" s="6">
        <v>106060000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/>
      <c r="U19" s="6">
        <f t="shared" si="6"/>
        <v>106060000</v>
      </c>
      <c r="V19" s="6">
        <f t="shared" si="7"/>
        <v>0</v>
      </c>
    </row>
    <row r="20" spans="1:22" s="8" customFormat="1" ht="16" customHeight="1">
      <c r="A20" s="42" t="s">
        <v>83</v>
      </c>
      <c r="B20" s="24" t="s">
        <v>13</v>
      </c>
      <c r="C20" s="5" t="s">
        <v>423</v>
      </c>
      <c r="D20" s="43" t="s">
        <v>408</v>
      </c>
      <c r="E20" s="6">
        <v>0</v>
      </c>
      <c r="F20" s="6">
        <v>0</v>
      </c>
      <c r="G20" s="17">
        <v>0</v>
      </c>
      <c r="H20" s="5" t="s">
        <v>13</v>
      </c>
      <c r="I20" s="5"/>
      <c r="J20" s="7"/>
      <c r="K20" s="6">
        <v>79650000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/>
      <c r="U20" s="6">
        <f t="shared" si="6"/>
        <v>79650000</v>
      </c>
      <c r="V20" s="6">
        <f t="shared" si="7"/>
        <v>0</v>
      </c>
    </row>
    <row r="21" spans="1:22" s="8" customFormat="1" ht="16" customHeight="1">
      <c r="A21" s="42" t="s">
        <v>83</v>
      </c>
      <c r="B21" s="24" t="s">
        <v>13</v>
      </c>
      <c r="C21" s="5" t="s">
        <v>423</v>
      </c>
      <c r="D21" s="43" t="s">
        <v>408</v>
      </c>
      <c r="E21" s="6">
        <v>0</v>
      </c>
      <c r="F21" s="6">
        <v>0</v>
      </c>
      <c r="G21" s="17">
        <v>0</v>
      </c>
      <c r="H21" s="5" t="s">
        <v>13</v>
      </c>
      <c r="I21" s="5"/>
      <c r="J21" s="7"/>
      <c r="K21" s="6">
        <v>42350000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/>
      <c r="U21" s="6">
        <f t="shared" si="6"/>
        <v>42350000</v>
      </c>
      <c r="V21" s="6">
        <f t="shared" si="7"/>
        <v>0</v>
      </c>
    </row>
    <row r="22" spans="1:22" s="8" customFormat="1" ht="16" customHeight="1">
      <c r="A22" s="42" t="s">
        <v>83</v>
      </c>
      <c r="B22" s="24" t="s">
        <v>13</v>
      </c>
      <c r="C22" s="5" t="s">
        <v>423</v>
      </c>
      <c r="D22" s="43" t="s">
        <v>412</v>
      </c>
      <c r="E22" s="6">
        <v>0</v>
      </c>
      <c r="F22" s="6">
        <v>0</v>
      </c>
      <c r="G22" s="17">
        <v>0</v>
      </c>
      <c r="H22" s="5" t="s">
        <v>13</v>
      </c>
      <c r="I22" s="5"/>
      <c r="J22" s="7"/>
      <c r="K22" s="6">
        <v>135000000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/>
      <c r="U22" s="6">
        <f t="shared" si="6"/>
        <v>135000000</v>
      </c>
      <c r="V22" s="6">
        <f t="shared" si="7"/>
        <v>0</v>
      </c>
    </row>
    <row r="23" spans="1:22" s="8" customFormat="1" ht="16" customHeight="1">
      <c r="A23" s="42" t="s">
        <v>83</v>
      </c>
      <c r="B23" s="24" t="s">
        <v>13</v>
      </c>
      <c r="C23" s="5" t="s">
        <v>423</v>
      </c>
      <c r="D23" s="43" t="s">
        <v>413</v>
      </c>
      <c r="E23" s="6">
        <v>0</v>
      </c>
      <c r="F23" s="6">
        <v>0</v>
      </c>
      <c r="G23" s="17">
        <v>0</v>
      </c>
      <c r="H23" s="5" t="s">
        <v>13</v>
      </c>
      <c r="I23" s="5"/>
      <c r="J23" s="7"/>
      <c r="K23" s="6">
        <v>28431000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/>
      <c r="U23" s="6">
        <f t="shared" si="6"/>
        <v>28431000</v>
      </c>
      <c r="V23" s="6">
        <f t="shared" si="7"/>
        <v>0</v>
      </c>
    </row>
    <row r="24" spans="1:22" s="8" customFormat="1" ht="16" customHeight="1">
      <c r="A24" s="42" t="s">
        <v>83</v>
      </c>
      <c r="B24" s="24" t="s">
        <v>13</v>
      </c>
      <c r="C24" s="5" t="s">
        <v>423</v>
      </c>
      <c r="D24" s="43" t="s">
        <v>414</v>
      </c>
      <c r="E24" s="6">
        <v>0</v>
      </c>
      <c r="F24" s="6">
        <v>0</v>
      </c>
      <c r="G24" s="17">
        <v>0</v>
      </c>
      <c r="H24" s="5" t="s">
        <v>13</v>
      </c>
      <c r="I24" s="5"/>
      <c r="J24" s="7"/>
      <c r="K24" s="6">
        <v>100845000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/>
      <c r="U24" s="6">
        <f t="shared" si="6"/>
        <v>100845000</v>
      </c>
      <c r="V24" s="6">
        <f t="shared" si="7"/>
        <v>0</v>
      </c>
    </row>
    <row r="25" spans="1:22" s="8" customFormat="1" ht="16" customHeight="1">
      <c r="A25" s="42" t="s">
        <v>83</v>
      </c>
      <c r="B25" s="24" t="s">
        <v>13</v>
      </c>
      <c r="C25" s="5" t="s">
        <v>423</v>
      </c>
      <c r="D25" s="43" t="s">
        <v>415</v>
      </c>
      <c r="E25" s="6">
        <v>0</v>
      </c>
      <c r="F25" s="6">
        <v>0</v>
      </c>
      <c r="G25" s="17">
        <v>0</v>
      </c>
      <c r="H25" s="5" t="s">
        <v>13</v>
      </c>
      <c r="I25" s="5"/>
      <c r="J25" s="7"/>
      <c r="K25" s="6">
        <v>135000000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/>
      <c r="U25" s="6">
        <f t="shared" si="6"/>
        <v>135000000</v>
      </c>
      <c r="V25" s="6">
        <f t="shared" si="7"/>
        <v>0</v>
      </c>
    </row>
    <row r="26" spans="1:22" s="8" customFormat="1" ht="16" customHeight="1">
      <c r="A26" s="42" t="s">
        <v>83</v>
      </c>
      <c r="B26" s="24" t="s">
        <v>13</v>
      </c>
      <c r="C26" s="5" t="s">
        <v>423</v>
      </c>
      <c r="D26" s="43" t="s">
        <v>413</v>
      </c>
      <c r="E26" s="6">
        <v>0</v>
      </c>
      <c r="F26" s="6">
        <v>0</v>
      </c>
      <c r="G26" s="17">
        <v>0</v>
      </c>
      <c r="H26" s="5" t="s">
        <v>13</v>
      </c>
      <c r="I26" s="5"/>
      <c r="J26" s="7"/>
      <c r="K26" s="6">
        <v>106569000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/>
      <c r="U26" s="6">
        <f t="shared" si="6"/>
        <v>106569000</v>
      </c>
      <c r="V26" s="6">
        <f t="shared" si="7"/>
        <v>0</v>
      </c>
    </row>
    <row r="27" spans="1:22" s="8" customFormat="1" ht="16" customHeight="1">
      <c r="A27" s="42" t="s">
        <v>83</v>
      </c>
      <c r="B27" s="24" t="s">
        <v>13</v>
      </c>
      <c r="C27" s="5" t="s">
        <v>423</v>
      </c>
      <c r="D27" s="43" t="s">
        <v>414</v>
      </c>
      <c r="E27" s="6">
        <v>0</v>
      </c>
      <c r="F27" s="6">
        <v>0</v>
      </c>
      <c r="G27" s="17">
        <v>0</v>
      </c>
      <c r="H27" s="5" t="s">
        <v>13</v>
      </c>
      <c r="I27" s="5"/>
      <c r="J27" s="7"/>
      <c r="K27" s="6">
        <v>34155000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/>
      <c r="U27" s="6">
        <f t="shared" si="6"/>
        <v>34155000</v>
      </c>
      <c r="V27" s="6">
        <f t="shared" si="7"/>
        <v>0</v>
      </c>
    </row>
    <row r="28" spans="1:22" s="8" customFormat="1" ht="16" customHeight="1">
      <c r="A28" s="42" t="s">
        <v>83</v>
      </c>
      <c r="B28" s="24" t="s">
        <v>13</v>
      </c>
      <c r="C28" s="5" t="s">
        <v>423</v>
      </c>
      <c r="D28" s="43" t="s">
        <v>416</v>
      </c>
      <c r="E28" s="6">
        <v>0</v>
      </c>
      <c r="F28" s="6">
        <v>0</v>
      </c>
      <c r="G28" s="17">
        <v>0</v>
      </c>
      <c r="H28" s="5" t="s">
        <v>13</v>
      </c>
      <c r="I28" s="5"/>
      <c r="J28" s="7"/>
      <c r="K28" s="6">
        <v>135000000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/>
      <c r="U28" s="6">
        <f t="shared" si="6"/>
        <v>135000000</v>
      </c>
      <c r="V28" s="6">
        <f t="shared" si="7"/>
        <v>0</v>
      </c>
    </row>
    <row r="29" spans="1:22" s="8" customFormat="1" ht="16" customHeight="1">
      <c r="A29" s="42" t="s">
        <v>83</v>
      </c>
      <c r="B29" s="24" t="s">
        <v>13</v>
      </c>
      <c r="C29" s="5" t="s">
        <v>423</v>
      </c>
      <c r="D29" s="43" t="s">
        <v>417</v>
      </c>
      <c r="E29" s="6">
        <v>0</v>
      </c>
      <c r="F29" s="6">
        <v>0</v>
      </c>
      <c r="G29" s="17">
        <v>0</v>
      </c>
      <c r="H29" s="5" t="s">
        <v>13</v>
      </c>
      <c r="I29" s="5"/>
      <c r="J29" s="7"/>
      <c r="K29" s="6">
        <v>135000000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/>
      <c r="U29" s="6">
        <f t="shared" ref="U29:U30" si="10">E29+K29+L29+M29+N29+O29+P29+Q29+R29</f>
        <v>135000000</v>
      </c>
      <c r="V29" s="6">
        <f t="shared" ref="V29:V30" si="11">G29+S29</f>
        <v>0</v>
      </c>
    </row>
    <row r="30" spans="1:22" s="8" customFormat="1" ht="16" customHeight="1">
      <c r="A30" s="42" t="s">
        <v>83</v>
      </c>
      <c r="B30" s="24" t="s">
        <v>13</v>
      </c>
      <c r="C30" s="5" t="s">
        <v>423</v>
      </c>
      <c r="D30" s="43" t="s">
        <v>418</v>
      </c>
      <c r="E30" s="6">
        <v>0</v>
      </c>
      <c r="F30" s="6">
        <v>0</v>
      </c>
      <c r="G30" s="17">
        <v>0</v>
      </c>
      <c r="H30" s="5" t="s">
        <v>13</v>
      </c>
      <c r="I30" s="5"/>
      <c r="J30" s="7"/>
      <c r="K30" s="6">
        <v>4000000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/>
      <c r="U30" s="6">
        <f t="shared" si="10"/>
        <v>4000000</v>
      </c>
      <c r="V30" s="6">
        <f t="shared" si="11"/>
        <v>0</v>
      </c>
    </row>
    <row r="31" spans="1:22" s="8" customFormat="1" ht="16" customHeight="1">
      <c r="A31" s="42" t="s">
        <v>83</v>
      </c>
      <c r="B31" s="24" t="s">
        <v>13</v>
      </c>
      <c r="C31" s="5" t="s">
        <v>423</v>
      </c>
      <c r="D31" s="43" t="s">
        <v>418</v>
      </c>
      <c r="E31" s="6">
        <v>0</v>
      </c>
      <c r="F31" s="6">
        <v>0</v>
      </c>
      <c r="G31" s="17">
        <v>0</v>
      </c>
      <c r="H31" s="5" t="s">
        <v>13</v>
      </c>
      <c r="I31" s="5"/>
      <c r="J31" s="7"/>
      <c r="K31" s="6">
        <v>-124000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/>
      <c r="U31" s="6">
        <f t="shared" si="6"/>
        <v>-124000</v>
      </c>
      <c r="V31" s="6">
        <f t="shared" si="7"/>
        <v>0</v>
      </c>
    </row>
    <row r="32" spans="1:22" s="8" customFormat="1" ht="16" customHeight="1">
      <c r="A32" s="42" t="s">
        <v>83</v>
      </c>
      <c r="B32" s="24" t="s">
        <v>13</v>
      </c>
      <c r="C32" s="1" t="s">
        <v>420</v>
      </c>
      <c r="D32" s="43" t="s">
        <v>419</v>
      </c>
      <c r="E32" s="6">
        <v>0</v>
      </c>
      <c r="F32" s="6">
        <v>0</v>
      </c>
      <c r="G32" s="17">
        <v>0</v>
      </c>
      <c r="H32" s="5" t="s">
        <v>13</v>
      </c>
      <c r="I32" s="5"/>
      <c r="J32" s="7"/>
      <c r="K32" s="6">
        <v>120000000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/>
      <c r="U32" s="6">
        <f t="shared" ref="U32" si="12">E32+K32+L32+M32+N32+O32+P32+Q32+R32</f>
        <v>120000000</v>
      </c>
      <c r="V32" s="6">
        <f t="shared" ref="V32" si="13">G32+S32</f>
        <v>0</v>
      </c>
    </row>
    <row r="33" spans="1:23" s="8" customFormat="1" ht="16" customHeight="1">
      <c r="A33" s="42" t="s">
        <v>83</v>
      </c>
      <c r="B33" s="24" t="s">
        <v>13</v>
      </c>
      <c r="C33" s="1" t="s">
        <v>420</v>
      </c>
      <c r="D33" s="43" t="s">
        <v>421</v>
      </c>
      <c r="E33" s="6">
        <v>0</v>
      </c>
      <c r="F33" s="6">
        <v>0</v>
      </c>
      <c r="G33" s="17">
        <v>0</v>
      </c>
      <c r="H33" s="5" t="s">
        <v>13</v>
      </c>
      <c r="I33" s="5"/>
      <c r="J33" s="7"/>
      <c r="K33" s="6">
        <v>1000000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/>
      <c r="U33" s="6">
        <f t="shared" ref="U33" si="14">E33+K33+L33+M33+N33+O33+P33+Q33+R33</f>
        <v>1000000</v>
      </c>
      <c r="V33" s="6">
        <f t="shared" ref="V33" si="15">G33+S33</f>
        <v>0</v>
      </c>
    </row>
    <row r="34" spans="1:23" s="8" customFormat="1" ht="16" customHeight="1">
      <c r="A34" s="4" t="s">
        <v>38</v>
      </c>
      <c r="B34" s="25" t="s">
        <v>13</v>
      </c>
      <c r="C34" s="5" t="s">
        <v>13</v>
      </c>
      <c r="D34" s="29" t="s">
        <v>13</v>
      </c>
      <c r="E34" s="6">
        <v>0</v>
      </c>
      <c r="F34" s="6">
        <v>0</v>
      </c>
      <c r="G34" s="17">
        <v>0</v>
      </c>
      <c r="H34" s="5" t="s">
        <v>13</v>
      </c>
      <c r="I34" t="s">
        <v>13</v>
      </c>
      <c r="J34" s="7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/>
      <c r="U34" s="6">
        <f t="shared" si="0"/>
        <v>0</v>
      </c>
      <c r="V34" s="6">
        <f t="shared" si="1"/>
        <v>0</v>
      </c>
    </row>
    <row r="35" spans="1:23" s="8" customFormat="1" ht="16" customHeight="1">
      <c r="A35" s="42" t="s">
        <v>35</v>
      </c>
      <c r="B35" s="24" t="s">
        <v>13</v>
      </c>
      <c r="C35" s="5" t="s">
        <v>12</v>
      </c>
      <c r="D35" s="5" t="s">
        <v>13</v>
      </c>
      <c r="E35" s="6">
        <v>100000000</v>
      </c>
      <c r="F35" s="6">
        <v>0</v>
      </c>
      <c r="G35" s="17">
        <v>0</v>
      </c>
      <c r="H35" s="5" t="s">
        <v>13</v>
      </c>
      <c r="I35" s="5" t="s">
        <v>13</v>
      </c>
      <c r="J35" s="7"/>
      <c r="K35" s="6">
        <v>-100000000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/>
      <c r="U35" s="6">
        <f t="shared" si="0"/>
        <v>0</v>
      </c>
      <c r="V35" s="6">
        <f t="shared" si="1"/>
        <v>0</v>
      </c>
    </row>
    <row r="36" spans="1:23" s="8" customFormat="1" ht="16" customHeight="1">
      <c r="A36" s="42" t="s">
        <v>35</v>
      </c>
      <c r="B36" s="24" t="s">
        <v>13</v>
      </c>
      <c r="C36" s="5" t="s">
        <v>31</v>
      </c>
      <c r="D36" s="5" t="s">
        <v>13</v>
      </c>
      <c r="E36" s="6">
        <v>100000000</v>
      </c>
      <c r="F36" s="6">
        <v>0</v>
      </c>
      <c r="G36" s="17">
        <v>0</v>
      </c>
      <c r="H36" s="5" t="s">
        <v>13</v>
      </c>
      <c r="I36" s="5" t="s">
        <v>13</v>
      </c>
      <c r="J36" s="7"/>
      <c r="K36" s="6">
        <v>-100000000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/>
      <c r="U36" s="6">
        <f t="shared" si="0"/>
        <v>0</v>
      </c>
      <c r="V36" s="6">
        <f t="shared" si="1"/>
        <v>0</v>
      </c>
    </row>
    <row r="37" spans="1:23" ht="16" customHeight="1">
      <c r="A37" s="42" t="s">
        <v>39</v>
      </c>
      <c r="B37" s="25" t="s">
        <v>13</v>
      </c>
      <c r="C37" s="26" t="s">
        <v>440</v>
      </c>
      <c r="D37" s="5" t="s">
        <v>296</v>
      </c>
      <c r="E37" s="6">
        <v>978588</v>
      </c>
      <c r="F37" s="6">
        <v>0</v>
      </c>
      <c r="G37" s="17">
        <v>0</v>
      </c>
      <c r="H37" s="5" t="s">
        <v>13</v>
      </c>
      <c r="I37" s="5" t="s">
        <v>13</v>
      </c>
      <c r="K37" s="6">
        <v>0</v>
      </c>
      <c r="L37" s="40">
        <v>0</v>
      </c>
      <c r="M37" s="6">
        <v>-978588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U37" s="6">
        <f t="shared" ref="U37:U50" si="16">E37+SUM(K37:S37)</f>
        <v>0</v>
      </c>
      <c r="V37" s="6">
        <f t="shared" si="1"/>
        <v>0</v>
      </c>
      <c r="W37" s="8"/>
    </row>
    <row r="38" spans="1:23" ht="16" customHeight="1">
      <c r="A38" s="42" t="s">
        <v>39</v>
      </c>
      <c r="B38" s="25" t="s">
        <v>13</v>
      </c>
      <c r="C38" s="26" t="s">
        <v>441</v>
      </c>
      <c r="D38" s="5" t="s">
        <v>296</v>
      </c>
      <c r="E38" s="6">
        <v>0</v>
      </c>
      <c r="F38" s="6">
        <v>0</v>
      </c>
      <c r="G38" s="17">
        <v>0</v>
      </c>
      <c r="H38" s="5" t="s">
        <v>13</v>
      </c>
      <c r="I38" s="5" t="s">
        <v>13</v>
      </c>
      <c r="K38" s="6">
        <v>0</v>
      </c>
      <c r="L38" s="6">
        <v>127688</v>
      </c>
      <c r="M38" s="6">
        <v>1718342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U38" s="6">
        <f t="shared" ref="U38" si="17">E38+SUM(K38:S38)</f>
        <v>1846030</v>
      </c>
      <c r="V38" s="6">
        <f t="shared" ref="V38" si="18">G38+S38</f>
        <v>0</v>
      </c>
      <c r="W38" s="8"/>
    </row>
    <row r="39" spans="1:23" ht="16" customHeight="1">
      <c r="A39" s="42" t="s">
        <v>39</v>
      </c>
      <c r="B39" s="25" t="s">
        <v>13</v>
      </c>
      <c r="C39" s="26" t="s">
        <v>429</v>
      </c>
      <c r="D39" s="5" t="s">
        <v>430</v>
      </c>
      <c r="E39" s="6">
        <v>0</v>
      </c>
      <c r="F39" s="6">
        <v>0</v>
      </c>
      <c r="G39" s="17">
        <v>0</v>
      </c>
      <c r="H39" s="5" t="s">
        <v>13</v>
      </c>
      <c r="I39" s="5" t="s">
        <v>13</v>
      </c>
      <c r="K39" s="6">
        <v>0</v>
      </c>
      <c r="L39" s="6">
        <v>7328440</v>
      </c>
      <c r="M39" s="6">
        <v>3450224</v>
      </c>
      <c r="N39" s="6">
        <v>0</v>
      </c>
      <c r="O39" s="6">
        <v>0</v>
      </c>
      <c r="P39" s="6">
        <v>0</v>
      </c>
      <c r="Q39" s="6">
        <v>0</v>
      </c>
      <c r="R39" s="6">
        <v>546599</v>
      </c>
      <c r="S39" s="6">
        <v>0</v>
      </c>
      <c r="U39" s="6">
        <f t="shared" si="16"/>
        <v>11325263</v>
      </c>
      <c r="V39" s="6">
        <f t="shared" ref="V39" si="19">G39+S39</f>
        <v>0</v>
      </c>
      <c r="W39" s="8"/>
    </row>
    <row r="40" spans="1:23" ht="16" customHeight="1">
      <c r="A40" s="42" t="s">
        <v>39</v>
      </c>
      <c r="B40" s="25">
        <v>2022</v>
      </c>
      <c r="C40" s="26" t="s">
        <v>297</v>
      </c>
      <c r="D40" s="5" t="s">
        <v>298</v>
      </c>
      <c r="E40" s="6">
        <v>0</v>
      </c>
      <c r="F40" s="6">
        <v>0</v>
      </c>
      <c r="G40" s="17">
        <v>0</v>
      </c>
      <c r="H40" s="5" t="s">
        <v>13</v>
      </c>
      <c r="I40" s="5" t="s">
        <v>13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U40" s="6">
        <f t="shared" si="16"/>
        <v>0</v>
      </c>
      <c r="V40" s="6">
        <f t="shared" si="1"/>
        <v>0</v>
      </c>
      <c r="W40" s="8"/>
    </row>
    <row r="41" spans="1:23" ht="16" customHeight="1">
      <c r="A41" s="42" t="s">
        <v>39</v>
      </c>
      <c r="B41" s="25">
        <v>2023</v>
      </c>
      <c r="C41" s="26" t="s">
        <v>297</v>
      </c>
      <c r="D41" s="5" t="s">
        <v>299</v>
      </c>
      <c r="E41" s="6">
        <v>0</v>
      </c>
      <c r="F41" s="6">
        <v>0</v>
      </c>
      <c r="G41" s="17">
        <v>0</v>
      </c>
      <c r="H41" s="5" t="s">
        <v>13</v>
      </c>
      <c r="I41" s="5" t="s">
        <v>13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U41" s="6">
        <f t="shared" si="16"/>
        <v>0</v>
      </c>
      <c r="V41" s="6">
        <f t="shared" si="1"/>
        <v>0</v>
      </c>
      <c r="W41" s="8"/>
    </row>
    <row r="42" spans="1:23" ht="16" customHeight="1">
      <c r="A42" s="42" t="s">
        <v>39</v>
      </c>
      <c r="B42" s="25">
        <v>2023</v>
      </c>
      <c r="C42" s="26" t="s">
        <v>297</v>
      </c>
      <c r="D42" s="5" t="s">
        <v>299</v>
      </c>
      <c r="E42" s="6">
        <v>0</v>
      </c>
      <c r="F42" s="6">
        <v>0</v>
      </c>
      <c r="G42" s="17">
        <v>0</v>
      </c>
      <c r="H42" s="5" t="s">
        <v>13</v>
      </c>
      <c r="I42" s="5" t="s">
        <v>13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U42" s="6">
        <f t="shared" si="16"/>
        <v>0</v>
      </c>
      <c r="V42" s="6">
        <f t="shared" si="1"/>
        <v>0</v>
      </c>
      <c r="W42" s="8"/>
    </row>
    <row r="43" spans="1:23" ht="16" customHeight="1">
      <c r="A43" s="42" t="s">
        <v>39</v>
      </c>
      <c r="B43" s="25">
        <v>2023</v>
      </c>
      <c r="C43" s="26" t="s">
        <v>297</v>
      </c>
      <c r="D43" s="5" t="s">
        <v>299</v>
      </c>
      <c r="E43" s="6">
        <v>0</v>
      </c>
      <c r="F43" s="6">
        <v>0</v>
      </c>
      <c r="G43" s="17">
        <v>0</v>
      </c>
      <c r="H43" s="5" t="s">
        <v>13</v>
      </c>
      <c r="I43" s="5" t="s">
        <v>13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U43" s="6">
        <f t="shared" si="16"/>
        <v>0</v>
      </c>
      <c r="V43" s="6">
        <f t="shared" si="1"/>
        <v>0</v>
      </c>
      <c r="W43" s="8"/>
    </row>
    <row r="44" spans="1:23" ht="16" customHeight="1">
      <c r="A44" s="42" t="s">
        <v>39</v>
      </c>
      <c r="B44" s="25">
        <v>2023</v>
      </c>
      <c r="C44" s="26" t="s">
        <v>297</v>
      </c>
      <c r="D44" s="5" t="s">
        <v>404</v>
      </c>
      <c r="E44" s="6">
        <v>919865320</v>
      </c>
      <c r="F44" s="6">
        <v>0</v>
      </c>
      <c r="G44" s="17">
        <v>0</v>
      </c>
      <c r="H44" s="5" t="s">
        <v>13</v>
      </c>
      <c r="I44" s="5" t="s">
        <v>13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-919865320</v>
      </c>
      <c r="S44" s="6">
        <v>0</v>
      </c>
      <c r="U44" s="6">
        <f t="shared" si="16"/>
        <v>0</v>
      </c>
      <c r="V44" s="6">
        <f t="shared" ref="V44" si="20">G44+S44</f>
        <v>0</v>
      </c>
      <c r="W44" s="8"/>
    </row>
    <row r="45" spans="1:23" ht="16" customHeight="1">
      <c r="A45" s="42" t="s">
        <v>39</v>
      </c>
      <c r="B45" s="25">
        <v>2023</v>
      </c>
      <c r="C45" s="26" t="s">
        <v>300</v>
      </c>
      <c r="D45" s="5" t="s">
        <v>301</v>
      </c>
      <c r="E45" s="6">
        <v>0</v>
      </c>
      <c r="F45" s="6">
        <v>0</v>
      </c>
      <c r="G45" s="17">
        <v>0</v>
      </c>
      <c r="H45" s="5" t="s">
        <v>13</v>
      </c>
      <c r="I45" s="5" t="s">
        <v>13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U45" s="6">
        <f t="shared" si="16"/>
        <v>0</v>
      </c>
      <c r="V45" s="6">
        <f t="shared" si="1"/>
        <v>0</v>
      </c>
      <c r="W45" s="8"/>
    </row>
    <row r="46" spans="1:23" ht="16" customHeight="1">
      <c r="A46" s="42" t="s">
        <v>39</v>
      </c>
      <c r="B46" s="25">
        <v>2023</v>
      </c>
      <c r="C46" s="26" t="s">
        <v>79</v>
      </c>
      <c r="D46" s="5" t="s">
        <v>167</v>
      </c>
      <c r="E46" s="6">
        <v>0</v>
      </c>
      <c r="F46" s="6">
        <v>0</v>
      </c>
      <c r="G46" s="17">
        <v>0</v>
      </c>
      <c r="H46" s="5" t="s">
        <v>13</v>
      </c>
      <c r="I46" s="5" t="s">
        <v>13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U46" s="6">
        <f t="shared" si="16"/>
        <v>0</v>
      </c>
      <c r="V46" s="6">
        <f t="shared" si="1"/>
        <v>0</v>
      </c>
      <c r="W46" s="8"/>
    </row>
    <row r="47" spans="1:23" ht="16" customHeight="1">
      <c r="A47" s="42" t="s">
        <v>39</v>
      </c>
      <c r="B47" s="25">
        <v>2024</v>
      </c>
      <c r="C47" s="26" t="s">
        <v>79</v>
      </c>
      <c r="D47" s="5" t="s">
        <v>302</v>
      </c>
      <c r="E47" s="6">
        <v>0</v>
      </c>
      <c r="F47" s="6">
        <v>0</v>
      </c>
      <c r="G47" s="17">
        <v>0</v>
      </c>
      <c r="H47" s="5" t="s">
        <v>13</v>
      </c>
      <c r="I47" s="5" t="s">
        <v>13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U47" s="6">
        <f t="shared" si="16"/>
        <v>0</v>
      </c>
      <c r="V47" s="6">
        <f t="shared" si="1"/>
        <v>0</v>
      </c>
      <c r="W47" s="8"/>
    </row>
    <row r="48" spans="1:23" ht="16" customHeight="1">
      <c r="A48" s="42" t="s">
        <v>39</v>
      </c>
      <c r="B48" s="25">
        <v>2023</v>
      </c>
      <c r="C48" s="26" t="s">
        <v>295</v>
      </c>
      <c r="D48" s="5" t="s">
        <v>432</v>
      </c>
      <c r="E48" s="6">
        <v>0</v>
      </c>
      <c r="F48" s="6">
        <v>0</v>
      </c>
      <c r="G48" s="17">
        <v>0</v>
      </c>
      <c r="H48" s="5" t="s">
        <v>13</v>
      </c>
      <c r="I48" s="5" t="s">
        <v>13</v>
      </c>
      <c r="K48" s="6">
        <v>0</v>
      </c>
      <c r="L48" s="6">
        <v>0</v>
      </c>
      <c r="M48" s="6">
        <v>1801802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U48" s="6">
        <f t="shared" si="16"/>
        <v>1801802</v>
      </c>
      <c r="V48" s="6">
        <f t="shared" si="1"/>
        <v>0</v>
      </c>
      <c r="W48" s="8"/>
    </row>
    <row r="49" spans="1:24" ht="16" customHeight="1">
      <c r="A49" s="42" t="s">
        <v>39</v>
      </c>
      <c r="B49" s="25">
        <v>2023</v>
      </c>
      <c r="C49" s="26" t="s">
        <v>295</v>
      </c>
      <c r="D49" s="5" t="s">
        <v>431</v>
      </c>
      <c r="E49" s="6">
        <v>0</v>
      </c>
      <c r="F49" s="6">
        <v>0</v>
      </c>
      <c r="G49" s="17">
        <v>0</v>
      </c>
      <c r="H49" s="5" t="s">
        <v>13</v>
      </c>
      <c r="I49" s="5" t="s">
        <v>13</v>
      </c>
      <c r="K49" s="6">
        <v>0</v>
      </c>
      <c r="L49" s="6">
        <v>0</v>
      </c>
      <c r="M49" s="6">
        <v>3603604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U49" s="6">
        <f t="shared" si="16"/>
        <v>3603604</v>
      </c>
      <c r="V49" s="6">
        <f t="shared" ref="V49" si="21">G49+S49</f>
        <v>0</v>
      </c>
      <c r="W49" s="8"/>
    </row>
    <row r="50" spans="1:24" s="8" customFormat="1" ht="16" customHeight="1">
      <c r="A50" s="4" t="s">
        <v>39</v>
      </c>
      <c r="B50" s="25">
        <v>2025</v>
      </c>
      <c r="C50" s="26" t="s">
        <v>481</v>
      </c>
      <c r="D50" s="5" t="s">
        <v>466</v>
      </c>
      <c r="E50" s="28">
        <v>0</v>
      </c>
      <c r="F50" s="6">
        <v>0</v>
      </c>
      <c r="G50" s="17">
        <v>0</v>
      </c>
      <c r="H50" s="26" t="s">
        <v>13</v>
      </c>
      <c r="I50" s="29" t="s">
        <v>13</v>
      </c>
      <c r="J50" s="29" t="s">
        <v>13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795850</v>
      </c>
      <c r="T50" s="6"/>
      <c r="U50" s="6">
        <f t="shared" si="16"/>
        <v>795850</v>
      </c>
      <c r="V50" s="6">
        <v>0</v>
      </c>
    </row>
    <row r="51" spans="1:24" s="8" customFormat="1" ht="16" customHeight="1">
      <c r="A51" s="4" t="s">
        <v>39</v>
      </c>
      <c r="B51" s="25">
        <v>2023</v>
      </c>
      <c r="C51" s="26" t="s">
        <v>434</v>
      </c>
      <c r="D51" s="26" t="s">
        <v>437</v>
      </c>
      <c r="E51" s="28">
        <v>19257150</v>
      </c>
      <c r="F51" s="6">
        <v>0</v>
      </c>
      <c r="G51" s="17">
        <v>0</v>
      </c>
      <c r="H51" s="26" t="s">
        <v>13</v>
      </c>
      <c r="I51" s="29" t="s">
        <v>13</v>
      </c>
      <c r="J51" s="29" t="s">
        <v>13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-19257150</v>
      </c>
      <c r="T51" s="6"/>
      <c r="U51" s="6">
        <f t="shared" ref="U51:U56" si="22">E51+SUM(K51:S51)</f>
        <v>0</v>
      </c>
      <c r="V51" s="6">
        <v>0</v>
      </c>
    </row>
    <row r="52" spans="1:24" s="8" customFormat="1" ht="16" customHeight="1">
      <c r="A52" s="4" t="s">
        <v>39</v>
      </c>
      <c r="B52" s="25">
        <v>2024</v>
      </c>
      <c r="C52" s="26" t="s">
        <v>436</v>
      </c>
      <c r="D52" s="26" t="s">
        <v>437</v>
      </c>
      <c r="E52" s="28">
        <v>766597874</v>
      </c>
      <c r="F52" s="6">
        <v>0</v>
      </c>
      <c r="G52" s="17">
        <v>0</v>
      </c>
      <c r="H52" s="26" t="s">
        <v>13</v>
      </c>
      <c r="I52" s="29" t="s">
        <v>13</v>
      </c>
      <c r="J52" s="29" t="s">
        <v>13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-735528458</v>
      </c>
      <c r="T52" s="6"/>
      <c r="U52" s="6">
        <f t="shared" ref="U52" si="23">E52+SUM(K52:S52)</f>
        <v>31069416</v>
      </c>
      <c r="V52" s="6">
        <v>0</v>
      </c>
      <c r="W52" s="54" t="s">
        <v>13</v>
      </c>
      <c r="X52" s="59" t="s">
        <v>13</v>
      </c>
    </row>
    <row r="53" spans="1:24" s="8" customFormat="1" ht="16" customHeight="1">
      <c r="A53" s="4" t="s">
        <v>39</v>
      </c>
      <c r="B53" s="25">
        <v>2024</v>
      </c>
      <c r="C53" s="26" t="s">
        <v>435</v>
      </c>
      <c r="D53" s="26" t="s">
        <v>437</v>
      </c>
      <c r="E53" s="28">
        <v>2784023038</v>
      </c>
      <c r="F53" s="6">
        <v>0</v>
      </c>
      <c r="G53" s="17">
        <v>0</v>
      </c>
      <c r="H53" s="26" t="s">
        <v>13</v>
      </c>
      <c r="I53" s="29" t="s">
        <v>13</v>
      </c>
      <c r="J53" s="29" t="s">
        <v>13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-2600754620</v>
      </c>
      <c r="T53" s="6"/>
      <c r="U53" s="6">
        <f t="shared" si="22"/>
        <v>183268418</v>
      </c>
      <c r="V53" s="6">
        <v>0</v>
      </c>
      <c r="W53" s="54" t="s">
        <v>13</v>
      </c>
      <c r="X53" s="59" t="s">
        <v>13</v>
      </c>
    </row>
    <row r="54" spans="1:24" ht="16" customHeight="1">
      <c r="A54" s="42" t="s">
        <v>39</v>
      </c>
      <c r="B54" s="25">
        <v>2023</v>
      </c>
      <c r="C54" s="26" t="s">
        <v>478</v>
      </c>
      <c r="D54" s="26" t="s">
        <v>480</v>
      </c>
      <c r="E54" s="6">
        <v>11822877</v>
      </c>
      <c r="F54" s="6">
        <v>0</v>
      </c>
      <c r="G54" s="17">
        <v>0</v>
      </c>
      <c r="H54" s="5" t="s">
        <v>13</v>
      </c>
      <c r="I54" s="5" t="s">
        <v>13</v>
      </c>
      <c r="K54" s="6">
        <v>0</v>
      </c>
      <c r="L54" s="6">
        <v>0</v>
      </c>
      <c r="M54" s="6">
        <v>-11822877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U54" s="6">
        <f t="shared" si="22"/>
        <v>0</v>
      </c>
      <c r="V54" s="6">
        <f>G54+S54</f>
        <v>0</v>
      </c>
      <c r="W54" s="8"/>
    </row>
    <row r="55" spans="1:24" s="8" customFormat="1" ht="16" customHeight="1">
      <c r="A55" s="4" t="s">
        <v>39</v>
      </c>
      <c r="B55" s="25">
        <v>2025</v>
      </c>
      <c r="C55" s="26" t="s">
        <v>477</v>
      </c>
      <c r="D55" s="26" t="s">
        <v>438</v>
      </c>
      <c r="E55" s="28">
        <v>0</v>
      </c>
      <c r="F55" s="6">
        <v>0</v>
      </c>
      <c r="G55" s="17">
        <v>0</v>
      </c>
      <c r="H55" s="26" t="s">
        <v>13</v>
      </c>
      <c r="I55" s="29" t="s">
        <v>13</v>
      </c>
      <c r="J55" s="29" t="s">
        <v>13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16754255</v>
      </c>
      <c r="T55" s="6"/>
      <c r="U55" s="6">
        <f t="shared" si="22"/>
        <v>16754255</v>
      </c>
      <c r="V55" s="6">
        <v>0</v>
      </c>
    </row>
    <row r="56" spans="1:24" s="8" customFormat="1" ht="16" customHeight="1">
      <c r="A56" s="4" t="s">
        <v>39</v>
      </c>
      <c r="B56" s="25">
        <v>2025</v>
      </c>
      <c r="C56" s="26" t="s">
        <v>477</v>
      </c>
      <c r="D56" s="26" t="s">
        <v>439</v>
      </c>
      <c r="E56" s="28">
        <v>0</v>
      </c>
      <c r="F56" s="6">
        <v>0</v>
      </c>
      <c r="G56" s="17">
        <v>0</v>
      </c>
      <c r="H56" s="26" t="s">
        <v>13</v>
      </c>
      <c r="I56" s="29" t="s">
        <v>13</v>
      </c>
      <c r="J56" s="29" t="s">
        <v>13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14427195</v>
      </c>
      <c r="T56" s="6"/>
      <c r="U56" s="6">
        <f t="shared" si="22"/>
        <v>14427195</v>
      </c>
      <c r="V56" s="6">
        <v>0</v>
      </c>
    </row>
    <row r="57" spans="1:24" s="8" customFormat="1" ht="16" customHeight="1">
      <c r="A57" s="4" t="s">
        <v>1</v>
      </c>
      <c r="B57" s="25">
        <v>2018</v>
      </c>
      <c r="C57" s="5" t="s">
        <v>19</v>
      </c>
      <c r="D57" s="5" t="s">
        <v>20</v>
      </c>
      <c r="E57" s="53">
        <v>144630000</v>
      </c>
      <c r="F57" s="6">
        <v>0</v>
      </c>
      <c r="G57" s="6">
        <v>0</v>
      </c>
      <c r="H57" s="5" t="s">
        <v>0</v>
      </c>
      <c r="I57" s="49" t="s">
        <v>21</v>
      </c>
      <c r="J57" s="7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-144630000</v>
      </c>
      <c r="S57" s="6">
        <v>0</v>
      </c>
      <c r="T57" s="6"/>
      <c r="U57" s="40">
        <f t="shared" si="0"/>
        <v>0</v>
      </c>
      <c r="V57" s="6">
        <f t="shared" si="1"/>
        <v>0</v>
      </c>
    </row>
    <row r="58" spans="1:24" s="8" customFormat="1" ht="16" customHeight="1">
      <c r="A58" s="23" t="s">
        <v>35</v>
      </c>
      <c r="B58" s="24" t="s">
        <v>13</v>
      </c>
      <c r="C58" s="5" t="s">
        <v>40</v>
      </c>
      <c r="D58" s="5" t="s">
        <v>13</v>
      </c>
      <c r="E58" s="6">
        <v>14450000</v>
      </c>
      <c r="F58" s="6">
        <v>0</v>
      </c>
      <c r="G58" s="17">
        <v>0</v>
      </c>
      <c r="H58" s="5" t="s">
        <v>13</v>
      </c>
      <c r="I58" s="5" t="s">
        <v>13</v>
      </c>
      <c r="J58" s="7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f>-14450000</f>
        <v>-14450000</v>
      </c>
      <c r="S58" s="6">
        <v>0</v>
      </c>
      <c r="T58" s="6"/>
      <c r="U58" s="6">
        <f t="shared" si="0"/>
        <v>0</v>
      </c>
      <c r="V58" s="6">
        <f t="shared" si="1"/>
        <v>0</v>
      </c>
    </row>
    <row r="59" spans="1:24" s="8" customFormat="1" ht="16" customHeight="1">
      <c r="A59" s="23" t="s">
        <v>35</v>
      </c>
      <c r="B59" s="24" t="s">
        <v>13</v>
      </c>
      <c r="C59" s="5" t="s">
        <v>41</v>
      </c>
      <c r="D59" s="5" t="s">
        <v>13</v>
      </c>
      <c r="E59" s="6">
        <v>6338300</v>
      </c>
      <c r="F59" s="6">
        <v>0</v>
      </c>
      <c r="G59" s="17">
        <v>0</v>
      </c>
      <c r="H59" s="5" t="s">
        <v>13</v>
      </c>
      <c r="I59" s="5" t="s">
        <v>13</v>
      </c>
      <c r="J59" s="7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-6338300</v>
      </c>
      <c r="S59" s="6">
        <v>0</v>
      </c>
      <c r="T59" s="6"/>
      <c r="U59" s="6">
        <f t="shared" si="0"/>
        <v>0</v>
      </c>
      <c r="V59" s="6">
        <f t="shared" si="1"/>
        <v>0</v>
      </c>
    </row>
    <row r="60" spans="1:24" s="8" customFormat="1" ht="16" customHeight="1">
      <c r="A60" s="23" t="s">
        <v>35</v>
      </c>
      <c r="B60" s="24" t="s">
        <v>13</v>
      </c>
      <c r="C60" s="5" t="s">
        <v>42</v>
      </c>
      <c r="D60" s="5" t="s">
        <v>13</v>
      </c>
      <c r="E60" s="6">
        <v>39100</v>
      </c>
      <c r="F60" s="6">
        <v>0</v>
      </c>
      <c r="G60" s="17">
        <v>0</v>
      </c>
      <c r="H60" s="5" t="s">
        <v>13</v>
      </c>
      <c r="I60" s="5" t="s">
        <v>13</v>
      </c>
      <c r="J60" s="7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-39100</v>
      </c>
      <c r="S60" s="6">
        <v>0</v>
      </c>
      <c r="T60" s="6"/>
      <c r="U60" s="6">
        <f t="shared" si="0"/>
        <v>0</v>
      </c>
      <c r="V60" s="6">
        <f t="shared" si="1"/>
        <v>0</v>
      </c>
    </row>
    <row r="61" spans="1:24" s="8" customFormat="1" ht="16" customHeight="1">
      <c r="A61" s="23" t="s">
        <v>35</v>
      </c>
      <c r="B61" s="24" t="s">
        <v>13</v>
      </c>
      <c r="C61" s="5" t="s">
        <v>12</v>
      </c>
      <c r="D61" s="5" t="s">
        <v>13</v>
      </c>
      <c r="E61" s="6">
        <v>3000000</v>
      </c>
      <c r="F61" s="6">
        <v>0</v>
      </c>
      <c r="G61" s="17">
        <v>0</v>
      </c>
      <c r="H61" s="5" t="s">
        <v>13</v>
      </c>
      <c r="I61" s="5" t="s">
        <v>13</v>
      </c>
      <c r="J61" s="7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/>
      <c r="U61" s="6">
        <f t="shared" si="0"/>
        <v>3000000</v>
      </c>
      <c r="V61" s="6">
        <f t="shared" si="1"/>
        <v>0</v>
      </c>
    </row>
    <row r="62" spans="1:24" s="8" customFormat="1" ht="16" customHeight="1">
      <c r="A62" s="23" t="s">
        <v>35</v>
      </c>
      <c r="B62" s="24" t="s">
        <v>13</v>
      </c>
      <c r="C62" s="5" t="s">
        <v>43</v>
      </c>
      <c r="D62" s="5" t="s">
        <v>13</v>
      </c>
      <c r="E62" s="6">
        <v>15550</v>
      </c>
      <c r="F62" s="6">
        <v>0</v>
      </c>
      <c r="G62" s="17">
        <v>0</v>
      </c>
      <c r="H62" s="5" t="s">
        <v>13</v>
      </c>
      <c r="I62" s="5" t="s">
        <v>13</v>
      </c>
      <c r="J62" s="7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-15550</v>
      </c>
      <c r="S62" s="6">
        <v>0</v>
      </c>
      <c r="T62" s="6"/>
      <c r="U62" s="6">
        <f t="shared" si="0"/>
        <v>0</v>
      </c>
      <c r="V62" s="6">
        <f t="shared" si="1"/>
        <v>0</v>
      </c>
    </row>
    <row r="63" spans="1:24" s="8" customFormat="1" ht="16" customHeight="1">
      <c r="A63" s="23" t="s">
        <v>35</v>
      </c>
      <c r="B63" s="24" t="s">
        <v>13</v>
      </c>
      <c r="C63" s="5" t="s">
        <v>107</v>
      </c>
      <c r="D63" s="5" t="s">
        <v>13</v>
      </c>
      <c r="E63" s="6">
        <v>778500</v>
      </c>
      <c r="F63" s="6">
        <v>0</v>
      </c>
      <c r="G63" s="17">
        <v>0</v>
      </c>
      <c r="H63" s="5" t="s">
        <v>13</v>
      </c>
      <c r="I63" s="5" t="s">
        <v>13</v>
      </c>
      <c r="J63" s="7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-778500</v>
      </c>
      <c r="S63" s="6">
        <v>0</v>
      </c>
      <c r="T63" s="6"/>
      <c r="U63" s="6">
        <f t="shared" si="0"/>
        <v>0</v>
      </c>
      <c r="V63" s="6">
        <f t="shared" si="1"/>
        <v>0</v>
      </c>
    </row>
    <row r="64" spans="1:24" s="8" customFormat="1" ht="16" customHeight="1">
      <c r="A64" s="23" t="s">
        <v>35</v>
      </c>
      <c r="B64" s="24" t="s">
        <v>13</v>
      </c>
      <c r="C64" s="5" t="s">
        <v>44</v>
      </c>
      <c r="D64" s="5" t="s">
        <v>13</v>
      </c>
      <c r="E64" s="6">
        <v>0</v>
      </c>
      <c r="F64" s="6">
        <v>0</v>
      </c>
      <c r="G64" s="17">
        <v>0</v>
      </c>
      <c r="H64" s="5" t="s">
        <v>13</v>
      </c>
      <c r="I64" s="5" t="s">
        <v>13</v>
      </c>
      <c r="J64" s="7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/>
      <c r="U64" s="6">
        <f t="shared" si="0"/>
        <v>0</v>
      </c>
      <c r="V64" s="6">
        <f t="shared" si="1"/>
        <v>0</v>
      </c>
    </row>
    <row r="65" spans="1:23" s="8" customFormat="1" ht="16" customHeight="1">
      <c r="A65" s="23" t="s">
        <v>35</v>
      </c>
      <c r="B65" s="24" t="s">
        <v>13</v>
      </c>
      <c r="C65" s="5" t="s">
        <v>45</v>
      </c>
      <c r="D65" s="5" t="s">
        <v>13</v>
      </c>
      <c r="E65" s="6">
        <v>0</v>
      </c>
      <c r="F65" s="6">
        <v>0</v>
      </c>
      <c r="G65" s="17">
        <v>0</v>
      </c>
      <c r="H65" s="5" t="s">
        <v>13</v>
      </c>
      <c r="I65" s="5" t="s">
        <v>13</v>
      </c>
      <c r="J65" s="7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/>
      <c r="U65" s="6">
        <f t="shared" si="0"/>
        <v>0</v>
      </c>
      <c r="V65" s="6">
        <f t="shared" si="1"/>
        <v>0</v>
      </c>
    </row>
    <row r="66" spans="1:23" s="8" customFormat="1" ht="16" customHeight="1">
      <c r="A66" s="23" t="s">
        <v>35</v>
      </c>
      <c r="B66" s="24" t="s">
        <v>13</v>
      </c>
      <c r="C66" s="5" t="s">
        <v>6</v>
      </c>
      <c r="D66" s="5" t="s">
        <v>13</v>
      </c>
      <c r="E66" s="6">
        <v>352765</v>
      </c>
      <c r="F66" s="6">
        <v>0</v>
      </c>
      <c r="G66" s="17">
        <v>0</v>
      </c>
      <c r="H66" s="5" t="s">
        <v>13</v>
      </c>
      <c r="I66" s="5" t="s">
        <v>13</v>
      </c>
      <c r="J66" s="7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-352765</v>
      </c>
      <c r="S66" s="6">
        <v>0</v>
      </c>
      <c r="T66" s="6"/>
      <c r="U66" s="6">
        <f t="shared" si="0"/>
        <v>0</v>
      </c>
      <c r="V66" s="6">
        <f t="shared" si="1"/>
        <v>0</v>
      </c>
    </row>
    <row r="67" spans="1:23" s="8" customFormat="1" ht="16" customHeight="1">
      <c r="A67" s="42" t="s">
        <v>35</v>
      </c>
      <c r="B67" s="24" t="s">
        <v>13</v>
      </c>
      <c r="C67" s="5" t="s">
        <v>46</v>
      </c>
      <c r="D67" s="5" t="s">
        <v>13</v>
      </c>
      <c r="E67" s="6">
        <v>146401</v>
      </c>
      <c r="F67" s="6">
        <v>0</v>
      </c>
      <c r="G67" s="6">
        <v>0</v>
      </c>
      <c r="H67" s="5" t="s">
        <v>13</v>
      </c>
      <c r="I67" s="5" t="s">
        <v>13</v>
      </c>
      <c r="J67" s="7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-146401</v>
      </c>
      <c r="S67" s="6">
        <v>0</v>
      </c>
      <c r="T67" s="6"/>
      <c r="U67" s="6">
        <f t="shared" si="0"/>
        <v>0</v>
      </c>
      <c r="V67" s="6">
        <f t="shared" si="1"/>
        <v>0</v>
      </c>
    </row>
    <row r="68" spans="1:23" s="8" customFormat="1" ht="16" customHeight="1">
      <c r="A68" s="23" t="s">
        <v>35</v>
      </c>
      <c r="B68" s="24" t="s">
        <v>13</v>
      </c>
      <c r="C68" s="5" t="s">
        <v>141</v>
      </c>
      <c r="D68" s="5" t="s">
        <v>13</v>
      </c>
      <c r="E68" s="6">
        <v>398000</v>
      </c>
      <c r="F68" s="6">
        <v>0</v>
      </c>
      <c r="G68" s="17">
        <v>0</v>
      </c>
      <c r="H68" s="5" t="s">
        <v>13</v>
      </c>
      <c r="I68" s="5" t="s">
        <v>13</v>
      </c>
      <c r="J68" s="7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-398000</v>
      </c>
      <c r="S68" s="6">
        <v>0</v>
      </c>
      <c r="T68" s="6"/>
      <c r="U68" s="6">
        <f t="shared" si="0"/>
        <v>0</v>
      </c>
      <c r="V68" s="6">
        <f t="shared" si="1"/>
        <v>0</v>
      </c>
    </row>
    <row r="69" spans="1:23" s="8" customFormat="1" ht="16" customHeight="1">
      <c r="A69" s="23" t="s">
        <v>35</v>
      </c>
      <c r="B69" s="24" t="s">
        <v>13</v>
      </c>
      <c r="C69" s="5" t="s">
        <v>105</v>
      </c>
      <c r="D69" s="5" t="s">
        <v>13</v>
      </c>
      <c r="E69" s="6">
        <v>2893700</v>
      </c>
      <c r="F69" s="6">
        <v>0</v>
      </c>
      <c r="G69" s="17">
        <v>0</v>
      </c>
      <c r="H69" s="5" t="s">
        <v>13</v>
      </c>
      <c r="I69" s="5" t="s">
        <v>13</v>
      </c>
      <c r="J69" s="7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-2893700</v>
      </c>
      <c r="S69" s="6">
        <v>0</v>
      </c>
      <c r="T69" s="6"/>
      <c r="U69" s="6">
        <f t="shared" si="0"/>
        <v>0</v>
      </c>
      <c r="V69" s="6">
        <f t="shared" si="1"/>
        <v>0</v>
      </c>
    </row>
    <row r="70" spans="1:23" s="8" customFormat="1" ht="16" customHeight="1">
      <c r="A70" s="23" t="s">
        <v>35</v>
      </c>
      <c r="B70" s="24" t="s">
        <v>13</v>
      </c>
      <c r="C70" s="5" t="s">
        <v>47</v>
      </c>
      <c r="D70" s="5" t="s">
        <v>13</v>
      </c>
      <c r="E70" s="6">
        <v>0</v>
      </c>
      <c r="F70" s="6">
        <v>0</v>
      </c>
      <c r="G70" s="17">
        <v>0</v>
      </c>
      <c r="H70" s="5" t="s">
        <v>13</v>
      </c>
      <c r="I70" s="5" t="s">
        <v>13</v>
      </c>
      <c r="J70" s="7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/>
      <c r="U70" s="6">
        <f t="shared" si="0"/>
        <v>0</v>
      </c>
      <c r="V70" s="6">
        <f t="shared" si="1"/>
        <v>0</v>
      </c>
    </row>
    <row r="71" spans="1:23" s="8" customFormat="1" ht="16" customHeight="1">
      <c r="A71" s="23" t="s">
        <v>35</v>
      </c>
      <c r="B71" s="24" t="s">
        <v>13</v>
      </c>
      <c r="C71" s="5" t="s">
        <v>48</v>
      </c>
      <c r="D71" s="5" t="s">
        <v>13</v>
      </c>
      <c r="E71" s="6">
        <v>0</v>
      </c>
      <c r="F71" s="6">
        <v>0</v>
      </c>
      <c r="G71" s="17">
        <v>0</v>
      </c>
      <c r="H71" s="5" t="s">
        <v>13</v>
      </c>
      <c r="I71" s="5" t="s">
        <v>13</v>
      </c>
      <c r="J71" s="7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/>
      <c r="U71" s="6">
        <f t="shared" si="0"/>
        <v>0</v>
      </c>
      <c r="V71" s="6">
        <f t="shared" si="1"/>
        <v>0</v>
      </c>
    </row>
    <row r="72" spans="1:23" s="8" customFormat="1" ht="16" customHeight="1">
      <c r="A72" s="42" t="s">
        <v>35</v>
      </c>
      <c r="B72" s="24" t="s">
        <v>13</v>
      </c>
      <c r="C72" s="5" t="s">
        <v>49</v>
      </c>
      <c r="D72" s="5" t="s">
        <v>13</v>
      </c>
      <c r="E72" s="6">
        <v>32662441.840000004</v>
      </c>
      <c r="F72" s="6">
        <v>0</v>
      </c>
      <c r="G72" s="6">
        <v>0</v>
      </c>
      <c r="H72" s="5" t="s">
        <v>13</v>
      </c>
      <c r="I72" s="5" t="s">
        <v>13</v>
      </c>
      <c r="J72" s="7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-32662441.84</v>
      </c>
      <c r="S72" s="6">
        <v>0</v>
      </c>
      <c r="T72" s="6"/>
      <c r="U72" s="6">
        <f t="shared" si="0"/>
        <v>0</v>
      </c>
      <c r="V72" s="6">
        <f t="shared" si="1"/>
        <v>0</v>
      </c>
    </row>
    <row r="73" spans="1:23" s="8" customFormat="1" ht="16" customHeight="1">
      <c r="A73" s="4" t="s">
        <v>1</v>
      </c>
      <c r="B73" s="25">
        <v>2020</v>
      </c>
      <c r="C73" s="5" t="s">
        <v>19</v>
      </c>
      <c r="D73" s="5" t="s">
        <v>53</v>
      </c>
      <c r="E73" s="44">
        <v>8124732</v>
      </c>
      <c r="F73" s="6">
        <v>0</v>
      </c>
      <c r="G73" s="17">
        <v>0</v>
      </c>
      <c r="H73" s="5" t="s">
        <v>0</v>
      </c>
      <c r="I73" s="29" t="s">
        <v>52</v>
      </c>
      <c r="J73" s="7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/>
      <c r="U73" s="6">
        <f t="shared" si="0"/>
        <v>8124732</v>
      </c>
      <c r="V73" s="6">
        <f t="shared" si="1"/>
        <v>0</v>
      </c>
    </row>
    <row r="74" spans="1:23" s="8" customFormat="1" ht="16" customHeight="1">
      <c r="A74" s="4" t="s">
        <v>7</v>
      </c>
      <c r="B74" s="25">
        <v>2021</v>
      </c>
      <c r="C74" s="26">
        <v>16432</v>
      </c>
      <c r="D74" s="33" t="s">
        <v>55</v>
      </c>
      <c r="E74" s="2">
        <v>0</v>
      </c>
      <c r="F74" s="6">
        <v>0</v>
      </c>
      <c r="G74" s="17">
        <v>0</v>
      </c>
      <c r="H74" s="5" t="s">
        <v>7</v>
      </c>
      <c r="I74" s="1" t="s">
        <v>56</v>
      </c>
      <c r="J74" t="s">
        <v>13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/>
      <c r="U74" s="6">
        <f t="shared" si="0"/>
        <v>0</v>
      </c>
      <c r="V74" s="6">
        <f t="shared" si="1"/>
        <v>0</v>
      </c>
      <c r="W74" s="59">
        <f>U74+U76+U134+U152+U153</f>
        <v>250000000</v>
      </c>
    </row>
    <row r="75" spans="1:23" s="8" customFormat="1" ht="16" customHeight="1">
      <c r="A75" s="4" t="s">
        <v>7</v>
      </c>
      <c r="B75" s="25">
        <v>2022</v>
      </c>
      <c r="C75" s="26" t="s">
        <v>108</v>
      </c>
      <c r="D75" s="26" t="s">
        <v>109</v>
      </c>
      <c r="E75" s="2">
        <v>0</v>
      </c>
      <c r="F75" s="6">
        <v>0</v>
      </c>
      <c r="G75" s="17">
        <v>0</v>
      </c>
      <c r="H75" s="26" t="s">
        <v>7</v>
      </c>
      <c r="I75" s="1" t="s">
        <v>85</v>
      </c>
      <c r="J75" t="s">
        <v>13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/>
      <c r="U75" s="6">
        <f t="shared" si="0"/>
        <v>0</v>
      </c>
      <c r="V75" s="6">
        <f t="shared" si="1"/>
        <v>0</v>
      </c>
    </row>
    <row r="76" spans="1:23" s="8" customFormat="1" ht="16" customHeight="1">
      <c r="A76" s="4" t="s">
        <v>7</v>
      </c>
      <c r="B76" s="25">
        <v>2022</v>
      </c>
      <c r="C76" s="26" t="s">
        <v>81</v>
      </c>
      <c r="D76" s="26" t="s">
        <v>110</v>
      </c>
      <c r="E76" s="2">
        <v>0</v>
      </c>
      <c r="F76" s="6">
        <v>0</v>
      </c>
      <c r="G76" s="17">
        <v>0</v>
      </c>
      <c r="H76" s="26" t="s">
        <v>7</v>
      </c>
      <c r="I76" s="1" t="s">
        <v>86</v>
      </c>
      <c r="J76" t="s">
        <v>13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/>
      <c r="U76" s="6">
        <f t="shared" si="0"/>
        <v>0</v>
      </c>
      <c r="V76" s="6">
        <f t="shared" si="1"/>
        <v>0</v>
      </c>
    </row>
    <row r="77" spans="1:23" s="8" customFormat="1" ht="16" customHeight="1">
      <c r="A77" s="4" t="s">
        <v>7</v>
      </c>
      <c r="B77" s="25">
        <v>2023</v>
      </c>
      <c r="C77" s="26" t="s">
        <v>196</v>
      </c>
      <c r="D77" s="26" t="s">
        <v>170</v>
      </c>
      <c r="E77" s="6">
        <v>0</v>
      </c>
      <c r="F77" s="6">
        <v>0</v>
      </c>
      <c r="G77" s="17">
        <v>0</v>
      </c>
      <c r="H77" s="26" t="s">
        <v>7</v>
      </c>
      <c r="I77" s="1" t="s">
        <v>84</v>
      </c>
      <c r="J77" t="s">
        <v>13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/>
      <c r="U77" s="6">
        <f t="shared" si="0"/>
        <v>0</v>
      </c>
      <c r="V77" s="6">
        <f t="shared" si="1"/>
        <v>0</v>
      </c>
    </row>
    <row r="78" spans="1:23" s="8" customFormat="1" ht="16" customHeight="1">
      <c r="A78" s="4" t="s">
        <v>7</v>
      </c>
      <c r="B78" s="25">
        <v>2023</v>
      </c>
      <c r="C78" s="26" t="s">
        <v>196</v>
      </c>
      <c r="D78" s="26" t="s">
        <v>171</v>
      </c>
      <c r="E78" s="6">
        <v>0</v>
      </c>
      <c r="F78" s="6">
        <v>0</v>
      </c>
      <c r="G78" s="17">
        <v>0</v>
      </c>
      <c r="H78" s="26" t="s">
        <v>7</v>
      </c>
      <c r="I78" s="1" t="s">
        <v>84</v>
      </c>
      <c r="J78" t="s">
        <v>13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/>
      <c r="U78" s="6">
        <f t="shared" si="0"/>
        <v>0</v>
      </c>
      <c r="V78" s="6">
        <f t="shared" si="1"/>
        <v>0</v>
      </c>
    </row>
    <row r="79" spans="1:23" s="8" customFormat="1" ht="16" customHeight="1">
      <c r="A79" s="4" t="s">
        <v>7</v>
      </c>
      <c r="B79" s="25">
        <v>2023</v>
      </c>
      <c r="C79" s="26" t="s">
        <v>196</v>
      </c>
      <c r="D79" s="26" t="s">
        <v>172</v>
      </c>
      <c r="E79" s="6">
        <v>0</v>
      </c>
      <c r="F79" s="6">
        <v>0</v>
      </c>
      <c r="G79" s="17">
        <v>0</v>
      </c>
      <c r="H79" s="26" t="s">
        <v>7</v>
      </c>
      <c r="I79" s="1" t="s">
        <v>84</v>
      </c>
      <c r="J79" t="s">
        <v>13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/>
      <c r="U79" s="6">
        <f t="shared" si="0"/>
        <v>0</v>
      </c>
      <c r="V79" s="6">
        <f t="shared" si="1"/>
        <v>0</v>
      </c>
    </row>
    <row r="80" spans="1:23" s="8" customFormat="1" ht="16" customHeight="1">
      <c r="A80" s="4" t="s">
        <v>7</v>
      </c>
      <c r="B80" s="25">
        <v>2023</v>
      </c>
      <c r="C80" s="26" t="s">
        <v>196</v>
      </c>
      <c r="D80" s="26" t="s">
        <v>173</v>
      </c>
      <c r="E80" s="6">
        <v>0</v>
      </c>
      <c r="F80" s="6">
        <v>0</v>
      </c>
      <c r="G80" s="17">
        <v>0</v>
      </c>
      <c r="H80" s="26" t="s">
        <v>7</v>
      </c>
      <c r="I80" s="1" t="s">
        <v>84</v>
      </c>
      <c r="J80" t="s">
        <v>13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/>
      <c r="U80" s="6">
        <f t="shared" si="0"/>
        <v>0</v>
      </c>
      <c r="V80" s="6">
        <f t="shared" si="1"/>
        <v>0</v>
      </c>
    </row>
    <row r="81" spans="1:22" s="8" customFormat="1" ht="16" customHeight="1">
      <c r="A81" s="4" t="s">
        <v>7</v>
      </c>
      <c r="B81" s="25">
        <v>2023</v>
      </c>
      <c r="C81" s="26" t="s">
        <v>196</v>
      </c>
      <c r="D81" s="26" t="s">
        <v>174</v>
      </c>
      <c r="E81" s="6">
        <v>0</v>
      </c>
      <c r="F81" s="6">
        <v>0</v>
      </c>
      <c r="G81" s="17">
        <v>0</v>
      </c>
      <c r="H81" s="26" t="s">
        <v>7</v>
      </c>
      <c r="I81" s="1" t="s">
        <v>84</v>
      </c>
      <c r="J81" t="s">
        <v>13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/>
      <c r="U81" s="6">
        <f t="shared" si="0"/>
        <v>0</v>
      </c>
      <c r="V81" s="6">
        <f t="shared" si="1"/>
        <v>0</v>
      </c>
    </row>
    <row r="82" spans="1:22" s="8" customFormat="1" ht="16" customHeight="1">
      <c r="A82" s="4" t="s">
        <v>7</v>
      </c>
      <c r="B82" s="25">
        <v>2023</v>
      </c>
      <c r="C82" s="26" t="s">
        <v>196</v>
      </c>
      <c r="D82" s="26" t="s">
        <v>175</v>
      </c>
      <c r="E82" s="6">
        <v>0</v>
      </c>
      <c r="F82" s="6">
        <v>0</v>
      </c>
      <c r="G82" s="17">
        <v>0</v>
      </c>
      <c r="H82" s="26" t="s">
        <v>7</v>
      </c>
      <c r="I82" s="1" t="s">
        <v>14</v>
      </c>
      <c r="J82" t="s">
        <v>13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/>
      <c r="U82" s="6">
        <f t="shared" si="0"/>
        <v>0</v>
      </c>
      <c r="V82" s="6">
        <f t="shared" si="1"/>
        <v>0</v>
      </c>
    </row>
    <row r="83" spans="1:22" s="8" customFormat="1" ht="16" customHeight="1">
      <c r="A83" s="4" t="s">
        <v>7</v>
      </c>
      <c r="B83" s="25">
        <v>2023</v>
      </c>
      <c r="C83" s="26" t="s">
        <v>196</v>
      </c>
      <c r="D83" s="26" t="s">
        <v>176</v>
      </c>
      <c r="E83" s="6">
        <v>0</v>
      </c>
      <c r="F83" s="6">
        <v>0</v>
      </c>
      <c r="G83" s="17">
        <v>0</v>
      </c>
      <c r="H83" s="26" t="s">
        <v>7</v>
      </c>
      <c r="I83" s="1" t="s">
        <v>14</v>
      </c>
      <c r="J83" t="s">
        <v>13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/>
      <c r="U83" s="6">
        <f t="shared" si="0"/>
        <v>0</v>
      </c>
      <c r="V83" s="6">
        <f t="shared" si="1"/>
        <v>0</v>
      </c>
    </row>
    <row r="84" spans="1:22" s="8" customFormat="1" ht="16" customHeight="1">
      <c r="A84" s="4" t="s">
        <v>7</v>
      </c>
      <c r="B84" s="25">
        <v>2023</v>
      </c>
      <c r="C84" s="26" t="s">
        <v>196</v>
      </c>
      <c r="D84" s="26" t="s">
        <v>177</v>
      </c>
      <c r="E84" s="6">
        <v>0</v>
      </c>
      <c r="F84" s="6">
        <v>0</v>
      </c>
      <c r="G84" s="17">
        <v>0</v>
      </c>
      <c r="H84" s="26" t="s">
        <v>7</v>
      </c>
      <c r="I84" s="1" t="s">
        <v>14</v>
      </c>
      <c r="J84" t="s">
        <v>13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/>
      <c r="U84" s="6">
        <f t="shared" si="0"/>
        <v>0</v>
      </c>
      <c r="V84" s="6">
        <f t="shared" si="1"/>
        <v>0</v>
      </c>
    </row>
    <row r="85" spans="1:22" s="8" customFormat="1" ht="16" customHeight="1">
      <c r="A85" s="4" t="s">
        <v>7</v>
      </c>
      <c r="B85" s="25">
        <v>2023</v>
      </c>
      <c r="C85" s="26" t="s">
        <v>196</v>
      </c>
      <c r="D85" s="26" t="s">
        <v>178</v>
      </c>
      <c r="E85" s="6">
        <v>0</v>
      </c>
      <c r="F85" s="6">
        <v>0</v>
      </c>
      <c r="G85" s="17">
        <v>0</v>
      </c>
      <c r="H85" s="26" t="s">
        <v>7</v>
      </c>
      <c r="I85" s="1" t="s">
        <v>14</v>
      </c>
      <c r="J85" t="s">
        <v>13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/>
      <c r="U85" s="6">
        <f t="shared" si="0"/>
        <v>0</v>
      </c>
      <c r="V85" s="6">
        <f t="shared" si="1"/>
        <v>0</v>
      </c>
    </row>
    <row r="86" spans="1:22" s="8" customFormat="1" ht="16" customHeight="1">
      <c r="A86" s="4" t="s">
        <v>7</v>
      </c>
      <c r="B86" s="25">
        <v>2023</v>
      </c>
      <c r="C86" s="26" t="s">
        <v>196</v>
      </c>
      <c r="D86" s="26" t="s">
        <v>191</v>
      </c>
      <c r="E86" s="6">
        <v>0</v>
      </c>
      <c r="F86" s="6">
        <v>0</v>
      </c>
      <c r="G86" s="17">
        <v>0</v>
      </c>
      <c r="H86" s="26" t="s">
        <v>7</v>
      </c>
      <c r="I86" s="1" t="s">
        <v>51</v>
      </c>
      <c r="J86" t="s">
        <v>13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/>
      <c r="U86" s="6">
        <f t="shared" si="0"/>
        <v>0</v>
      </c>
      <c r="V86" s="6">
        <f t="shared" si="1"/>
        <v>0</v>
      </c>
    </row>
    <row r="87" spans="1:22" s="8" customFormat="1" ht="16" customHeight="1">
      <c r="A87" s="4" t="s">
        <v>7</v>
      </c>
      <c r="B87" s="25">
        <v>2023</v>
      </c>
      <c r="C87" s="26" t="s">
        <v>196</v>
      </c>
      <c r="D87" s="26" t="s">
        <v>192</v>
      </c>
      <c r="E87" s="6">
        <v>0</v>
      </c>
      <c r="F87" s="6">
        <v>0</v>
      </c>
      <c r="G87" s="17">
        <v>0</v>
      </c>
      <c r="H87" s="26" t="s">
        <v>7</v>
      </c>
      <c r="I87" s="1" t="s">
        <v>51</v>
      </c>
      <c r="J87" t="s">
        <v>13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/>
      <c r="U87" s="6">
        <f t="shared" si="0"/>
        <v>0</v>
      </c>
      <c r="V87" s="6">
        <f t="shared" si="1"/>
        <v>0</v>
      </c>
    </row>
    <row r="88" spans="1:22" s="8" customFormat="1" ht="16" customHeight="1">
      <c r="A88" s="4" t="s">
        <v>7</v>
      </c>
      <c r="B88" s="25">
        <v>2023</v>
      </c>
      <c r="C88" s="26" t="s">
        <v>196</v>
      </c>
      <c r="D88" s="26" t="s">
        <v>197</v>
      </c>
      <c r="E88" s="6">
        <v>0</v>
      </c>
      <c r="F88" s="6">
        <v>0</v>
      </c>
      <c r="G88" s="17">
        <v>0</v>
      </c>
      <c r="H88" s="26" t="s">
        <v>7</v>
      </c>
      <c r="I88" s="1" t="s">
        <v>51</v>
      </c>
      <c r="J88" t="s">
        <v>13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/>
      <c r="U88" s="6">
        <f t="shared" si="0"/>
        <v>0</v>
      </c>
      <c r="V88" s="6">
        <f t="shared" si="1"/>
        <v>0</v>
      </c>
    </row>
    <row r="89" spans="1:22" s="8" customFormat="1" ht="16" customHeight="1">
      <c r="A89" s="4" t="s">
        <v>7</v>
      </c>
      <c r="B89" s="25">
        <v>2023</v>
      </c>
      <c r="C89" s="26" t="s">
        <v>196</v>
      </c>
      <c r="D89" s="29" t="s">
        <v>209</v>
      </c>
      <c r="E89" s="3">
        <v>0</v>
      </c>
      <c r="F89" s="6">
        <v>0</v>
      </c>
      <c r="G89" s="17">
        <v>0</v>
      </c>
      <c r="H89" s="26" t="s">
        <v>7</v>
      </c>
      <c r="I89" s="1" t="s">
        <v>57</v>
      </c>
      <c r="J89" s="29" t="s">
        <v>13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/>
      <c r="U89" s="6">
        <f t="shared" si="0"/>
        <v>0</v>
      </c>
      <c r="V89" s="6">
        <f t="shared" si="1"/>
        <v>0</v>
      </c>
    </row>
    <row r="90" spans="1:22" s="8" customFormat="1" ht="16" customHeight="1">
      <c r="A90" s="4" t="s">
        <v>7</v>
      </c>
      <c r="B90" s="25">
        <v>2023</v>
      </c>
      <c r="C90" s="26" t="s">
        <v>198</v>
      </c>
      <c r="D90" s="26" t="s">
        <v>181</v>
      </c>
      <c r="E90" s="6">
        <v>0</v>
      </c>
      <c r="F90" s="6">
        <v>0</v>
      </c>
      <c r="G90" s="17">
        <v>0</v>
      </c>
      <c r="H90" s="26" t="s">
        <v>7</v>
      </c>
      <c r="I90" s="1" t="s">
        <v>199</v>
      </c>
      <c r="J90" t="s">
        <v>13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/>
      <c r="U90" s="6">
        <f t="shared" si="0"/>
        <v>0</v>
      </c>
      <c r="V90" s="6">
        <f t="shared" si="1"/>
        <v>0</v>
      </c>
    </row>
    <row r="91" spans="1:22" s="8" customFormat="1" ht="16" customHeight="1">
      <c r="A91" s="4" t="s">
        <v>7</v>
      </c>
      <c r="B91" s="25">
        <v>2023</v>
      </c>
      <c r="C91" s="26" t="s">
        <v>198</v>
      </c>
      <c r="D91" s="26" t="s">
        <v>194</v>
      </c>
      <c r="E91" s="6">
        <v>0</v>
      </c>
      <c r="F91" s="6">
        <v>0</v>
      </c>
      <c r="G91" s="17">
        <v>0</v>
      </c>
      <c r="H91" s="26" t="s">
        <v>7</v>
      </c>
      <c r="I91" s="1" t="s">
        <v>18</v>
      </c>
      <c r="J91" t="s">
        <v>13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/>
      <c r="U91" s="6">
        <f t="shared" si="0"/>
        <v>0</v>
      </c>
      <c r="V91" s="6">
        <f t="shared" si="1"/>
        <v>0</v>
      </c>
    </row>
    <row r="92" spans="1:22" s="8" customFormat="1" ht="16" customHeight="1">
      <c r="A92" s="4" t="s">
        <v>7</v>
      </c>
      <c r="B92" s="25">
        <v>2023</v>
      </c>
      <c r="C92" s="26" t="s">
        <v>198</v>
      </c>
      <c r="D92" s="26" t="s">
        <v>183</v>
      </c>
      <c r="E92" s="6">
        <v>0</v>
      </c>
      <c r="F92" s="6">
        <v>0</v>
      </c>
      <c r="G92" s="17">
        <v>0</v>
      </c>
      <c r="H92" s="26" t="s">
        <v>7</v>
      </c>
      <c r="I92" s="1" t="s">
        <v>16</v>
      </c>
      <c r="J92" t="s">
        <v>13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/>
      <c r="U92" s="6">
        <f t="shared" si="0"/>
        <v>0</v>
      </c>
      <c r="V92" s="6">
        <f t="shared" si="1"/>
        <v>0</v>
      </c>
    </row>
    <row r="93" spans="1:22" s="8" customFormat="1" ht="16" customHeight="1">
      <c r="A93" s="4" t="s">
        <v>7</v>
      </c>
      <c r="B93" s="25">
        <v>2023</v>
      </c>
      <c r="C93" s="26" t="s">
        <v>198</v>
      </c>
      <c r="D93" s="26" t="s">
        <v>184</v>
      </c>
      <c r="E93" s="6">
        <v>0</v>
      </c>
      <c r="F93" s="6">
        <v>0</v>
      </c>
      <c r="G93" s="17">
        <v>0</v>
      </c>
      <c r="H93" s="26" t="s">
        <v>7</v>
      </c>
      <c r="I93" s="1" t="s">
        <v>16</v>
      </c>
      <c r="J93" t="s">
        <v>13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/>
      <c r="U93" s="6">
        <f t="shared" si="0"/>
        <v>0</v>
      </c>
      <c r="V93" s="6">
        <f t="shared" si="1"/>
        <v>0</v>
      </c>
    </row>
    <row r="94" spans="1:22" s="8" customFormat="1" ht="16" customHeight="1">
      <c r="A94" s="4" t="s">
        <v>7</v>
      </c>
      <c r="B94" s="25">
        <v>2023</v>
      </c>
      <c r="C94" s="26" t="s">
        <v>200</v>
      </c>
      <c r="D94" s="26" t="s">
        <v>168</v>
      </c>
      <c r="E94" s="6">
        <v>0</v>
      </c>
      <c r="F94" s="6">
        <v>0</v>
      </c>
      <c r="G94" s="17">
        <v>0</v>
      </c>
      <c r="H94" s="26" t="s">
        <v>7</v>
      </c>
      <c r="I94" s="1" t="s">
        <v>50</v>
      </c>
      <c r="J94" t="s">
        <v>13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/>
      <c r="U94" s="6">
        <f t="shared" si="0"/>
        <v>0</v>
      </c>
      <c r="V94" s="6">
        <f t="shared" si="1"/>
        <v>0</v>
      </c>
    </row>
    <row r="95" spans="1:22" s="8" customFormat="1" ht="16" customHeight="1">
      <c r="A95" s="4" t="s">
        <v>7</v>
      </c>
      <c r="B95" s="25">
        <v>2023</v>
      </c>
      <c r="C95" s="26" t="s">
        <v>200</v>
      </c>
      <c r="D95" s="26" t="s">
        <v>169</v>
      </c>
      <c r="E95" s="6">
        <v>0</v>
      </c>
      <c r="F95" s="6">
        <v>0</v>
      </c>
      <c r="G95" s="17">
        <v>0</v>
      </c>
      <c r="H95" s="26" t="s">
        <v>7</v>
      </c>
      <c r="I95" s="1" t="s">
        <v>50</v>
      </c>
      <c r="J95" t="s">
        <v>13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/>
      <c r="U95" s="6">
        <f t="shared" si="0"/>
        <v>0</v>
      </c>
      <c r="V95" s="6">
        <f t="shared" si="1"/>
        <v>0</v>
      </c>
    </row>
    <row r="96" spans="1:22" s="8" customFormat="1" ht="16" customHeight="1">
      <c r="A96" s="4" t="s">
        <v>7</v>
      </c>
      <c r="B96" s="25">
        <v>2023</v>
      </c>
      <c r="C96" s="26" t="s">
        <v>219</v>
      </c>
      <c r="D96" s="1" t="s">
        <v>216</v>
      </c>
      <c r="E96" s="6">
        <v>0</v>
      </c>
      <c r="F96" s="6">
        <v>0</v>
      </c>
      <c r="G96" s="17">
        <v>0</v>
      </c>
      <c r="H96" s="26" t="s">
        <v>7</v>
      </c>
      <c r="I96" s="1" t="s">
        <v>85</v>
      </c>
      <c r="J96" s="29" t="s">
        <v>13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/>
      <c r="U96" s="6">
        <f t="shared" si="0"/>
        <v>0</v>
      </c>
      <c r="V96" s="6">
        <f t="shared" si="1"/>
        <v>0</v>
      </c>
    </row>
    <row r="97" spans="1:22" s="8" customFormat="1" ht="16" customHeight="1">
      <c r="A97" s="4" t="s">
        <v>7</v>
      </c>
      <c r="B97" s="25">
        <v>2023</v>
      </c>
      <c r="C97" s="26" t="s">
        <v>219</v>
      </c>
      <c r="D97" s="1" t="s">
        <v>216</v>
      </c>
      <c r="E97" s="6">
        <v>0</v>
      </c>
      <c r="F97" s="6">
        <v>0</v>
      </c>
      <c r="G97" s="17">
        <v>0</v>
      </c>
      <c r="H97" s="26" t="s">
        <v>7</v>
      </c>
      <c r="I97" s="1" t="s">
        <v>85</v>
      </c>
      <c r="J97" s="29" t="s">
        <v>13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/>
      <c r="U97" s="6">
        <f t="shared" si="0"/>
        <v>0</v>
      </c>
      <c r="V97" s="6">
        <f t="shared" si="1"/>
        <v>0</v>
      </c>
    </row>
    <row r="98" spans="1:22" s="8" customFormat="1" ht="16" customHeight="1">
      <c r="A98" s="4" t="s">
        <v>7</v>
      </c>
      <c r="B98" s="25">
        <v>2023</v>
      </c>
      <c r="C98" s="26" t="s">
        <v>219</v>
      </c>
      <c r="D98" s="1" t="s">
        <v>217</v>
      </c>
      <c r="E98" s="6">
        <v>0</v>
      </c>
      <c r="F98" s="6">
        <v>0</v>
      </c>
      <c r="G98" s="17">
        <v>0</v>
      </c>
      <c r="H98" s="26" t="s">
        <v>7</v>
      </c>
      <c r="I98" s="1" t="s">
        <v>85</v>
      </c>
      <c r="J98" s="29" t="s">
        <v>13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/>
      <c r="U98" s="6">
        <f t="shared" si="0"/>
        <v>0</v>
      </c>
      <c r="V98" s="6">
        <f t="shared" si="1"/>
        <v>0</v>
      </c>
    </row>
    <row r="99" spans="1:22" s="8" customFormat="1" ht="16" customHeight="1">
      <c r="A99" s="4" t="s">
        <v>7</v>
      </c>
      <c r="B99" s="25">
        <v>2023</v>
      </c>
      <c r="C99" s="26" t="s">
        <v>219</v>
      </c>
      <c r="D99" s="1" t="s">
        <v>218</v>
      </c>
      <c r="E99" s="6">
        <v>0</v>
      </c>
      <c r="F99" s="6">
        <v>0</v>
      </c>
      <c r="G99" s="17">
        <v>0</v>
      </c>
      <c r="H99" s="26" t="s">
        <v>7</v>
      </c>
      <c r="I99" s="1" t="s">
        <v>85</v>
      </c>
      <c r="J99" s="29" t="s">
        <v>13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/>
      <c r="U99" s="6">
        <f t="shared" si="0"/>
        <v>0</v>
      </c>
      <c r="V99" s="6">
        <f t="shared" si="1"/>
        <v>0</v>
      </c>
    </row>
    <row r="100" spans="1:22" s="8" customFormat="1" ht="16" customHeight="1">
      <c r="A100" s="4" t="s">
        <v>7</v>
      </c>
      <c r="B100" s="25">
        <v>2023</v>
      </c>
      <c r="C100" s="26" t="s">
        <v>303</v>
      </c>
      <c r="D100" s="26" t="s">
        <v>304</v>
      </c>
      <c r="E100" s="6">
        <v>0</v>
      </c>
      <c r="F100" s="6">
        <v>0</v>
      </c>
      <c r="G100" s="6">
        <v>0</v>
      </c>
      <c r="H100" s="26" t="s">
        <v>7</v>
      </c>
      <c r="I100" s="1" t="s">
        <v>85</v>
      </c>
      <c r="J100" t="s">
        <v>13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/>
      <c r="U100" s="6">
        <f t="shared" si="0"/>
        <v>0</v>
      </c>
      <c r="V100" s="6">
        <f t="shared" ref="V100:V218" si="24">G100+S100</f>
        <v>0</v>
      </c>
    </row>
    <row r="101" spans="1:22" s="8" customFormat="1" ht="16" customHeight="1">
      <c r="A101" s="4" t="s">
        <v>7</v>
      </c>
      <c r="B101" s="25">
        <v>2023</v>
      </c>
      <c r="C101" s="26" t="s">
        <v>303</v>
      </c>
      <c r="D101" s="26" t="s">
        <v>305</v>
      </c>
      <c r="E101" s="6">
        <v>0</v>
      </c>
      <c r="F101" s="6">
        <v>0</v>
      </c>
      <c r="G101" s="6">
        <v>0</v>
      </c>
      <c r="H101" s="26" t="s">
        <v>7</v>
      </c>
      <c r="I101" s="1" t="s">
        <v>85</v>
      </c>
      <c r="J101" t="s">
        <v>13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/>
      <c r="U101" s="6">
        <f t="shared" si="0"/>
        <v>0</v>
      </c>
      <c r="V101" s="6">
        <f t="shared" si="24"/>
        <v>0</v>
      </c>
    </row>
    <row r="102" spans="1:22" s="8" customFormat="1" ht="16" customHeight="1">
      <c r="A102" s="4" t="s">
        <v>7</v>
      </c>
      <c r="B102" s="25">
        <v>2023</v>
      </c>
      <c r="C102" s="26" t="s">
        <v>306</v>
      </c>
      <c r="D102" s="26" t="s">
        <v>307</v>
      </c>
      <c r="E102" s="6">
        <v>0</v>
      </c>
      <c r="F102" s="6">
        <v>0</v>
      </c>
      <c r="G102" s="6">
        <v>0</v>
      </c>
      <c r="H102" s="26" t="s">
        <v>7</v>
      </c>
      <c r="I102" s="1" t="s">
        <v>85</v>
      </c>
      <c r="J102" t="s">
        <v>13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/>
      <c r="U102" s="6">
        <f t="shared" ref="U102:U190" si="25">E102+K102+L102+M102+N102+O102+P102+Q102+R102</f>
        <v>0</v>
      </c>
      <c r="V102" s="6">
        <f t="shared" si="24"/>
        <v>0</v>
      </c>
    </row>
    <row r="103" spans="1:22" s="8" customFormat="1" ht="16" customHeight="1">
      <c r="A103" s="4" t="s">
        <v>7</v>
      </c>
      <c r="B103" s="25">
        <v>2023</v>
      </c>
      <c r="C103" s="26" t="s">
        <v>306</v>
      </c>
      <c r="D103" s="26" t="s">
        <v>308</v>
      </c>
      <c r="E103" s="6">
        <v>0</v>
      </c>
      <c r="F103" s="6">
        <v>0</v>
      </c>
      <c r="G103" s="6">
        <v>0</v>
      </c>
      <c r="H103" s="26" t="s">
        <v>7</v>
      </c>
      <c r="I103" s="1" t="s">
        <v>85</v>
      </c>
      <c r="J103" t="s">
        <v>13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/>
      <c r="U103" s="6">
        <f t="shared" si="25"/>
        <v>0</v>
      </c>
      <c r="V103" s="6">
        <f t="shared" si="24"/>
        <v>0</v>
      </c>
    </row>
    <row r="104" spans="1:22" s="8" customFormat="1" ht="16" customHeight="1">
      <c r="A104" s="4" t="s">
        <v>7</v>
      </c>
      <c r="B104" s="25">
        <v>2023</v>
      </c>
      <c r="C104" s="26" t="s">
        <v>306</v>
      </c>
      <c r="D104" s="26" t="s">
        <v>309</v>
      </c>
      <c r="E104" s="6">
        <v>0</v>
      </c>
      <c r="F104" s="6">
        <v>0</v>
      </c>
      <c r="G104" s="6">
        <v>0</v>
      </c>
      <c r="H104" s="26" t="s">
        <v>7</v>
      </c>
      <c r="I104" s="1" t="s">
        <v>85</v>
      </c>
      <c r="J104" t="s">
        <v>13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/>
      <c r="U104" s="6">
        <f t="shared" si="25"/>
        <v>0</v>
      </c>
      <c r="V104" s="6">
        <f t="shared" si="24"/>
        <v>0</v>
      </c>
    </row>
    <row r="105" spans="1:22" s="8" customFormat="1" ht="16" customHeight="1">
      <c r="A105" s="4" t="s">
        <v>7</v>
      </c>
      <c r="B105" s="25">
        <v>2023</v>
      </c>
      <c r="C105" s="26" t="s">
        <v>306</v>
      </c>
      <c r="D105" s="26" t="s">
        <v>310</v>
      </c>
      <c r="E105" s="6">
        <v>0</v>
      </c>
      <c r="F105" s="6">
        <v>0</v>
      </c>
      <c r="G105" s="6">
        <v>0</v>
      </c>
      <c r="H105" s="26" t="s">
        <v>7</v>
      </c>
      <c r="I105" s="1" t="s">
        <v>85</v>
      </c>
      <c r="J105" t="s">
        <v>13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/>
      <c r="U105" s="6">
        <f t="shared" si="25"/>
        <v>0</v>
      </c>
      <c r="V105" s="6">
        <f t="shared" si="24"/>
        <v>0</v>
      </c>
    </row>
    <row r="106" spans="1:22" s="8" customFormat="1" ht="16" customHeight="1">
      <c r="A106" s="4" t="s">
        <v>7</v>
      </c>
      <c r="B106" s="25">
        <v>2023</v>
      </c>
      <c r="C106" s="26" t="s">
        <v>306</v>
      </c>
      <c r="D106" s="26" t="s">
        <v>311</v>
      </c>
      <c r="E106" s="6">
        <v>0</v>
      </c>
      <c r="F106" s="6">
        <v>0</v>
      </c>
      <c r="G106" s="6">
        <v>0</v>
      </c>
      <c r="H106" s="26" t="s">
        <v>7</v>
      </c>
      <c r="I106" s="1" t="s">
        <v>85</v>
      </c>
      <c r="J106" t="s">
        <v>13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/>
      <c r="U106" s="6">
        <f t="shared" si="25"/>
        <v>0</v>
      </c>
      <c r="V106" s="6">
        <f t="shared" si="24"/>
        <v>0</v>
      </c>
    </row>
    <row r="107" spans="1:22" s="8" customFormat="1" ht="16" customHeight="1">
      <c r="A107" s="4" t="s">
        <v>7</v>
      </c>
      <c r="B107" s="25">
        <v>2023</v>
      </c>
      <c r="C107" s="26" t="s">
        <v>312</v>
      </c>
      <c r="D107" s="26" t="s">
        <v>313</v>
      </c>
      <c r="E107" s="6">
        <v>0</v>
      </c>
      <c r="F107" s="6">
        <v>0</v>
      </c>
      <c r="G107" s="6">
        <v>0</v>
      </c>
      <c r="H107" s="26" t="s">
        <v>7</v>
      </c>
      <c r="I107" s="1" t="s">
        <v>85</v>
      </c>
      <c r="J107" t="s">
        <v>13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/>
      <c r="U107" s="6">
        <f t="shared" si="25"/>
        <v>0</v>
      </c>
      <c r="V107" s="6">
        <f t="shared" si="24"/>
        <v>0</v>
      </c>
    </row>
    <row r="108" spans="1:22" s="8" customFormat="1" ht="16" customHeight="1">
      <c r="A108" s="4" t="s">
        <v>7</v>
      </c>
      <c r="B108" s="25">
        <v>2023</v>
      </c>
      <c r="C108" s="26" t="s">
        <v>303</v>
      </c>
      <c r="D108" s="26" t="s">
        <v>314</v>
      </c>
      <c r="E108" s="6">
        <v>0</v>
      </c>
      <c r="F108" s="6">
        <v>0</v>
      </c>
      <c r="G108" s="6">
        <v>0</v>
      </c>
      <c r="H108" s="26" t="s">
        <v>7</v>
      </c>
      <c r="I108" s="1" t="s">
        <v>85</v>
      </c>
      <c r="J108" t="s">
        <v>13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/>
      <c r="U108" s="6">
        <f t="shared" si="25"/>
        <v>0</v>
      </c>
      <c r="V108" s="6">
        <f t="shared" si="24"/>
        <v>0</v>
      </c>
    </row>
    <row r="109" spans="1:22" s="8" customFormat="1" ht="16" customHeight="1">
      <c r="A109" s="4" t="s">
        <v>7</v>
      </c>
      <c r="B109" s="25">
        <v>2023</v>
      </c>
      <c r="C109" s="26" t="s">
        <v>303</v>
      </c>
      <c r="D109" s="26" t="s">
        <v>315</v>
      </c>
      <c r="E109" s="6">
        <v>0</v>
      </c>
      <c r="F109" s="6">
        <v>0</v>
      </c>
      <c r="G109" s="6">
        <v>0</v>
      </c>
      <c r="H109" s="26" t="s">
        <v>7</v>
      </c>
      <c r="I109" s="1" t="s">
        <v>85</v>
      </c>
      <c r="J109" t="s">
        <v>13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/>
      <c r="U109" s="6">
        <f t="shared" si="25"/>
        <v>0</v>
      </c>
      <c r="V109" s="6">
        <f t="shared" si="24"/>
        <v>0</v>
      </c>
    </row>
    <row r="110" spans="1:22" s="8" customFormat="1" ht="16" customHeight="1">
      <c r="A110" s="4" t="s">
        <v>7</v>
      </c>
      <c r="B110" s="25">
        <v>2023</v>
      </c>
      <c r="C110" s="26" t="s">
        <v>303</v>
      </c>
      <c r="D110" s="26" t="s">
        <v>316</v>
      </c>
      <c r="E110" s="6">
        <v>0</v>
      </c>
      <c r="F110" s="6">
        <v>0</v>
      </c>
      <c r="G110" s="6">
        <v>0</v>
      </c>
      <c r="H110" s="26" t="s">
        <v>7</v>
      </c>
      <c r="I110" s="1" t="s">
        <v>85</v>
      </c>
      <c r="J110" t="s">
        <v>13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/>
      <c r="U110" s="6">
        <f t="shared" si="25"/>
        <v>0</v>
      </c>
      <c r="V110" s="6">
        <f t="shared" si="24"/>
        <v>0</v>
      </c>
    </row>
    <row r="111" spans="1:22" s="8" customFormat="1" ht="16" customHeight="1">
      <c r="A111" s="4" t="s">
        <v>7</v>
      </c>
      <c r="B111" s="25">
        <v>2023</v>
      </c>
      <c r="C111" s="26" t="s">
        <v>303</v>
      </c>
      <c r="D111" s="26" t="s">
        <v>317</v>
      </c>
      <c r="E111" s="6">
        <v>0</v>
      </c>
      <c r="F111" s="6">
        <v>0</v>
      </c>
      <c r="G111" s="6">
        <v>0</v>
      </c>
      <c r="H111" s="26" t="s">
        <v>7</v>
      </c>
      <c r="I111" s="1" t="s">
        <v>85</v>
      </c>
      <c r="J111" t="s">
        <v>13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/>
      <c r="U111" s="6">
        <f t="shared" si="25"/>
        <v>0</v>
      </c>
      <c r="V111" s="6">
        <f t="shared" si="24"/>
        <v>0</v>
      </c>
    </row>
    <row r="112" spans="1:22" s="8" customFormat="1" ht="16" customHeight="1">
      <c r="A112" s="4" t="s">
        <v>7</v>
      </c>
      <c r="B112" s="25">
        <v>2023</v>
      </c>
      <c r="C112" s="26" t="s">
        <v>303</v>
      </c>
      <c r="D112" s="26" t="s">
        <v>318</v>
      </c>
      <c r="E112" s="6">
        <v>0</v>
      </c>
      <c r="F112" s="6">
        <v>0</v>
      </c>
      <c r="G112" s="6">
        <v>0</v>
      </c>
      <c r="H112" s="26" t="s">
        <v>7</v>
      </c>
      <c r="I112" s="1" t="s">
        <v>85</v>
      </c>
      <c r="J112" t="s">
        <v>13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/>
      <c r="U112" s="6">
        <f t="shared" si="25"/>
        <v>0</v>
      </c>
      <c r="V112" s="6">
        <f t="shared" si="24"/>
        <v>0</v>
      </c>
    </row>
    <row r="113" spans="1:23" s="8" customFormat="1" ht="16" customHeight="1">
      <c r="A113" s="4" t="s">
        <v>7</v>
      </c>
      <c r="B113" s="25">
        <v>2023</v>
      </c>
      <c r="C113" s="26" t="s">
        <v>303</v>
      </c>
      <c r="D113" s="26" t="s">
        <v>319</v>
      </c>
      <c r="E113" s="6">
        <v>0</v>
      </c>
      <c r="F113" s="6">
        <v>0</v>
      </c>
      <c r="G113" s="6">
        <v>0</v>
      </c>
      <c r="H113" s="26" t="s">
        <v>7</v>
      </c>
      <c r="I113" s="1" t="s">
        <v>85</v>
      </c>
      <c r="J113" t="s">
        <v>13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/>
      <c r="U113" s="6">
        <f t="shared" si="25"/>
        <v>0</v>
      </c>
      <c r="V113" s="6">
        <f t="shared" si="24"/>
        <v>0</v>
      </c>
    </row>
    <row r="114" spans="1:23" s="8" customFormat="1" ht="16" customHeight="1">
      <c r="A114" s="4" t="s">
        <v>7</v>
      </c>
      <c r="B114" s="25">
        <v>2023</v>
      </c>
      <c r="C114" s="26" t="s">
        <v>303</v>
      </c>
      <c r="D114" s="26" t="s">
        <v>320</v>
      </c>
      <c r="E114" s="6">
        <v>0</v>
      </c>
      <c r="F114" s="6">
        <v>0</v>
      </c>
      <c r="G114" s="6">
        <v>0</v>
      </c>
      <c r="H114" s="26" t="s">
        <v>7</v>
      </c>
      <c r="I114" s="1" t="s">
        <v>85</v>
      </c>
      <c r="J114" t="s">
        <v>13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/>
      <c r="U114" s="6">
        <f t="shared" si="25"/>
        <v>0</v>
      </c>
      <c r="V114" s="6">
        <f t="shared" si="24"/>
        <v>0</v>
      </c>
    </row>
    <row r="115" spans="1:23" s="8" customFormat="1" ht="16" customHeight="1">
      <c r="A115" s="4" t="s">
        <v>7</v>
      </c>
      <c r="B115" s="25">
        <v>2023</v>
      </c>
      <c r="C115" s="26" t="s">
        <v>303</v>
      </c>
      <c r="D115" s="26" t="s">
        <v>321</v>
      </c>
      <c r="E115" s="6">
        <v>0</v>
      </c>
      <c r="F115" s="6">
        <v>0</v>
      </c>
      <c r="G115" s="6">
        <v>0</v>
      </c>
      <c r="H115" s="26" t="s">
        <v>7</v>
      </c>
      <c r="I115" s="1" t="s">
        <v>85</v>
      </c>
      <c r="J115" t="s">
        <v>13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/>
      <c r="U115" s="6">
        <f t="shared" si="25"/>
        <v>0</v>
      </c>
      <c r="V115" s="6">
        <f t="shared" si="24"/>
        <v>0</v>
      </c>
    </row>
    <row r="116" spans="1:23" s="8" customFormat="1" ht="16" customHeight="1">
      <c r="A116" s="4" t="s">
        <v>7</v>
      </c>
      <c r="B116" s="25">
        <v>2023</v>
      </c>
      <c r="C116" s="26" t="s">
        <v>322</v>
      </c>
      <c r="D116" s="1" t="s">
        <v>323</v>
      </c>
      <c r="E116" s="6">
        <v>0</v>
      </c>
      <c r="F116" s="6">
        <v>0</v>
      </c>
      <c r="G116" s="6">
        <v>0</v>
      </c>
      <c r="H116" s="26" t="s">
        <v>7</v>
      </c>
      <c r="I116" s="1" t="s">
        <v>85</v>
      </c>
      <c r="J116" t="s">
        <v>13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/>
      <c r="U116" s="6">
        <f t="shared" si="25"/>
        <v>0</v>
      </c>
      <c r="V116" s="6">
        <f t="shared" si="24"/>
        <v>0</v>
      </c>
    </row>
    <row r="117" spans="1:23" s="8" customFormat="1" ht="16" customHeight="1">
      <c r="A117" s="4" t="s">
        <v>7</v>
      </c>
      <c r="B117" s="25">
        <v>2023</v>
      </c>
      <c r="C117" s="45" t="s">
        <v>324</v>
      </c>
      <c r="D117" s="1" t="s">
        <v>325</v>
      </c>
      <c r="E117" s="6">
        <v>0</v>
      </c>
      <c r="F117" s="6">
        <v>0</v>
      </c>
      <c r="G117" s="6">
        <v>0</v>
      </c>
      <c r="H117" s="26" t="s">
        <v>7</v>
      </c>
      <c r="I117" s="1" t="s">
        <v>85</v>
      </c>
      <c r="J117" t="s">
        <v>13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/>
      <c r="U117" s="6">
        <f t="shared" si="25"/>
        <v>0</v>
      </c>
      <c r="V117" s="6">
        <f t="shared" si="24"/>
        <v>0</v>
      </c>
    </row>
    <row r="118" spans="1:23" s="8" customFormat="1" ht="16" customHeight="1">
      <c r="A118" s="4" t="s">
        <v>7</v>
      </c>
      <c r="B118" s="25">
        <v>2023</v>
      </c>
      <c r="C118" s="45" t="s">
        <v>324</v>
      </c>
      <c r="D118" s="1" t="s">
        <v>326</v>
      </c>
      <c r="E118" s="6">
        <v>0</v>
      </c>
      <c r="F118" s="6">
        <v>0</v>
      </c>
      <c r="G118" s="6">
        <v>0</v>
      </c>
      <c r="H118" s="26" t="s">
        <v>7</v>
      </c>
      <c r="I118" s="1" t="s">
        <v>85</v>
      </c>
      <c r="J118" t="s">
        <v>13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/>
      <c r="U118" s="6">
        <f t="shared" si="25"/>
        <v>0</v>
      </c>
      <c r="V118" s="6">
        <f t="shared" si="24"/>
        <v>0</v>
      </c>
    </row>
    <row r="119" spans="1:23" s="8" customFormat="1" ht="16" customHeight="1">
      <c r="A119" s="4" t="s">
        <v>7</v>
      </c>
      <c r="B119" s="25">
        <v>2023</v>
      </c>
      <c r="C119" s="45" t="s">
        <v>324</v>
      </c>
      <c r="D119" s="1" t="s">
        <v>327</v>
      </c>
      <c r="E119" s="6">
        <v>0</v>
      </c>
      <c r="F119" s="6">
        <v>0</v>
      </c>
      <c r="G119" s="6">
        <v>0</v>
      </c>
      <c r="H119" s="26" t="s">
        <v>7</v>
      </c>
      <c r="I119" s="1" t="s">
        <v>85</v>
      </c>
      <c r="J119" t="s">
        <v>13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/>
      <c r="U119" s="6">
        <f t="shared" si="25"/>
        <v>0</v>
      </c>
      <c r="V119" s="6">
        <f t="shared" si="24"/>
        <v>0</v>
      </c>
    </row>
    <row r="120" spans="1:23" s="8" customFormat="1" ht="16" customHeight="1">
      <c r="A120" s="4" t="s">
        <v>7</v>
      </c>
      <c r="B120" s="25">
        <v>2023</v>
      </c>
      <c r="C120" s="45" t="s">
        <v>324</v>
      </c>
      <c r="D120" s="1" t="s">
        <v>328</v>
      </c>
      <c r="E120" s="6">
        <v>0</v>
      </c>
      <c r="F120" s="6">
        <v>0</v>
      </c>
      <c r="G120" s="6">
        <v>0</v>
      </c>
      <c r="H120" s="26" t="s">
        <v>7</v>
      </c>
      <c r="I120" s="1" t="s">
        <v>85</v>
      </c>
      <c r="J120" t="s">
        <v>13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/>
      <c r="U120" s="6">
        <f t="shared" si="25"/>
        <v>0</v>
      </c>
      <c r="V120" s="6">
        <f t="shared" si="24"/>
        <v>0</v>
      </c>
    </row>
    <row r="121" spans="1:23" s="8" customFormat="1" ht="16" customHeight="1">
      <c r="A121" s="4" t="s">
        <v>7</v>
      </c>
      <c r="B121" s="25">
        <v>2023</v>
      </c>
      <c r="C121" s="45" t="s">
        <v>324</v>
      </c>
      <c r="D121" s="1" t="s">
        <v>329</v>
      </c>
      <c r="E121" s="6">
        <v>0</v>
      </c>
      <c r="F121" s="6">
        <v>0</v>
      </c>
      <c r="G121" s="6">
        <v>0</v>
      </c>
      <c r="H121" s="26" t="s">
        <v>7</v>
      </c>
      <c r="I121" s="1" t="s">
        <v>85</v>
      </c>
      <c r="J121" t="s">
        <v>13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/>
      <c r="U121" s="6">
        <f t="shared" si="25"/>
        <v>0</v>
      </c>
      <c r="V121" s="6">
        <f t="shared" si="24"/>
        <v>0</v>
      </c>
    </row>
    <row r="122" spans="1:23" s="8" customFormat="1" ht="16" customHeight="1">
      <c r="A122" s="4" t="s">
        <v>7</v>
      </c>
      <c r="B122" s="25">
        <v>2023</v>
      </c>
      <c r="C122" s="45" t="s">
        <v>324</v>
      </c>
      <c r="D122" s="1" t="s">
        <v>330</v>
      </c>
      <c r="E122" s="6">
        <v>0</v>
      </c>
      <c r="F122" s="6">
        <v>0</v>
      </c>
      <c r="G122" s="6">
        <v>0</v>
      </c>
      <c r="H122" s="26" t="s">
        <v>7</v>
      </c>
      <c r="I122" s="1" t="s">
        <v>85</v>
      </c>
      <c r="J122" t="s">
        <v>13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/>
      <c r="U122" s="6">
        <f t="shared" si="25"/>
        <v>0</v>
      </c>
      <c r="V122" s="6">
        <f t="shared" si="24"/>
        <v>0</v>
      </c>
    </row>
    <row r="123" spans="1:23" s="8" customFormat="1" ht="16" customHeight="1">
      <c r="A123" s="4" t="s">
        <v>7</v>
      </c>
      <c r="B123" s="25">
        <v>2023</v>
      </c>
      <c r="C123" s="45" t="s">
        <v>324</v>
      </c>
      <c r="D123" s="1" t="s">
        <v>331</v>
      </c>
      <c r="E123" s="6">
        <v>0</v>
      </c>
      <c r="F123" s="6">
        <v>0</v>
      </c>
      <c r="G123" s="6">
        <v>0</v>
      </c>
      <c r="H123" s="26" t="s">
        <v>7</v>
      </c>
      <c r="I123" s="1" t="s">
        <v>85</v>
      </c>
      <c r="J123" t="s">
        <v>13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/>
      <c r="U123" s="6">
        <f t="shared" si="25"/>
        <v>0</v>
      </c>
      <c r="V123" s="6">
        <f t="shared" si="24"/>
        <v>0</v>
      </c>
    </row>
    <row r="124" spans="1:23" s="8" customFormat="1" ht="16" customHeight="1">
      <c r="A124" s="4" t="s">
        <v>7</v>
      </c>
      <c r="B124" s="25">
        <v>2023</v>
      </c>
      <c r="C124" s="45" t="s">
        <v>324</v>
      </c>
      <c r="D124" s="1" t="s">
        <v>332</v>
      </c>
      <c r="E124" s="6">
        <v>0</v>
      </c>
      <c r="F124" s="6">
        <v>0</v>
      </c>
      <c r="G124" s="6">
        <v>0</v>
      </c>
      <c r="H124" s="26" t="s">
        <v>7</v>
      </c>
      <c r="I124" s="1" t="s">
        <v>85</v>
      </c>
      <c r="J124" t="s">
        <v>13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/>
      <c r="U124" s="6">
        <f t="shared" si="25"/>
        <v>0</v>
      </c>
      <c r="V124" s="6">
        <f t="shared" si="24"/>
        <v>0</v>
      </c>
    </row>
    <row r="125" spans="1:23" s="8" customFormat="1" ht="16" customHeight="1">
      <c r="A125" s="4" t="s">
        <v>7</v>
      </c>
      <c r="B125" s="25">
        <v>2023</v>
      </c>
      <c r="C125" s="45" t="s">
        <v>324</v>
      </c>
      <c r="D125" s="1" t="s">
        <v>333</v>
      </c>
      <c r="E125" s="6">
        <v>0</v>
      </c>
      <c r="F125" s="6">
        <v>0</v>
      </c>
      <c r="G125" s="6">
        <v>0</v>
      </c>
      <c r="H125" s="26" t="s">
        <v>7</v>
      </c>
      <c r="I125" s="1" t="s">
        <v>85</v>
      </c>
      <c r="J125" t="s">
        <v>13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/>
      <c r="U125" s="6">
        <f t="shared" si="25"/>
        <v>0</v>
      </c>
      <c r="V125" s="6">
        <f t="shared" si="24"/>
        <v>0</v>
      </c>
    </row>
    <row r="126" spans="1:23" s="8" customFormat="1" ht="16" customHeight="1">
      <c r="A126" s="58" t="s">
        <v>7</v>
      </c>
      <c r="B126" s="35">
        <v>2023</v>
      </c>
      <c r="C126" s="45" t="s">
        <v>324</v>
      </c>
      <c r="D126" s="1" t="s">
        <v>334</v>
      </c>
      <c r="E126" s="6">
        <v>0</v>
      </c>
      <c r="F126" s="6">
        <v>0</v>
      </c>
      <c r="G126" s="61">
        <v>0</v>
      </c>
      <c r="H126" s="45" t="s">
        <v>7</v>
      </c>
      <c r="I126" s="1" t="s">
        <v>85</v>
      </c>
      <c r="J126" s="39" t="s">
        <v>13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/>
      <c r="U126" s="6">
        <f t="shared" si="25"/>
        <v>0</v>
      </c>
      <c r="V126" s="6">
        <f t="shared" si="24"/>
        <v>0</v>
      </c>
      <c r="W126" s="32"/>
    </row>
    <row r="127" spans="1:23" s="8" customFormat="1" ht="16" customHeight="1">
      <c r="A127" s="58" t="s">
        <v>7</v>
      </c>
      <c r="B127" s="35">
        <v>2023</v>
      </c>
      <c r="C127" s="45" t="s">
        <v>324</v>
      </c>
      <c r="D127" s="1" t="s">
        <v>335</v>
      </c>
      <c r="E127" s="6">
        <v>0</v>
      </c>
      <c r="F127" s="6">
        <v>0</v>
      </c>
      <c r="G127" s="61">
        <v>0</v>
      </c>
      <c r="H127" s="45" t="s">
        <v>7</v>
      </c>
      <c r="I127" s="1" t="s">
        <v>85</v>
      </c>
      <c r="J127" s="39" t="s">
        <v>13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/>
      <c r="U127" s="6">
        <f t="shared" si="25"/>
        <v>0</v>
      </c>
      <c r="V127" s="6">
        <f t="shared" si="24"/>
        <v>0</v>
      </c>
      <c r="W127" s="32"/>
    </row>
    <row r="128" spans="1:23" s="8" customFormat="1" ht="16" customHeight="1">
      <c r="A128" s="58" t="s">
        <v>7</v>
      </c>
      <c r="B128" s="35">
        <v>2023</v>
      </c>
      <c r="C128" s="45" t="s">
        <v>324</v>
      </c>
      <c r="D128" s="1" t="s">
        <v>336</v>
      </c>
      <c r="E128" s="6">
        <v>0</v>
      </c>
      <c r="F128" s="6">
        <v>0</v>
      </c>
      <c r="G128" s="61">
        <v>0</v>
      </c>
      <c r="H128" s="45" t="s">
        <v>7</v>
      </c>
      <c r="I128" s="1" t="s">
        <v>85</v>
      </c>
      <c r="J128" s="39" t="s">
        <v>13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/>
      <c r="U128" s="6">
        <f t="shared" si="25"/>
        <v>0</v>
      </c>
      <c r="V128" s="6">
        <f t="shared" si="24"/>
        <v>0</v>
      </c>
      <c r="W128" s="32"/>
    </row>
    <row r="129" spans="1:23" s="8" customFormat="1" ht="16" customHeight="1">
      <c r="A129" s="58" t="s">
        <v>7</v>
      </c>
      <c r="B129" s="35">
        <v>2023</v>
      </c>
      <c r="C129" s="45" t="s">
        <v>324</v>
      </c>
      <c r="D129" s="1" t="s">
        <v>337</v>
      </c>
      <c r="E129" s="6">
        <v>0</v>
      </c>
      <c r="F129" s="6">
        <v>0</v>
      </c>
      <c r="G129" s="61">
        <v>0</v>
      </c>
      <c r="H129" s="45" t="s">
        <v>7</v>
      </c>
      <c r="I129" s="1" t="s">
        <v>85</v>
      </c>
      <c r="J129" s="39" t="s">
        <v>13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/>
      <c r="U129" s="6">
        <f t="shared" si="25"/>
        <v>0</v>
      </c>
      <c r="V129" s="6">
        <f t="shared" si="24"/>
        <v>0</v>
      </c>
      <c r="W129" s="32"/>
    </row>
    <row r="130" spans="1:23" s="8" customFormat="1" ht="16" customHeight="1">
      <c r="A130" s="58" t="s">
        <v>7</v>
      </c>
      <c r="B130" s="35">
        <v>2023</v>
      </c>
      <c r="C130" s="45" t="s">
        <v>324</v>
      </c>
      <c r="D130" s="1" t="s">
        <v>338</v>
      </c>
      <c r="E130" s="6">
        <v>0</v>
      </c>
      <c r="F130" s="6">
        <v>0</v>
      </c>
      <c r="G130" s="61">
        <v>0</v>
      </c>
      <c r="H130" s="45" t="s">
        <v>7</v>
      </c>
      <c r="I130" s="1" t="s">
        <v>85</v>
      </c>
      <c r="J130" s="39" t="s">
        <v>13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/>
      <c r="U130" s="6">
        <f t="shared" si="25"/>
        <v>0</v>
      </c>
      <c r="V130" s="6">
        <f t="shared" si="24"/>
        <v>0</v>
      </c>
      <c r="W130" s="32"/>
    </row>
    <row r="131" spans="1:23" s="8" customFormat="1" ht="16" customHeight="1">
      <c r="A131" s="58" t="s">
        <v>7</v>
      </c>
      <c r="B131" s="35">
        <v>2023</v>
      </c>
      <c r="C131" s="45" t="s">
        <v>339</v>
      </c>
      <c r="D131" s="1" t="s">
        <v>340</v>
      </c>
      <c r="E131" s="6">
        <v>0</v>
      </c>
      <c r="F131" s="6">
        <v>0</v>
      </c>
      <c r="G131" s="61">
        <v>0</v>
      </c>
      <c r="H131" s="45" t="s">
        <v>7</v>
      </c>
      <c r="I131" s="1" t="s">
        <v>13</v>
      </c>
      <c r="J131" s="39" t="s">
        <v>13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/>
      <c r="U131" s="6">
        <f t="shared" si="25"/>
        <v>0</v>
      </c>
      <c r="V131" s="6">
        <f t="shared" si="24"/>
        <v>0</v>
      </c>
      <c r="W131" s="32"/>
    </row>
    <row r="132" spans="1:23" s="8" customFormat="1" ht="16" customHeight="1">
      <c r="A132" s="4" t="s">
        <v>7</v>
      </c>
      <c r="B132" s="25">
        <v>2023</v>
      </c>
      <c r="C132" s="26" t="s">
        <v>201</v>
      </c>
      <c r="D132" s="26" t="s">
        <v>202</v>
      </c>
      <c r="E132" s="6">
        <v>0</v>
      </c>
      <c r="F132" s="6">
        <v>0</v>
      </c>
      <c r="G132" s="17">
        <v>0</v>
      </c>
      <c r="H132" s="26" t="s">
        <v>7</v>
      </c>
      <c r="I132" s="1" t="s">
        <v>10</v>
      </c>
      <c r="J132" t="s">
        <v>13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/>
      <c r="U132" s="6">
        <f t="shared" si="25"/>
        <v>0</v>
      </c>
      <c r="V132" s="6">
        <f t="shared" si="24"/>
        <v>0</v>
      </c>
    </row>
    <row r="133" spans="1:23" s="8" customFormat="1" ht="16" customHeight="1">
      <c r="A133" s="4" t="s">
        <v>7</v>
      </c>
      <c r="B133" s="25">
        <v>2023</v>
      </c>
      <c r="C133" s="26" t="s">
        <v>200</v>
      </c>
      <c r="D133" s="26" t="s">
        <v>341</v>
      </c>
      <c r="E133" s="6">
        <v>0</v>
      </c>
      <c r="F133" s="6">
        <v>0</v>
      </c>
      <c r="G133" s="17">
        <v>0</v>
      </c>
      <c r="H133" s="26" t="s">
        <v>7</v>
      </c>
      <c r="I133" s="1" t="s">
        <v>10</v>
      </c>
      <c r="J133" t="s">
        <v>13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/>
      <c r="U133" s="6">
        <f t="shared" si="25"/>
        <v>0</v>
      </c>
      <c r="V133" s="6">
        <f t="shared" si="24"/>
        <v>0</v>
      </c>
    </row>
    <row r="134" spans="1:23" s="8" customFormat="1" ht="16" customHeight="1">
      <c r="A134" s="4" t="s">
        <v>7</v>
      </c>
      <c r="B134" s="25">
        <v>2023</v>
      </c>
      <c r="C134" s="26" t="s">
        <v>342</v>
      </c>
      <c r="D134" s="1" t="s">
        <v>343</v>
      </c>
      <c r="E134" s="6">
        <v>317650000</v>
      </c>
      <c r="F134" s="6">
        <v>0</v>
      </c>
      <c r="G134" s="17">
        <v>0</v>
      </c>
      <c r="H134" s="26" t="s">
        <v>7</v>
      </c>
      <c r="I134" s="1" t="s">
        <v>10</v>
      </c>
      <c r="J134" t="s">
        <v>13</v>
      </c>
      <c r="K134" s="6">
        <v>-317650000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/>
      <c r="U134" s="6">
        <f t="shared" si="25"/>
        <v>0</v>
      </c>
      <c r="V134" s="6">
        <f t="shared" si="24"/>
        <v>0</v>
      </c>
      <c r="W134" s="59" t="s">
        <v>13</v>
      </c>
    </row>
    <row r="135" spans="1:23" s="8" customFormat="1" ht="16" customHeight="1">
      <c r="A135" s="4" t="s">
        <v>7</v>
      </c>
      <c r="B135" s="25">
        <v>2024</v>
      </c>
      <c r="C135" s="26" t="s">
        <v>398</v>
      </c>
      <c r="D135" s="1" t="s">
        <v>247</v>
      </c>
      <c r="E135" s="6">
        <v>640000</v>
      </c>
      <c r="F135" s="6">
        <v>0</v>
      </c>
      <c r="G135" s="17">
        <v>0</v>
      </c>
      <c r="H135" s="26" t="s">
        <v>7</v>
      </c>
      <c r="I135" s="1" t="s">
        <v>10</v>
      </c>
      <c r="J135" t="s">
        <v>13</v>
      </c>
      <c r="K135" s="6">
        <v>-640000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/>
      <c r="U135" s="6">
        <f t="shared" ref="U135" si="26">E135+K135+L135+M135+N135+O135+P135+Q135+R135</f>
        <v>0</v>
      </c>
      <c r="V135" s="6">
        <f t="shared" ref="V135" si="27">G135+S135</f>
        <v>0</v>
      </c>
    </row>
    <row r="136" spans="1:23" s="8" customFormat="1" ht="16" customHeight="1">
      <c r="A136" s="4" t="s">
        <v>7</v>
      </c>
      <c r="B136" s="25">
        <v>2024</v>
      </c>
      <c r="C136" s="26" t="s">
        <v>398</v>
      </c>
      <c r="D136" s="1" t="s">
        <v>178</v>
      </c>
      <c r="E136" s="6">
        <v>480000</v>
      </c>
      <c r="F136" s="6">
        <v>0</v>
      </c>
      <c r="G136" s="17">
        <v>0</v>
      </c>
      <c r="H136" s="26" t="s">
        <v>7</v>
      </c>
      <c r="I136" s="1" t="s">
        <v>10</v>
      </c>
      <c r="J136" t="s">
        <v>13</v>
      </c>
      <c r="K136" s="6">
        <v>-480000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/>
      <c r="U136" s="6">
        <f t="shared" ref="U136:U138" si="28">E136+K136+L136+M136+N136+O136+P136+Q136+R136</f>
        <v>0</v>
      </c>
      <c r="V136" s="6">
        <f t="shared" ref="V136:V138" si="29">G136+S136</f>
        <v>0</v>
      </c>
    </row>
    <row r="137" spans="1:23" s="8" customFormat="1" ht="16" customHeight="1">
      <c r="A137" s="4" t="s">
        <v>7</v>
      </c>
      <c r="B137" s="25">
        <v>2024</v>
      </c>
      <c r="C137" s="26" t="s">
        <v>398</v>
      </c>
      <c r="D137" s="1" t="s">
        <v>248</v>
      </c>
      <c r="E137" s="6">
        <v>820000</v>
      </c>
      <c r="F137" s="6">
        <v>0</v>
      </c>
      <c r="G137" s="17">
        <v>0</v>
      </c>
      <c r="H137" s="26" t="s">
        <v>7</v>
      </c>
      <c r="I137" s="1" t="s">
        <v>10</v>
      </c>
      <c r="J137" t="s">
        <v>13</v>
      </c>
      <c r="K137" s="6">
        <v>-820000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/>
      <c r="U137" s="6">
        <f t="shared" si="28"/>
        <v>0</v>
      </c>
      <c r="V137" s="6">
        <f t="shared" si="29"/>
        <v>0</v>
      </c>
    </row>
    <row r="138" spans="1:23" s="8" customFormat="1" ht="16" customHeight="1">
      <c r="A138" s="4" t="s">
        <v>7</v>
      </c>
      <c r="B138" s="25">
        <v>2024</v>
      </c>
      <c r="C138" s="26" t="s">
        <v>398</v>
      </c>
      <c r="D138" s="1" t="s">
        <v>249</v>
      </c>
      <c r="E138" s="6">
        <v>2025000</v>
      </c>
      <c r="F138" s="6">
        <v>0</v>
      </c>
      <c r="G138" s="17">
        <v>0</v>
      </c>
      <c r="H138" s="26" t="s">
        <v>7</v>
      </c>
      <c r="I138" s="1" t="s">
        <v>10</v>
      </c>
      <c r="J138" t="s">
        <v>13</v>
      </c>
      <c r="K138" s="6">
        <v>-2025000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/>
      <c r="U138" s="6">
        <f t="shared" si="28"/>
        <v>0</v>
      </c>
      <c r="V138" s="6">
        <f t="shared" si="29"/>
        <v>0</v>
      </c>
    </row>
    <row r="139" spans="1:23" s="8" customFormat="1" ht="16" customHeight="1">
      <c r="A139" s="4" t="s">
        <v>7</v>
      </c>
      <c r="B139" s="25">
        <v>2024</v>
      </c>
      <c r="C139" s="26" t="s">
        <v>356</v>
      </c>
      <c r="D139" s="1" t="s">
        <v>253</v>
      </c>
      <c r="E139" s="6">
        <v>6500000</v>
      </c>
      <c r="F139" s="6">
        <v>0</v>
      </c>
      <c r="G139" s="17">
        <v>0</v>
      </c>
      <c r="H139" s="26" t="s">
        <v>7</v>
      </c>
      <c r="I139" s="1" t="s">
        <v>85</v>
      </c>
      <c r="J139" t="s">
        <v>13</v>
      </c>
      <c r="K139" s="6">
        <v>0</v>
      </c>
      <c r="L139" s="6">
        <v>-6500000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/>
      <c r="U139" s="6">
        <f t="shared" ref="U139" si="30">E139+K139+L139+M139+N139+O139+P139+Q139+R139</f>
        <v>0</v>
      </c>
      <c r="V139" s="6">
        <f t="shared" ref="V139" si="31">G139+S139</f>
        <v>0</v>
      </c>
    </row>
    <row r="140" spans="1:23" s="8" customFormat="1" ht="16" customHeight="1">
      <c r="A140" s="4" t="s">
        <v>7</v>
      </c>
      <c r="B140" s="25">
        <v>2024</v>
      </c>
      <c r="C140" s="26" t="s">
        <v>356</v>
      </c>
      <c r="D140" s="1" t="s">
        <v>254</v>
      </c>
      <c r="E140" s="6">
        <v>5250000</v>
      </c>
      <c r="F140" s="6">
        <v>0</v>
      </c>
      <c r="G140" s="17">
        <v>0</v>
      </c>
      <c r="H140" s="26" t="s">
        <v>7</v>
      </c>
      <c r="I140" s="1" t="s">
        <v>85</v>
      </c>
      <c r="J140" t="s">
        <v>13</v>
      </c>
      <c r="K140" s="6">
        <v>0</v>
      </c>
      <c r="L140" s="6">
        <v>-5250000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/>
      <c r="U140" s="6">
        <f t="shared" ref="U140:U147" si="32">E140+K140+L140+M140+N140+O140+P140+Q140+R140</f>
        <v>0</v>
      </c>
      <c r="V140" s="6">
        <f t="shared" ref="V140:V147" si="33">G140+S140</f>
        <v>0</v>
      </c>
    </row>
    <row r="141" spans="1:23" s="8" customFormat="1" ht="16" customHeight="1">
      <c r="A141" s="4" t="s">
        <v>7</v>
      </c>
      <c r="B141" s="25">
        <v>2024</v>
      </c>
      <c r="C141" s="26" t="s">
        <v>356</v>
      </c>
      <c r="D141" s="1" t="s">
        <v>256</v>
      </c>
      <c r="E141" s="6">
        <v>66936</v>
      </c>
      <c r="F141" s="6">
        <v>0</v>
      </c>
      <c r="G141" s="17">
        <v>0</v>
      </c>
      <c r="H141" s="26" t="s">
        <v>7</v>
      </c>
      <c r="I141" s="1" t="s">
        <v>16</v>
      </c>
      <c r="J141" t="s">
        <v>13</v>
      </c>
      <c r="K141" s="6">
        <v>0</v>
      </c>
      <c r="L141" s="6">
        <v>-66936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/>
      <c r="U141" s="6">
        <f t="shared" si="32"/>
        <v>0</v>
      </c>
      <c r="V141" s="6">
        <f t="shared" si="33"/>
        <v>0</v>
      </c>
    </row>
    <row r="142" spans="1:23" s="8" customFormat="1" ht="16" customHeight="1">
      <c r="A142" s="4" t="s">
        <v>7</v>
      </c>
      <c r="B142" s="25">
        <v>2024</v>
      </c>
      <c r="C142" s="26" t="s">
        <v>356</v>
      </c>
      <c r="D142" s="1" t="s">
        <v>257</v>
      </c>
      <c r="E142" s="6">
        <v>98490</v>
      </c>
      <c r="F142" s="6">
        <v>0</v>
      </c>
      <c r="G142" s="17">
        <v>0</v>
      </c>
      <c r="H142" s="26" t="s">
        <v>7</v>
      </c>
      <c r="I142" s="1" t="s">
        <v>16</v>
      </c>
      <c r="J142" t="s">
        <v>13</v>
      </c>
      <c r="K142" s="6">
        <v>0</v>
      </c>
      <c r="L142" s="6">
        <v>-98490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/>
      <c r="U142" s="6">
        <f t="shared" si="32"/>
        <v>0</v>
      </c>
      <c r="V142" s="6">
        <f t="shared" si="33"/>
        <v>0</v>
      </c>
    </row>
    <row r="143" spans="1:23" s="8" customFormat="1" ht="16" customHeight="1">
      <c r="A143" s="4" t="s">
        <v>7</v>
      </c>
      <c r="B143" s="25">
        <v>2024</v>
      </c>
      <c r="C143" s="26" t="s">
        <v>356</v>
      </c>
      <c r="D143" s="1" t="s">
        <v>258</v>
      </c>
      <c r="E143" s="6">
        <v>66936</v>
      </c>
      <c r="F143" s="6">
        <v>0</v>
      </c>
      <c r="G143" s="17">
        <v>0</v>
      </c>
      <c r="H143" s="26" t="s">
        <v>7</v>
      </c>
      <c r="I143" s="1" t="s">
        <v>16</v>
      </c>
      <c r="J143" t="s">
        <v>13</v>
      </c>
      <c r="K143" s="6">
        <v>0</v>
      </c>
      <c r="L143" s="6">
        <v>-66936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/>
      <c r="U143" s="6">
        <f t="shared" si="32"/>
        <v>0</v>
      </c>
      <c r="V143" s="6">
        <f t="shared" si="33"/>
        <v>0</v>
      </c>
    </row>
    <row r="144" spans="1:23" s="8" customFormat="1" ht="16" customHeight="1">
      <c r="A144" s="4" t="s">
        <v>7</v>
      </c>
      <c r="B144" s="25">
        <v>2024</v>
      </c>
      <c r="C144" s="26" t="s">
        <v>356</v>
      </c>
      <c r="D144" s="1" t="s">
        <v>259</v>
      </c>
      <c r="E144" s="6">
        <v>66936</v>
      </c>
      <c r="F144" s="6">
        <v>0</v>
      </c>
      <c r="G144" s="17">
        <v>0</v>
      </c>
      <c r="H144" s="26" t="s">
        <v>7</v>
      </c>
      <c r="I144" s="1" t="s">
        <v>16</v>
      </c>
      <c r="J144" t="s">
        <v>13</v>
      </c>
      <c r="K144" s="6">
        <v>0</v>
      </c>
      <c r="L144" s="6">
        <v>-66936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/>
      <c r="U144" s="6">
        <f t="shared" si="32"/>
        <v>0</v>
      </c>
      <c r="V144" s="6">
        <f t="shared" si="33"/>
        <v>0</v>
      </c>
    </row>
    <row r="145" spans="1:22" s="8" customFormat="1" ht="16" customHeight="1">
      <c r="A145" s="4" t="s">
        <v>7</v>
      </c>
      <c r="B145" s="25">
        <v>2024</v>
      </c>
      <c r="C145" s="26" t="s">
        <v>356</v>
      </c>
      <c r="D145" s="1" t="s">
        <v>260</v>
      </c>
      <c r="E145" s="6">
        <v>66936</v>
      </c>
      <c r="F145" s="6">
        <v>0</v>
      </c>
      <c r="G145" s="17">
        <v>0</v>
      </c>
      <c r="H145" s="26" t="s">
        <v>7</v>
      </c>
      <c r="I145" s="1" t="s">
        <v>16</v>
      </c>
      <c r="J145" t="s">
        <v>13</v>
      </c>
      <c r="K145" s="6">
        <v>0</v>
      </c>
      <c r="L145" s="6">
        <v>-66936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/>
      <c r="U145" s="6">
        <f t="shared" si="32"/>
        <v>0</v>
      </c>
      <c r="V145" s="6">
        <f t="shared" si="33"/>
        <v>0</v>
      </c>
    </row>
    <row r="146" spans="1:22" s="8" customFormat="1" ht="16" customHeight="1">
      <c r="A146" s="4" t="s">
        <v>7</v>
      </c>
      <c r="B146" s="25">
        <v>2024</v>
      </c>
      <c r="C146" s="26" t="s">
        <v>356</v>
      </c>
      <c r="D146" s="1" t="s">
        <v>261</v>
      </c>
      <c r="E146" s="6">
        <v>66936</v>
      </c>
      <c r="F146" s="6">
        <v>0</v>
      </c>
      <c r="G146" s="17">
        <v>0</v>
      </c>
      <c r="H146" s="26" t="s">
        <v>7</v>
      </c>
      <c r="I146" s="1" t="s">
        <v>16</v>
      </c>
      <c r="J146" t="s">
        <v>13</v>
      </c>
      <c r="K146" s="6">
        <v>0</v>
      </c>
      <c r="L146" s="6">
        <v>-66936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/>
      <c r="U146" s="6">
        <f t="shared" si="32"/>
        <v>0</v>
      </c>
      <c r="V146" s="6">
        <f t="shared" si="33"/>
        <v>0</v>
      </c>
    </row>
    <row r="147" spans="1:22" s="8" customFormat="1" ht="16" customHeight="1">
      <c r="A147" s="4" t="s">
        <v>7</v>
      </c>
      <c r="B147" s="25">
        <v>2024</v>
      </c>
      <c r="C147" s="26" t="s">
        <v>356</v>
      </c>
      <c r="D147" s="1" t="s">
        <v>262</v>
      </c>
      <c r="E147" s="6">
        <v>66936</v>
      </c>
      <c r="F147" s="6">
        <v>0</v>
      </c>
      <c r="G147" s="17">
        <v>0</v>
      </c>
      <c r="H147" s="26" t="s">
        <v>7</v>
      </c>
      <c r="I147" s="1" t="s">
        <v>16</v>
      </c>
      <c r="J147" t="s">
        <v>13</v>
      </c>
      <c r="K147" s="6">
        <v>0</v>
      </c>
      <c r="L147" s="6">
        <v>-66936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/>
      <c r="U147" s="6">
        <f t="shared" si="32"/>
        <v>0</v>
      </c>
      <c r="V147" s="6">
        <f t="shared" si="33"/>
        <v>0</v>
      </c>
    </row>
    <row r="148" spans="1:22" s="8" customFormat="1" ht="16" customHeight="1">
      <c r="A148" s="4" t="s">
        <v>7</v>
      </c>
      <c r="B148" s="25">
        <v>2024</v>
      </c>
      <c r="C148" s="26" t="s">
        <v>344</v>
      </c>
      <c r="D148" s="1" t="s">
        <v>290</v>
      </c>
      <c r="E148" s="6">
        <v>21419217</v>
      </c>
      <c r="F148" s="6">
        <v>0</v>
      </c>
      <c r="G148" s="17">
        <v>0</v>
      </c>
      <c r="H148" s="26" t="s">
        <v>7</v>
      </c>
      <c r="I148" s="1" t="s">
        <v>10</v>
      </c>
      <c r="J148" t="s">
        <v>13</v>
      </c>
      <c r="K148" s="6">
        <v>0</v>
      </c>
      <c r="L148" s="6">
        <v>0</v>
      </c>
      <c r="M148" s="6">
        <v>-21419217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/>
      <c r="U148" s="6">
        <f t="shared" si="25"/>
        <v>0</v>
      </c>
      <c r="V148" s="6">
        <f t="shared" si="24"/>
        <v>0</v>
      </c>
    </row>
    <row r="149" spans="1:22" s="8" customFormat="1" ht="16" customHeight="1">
      <c r="A149" s="4" t="s">
        <v>7</v>
      </c>
      <c r="B149" s="25">
        <v>2024</v>
      </c>
      <c r="C149" s="26" t="s">
        <v>344</v>
      </c>
      <c r="D149" s="1" t="s">
        <v>280</v>
      </c>
      <c r="E149" s="6">
        <v>18198200</v>
      </c>
      <c r="F149" s="6">
        <v>0</v>
      </c>
      <c r="G149" s="17">
        <v>0</v>
      </c>
      <c r="H149" s="26" t="s">
        <v>7</v>
      </c>
      <c r="I149" s="1" t="s">
        <v>78</v>
      </c>
      <c r="J149" t="s">
        <v>13</v>
      </c>
      <c r="K149" s="6">
        <v>0</v>
      </c>
      <c r="L149" s="6">
        <v>0</v>
      </c>
      <c r="M149" s="6">
        <v>-18018020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/>
      <c r="U149" s="6">
        <f t="shared" si="25"/>
        <v>180180</v>
      </c>
      <c r="V149" s="6">
        <f t="shared" si="24"/>
        <v>0</v>
      </c>
    </row>
    <row r="150" spans="1:22" s="8" customFormat="1" ht="16" customHeight="1">
      <c r="A150" s="4" t="s">
        <v>7</v>
      </c>
      <c r="B150" s="25">
        <v>2024</v>
      </c>
      <c r="C150" s="26" t="s">
        <v>344</v>
      </c>
      <c r="D150" s="1" t="s">
        <v>428</v>
      </c>
      <c r="E150" s="6">
        <v>53505410</v>
      </c>
      <c r="F150" s="6">
        <v>0</v>
      </c>
      <c r="G150" s="17">
        <v>0</v>
      </c>
      <c r="H150" s="26" t="s">
        <v>7</v>
      </c>
      <c r="I150" s="1" t="s">
        <v>10</v>
      </c>
      <c r="J150" t="s">
        <v>13</v>
      </c>
      <c r="K150" s="6">
        <v>0</v>
      </c>
      <c r="L150" s="6">
        <v>0</v>
      </c>
      <c r="M150" s="6">
        <v>-53505410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/>
      <c r="U150" s="6">
        <f t="shared" ref="U150" si="34">E150+K150+L150+M150+N150+O150+P150+Q150+R150</f>
        <v>0</v>
      </c>
      <c r="V150" s="6">
        <f t="shared" ref="V150" si="35">G150+S150</f>
        <v>0</v>
      </c>
    </row>
    <row r="151" spans="1:22" s="8" customFormat="1" ht="16" customHeight="1">
      <c r="A151" s="4" t="s">
        <v>7</v>
      </c>
      <c r="B151" s="25">
        <v>2024</v>
      </c>
      <c r="C151" s="26" t="s">
        <v>240</v>
      </c>
      <c r="D151" s="1" t="s">
        <v>345</v>
      </c>
      <c r="E151" s="6">
        <v>749999</v>
      </c>
      <c r="F151" s="6">
        <v>0</v>
      </c>
      <c r="G151" s="17">
        <v>0</v>
      </c>
      <c r="H151" s="26" t="s">
        <v>7</v>
      </c>
      <c r="I151" s="1" t="s">
        <v>5</v>
      </c>
      <c r="J151" t="s">
        <v>13</v>
      </c>
      <c r="K151" s="6">
        <v>0</v>
      </c>
      <c r="L151" s="6">
        <v>-675675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/>
      <c r="U151" s="6">
        <f t="shared" si="25"/>
        <v>74324</v>
      </c>
      <c r="V151" s="6">
        <f t="shared" si="24"/>
        <v>0</v>
      </c>
    </row>
    <row r="152" spans="1:22" s="8" customFormat="1" ht="16" customHeight="1">
      <c r="A152" s="4" t="s">
        <v>7</v>
      </c>
      <c r="B152" s="25">
        <v>2024</v>
      </c>
      <c r="C152" s="26" t="s">
        <v>108</v>
      </c>
      <c r="D152" t="s">
        <v>346</v>
      </c>
      <c r="E152" s="6">
        <v>250000000</v>
      </c>
      <c r="F152" s="6">
        <v>0</v>
      </c>
      <c r="G152" s="17">
        <v>0</v>
      </c>
      <c r="H152" s="26" t="s">
        <v>7</v>
      </c>
      <c r="I152" s="1" t="s">
        <v>85</v>
      </c>
      <c r="J152" t="s">
        <v>13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/>
      <c r="U152" s="6">
        <f t="shared" si="25"/>
        <v>250000000</v>
      </c>
      <c r="V152" s="6">
        <f t="shared" si="24"/>
        <v>0</v>
      </c>
    </row>
    <row r="153" spans="1:22" s="8" customFormat="1" ht="16" customHeight="1">
      <c r="A153" s="4" t="s">
        <v>7</v>
      </c>
      <c r="B153" s="25">
        <v>2024</v>
      </c>
      <c r="C153" s="26" t="s">
        <v>108</v>
      </c>
      <c r="D153" t="s">
        <v>347</v>
      </c>
      <c r="E153" s="6">
        <v>262137500</v>
      </c>
      <c r="F153" s="6">
        <v>0</v>
      </c>
      <c r="G153" s="17">
        <v>0</v>
      </c>
      <c r="H153" s="26" t="s">
        <v>7</v>
      </c>
      <c r="I153" s="1" t="s">
        <v>51</v>
      </c>
      <c r="J153" t="s">
        <v>13</v>
      </c>
      <c r="K153" s="6">
        <v>-262137500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/>
      <c r="U153" s="6">
        <f t="shared" si="25"/>
        <v>0</v>
      </c>
      <c r="V153" s="6">
        <f t="shared" si="24"/>
        <v>0</v>
      </c>
    </row>
    <row r="154" spans="1:22" s="8" customFormat="1" ht="16" customHeight="1">
      <c r="A154" s="4" t="s">
        <v>7</v>
      </c>
      <c r="B154" s="25">
        <v>2025</v>
      </c>
      <c r="C154" s="26" t="s">
        <v>462</v>
      </c>
      <c r="D154" t="s">
        <v>459</v>
      </c>
      <c r="E154" s="6">
        <v>0</v>
      </c>
      <c r="F154" s="6">
        <v>0</v>
      </c>
      <c r="G154" s="17">
        <v>0</v>
      </c>
      <c r="H154" s="26" t="s">
        <v>7</v>
      </c>
      <c r="I154" s="1" t="s">
        <v>14</v>
      </c>
      <c r="J154" t="s">
        <v>13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3595000</v>
      </c>
      <c r="S154" s="6">
        <v>0</v>
      </c>
      <c r="T154" s="6"/>
      <c r="U154" s="6">
        <f t="shared" ref="U154" si="36">E154+K154+L154+M154+N154+O154+P154+Q154+R154</f>
        <v>3595000</v>
      </c>
      <c r="V154" s="6">
        <f t="shared" ref="V154" si="37">G154+S154</f>
        <v>0</v>
      </c>
    </row>
    <row r="155" spans="1:22" s="8" customFormat="1" ht="16" customHeight="1">
      <c r="A155" s="4" t="s">
        <v>7</v>
      </c>
      <c r="B155" s="25">
        <v>2025</v>
      </c>
      <c r="C155" s="26" t="s">
        <v>463</v>
      </c>
      <c r="D155" t="s">
        <v>460</v>
      </c>
      <c r="E155" s="6">
        <v>0</v>
      </c>
      <c r="F155" s="6">
        <v>0</v>
      </c>
      <c r="G155" s="17">
        <v>0</v>
      </c>
      <c r="H155" s="26" t="s">
        <v>7</v>
      </c>
      <c r="I155" s="1" t="s">
        <v>451</v>
      </c>
      <c r="J155" t="s">
        <v>13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7000000</v>
      </c>
      <c r="S155" s="6">
        <v>0</v>
      </c>
      <c r="T155" s="6"/>
      <c r="U155" s="6">
        <f t="shared" ref="U155:U159" si="38">E155+K155+L155+M155+N155+O155+P155+Q155+R155</f>
        <v>7000000</v>
      </c>
      <c r="V155" s="6">
        <f t="shared" ref="V155:V159" si="39">G155+S155</f>
        <v>0</v>
      </c>
    </row>
    <row r="156" spans="1:22" s="8" customFormat="1" ht="16" customHeight="1">
      <c r="A156" s="4" t="s">
        <v>7</v>
      </c>
      <c r="B156" s="25">
        <v>2025</v>
      </c>
      <c r="C156" s="26" t="s">
        <v>464</v>
      </c>
      <c r="D156" t="s">
        <v>461</v>
      </c>
      <c r="E156" s="6">
        <v>0</v>
      </c>
      <c r="F156" s="6">
        <v>0</v>
      </c>
      <c r="G156" s="17">
        <v>0</v>
      </c>
      <c r="H156" s="26" t="s">
        <v>7</v>
      </c>
      <c r="I156" s="1" t="s">
        <v>54</v>
      </c>
      <c r="J156" t="s">
        <v>13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1678046</v>
      </c>
      <c r="S156" s="6">
        <v>0</v>
      </c>
      <c r="T156" s="6"/>
      <c r="U156" s="6">
        <f t="shared" si="38"/>
        <v>1678046</v>
      </c>
      <c r="V156" s="6">
        <f t="shared" si="39"/>
        <v>0</v>
      </c>
    </row>
    <row r="157" spans="1:22" s="8" customFormat="1" ht="16" customHeight="1">
      <c r="A157" s="4" t="s">
        <v>7</v>
      </c>
      <c r="B157" s="25">
        <v>2025</v>
      </c>
      <c r="C157" s="26" t="s">
        <v>464</v>
      </c>
      <c r="D157" t="s">
        <v>458</v>
      </c>
      <c r="E157" s="6">
        <v>0</v>
      </c>
      <c r="F157" s="6">
        <v>0</v>
      </c>
      <c r="G157" s="17">
        <v>0</v>
      </c>
      <c r="H157" s="26" t="s">
        <v>7</v>
      </c>
      <c r="I157" s="1" t="s">
        <v>10</v>
      </c>
      <c r="J157" t="s">
        <v>13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1231050</v>
      </c>
      <c r="S157" s="6">
        <v>0</v>
      </c>
      <c r="T157" s="6"/>
      <c r="U157" s="6">
        <f t="shared" ref="U157" si="40">E157+K157+L157+M157+N157+O157+P157+Q157+R157</f>
        <v>1231050</v>
      </c>
      <c r="V157" s="6">
        <f t="shared" ref="V157" si="41">G157+S157</f>
        <v>0</v>
      </c>
    </row>
    <row r="158" spans="1:22" s="8" customFormat="1" ht="16" customHeight="1">
      <c r="A158" s="4" t="s">
        <v>7</v>
      </c>
      <c r="B158" s="25">
        <v>2025</v>
      </c>
      <c r="C158" s="26" t="s">
        <v>464</v>
      </c>
      <c r="D158" t="s">
        <v>476</v>
      </c>
      <c r="E158" s="6">
        <v>0</v>
      </c>
      <c r="F158" s="6">
        <v>0</v>
      </c>
      <c r="G158" s="17">
        <v>0</v>
      </c>
      <c r="H158" s="26" t="s">
        <v>7</v>
      </c>
      <c r="I158" s="1" t="s">
        <v>10</v>
      </c>
      <c r="J158" t="s">
        <v>13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50318850</v>
      </c>
      <c r="S158" s="6">
        <v>0</v>
      </c>
      <c r="T158" s="6"/>
      <c r="U158" s="6">
        <f t="shared" ref="U158" si="42">E158+K158+L158+M158+N158+O158+P158+Q158+R158</f>
        <v>50318850</v>
      </c>
      <c r="V158" s="6">
        <f t="shared" ref="V158" si="43">G158+S158</f>
        <v>0</v>
      </c>
    </row>
    <row r="159" spans="1:22" s="8" customFormat="1" ht="16" customHeight="1">
      <c r="A159" s="4" t="s">
        <v>7</v>
      </c>
      <c r="B159" s="25">
        <v>2025</v>
      </c>
      <c r="C159" s="26" t="s">
        <v>464</v>
      </c>
      <c r="D159" t="s">
        <v>468</v>
      </c>
      <c r="E159" s="6">
        <v>0</v>
      </c>
      <c r="F159" s="6">
        <v>0</v>
      </c>
      <c r="G159" s="17">
        <v>0</v>
      </c>
      <c r="H159" s="26" t="s">
        <v>7</v>
      </c>
      <c r="I159" s="1" t="s">
        <v>54</v>
      </c>
      <c r="J159" t="s">
        <v>13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155814</v>
      </c>
      <c r="S159" s="6">
        <v>0</v>
      </c>
      <c r="T159" s="6"/>
      <c r="U159" s="6">
        <f t="shared" si="38"/>
        <v>155814</v>
      </c>
      <c r="V159" s="6">
        <f t="shared" si="39"/>
        <v>0</v>
      </c>
    </row>
    <row r="160" spans="1:22" s="8" customFormat="1" ht="16" customHeight="1">
      <c r="A160" s="4" t="s">
        <v>1</v>
      </c>
      <c r="B160" s="25">
        <v>2021</v>
      </c>
      <c r="C160" s="26">
        <v>16363</v>
      </c>
      <c r="D160" t="s">
        <v>59</v>
      </c>
      <c r="E160" s="2">
        <v>0</v>
      </c>
      <c r="F160" s="6">
        <v>0</v>
      </c>
      <c r="G160" s="17">
        <v>0</v>
      </c>
      <c r="H160" s="5" t="s">
        <v>0</v>
      </c>
      <c r="I160" s="1" t="s">
        <v>58</v>
      </c>
      <c r="J160" t="s">
        <v>13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/>
      <c r="U160" s="6">
        <f t="shared" si="25"/>
        <v>0</v>
      </c>
      <c r="V160" s="6">
        <f t="shared" si="24"/>
        <v>0</v>
      </c>
    </row>
    <row r="161" spans="1:22" s="8" customFormat="1" ht="16" customHeight="1">
      <c r="A161" s="4" t="s">
        <v>1</v>
      </c>
      <c r="B161" s="25">
        <v>2021</v>
      </c>
      <c r="C161" s="26">
        <v>17481</v>
      </c>
      <c r="D161" t="s">
        <v>60</v>
      </c>
      <c r="E161" s="2">
        <v>0</v>
      </c>
      <c r="F161" s="6">
        <v>0</v>
      </c>
      <c r="G161" s="17">
        <v>0</v>
      </c>
      <c r="H161" s="5" t="s">
        <v>0</v>
      </c>
      <c r="I161" s="1" t="s">
        <v>8</v>
      </c>
      <c r="J161" t="s">
        <v>13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/>
      <c r="U161" s="6">
        <f t="shared" si="25"/>
        <v>0</v>
      </c>
      <c r="V161" s="6">
        <f t="shared" si="24"/>
        <v>0</v>
      </c>
    </row>
    <row r="162" spans="1:22" s="8" customFormat="1" ht="16" customHeight="1">
      <c r="A162" s="4" t="s">
        <v>1</v>
      </c>
      <c r="B162" s="25">
        <v>2021</v>
      </c>
      <c r="C162" s="26">
        <v>17525</v>
      </c>
      <c r="D162" t="s">
        <v>61</v>
      </c>
      <c r="E162" s="2">
        <v>0</v>
      </c>
      <c r="F162" s="6">
        <v>0</v>
      </c>
      <c r="G162" s="17">
        <v>0</v>
      </c>
      <c r="H162" s="5" t="s">
        <v>0</v>
      </c>
      <c r="I162" s="1" t="s">
        <v>62</v>
      </c>
      <c r="J162" t="s">
        <v>13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/>
      <c r="U162" s="6">
        <f t="shared" si="25"/>
        <v>0</v>
      </c>
      <c r="V162" s="6">
        <f t="shared" si="24"/>
        <v>0</v>
      </c>
    </row>
    <row r="163" spans="1:22" s="8" customFormat="1" ht="16" customHeight="1">
      <c r="A163" s="4" t="s">
        <v>1</v>
      </c>
      <c r="B163" s="25">
        <v>2021</v>
      </c>
      <c r="C163" s="26">
        <v>17053</v>
      </c>
      <c r="D163" t="s">
        <v>63</v>
      </c>
      <c r="E163" s="2">
        <v>0</v>
      </c>
      <c r="F163" s="6">
        <v>0</v>
      </c>
      <c r="G163" s="17">
        <v>0</v>
      </c>
      <c r="H163" s="5" t="s">
        <v>0</v>
      </c>
      <c r="I163" s="1" t="s">
        <v>4</v>
      </c>
      <c r="J163" t="s">
        <v>13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/>
      <c r="U163" s="6">
        <f t="shared" si="25"/>
        <v>0</v>
      </c>
      <c r="V163" s="6">
        <f t="shared" si="24"/>
        <v>0</v>
      </c>
    </row>
    <row r="164" spans="1:22" s="8" customFormat="1" ht="16" customHeight="1">
      <c r="A164" s="4" t="s">
        <v>1</v>
      </c>
      <c r="B164" s="25">
        <v>2021</v>
      </c>
      <c r="C164" s="26">
        <v>18097</v>
      </c>
      <c r="D164" s="29" t="s">
        <v>64</v>
      </c>
      <c r="E164" s="28">
        <v>0</v>
      </c>
      <c r="F164" s="6">
        <v>0</v>
      </c>
      <c r="G164" s="17">
        <v>0</v>
      </c>
      <c r="H164" s="5" t="s">
        <v>0</v>
      </c>
      <c r="I164" s="1" t="s">
        <v>2</v>
      </c>
      <c r="J164" s="29"/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/>
      <c r="U164" s="6">
        <f t="shared" si="25"/>
        <v>0</v>
      </c>
      <c r="V164" s="6">
        <f t="shared" si="24"/>
        <v>0</v>
      </c>
    </row>
    <row r="165" spans="1:22" s="8" customFormat="1" ht="16" customHeight="1">
      <c r="A165" s="4" t="s">
        <v>1</v>
      </c>
      <c r="B165" s="25">
        <v>2021</v>
      </c>
      <c r="C165" s="26">
        <v>18098</v>
      </c>
      <c r="D165" s="29" t="s">
        <v>65</v>
      </c>
      <c r="E165" s="28">
        <v>0</v>
      </c>
      <c r="F165" s="6">
        <v>0</v>
      </c>
      <c r="G165" s="17">
        <v>0</v>
      </c>
      <c r="H165" s="5" t="s">
        <v>0</v>
      </c>
      <c r="I165" s="1" t="s">
        <v>2</v>
      </c>
      <c r="J165" s="29"/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/>
      <c r="U165" s="6">
        <f t="shared" si="25"/>
        <v>0</v>
      </c>
      <c r="V165" s="6">
        <f t="shared" si="24"/>
        <v>0</v>
      </c>
    </row>
    <row r="166" spans="1:22" s="8" customFormat="1" ht="16" customHeight="1">
      <c r="A166" s="4" t="s">
        <v>1</v>
      </c>
      <c r="B166" s="25">
        <v>2021</v>
      </c>
      <c r="C166" s="26">
        <v>16293</v>
      </c>
      <c r="D166" t="s">
        <v>67</v>
      </c>
      <c r="E166" s="2">
        <v>0</v>
      </c>
      <c r="F166" s="6">
        <v>0</v>
      </c>
      <c r="G166" s="17">
        <v>0</v>
      </c>
      <c r="H166" s="5" t="s">
        <v>0</v>
      </c>
      <c r="I166" s="1" t="s">
        <v>66</v>
      </c>
      <c r="J166" t="s">
        <v>13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/>
      <c r="U166" s="6">
        <f t="shared" si="25"/>
        <v>0</v>
      </c>
      <c r="V166" s="6">
        <f t="shared" si="24"/>
        <v>0</v>
      </c>
    </row>
    <row r="167" spans="1:22" s="8" customFormat="1" ht="16" customHeight="1">
      <c r="A167" s="4" t="s">
        <v>1</v>
      </c>
      <c r="B167" s="25">
        <v>2021</v>
      </c>
      <c r="C167" s="26">
        <v>17052</v>
      </c>
      <c r="D167" t="s">
        <v>69</v>
      </c>
      <c r="E167" s="2">
        <v>0</v>
      </c>
      <c r="F167" s="6">
        <v>0</v>
      </c>
      <c r="G167" s="17">
        <v>0</v>
      </c>
      <c r="H167" s="5" t="s">
        <v>0</v>
      </c>
      <c r="I167" s="1" t="s">
        <v>68</v>
      </c>
      <c r="J167" t="s">
        <v>13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/>
      <c r="U167" s="6">
        <f t="shared" si="25"/>
        <v>0</v>
      </c>
      <c r="V167" s="6">
        <f t="shared" si="24"/>
        <v>0</v>
      </c>
    </row>
    <row r="168" spans="1:22" s="8" customFormat="1" ht="16" customHeight="1">
      <c r="A168" s="4" t="s">
        <v>1</v>
      </c>
      <c r="B168" s="25">
        <v>2021</v>
      </c>
      <c r="C168" s="26">
        <v>17734</v>
      </c>
      <c r="D168" t="s">
        <v>70</v>
      </c>
      <c r="E168" s="2">
        <v>0</v>
      </c>
      <c r="F168" s="6">
        <v>0</v>
      </c>
      <c r="G168" s="17">
        <v>0</v>
      </c>
      <c r="H168" s="5" t="s">
        <v>0</v>
      </c>
      <c r="I168" s="1" t="s">
        <v>3</v>
      </c>
      <c r="J168" t="s">
        <v>13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/>
      <c r="U168" s="6">
        <f t="shared" si="25"/>
        <v>0</v>
      </c>
      <c r="V168" s="6">
        <f t="shared" si="24"/>
        <v>0</v>
      </c>
    </row>
    <row r="169" spans="1:22" s="8" customFormat="1" ht="16" customHeight="1">
      <c r="A169" s="4" t="s">
        <v>1</v>
      </c>
      <c r="B169" s="25">
        <v>2021</v>
      </c>
      <c r="C169" s="26">
        <v>17171</v>
      </c>
      <c r="D169" t="s">
        <v>71</v>
      </c>
      <c r="E169" s="2">
        <v>0</v>
      </c>
      <c r="F169" s="6">
        <v>0</v>
      </c>
      <c r="G169" s="17">
        <v>0</v>
      </c>
      <c r="H169" s="5" t="s">
        <v>0</v>
      </c>
      <c r="I169" s="1" t="s">
        <v>72</v>
      </c>
      <c r="J169" t="s">
        <v>13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/>
      <c r="U169" s="6">
        <f t="shared" si="25"/>
        <v>0</v>
      </c>
      <c r="V169" s="6">
        <f t="shared" si="24"/>
        <v>0</v>
      </c>
    </row>
    <row r="170" spans="1:22" s="8" customFormat="1" ht="16" customHeight="1">
      <c r="A170" s="4" t="s">
        <v>1</v>
      </c>
      <c r="B170" s="25">
        <v>2021</v>
      </c>
      <c r="C170" s="26">
        <v>18091</v>
      </c>
      <c r="D170" s="29" t="s">
        <v>74</v>
      </c>
      <c r="E170" s="28">
        <v>0</v>
      </c>
      <c r="F170" s="6">
        <v>0</v>
      </c>
      <c r="G170" s="17">
        <v>0</v>
      </c>
      <c r="H170" s="5" t="s">
        <v>0</v>
      </c>
      <c r="I170" s="1" t="s">
        <v>73</v>
      </c>
      <c r="J170" s="29" t="s">
        <v>13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/>
      <c r="U170" s="6">
        <f t="shared" si="25"/>
        <v>0</v>
      </c>
      <c r="V170" s="6">
        <f t="shared" si="24"/>
        <v>0</v>
      </c>
    </row>
    <row r="171" spans="1:22" s="8" customFormat="1" ht="16" customHeight="1">
      <c r="A171" s="4" t="s">
        <v>1</v>
      </c>
      <c r="B171" s="25">
        <v>2021</v>
      </c>
      <c r="C171" s="26" t="s">
        <v>19</v>
      </c>
      <c r="D171" s="26" t="s">
        <v>19</v>
      </c>
      <c r="E171" s="28">
        <v>5483800</v>
      </c>
      <c r="F171" s="6">
        <v>0</v>
      </c>
      <c r="G171" s="17">
        <v>0</v>
      </c>
      <c r="H171" s="5" t="s">
        <v>0</v>
      </c>
      <c r="I171" s="1" t="s">
        <v>95</v>
      </c>
      <c r="J171" s="29" t="s">
        <v>13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-5483800</v>
      </c>
      <c r="S171" s="6">
        <v>0</v>
      </c>
      <c r="T171" s="6"/>
      <c r="U171" s="40">
        <f t="shared" si="25"/>
        <v>0</v>
      </c>
      <c r="V171" s="6">
        <f t="shared" si="24"/>
        <v>0</v>
      </c>
    </row>
    <row r="172" spans="1:22" s="8" customFormat="1" ht="16" customHeight="1">
      <c r="A172" s="4" t="s">
        <v>1</v>
      </c>
      <c r="B172" s="25">
        <v>2021</v>
      </c>
      <c r="C172" s="26" t="s">
        <v>19</v>
      </c>
      <c r="D172" s="26" t="s">
        <v>19</v>
      </c>
      <c r="E172" s="28">
        <v>0</v>
      </c>
      <c r="F172" s="6">
        <v>0</v>
      </c>
      <c r="G172" s="17">
        <v>0</v>
      </c>
      <c r="H172" s="5" t="s">
        <v>0</v>
      </c>
      <c r="I172" s="1" t="s">
        <v>15</v>
      </c>
      <c r="J172" s="29" t="s">
        <v>13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/>
      <c r="U172" s="6">
        <f t="shared" si="25"/>
        <v>0</v>
      </c>
      <c r="V172" s="6">
        <f t="shared" si="24"/>
        <v>0</v>
      </c>
    </row>
    <row r="173" spans="1:22" s="8" customFormat="1" ht="16" customHeight="1">
      <c r="A173" s="4" t="s">
        <v>1</v>
      </c>
      <c r="B173" s="25">
        <v>2021</v>
      </c>
      <c r="C173" s="26" t="s">
        <v>19</v>
      </c>
      <c r="D173" s="26" t="s">
        <v>166</v>
      </c>
      <c r="E173" s="28">
        <v>5672024</v>
      </c>
      <c r="F173" s="6">
        <v>0</v>
      </c>
      <c r="G173" s="17">
        <v>0</v>
      </c>
      <c r="H173" s="5" t="s">
        <v>0</v>
      </c>
      <c r="I173" s="1" t="s">
        <v>75</v>
      </c>
      <c r="J173" s="29" t="s">
        <v>13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-5672024</v>
      </c>
      <c r="S173" s="6">
        <v>0</v>
      </c>
      <c r="T173" s="6"/>
      <c r="U173" s="40">
        <f t="shared" si="25"/>
        <v>0</v>
      </c>
      <c r="V173" s="6">
        <f t="shared" si="24"/>
        <v>0</v>
      </c>
    </row>
    <row r="174" spans="1:22" s="8" customFormat="1" ht="16" customHeight="1">
      <c r="A174" s="4" t="s">
        <v>1</v>
      </c>
      <c r="B174" s="25">
        <v>2021</v>
      </c>
      <c r="C174" s="26" t="s">
        <v>19</v>
      </c>
      <c r="D174" s="26" t="s">
        <v>166</v>
      </c>
      <c r="E174" s="28">
        <v>3111463</v>
      </c>
      <c r="F174" s="6">
        <v>0</v>
      </c>
      <c r="G174" s="17">
        <v>0</v>
      </c>
      <c r="H174" s="5" t="s">
        <v>0</v>
      </c>
      <c r="I174" s="1" t="s">
        <v>9</v>
      </c>
      <c r="J174" s="29" t="s">
        <v>13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-3111463</v>
      </c>
      <c r="S174" s="6">
        <v>0</v>
      </c>
      <c r="T174" s="6"/>
      <c r="U174" s="40">
        <f t="shared" si="25"/>
        <v>0</v>
      </c>
      <c r="V174" s="6">
        <f t="shared" si="24"/>
        <v>0</v>
      </c>
    </row>
    <row r="175" spans="1:22" s="8" customFormat="1" ht="16" customHeight="1">
      <c r="A175" s="4" t="s">
        <v>1</v>
      </c>
      <c r="B175" s="25">
        <v>2021</v>
      </c>
      <c r="C175" s="26" t="s">
        <v>19</v>
      </c>
      <c r="D175" s="26" t="s">
        <v>19</v>
      </c>
      <c r="E175" s="28">
        <v>27182168</v>
      </c>
      <c r="F175" s="6">
        <v>0</v>
      </c>
      <c r="G175" s="17">
        <v>0</v>
      </c>
      <c r="H175" s="5" t="s">
        <v>0</v>
      </c>
      <c r="I175" s="1" t="s">
        <v>76</v>
      </c>
      <c r="J175" s="29" t="s">
        <v>13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-27182168</v>
      </c>
      <c r="S175" s="6">
        <v>0</v>
      </c>
      <c r="T175" s="6"/>
      <c r="U175" s="40">
        <f t="shared" si="25"/>
        <v>0</v>
      </c>
      <c r="V175" s="6">
        <f t="shared" si="24"/>
        <v>0</v>
      </c>
    </row>
    <row r="176" spans="1:22" s="8" customFormat="1" ht="16" customHeight="1">
      <c r="A176" s="4" t="s">
        <v>1</v>
      </c>
      <c r="B176" s="25">
        <v>2021</v>
      </c>
      <c r="C176" s="26" t="s">
        <v>19</v>
      </c>
      <c r="D176" s="26" t="s">
        <v>19</v>
      </c>
      <c r="E176" s="28">
        <v>7539477</v>
      </c>
      <c r="F176" s="6">
        <v>0</v>
      </c>
      <c r="G176" s="17">
        <v>0</v>
      </c>
      <c r="H176" s="5" t="s">
        <v>0</v>
      </c>
      <c r="I176" s="1" t="s">
        <v>91</v>
      </c>
      <c r="J176" s="29" t="s">
        <v>13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-7539477</v>
      </c>
      <c r="S176" s="6">
        <v>0</v>
      </c>
      <c r="T176" s="6"/>
      <c r="U176" s="40">
        <f t="shared" si="25"/>
        <v>0</v>
      </c>
      <c r="V176" s="6">
        <f t="shared" si="24"/>
        <v>0</v>
      </c>
    </row>
    <row r="177" spans="1:22" s="8" customFormat="1" ht="16" customHeight="1">
      <c r="A177" s="4" t="s">
        <v>1</v>
      </c>
      <c r="B177" s="25">
        <v>2021</v>
      </c>
      <c r="C177" s="26" t="s">
        <v>19</v>
      </c>
      <c r="D177" s="26" t="s">
        <v>166</v>
      </c>
      <c r="E177" s="28">
        <v>109793300</v>
      </c>
      <c r="F177" s="6">
        <v>0</v>
      </c>
      <c r="G177" s="17">
        <v>0</v>
      </c>
      <c r="H177" s="5" t="s">
        <v>0</v>
      </c>
      <c r="I177" s="1" t="s">
        <v>77</v>
      </c>
      <c r="J177" s="29" t="s">
        <v>13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-30000000</v>
      </c>
      <c r="S177" s="6">
        <v>0</v>
      </c>
      <c r="T177" s="6"/>
      <c r="U177" s="6">
        <f t="shared" si="25"/>
        <v>79793300</v>
      </c>
      <c r="V177" s="6">
        <f t="shared" si="24"/>
        <v>0</v>
      </c>
    </row>
    <row r="178" spans="1:22" s="8" customFormat="1" ht="16" customHeight="1">
      <c r="A178" s="4" t="s">
        <v>1</v>
      </c>
      <c r="B178" s="25">
        <v>2022</v>
      </c>
      <c r="C178" s="26" t="s">
        <v>111</v>
      </c>
      <c r="D178" s="26" t="s">
        <v>112</v>
      </c>
      <c r="E178" s="2">
        <v>0</v>
      </c>
      <c r="F178" s="6">
        <v>0</v>
      </c>
      <c r="G178" s="17">
        <v>0</v>
      </c>
      <c r="H178" s="5" t="s">
        <v>0</v>
      </c>
      <c r="I178" s="29" t="s">
        <v>17</v>
      </c>
      <c r="J178" t="s">
        <v>13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/>
      <c r="U178" s="6">
        <f t="shared" si="25"/>
        <v>0</v>
      </c>
      <c r="V178" s="6">
        <f t="shared" si="24"/>
        <v>0</v>
      </c>
    </row>
    <row r="179" spans="1:22" s="8" customFormat="1" ht="16" customHeight="1">
      <c r="A179" s="4" t="s">
        <v>1</v>
      </c>
      <c r="B179" s="25">
        <v>2022</v>
      </c>
      <c r="C179" s="26" t="s">
        <v>113</v>
      </c>
      <c r="D179" t="s">
        <v>114</v>
      </c>
      <c r="E179" s="2">
        <v>0</v>
      </c>
      <c r="F179" s="6">
        <v>0</v>
      </c>
      <c r="G179" s="17">
        <v>0</v>
      </c>
      <c r="H179" s="5" t="s">
        <v>0</v>
      </c>
      <c r="I179" s="29" t="s">
        <v>87</v>
      </c>
      <c r="J179" t="s">
        <v>13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/>
      <c r="U179" s="6">
        <f t="shared" si="25"/>
        <v>0</v>
      </c>
      <c r="V179" s="6">
        <f t="shared" si="24"/>
        <v>0</v>
      </c>
    </row>
    <row r="180" spans="1:22" s="8" customFormat="1" ht="16" customHeight="1">
      <c r="A180" s="4" t="s">
        <v>1</v>
      </c>
      <c r="B180" s="25">
        <v>2022</v>
      </c>
      <c r="C180" s="26" t="s">
        <v>115</v>
      </c>
      <c r="D180" t="s">
        <v>116</v>
      </c>
      <c r="E180" s="2">
        <v>0</v>
      </c>
      <c r="F180" s="6">
        <v>0</v>
      </c>
      <c r="G180" s="17">
        <v>0</v>
      </c>
      <c r="H180" s="5" t="s">
        <v>0</v>
      </c>
      <c r="I180" s="29" t="s">
        <v>88</v>
      </c>
      <c r="J180" t="s">
        <v>13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/>
      <c r="U180" s="6">
        <f t="shared" si="25"/>
        <v>0</v>
      </c>
      <c r="V180" s="6">
        <f t="shared" si="24"/>
        <v>0</v>
      </c>
    </row>
    <row r="181" spans="1:22" s="8" customFormat="1" ht="16" customHeight="1">
      <c r="A181" s="4" t="s">
        <v>1</v>
      </c>
      <c r="B181" s="25">
        <v>2022</v>
      </c>
      <c r="C181" s="26" t="s">
        <v>117</v>
      </c>
      <c r="D181" t="s">
        <v>118</v>
      </c>
      <c r="E181" s="2">
        <v>0</v>
      </c>
      <c r="F181" s="6">
        <v>0</v>
      </c>
      <c r="G181" s="17">
        <v>0</v>
      </c>
      <c r="H181" s="5" t="s">
        <v>0</v>
      </c>
      <c r="I181" s="29" t="s">
        <v>106</v>
      </c>
      <c r="J181" t="s">
        <v>13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/>
      <c r="U181" s="6">
        <f t="shared" si="25"/>
        <v>0</v>
      </c>
      <c r="V181" s="6">
        <f t="shared" si="24"/>
        <v>0</v>
      </c>
    </row>
    <row r="182" spans="1:22" s="8" customFormat="1" ht="16" customHeight="1">
      <c r="A182" s="4" t="s">
        <v>1</v>
      </c>
      <c r="B182" s="25">
        <v>2022</v>
      </c>
      <c r="C182" s="26" t="s">
        <v>119</v>
      </c>
      <c r="D182" t="s">
        <v>120</v>
      </c>
      <c r="E182" s="2">
        <v>0</v>
      </c>
      <c r="F182" s="6">
        <v>0</v>
      </c>
      <c r="G182" s="17">
        <v>0</v>
      </c>
      <c r="H182" s="5" t="s">
        <v>0</v>
      </c>
      <c r="I182" s="29" t="s">
        <v>89</v>
      </c>
      <c r="J182" t="s">
        <v>13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/>
      <c r="U182" s="6">
        <f t="shared" si="25"/>
        <v>0</v>
      </c>
      <c r="V182" s="6">
        <f t="shared" si="24"/>
        <v>0</v>
      </c>
    </row>
    <row r="183" spans="1:22" s="8" customFormat="1" ht="16" customHeight="1">
      <c r="A183" s="4" t="s">
        <v>1</v>
      </c>
      <c r="B183" s="25">
        <v>2022</v>
      </c>
      <c r="C183" s="26" t="s">
        <v>121</v>
      </c>
      <c r="D183" t="s">
        <v>97</v>
      </c>
      <c r="E183" s="2">
        <v>0</v>
      </c>
      <c r="F183" s="6">
        <v>0</v>
      </c>
      <c r="G183" s="17">
        <v>0</v>
      </c>
      <c r="H183" s="5" t="s">
        <v>0</v>
      </c>
      <c r="I183" s="29" t="s">
        <v>89</v>
      </c>
      <c r="J183" t="s">
        <v>13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/>
      <c r="U183" s="6">
        <f t="shared" si="25"/>
        <v>0</v>
      </c>
      <c r="V183" s="6">
        <f t="shared" si="24"/>
        <v>0</v>
      </c>
    </row>
    <row r="184" spans="1:22" s="8" customFormat="1" ht="16" customHeight="1">
      <c r="A184" s="4" t="s">
        <v>1</v>
      </c>
      <c r="B184" s="25">
        <v>2022</v>
      </c>
      <c r="C184" s="26" t="s">
        <v>122</v>
      </c>
      <c r="D184" t="s">
        <v>123</v>
      </c>
      <c r="E184" s="2">
        <v>0</v>
      </c>
      <c r="F184" s="6">
        <v>0</v>
      </c>
      <c r="G184" s="17">
        <v>0</v>
      </c>
      <c r="H184" s="5" t="s">
        <v>0</v>
      </c>
      <c r="I184" s="29" t="s">
        <v>89</v>
      </c>
      <c r="J184" t="s">
        <v>13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/>
      <c r="U184" s="6">
        <f t="shared" si="25"/>
        <v>0</v>
      </c>
      <c r="V184" s="6">
        <f t="shared" si="24"/>
        <v>0</v>
      </c>
    </row>
    <row r="185" spans="1:22" s="8" customFormat="1" ht="16" customHeight="1">
      <c r="A185" s="4" t="s">
        <v>1</v>
      </c>
      <c r="B185" s="25">
        <v>2022</v>
      </c>
      <c r="C185" s="26" t="s">
        <v>124</v>
      </c>
      <c r="D185" t="s">
        <v>125</v>
      </c>
      <c r="E185" s="2">
        <v>0</v>
      </c>
      <c r="F185" s="6">
        <v>0</v>
      </c>
      <c r="G185" s="17">
        <v>0</v>
      </c>
      <c r="H185" s="5" t="s">
        <v>0</v>
      </c>
      <c r="I185" s="29" t="s">
        <v>98</v>
      </c>
      <c r="J185" t="s">
        <v>13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/>
      <c r="U185" s="6">
        <f t="shared" si="25"/>
        <v>0</v>
      </c>
      <c r="V185" s="6">
        <f t="shared" si="24"/>
        <v>0</v>
      </c>
    </row>
    <row r="186" spans="1:22" s="8" customFormat="1" ht="16" customHeight="1">
      <c r="A186" s="4" t="s">
        <v>1</v>
      </c>
      <c r="B186" s="25">
        <v>2022</v>
      </c>
      <c r="C186" s="26" t="s">
        <v>126</v>
      </c>
      <c r="D186" t="s">
        <v>127</v>
      </c>
      <c r="E186" s="2">
        <v>0</v>
      </c>
      <c r="F186" s="6">
        <v>0</v>
      </c>
      <c r="G186" s="17">
        <v>0</v>
      </c>
      <c r="H186" s="5" t="s">
        <v>0</v>
      </c>
      <c r="I186" s="29" t="s">
        <v>98</v>
      </c>
      <c r="J186" t="s">
        <v>13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/>
      <c r="U186" s="6">
        <f t="shared" si="25"/>
        <v>0</v>
      </c>
      <c r="V186" s="6">
        <f t="shared" si="24"/>
        <v>0</v>
      </c>
    </row>
    <row r="187" spans="1:22" s="8" customFormat="1" ht="16" customHeight="1">
      <c r="A187" s="4" t="s">
        <v>1</v>
      </c>
      <c r="B187" s="25">
        <v>2022</v>
      </c>
      <c r="C187" s="26" t="s">
        <v>128</v>
      </c>
      <c r="D187" t="s">
        <v>129</v>
      </c>
      <c r="E187" s="2">
        <v>0</v>
      </c>
      <c r="F187" s="6">
        <v>0</v>
      </c>
      <c r="G187" s="17">
        <v>0</v>
      </c>
      <c r="H187" s="5" t="s">
        <v>0</v>
      </c>
      <c r="I187" s="29" t="s">
        <v>99</v>
      </c>
      <c r="J187" t="s">
        <v>13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/>
      <c r="U187" s="6">
        <f t="shared" si="25"/>
        <v>0</v>
      </c>
      <c r="V187" s="6">
        <f t="shared" si="24"/>
        <v>0</v>
      </c>
    </row>
    <row r="188" spans="1:22" s="8" customFormat="1" ht="16" customHeight="1">
      <c r="A188" s="4" t="s">
        <v>1</v>
      </c>
      <c r="B188" s="25">
        <v>2022</v>
      </c>
      <c r="C188" s="26" t="s">
        <v>130</v>
      </c>
      <c r="D188" t="s">
        <v>131</v>
      </c>
      <c r="E188" s="2">
        <v>0</v>
      </c>
      <c r="F188" s="6">
        <v>0</v>
      </c>
      <c r="G188" s="17">
        <v>0</v>
      </c>
      <c r="H188" s="5" t="s">
        <v>0</v>
      </c>
      <c r="I188" s="29" t="s">
        <v>99</v>
      </c>
      <c r="J188" t="s">
        <v>13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/>
      <c r="U188" s="6">
        <f t="shared" si="25"/>
        <v>0</v>
      </c>
      <c r="V188" s="6">
        <f t="shared" si="24"/>
        <v>0</v>
      </c>
    </row>
    <row r="189" spans="1:22" s="8" customFormat="1" ht="16" customHeight="1">
      <c r="A189" s="4" t="s">
        <v>1</v>
      </c>
      <c r="B189" s="25">
        <v>2022</v>
      </c>
      <c r="C189" s="26" t="s">
        <v>132</v>
      </c>
      <c r="D189" t="s">
        <v>133</v>
      </c>
      <c r="E189" s="2">
        <v>0</v>
      </c>
      <c r="F189" s="6">
        <v>0</v>
      </c>
      <c r="G189" s="17">
        <v>0</v>
      </c>
      <c r="H189" s="5" t="s">
        <v>0</v>
      </c>
      <c r="I189" s="29" t="s">
        <v>93</v>
      </c>
      <c r="J189" t="s">
        <v>13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/>
      <c r="U189" s="6">
        <f t="shared" si="25"/>
        <v>0</v>
      </c>
      <c r="V189" s="6">
        <f t="shared" si="24"/>
        <v>0</v>
      </c>
    </row>
    <row r="190" spans="1:22" s="8" customFormat="1" ht="16" customHeight="1">
      <c r="A190" s="4" t="s">
        <v>1</v>
      </c>
      <c r="B190" s="25">
        <v>2022</v>
      </c>
      <c r="C190" s="26" t="s">
        <v>134</v>
      </c>
      <c r="D190" t="s">
        <v>135</v>
      </c>
      <c r="E190" s="2">
        <v>0</v>
      </c>
      <c r="F190" s="6">
        <v>0</v>
      </c>
      <c r="G190" s="17">
        <v>0</v>
      </c>
      <c r="H190" s="5" t="s">
        <v>0</v>
      </c>
      <c r="I190" s="29" t="s">
        <v>90</v>
      </c>
      <c r="J190" t="s">
        <v>13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/>
      <c r="U190" s="6">
        <f t="shared" si="25"/>
        <v>0</v>
      </c>
      <c r="V190" s="6">
        <f t="shared" si="24"/>
        <v>0</v>
      </c>
    </row>
    <row r="191" spans="1:22" s="8" customFormat="1" ht="16" customHeight="1">
      <c r="A191" s="4" t="s">
        <v>1</v>
      </c>
      <c r="B191" s="25">
        <v>2022</v>
      </c>
      <c r="C191" s="26" t="s">
        <v>136</v>
      </c>
      <c r="D191" t="s">
        <v>137</v>
      </c>
      <c r="E191" s="2">
        <v>0</v>
      </c>
      <c r="F191" s="6">
        <v>0</v>
      </c>
      <c r="G191" s="17">
        <v>0</v>
      </c>
      <c r="H191" s="5" t="s">
        <v>0</v>
      </c>
      <c r="I191" s="1" t="s">
        <v>94</v>
      </c>
      <c r="J191" t="s">
        <v>13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/>
      <c r="U191" s="6">
        <f t="shared" ref="U191:U257" si="44">E191+K191+L191+M191+N191+O191+P191+Q191+R191</f>
        <v>0</v>
      </c>
      <c r="V191" s="6">
        <f t="shared" si="24"/>
        <v>0</v>
      </c>
    </row>
    <row r="192" spans="1:22" s="8" customFormat="1" ht="16" customHeight="1">
      <c r="A192" s="4" t="s">
        <v>1</v>
      </c>
      <c r="B192" s="25">
        <v>2022</v>
      </c>
      <c r="C192" s="26" t="s">
        <v>19</v>
      </c>
      <c r="D192" s="29" t="s">
        <v>164</v>
      </c>
      <c r="E192" s="28">
        <v>4403000</v>
      </c>
      <c r="F192" s="6">
        <v>0</v>
      </c>
      <c r="G192" s="6">
        <v>0</v>
      </c>
      <c r="H192" s="5" t="s">
        <v>0</v>
      </c>
      <c r="I192" s="1" t="s">
        <v>101</v>
      </c>
      <c r="J192" s="29" t="s">
        <v>13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-4403000</v>
      </c>
      <c r="S192" s="6">
        <v>0</v>
      </c>
      <c r="T192" s="6"/>
      <c r="U192" s="40">
        <f t="shared" si="44"/>
        <v>0</v>
      </c>
      <c r="V192" s="6">
        <f t="shared" si="24"/>
        <v>0</v>
      </c>
    </row>
    <row r="193" spans="1:22" s="8" customFormat="1" ht="16" customHeight="1">
      <c r="A193" s="4" t="s">
        <v>1</v>
      </c>
      <c r="B193" s="25">
        <v>2022</v>
      </c>
      <c r="C193" s="26" t="s">
        <v>19</v>
      </c>
      <c r="D193" s="26" t="s">
        <v>166</v>
      </c>
      <c r="E193" s="28">
        <v>0</v>
      </c>
      <c r="F193" s="6">
        <v>0</v>
      </c>
      <c r="G193" s="17">
        <v>0</v>
      </c>
      <c r="H193" s="5" t="s">
        <v>0</v>
      </c>
      <c r="I193" s="1" t="s">
        <v>100</v>
      </c>
      <c r="J193" s="29" t="s">
        <v>13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/>
      <c r="U193" s="6">
        <f t="shared" si="44"/>
        <v>0</v>
      </c>
      <c r="V193" s="6">
        <f t="shared" si="24"/>
        <v>0</v>
      </c>
    </row>
    <row r="194" spans="1:22" s="8" customFormat="1" ht="16" customHeight="1">
      <c r="A194" s="4" t="s">
        <v>1</v>
      </c>
      <c r="B194" s="25">
        <v>2022</v>
      </c>
      <c r="C194" s="26" t="s">
        <v>19</v>
      </c>
      <c r="D194" s="29" t="s">
        <v>138</v>
      </c>
      <c r="E194" s="28">
        <v>275647507</v>
      </c>
      <c r="F194" s="6">
        <v>0</v>
      </c>
      <c r="G194" s="17">
        <v>0</v>
      </c>
      <c r="H194" s="5" t="s">
        <v>0</v>
      </c>
      <c r="I194" s="1" t="s">
        <v>102</v>
      </c>
      <c r="J194" s="29" t="s">
        <v>13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/>
      <c r="U194" s="6">
        <f t="shared" si="44"/>
        <v>275647507</v>
      </c>
      <c r="V194" s="6">
        <f t="shared" si="24"/>
        <v>0</v>
      </c>
    </row>
    <row r="195" spans="1:22" s="8" customFormat="1" ht="16" customHeight="1">
      <c r="A195" s="4" t="s">
        <v>1</v>
      </c>
      <c r="B195" s="25">
        <v>2022</v>
      </c>
      <c r="C195" s="26" t="s">
        <v>19</v>
      </c>
      <c r="D195" s="26" t="s">
        <v>166</v>
      </c>
      <c r="E195" s="28">
        <v>6230368</v>
      </c>
      <c r="F195" s="6">
        <v>0</v>
      </c>
      <c r="G195" s="17">
        <v>0</v>
      </c>
      <c r="H195" s="5" t="s">
        <v>0</v>
      </c>
      <c r="I195" s="1" t="s">
        <v>92</v>
      </c>
      <c r="J195" s="29" t="s">
        <v>13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-6230368</v>
      </c>
      <c r="S195" s="6">
        <v>0</v>
      </c>
      <c r="T195" s="6"/>
      <c r="U195" s="40">
        <f t="shared" si="44"/>
        <v>0</v>
      </c>
      <c r="V195" s="6">
        <f t="shared" si="24"/>
        <v>0</v>
      </c>
    </row>
    <row r="196" spans="1:22" s="8" customFormat="1" ht="16" customHeight="1">
      <c r="A196" s="4" t="s">
        <v>1</v>
      </c>
      <c r="B196" s="25">
        <v>2023</v>
      </c>
      <c r="C196" s="26" t="s">
        <v>196</v>
      </c>
      <c r="D196" s="26" t="s">
        <v>179</v>
      </c>
      <c r="E196" s="28">
        <v>0</v>
      </c>
      <c r="F196" s="6">
        <v>0</v>
      </c>
      <c r="G196" s="6">
        <v>0</v>
      </c>
      <c r="H196" s="5" t="s">
        <v>0</v>
      </c>
      <c r="I196" s="1" t="s">
        <v>152</v>
      </c>
      <c r="J196" s="29" t="s">
        <v>13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/>
      <c r="U196" s="6">
        <f t="shared" si="44"/>
        <v>0</v>
      </c>
      <c r="V196" s="6">
        <f t="shared" si="24"/>
        <v>0</v>
      </c>
    </row>
    <row r="197" spans="1:22" s="8" customFormat="1" ht="16" customHeight="1">
      <c r="A197" s="4" t="s">
        <v>1</v>
      </c>
      <c r="B197" s="25">
        <v>2023</v>
      </c>
      <c r="C197" s="26" t="s">
        <v>196</v>
      </c>
      <c r="D197" s="26" t="s">
        <v>180</v>
      </c>
      <c r="E197" s="28">
        <v>0</v>
      </c>
      <c r="F197" s="6">
        <v>0</v>
      </c>
      <c r="G197" s="6">
        <v>0</v>
      </c>
      <c r="H197" s="5" t="s">
        <v>0</v>
      </c>
      <c r="I197" s="1" t="s">
        <v>154</v>
      </c>
      <c r="J197" s="29" t="s">
        <v>13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/>
      <c r="U197" s="6">
        <f t="shared" si="44"/>
        <v>0</v>
      </c>
      <c r="V197" s="6">
        <f t="shared" si="24"/>
        <v>0</v>
      </c>
    </row>
    <row r="198" spans="1:22" s="8" customFormat="1" ht="16" customHeight="1">
      <c r="A198" s="4" t="s">
        <v>1</v>
      </c>
      <c r="B198" s="25">
        <v>2023</v>
      </c>
      <c r="C198" s="26" t="s">
        <v>196</v>
      </c>
      <c r="D198" s="26" t="s">
        <v>205</v>
      </c>
      <c r="E198" s="28">
        <v>0</v>
      </c>
      <c r="F198" s="6">
        <v>0</v>
      </c>
      <c r="G198" s="6">
        <v>0</v>
      </c>
      <c r="H198" s="5" t="s">
        <v>0</v>
      </c>
      <c r="I198" s="1" t="s">
        <v>161</v>
      </c>
      <c r="J198" s="29" t="s">
        <v>13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/>
      <c r="U198" s="6">
        <f t="shared" si="44"/>
        <v>0</v>
      </c>
      <c r="V198" s="6">
        <f t="shared" si="24"/>
        <v>0</v>
      </c>
    </row>
    <row r="199" spans="1:22" s="8" customFormat="1" ht="16" customHeight="1">
      <c r="A199" s="4" t="s">
        <v>1</v>
      </c>
      <c r="B199" s="25">
        <v>2023</v>
      </c>
      <c r="C199" s="26" t="s">
        <v>196</v>
      </c>
      <c r="D199" s="26" t="s">
        <v>206</v>
      </c>
      <c r="E199" s="28">
        <v>0</v>
      </c>
      <c r="F199" s="6">
        <v>0</v>
      </c>
      <c r="G199" s="6">
        <v>0</v>
      </c>
      <c r="H199" s="5" t="s">
        <v>0</v>
      </c>
      <c r="I199" s="1" t="s">
        <v>161</v>
      </c>
      <c r="J199" s="29" t="s">
        <v>13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/>
      <c r="U199" s="6">
        <f t="shared" si="44"/>
        <v>0</v>
      </c>
      <c r="V199" s="6">
        <f t="shared" si="24"/>
        <v>0</v>
      </c>
    </row>
    <row r="200" spans="1:22" s="8" customFormat="1" ht="16" customHeight="1">
      <c r="A200" s="4" t="s">
        <v>1</v>
      </c>
      <c r="B200" s="25">
        <v>2023</v>
      </c>
      <c r="C200" s="26" t="s">
        <v>196</v>
      </c>
      <c r="D200" s="26" t="s">
        <v>207</v>
      </c>
      <c r="E200" s="28">
        <v>0</v>
      </c>
      <c r="F200" s="6">
        <v>0</v>
      </c>
      <c r="G200" s="6">
        <v>0</v>
      </c>
      <c r="H200" s="5" t="s">
        <v>0</v>
      </c>
      <c r="I200" s="1" t="s">
        <v>161</v>
      </c>
      <c r="J200" s="29" t="s">
        <v>13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/>
      <c r="U200" s="6">
        <f t="shared" si="44"/>
        <v>0</v>
      </c>
      <c r="V200" s="6">
        <f t="shared" si="24"/>
        <v>0</v>
      </c>
    </row>
    <row r="201" spans="1:22" s="8" customFormat="1" ht="16" customHeight="1">
      <c r="A201" s="4" t="s">
        <v>1</v>
      </c>
      <c r="B201" s="25">
        <v>2023</v>
      </c>
      <c r="C201" s="26" t="s">
        <v>198</v>
      </c>
      <c r="D201" s="26" t="s">
        <v>185</v>
      </c>
      <c r="E201" s="28">
        <v>0</v>
      </c>
      <c r="F201" s="6">
        <v>0</v>
      </c>
      <c r="G201" s="6">
        <v>0</v>
      </c>
      <c r="H201" s="5" t="s">
        <v>0</v>
      </c>
      <c r="I201" s="1" t="s">
        <v>161</v>
      </c>
      <c r="J201" s="29" t="s">
        <v>13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/>
      <c r="U201" s="6">
        <f t="shared" si="44"/>
        <v>0</v>
      </c>
      <c r="V201" s="6">
        <f t="shared" si="24"/>
        <v>0</v>
      </c>
    </row>
    <row r="202" spans="1:22" s="8" customFormat="1" ht="16" customHeight="1">
      <c r="A202" s="4" t="s">
        <v>1</v>
      </c>
      <c r="B202" s="25">
        <v>2023</v>
      </c>
      <c r="C202" s="26" t="s">
        <v>198</v>
      </c>
      <c r="D202" s="26" t="s">
        <v>186</v>
      </c>
      <c r="E202" s="28">
        <v>0</v>
      </c>
      <c r="F202" s="6">
        <v>0</v>
      </c>
      <c r="G202" s="6">
        <v>0</v>
      </c>
      <c r="H202" s="5" t="s">
        <v>0</v>
      </c>
      <c r="I202" s="1" t="s">
        <v>161</v>
      </c>
      <c r="J202" s="29" t="s">
        <v>13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/>
      <c r="U202" s="6">
        <f t="shared" si="44"/>
        <v>0</v>
      </c>
      <c r="V202" s="6">
        <f t="shared" si="24"/>
        <v>0</v>
      </c>
    </row>
    <row r="203" spans="1:22" s="8" customFormat="1" ht="16" customHeight="1">
      <c r="A203" s="4" t="s">
        <v>1</v>
      </c>
      <c r="B203" s="25">
        <v>2023</v>
      </c>
      <c r="C203" s="26" t="s">
        <v>198</v>
      </c>
      <c r="D203" s="26" t="s">
        <v>187</v>
      </c>
      <c r="E203" s="28">
        <v>0</v>
      </c>
      <c r="F203" s="6">
        <v>0</v>
      </c>
      <c r="G203" s="6">
        <v>0</v>
      </c>
      <c r="H203" s="5" t="s">
        <v>0</v>
      </c>
      <c r="I203" s="1" t="s">
        <v>161</v>
      </c>
      <c r="J203" s="29" t="s">
        <v>13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/>
      <c r="U203" s="6">
        <f t="shared" si="44"/>
        <v>0</v>
      </c>
      <c r="V203" s="6">
        <f t="shared" si="24"/>
        <v>0</v>
      </c>
    </row>
    <row r="204" spans="1:22" s="8" customFormat="1" ht="16" customHeight="1">
      <c r="A204" s="4" t="s">
        <v>1</v>
      </c>
      <c r="B204" s="25">
        <v>2023</v>
      </c>
      <c r="C204" s="26" t="s">
        <v>198</v>
      </c>
      <c r="D204" s="26" t="s">
        <v>188</v>
      </c>
      <c r="E204" s="28">
        <v>0</v>
      </c>
      <c r="F204" s="6">
        <v>0</v>
      </c>
      <c r="G204" s="6">
        <v>0</v>
      </c>
      <c r="H204" s="5" t="s">
        <v>0</v>
      </c>
      <c r="I204" s="1" t="s">
        <v>161</v>
      </c>
      <c r="J204" s="29" t="s">
        <v>13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/>
      <c r="U204" s="6">
        <f t="shared" si="44"/>
        <v>0</v>
      </c>
      <c r="V204" s="6">
        <f t="shared" si="24"/>
        <v>0</v>
      </c>
    </row>
    <row r="205" spans="1:22" s="8" customFormat="1" ht="16" customHeight="1">
      <c r="A205" s="4" t="s">
        <v>1</v>
      </c>
      <c r="B205" s="25">
        <v>2023</v>
      </c>
      <c r="C205" s="26" t="s">
        <v>198</v>
      </c>
      <c r="D205" s="26" t="s">
        <v>189</v>
      </c>
      <c r="E205" s="28">
        <v>0</v>
      </c>
      <c r="F205" s="6">
        <v>0</v>
      </c>
      <c r="G205" s="6">
        <v>0</v>
      </c>
      <c r="H205" s="5" t="s">
        <v>0</v>
      </c>
      <c r="I205" s="1" t="s">
        <v>161</v>
      </c>
      <c r="J205" s="29" t="s">
        <v>13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/>
      <c r="U205" s="6">
        <f t="shared" si="44"/>
        <v>0</v>
      </c>
      <c r="V205" s="6">
        <f t="shared" si="24"/>
        <v>0</v>
      </c>
    </row>
    <row r="206" spans="1:22" s="8" customFormat="1" ht="16" customHeight="1">
      <c r="A206" s="4" t="s">
        <v>1</v>
      </c>
      <c r="B206" s="25">
        <v>2023</v>
      </c>
      <c r="C206" s="26" t="s">
        <v>198</v>
      </c>
      <c r="D206" s="26" t="s">
        <v>210</v>
      </c>
      <c r="E206" s="28">
        <v>0</v>
      </c>
      <c r="F206" s="6">
        <v>0</v>
      </c>
      <c r="G206" s="6">
        <v>0</v>
      </c>
      <c r="H206" s="5" t="s">
        <v>0</v>
      </c>
      <c r="I206" s="1" t="s">
        <v>161</v>
      </c>
      <c r="J206" s="29" t="s">
        <v>13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/>
      <c r="U206" s="6">
        <f t="shared" si="44"/>
        <v>0</v>
      </c>
      <c r="V206" s="6">
        <f t="shared" si="24"/>
        <v>0</v>
      </c>
    </row>
    <row r="207" spans="1:22" s="8" customFormat="1" ht="16" customHeight="1">
      <c r="A207" s="4" t="s">
        <v>1</v>
      </c>
      <c r="B207" s="25">
        <v>2023</v>
      </c>
      <c r="C207" s="26" t="s">
        <v>198</v>
      </c>
      <c r="D207" s="26" t="s">
        <v>213</v>
      </c>
      <c r="E207" s="28">
        <v>0</v>
      </c>
      <c r="F207" s="6">
        <v>0</v>
      </c>
      <c r="G207" s="6">
        <v>0</v>
      </c>
      <c r="H207" s="5" t="s">
        <v>0</v>
      </c>
      <c r="I207" s="1" t="s">
        <v>161</v>
      </c>
      <c r="J207" s="29" t="s">
        <v>13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/>
      <c r="U207" s="6">
        <f t="shared" si="44"/>
        <v>0</v>
      </c>
      <c r="V207" s="6">
        <f t="shared" si="24"/>
        <v>0</v>
      </c>
    </row>
    <row r="208" spans="1:22" s="8" customFormat="1" ht="16" customHeight="1">
      <c r="A208" s="4" t="s">
        <v>1</v>
      </c>
      <c r="B208" s="25">
        <v>2023</v>
      </c>
      <c r="C208" s="26" t="s">
        <v>198</v>
      </c>
      <c r="D208" s="26" t="s">
        <v>214</v>
      </c>
      <c r="E208" s="28">
        <v>0</v>
      </c>
      <c r="F208" s="6">
        <v>0</v>
      </c>
      <c r="G208" s="6">
        <v>0</v>
      </c>
      <c r="H208" s="5" t="s">
        <v>0</v>
      </c>
      <c r="I208" s="1" t="s">
        <v>161</v>
      </c>
      <c r="J208" s="29" t="s">
        <v>13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/>
      <c r="U208" s="6">
        <f t="shared" si="44"/>
        <v>0</v>
      </c>
      <c r="V208" s="6">
        <f t="shared" si="24"/>
        <v>0</v>
      </c>
    </row>
    <row r="209" spans="1:22" s="8" customFormat="1" ht="16" customHeight="1">
      <c r="A209" s="4" t="s">
        <v>1</v>
      </c>
      <c r="B209" s="25">
        <v>2023</v>
      </c>
      <c r="C209" s="26" t="s">
        <v>198</v>
      </c>
      <c r="D209" s="26" t="s">
        <v>190</v>
      </c>
      <c r="E209" s="28">
        <v>0</v>
      </c>
      <c r="F209" s="6">
        <v>0</v>
      </c>
      <c r="G209" s="6">
        <v>0</v>
      </c>
      <c r="H209" s="5" t="s">
        <v>0</v>
      </c>
      <c r="I209" s="1" t="s">
        <v>153</v>
      </c>
      <c r="J209" s="29" t="s">
        <v>13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/>
      <c r="U209" s="6">
        <f t="shared" si="44"/>
        <v>0</v>
      </c>
      <c r="V209" s="6">
        <f t="shared" si="24"/>
        <v>0</v>
      </c>
    </row>
    <row r="210" spans="1:22" s="8" customFormat="1" ht="16" customHeight="1">
      <c r="A210" s="4" t="s">
        <v>1</v>
      </c>
      <c r="B210" s="25">
        <v>2024</v>
      </c>
      <c r="C210" s="26" t="s">
        <v>356</v>
      </c>
      <c r="D210" s="1" t="s">
        <v>288</v>
      </c>
      <c r="E210" s="36">
        <v>14717633</v>
      </c>
      <c r="F210" s="6">
        <v>0</v>
      </c>
      <c r="G210" s="6">
        <v>0</v>
      </c>
      <c r="H210" s="5" t="s">
        <v>0</v>
      </c>
      <c r="I210" s="29" t="s">
        <v>375</v>
      </c>
      <c r="J210" s="29" t="s">
        <v>13</v>
      </c>
      <c r="K210" s="3">
        <v>0</v>
      </c>
      <c r="L210" s="6">
        <v>-14717633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/>
      <c r="U210" s="6">
        <f>E210+K210+L210+M210+N210+O210+P210+Q210+R210</f>
        <v>0</v>
      </c>
      <c r="V210" s="6">
        <f>G210+S210</f>
        <v>0</v>
      </c>
    </row>
    <row r="211" spans="1:22" s="8" customFormat="1" ht="16" customHeight="1">
      <c r="A211" s="4" t="s">
        <v>1</v>
      </c>
      <c r="B211" s="25">
        <v>2024</v>
      </c>
      <c r="C211" s="26" t="s">
        <v>356</v>
      </c>
      <c r="D211" s="1" t="s">
        <v>289</v>
      </c>
      <c r="E211" s="36">
        <v>5120000</v>
      </c>
      <c r="F211" s="6">
        <v>0</v>
      </c>
      <c r="G211" s="6">
        <v>0</v>
      </c>
      <c r="H211" s="5" t="s">
        <v>0</v>
      </c>
      <c r="I211" s="29" t="s">
        <v>375</v>
      </c>
      <c r="J211" s="29" t="s">
        <v>13</v>
      </c>
      <c r="K211" s="3">
        <v>0</v>
      </c>
      <c r="L211" s="6">
        <v>-5120000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/>
      <c r="U211" s="6">
        <f>E211+K211+L211+M211+N211+O211+P211+Q211+R211</f>
        <v>0</v>
      </c>
      <c r="V211" s="6">
        <f>G211+S211</f>
        <v>0</v>
      </c>
    </row>
    <row r="212" spans="1:22" s="8" customFormat="1" ht="16" customHeight="1">
      <c r="A212" s="4" t="s">
        <v>1</v>
      </c>
      <c r="B212" s="25">
        <v>2023</v>
      </c>
      <c r="C212" s="26" t="s">
        <v>348</v>
      </c>
      <c r="D212" s="26" t="s">
        <v>349</v>
      </c>
      <c r="E212" s="28">
        <v>0</v>
      </c>
      <c r="F212" s="6">
        <v>0</v>
      </c>
      <c r="G212" s="6">
        <v>0</v>
      </c>
      <c r="H212" s="5" t="s">
        <v>0</v>
      </c>
      <c r="I212" t="s">
        <v>140</v>
      </c>
      <c r="J212" s="29" t="s">
        <v>13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/>
      <c r="U212" s="6">
        <f t="shared" si="44"/>
        <v>0</v>
      </c>
      <c r="V212" s="6">
        <f t="shared" si="24"/>
        <v>0</v>
      </c>
    </row>
    <row r="213" spans="1:22" s="8" customFormat="1" ht="16" customHeight="1">
      <c r="A213" s="4" t="s">
        <v>1</v>
      </c>
      <c r="B213" s="25">
        <v>2023</v>
      </c>
      <c r="C213" s="26" t="s">
        <v>350</v>
      </c>
      <c r="D213" s="26" t="s">
        <v>351</v>
      </c>
      <c r="E213" s="28">
        <v>0</v>
      </c>
      <c r="F213" s="6">
        <v>0</v>
      </c>
      <c r="G213" s="6">
        <v>0</v>
      </c>
      <c r="H213" s="5" t="s">
        <v>0</v>
      </c>
      <c r="I213" t="s">
        <v>140</v>
      </c>
      <c r="J213" s="29" t="s">
        <v>13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/>
      <c r="U213" s="6">
        <f t="shared" si="44"/>
        <v>0</v>
      </c>
      <c r="V213" s="6">
        <f t="shared" si="24"/>
        <v>0</v>
      </c>
    </row>
    <row r="214" spans="1:22" s="8" customFormat="1" ht="16" customHeight="1">
      <c r="A214" s="4" t="s">
        <v>1</v>
      </c>
      <c r="B214" s="25">
        <v>2023</v>
      </c>
      <c r="C214" s="26" t="s">
        <v>350</v>
      </c>
      <c r="D214" s="26" t="s">
        <v>352</v>
      </c>
      <c r="E214" s="28">
        <v>0</v>
      </c>
      <c r="F214" s="6">
        <v>0</v>
      </c>
      <c r="G214" s="6">
        <v>0</v>
      </c>
      <c r="H214" s="5" t="s">
        <v>0</v>
      </c>
      <c r="I214" t="s">
        <v>140</v>
      </c>
      <c r="J214" s="29" t="s">
        <v>13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/>
      <c r="U214" s="6">
        <f t="shared" si="44"/>
        <v>0</v>
      </c>
      <c r="V214" s="6">
        <f t="shared" si="24"/>
        <v>0</v>
      </c>
    </row>
    <row r="215" spans="1:22" s="8" customFormat="1" ht="16" customHeight="1">
      <c r="A215" s="4" t="s">
        <v>1</v>
      </c>
      <c r="B215" s="25">
        <v>2023</v>
      </c>
      <c r="C215" s="26" t="s">
        <v>196</v>
      </c>
      <c r="D215" s="29" t="s">
        <v>204</v>
      </c>
      <c r="E215" s="3">
        <v>0</v>
      </c>
      <c r="F215" s="6">
        <v>0</v>
      </c>
      <c r="G215" s="6">
        <v>0</v>
      </c>
      <c r="H215" s="5" t="s">
        <v>0</v>
      </c>
      <c r="I215" s="29" t="s">
        <v>143</v>
      </c>
      <c r="J215" s="29" t="s">
        <v>13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/>
      <c r="U215" s="6">
        <f t="shared" si="44"/>
        <v>0</v>
      </c>
      <c r="V215" s="6">
        <f t="shared" si="24"/>
        <v>0</v>
      </c>
    </row>
    <row r="216" spans="1:22" s="8" customFormat="1" ht="16" customHeight="1">
      <c r="A216" s="4" t="s">
        <v>1</v>
      </c>
      <c r="B216" s="25">
        <v>2023</v>
      </c>
      <c r="C216" s="26" t="s">
        <v>196</v>
      </c>
      <c r="D216" s="29" t="s">
        <v>208</v>
      </c>
      <c r="E216" s="3">
        <v>0</v>
      </c>
      <c r="F216" s="6">
        <v>0</v>
      </c>
      <c r="G216" s="6">
        <v>0</v>
      </c>
      <c r="H216" s="5" t="s">
        <v>0</v>
      </c>
      <c r="I216" s="29" t="s">
        <v>143</v>
      </c>
      <c r="J216" s="29" t="s">
        <v>13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/>
      <c r="U216" s="6">
        <f t="shared" si="44"/>
        <v>0</v>
      </c>
      <c r="V216" s="6">
        <f t="shared" si="24"/>
        <v>0</v>
      </c>
    </row>
    <row r="217" spans="1:22" s="8" customFormat="1" ht="16" customHeight="1">
      <c r="A217" s="4" t="s">
        <v>1</v>
      </c>
      <c r="B217" s="25">
        <v>2023</v>
      </c>
      <c r="C217" s="26" t="s">
        <v>198</v>
      </c>
      <c r="D217" s="1" t="s">
        <v>211</v>
      </c>
      <c r="E217" s="3">
        <v>0</v>
      </c>
      <c r="F217" s="6">
        <v>0</v>
      </c>
      <c r="G217" s="6">
        <v>0</v>
      </c>
      <c r="H217" s="5" t="s">
        <v>0</v>
      </c>
      <c r="I217" s="29" t="s">
        <v>143</v>
      </c>
      <c r="J217" s="29" t="s">
        <v>13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/>
      <c r="U217" s="6">
        <f t="shared" si="44"/>
        <v>0</v>
      </c>
      <c r="V217" s="6">
        <f t="shared" si="24"/>
        <v>0</v>
      </c>
    </row>
    <row r="218" spans="1:22" s="8" customFormat="1" ht="16" customHeight="1">
      <c r="A218" s="4" t="s">
        <v>1</v>
      </c>
      <c r="B218" s="25">
        <v>2023</v>
      </c>
      <c r="C218" s="26" t="s">
        <v>198</v>
      </c>
      <c r="D218" s="1" t="s">
        <v>212</v>
      </c>
      <c r="E218" s="3">
        <v>0</v>
      </c>
      <c r="F218" s="6">
        <v>0</v>
      </c>
      <c r="G218" s="6">
        <v>0</v>
      </c>
      <c r="H218" s="5" t="s">
        <v>0</v>
      </c>
      <c r="I218" s="29" t="s">
        <v>143</v>
      </c>
      <c r="J218" s="29" t="s">
        <v>13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/>
      <c r="U218" s="6">
        <f t="shared" si="44"/>
        <v>0</v>
      </c>
      <c r="V218" s="6">
        <f t="shared" si="24"/>
        <v>0</v>
      </c>
    </row>
    <row r="219" spans="1:22" s="8" customFormat="1" ht="16" customHeight="1">
      <c r="A219" s="4" t="s">
        <v>1</v>
      </c>
      <c r="B219" s="25">
        <v>2023</v>
      </c>
      <c r="C219" s="26" t="s">
        <v>198</v>
      </c>
      <c r="D219" s="1" t="s">
        <v>215</v>
      </c>
      <c r="E219" s="3">
        <v>0</v>
      </c>
      <c r="F219" s="6">
        <v>0</v>
      </c>
      <c r="G219" s="6">
        <v>0</v>
      </c>
      <c r="H219" s="5" t="s">
        <v>0</v>
      </c>
      <c r="I219" s="29" t="s">
        <v>143</v>
      </c>
      <c r="J219" s="29" t="s">
        <v>13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/>
      <c r="U219" s="6">
        <f t="shared" si="44"/>
        <v>0</v>
      </c>
      <c r="V219" s="6">
        <f t="shared" ref="V219:V310" si="45">G219+S219</f>
        <v>0</v>
      </c>
    </row>
    <row r="220" spans="1:22" s="8" customFormat="1" ht="16" customHeight="1">
      <c r="A220" s="4" t="s">
        <v>1</v>
      </c>
      <c r="B220" s="25">
        <v>2023</v>
      </c>
      <c r="C220" s="26" t="s">
        <v>200</v>
      </c>
      <c r="D220" s="29" t="s">
        <v>195</v>
      </c>
      <c r="E220" s="30">
        <v>0</v>
      </c>
      <c r="F220" s="6">
        <v>0</v>
      </c>
      <c r="G220" s="17">
        <v>0</v>
      </c>
      <c r="H220" s="5" t="s">
        <v>0</v>
      </c>
      <c r="I220" s="1" t="s">
        <v>149</v>
      </c>
      <c r="J220" s="29" t="s">
        <v>13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/>
      <c r="U220" s="6">
        <f t="shared" si="44"/>
        <v>0</v>
      </c>
      <c r="V220" s="6">
        <f t="shared" si="45"/>
        <v>0</v>
      </c>
    </row>
    <row r="221" spans="1:22" s="8" customFormat="1" ht="16" customHeight="1">
      <c r="A221" s="4" t="s">
        <v>1</v>
      </c>
      <c r="B221" s="25">
        <v>2023</v>
      </c>
      <c r="C221" s="26" t="s">
        <v>200</v>
      </c>
      <c r="D221" s="29" t="s">
        <v>353</v>
      </c>
      <c r="E221" s="30">
        <v>0</v>
      </c>
      <c r="F221" s="6">
        <v>0</v>
      </c>
      <c r="G221" s="17">
        <v>0</v>
      </c>
      <c r="H221" s="5" t="s">
        <v>0</v>
      </c>
      <c r="I221" s="1" t="s">
        <v>149</v>
      </c>
      <c r="J221" s="29" t="s">
        <v>13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/>
      <c r="U221" s="6">
        <f t="shared" si="44"/>
        <v>0</v>
      </c>
      <c r="V221" s="6">
        <f t="shared" si="45"/>
        <v>0</v>
      </c>
    </row>
    <row r="222" spans="1:22" s="8" customFormat="1" ht="16" customHeight="1">
      <c r="A222" s="4" t="s">
        <v>1</v>
      </c>
      <c r="B222" s="25">
        <v>2023</v>
      </c>
      <c r="C222" s="26" t="s">
        <v>200</v>
      </c>
      <c r="D222" t="s">
        <v>354</v>
      </c>
      <c r="E222" s="2">
        <v>0</v>
      </c>
      <c r="F222" s="6">
        <v>0</v>
      </c>
      <c r="G222" s="17">
        <v>0</v>
      </c>
      <c r="H222" s="5" t="s">
        <v>0</v>
      </c>
      <c r="I222" s="1" t="s">
        <v>149</v>
      </c>
      <c r="J222" s="29" t="s">
        <v>13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/>
      <c r="U222" s="6">
        <f t="shared" si="44"/>
        <v>0</v>
      </c>
      <c r="V222" s="6">
        <f t="shared" si="45"/>
        <v>0</v>
      </c>
    </row>
    <row r="223" spans="1:22" s="8" customFormat="1" ht="16" customHeight="1">
      <c r="A223" s="4" t="s">
        <v>1</v>
      </c>
      <c r="B223" s="25">
        <v>2023</v>
      </c>
      <c r="C223" s="26" t="s">
        <v>200</v>
      </c>
      <c r="D223" t="s">
        <v>355</v>
      </c>
      <c r="E223" s="2">
        <v>0</v>
      </c>
      <c r="F223" s="6">
        <v>0</v>
      </c>
      <c r="G223" s="17">
        <v>0</v>
      </c>
      <c r="H223" s="5" t="s">
        <v>0</v>
      </c>
      <c r="I223" s="1" t="s">
        <v>149</v>
      </c>
      <c r="J223" s="29" t="s">
        <v>13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/>
      <c r="U223" s="6">
        <f t="shared" si="44"/>
        <v>0</v>
      </c>
      <c r="V223" s="6">
        <f t="shared" si="45"/>
        <v>0</v>
      </c>
    </row>
    <row r="224" spans="1:22" s="8" customFormat="1" ht="16" customHeight="1">
      <c r="A224" s="4" t="s">
        <v>1</v>
      </c>
      <c r="B224" s="25">
        <v>2023</v>
      </c>
      <c r="C224" s="26" t="s">
        <v>200</v>
      </c>
      <c r="D224" s="29" t="s">
        <v>193</v>
      </c>
      <c r="E224" s="28">
        <v>0</v>
      </c>
      <c r="F224" s="6">
        <v>0</v>
      </c>
      <c r="G224" s="17">
        <v>0</v>
      </c>
      <c r="H224" s="5" t="s">
        <v>0</v>
      </c>
      <c r="I224" s="1" t="s">
        <v>157</v>
      </c>
      <c r="J224" s="29" t="s">
        <v>13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/>
      <c r="U224" s="6">
        <f t="shared" si="44"/>
        <v>0</v>
      </c>
      <c r="V224" s="6">
        <f t="shared" si="45"/>
        <v>0</v>
      </c>
    </row>
    <row r="225" spans="1:22" s="8" customFormat="1" ht="16" customHeight="1">
      <c r="A225" s="4" t="s">
        <v>1</v>
      </c>
      <c r="B225" s="25">
        <v>2023</v>
      </c>
      <c r="C225" s="26" t="s">
        <v>19</v>
      </c>
      <c r="D225" s="29" t="s">
        <v>165</v>
      </c>
      <c r="E225" s="28">
        <v>10211600</v>
      </c>
      <c r="F225" s="6">
        <v>0</v>
      </c>
      <c r="G225" s="17">
        <v>0</v>
      </c>
      <c r="H225" s="5" t="s">
        <v>0</v>
      </c>
      <c r="I225" s="1" t="s">
        <v>162</v>
      </c>
      <c r="J225" s="29" t="s">
        <v>13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/>
      <c r="U225" s="6">
        <f t="shared" si="44"/>
        <v>10211600</v>
      </c>
      <c r="V225" s="6">
        <f t="shared" si="45"/>
        <v>0</v>
      </c>
    </row>
    <row r="226" spans="1:22" s="8" customFormat="1" ht="16" customHeight="1">
      <c r="A226" s="4" t="s">
        <v>1</v>
      </c>
      <c r="B226" s="25">
        <v>2023</v>
      </c>
      <c r="C226" s="26" t="s">
        <v>19</v>
      </c>
      <c r="D226" s="29" t="s">
        <v>165</v>
      </c>
      <c r="E226" s="28">
        <v>2500</v>
      </c>
      <c r="F226" s="6">
        <v>0</v>
      </c>
      <c r="G226" s="17">
        <v>0</v>
      </c>
      <c r="H226" s="5" t="s">
        <v>0</v>
      </c>
      <c r="I226" s="1" t="s">
        <v>139</v>
      </c>
      <c r="J226" s="29" t="s">
        <v>13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-2500</v>
      </c>
      <c r="S226" s="6">
        <v>0</v>
      </c>
      <c r="T226" s="6"/>
      <c r="U226" s="40">
        <f t="shared" si="44"/>
        <v>0</v>
      </c>
      <c r="V226" s="6">
        <f t="shared" si="45"/>
        <v>0</v>
      </c>
    </row>
    <row r="227" spans="1:22" s="8" customFormat="1" ht="16" customHeight="1">
      <c r="A227" s="4" t="s">
        <v>1</v>
      </c>
      <c r="B227" s="25">
        <v>2023</v>
      </c>
      <c r="C227" s="26" t="s">
        <v>19</v>
      </c>
      <c r="D227" s="29" t="s">
        <v>165</v>
      </c>
      <c r="E227" s="28">
        <v>7798061</v>
      </c>
      <c r="F227" s="6">
        <v>0</v>
      </c>
      <c r="G227" s="17">
        <v>0</v>
      </c>
      <c r="H227" s="5" t="s">
        <v>0</v>
      </c>
      <c r="I227" s="1" t="s">
        <v>150</v>
      </c>
      <c r="J227" s="29" t="s">
        <v>13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/>
      <c r="U227" s="6">
        <f t="shared" si="44"/>
        <v>7798061</v>
      </c>
      <c r="V227" s="6">
        <f t="shared" si="45"/>
        <v>0</v>
      </c>
    </row>
    <row r="228" spans="1:22" s="8" customFormat="1" ht="16" customHeight="1">
      <c r="A228" s="4" t="s">
        <v>1</v>
      </c>
      <c r="B228" s="25">
        <v>2023</v>
      </c>
      <c r="C228" s="26" t="s">
        <v>19</v>
      </c>
      <c r="D228" s="29" t="s">
        <v>373</v>
      </c>
      <c r="E228" s="28">
        <v>0</v>
      </c>
      <c r="F228" s="6">
        <v>0</v>
      </c>
      <c r="G228" s="17">
        <v>0</v>
      </c>
      <c r="H228" s="5" t="s">
        <v>0</v>
      </c>
      <c r="I228" s="1" t="s">
        <v>145</v>
      </c>
      <c r="J228" s="29" t="s">
        <v>13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/>
      <c r="U228" s="40">
        <f t="shared" si="44"/>
        <v>0</v>
      </c>
      <c r="V228" s="6">
        <f t="shared" si="45"/>
        <v>0</v>
      </c>
    </row>
    <row r="229" spans="1:22" s="8" customFormat="1" ht="16" customHeight="1">
      <c r="A229" s="4" t="s">
        <v>1</v>
      </c>
      <c r="B229" s="25">
        <v>2023</v>
      </c>
      <c r="C229" s="26" t="s">
        <v>19</v>
      </c>
      <c r="D229" s="29" t="s">
        <v>373</v>
      </c>
      <c r="E229" s="28">
        <v>0</v>
      </c>
      <c r="F229" s="6">
        <v>0</v>
      </c>
      <c r="G229" s="17">
        <v>0</v>
      </c>
      <c r="H229" s="5" t="s">
        <v>0</v>
      </c>
      <c r="I229" s="1" t="s">
        <v>146</v>
      </c>
      <c r="J229" s="29" t="s">
        <v>13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/>
      <c r="U229" s="40">
        <f t="shared" si="44"/>
        <v>0</v>
      </c>
      <c r="V229" s="6">
        <f t="shared" si="45"/>
        <v>0</v>
      </c>
    </row>
    <row r="230" spans="1:22" s="8" customFormat="1" ht="16" customHeight="1">
      <c r="A230" s="4" t="s">
        <v>1</v>
      </c>
      <c r="B230" s="25">
        <v>2023</v>
      </c>
      <c r="C230" s="26" t="s">
        <v>19</v>
      </c>
      <c r="D230" s="29" t="s">
        <v>165</v>
      </c>
      <c r="E230" s="28">
        <v>0</v>
      </c>
      <c r="F230" s="6">
        <v>0</v>
      </c>
      <c r="G230" s="17">
        <v>0</v>
      </c>
      <c r="H230" s="5" t="s">
        <v>0</v>
      </c>
      <c r="I230" s="1" t="s">
        <v>147</v>
      </c>
      <c r="J230" s="29" t="s">
        <v>13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/>
      <c r="U230" s="6">
        <f t="shared" si="44"/>
        <v>0</v>
      </c>
      <c r="V230" s="6">
        <f t="shared" si="45"/>
        <v>0</v>
      </c>
    </row>
    <row r="231" spans="1:22" s="8" customFormat="1" ht="16" customHeight="1">
      <c r="A231" s="4" t="s">
        <v>1</v>
      </c>
      <c r="B231" s="25">
        <v>2023</v>
      </c>
      <c r="C231" s="26" t="s">
        <v>19</v>
      </c>
      <c r="D231" s="29" t="s">
        <v>165</v>
      </c>
      <c r="E231" s="28">
        <v>176833</v>
      </c>
      <c r="F231" s="6">
        <v>0</v>
      </c>
      <c r="G231" s="17">
        <v>0</v>
      </c>
      <c r="H231" s="5" t="s">
        <v>0</v>
      </c>
      <c r="I231" s="1" t="s">
        <v>148</v>
      </c>
      <c r="J231" s="29" t="s">
        <v>13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-176833</v>
      </c>
      <c r="S231" s="6">
        <v>0</v>
      </c>
      <c r="T231" s="6"/>
      <c r="U231" s="40">
        <f t="shared" si="44"/>
        <v>0</v>
      </c>
      <c r="V231" s="6">
        <f t="shared" si="45"/>
        <v>0</v>
      </c>
    </row>
    <row r="232" spans="1:22" s="8" customFormat="1" ht="16" customHeight="1">
      <c r="A232" s="4" t="s">
        <v>1</v>
      </c>
      <c r="B232" s="25">
        <v>2023</v>
      </c>
      <c r="C232" s="26" t="s">
        <v>19</v>
      </c>
      <c r="D232" s="29" t="s">
        <v>165</v>
      </c>
      <c r="E232" s="28">
        <v>2214975</v>
      </c>
      <c r="F232" s="6">
        <v>0</v>
      </c>
      <c r="G232" s="17">
        <v>0</v>
      </c>
      <c r="H232" s="5" t="s">
        <v>0</v>
      </c>
      <c r="I232" s="1" t="s">
        <v>151</v>
      </c>
      <c r="J232" s="29" t="s">
        <v>13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-2214975</v>
      </c>
      <c r="S232" s="6">
        <v>0</v>
      </c>
      <c r="T232" s="6"/>
      <c r="U232" s="40">
        <f t="shared" si="44"/>
        <v>0</v>
      </c>
      <c r="V232" s="6">
        <f t="shared" si="45"/>
        <v>0</v>
      </c>
    </row>
    <row r="233" spans="1:22" s="8" customFormat="1" ht="16" customHeight="1">
      <c r="A233" s="4" t="s">
        <v>1</v>
      </c>
      <c r="B233" s="25">
        <v>2023</v>
      </c>
      <c r="C233" s="26" t="s">
        <v>19</v>
      </c>
      <c r="D233" s="29" t="s">
        <v>165</v>
      </c>
      <c r="E233" s="28">
        <v>0</v>
      </c>
      <c r="F233" s="6">
        <v>0</v>
      </c>
      <c r="G233" s="17">
        <v>0</v>
      </c>
      <c r="H233" s="5" t="s">
        <v>0</v>
      </c>
      <c r="I233" s="1" t="s">
        <v>156</v>
      </c>
      <c r="J233" s="29" t="s">
        <v>13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/>
      <c r="U233" s="40">
        <f t="shared" si="44"/>
        <v>0</v>
      </c>
      <c r="V233" s="6">
        <f t="shared" si="45"/>
        <v>0</v>
      </c>
    </row>
    <row r="234" spans="1:22" s="8" customFormat="1" ht="16" customHeight="1">
      <c r="A234" s="4" t="s">
        <v>1</v>
      </c>
      <c r="B234" s="25">
        <v>2023</v>
      </c>
      <c r="C234" s="26" t="s">
        <v>19</v>
      </c>
      <c r="D234" s="29" t="s">
        <v>165</v>
      </c>
      <c r="E234" s="28">
        <v>6328939</v>
      </c>
      <c r="F234" s="6">
        <v>0</v>
      </c>
      <c r="G234" s="17">
        <v>0</v>
      </c>
      <c r="H234" s="5" t="s">
        <v>0</v>
      </c>
      <c r="I234" s="1" t="s">
        <v>155</v>
      </c>
      <c r="J234" s="29" t="s">
        <v>13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/>
      <c r="U234" s="6">
        <f t="shared" si="44"/>
        <v>6328939</v>
      </c>
      <c r="V234" s="6">
        <f t="shared" si="45"/>
        <v>0</v>
      </c>
    </row>
    <row r="235" spans="1:22" s="8" customFormat="1" ht="16" customHeight="1">
      <c r="A235" s="4" t="s">
        <v>1</v>
      </c>
      <c r="B235" s="25">
        <v>2023</v>
      </c>
      <c r="C235" s="26" t="s">
        <v>19</v>
      </c>
      <c r="D235" s="29" t="s">
        <v>165</v>
      </c>
      <c r="E235" s="28">
        <v>82432</v>
      </c>
      <c r="F235" s="6">
        <v>0</v>
      </c>
      <c r="G235" s="17">
        <v>0</v>
      </c>
      <c r="H235" s="5" t="s">
        <v>0</v>
      </c>
      <c r="I235" s="1" t="s">
        <v>159</v>
      </c>
      <c r="J235" s="29" t="s">
        <v>13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-82432</v>
      </c>
      <c r="S235" s="6">
        <v>0</v>
      </c>
      <c r="T235" s="6"/>
      <c r="U235" s="40">
        <f t="shared" si="44"/>
        <v>0</v>
      </c>
      <c r="V235" s="6">
        <f t="shared" si="45"/>
        <v>0</v>
      </c>
    </row>
    <row r="236" spans="1:22" s="8" customFormat="1" ht="16" customHeight="1">
      <c r="A236" s="4" t="s">
        <v>1</v>
      </c>
      <c r="B236" s="25">
        <v>2023</v>
      </c>
      <c r="C236" s="26" t="s">
        <v>19</v>
      </c>
      <c r="D236" s="29" t="s">
        <v>165</v>
      </c>
      <c r="E236" s="28">
        <v>0</v>
      </c>
      <c r="F236" s="6">
        <v>0</v>
      </c>
      <c r="G236" s="17">
        <v>0</v>
      </c>
      <c r="H236" s="5" t="s">
        <v>0</v>
      </c>
      <c r="I236" s="1" t="s">
        <v>160</v>
      </c>
      <c r="J236" s="29" t="s">
        <v>13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/>
      <c r="U236" s="40">
        <f t="shared" si="44"/>
        <v>0</v>
      </c>
      <c r="V236" s="6">
        <f t="shared" si="45"/>
        <v>0</v>
      </c>
    </row>
    <row r="237" spans="1:22" s="8" customFormat="1" ht="16" customHeight="1">
      <c r="A237" s="4" t="s">
        <v>1</v>
      </c>
      <c r="B237" s="25">
        <v>2023</v>
      </c>
      <c r="C237" s="26" t="s">
        <v>19</v>
      </c>
      <c r="D237" s="29" t="s">
        <v>165</v>
      </c>
      <c r="E237" s="28">
        <v>0</v>
      </c>
      <c r="F237" s="6">
        <v>0</v>
      </c>
      <c r="G237" s="17">
        <v>0</v>
      </c>
      <c r="H237" s="5" t="s">
        <v>0</v>
      </c>
      <c r="I237" s="1" t="s">
        <v>144</v>
      </c>
      <c r="J237" s="29" t="s">
        <v>13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/>
      <c r="U237" s="6">
        <f t="shared" si="44"/>
        <v>0</v>
      </c>
      <c r="V237" s="6">
        <f t="shared" si="45"/>
        <v>0</v>
      </c>
    </row>
    <row r="238" spans="1:22" s="8" customFormat="1" ht="16" customHeight="1">
      <c r="A238" s="4" t="s">
        <v>1</v>
      </c>
      <c r="B238" s="25">
        <v>2023</v>
      </c>
      <c r="C238" s="26" t="s">
        <v>19</v>
      </c>
      <c r="D238" s="29" t="s">
        <v>165</v>
      </c>
      <c r="E238" s="28">
        <v>523080</v>
      </c>
      <c r="F238" s="6">
        <v>0</v>
      </c>
      <c r="G238" s="17">
        <v>0</v>
      </c>
      <c r="H238" s="5" t="s">
        <v>0</v>
      </c>
      <c r="I238" s="1" t="s">
        <v>104</v>
      </c>
      <c r="J238" s="29" t="s">
        <v>13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-523080</v>
      </c>
      <c r="S238" s="6">
        <v>0</v>
      </c>
      <c r="T238" s="6"/>
      <c r="U238" s="40">
        <f t="shared" si="44"/>
        <v>0</v>
      </c>
      <c r="V238" s="6">
        <f t="shared" si="45"/>
        <v>0</v>
      </c>
    </row>
    <row r="239" spans="1:22" s="8" customFormat="1" ht="16" customHeight="1">
      <c r="A239" s="4" t="s">
        <v>1</v>
      </c>
      <c r="B239" s="25">
        <v>2023</v>
      </c>
      <c r="C239" s="26" t="s">
        <v>19</v>
      </c>
      <c r="D239" s="29" t="s">
        <v>165</v>
      </c>
      <c r="E239" s="28">
        <v>396234</v>
      </c>
      <c r="F239" s="6">
        <v>0</v>
      </c>
      <c r="G239" s="17">
        <v>0</v>
      </c>
      <c r="H239" s="5" t="s">
        <v>0</v>
      </c>
      <c r="I239" s="1" t="s">
        <v>142</v>
      </c>
      <c r="J239" s="29" t="s">
        <v>13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-396234</v>
      </c>
      <c r="S239" s="6">
        <v>0</v>
      </c>
      <c r="T239" s="6"/>
      <c r="U239" s="40">
        <f t="shared" si="44"/>
        <v>0</v>
      </c>
      <c r="V239" s="6">
        <f t="shared" si="45"/>
        <v>0</v>
      </c>
    </row>
    <row r="240" spans="1:22" s="8" customFormat="1" ht="16" customHeight="1">
      <c r="A240" s="4" t="s">
        <v>1</v>
      </c>
      <c r="B240" s="25">
        <v>2023</v>
      </c>
      <c r="C240" s="26" t="s">
        <v>19</v>
      </c>
      <c r="D240" s="29" t="s">
        <v>165</v>
      </c>
      <c r="E240" s="28">
        <v>30000</v>
      </c>
      <c r="F240" s="6">
        <v>0</v>
      </c>
      <c r="G240" s="17">
        <v>0</v>
      </c>
      <c r="H240" s="5" t="s">
        <v>0</v>
      </c>
      <c r="I240" s="1" t="s">
        <v>158</v>
      </c>
      <c r="J240" s="29" t="s">
        <v>13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-30000</v>
      </c>
      <c r="S240" s="6">
        <v>0</v>
      </c>
      <c r="T240" s="6"/>
      <c r="U240" s="40">
        <f t="shared" si="44"/>
        <v>0</v>
      </c>
      <c r="V240" s="6">
        <f t="shared" si="45"/>
        <v>0</v>
      </c>
    </row>
    <row r="241" spans="1:22" s="8" customFormat="1" ht="16" customHeight="1">
      <c r="A241" s="4" t="s">
        <v>1</v>
      </c>
      <c r="B241" s="25">
        <v>2023</v>
      </c>
      <c r="C241" s="26" t="s">
        <v>19</v>
      </c>
      <c r="D241" s="29" t="s">
        <v>165</v>
      </c>
      <c r="E241" s="28">
        <v>0</v>
      </c>
      <c r="F241" s="6">
        <v>0</v>
      </c>
      <c r="G241" s="17">
        <v>0</v>
      </c>
      <c r="H241" s="5" t="s">
        <v>0</v>
      </c>
      <c r="I241" s="1" t="s">
        <v>163</v>
      </c>
      <c r="J241" s="29" t="s">
        <v>13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/>
      <c r="U241" s="6">
        <f t="shared" si="44"/>
        <v>0</v>
      </c>
      <c r="V241" s="6">
        <f t="shared" si="45"/>
        <v>0</v>
      </c>
    </row>
    <row r="242" spans="1:22" s="8" customFormat="1" ht="16" customHeight="1">
      <c r="A242" s="4" t="s">
        <v>1</v>
      </c>
      <c r="B242" s="25">
        <v>2023</v>
      </c>
      <c r="C242" s="26" t="s">
        <v>19</v>
      </c>
      <c r="D242" s="67" t="s">
        <v>182</v>
      </c>
      <c r="E242" s="68">
        <v>68065254</v>
      </c>
      <c r="F242" s="6">
        <v>0</v>
      </c>
      <c r="G242" s="6">
        <v>0</v>
      </c>
      <c r="H242" s="5" t="s">
        <v>0</v>
      </c>
      <c r="I242" s="1" t="s">
        <v>103</v>
      </c>
      <c r="J242" s="29" t="s">
        <v>13</v>
      </c>
      <c r="K242" s="6">
        <v>0</v>
      </c>
      <c r="L242" s="6">
        <v>0</v>
      </c>
      <c r="M242" s="6">
        <v>-15415256</v>
      </c>
      <c r="N242" s="6">
        <v>0</v>
      </c>
      <c r="O242" s="6">
        <v>0</v>
      </c>
      <c r="P242" s="6">
        <v>0</v>
      </c>
      <c r="Q242" s="6">
        <v>0</v>
      </c>
      <c r="R242" s="6">
        <v>-52649998</v>
      </c>
      <c r="S242" s="6">
        <v>0</v>
      </c>
      <c r="T242" s="6"/>
      <c r="U242" s="40">
        <f t="shared" si="44"/>
        <v>0</v>
      </c>
      <c r="V242" s="6">
        <f t="shared" si="45"/>
        <v>0</v>
      </c>
    </row>
    <row r="243" spans="1:22" s="8" customFormat="1" ht="16" customHeight="1">
      <c r="A243" s="4" t="s">
        <v>1</v>
      </c>
      <c r="B243" s="25">
        <v>2024</v>
      </c>
      <c r="C243" s="26" t="s">
        <v>398</v>
      </c>
      <c r="D243" s="29" t="s">
        <v>374</v>
      </c>
      <c r="E243" s="3">
        <v>1000000</v>
      </c>
      <c r="F243" s="6">
        <v>0</v>
      </c>
      <c r="G243" s="6">
        <v>0</v>
      </c>
      <c r="H243" s="5" t="s">
        <v>0</v>
      </c>
      <c r="I243" s="29" t="s">
        <v>396</v>
      </c>
      <c r="J243" s="29" t="s">
        <v>13</v>
      </c>
      <c r="K243" s="3">
        <v>-1000000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/>
      <c r="U243" s="6">
        <f t="shared" si="44"/>
        <v>0</v>
      </c>
      <c r="V243" s="6">
        <f t="shared" si="45"/>
        <v>0</v>
      </c>
    </row>
    <row r="244" spans="1:22" s="8" customFormat="1" ht="16" customHeight="1">
      <c r="A244" s="4" t="s">
        <v>1</v>
      </c>
      <c r="B244" s="25">
        <v>2024</v>
      </c>
      <c r="C244" s="26" t="s">
        <v>356</v>
      </c>
      <c r="D244" s="29" t="s">
        <v>250</v>
      </c>
      <c r="E244" s="3">
        <v>59934100</v>
      </c>
      <c r="F244" s="6">
        <v>0</v>
      </c>
      <c r="G244" s="6">
        <v>0</v>
      </c>
      <c r="H244" s="5" t="s">
        <v>0</v>
      </c>
      <c r="I244" s="29" t="s">
        <v>246</v>
      </c>
      <c r="J244" s="29" t="s">
        <v>13</v>
      </c>
      <c r="K244" s="6">
        <v>0</v>
      </c>
      <c r="L244" s="6">
        <v>-59934100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/>
      <c r="U244" s="6">
        <f t="shared" si="44"/>
        <v>0</v>
      </c>
      <c r="V244" s="6">
        <f t="shared" si="45"/>
        <v>0</v>
      </c>
    </row>
    <row r="245" spans="1:22" s="8" customFormat="1" ht="16" customHeight="1">
      <c r="A245" s="4" t="s">
        <v>1</v>
      </c>
      <c r="B245" s="35">
        <v>2024</v>
      </c>
      <c r="C245" s="26" t="s">
        <v>367</v>
      </c>
      <c r="D245" s="29" t="s">
        <v>400</v>
      </c>
      <c r="E245" s="36">
        <v>13200000</v>
      </c>
      <c r="F245" s="6">
        <v>0</v>
      </c>
      <c r="G245" s="6">
        <v>0</v>
      </c>
      <c r="H245" s="5" t="s">
        <v>0</v>
      </c>
      <c r="I245" s="1" t="s">
        <v>399</v>
      </c>
      <c r="J245" s="29" t="s">
        <v>13</v>
      </c>
      <c r="K245" s="6">
        <v>0</v>
      </c>
      <c r="L245" s="6">
        <v>-13200000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/>
      <c r="U245" s="6">
        <f>E245+K245+L245+M245+N245+O245+P245+Q245+R245</f>
        <v>0</v>
      </c>
      <c r="V245" s="6">
        <f>G245+S245</f>
        <v>0</v>
      </c>
    </row>
    <row r="246" spans="1:22" s="8" customFormat="1" ht="16" customHeight="1">
      <c r="A246" s="4" t="s">
        <v>1</v>
      </c>
      <c r="B246" s="25">
        <v>2024</v>
      </c>
      <c r="C246" s="26" t="s">
        <v>356</v>
      </c>
      <c r="D246" s="29" t="s">
        <v>251</v>
      </c>
      <c r="E246" s="3">
        <v>361900</v>
      </c>
      <c r="F246" s="6">
        <v>0</v>
      </c>
      <c r="G246" s="6">
        <v>0</v>
      </c>
      <c r="H246" s="5" t="s">
        <v>0</v>
      </c>
      <c r="I246" s="29" t="s">
        <v>233</v>
      </c>
      <c r="J246" s="29" t="s">
        <v>13</v>
      </c>
      <c r="K246" s="6">
        <v>0</v>
      </c>
      <c r="L246" s="6">
        <v>-361900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/>
      <c r="U246" s="6">
        <f t="shared" si="44"/>
        <v>0</v>
      </c>
      <c r="V246" s="6">
        <f t="shared" si="45"/>
        <v>0</v>
      </c>
    </row>
    <row r="247" spans="1:22" s="8" customFormat="1" ht="16" customHeight="1">
      <c r="A247" s="4" t="s">
        <v>1</v>
      </c>
      <c r="B247" s="25">
        <v>2024</v>
      </c>
      <c r="C247" s="26" t="s">
        <v>356</v>
      </c>
      <c r="D247" s="29" t="s">
        <v>252</v>
      </c>
      <c r="E247" s="3">
        <v>2686000</v>
      </c>
      <c r="F247" s="6">
        <v>0</v>
      </c>
      <c r="G247" s="6">
        <v>0</v>
      </c>
      <c r="H247" s="5" t="s">
        <v>0</v>
      </c>
      <c r="I247" s="29" t="s">
        <v>244</v>
      </c>
      <c r="J247" s="29" t="s">
        <v>13</v>
      </c>
      <c r="K247" s="6">
        <v>0</v>
      </c>
      <c r="L247" s="3">
        <v>-2686000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/>
      <c r="U247" s="6">
        <f t="shared" si="44"/>
        <v>0</v>
      </c>
      <c r="V247" s="6">
        <f t="shared" si="45"/>
        <v>0</v>
      </c>
    </row>
    <row r="248" spans="1:22" s="8" customFormat="1" ht="16" customHeight="1">
      <c r="A248" s="4" t="s">
        <v>1</v>
      </c>
      <c r="B248" s="25">
        <v>2024</v>
      </c>
      <c r="C248" s="26" t="s">
        <v>356</v>
      </c>
      <c r="D248" s="29" t="s">
        <v>255</v>
      </c>
      <c r="E248" s="3">
        <v>21783750</v>
      </c>
      <c r="F248" s="6">
        <v>0</v>
      </c>
      <c r="G248" s="6">
        <v>0</v>
      </c>
      <c r="H248" s="5" t="s">
        <v>0</v>
      </c>
      <c r="I248" s="29" t="s">
        <v>245</v>
      </c>
      <c r="J248" s="29" t="s">
        <v>13</v>
      </c>
      <c r="K248" s="6">
        <v>0</v>
      </c>
      <c r="L248" s="3">
        <v>-21783750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/>
      <c r="U248" s="6">
        <f t="shared" si="44"/>
        <v>0</v>
      </c>
      <c r="V248" s="6">
        <f t="shared" si="45"/>
        <v>0</v>
      </c>
    </row>
    <row r="249" spans="1:22" s="8" customFormat="1" ht="16" customHeight="1">
      <c r="A249" s="4" t="s">
        <v>1</v>
      </c>
      <c r="B249" s="25">
        <v>2024</v>
      </c>
      <c r="C249" s="26" t="s">
        <v>356</v>
      </c>
      <c r="D249" s="29" t="s">
        <v>263</v>
      </c>
      <c r="E249" s="3">
        <v>1600000</v>
      </c>
      <c r="F249" s="6">
        <v>0</v>
      </c>
      <c r="G249" s="6">
        <v>0</v>
      </c>
      <c r="H249" s="5" t="s">
        <v>0</v>
      </c>
      <c r="I249" s="29" t="s">
        <v>245</v>
      </c>
      <c r="J249" s="29" t="s">
        <v>13</v>
      </c>
      <c r="K249" s="6">
        <v>0</v>
      </c>
      <c r="L249" s="3">
        <v>-1600000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/>
      <c r="U249" s="6">
        <f t="shared" si="44"/>
        <v>0</v>
      </c>
      <c r="V249" s="6">
        <f t="shared" si="45"/>
        <v>0</v>
      </c>
    </row>
    <row r="250" spans="1:22" s="8" customFormat="1" ht="16" customHeight="1">
      <c r="A250" s="4" t="s">
        <v>1</v>
      </c>
      <c r="B250" s="25">
        <v>2024</v>
      </c>
      <c r="C250" s="26" t="s">
        <v>356</v>
      </c>
      <c r="D250" s="29" t="s">
        <v>264</v>
      </c>
      <c r="E250" s="3">
        <v>50084580</v>
      </c>
      <c r="F250" s="6">
        <v>0</v>
      </c>
      <c r="G250" s="6">
        <v>0</v>
      </c>
      <c r="H250" s="5" t="s">
        <v>0</v>
      </c>
      <c r="I250" s="29" t="s">
        <v>245</v>
      </c>
      <c r="J250" s="29" t="s">
        <v>13</v>
      </c>
      <c r="K250" s="6">
        <v>0</v>
      </c>
      <c r="L250" s="3">
        <v>-50084580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/>
      <c r="U250" s="6">
        <f t="shared" si="44"/>
        <v>0</v>
      </c>
      <c r="V250" s="6">
        <f t="shared" si="45"/>
        <v>0</v>
      </c>
    </row>
    <row r="251" spans="1:22" s="8" customFormat="1" ht="16" customHeight="1">
      <c r="A251" s="4" t="s">
        <v>1</v>
      </c>
      <c r="B251" s="25">
        <v>2024</v>
      </c>
      <c r="C251" s="26" t="s">
        <v>356</v>
      </c>
      <c r="D251" s="29" t="s">
        <v>286</v>
      </c>
      <c r="E251" s="3">
        <v>2300000</v>
      </c>
      <c r="F251" s="6">
        <v>0</v>
      </c>
      <c r="G251" s="6">
        <v>0</v>
      </c>
      <c r="H251" s="5" t="s">
        <v>0</v>
      </c>
      <c r="I251" s="29" t="s">
        <v>244</v>
      </c>
      <c r="J251" s="29" t="s">
        <v>13</v>
      </c>
      <c r="K251" s="6">
        <v>0</v>
      </c>
      <c r="L251" s="3">
        <v>-2300000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/>
      <c r="U251" s="6">
        <f t="shared" si="44"/>
        <v>0</v>
      </c>
      <c r="V251" s="6">
        <f t="shared" si="45"/>
        <v>0</v>
      </c>
    </row>
    <row r="252" spans="1:22" s="8" customFormat="1" ht="16" customHeight="1">
      <c r="A252" s="4" t="s">
        <v>1</v>
      </c>
      <c r="B252" s="25">
        <v>2024</v>
      </c>
      <c r="C252" s="26" t="s">
        <v>356</v>
      </c>
      <c r="D252" s="29" t="s">
        <v>287</v>
      </c>
      <c r="E252" s="3">
        <v>15500000</v>
      </c>
      <c r="F252" s="6">
        <v>0</v>
      </c>
      <c r="G252" s="6">
        <v>0</v>
      </c>
      <c r="H252" s="5" t="s">
        <v>0</v>
      </c>
      <c r="I252" s="29" t="s">
        <v>245</v>
      </c>
      <c r="J252" s="29" t="s">
        <v>13</v>
      </c>
      <c r="K252" s="6">
        <v>0</v>
      </c>
      <c r="L252" s="6">
        <v>-15500000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/>
      <c r="U252" s="6">
        <f t="shared" si="44"/>
        <v>0</v>
      </c>
      <c r="V252" s="6">
        <f t="shared" si="45"/>
        <v>0</v>
      </c>
    </row>
    <row r="253" spans="1:22" s="8" customFormat="1" ht="16" customHeight="1">
      <c r="A253" s="4" t="s">
        <v>1</v>
      </c>
      <c r="B253" s="25">
        <v>2024</v>
      </c>
      <c r="C253" s="26" t="s">
        <v>356</v>
      </c>
      <c r="D253" s="1" t="s">
        <v>370</v>
      </c>
      <c r="E253" s="3">
        <v>15145000</v>
      </c>
      <c r="F253" s="6">
        <v>0</v>
      </c>
      <c r="G253" s="6">
        <v>0</v>
      </c>
      <c r="H253" s="5" t="s">
        <v>0</v>
      </c>
      <c r="I253" s="29" t="s">
        <v>376</v>
      </c>
      <c r="J253" s="29" t="s">
        <v>13</v>
      </c>
      <c r="K253" s="3">
        <v>0</v>
      </c>
      <c r="L253" s="6">
        <v>-15145000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/>
      <c r="U253" s="6">
        <f t="shared" si="44"/>
        <v>0</v>
      </c>
      <c r="V253" s="6">
        <f t="shared" si="45"/>
        <v>0</v>
      </c>
    </row>
    <row r="254" spans="1:22" s="8" customFormat="1" ht="16" customHeight="1">
      <c r="A254" s="4" t="s">
        <v>1</v>
      </c>
      <c r="B254" s="25">
        <v>2024</v>
      </c>
      <c r="C254" s="26" t="s">
        <v>357</v>
      </c>
      <c r="D254" s="29" t="s">
        <v>265</v>
      </c>
      <c r="E254" s="3">
        <v>8035098</v>
      </c>
      <c r="F254" s="6">
        <v>0</v>
      </c>
      <c r="G254" s="6">
        <v>0</v>
      </c>
      <c r="H254" s="5" t="s">
        <v>0</v>
      </c>
      <c r="I254" s="29" t="s">
        <v>230</v>
      </c>
      <c r="J254" s="29" t="s">
        <v>13</v>
      </c>
      <c r="K254" s="6">
        <v>0</v>
      </c>
      <c r="L254" s="6">
        <v>0</v>
      </c>
      <c r="M254" s="28">
        <v>-8035098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/>
      <c r="U254" s="6">
        <f t="shared" si="44"/>
        <v>0</v>
      </c>
      <c r="V254" s="6">
        <f t="shared" si="45"/>
        <v>0</v>
      </c>
    </row>
    <row r="255" spans="1:22" s="8" customFormat="1" ht="16" customHeight="1">
      <c r="A255" s="4" t="s">
        <v>1</v>
      </c>
      <c r="B255" s="25">
        <v>2024</v>
      </c>
      <c r="C255" s="26" t="s">
        <v>357</v>
      </c>
      <c r="D255" s="29" t="s">
        <v>266</v>
      </c>
      <c r="E255" s="3">
        <v>5662500</v>
      </c>
      <c r="F255" s="6">
        <v>0</v>
      </c>
      <c r="G255" s="6">
        <v>0</v>
      </c>
      <c r="H255" s="5" t="s">
        <v>0</v>
      </c>
      <c r="I255" s="29" t="s">
        <v>237</v>
      </c>
      <c r="J255" s="29" t="s">
        <v>13</v>
      </c>
      <c r="K255" s="6">
        <v>0</v>
      </c>
      <c r="L255" s="6">
        <v>0</v>
      </c>
      <c r="M255" s="6">
        <v>-5662500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/>
      <c r="U255" s="6">
        <f t="shared" si="44"/>
        <v>0</v>
      </c>
      <c r="V255" s="6">
        <f t="shared" si="45"/>
        <v>0</v>
      </c>
    </row>
    <row r="256" spans="1:22" s="8" customFormat="1" ht="16" customHeight="1">
      <c r="A256" s="4" t="s">
        <v>1</v>
      </c>
      <c r="B256" s="35">
        <v>2024</v>
      </c>
      <c r="C256" s="26" t="s">
        <v>357</v>
      </c>
      <c r="D256" s="29" t="s">
        <v>267</v>
      </c>
      <c r="E256" s="3">
        <v>1067000</v>
      </c>
      <c r="F256" s="6">
        <v>0</v>
      </c>
      <c r="G256" s="6">
        <v>0</v>
      </c>
      <c r="H256" s="5" t="s">
        <v>0</v>
      </c>
      <c r="I256" s="29" t="s">
        <v>233</v>
      </c>
      <c r="J256" s="29" t="s">
        <v>13</v>
      </c>
      <c r="K256" s="6">
        <v>0</v>
      </c>
      <c r="L256" s="6">
        <v>0</v>
      </c>
      <c r="M256" s="3">
        <v>-1067000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/>
      <c r="U256" s="6">
        <f t="shared" si="44"/>
        <v>0</v>
      </c>
      <c r="V256" s="6">
        <f t="shared" si="45"/>
        <v>0</v>
      </c>
    </row>
    <row r="257" spans="1:22" s="8" customFormat="1" ht="16" customHeight="1">
      <c r="A257" s="4" t="s">
        <v>1</v>
      </c>
      <c r="B257" s="35">
        <v>2024</v>
      </c>
      <c r="C257" s="26" t="s">
        <v>357</v>
      </c>
      <c r="D257" s="29" t="s">
        <v>268</v>
      </c>
      <c r="E257" s="3">
        <v>3355964</v>
      </c>
      <c r="F257" s="6">
        <v>0</v>
      </c>
      <c r="G257" s="6">
        <v>0</v>
      </c>
      <c r="H257" s="5" t="s">
        <v>0</v>
      </c>
      <c r="I257" s="29" t="s">
        <v>231</v>
      </c>
      <c r="J257" s="29" t="s">
        <v>13</v>
      </c>
      <c r="K257" s="6">
        <v>0</v>
      </c>
      <c r="L257" s="6">
        <v>0</v>
      </c>
      <c r="M257" s="28">
        <v>-3355964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/>
      <c r="U257" s="6">
        <f t="shared" si="44"/>
        <v>0</v>
      </c>
      <c r="V257" s="6">
        <f t="shared" si="45"/>
        <v>0</v>
      </c>
    </row>
    <row r="258" spans="1:22" s="8" customFormat="1" ht="16" customHeight="1">
      <c r="A258" s="4" t="s">
        <v>1</v>
      </c>
      <c r="B258" s="35">
        <v>2024</v>
      </c>
      <c r="C258" s="26" t="s">
        <v>357</v>
      </c>
      <c r="D258" s="29" t="s">
        <v>269</v>
      </c>
      <c r="E258" s="3">
        <v>2138888</v>
      </c>
      <c r="F258" s="6">
        <v>0</v>
      </c>
      <c r="G258" s="6">
        <v>0</v>
      </c>
      <c r="H258" s="5" t="s">
        <v>0</v>
      </c>
      <c r="I258" s="29" t="s">
        <v>233</v>
      </c>
      <c r="J258" s="29" t="s">
        <v>13</v>
      </c>
      <c r="K258" s="6">
        <v>0</v>
      </c>
      <c r="L258" s="6">
        <v>0</v>
      </c>
      <c r="M258" s="3">
        <v>-2138888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/>
      <c r="U258" s="6">
        <f t="shared" ref="U258:U316" si="46">E258+K258+L258+M258+N258+O258+P258+Q258+R258</f>
        <v>0</v>
      </c>
      <c r="V258" s="6">
        <f t="shared" si="45"/>
        <v>0</v>
      </c>
    </row>
    <row r="259" spans="1:22" s="8" customFormat="1" ht="16" customHeight="1">
      <c r="A259" s="4" t="s">
        <v>1</v>
      </c>
      <c r="B259" s="35">
        <v>2024</v>
      </c>
      <c r="C259" s="26" t="s">
        <v>357</v>
      </c>
      <c r="D259" s="29" t="s">
        <v>270</v>
      </c>
      <c r="E259" s="3">
        <v>5178800</v>
      </c>
      <c r="F259" s="6">
        <v>0</v>
      </c>
      <c r="G259" s="6">
        <v>0</v>
      </c>
      <c r="H259" s="5" t="s">
        <v>0</v>
      </c>
      <c r="I259" s="29" t="s">
        <v>226</v>
      </c>
      <c r="J259" s="29" t="s">
        <v>13</v>
      </c>
      <c r="K259" s="6">
        <v>0</v>
      </c>
      <c r="L259" s="6">
        <v>0</v>
      </c>
      <c r="M259" s="6">
        <v>-5178800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/>
      <c r="U259" s="6">
        <f t="shared" si="46"/>
        <v>0</v>
      </c>
      <c r="V259" s="6">
        <f t="shared" si="45"/>
        <v>0</v>
      </c>
    </row>
    <row r="260" spans="1:22" s="8" customFormat="1" ht="16" customHeight="1">
      <c r="A260" s="4" t="s">
        <v>1</v>
      </c>
      <c r="B260" s="35">
        <v>2024</v>
      </c>
      <c r="C260" s="26" t="s">
        <v>357</v>
      </c>
      <c r="D260" s="29" t="s">
        <v>271</v>
      </c>
      <c r="E260" s="3">
        <v>4901737</v>
      </c>
      <c r="F260" s="6">
        <v>0</v>
      </c>
      <c r="G260" s="6">
        <v>0</v>
      </c>
      <c r="H260" s="5" t="s">
        <v>0</v>
      </c>
      <c r="I260" s="29" t="s">
        <v>244</v>
      </c>
      <c r="J260" s="29" t="s">
        <v>13</v>
      </c>
      <c r="K260" s="6">
        <v>0</v>
      </c>
      <c r="L260" s="6">
        <v>0</v>
      </c>
      <c r="M260" s="28">
        <v>-4901737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/>
      <c r="U260" s="6">
        <f t="shared" si="46"/>
        <v>0</v>
      </c>
      <c r="V260" s="6">
        <f t="shared" si="45"/>
        <v>0</v>
      </c>
    </row>
    <row r="261" spans="1:22" s="8" customFormat="1" ht="16" customHeight="1">
      <c r="A261" s="4" t="s">
        <v>1</v>
      </c>
      <c r="B261" s="35">
        <v>2024</v>
      </c>
      <c r="C261" s="26" t="s">
        <v>357</v>
      </c>
      <c r="D261" s="29" t="s">
        <v>272</v>
      </c>
      <c r="E261" s="3">
        <v>4613332</v>
      </c>
      <c r="F261" s="6">
        <v>0</v>
      </c>
      <c r="G261" s="6">
        <v>0</v>
      </c>
      <c r="H261" s="5" t="s">
        <v>0</v>
      </c>
      <c r="I261" s="29" t="s">
        <v>244</v>
      </c>
      <c r="J261" s="29" t="s">
        <v>13</v>
      </c>
      <c r="K261" s="6">
        <v>0</v>
      </c>
      <c r="L261" s="6">
        <v>0</v>
      </c>
      <c r="M261" s="28">
        <v>-4613332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/>
      <c r="U261" s="6">
        <f t="shared" si="46"/>
        <v>0</v>
      </c>
      <c r="V261" s="6">
        <f t="shared" si="45"/>
        <v>0</v>
      </c>
    </row>
    <row r="262" spans="1:22" s="8" customFormat="1" ht="16" customHeight="1">
      <c r="A262" s="4" t="s">
        <v>1</v>
      </c>
      <c r="B262" s="35">
        <v>2024</v>
      </c>
      <c r="C262" s="26" t="s">
        <v>357</v>
      </c>
      <c r="D262" s="29" t="s">
        <v>273</v>
      </c>
      <c r="E262" s="3">
        <v>1021300</v>
      </c>
      <c r="F262" s="6">
        <v>0</v>
      </c>
      <c r="G262" s="6">
        <v>0</v>
      </c>
      <c r="H262" s="5" t="s">
        <v>0</v>
      </c>
      <c r="I262" s="29" t="s">
        <v>230</v>
      </c>
      <c r="J262" s="29" t="s">
        <v>13</v>
      </c>
      <c r="K262" s="6">
        <v>0</v>
      </c>
      <c r="L262" s="6">
        <v>0</v>
      </c>
      <c r="M262" s="6">
        <v>-1021300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/>
      <c r="U262" s="6">
        <f t="shared" si="46"/>
        <v>0</v>
      </c>
      <c r="V262" s="6">
        <f t="shared" si="45"/>
        <v>0</v>
      </c>
    </row>
    <row r="263" spans="1:22" s="8" customFormat="1" ht="16" customHeight="1">
      <c r="A263" s="4" t="s">
        <v>1</v>
      </c>
      <c r="B263" s="35">
        <v>2024</v>
      </c>
      <c r="C263" s="26" t="s">
        <v>357</v>
      </c>
      <c r="D263" s="29" t="s">
        <v>274</v>
      </c>
      <c r="E263" s="3">
        <v>2909066</v>
      </c>
      <c r="F263" s="6">
        <v>0</v>
      </c>
      <c r="G263" s="6">
        <v>0</v>
      </c>
      <c r="H263" s="5" t="s">
        <v>0</v>
      </c>
      <c r="I263" s="29" t="s">
        <v>233</v>
      </c>
      <c r="J263" s="29" t="s">
        <v>13</v>
      </c>
      <c r="K263" s="6">
        <v>0</v>
      </c>
      <c r="L263" s="6">
        <v>0</v>
      </c>
      <c r="M263" s="3">
        <v>-2909066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/>
      <c r="U263" s="6">
        <f t="shared" si="46"/>
        <v>0</v>
      </c>
      <c r="V263" s="6">
        <f t="shared" si="45"/>
        <v>0</v>
      </c>
    </row>
    <row r="264" spans="1:22" s="8" customFormat="1" ht="16" customHeight="1">
      <c r="A264" s="4" t="s">
        <v>1</v>
      </c>
      <c r="B264" s="25">
        <v>2024</v>
      </c>
      <c r="C264" s="26" t="s">
        <v>357</v>
      </c>
      <c r="D264" s="29" t="s">
        <v>275</v>
      </c>
      <c r="E264" s="3">
        <v>2755030</v>
      </c>
      <c r="F264" s="6">
        <v>0</v>
      </c>
      <c r="G264" s="6">
        <v>0</v>
      </c>
      <c r="H264" s="5" t="s">
        <v>0</v>
      </c>
      <c r="I264" s="29" t="s">
        <v>224</v>
      </c>
      <c r="J264" s="29" t="s">
        <v>13</v>
      </c>
      <c r="K264" s="6">
        <v>0</v>
      </c>
      <c r="L264" s="6">
        <v>0</v>
      </c>
      <c r="M264" s="6">
        <v>-2755030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/>
      <c r="U264" s="6">
        <f t="shared" si="46"/>
        <v>0</v>
      </c>
      <c r="V264" s="6">
        <f t="shared" si="45"/>
        <v>0</v>
      </c>
    </row>
    <row r="265" spans="1:22" s="8" customFormat="1" ht="16" customHeight="1">
      <c r="A265" s="4" t="s">
        <v>1</v>
      </c>
      <c r="B265" s="25">
        <v>2024</v>
      </c>
      <c r="C265" s="26" t="s">
        <v>357</v>
      </c>
      <c r="D265" s="29" t="s">
        <v>276</v>
      </c>
      <c r="E265" s="3">
        <v>4586171</v>
      </c>
      <c r="F265" s="6">
        <v>0</v>
      </c>
      <c r="G265" s="6">
        <v>0</v>
      </c>
      <c r="H265" s="5" t="s">
        <v>0</v>
      </c>
      <c r="I265" s="29" t="s">
        <v>237</v>
      </c>
      <c r="J265" s="29" t="s">
        <v>13</v>
      </c>
      <c r="K265" s="6">
        <v>0</v>
      </c>
      <c r="L265" s="6">
        <v>0</v>
      </c>
      <c r="M265" s="6">
        <v>-4586171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/>
      <c r="U265" s="6">
        <f t="shared" si="46"/>
        <v>0</v>
      </c>
      <c r="V265" s="6">
        <f t="shared" si="45"/>
        <v>0</v>
      </c>
    </row>
    <row r="266" spans="1:22" s="8" customFormat="1" ht="16" customHeight="1">
      <c r="A266" s="4" t="s">
        <v>1</v>
      </c>
      <c r="B266" s="25">
        <v>2024</v>
      </c>
      <c r="C266" s="26" t="s">
        <v>357</v>
      </c>
      <c r="D266" s="29" t="s">
        <v>277</v>
      </c>
      <c r="E266" s="3">
        <v>11360105</v>
      </c>
      <c r="F266" s="6">
        <v>0</v>
      </c>
      <c r="G266" s="6">
        <v>0</v>
      </c>
      <c r="H266" s="5" t="s">
        <v>0</v>
      </c>
      <c r="I266" s="29" t="s">
        <v>234</v>
      </c>
      <c r="J266" s="29" t="s">
        <v>13</v>
      </c>
      <c r="K266" s="6">
        <v>0</v>
      </c>
      <c r="L266" s="6">
        <v>0</v>
      </c>
      <c r="M266" s="6">
        <v>-11360105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/>
      <c r="U266" s="6">
        <f t="shared" si="46"/>
        <v>0</v>
      </c>
      <c r="V266" s="6">
        <f t="shared" si="45"/>
        <v>0</v>
      </c>
    </row>
    <row r="267" spans="1:22" s="8" customFormat="1" ht="16" customHeight="1">
      <c r="A267" s="4" t="s">
        <v>1</v>
      </c>
      <c r="B267" s="25">
        <v>2024</v>
      </c>
      <c r="C267" s="26" t="s">
        <v>357</v>
      </c>
      <c r="D267" s="29" t="s">
        <v>278</v>
      </c>
      <c r="E267" s="3">
        <v>3019900</v>
      </c>
      <c r="F267" s="6">
        <v>0</v>
      </c>
      <c r="G267" s="6">
        <v>0</v>
      </c>
      <c r="H267" s="5" t="s">
        <v>0</v>
      </c>
      <c r="I267" s="29" t="s">
        <v>233</v>
      </c>
      <c r="J267" s="29" t="s">
        <v>13</v>
      </c>
      <c r="K267" s="6">
        <v>0</v>
      </c>
      <c r="L267" s="6">
        <v>0</v>
      </c>
      <c r="M267" s="3">
        <v>-3019900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/>
      <c r="U267" s="6">
        <f t="shared" si="46"/>
        <v>0</v>
      </c>
      <c r="V267" s="6">
        <f t="shared" si="45"/>
        <v>0</v>
      </c>
    </row>
    <row r="268" spans="1:22" s="8" customFormat="1" ht="16" customHeight="1">
      <c r="A268" s="4" t="s">
        <v>1</v>
      </c>
      <c r="B268" s="25">
        <v>2024</v>
      </c>
      <c r="C268" s="26" t="s">
        <v>357</v>
      </c>
      <c r="D268" s="29" t="s">
        <v>279</v>
      </c>
      <c r="E268" s="3">
        <v>2597500</v>
      </c>
      <c r="F268" s="6">
        <v>0</v>
      </c>
      <c r="G268" s="6">
        <v>0</v>
      </c>
      <c r="H268" s="5" t="s">
        <v>0</v>
      </c>
      <c r="I268" s="29" t="s">
        <v>244</v>
      </c>
      <c r="J268" s="29" t="s">
        <v>13</v>
      </c>
      <c r="K268" s="6">
        <v>0</v>
      </c>
      <c r="L268" s="6">
        <v>0</v>
      </c>
      <c r="M268" s="28">
        <v>-2597500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/>
      <c r="U268" s="6">
        <f t="shared" si="46"/>
        <v>0</v>
      </c>
      <c r="V268" s="6">
        <f t="shared" si="45"/>
        <v>0</v>
      </c>
    </row>
    <row r="269" spans="1:22" s="8" customFormat="1" ht="16" customHeight="1">
      <c r="A269" s="4" t="s">
        <v>1</v>
      </c>
      <c r="B269" s="25">
        <v>2024</v>
      </c>
      <c r="C269" s="26" t="s">
        <v>357</v>
      </c>
      <c r="D269" s="29" t="s">
        <v>281</v>
      </c>
      <c r="E269" s="3">
        <v>2095985</v>
      </c>
      <c r="F269" s="6">
        <v>0</v>
      </c>
      <c r="G269" s="6">
        <v>0</v>
      </c>
      <c r="H269" s="5" t="s">
        <v>0</v>
      </c>
      <c r="I269" s="29" t="s">
        <v>244</v>
      </c>
      <c r="J269" s="29" t="s">
        <v>13</v>
      </c>
      <c r="K269" s="6">
        <v>0</v>
      </c>
      <c r="L269" s="6">
        <v>0</v>
      </c>
      <c r="M269" s="28">
        <v>-2095985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/>
      <c r="U269" s="6">
        <f t="shared" si="46"/>
        <v>0</v>
      </c>
      <c r="V269" s="6">
        <f t="shared" si="45"/>
        <v>0</v>
      </c>
    </row>
    <row r="270" spans="1:22" s="8" customFormat="1" ht="16" customHeight="1">
      <c r="A270" s="4" t="s">
        <v>1</v>
      </c>
      <c r="B270" s="25">
        <v>2024</v>
      </c>
      <c r="C270" s="26" t="s">
        <v>357</v>
      </c>
      <c r="D270" s="29" t="s">
        <v>293</v>
      </c>
      <c r="E270" s="3">
        <v>1340000</v>
      </c>
      <c r="F270" s="6">
        <v>0</v>
      </c>
      <c r="G270" s="6">
        <v>0</v>
      </c>
      <c r="H270" s="5" t="s">
        <v>0</v>
      </c>
      <c r="I270" s="29" t="s">
        <v>376</v>
      </c>
      <c r="J270" s="29" t="s">
        <v>13</v>
      </c>
      <c r="K270" s="3">
        <v>0</v>
      </c>
      <c r="L270" s="6">
        <v>0</v>
      </c>
      <c r="M270" s="3">
        <v>-1340000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/>
      <c r="U270" s="6">
        <f t="shared" si="46"/>
        <v>0</v>
      </c>
      <c r="V270" s="6">
        <f t="shared" si="45"/>
        <v>0</v>
      </c>
    </row>
    <row r="271" spans="1:22" s="8" customFormat="1" ht="16" customHeight="1">
      <c r="A271" s="4" t="s">
        <v>1</v>
      </c>
      <c r="B271" s="25">
        <v>2024</v>
      </c>
      <c r="C271" s="26" t="s">
        <v>357</v>
      </c>
      <c r="D271" s="29" t="s">
        <v>294</v>
      </c>
      <c r="E271" s="3">
        <v>2084000</v>
      </c>
      <c r="F271" s="6">
        <v>0</v>
      </c>
      <c r="G271" s="6">
        <v>0</v>
      </c>
      <c r="H271" s="5" t="s">
        <v>0</v>
      </c>
      <c r="I271" s="29" t="s">
        <v>376</v>
      </c>
      <c r="J271" s="29" t="s">
        <v>13</v>
      </c>
      <c r="K271" s="3">
        <v>0</v>
      </c>
      <c r="L271" s="6">
        <v>0</v>
      </c>
      <c r="M271" s="3">
        <v>-2084000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/>
      <c r="U271" s="6">
        <f t="shared" si="46"/>
        <v>0</v>
      </c>
      <c r="V271" s="6">
        <f t="shared" si="45"/>
        <v>0</v>
      </c>
    </row>
    <row r="272" spans="1:22" s="8" customFormat="1" ht="16" customHeight="1">
      <c r="A272" s="4" t="s">
        <v>1</v>
      </c>
      <c r="B272" s="35">
        <v>2024</v>
      </c>
      <c r="C272" s="26" t="s">
        <v>358</v>
      </c>
      <c r="D272" s="29" t="s">
        <v>282</v>
      </c>
      <c r="E272" s="3">
        <v>1500000</v>
      </c>
      <c r="F272" s="6">
        <v>0</v>
      </c>
      <c r="G272" s="6">
        <v>0</v>
      </c>
      <c r="H272" s="5" t="s">
        <v>0</v>
      </c>
      <c r="I272" s="29" t="s">
        <v>245</v>
      </c>
      <c r="J272" s="29" t="s">
        <v>13</v>
      </c>
      <c r="K272" s="6">
        <v>0</v>
      </c>
      <c r="L272" s="6">
        <v>0</v>
      </c>
      <c r="M272" s="6">
        <v>0</v>
      </c>
      <c r="N272" s="6">
        <v>0</v>
      </c>
      <c r="O272" s="6">
        <v>-1500000</v>
      </c>
      <c r="P272" s="6">
        <v>0</v>
      </c>
      <c r="Q272" s="6">
        <v>0</v>
      </c>
      <c r="R272" s="6">
        <v>0</v>
      </c>
      <c r="S272" s="6">
        <v>0</v>
      </c>
      <c r="T272" s="6"/>
      <c r="U272" s="6">
        <f t="shared" si="46"/>
        <v>0</v>
      </c>
      <c r="V272" s="6">
        <f t="shared" si="45"/>
        <v>0</v>
      </c>
    </row>
    <row r="273" spans="1:22" s="8" customFormat="1" ht="16" customHeight="1">
      <c r="A273" s="4" t="s">
        <v>1</v>
      </c>
      <c r="B273" s="35">
        <v>2024</v>
      </c>
      <c r="C273" s="26" t="s">
        <v>359</v>
      </c>
      <c r="D273" s="29" t="s">
        <v>243</v>
      </c>
      <c r="E273" s="3">
        <v>31000</v>
      </c>
      <c r="F273" s="6">
        <v>0</v>
      </c>
      <c r="G273" s="6">
        <v>0</v>
      </c>
      <c r="H273" s="5" t="s">
        <v>0</v>
      </c>
      <c r="I273" s="29" t="s">
        <v>236</v>
      </c>
      <c r="J273" s="29" t="s">
        <v>13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3">
        <v>-31000</v>
      </c>
      <c r="R273" s="6">
        <v>0</v>
      </c>
      <c r="S273" s="6">
        <v>0</v>
      </c>
      <c r="T273" s="6"/>
      <c r="U273" s="6">
        <f t="shared" si="46"/>
        <v>0</v>
      </c>
      <c r="V273" s="6">
        <f t="shared" si="45"/>
        <v>0</v>
      </c>
    </row>
    <row r="274" spans="1:22" s="8" customFormat="1" ht="16" customHeight="1">
      <c r="A274" s="4" t="s">
        <v>1</v>
      </c>
      <c r="B274" s="35">
        <v>2024</v>
      </c>
      <c r="C274" s="26" t="s">
        <v>359</v>
      </c>
      <c r="D274" s="29" t="s">
        <v>283</v>
      </c>
      <c r="E274" s="3">
        <v>19000</v>
      </c>
      <c r="F274" s="6">
        <v>0</v>
      </c>
      <c r="G274" s="6">
        <v>0</v>
      </c>
      <c r="H274" s="5" t="s">
        <v>0</v>
      </c>
      <c r="I274" s="29" t="s">
        <v>236</v>
      </c>
      <c r="J274" s="29" t="s">
        <v>13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3">
        <v>-19000</v>
      </c>
      <c r="R274" s="6">
        <v>0</v>
      </c>
      <c r="S274" s="6">
        <v>0</v>
      </c>
      <c r="T274" s="6"/>
      <c r="U274" s="6">
        <f t="shared" si="46"/>
        <v>0</v>
      </c>
      <c r="V274" s="6">
        <f t="shared" si="45"/>
        <v>0</v>
      </c>
    </row>
    <row r="275" spans="1:22" s="8" customFormat="1" ht="16" customHeight="1">
      <c r="A275" s="4" t="s">
        <v>1</v>
      </c>
      <c r="B275" s="35">
        <v>2024</v>
      </c>
      <c r="C275" s="26" t="s">
        <v>359</v>
      </c>
      <c r="D275" s="29" t="s">
        <v>242</v>
      </c>
      <c r="E275" s="3">
        <v>27000</v>
      </c>
      <c r="F275" s="6">
        <v>0</v>
      </c>
      <c r="G275" s="6">
        <v>0</v>
      </c>
      <c r="H275" s="5" t="s">
        <v>0</v>
      </c>
      <c r="I275" s="29" t="s">
        <v>236</v>
      </c>
      <c r="J275" s="29" t="s">
        <v>13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3">
        <v>-27000</v>
      </c>
      <c r="R275" s="6">
        <v>0</v>
      </c>
      <c r="S275" s="6">
        <v>0</v>
      </c>
      <c r="T275" s="6"/>
      <c r="U275" s="6">
        <f t="shared" si="46"/>
        <v>0</v>
      </c>
      <c r="V275" s="6">
        <f t="shared" si="45"/>
        <v>0</v>
      </c>
    </row>
    <row r="276" spans="1:22" s="8" customFormat="1" ht="16" customHeight="1">
      <c r="A276" s="4" t="s">
        <v>1</v>
      </c>
      <c r="B276" s="35">
        <v>2024</v>
      </c>
      <c r="C276" s="26" t="s">
        <v>359</v>
      </c>
      <c r="D276" s="29" t="s">
        <v>284</v>
      </c>
      <c r="E276" s="3">
        <v>175000</v>
      </c>
      <c r="F276" s="6">
        <v>0</v>
      </c>
      <c r="G276" s="6">
        <v>0</v>
      </c>
      <c r="H276" s="5" t="s">
        <v>0</v>
      </c>
      <c r="I276" s="29" t="s">
        <v>236</v>
      </c>
      <c r="J276" s="29" t="s">
        <v>13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3">
        <v>-175000</v>
      </c>
      <c r="R276" s="6">
        <v>0</v>
      </c>
      <c r="S276" s="6">
        <v>0</v>
      </c>
      <c r="T276" s="6"/>
      <c r="U276" s="6">
        <f t="shared" si="46"/>
        <v>0</v>
      </c>
      <c r="V276" s="6">
        <f t="shared" si="45"/>
        <v>0</v>
      </c>
    </row>
    <row r="277" spans="1:22" s="8" customFormat="1" ht="16" customHeight="1">
      <c r="A277" s="4" t="s">
        <v>1</v>
      </c>
      <c r="B277" s="35">
        <v>2024</v>
      </c>
      <c r="C277" s="26" t="s">
        <v>359</v>
      </c>
      <c r="D277" s="29" t="s">
        <v>285</v>
      </c>
      <c r="E277" s="3">
        <v>80000</v>
      </c>
      <c r="F277" s="6">
        <v>0</v>
      </c>
      <c r="G277" s="6">
        <v>0</v>
      </c>
      <c r="H277" s="5" t="s">
        <v>0</v>
      </c>
      <c r="I277" s="29" t="s">
        <v>236</v>
      </c>
      <c r="J277" s="29" t="s">
        <v>13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3">
        <v>-80000</v>
      </c>
      <c r="R277" s="6">
        <v>0</v>
      </c>
      <c r="S277" s="6">
        <v>0</v>
      </c>
      <c r="T277" s="6"/>
      <c r="U277" s="6">
        <f t="shared" si="46"/>
        <v>0</v>
      </c>
      <c r="V277" s="6">
        <f t="shared" si="45"/>
        <v>0</v>
      </c>
    </row>
    <row r="278" spans="1:22" s="8" customFormat="1" ht="16" customHeight="1">
      <c r="A278" s="4" t="s">
        <v>1</v>
      </c>
      <c r="B278" s="35">
        <v>2024</v>
      </c>
      <c r="C278" s="26" t="s">
        <v>359</v>
      </c>
      <c r="D278" s="29" t="s">
        <v>292</v>
      </c>
      <c r="E278" s="3">
        <v>2180000</v>
      </c>
      <c r="F278" s="6">
        <v>0</v>
      </c>
      <c r="G278" s="6">
        <v>0</v>
      </c>
      <c r="H278" s="5" t="s">
        <v>0</v>
      </c>
      <c r="I278" s="29" t="s">
        <v>402</v>
      </c>
      <c r="J278" s="29" t="s">
        <v>13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-2180000</v>
      </c>
      <c r="R278" s="6">
        <v>0</v>
      </c>
      <c r="S278" s="6">
        <v>0</v>
      </c>
      <c r="T278" s="6"/>
      <c r="U278" s="6">
        <f t="shared" ref="U278" si="47">E278+K278+L278+M278+N278+O278+P278+Q278+R278</f>
        <v>0</v>
      </c>
      <c r="V278" s="6">
        <f t="shared" ref="V278" si="48">G278+S278</f>
        <v>0</v>
      </c>
    </row>
    <row r="279" spans="1:22" s="8" customFormat="1" ht="16" customHeight="1">
      <c r="A279" s="4" t="s">
        <v>1</v>
      </c>
      <c r="B279" s="35">
        <v>2024</v>
      </c>
      <c r="C279" s="26" t="s">
        <v>403</v>
      </c>
      <c r="D279" s="29" t="s">
        <v>378</v>
      </c>
      <c r="E279" s="3">
        <v>551000</v>
      </c>
      <c r="F279" s="6">
        <v>0</v>
      </c>
      <c r="G279" s="6">
        <v>0</v>
      </c>
      <c r="H279" s="5" t="s">
        <v>0</v>
      </c>
      <c r="I279" s="29" t="s">
        <v>376</v>
      </c>
      <c r="J279" s="29" t="s">
        <v>13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-551000</v>
      </c>
      <c r="S279" s="6">
        <v>0</v>
      </c>
      <c r="T279" s="6"/>
      <c r="U279" s="6">
        <f t="shared" ref="U279" si="49">E279+K279+L279+M279+N279+O279+P279+Q279+R279</f>
        <v>0</v>
      </c>
      <c r="V279" s="6">
        <f t="shared" ref="V279" si="50">G279+S279</f>
        <v>0</v>
      </c>
    </row>
    <row r="280" spans="1:22" s="8" customFormat="1" ht="16" customHeight="1">
      <c r="A280" s="4" t="s">
        <v>1</v>
      </c>
      <c r="B280" s="35">
        <v>2024</v>
      </c>
      <c r="C280" s="26" t="s">
        <v>403</v>
      </c>
      <c r="D280" s="29" t="s">
        <v>379</v>
      </c>
      <c r="E280" s="3">
        <v>194000</v>
      </c>
      <c r="F280" s="6">
        <v>0</v>
      </c>
      <c r="G280" s="6">
        <v>0</v>
      </c>
      <c r="H280" s="5" t="s">
        <v>0</v>
      </c>
      <c r="I280" s="29" t="s">
        <v>376</v>
      </c>
      <c r="J280" s="29" t="s">
        <v>13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-194000</v>
      </c>
      <c r="S280" s="6">
        <v>0</v>
      </c>
      <c r="T280" s="6"/>
      <c r="U280" s="6">
        <f t="shared" ref="U280:U296" si="51">E280+K280+L280+M280+N280+O280+P280+Q280+R280</f>
        <v>0</v>
      </c>
      <c r="V280" s="6">
        <f t="shared" ref="V280:V296" si="52">G280+S280</f>
        <v>0</v>
      </c>
    </row>
    <row r="281" spans="1:22" s="8" customFormat="1" ht="16" customHeight="1">
      <c r="A281" s="4" t="s">
        <v>1</v>
      </c>
      <c r="B281" s="35">
        <v>2024</v>
      </c>
      <c r="C281" s="26" t="s">
        <v>403</v>
      </c>
      <c r="D281" s="29" t="s">
        <v>380</v>
      </c>
      <c r="E281" s="3">
        <v>97000</v>
      </c>
      <c r="F281" s="6">
        <v>0</v>
      </c>
      <c r="G281" s="6">
        <v>0</v>
      </c>
      <c r="H281" s="5" t="s">
        <v>0</v>
      </c>
      <c r="I281" s="29" t="s">
        <v>376</v>
      </c>
      <c r="J281" s="29" t="s">
        <v>13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-97000</v>
      </c>
      <c r="S281" s="6">
        <v>0</v>
      </c>
      <c r="T281" s="6"/>
      <c r="U281" s="6">
        <f t="shared" si="51"/>
        <v>0</v>
      </c>
      <c r="V281" s="6">
        <f t="shared" si="52"/>
        <v>0</v>
      </c>
    </row>
    <row r="282" spans="1:22" s="8" customFormat="1" ht="16" customHeight="1">
      <c r="A282" s="4" t="s">
        <v>1</v>
      </c>
      <c r="B282" s="35">
        <v>2024</v>
      </c>
      <c r="C282" s="26" t="s">
        <v>403</v>
      </c>
      <c r="D282" s="29" t="s">
        <v>381</v>
      </c>
      <c r="E282" s="3">
        <v>196000</v>
      </c>
      <c r="F282" s="6">
        <v>0</v>
      </c>
      <c r="G282" s="6">
        <v>0</v>
      </c>
      <c r="H282" s="5" t="s">
        <v>0</v>
      </c>
      <c r="I282" s="29" t="s">
        <v>376</v>
      </c>
      <c r="J282" s="29" t="s">
        <v>13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-196000</v>
      </c>
      <c r="S282" s="6">
        <v>0</v>
      </c>
      <c r="T282" s="6"/>
      <c r="U282" s="6">
        <f t="shared" si="51"/>
        <v>0</v>
      </c>
      <c r="V282" s="6">
        <f t="shared" si="52"/>
        <v>0</v>
      </c>
    </row>
    <row r="283" spans="1:22" s="8" customFormat="1" ht="16" customHeight="1">
      <c r="A283" s="4" t="s">
        <v>1</v>
      </c>
      <c r="B283" s="35">
        <v>2024</v>
      </c>
      <c r="C283" s="26" t="s">
        <v>403</v>
      </c>
      <c r="D283" s="29" t="s">
        <v>382</v>
      </c>
      <c r="E283" s="3">
        <v>14990</v>
      </c>
      <c r="F283" s="6">
        <v>0</v>
      </c>
      <c r="G283" s="6">
        <v>0</v>
      </c>
      <c r="H283" s="5" t="s">
        <v>0</v>
      </c>
      <c r="I283" s="29" t="s">
        <v>376</v>
      </c>
      <c r="J283" s="29" t="s">
        <v>13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-14990</v>
      </c>
      <c r="S283" s="6">
        <v>0</v>
      </c>
      <c r="T283" s="6"/>
      <c r="U283" s="6">
        <f t="shared" ref="U283:U290" si="53">E283+K283+L283+M283+N283+O283+P283+Q283+R283</f>
        <v>0</v>
      </c>
      <c r="V283" s="6">
        <f t="shared" ref="V283:V290" si="54">G283+S283</f>
        <v>0</v>
      </c>
    </row>
    <row r="284" spans="1:22" s="8" customFormat="1" ht="16" customHeight="1">
      <c r="A284" s="4" t="s">
        <v>1</v>
      </c>
      <c r="B284" s="35">
        <v>2024</v>
      </c>
      <c r="C284" s="26" t="s">
        <v>403</v>
      </c>
      <c r="D284" s="29" t="s">
        <v>383</v>
      </c>
      <c r="E284" s="3">
        <v>60000</v>
      </c>
      <c r="F284" s="6">
        <v>0</v>
      </c>
      <c r="G284" s="6">
        <v>0</v>
      </c>
      <c r="H284" s="5" t="s">
        <v>0</v>
      </c>
      <c r="I284" s="29" t="s">
        <v>376</v>
      </c>
      <c r="J284" s="29" t="s">
        <v>13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-60000</v>
      </c>
      <c r="S284" s="6">
        <v>0</v>
      </c>
      <c r="T284" s="6"/>
      <c r="U284" s="6">
        <f t="shared" si="53"/>
        <v>0</v>
      </c>
      <c r="V284" s="6">
        <f t="shared" si="54"/>
        <v>0</v>
      </c>
    </row>
    <row r="285" spans="1:22" s="8" customFormat="1" ht="16" customHeight="1">
      <c r="A285" s="4" t="s">
        <v>1</v>
      </c>
      <c r="B285" s="35">
        <v>2024</v>
      </c>
      <c r="C285" s="26" t="s">
        <v>403</v>
      </c>
      <c r="D285" s="29" t="s">
        <v>384</v>
      </c>
      <c r="E285" s="3">
        <v>400000</v>
      </c>
      <c r="F285" s="6">
        <v>0</v>
      </c>
      <c r="G285" s="6">
        <v>0</v>
      </c>
      <c r="H285" s="5" t="s">
        <v>0</v>
      </c>
      <c r="I285" s="29" t="s">
        <v>376</v>
      </c>
      <c r="J285" s="29" t="s">
        <v>13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-400000</v>
      </c>
      <c r="S285" s="6">
        <v>0</v>
      </c>
      <c r="T285" s="6"/>
      <c r="U285" s="6">
        <f t="shared" si="53"/>
        <v>0</v>
      </c>
      <c r="V285" s="6">
        <f t="shared" si="54"/>
        <v>0</v>
      </c>
    </row>
    <row r="286" spans="1:22" s="8" customFormat="1" ht="16" customHeight="1">
      <c r="A286" s="4" t="s">
        <v>1</v>
      </c>
      <c r="B286" s="35">
        <v>2024</v>
      </c>
      <c r="C286" s="26" t="s">
        <v>403</v>
      </c>
      <c r="D286" s="29" t="s">
        <v>385</v>
      </c>
      <c r="E286" s="3">
        <v>79500</v>
      </c>
      <c r="F286" s="6">
        <v>0</v>
      </c>
      <c r="G286" s="6">
        <v>0</v>
      </c>
      <c r="H286" s="5" t="s">
        <v>0</v>
      </c>
      <c r="I286" s="29" t="s">
        <v>376</v>
      </c>
      <c r="J286" s="29" t="s">
        <v>13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-79500</v>
      </c>
      <c r="S286" s="6">
        <v>0</v>
      </c>
      <c r="T286" s="6"/>
      <c r="U286" s="6">
        <f t="shared" si="53"/>
        <v>0</v>
      </c>
      <c r="V286" s="6">
        <f t="shared" si="54"/>
        <v>0</v>
      </c>
    </row>
    <row r="287" spans="1:22" s="8" customFormat="1" ht="16" customHeight="1">
      <c r="A287" s="4" t="s">
        <v>1</v>
      </c>
      <c r="B287" s="35">
        <v>2024</v>
      </c>
      <c r="C287" s="26" t="s">
        <v>403</v>
      </c>
      <c r="D287" s="29" t="s">
        <v>386</v>
      </c>
      <c r="E287" s="3">
        <v>150000</v>
      </c>
      <c r="F287" s="6">
        <v>0</v>
      </c>
      <c r="G287" s="6">
        <v>0</v>
      </c>
      <c r="H287" s="5" t="s">
        <v>0</v>
      </c>
      <c r="I287" s="29" t="s">
        <v>376</v>
      </c>
      <c r="J287" s="29" t="s">
        <v>13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-150000</v>
      </c>
      <c r="S287" s="6">
        <v>0</v>
      </c>
      <c r="T287" s="6"/>
      <c r="U287" s="6">
        <f t="shared" si="53"/>
        <v>0</v>
      </c>
      <c r="V287" s="6">
        <f t="shared" si="54"/>
        <v>0</v>
      </c>
    </row>
    <row r="288" spans="1:22" s="8" customFormat="1" ht="16" customHeight="1">
      <c r="A288" s="4" t="s">
        <v>1</v>
      </c>
      <c r="B288" s="35">
        <v>2024</v>
      </c>
      <c r="C288" s="26" t="s">
        <v>403</v>
      </c>
      <c r="D288" s="29" t="s">
        <v>387</v>
      </c>
      <c r="E288" s="3">
        <v>150000</v>
      </c>
      <c r="F288" s="6">
        <v>0</v>
      </c>
      <c r="G288" s="6">
        <v>0</v>
      </c>
      <c r="H288" s="5" t="s">
        <v>0</v>
      </c>
      <c r="I288" s="29" t="s">
        <v>376</v>
      </c>
      <c r="J288" s="29" t="s">
        <v>13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-150000</v>
      </c>
      <c r="S288" s="6">
        <v>0</v>
      </c>
      <c r="T288" s="6"/>
      <c r="U288" s="6">
        <f t="shared" si="53"/>
        <v>0</v>
      </c>
      <c r="V288" s="6">
        <f t="shared" si="54"/>
        <v>0</v>
      </c>
    </row>
    <row r="289" spans="1:22" s="8" customFormat="1" ht="16" customHeight="1">
      <c r="A289" s="4" t="s">
        <v>1</v>
      </c>
      <c r="B289" s="35">
        <v>2024</v>
      </c>
      <c r="C289" s="26" t="s">
        <v>403</v>
      </c>
      <c r="D289" s="29" t="s">
        <v>388</v>
      </c>
      <c r="E289" s="3">
        <v>150000</v>
      </c>
      <c r="F289" s="6">
        <v>0</v>
      </c>
      <c r="G289" s="6">
        <v>0</v>
      </c>
      <c r="H289" s="5" t="s">
        <v>0</v>
      </c>
      <c r="I289" s="29" t="s">
        <v>376</v>
      </c>
      <c r="J289" s="29" t="s">
        <v>13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-150000</v>
      </c>
      <c r="S289" s="6">
        <v>0</v>
      </c>
      <c r="T289" s="6"/>
      <c r="U289" s="6">
        <f t="shared" si="53"/>
        <v>0</v>
      </c>
      <c r="V289" s="6">
        <f t="shared" si="54"/>
        <v>0</v>
      </c>
    </row>
    <row r="290" spans="1:22" s="8" customFormat="1" ht="16" customHeight="1">
      <c r="A290" s="4" t="s">
        <v>1</v>
      </c>
      <c r="B290" s="35">
        <v>2024</v>
      </c>
      <c r="C290" s="26" t="s">
        <v>403</v>
      </c>
      <c r="D290" s="29" t="s">
        <v>389</v>
      </c>
      <c r="E290" s="3">
        <v>150000</v>
      </c>
      <c r="F290" s="6">
        <v>0</v>
      </c>
      <c r="G290" s="6">
        <v>0</v>
      </c>
      <c r="H290" s="5" t="s">
        <v>0</v>
      </c>
      <c r="I290" s="29" t="s">
        <v>376</v>
      </c>
      <c r="J290" s="29" t="s">
        <v>13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-150000</v>
      </c>
      <c r="S290" s="6">
        <v>0</v>
      </c>
      <c r="T290" s="6"/>
      <c r="U290" s="6">
        <f t="shared" si="53"/>
        <v>0</v>
      </c>
      <c r="V290" s="6">
        <f t="shared" si="54"/>
        <v>0</v>
      </c>
    </row>
    <row r="291" spans="1:22" s="8" customFormat="1" ht="16" customHeight="1">
      <c r="A291" s="4" t="s">
        <v>1</v>
      </c>
      <c r="B291" s="35">
        <v>2024</v>
      </c>
      <c r="C291" s="26" t="s">
        <v>403</v>
      </c>
      <c r="D291" s="29" t="s">
        <v>390</v>
      </c>
      <c r="E291" s="3">
        <v>150000</v>
      </c>
      <c r="F291" s="6">
        <v>0</v>
      </c>
      <c r="G291" s="6">
        <v>0</v>
      </c>
      <c r="H291" s="5" t="s">
        <v>0</v>
      </c>
      <c r="I291" s="29" t="s">
        <v>376</v>
      </c>
      <c r="J291" s="29" t="s">
        <v>13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-150000</v>
      </c>
      <c r="S291" s="6">
        <v>0</v>
      </c>
      <c r="T291" s="6"/>
      <c r="U291" s="6">
        <f t="shared" si="51"/>
        <v>0</v>
      </c>
      <c r="V291" s="6">
        <f t="shared" si="52"/>
        <v>0</v>
      </c>
    </row>
    <row r="292" spans="1:22" s="8" customFormat="1" ht="16" customHeight="1">
      <c r="A292" s="4" t="s">
        <v>1</v>
      </c>
      <c r="B292" s="35">
        <v>2024</v>
      </c>
      <c r="C292" s="26" t="s">
        <v>403</v>
      </c>
      <c r="D292" s="29" t="s">
        <v>391</v>
      </c>
      <c r="E292" s="3">
        <v>150000</v>
      </c>
      <c r="F292" s="6">
        <v>0</v>
      </c>
      <c r="G292" s="6">
        <v>0</v>
      </c>
      <c r="H292" s="5" t="s">
        <v>0</v>
      </c>
      <c r="I292" s="29" t="s">
        <v>376</v>
      </c>
      <c r="J292" s="29" t="s">
        <v>13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-150000</v>
      </c>
      <c r="S292" s="6">
        <v>0</v>
      </c>
      <c r="T292" s="6"/>
      <c r="U292" s="6">
        <f t="shared" si="51"/>
        <v>0</v>
      </c>
      <c r="V292" s="6">
        <f t="shared" si="52"/>
        <v>0</v>
      </c>
    </row>
    <row r="293" spans="1:22" s="8" customFormat="1" ht="16" customHeight="1">
      <c r="A293" s="4" t="s">
        <v>1</v>
      </c>
      <c r="B293" s="35">
        <v>2024</v>
      </c>
      <c r="C293" s="26" t="s">
        <v>403</v>
      </c>
      <c r="D293" s="29" t="s">
        <v>392</v>
      </c>
      <c r="E293" s="3">
        <v>150000</v>
      </c>
      <c r="F293" s="6">
        <v>0</v>
      </c>
      <c r="G293" s="6">
        <v>0</v>
      </c>
      <c r="H293" s="5" t="s">
        <v>0</v>
      </c>
      <c r="I293" s="29" t="s">
        <v>376</v>
      </c>
      <c r="J293" s="29" t="s">
        <v>13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-150000</v>
      </c>
      <c r="S293" s="6">
        <v>0</v>
      </c>
      <c r="T293" s="6"/>
      <c r="U293" s="6">
        <f t="shared" si="51"/>
        <v>0</v>
      </c>
      <c r="V293" s="6">
        <f t="shared" si="52"/>
        <v>0</v>
      </c>
    </row>
    <row r="294" spans="1:22" s="8" customFormat="1" ht="16" customHeight="1">
      <c r="A294" s="4" t="s">
        <v>1</v>
      </c>
      <c r="B294" s="35">
        <v>2024</v>
      </c>
      <c r="C294" s="26" t="s">
        <v>403</v>
      </c>
      <c r="D294" s="29" t="s">
        <v>393</v>
      </c>
      <c r="E294" s="3">
        <v>150000</v>
      </c>
      <c r="F294" s="6">
        <v>0</v>
      </c>
      <c r="G294" s="6">
        <v>0</v>
      </c>
      <c r="H294" s="5" t="s">
        <v>0</v>
      </c>
      <c r="I294" s="29" t="s">
        <v>376</v>
      </c>
      <c r="J294" s="29" t="s">
        <v>13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-150000</v>
      </c>
      <c r="S294" s="6">
        <v>0</v>
      </c>
      <c r="T294" s="6"/>
      <c r="U294" s="6">
        <f t="shared" si="51"/>
        <v>0</v>
      </c>
      <c r="V294" s="6">
        <f t="shared" si="52"/>
        <v>0</v>
      </c>
    </row>
    <row r="295" spans="1:22" s="8" customFormat="1" ht="16" customHeight="1">
      <c r="A295" s="4" t="s">
        <v>1</v>
      </c>
      <c r="B295" s="35">
        <v>2024</v>
      </c>
      <c r="C295" s="26" t="s">
        <v>403</v>
      </c>
      <c r="D295" s="29" t="s">
        <v>394</v>
      </c>
      <c r="E295" s="3">
        <v>150000</v>
      </c>
      <c r="F295" s="6">
        <v>0</v>
      </c>
      <c r="G295" s="6">
        <v>0</v>
      </c>
      <c r="H295" s="5" t="s">
        <v>0</v>
      </c>
      <c r="I295" s="29" t="s">
        <v>376</v>
      </c>
      <c r="J295" s="29" t="s">
        <v>13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-150000</v>
      </c>
      <c r="S295" s="6">
        <v>0</v>
      </c>
      <c r="T295" s="6"/>
      <c r="U295" s="6">
        <f t="shared" si="51"/>
        <v>0</v>
      </c>
      <c r="V295" s="6">
        <f t="shared" si="52"/>
        <v>0</v>
      </c>
    </row>
    <row r="296" spans="1:22" s="8" customFormat="1" ht="16" customHeight="1">
      <c r="A296" s="4" t="s">
        <v>1</v>
      </c>
      <c r="B296" s="35">
        <v>2024</v>
      </c>
      <c r="C296" s="26" t="s">
        <v>403</v>
      </c>
      <c r="D296" s="29" t="s">
        <v>395</v>
      </c>
      <c r="E296" s="3">
        <v>2000000</v>
      </c>
      <c r="F296" s="6">
        <v>0</v>
      </c>
      <c r="G296" s="6">
        <v>0</v>
      </c>
      <c r="H296" s="5" t="s">
        <v>0</v>
      </c>
      <c r="I296" s="29" t="s">
        <v>376</v>
      </c>
      <c r="J296" s="29" t="s">
        <v>13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-2000000</v>
      </c>
      <c r="S296" s="6">
        <v>0</v>
      </c>
      <c r="T296" s="6"/>
      <c r="U296" s="6">
        <f t="shared" si="51"/>
        <v>0</v>
      </c>
      <c r="V296" s="6">
        <f t="shared" si="52"/>
        <v>0</v>
      </c>
    </row>
    <row r="297" spans="1:22" s="8" customFormat="1" ht="16" customHeight="1">
      <c r="A297" s="4" t="s">
        <v>1</v>
      </c>
      <c r="B297" s="35">
        <v>2024</v>
      </c>
      <c r="C297" s="26" t="s">
        <v>19</v>
      </c>
      <c r="D297" s="29" t="s">
        <v>360</v>
      </c>
      <c r="E297" s="36">
        <v>7397530</v>
      </c>
      <c r="F297" s="6">
        <v>0</v>
      </c>
      <c r="G297" s="6">
        <v>0</v>
      </c>
      <c r="H297" s="5" t="s">
        <v>0</v>
      </c>
      <c r="I297" s="29" t="s">
        <v>234</v>
      </c>
      <c r="J297" s="29" t="s">
        <v>13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-7397530</v>
      </c>
      <c r="S297" s="6">
        <v>0</v>
      </c>
      <c r="T297" s="6"/>
      <c r="U297" s="6">
        <f t="shared" si="46"/>
        <v>0</v>
      </c>
      <c r="V297" s="6">
        <f t="shared" si="45"/>
        <v>0</v>
      </c>
    </row>
    <row r="298" spans="1:22" s="8" customFormat="1" ht="16" customHeight="1">
      <c r="A298" s="4" t="s">
        <v>1</v>
      </c>
      <c r="B298" s="35">
        <v>2024</v>
      </c>
      <c r="C298" s="26" t="s">
        <v>19</v>
      </c>
      <c r="D298" s="29" t="s">
        <v>360</v>
      </c>
      <c r="E298" s="36">
        <v>1717810</v>
      </c>
      <c r="F298" s="6">
        <v>0</v>
      </c>
      <c r="G298" s="6">
        <v>0</v>
      </c>
      <c r="H298" s="5" t="s">
        <v>0</v>
      </c>
      <c r="I298" s="29" t="s">
        <v>227</v>
      </c>
      <c r="J298" s="29" t="s">
        <v>13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-1717810</v>
      </c>
      <c r="S298" s="6">
        <v>0</v>
      </c>
      <c r="T298" s="6"/>
      <c r="U298" s="6">
        <f t="shared" si="46"/>
        <v>0</v>
      </c>
      <c r="V298" s="6">
        <f t="shared" si="45"/>
        <v>0</v>
      </c>
    </row>
    <row r="299" spans="1:22" s="8" customFormat="1" ht="16" customHeight="1">
      <c r="A299" s="4" t="s">
        <v>1</v>
      </c>
      <c r="B299" s="35">
        <v>2024</v>
      </c>
      <c r="C299" s="26" t="s">
        <v>19</v>
      </c>
      <c r="D299" s="29" t="s">
        <v>360</v>
      </c>
      <c r="E299" s="36">
        <v>946000</v>
      </c>
      <c r="F299" s="6">
        <v>0</v>
      </c>
      <c r="G299" s="6">
        <v>0</v>
      </c>
      <c r="H299" s="5" t="s">
        <v>0</v>
      </c>
      <c r="I299" s="29" t="s">
        <v>225</v>
      </c>
      <c r="J299" s="29" t="s">
        <v>13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-946000</v>
      </c>
      <c r="S299" s="6">
        <v>0</v>
      </c>
      <c r="T299" s="6"/>
      <c r="U299" s="6">
        <f t="shared" si="46"/>
        <v>0</v>
      </c>
      <c r="V299" s="6">
        <f t="shared" si="45"/>
        <v>0</v>
      </c>
    </row>
    <row r="300" spans="1:22" s="8" customFormat="1" ht="16" customHeight="1">
      <c r="A300" s="4" t="s">
        <v>1</v>
      </c>
      <c r="B300" s="35">
        <v>2024</v>
      </c>
      <c r="C300" s="26" t="s">
        <v>19</v>
      </c>
      <c r="D300" s="29" t="s">
        <v>360</v>
      </c>
      <c r="E300" s="36">
        <v>384475</v>
      </c>
      <c r="F300" s="6">
        <v>0</v>
      </c>
      <c r="G300" s="6">
        <v>0</v>
      </c>
      <c r="H300" s="5" t="s">
        <v>0</v>
      </c>
      <c r="I300" s="29" t="s">
        <v>230</v>
      </c>
      <c r="J300" s="29" t="s">
        <v>13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-380500</v>
      </c>
      <c r="R300" s="6">
        <v>-3975</v>
      </c>
      <c r="S300" s="6">
        <v>0</v>
      </c>
      <c r="T300" s="6"/>
      <c r="U300" s="6">
        <f t="shared" si="46"/>
        <v>0</v>
      </c>
      <c r="V300" s="6">
        <f t="shared" si="45"/>
        <v>0</v>
      </c>
    </row>
    <row r="301" spans="1:22" s="8" customFormat="1" ht="16" customHeight="1">
      <c r="A301" s="4" t="s">
        <v>1</v>
      </c>
      <c r="B301" s="35">
        <v>2024</v>
      </c>
      <c r="C301" s="26" t="s">
        <v>19</v>
      </c>
      <c r="D301" s="29" t="s">
        <v>360</v>
      </c>
      <c r="E301" s="36">
        <v>44322</v>
      </c>
      <c r="F301" s="6">
        <v>0</v>
      </c>
      <c r="G301" s="6">
        <v>0</v>
      </c>
      <c r="H301" s="5" t="s">
        <v>0</v>
      </c>
      <c r="I301" s="29" t="s">
        <v>228</v>
      </c>
      <c r="J301" s="29" t="s">
        <v>13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-44322</v>
      </c>
      <c r="S301" s="6">
        <v>0</v>
      </c>
      <c r="T301" s="6"/>
      <c r="U301" s="6">
        <f t="shared" si="46"/>
        <v>0</v>
      </c>
      <c r="V301" s="6">
        <f t="shared" si="45"/>
        <v>0</v>
      </c>
    </row>
    <row r="302" spans="1:22" s="8" customFormat="1" ht="16" customHeight="1">
      <c r="A302" s="4" t="s">
        <v>1</v>
      </c>
      <c r="B302" s="35">
        <v>2024</v>
      </c>
      <c r="C302" s="26" t="s">
        <v>19</v>
      </c>
      <c r="D302" s="29" t="s">
        <v>360</v>
      </c>
      <c r="E302" s="36">
        <v>4448800</v>
      </c>
      <c r="F302" s="6">
        <v>0</v>
      </c>
      <c r="G302" s="6">
        <v>0</v>
      </c>
      <c r="H302" s="5" t="s">
        <v>0</v>
      </c>
      <c r="I302" s="29" t="s">
        <v>233</v>
      </c>
      <c r="J302" s="29" t="s">
        <v>13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-4448800</v>
      </c>
      <c r="S302" s="6">
        <v>0</v>
      </c>
      <c r="T302" s="6"/>
      <c r="U302" s="6">
        <f t="shared" si="46"/>
        <v>0</v>
      </c>
      <c r="V302" s="6">
        <f t="shared" si="45"/>
        <v>0</v>
      </c>
    </row>
    <row r="303" spans="1:22" s="8" customFormat="1" ht="16" customHeight="1">
      <c r="A303" s="4" t="s">
        <v>1</v>
      </c>
      <c r="B303" s="35">
        <v>2024</v>
      </c>
      <c r="C303" s="26" t="s">
        <v>19</v>
      </c>
      <c r="D303" s="29" t="s">
        <v>360</v>
      </c>
      <c r="E303" s="36">
        <v>1965606</v>
      </c>
      <c r="F303" s="6">
        <v>0</v>
      </c>
      <c r="G303" s="6">
        <v>0</v>
      </c>
      <c r="H303" s="5" t="s">
        <v>0</v>
      </c>
      <c r="I303" s="29" t="s">
        <v>222</v>
      </c>
      <c r="J303" s="29" t="s">
        <v>13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-1965606</v>
      </c>
      <c r="S303" s="6">
        <v>0</v>
      </c>
      <c r="T303" s="6"/>
      <c r="U303" s="6">
        <f t="shared" si="46"/>
        <v>0</v>
      </c>
      <c r="V303" s="6">
        <f t="shared" si="45"/>
        <v>0</v>
      </c>
    </row>
    <row r="304" spans="1:22" s="8" customFormat="1" ht="16" customHeight="1">
      <c r="A304" s="4" t="s">
        <v>1</v>
      </c>
      <c r="B304" s="35">
        <v>2024</v>
      </c>
      <c r="C304" s="26" t="s">
        <v>19</v>
      </c>
      <c r="D304" s="29" t="s">
        <v>360</v>
      </c>
      <c r="E304" s="36">
        <v>3466605</v>
      </c>
      <c r="F304" s="6">
        <v>0</v>
      </c>
      <c r="G304" s="6">
        <v>0</v>
      </c>
      <c r="H304" s="5" t="s">
        <v>0</v>
      </c>
      <c r="I304" s="29" t="s">
        <v>224</v>
      </c>
      <c r="J304" s="29" t="s">
        <v>13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-3466605</v>
      </c>
      <c r="S304" s="6">
        <v>0</v>
      </c>
      <c r="T304" s="6"/>
      <c r="U304" s="6">
        <f t="shared" si="46"/>
        <v>0</v>
      </c>
      <c r="V304" s="6">
        <f t="shared" si="45"/>
        <v>0</v>
      </c>
    </row>
    <row r="305" spans="1:22" s="8" customFormat="1" ht="16" customHeight="1">
      <c r="A305" s="4" t="s">
        <v>1</v>
      </c>
      <c r="B305" s="35">
        <v>2024</v>
      </c>
      <c r="C305" s="26" t="s">
        <v>19</v>
      </c>
      <c r="D305" s="29" t="s">
        <v>360</v>
      </c>
      <c r="E305" s="36">
        <v>35440000</v>
      </c>
      <c r="F305" s="6">
        <v>0</v>
      </c>
      <c r="G305" s="6">
        <v>0</v>
      </c>
      <c r="H305" s="5" t="s">
        <v>0</v>
      </c>
      <c r="I305" s="29" t="s">
        <v>361</v>
      </c>
      <c r="J305" s="29" t="s">
        <v>13</v>
      </c>
      <c r="K305" s="6">
        <v>0</v>
      </c>
      <c r="L305" s="6">
        <v>-34913500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/>
      <c r="U305" s="6">
        <f t="shared" si="46"/>
        <v>526500</v>
      </c>
      <c r="V305" s="6">
        <f t="shared" si="45"/>
        <v>0</v>
      </c>
    </row>
    <row r="306" spans="1:22" s="8" customFormat="1" ht="16" customHeight="1">
      <c r="A306" s="4" t="s">
        <v>1</v>
      </c>
      <c r="B306" s="35">
        <v>2024</v>
      </c>
      <c r="C306" s="26" t="s">
        <v>19</v>
      </c>
      <c r="D306" s="29" t="s">
        <v>360</v>
      </c>
      <c r="E306" s="36">
        <v>16823</v>
      </c>
      <c r="F306" s="6">
        <v>0</v>
      </c>
      <c r="G306" s="6">
        <v>0</v>
      </c>
      <c r="H306" s="5" t="s">
        <v>0</v>
      </c>
      <c r="I306" s="29" t="s">
        <v>223</v>
      </c>
      <c r="J306" s="29" t="s">
        <v>13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-16823</v>
      </c>
      <c r="S306" s="6">
        <v>0</v>
      </c>
      <c r="T306" s="6"/>
      <c r="U306" s="6">
        <f t="shared" si="46"/>
        <v>0</v>
      </c>
      <c r="V306" s="6">
        <f t="shared" si="45"/>
        <v>0</v>
      </c>
    </row>
    <row r="307" spans="1:22" s="8" customFormat="1" ht="16" customHeight="1">
      <c r="A307" s="4" t="s">
        <v>1</v>
      </c>
      <c r="B307" s="35">
        <v>2024</v>
      </c>
      <c r="C307" s="26" t="s">
        <v>19</v>
      </c>
      <c r="D307" s="29" t="s">
        <v>360</v>
      </c>
      <c r="E307" s="36">
        <v>634400</v>
      </c>
      <c r="F307" s="6">
        <v>0</v>
      </c>
      <c r="G307" s="6">
        <v>0</v>
      </c>
      <c r="H307" s="5" t="s">
        <v>0</v>
      </c>
      <c r="I307" s="29" t="s">
        <v>220</v>
      </c>
      <c r="J307" s="29" t="s">
        <v>13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-634400</v>
      </c>
      <c r="S307" s="6">
        <v>0</v>
      </c>
      <c r="T307" s="6"/>
      <c r="U307" s="6">
        <f t="shared" si="46"/>
        <v>0</v>
      </c>
      <c r="V307" s="6">
        <f t="shared" si="45"/>
        <v>0</v>
      </c>
    </row>
    <row r="308" spans="1:22" s="8" customFormat="1" ht="16" customHeight="1">
      <c r="A308" s="4" t="s">
        <v>1</v>
      </c>
      <c r="B308" s="35">
        <v>2024</v>
      </c>
      <c r="C308" s="26" t="s">
        <v>19</v>
      </c>
      <c r="D308" s="29" t="s">
        <v>362</v>
      </c>
      <c r="E308" s="36">
        <v>4898973</v>
      </c>
      <c r="F308" s="6">
        <v>0</v>
      </c>
      <c r="G308" s="6">
        <v>0</v>
      </c>
      <c r="H308" s="5" t="s">
        <v>0</v>
      </c>
      <c r="I308" s="29" t="s">
        <v>229</v>
      </c>
      <c r="J308" s="29" t="s">
        <v>13</v>
      </c>
      <c r="K308" s="6">
        <v>0</v>
      </c>
      <c r="L308" s="6">
        <v>0</v>
      </c>
      <c r="M308" s="6">
        <v>-3568545</v>
      </c>
      <c r="N308" s="6">
        <v>0</v>
      </c>
      <c r="O308" s="6">
        <v>0</v>
      </c>
      <c r="P308" s="6">
        <v>0</v>
      </c>
      <c r="Q308" s="6">
        <v>0</v>
      </c>
      <c r="R308" s="6">
        <v>-1330428</v>
      </c>
      <c r="S308" s="6">
        <v>0</v>
      </c>
      <c r="T308" s="6"/>
      <c r="U308" s="6">
        <f t="shared" si="46"/>
        <v>0</v>
      </c>
      <c r="V308" s="6">
        <f t="shared" si="45"/>
        <v>0</v>
      </c>
    </row>
    <row r="309" spans="1:22" s="8" customFormat="1" ht="16" customHeight="1">
      <c r="A309" s="4" t="s">
        <v>1</v>
      </c>
      <c r="B309" s="35">
        <v>2024</v>
      </c>
      <c r="C309" s="26" t="s">
        <v>19</v>
      </c>
      <c r="D309" s="29" t="s">
        <v>360</v>
      </c>
      <c r="E309" s="36">
        <v>23821424</v>
      </c>
      <c r="F309" s="6">
        <v>0</v>
      </c>
      <c r="G309" s="6">
        <v>0</v>
      </c>
      <c r="H309" s="5" t="s">
        <v>0</v>
      </c>
      <c r="I309" s="29" t="s">
        <v>226</v>
      </c>
      <c r="J309" s="29" t="s">
        <v>13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-23821424</v>
      </c>
      <c r="S309" s="6">
        <v>0</v>
      </c>
      <c r="T309" s="6"/>
      <c r="U309" s="6">
        <f t="shared" si="46"/>
        <v>0</v>
      </c>
      <c r="V309" s="6">
        <f t="shared" si="45"/>
        <v>0</v>
      </c>
    </row>
    <row r="310" spans="1:22" s="8" customFormat="1" ht="16" customHeight="1">
      <c r="A310" s="4" t="s">
        <v>1</v>
      </c>
      <c r="B310" s="35">
        <v>2024</v>
      </c>
      <c r="C310" s="26" t="s">
        <v>19</v>
      </c>
      <c r="D310" s="29" t="s">
        <v>360</v>
      </c>
      <c r="E310" s="36">
        <v>32037507</v>
      </c>
      <c r="F310" s="6">
        <v>0</v>
      </c>
      <c r="G310" s="6">
        <v>0</v>
      </c>
      <c r="H310" s="5" t="s">
        <v>0</v>
      </c>
      <c r="I310" s="29" t="s">
        <v>221</v>
      </c>
      <c r="J310" s="29" t="s">
        <v>13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-32037507</v>
      </c>
      <c r="S310" s="6">
        <v>0</v>
      </c>
      <c r="T310" s="6"/>
      <c r="U310" s="6">
        <f t="shared" si="46"/>
        <v>0</v>
      </c>
      <c r="V310" s="6">
        <f t="shared" si="45"/>
        <v>0</v>
      </c>
    </row>
    <row r="311" spans="1:22" s="8" customFormat="1" ht="16" customHeight="1">
      <c r="A311" s="4" t="s">
        <v>1</v>
      </c>
      <c r="B311" s="35">
        <v>2024</v>
      </c>
      <c r="C311" s="26" t="s">
        <v>19</v>
      </c>
      <c r="D311" s="29" t="s">
        <v>360</v>
      </c>
      <c r="E311" s="36">
        <v>96693309</v>
      </c>
      <c r="F311" s="6">
        <v>0</v>
      </c>
      <c r="G311" s="6">
        <v>0</v>
      </c>
      <c r="H311" s="5" t="s">
        <v>0</v>
      </c>
      <c r="I311" s="29" t="s">
        <v>363</v>
      </c>
      <c r="J311" s="29" t="s">
        <v>13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-96693309</v>
      </c>
      <c r="S311" s="6">
        <v>0</v>
      </c>
      <c r="T311" s="6"/>
      <c r="U311" s="6">
        <f t="shared" si="46"/>
        <v>0</v>
      </c>
      <c r="V311" s="6">
        <f t="shared" ref="V311:V316" si="55">G311+S311</f>
        <v>0</v>
      </c>
    </row>
    <row r="312" spans="1:22" s="8" customFormat="1" ht="16" customHeight="1">
      <c r="A312" s="4" t="s">
        <v>1</v>
      </c>
      <c r="B312" s="35">
        <v>2024</v>
      </c>
      <c r="C312" s="26" t="s">
        <v>19</v>
      </c>
      <c r="D312" s="29" t="s">
        <v>360</v>
      </c>
      <c r="E312" s="36">
        <v>15573978</v>
      </c>
      <c r="F312" s="6">
        <v>0</v>
      </c>
      <c r="G312" s="6">
        <v>0</v>
      </c>
      <c r="H312" s="5" t="s">
        <v>0</v>
      </c>
      <c r="I312" s="29" t="s">
        <v>232</v>
      </c>
      <c r="J312" s="29" t="s">
        <v>13</v>
      </c>
      <c r="K312" s="6">
        <v>0</v>
      </c>
      <c r="L312" s="6">
        <v>0</v>
      </c>
      <c r="M312" s="6">
        <v>-354200</v>
      </c>
      <c r="N312" s="6">
        <v>0</v>
      </c>
      <c r="O312" s="6">
        <v>0</v>
      </c>
      <c r="P312" s="6">
        <v>0</v>
      </c>
      <c r="Q312" s="6">
        <v>0</v>
      </c>
      <c r="R312" s="6">
        <v>-15219778</v>
      </c>
      <c r="S312" s="6">
        <v>0</v>
      </c>
      <c r="T312" s="6"/>
      <c r="U312" s="6">
        <f t="shared" si="46"/>
        <v>0</v>
      </c>
      <c r="V312" s="6">
        <f t="shared" si="55"/>
        <v>0</v>
      </c>
    </row>
    <row r="313" spans="1:22" s="8" customFormat="1" ht="16" customHeight="1">
      <c r="A313" s="4" t="s">
        <v>1</v>
      </c>
      <c r="B313" s="35">
        <v>2024</v>
      </c>
      <c r="C313" s="26" t="s">
        <v>19</v>
      </c>
      <c r="D313" s="29" t="s">
        <v>360</v>
      </c>
      <c r="E313" s="36">
        <v>1405635</v>
      </c>
      <c r="F313" s="6">
        <v>0</v>
      </c>
      <c r="G313" s="6">
        <v>0</v>
      </c>
      <c r="H313" s="5" t="s">
        <v>0</v>
      </c>
      <c r="I313" s="29" t="s">
        <v>364</v>
      </c>
      <c r="J313" s="29" t="s">
        <v>13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-1405635</v>
      </c>
      <c r="S313" s="6">
        <v>0</v>
      </c>
      <c r="T313" s="6"/>
      <c r="U313" s="6">
        <f t="shared" si="46"/>
        <v>0</v>
      </c>
      <c r="V313" s="6">
        <f t="shared" si="55"/>
        <v>0</v>
      </c>
    </row>
    <row r="314" spans="1:22" s="8" customFormat="1" ht="16" customHeight="1">
      <c r="A314" s="4" t="s">
        <v>1</v>
      </c>
      <c r="B314" s="35">
        <v>2024</v>
      </c>
      <c r="C314" s="26" t="s">
        <v>19</v>
      </c>
      <c r="D314" s="29" t="s">
        <v>360</v>
      </c>
      <c r="E314" s="36">
        <v>4937500</v>
      </c>
      <c r="F314" s="6">
        <v>0</v>
      </c>
      <c r="G314" s="6">
        <v>0</v>
      </c>
      <c r="H314" s="5" t="s">
        <v>0</v>
      </c>
      <c r="I314" s="29" t="s">
        <v>235</v>
      </c>
      <c r="J314" s="29" t="s">
        <v>13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-4937500</v>
      </c>
      <c r="S314" s="6">
        <v>0</v>
      </c>
      <c r="T314" s="6"/>
      <c r="U314" s="6">
        <f t="shared" si="46"/>
        <v>0</v>
      </c>
      <c r="V314" s="6">
        <f t="shared" si="55"/>
        <v>0</v>
      </c>
    </row>
    <row r="315" spans="1:22" s="8" customFormat="1" ht="16" customHeight="1">
      <c r="A315" s="4" t="s">
        <v>1</v>
      </c>
      <c r="B315" s="35">
        <v>2024</v>
      </c>
      <c r="C315" s="26" t="s">
        <v>19</v>
      </c>
      <c r="D315" s="29" t="s">
        <v>360</v>
      </c>
      <c r="E315" s="36">
        <v>583049</v>
      </c>
      <c r="F315" s="6">
        <v>0</v>
      </c>
      <c r="G315" s="6">
        <v>0</v>
      </c>
      <c r="H315" s="5" t="s">
        <v>0</v>
      </c>
      <c r="I315" s="29" t="s">
        <v>365</v>
      </c>
      <c r="J315" s="29" t="s">
        <v>13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-583049</v>
      </c>
      <c r="S315" s="6">
        <v>0</v>
      </c>
      <c r="T315" s="6"/>
      <c r="U315" s="6">
        <f t="shared" si="46"/>
        <v>0</v>
      </c>
      <c r="V315" s="6">
        <f t="shared" si="55"/>
        <v>0</v>
      </c>
    </row>
    <row r="316" spans="1:22" s="8" customFormat="1" ht="16" customHeight="1">
      <c r="A316" s="4" t="s">
        <v>1</v>
      </c>
      <c r="B316" s="35">
        <v>2024</v>
      </c>
      <c r="C316" s="26" t="s">
        <v>19</v>
      </c>
      <c r="D316" s="29" t="s">
        <v>360</v>
      </c>
      <c r="E316" s="36">
        <v>1911337</v>
      </c>
      <c r="F316" s="6">
        <v>0</v>
      </c>
      <c r="G316" s="6">
        <v>0</v>
      </c>
      <c r="H316" s="5" t="s">
        <v>0</v>
      </c>
      <c r="I316" s="29" t="s">
        <v>366</v>
      </c>
      <c r="J316" s="29" t="s">
        <v>13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-1911337</v>
      </c>
      <c r="S316" s="6">
        <v>0</v>
      </c>
      <c r="T316" s="6"/>
      <c r="U316" s="6">
        <f t="shared" si="46"/>
        <v>0</v>
      </c>
      <c r="V316" s="6">
        <f t="shared" si="55"/>
        <v>0</v>
      </c>
    </row>
    <row r="317" spans="1:22" s="8" customFormat="1" ht="16" customHeight="1">
      <c r="A317" s="4" t="s">
        <v>1</v>
      </c>
      <c r="B317" s="35">
        <v>2025</v>
      </c>
      <c r="C317" s="26" t="s">
        <v>462</v>
      </c>
      <c r="D317" s="29" t="s">
        <v>442</v>
      </c>
      <c r="E317" s="36">
        <v>0</v>
      </c>
      <c r="F317" s="6">
        <v>0</v>
      </c>
      <c r="G317" s="6">
        <v>0</v>
      </c>
      <c r="H317" s="5" t="s">
        <v>0</v>
      </c>
      <c r="I317" s="29" t="s">
        <v>405</v>
      </c>
      <c r="J317" s="29" t="s">
        <v>13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14279600</v>
      </c>
      <c r="S317" s="6">
        <v>0</v>
      </c>
      <c r="T317" s="6"/>
      <c r="U317" s="6">
        <f t="shared" ref="U317" si="56">E317+K317+L317+M317+N317+O317+P317+Q317+R317</f>
        <v>14279600</v>
      </c>
      <c r="V317" s="6">
        <f t="shared" ref="V317" si="57">G317+S317</f>
        <v>0</v>
      </c>
    </row>
    <row r="318" spans="1:22" s="8" customFormat="1" ht="16" customHeight="1">
      <c r="A318" s="4" t="s">
        <v>1</v>
      </c>
      <c r="B318" s="35">
        <v>2025</v>
      </c>
      <c r="C318" s="26" t="s">
        <v>462</v>
      </c>
      <c r="D318" s="29" t="s">
        <v>443</v>
      </c>
      <c r="E318" s="36">
        <v>0</v>
      </c>
      <c r="F318" s="6">
        <v>0</v>
      </c>
      <c r="G318" s="6">
        <v>0</v>
      </c>
      <c r="H318" s="5" t="s">
        <v>0</v>
      </c>
      <c r="I318" s="29" t="s">
        <v>397</v>
      </c>
      <c r="J318" s="29" t="s">
        <v>13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7280000</v>
      </c>
      <c r="S318" s="6">
        <v>0</v>
      </c>
      <c r="T318" s="6"/>
      <c r="U318" s="6">
        <f t="shared" ref="U318:U340" si="58">E318+K318+L318+M318+N318+O318+P318+Q318+R318</f>
        <v>7280000</v>
      </c>
      <c r="V318" s="6">
        <f t="shared" ref="V318:V340" si="59">G318+S318</f>
        <v>0</v>
      </c>
    </row>
    <row r="319" spans="1:22" s="8" customFormat="1" ht="16" customHeight="1">
      <c r="A319" s="4" t="s">
        <v>1</v>
      </c>
      <c r="B319" s="35">
        <v>2025</v>
      </c>
      <c r="C319" s="26" t="s">
        <v>462</v>
      </c>
      <c r="D319" s="29" t="s">
        <v>444</v>
      </c>
      <c r="E319" s="36">
        <v>0</v>
      </c>
      <c r="F319" s="6">
        <v>0</v>
      </c>
      <c r="G319" s="6">
        <v>0</v>
      </c>
      <c r="H319" s="5" t="s">
        <v>0</v>
      </c>
      <c r="I319" s="29" t="s">
        <v>406</v>
      </c>
      <c r="J319" s="29" t="s">
        <v>13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1477475</v>
      </c>
      <c r="S319" s="6">
        <v>0</v>
      </c>
      <c r="T319" s="6"/>
      <c r="U319" s="6">
        <f t="shared" si="58"/>
        <v>1477475</v>
      </c>
      <c r="V319" s="6">
        <f t="shared" si="59"/>
        <v>0</v>
      </c>
    </row>
    <row r="320" spans="1:22" s="8" customFormat="1" ht="16" customHeight="1">
      <c r="A320" s="4" t="s">
        <v>1</v>
      </c>
      <c r="B320" s="35">
        <v>2025</v>
      </c>
      <c r="C320" s="26" t="s">
        <v>462</v>
      </c>
      <c r="D320" s="29" t="s">
        <v>445</v>
      </c>
      <c r="E320" s="36">
        <v>0</v>
      </c>
      <c r="F320" s="6">
        <v>0</v>
      </c>
      <c r="G320" s="6">
        <v>0</v>
      </c>
      <c r="H320" s="5" t="s">
        <v>0</v>
      </c>
      <c r="I320" s="29" t="s">
        <v>371</v>
      </c>
      <c r="J320" s="29" t="s">
        <v>13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1500000</v>
      </c>
      <c r="S320" s="6">
        <v>0</v>
      </c>
      <c r="T320" s="6"/>
      <c r="U320" s="6">
        <f t="shared" si="58"/>
        <v>1500000</v>
      </c>
      <c r="V320" s="6">
        <f t="shared" si="59"/>
        <v>0</v>
      </c>
    </row>
    <row r="321" spans="1:22" s="8" customFormat="1" ht="16" customHeight="1">
      <c r="A321" s="4" t="s">
        <v>1</v>
      </c>
      <c r="B321" s="35">
        <v>2025</v>
      </c>
      <c r="C321" s="26" t="s">
        <v>462</v>
      </c>
      <c r="D321" s="29" t="s">
        <v>446</v>
      </c>
      <c r="E321" s="36">
        <v>0</v>
      </c>
      <c r="F321" s="6">
        <v>0</v>
      </c>
      <c r="G321" s="6">
        <v>0</v>
      </c>
      <c r="H321" s="5" t="s">
        <v>0</v>
      </c>
      <c r="I321" s="29" t="s">
        <v>425</v>
      </c>
      <c r="J321" s="29" t="s">
        <v>13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3500000</v>
      </c>
      <c r="S321" s="6">
        <v>0</v>
      </c>
      <c r="T321" s="6"/>
      <c r="U321" s="6">
        <f t="shared" si="58"/>
        <v>3500000</v>
      </c>
      <c r="V321" s="6">
        <f t="shared" si="59"/>
        <v>0</v>
      </c>
    </row>
    <row r="322" spans="1:22" s="8" customFormat="1" ht="16" customHeight="1">
      <c r="A322" s="4" t="s">
        <v>1</v>
      </c>
      <c r="B322" s="35">
        <v>2025</v>
      </c>
      <c r="C322" s="26" t="s">
        <v>462</v>
      </c>
      <c r="D322" s="29" t="s">
        <v>447</v>
      </c>
      <c r="E322" s="36">
        <v>0</v>
      </c>
      <c r="F322" s="6">
        <v>0</v>
      </c>
      <c r="G322" s="6">
        <v>0</v>
      </c>
      <c r="H322" s="5" t="s">
        <v>0</v>
      </c>
      <c r="I322" s="29" t="s">
        <v>427</v>
      </c>
      <c r="J322" s="29" t="s">
        <v>13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2500000</v>
      </c>
      <c r="S322" s="6">
        <v>0</v>
      </c>
      <c r="T322" s="6"/>
      <c r="U322" s="6">
        <f t="shared" si="58"/>
        <v>2500000</v>
      </c>
      <c r="V322" s="6">
        <f t="shared" si="59"/>
        <v>0</v>
      </c>
    </row>
    <row r="323" spans="1:22" s="8" customFormat="1" ht="16" customHeight="1">
      <c r="A323" s="4" t="s">
        <v>1</v>
      </c>
      <c r="B323" s="35">
        <v>2025</v>
      </c>
      <c r="C323" s="26" t="s">
        <v>462</v>
      </c>
      <c r="D323" s="29" t="s">
        <v>448</v>
      </c>
      <c r="E323" s="36">
        <v>0</v>
      </c>
      <c r="F323" s="6">
        <v>0</v>
      </c>
      <c r="G323" s="6">
        <v>0</v>
      </c>
      <c r="H323" s="5" t="s">
        <v>0</v>
      </c>
      <c r="I323" s="29" t="s">
        <v>426</v>
      </c>
      <c r="J323" s="29" t="s">
        <v>13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1500000</v>
      </c>
      <c r="S323" s="6">
        <v>0</v>
      </c>
      <c r="T323" s="6"/>
      <c r="U323" s="6">
        <f t="shared" si="58"/>
        <v>1500000</v>
      </c>
      <c r="V323" s="6">
        <f t="shared" si="59"/>
        <v>0</v>
      </c>
    </row>
    <row r="324" spans="1:22" s="8" customFormat="1" ht="16" customHeight="1">
      <c r="A324" s="4" t="s">
        <v>1</v>
      </c>
      <c r="B324" s="35">
        <v>2025</v>
      </c>
      <c r="C324" s="26" t="s">
        <v>462</v>
      </c>
      <c r="D324" s="29" t="s">
        <v>449</v>
      </c>
      <c r="E324" s="36">
        <v>0</v>
      </c>
      <c r="F324" s="6">
        <v>0</v>
      </c>
      <c r="G324" s="6">
        <v>0</v>
      </c>
      <c r="H324" s="5" t="s">
        <v>0</v>
      </c>
      <c r="I324" s="29" t="s">
        <v>369</v>
      </c>
      <c r="J324" s="29" t="s">
        <v>13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3500000</v>
      </c>
      <c r="S324" s="6">
        <v>0</v>
      </c>
      <c r="T324" s="6"/>
      <c r="U324" s="6">
        <f t="shared" si="58"/>
        <v>3500000</v>
      </c>
      <c r="V324" s="6">
        <f t="shared" si="59"/>
        <v>0</v>
      </c>
    </row>
    <row r="325" spans="1:22" s="8" customFormat="1" ht="16" customHeight="1">
      <c r="A325" s="4" t="s">
        <v>1</v>
      </c>
      <c r="B325" s="35">
        <v>2025</v>
      </c>
      <c r="C325" s="26" t="s">
        <v>462</v>
      </c>
      <c r="D325" s="29" t="s">
        <v>450</v>
      </c>
      <c r="E325" s="36">
        <v>0</v>
      </c>
      <c r="F325" s="6">
        <v>0</v>
      </c>
      <c r="G325" s="6">
        <v>0</v>
      </c>
      <c r="H325" s="5" t="s">
        <v>0</v>
      </c>
      <c r="I325" s="29" t="s">
        <v>424</v>
      </c>
      <c r="J325" s="29" t="s">
        <v>13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3500000</v>
      </c>
      <c r="S325" s="6">
        <v>0</v>
      </c>
      <c r="T325" s="6"/>
      <c r="U325" s="6">
        <f t="shared" si="58"/>
        <v>3500000</v>
      </c>
      <c r="V325" s="6">
        <f t="shared" si="59"/>
        <v>0</v>
      </c>
    </row>
    <row r="326" spans="1:22" s="8" customFormat="1" ht="16" customHeight="1">
      <c r="A326" s="4" t="s">
        <v>1</v>
      </c>
      <c r="B326" s="35">
        <v>2025</v>
      </c>
      <c r="C326" s="26" t="s">
        <v>463</v>
      </c>
      <c r="D326" s="29" t="s">
        <v>452</v>
      </c>
      <c r="E326" s="36">
        <v>0</v>
      </c>
      <c r="F326" s="6">
        <v>0</v>
      </c>
      <c r="G326" s="6">
        <v>0</v>
      </c>
      <c r="H326" s="5" t="s">
        <v>0</v>
      </c>
      <c r="I326" s="29" t="s">
        <v>368</v>
      </c>
      <c r="J326" s="29" t="s">
        <v>13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2700000</v>
      </c>
      <c r="S326" s="6">
        <v>0</v>
      </c>
      <c r="T326" s="6"/>
      <c r="U326" s="6">
        <f t="shared" si="58"/>
        <v>2700000</v>
      </c>
      <c r="V326" s="6">
        <f t="shared" si="59"/>
        <v>0</v>
      </c>
    </row>
    <row r="327" spans="1:22" s="8" customFormat="1" ht="16" customHeight="1">
      <c r="A327" s="4" t="s">
        <v>1</v>
      </c>
      <c r="B327" s="35">
        <v>2025</v>
      </c>
      <c r="C327" s="26" t="s">
        <v>463</v>
      </c>
      <c r="D327" s="29" t="s">
        <v>453</v>
      </c>
      <c r="E327" s="36">
        <v>0</v>
      </c>
      <c r="F327" s="6">
        <v>0</v>
      </c>
      <c r="G327" s="6">
        <v>0</v>
      </c>
      <c r="H327" s="5" t="s">
        <v>0</v>
      </c>
      <c r="I327" s="29" t="s">
        <v>368</v>
      </c>
      <c r="J327" s="29" t="s">
        <v>13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8980000</v>
      </c>
      <c r="S327" s="6">
        <v>0</v>
      </c>
      <c r="T327" s="6"/>
      <c r="U327" s="6">
        <f t="shared" si="58"/>
        <v>8980000</v>
      </c>
      <c r="V327" s="6">
        <f t="shared" si="59"/>
        <v>0</v>
      </c>
    </row>
    <row r="328" spans="1:22" s="8" customFormat="1" ht="16" customHeight="1">
      <c r="A328" s="4" t="s">
        <v>1</v>
      </c>
      <c r="B328" s="35">
        <v>2025</v>
      </c>
      <c r="C328" s="26" t="s">
        <v>463</v>
      </c>
      <c r="D328" s="29" t="s">
        <v>454</v>
      </c>
      <c r="E328" s="36">
        <v>0</v>
      </c>
      <c r="F328" s="6">
        <v>0</v>
      </c>
      <c r="G328" s="6">
        <v>0</v>
      </c>
      <c r="H328" s="5" t="s">
        <v>0</v>
      </c>
      <c r="I328" s="29" t="s">
        <v>368</v>
      </c>
      <c r="J328" s="29" t="s">
        <v>13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3100000</v>
      </c>
      <c r="S328" s="6">
        <v>0</v>
      </c>
      <c r="T328" s="6"/>
      <c r="U328" s="6">
        <f t="shared" si="58"/>
        <v>3100000</v>
      </c>
      <c r="V328" s="6">
        <f t="shared" si="59"/>
        <v>0</v>
      </c>
    </row>
    <row r="329" spans="1:22" s="8" customFormat="1" ht="16" customHeight="1">
      <c r="A329" s="4" t="s">
        <v>1</v>
      </c>
      <c r="B329" s="35">
        <v>2025</v>
      </c>
      <c r="C329" s="26" t="s">
        <v>463</v>
      </c>
      <c r="D329" s="29" t="s">
        <v>455</v>
      </c>
      <c r="E329" s="36">
        <v>0</v>
      </c>
      <c r="F329" s="6">
        <v>0</v>
      </c>
      <c r="G329" s="6">
        <v>0</v>
      </c>
      <c r="H329" s="5" t="s">
        <v>0</v>
      </c>
      <c r="I329" s="29" t="s">
        <v>368</v>
      </c>
      <c r="J329" s="29" t="s">
        <v>13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12942000</v>
      </c>
      <c r="S329" s="6">
        <v>0</v>
      </c>
      <c r="T329" s="6"/>
      <c r="U329" s="6">
        <f t="shared" si="58"/>
        <v>12942000</v>
      </c>
      <c r="V329" s="6">
        <f t="shared" si="59"/>
        <v>0</v>
      </c>
    </row>
    <row r="330" spans="1:22" s="8" customFormat="1" ht="16" customHeight="1">
      <c r="A330" s="4" t="s">
        <v>1</v>
      </c>
      <c r="B330" s="35">
        <v>2025</v>
      </c>
      <c r="C330" s="26" t="s">
        <v>463</v>
      </c>
      <c r="D330" s="29" t="s">
        <v>454</v>
      </c>
      <c r="E330" s="36">
        <v>0</v>
      </c>
      <c r="F330" s="6">
        <v>0</v>
      </c>
      <c r="G330" s="6">
        <v>0</v>
      </c>
      <c r="H330" s="5" t="s">
        <v>0</v>
      </c>
      <c r="I330" s="29" t="s">
        <v>368</v>
      </c>
      <c r="J330" s="29" t="s">
        <v>13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331100</v>
      </c>
      <c r="S330" s="6">
        <v>0</v>
      </c>
      <c r="T330" s="6"/>
      <c r="U330" s="6">
        <f t="shared" ref="U330:U331" si="60">E330+K330+L330+M330+N330+O330+P330+Q330+R330</f>
        <v>331100</v>
      </c>
      <c r="V330" s="6">
        <f t="shared" ref="V330:V331" si="61">G330+S330</f>
        <v>0</v>
      </c>
    </row>
    <row r="331" spans="1:22" s="8" customFormat="1" ht="16" customHeight="1">
      <c r="A331" s="4" t="s">
        <v>1</v>
      </c>
      <c r="B331" s="35">
        <v>2025</v>
      </c>
      <c r="C331" s="26" t="s">
        <v>463</v>
      </c>
      <c r="D331" s="29" t="s">
        <v>455</v>
      </c>
      <c r="E331" s="36">
        <v>0</v>
      </c>
      <c r="F331" s="6">
        <v>0</v>
      </c>
      <c r="G331" s="6">
        <v>0</v>
      </c>
      <c r="H331" s="5" t="s">
        <v>0</v>
      </c>
      <c r="I331" s="29" t="s">
        <v>368</v>
      </c>
      <c r="J331" s="29" t="s">
        <v>13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1387155</v>
      </c>
      <c r="S331" s="6">
        <v>0</v>
      </c>
      <c r="T331" s="6"/>
      <c r="U331" s="6">
        <f t="shared" si="60"/>
        <v>1387155</v>
      </c>
      <c r="V331" s="6">
        <f t="shared" si="61"/>
        <v>0</v>
      </c>
    </row>
    <row r="332" spans="1:22" s="8" customFormat="1" ht="16" customHeight="1">
      <c r="A332" s="4" t="s">
        <v>1</v>
      </c>
      <c r="B332" s="35">
        <v>2025</v>
      </c>
      <c r="C332" s="26" t="s">
        <v>465</v>
      </c>
      <c r="D332" s="29" t="s">
        <v>456</v>
      </c>
      <c r="E332" s="36">
        <v>0</v>
      </c>
      <c r="F332" s="6">
        <v>0</v>
      </c>
      <c r="G332" s="6">
        <v>0</v>
      </c>
      <c r="H332" s="5" t="s">
        <v>0</v>
      </c>
      <c r="I332" s="29" t="s">
        <v>397</v>
      </c>
      <c r="J332" s="29" t="s">
        <v>13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2350000</v>
      </c>
      <c r="S332" s="6">
        <v>0</v>
      </c>
      <c r="T332" s="6"/>
      <c r="U332" s="6">
        <f t="shared" si="58"/>
        <v>2350000</v>
      </c>
      <c r="V332" s="6">
        <f t="shared" si="59"/>
        <v>0</v>
      </c>
    </row>
    <row r="333" spans="1:22" s="8" customFormat="1" ht="16" customHeight="1">
      <c r="A333" s="4" t="s">
        <v>1</v>
      </c>
      <c r="B333" s="35">
        <v>2025</v>
      </c>
      <c r="C333" s="26" t="s">
        <v>465</v>
      </c>
      <c r="D333" s="1" t="s">
        <v>469</v>
      </c>
      <c r="E333" s="36">
        <v>0</v>
      </c>
      <c r="F333" s="6">
        <v>0</v>
      </c>
      <c r="G333" s="6">
        <v>0</v>
      </c>
      <c r="H333" s="5" t="s">
        <v>0</v>
      </c>
      <c r="I333" s="29" t="s">
        <v>397</v>
      </c>
      <c r="J333" s="29" t="s">
        <v>13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50053500</v>
      </c>
      <c r="S333" s="6">
        <v>0</v>
      </c>
      <c r="T333" s="6"/>
      <c r="U333" s="6">
        <f t="shared" ref="U333:U334" si="62">E333+K333+L333+M333+N333+O333+P333+Q333+R333</f>
        <v>50053500</v>
      </c>
      <c r="V333" s="6">
        <f t="shared" ref="V333:V334" si="63">G333+S333</f>
        <v>0</v>
      </c>
    </row>
    <row r="334" spans="1:22" s="8" customFormat="1" ht="16" customHeight="1">
      <c r="A334" s="4" t="s">
        <v>1</v>
      </c>
      <c r="B334" s="35">
        <v>2025</v>
      </c>
      <c r="C334" s="26" t="s">
        <v>465</v>
      </c>
      <c r="D334" s="1" t="s">
        <v>470</v>
      </c>
      <c r="E334" s="36">
        <v>0</v>
      </c>
      <c r="F334" s="6">
        <v>0</v>
      </c>
      <c r="G334" s="6">
        <v>0</v>
      </c>
      <c r="H334" s="5" t="s">
        <v>0</v>
      </c>
      <c r="I334" s="1" t="s">
        <v>422</v>
      </c>
      <c r="J334" s="29" t="s">
        <v>13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5000000</v>
      </c>
      <c r="S334" s="6">
        <v>0</v>
      </c>
      <c r="T334" s="6"/>
      <c r="U334" s="6">
        <f t="shared" si="62"/>
        <v>5000000</v>
      </c>
      <c r="V334" s="6">
        <f t="shared" si="63"/>
        <v>0</v>
      </c>
    </row>
    <row r="335" spans="1:22" s="8" customFormat="1" ht="16" customHeight="1">
      <c r="A335" s="4" t="s">
        <v>1</v>
      </c>
      <c r="B335" s="35">
        <v>2025</v>
      </c>
      <c r="C335" s="26" t="s">
        <v>465</v>
      </c>
      <c r="D335" s="29" t="s">
        <v>457</v>
      </c>
      <c r="E335" s="36">
        <v>0</v>
      </c>
      <c r="F335" s="6">
        <v>0</v>
      </c>
      <c r="G335" s="6">
        <v>0</v>
      </c>
      <c r="H335" s="5" t="s">
        <v>0</v>
      </c>
      <c r="I335" s="29" t="s">
        <v>368</v>
      </c>
      <c r="J335" s="29" t="s">
        <v>13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3345000</v>
      </c>
      <c r="S335" s="6">
        <v>0</v>
      </c>
      <c r="T335" s="6"/>
      <c r="U335" s="6">
        <f t="shared" ref="U335" si="64">E335+K335+L335+M335+N335+O335+P335+Q335+R335</f>
        <v>3345000</v>
      </c>
      <c r="V335" s="6">
        <f t="shared" ref="V335" si="65">G335+S335</f>
        <v>0</v>
      </c>
    </row>
    <row r="336" spans="1:22" s="8" customFormat="1" ht="16" customHeight="1">
      <c r="A336" s="4" t="s">
        <v>1</v>
      </c>
      <c r="B336" s="35">
        <v>2025</v>
      </c>
      <c r="C336" s="26" t="s">
        <v>465</v>
      </c>
      <c r="D336" s="29" t="s">
        <v>471</v>
      </c>
      <c r="E336" s="36">
        <v>0</v>
      </c>
      <c r="F336" s="6">
        <v>0</v>
      </c>
      <c r="G336" s="6">
        <v>0</v>
      </c>
      <c r="H336" s="5" t="s">
        <v>0</v>
      </c>
      <c r="I336" s="1" t="s">
        <v>423</v>
      </c>
      <c r="J336" s="29" t="s">
        <v>13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119000</v>
      </c>
      <c r="S336" s="6">
        <v>0</v>
      </c>
      <c r="T336" s="6"/>
      <c r="U336" s="6">
        <f t="shared" ref="U336:U339" si="66">E336+K336+L336+M336+N336+O336+P336+Q336+R336</f>
        <v>119000</v>
      </c>
      <c r="V336" s="6">
        <f t="shared" ref="V336:V339" si="67">G336+S336</f>
        <v>0</v>
      </c>
    </row>
    <row r="337" spans="1:23" s="8" customFormat="1" ht="16" customHeight="1">
      <c r="A337" s="4" t="s">
        <v>1</v>
      </c>
      <c r="B337" s="35">
        <v>2025</v>
      </c>
      <c r="C337" s="26" t="s">
        <v>465</v>
      </c>
      <c r="D337" s="29" t="s">
        <v>472</v>
      </c>
      <c r="E337" s="36">
        <v>0</v>
      </c>
      <c r="F337" s="6">
        <v>0</v>
      </c>
      <c r="G337" s="6">
        <v>0</v>
      </c>
      <c r="H337" s="5" t="s">
        <v>0</v>
      </c>
      <c r="I337" s="1" t="s">
        <v>407</v>
      </c>
      <c r="J337" s="29" t="s">
        <v>13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18000000</v>
      </c>
      <c r="S337" s="6">
        <v>0</v>
      </c>
      <c r="T337" s="6"/>
      <c r="U337" s="6">
        <f t="shared" si="66"/>
        <v>18000000</v>
      </c>
      <c r="V337" s="6">
        <f t="shared" si="67"/>
        <v>0</v>
      </c>
    </row>
    <row r="338" spans="1:23" s="8" customFormat="1" ht="16" customHeight="1">
      <c r="A338" s="4" t="s">
        <v>1</v>
      </c>
      <c r="B338" s="35">
        <v>2025</v>
      </c>
      <c r="C338" s="26" t="s">
        <v>473</v>
      </c>
      <c r="D338" t="s">
        <v>474</v>
      </c>
      <c r="E338" s="36">
        <v>0</v>
      </c>
      <c r="F338" s="6">
        <v>0</v>
      </c>
      <c r="G338" s="6">
        <v>0</v>
      </c>
      <c r="H338" s="5" t="s">
        <v>0</v>
      </c>
      <c r="I338" s="29" t="s">
        <v>368</v>
      </c>
      <c r="J338" s="29" t="s">
        <v>13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183500</v>
      </c>
      <c r="S338" s="6">
        <v>0</v>
      </c>
      <c r="T338" s="6"/>
      <c r="U338" s="6">
        <f t="shared" si="66"/>
        <v>183500</v>
      </c>
      <c r="V338" s="6">
        <f t="shared" si="67"/>
        <v>0</v>
      </c>
    </row>
    <row r="339" spans="1:23" s="8" customFormat="1" ht="16" customHeight="1">
      <c r="A339" s="4" t="s">
        <v>1</v>
      </c>
      <c r="B339" s="35">
        <v>2025</v>
      </c>
      <c r="C339" s="26" t="s">
        <v>473</v>
      </c>
      <c r="D339" t="s">
        <v>475</v>
      </c>
      <c r="E339" s="36">
        <v>0</v>
      </c>
      <c r="F339" s="6">
        <v>0</v>
      </c>
      <c r="G339" s="6">
        <v>0</v>
      </c>
      <c r="H339" s="5" t="s">
        <v>0</v>
      </c>
      <c r="I339" s="29" t="s">
        <v>368</v>
      </c>
      <c r="J339" s="29" t="s">
        <v>13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21000</v>
      </c>
      <c r="S339" s="6">
        <v>0</v>
      </c>
      <c r="T339" s="6"/>
      <c r="U339" s="6">
        <f t="shared" si="66"/>
        <v>21000</v>
      </c>
      <c r="V339" s="6">
        <f t="shared" si="67"/>
        <v>0</v>
      </c>
    </row>
    <row r="340" spans="1:23" s="8" customFormat="1" ht="16" customHeight="1">
      <c r="A340" s="4" t="s">
        <v>1</v>
      </c>
      <c r="B340" s="35">
        <v>2025</v>
      </c>
      <c r="C340" s="26" t="s">
        <v>13</v>
      </c>
      <c r="D340" s="29" t="s">
        <v>467</v>
      </c>
      <c r="E340" s="36">
        <v>0</v>
      </c>
      <c r="F340" s="6">
        <v>0</v>
      </c>
      <c r="G340" s="6">
        <v>0</v>
      </c>
      <c r="H340" s="5" t="s">
        <v>0</v>
      </c>
      <c r="I340" s="29" t="s">
        <v>291</v>
      </c>
      <c r="J340" s="29" t="s">
        <v>13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327642222</v>
      </c>
      <c r="S340" s="6">
        <v>0</v>
      </c>
      <c r="T340" s="6"/>
      <c r="U340" s="6">
        <f t="shared" si="58"/>
        <v>327642222</v>
      </c>
      <c r="V340" s="6">
        <f t="shared" si="59"/>
        <v>0</v>
      </c>
    </row>
    <row r="342" spans="1:23" s="27" customFormat="1">
      <c r="A342" s="14"/>
      <c r="B342" s="14"/>
      <c r="C342" s="5"/>
      <c r="D342" s="5"/>
      <c r="E342" s="50">
        <f>SUBTOTAL(9,E4:E341)</f>
        <v>7257557384.8400002</v>
      </c>
      <c r="F342" s="50">
        <f>SUBTOTAL(9,F4:F341)</f>
        <v>0</v>
      </c>
      <c r="G342" s="50">
        <f>SUBTOTAL(9,G4:G341)</f>
        <v>0</v>
      </c>
      <c r="H342" s="5"/>
      <c r="I342" s="5"/>
      <c r="J342" s="7"/>
      <c r="K342" s="55">
        <f t="shared" ref="K342:S342" si="68">SUBTOTAL(9,K4:K341)</f>
        <v>686680889</v>
      </c>
      <c r="L342" s="55">
        <f t="shared" si="68"/>
        <v>149183884</v>
      </c>
      <c r="M342" s="55">
        <f t="shared" si="68"/>
        <v>-393065428</v>
      </c>
      <c r="N342" s="55">
        <f t="shared" si="68"/>
        <v>0</v>
      </c>
      <c r="O342" s="55">
        <f t="shared" si="68"/>
        <v>-1500000</v>
      </c>
      <c r="P342" s="55">
        <f t="shared" si="68"/>
        <v>-154034667</v>
      </c>
      <c r="Q342" s="55">
        <f t="shared" si="68"/>
        <v>-2892500</v>
      </c>
      <c r="R342" s="55">
        <f t="shared" si="68"/>
        <v>-540844924.84000003</v>
      </c>
      <c r="S342" s="55">
        <f t="shared" si="68"/>
        <v>-3323562928</v>
      </c>
      <c r="T342" s="34"/>
      <c r="U342" s="55">
        <f>SUBTOTAL(9,U4:U341)</f>
        <v>3677521710</v>
      </c>
      <c r="V342" s="55">
        <f>SUBTOTAL(9,V4:V341)</f>
        <v>0</v>
      </c>
    </row>
    <row r="343" spans="1:23" s="16" customFormat="1">
      <c r="A343" s="14"/>
      <c r="B343" s="14"/>
      <c r="C343" s="5"/>
      <c r="D343" s="5" t="s">
        <v>13</v>
      </c>
      <c r="E343" s="50"/>
      <c r="F343" s="17"/>
      <c r="G343" s="17"/>
      <c r="H343" s="5"/>
      <c r="I343" s="5"/>
      <c r="J343" s="7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7"/>
    </row>
    <row r="344" spans="1:23" s="66" customFormat="1">
      <c r="A344" s="63"/>
      <c r="B344" s="63"/>
      <c r="C344" s="62"/>
      <c r="D344" s="62"/>
      <c r="E344" s="64"/>
      <c r="F344" s="65"/>
      <c r="G344" s="65"/>
      <c r="H344" s="62"/>
      <c r="I344" s="62"/>
      <c r="K344" s="60">
        <v>686680889</v>
      </c>
      <c r="L344" s="60">
        <v>149183884</v>
      </c>
      <c r="M344" s="60">
        <v>-393065428</v>
      </c>
      <c r="N344" s="60">
        <v>0</v>
      </c>
      <c r="O344" s="60">
        <v>-1500000</v>
      </c>
      <c r="P344" s="60">
        <v>-154034667</v>
      </c>
      <c r="Q344" s="60">
        <v>-2892500</v>
      </c>
      <c r="R344" s="60">
        <v>-540844924.83999991</v>
      </c>
      <c r="S344" s="60">
        <v>0</v>
      </c>
      <c r="T344" s="60"/>
      <c r="U344" s="60"/>
      <c r="V344" s="60"/>
      <c r="W344" s="27"/>
    </row>
    <row r="345" spans="1:23">
      <c r="L345" s="6" t="s">
        <v>13</v>
      </c>
      <c r="M345" s="6" t="s">
        <v>13</v>
      </c>
      <c r="N345" s="6" t="s">
        <v>13</v>
      </c>
      <c r="O345" s="6" t="s">
        <v>13</v>
      </c>
      <c r="P345" s="6" t="s">
        <v>13</v>
      </c>
      <c r="Q345" s="6" t="s">
        <v>13</v>
      </c>
      <c r="R345" s="6" t="s">
        <v>13</v>
      </c>
      <c r="S345" s="6" t="s">
        <v>13</v>
      </c>
    </row>
    <row r="346" spans="1:23" s="48" customFormat="1">
      <c r="A346" s="56"/>
      <c r="B346" s="56"/>
      <c r="C346" s="31"/>
      <c r="D346" s="31"/>
      <c r="E346" s="57"/>
      <c r="F346" s="37"/>
      <c r="G346" s="37"/>
      <c r="H346" s="31"/>
      <c r="I346" s="31"/>
      <c r="K346" s="40">
        <f t="shared" ref="K346:S346" si="69">K342-K344</f>
        <v>0</v>
      </c>
      <c r="L346" s="40">
        <f t="shared" si="69"/>
        <v>0</v>
      </c>
      <c r="M346" s="40">
        <f t="shared" si="69"/>
        <v>0</v>
      </c>
      <c r="N346" s="40">
        <f t="shared" si="69"/>
        <v>0</v>
      </c>
      <c r="O346" s="40">
        <f t="shared" si="69"/>
        <v>0</v>
      </c>
      <c r="P346" s="40">
        <f t="shared" si="69"/>
        <v>0</v>
      </c>
      <c r="Q346" s="40">
        <f t="shared" si="69"/>
        <v>0</v>
      </c>
      <c r="R346" s="40">
        <f t="shared" si="69"/>
        <v>0</v>
      </c>
      <c r="S346" s="40">
        <f t="shared" si="69"/>
        <v>-3323562928</v>
      </c>
      <c r="T346" s="40"/>
      <c r="U346" s="40"/>
      <c r="V346" s="40"/>
      <c r="W346" s="41"/>
    </row>
    <row r="348" spans="1:23">
      <c r="R348" s="6" t="s">
        <v>13</v>
      </c>
    </row>
    <row r="349" spans="1:23">
      <c r="R349" s="6" t="s">
        <v>13</v>
      </c>
    </row>
  </sheetData>
  <autoFilter ref="A3:V340" xr:uid="{CBF823FE-3832-334D-A267-F2D8B0A33CAA}"/>
  <mergeCells count="2">
    <mergeCell ref="K2:S2"/>
    <mergeCell ref="U2:V2"/>
  </mergeCells>
  <pageMargins left="0.45" right="0.45" top="0.75" bottom="0.75" header="0.3" footer="0.3"/>
  <pageSetup scale="25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</vt:lpstr>
      <vt:lpstr>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RYAN FADILLA</cp:lastModifiedBy>
  <cp:lastPrinted>2026-02-11T07:29:25Z</cp:lastPrinted>
  <dcterms:created xsi:type="dcterms:W3CDTF">2022-01-08T11:05:28Z</dcterms:created>
  <dcterms:modified xsi:type="dcterms:W3CDTF">2026-06-01T07:06:40Z</dcterms:modified>
</cp:coreProperties>
</file>