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0" windowWidth="28800" windowHeight="12885"/>
  </bookViews>
  <sheets>
    <sheet name="Inter Accounts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2" i="11" l="1"/>
  <c r="N166" i="11" s="1"/>
  <c r="M162" i="11"/>
  <c r="L162" i="11"/>
  <c r="K162" i="11"/>
  <c r="J162" i="11"/>
  <c r="I162" i="11"/>
  <c r="H162" i="11"/>
  <c r="G162" i="11"/>
  <c r="F162" i="11"/>
  <c r="E162" i="11"/>
  <c r="D162" i="11"/>
  <c r="C162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7" i="11"/>
  <c r="P136" i="11"/>
  <c r="P124" i="11"/>
  <c r="P112" i="11"/>
  <c r="P100" i="11"/>
  <c r="P88" i="11"/>
  <c r="P76" i="11"/>
  <c r="P64" i="11"/>
  <c r="P52" i="11"/>
  <c r="P40" i="11"/>
  <c r="P28" i="11"/>
  <c r="P16" i="11"/>
  <c r="P30" i="11" l="1"/>
  <c r="P101" i="11" l="1"/>
  <c r="P102" i="11"/>
  <c r="P103" i="11"/>
  <c r="P104" i="11"/>
  <c r="P105" i="11"/>
  <c r="P106" i="11"/>
  <c r="P107" i="11"/>
  <c r="P108" i="11"/>
  <c r="P109" i="11"/>
  <c r="P110" i="11"/>
  <c r="P111" i="11"/>
  <c r="P145" i="11"/>
  <c r="P133" i="11"/>
  <c r="P121" i="11"/>
  <c r="P96" i="11"/>
  <c r="P84" i="11"/>
  <c r="P72" i="11"/>
  <c r="P60" i="11"/>
  <c r="P48" i="11"/>
  <c r="P36" i="11"/>
  <c r="P24" i="11"/>
  <c r="P12" i="11"/>
  <c r="K166" i="11"/>
  <c r="L166" i="11" l="1"/>
  <c r="J166" i="11"/>
  <c r="P135" i="11"/>
  <c r="P134" i="11"/>
  <c r="P132" i="11"/>
  <c r="P131" i="11"/>
  <c r="P130" i="11"/>
  <c r="P129" i="11"/>
  <c r="P128" i="11"/>
  <c r="P127" i="11"/>
  <c r="P126" i="11"/>
  <c r="P125" i="11"/>
  <c r="P99" i="11"/>
  <c r="P98" i="11"/>
  <c r="P97" i="11"/>
  <c r="P95" i="11"/>
  <c r="P94" i="11"/>
  <c r="P93" i="11"/>
  <c r="P92" i="11"/>
  <c r="P91" i="11"/>
  <c r="P90" i="11"/>
  <c r="P89" i="11"/>
  <c r="P75" i="11"/>
  <c r="P74" i="11"/>
  <c r="P73" i="11"/>
  <c r="P71" i="11"/>
  <c r="P70" i="11"/>
  <c r="P69" i="11"/>
  <c r="P68" i="11"/>
  <c r="P67" i="11"/>
  <c r="P66" i="11"/>
  <c r="P65" i="11"/>
  <c r="P51" i="11"/>
  <c r="P50" i="11"/>
  <c r="P49" i="11"/>
  <c r="P47" i="11"/>
  <c r="P46" i="11"/>
  <c r="P45" i="11"/>
  <c r="P44" i="11"/>
  <c r="P43" i="11"/>
  <c r="P42" i="11"/>
  <c r="P41" i="11"/>
  <c r="P27" i="11"/>
  <c r="P26" i="11"/>
  <c r="P25" i="11"/>
  <c r="P23" i="11"/>
  <c r="P22" i="11"/>
  <c r="P21" i="11"/>
  <c r="P20" i="11"/>
  <c r="P19" i="11"/>
  <c r="P18" i="11"/>
  <c r="P148" i="11"/>
  <c r="P146" i="11"/>
  <c r="P144" i="11"/>
  <c r="P143" i="11"/>
  <c r="P142" i="11"/>
  <c r="P141" i="11"/>
  <c r="P140" i="11"/>
  <c r="P139" i="11"/>
  <c r="P138" i="11"/>
  <c r="P137" i="11"/>
  <c r="P123" i="11"/>
  <c r="P122" i="11"/>
  <c r="P120" i="11"/>
  <c r="P119" i="11"/>
  <c r="P118" i="11"/>
  <c r="P117" i="11"/>
  <c r="P116" i="11"/>
  <c r="P115" i="11"/>
  <c r="P114" i="11"/>
  <c r="P113" i="11"/>
  <c r="P87" i="11"/>
  <c r="P86" i="11"/>
  <c r="P85" i="11"/>
  <c r="P83" i="11"/>
  <c r="P82" i="11"/>
  <c r="P81" i="11"/>
  <c r="P80" i="11"/>
  <c r="P79" i="11"/>
  <c r="P78" i="11"/>
  <c r="P77" i="11"/>
  <c r="P63" i="11"/>
  <c r="P62" i="11"/>
  <c r="P61" i="11"/>
  <c r="P59" i="11"/>
  <c r="P58" i="11"/>
  <c r="P57" i="11"/>
  <c r="P56" i="11"/>
  <c r="P55" i="11"/>
  <c r="P54" i="11"/>
  <c r="P53" i="11"/>
  <c r="P39" i="11"/>
  <c r="P38" i="11"/>
  <c r="P37" i="11"/>
  <c r="P35" i="11"/>
  <c r="P34" i="11"/>
  <c r="P33" i="11"/>
  <c r="P32" i="11"/>
  <c r="P31" i="11"/>
  <c r="P29" i="11"/>
  <c r="P15" i="11"/>
  <c r="P14" i="11"/>
  <c r="P13" i="11"/>
  <c r="P11" i="11"/>
  <c r="P10" i="11"/>
  <c r="P9" i="11"/>
  <c r="P8" i="11"/>
  <c r="P7" i="11"/>
  <c r="P6" i="11"/>
  <c r="I166" i="11" l="1"/>
  <c r="H166" i="11" l="1"/>
  <c r="D166" i="11"/>
  <c r="P17" i="11" l="1"/>
  <c r="O162" i="11" l="1"/>
  <c r="O166" i="11" s="1"/>
  <c r="M166" i="11"/>
  <c r="G166" i="11"/>
  <c r="F166" i="11"/>
  <c r="E166" i="11"/>
  <c r="C166" i="11"/>
  <c r="P5" i="11"/>
  <c r="P162" i="11" l="1"/>
</calcChain>
</file>

<file path=xl/sharedStrings.xml><?xml version="1.0" encoding="utf-8"?>
<sst xmlns="http://schemas.openxmlformats.org/spreadsheetml/2006/main" count="171" uniqueCount="170">
  <si>
    <t xml:space="preserve"> </t>
  </si>
  <si>
    <t>BTN</t>
  </si>
  <si>
    <t>Cash IDR</t>
  </si>
  <si>
    <t>Non Cash Bank</t>
  </si>
  <si>
    <t>BTN to Cash IDR</t>
  </si>
  <si>
    <t>Cash IDR to BTN</t>
  </si>
  <si>
    <t>Cash IDR to Non Cash Bank</t>
  </si>
  <si>
    <t>Non Cash Bank to BTN</t>
  </si>
  <si>
    <t>Non Cash Bank to Cash IDR</t>
  </si>
  <si>
    <t>Bank Raya</t>
  </si>
  <si>
    <t>BJB</t>
  </si>
  <si>
    <t>BTN to Non Cash Bank</t>
  </si>
  <si>
    <t>BTN to BJB</t>
  </si>
  <si>
    <t>Cash IDR to BJB</t>
  </si>
  <si>
    <t>Non Cash Bank to BJB</t>
  </si>
  <si>
    <t>BJB to BTN</t>
  </si>
  <si>
    <t>BJB to Cash IDR</t>
  </si>
  <si>
    <t>BJB to Non Cash Bank</t>
  </si>
  <si>
    <t>BTN to Bank Raya</t>
  </si>
  <si>
    <t>BJB to Bank Raya</t>
  </si>
  <si>
    <t>Cash IDR to Bank Raya</t>
  </si>
  <si>
    <t>Non Cash Bank to Bank Raya</t>
  </si>
  <si>
    <t>Bank Raya to BTN</t>
  </si>
  <si>
    <t>Bank Raya to BJB</t>
  </si>
  <si>
    <t>Bank Raya to Cash IDR</t>
  </si>
  <si>
    <t>Bank Raya to Non Cash Bank</t>
  </si>
  <si>
    <t>BTN to BRI Tebet</t>
  </si>
  <si>
    <t>BRI Tebet to BRI Sahardjo</t>
  </si>
  <si>
    <t>BRI Tebet to BCA Juanda</t>
  </si>
  <si>
    <t>BCA Juanda to BRI Sahardjo</t>
  </si>
  <si>
    <t>BRI Sahardjo to BCA Juanda</t>
  </si>
  <si>
    <t>BRI Sahardjo to Non Cash Bank</t>
  </si>
  <si>
    <t>BCA Sahardjo to Cash IDR</t>
  </si>
  <si>
    <t>BCA Juanda to BCA Sahardjo</t>
  </si>
  <si>
    <t>BCA Juanda to Cash IDR</t>
  </si>
  <si>
    <t>Cash IDR to BCA Juanda</t>
  </si>
  <si>
    <t>BCA Sahardjo to BCA Juanda</t>
  </si>
  <si>
    <t>BCA Juanda to Non Cash Bank</t>
  </si>
  <si>
    <t>BCA Sahardjo to BRI Sahardjo</t>
  </si>
  <si>
    <t>BRI Tebet</t>
  </si>
  <si>
    <t>BRI Sahardjo</t>
  </si>
  <si>
    <t>BCA Juanda</t>
  </si>
  <si>
    <t>BCA Juanda to BTN</t>
  </si>
  <si>
    <t>BCA Juanda to BJB</t>
  </si>
  <si>
    <t>BCA Juanda to Bank Raya</t>
  </si>
  <si>
    <t>BTN to BCA Juanda</t>
  </si>
  <si>
    <t>BJB to BCA Juanda</t>
  </si>
  <si>
    <t>Bank Raya to BCA Juanda</t>
  </si>
  <si>
    <t>Non Cash Bank to BCA Juanda</t>
  </si>
  <si>
    <t>BRI Sahardjo to BTN</t>
  </si>
  <si>
    <t>BRI Sahardjo to BJB</t>
  </si>
  <si>
    <t>BRI Sahardjo to Bank Raya</t>
  </si>
  <si>
    <t>BRI Sahardjo to Cash IDR</t>
  </si>
  <si>
    <t>BTN to BRI Sahardjo</t>
  </si>
  <si>
    <t>BJB to BRI Sahardjo</t>
  </si>
  <si>
    <t>Bank Raya to BRI Sahardjo</t>
  </si>
  <si>
    <t>Cash IDR to BRI Sahardjo</t>
  </si>
  <si>
    <t>Non Cash Bank to BRI Sahardjo</t>
  </si>
  <si>
    <t>BCA Juanda to BRI Tebet</t>
  </si>
  <si>
    <t>BRI Sahardjo to BRI Tebet</t>
  </si>
  <si>
    <t>BTN to Bank Kelapa Gading</t>
  </si>
  <si>
    <t>BJB to BRI Tebet</t>
  </si>
  <si>
    <t>Bank Raya to BRI Tebet</t>
  </si>
  <si>
    <t>BRI Tebet to BTN</t>
  </si>
  <si>
    <t>BRI Tebet to Bank Raya</t>
  </si>
  <si>
    <t>BRI Tebet to Cash IDR</t>
  </si>
  <si>
    <t>BRI Tebet to Non Cash Bank</t>
  </si>
  <si>
    <t>BRI Tebet to BJB</t>
  </si>
  <si>
    <t>Cash IDR to BRI Tebet</t>
  </si>
  <si>
    <t>Non Cash Bank to BRI Tebet</t>
  </si>
  <si>
    <t>BCA Sahardjo</t>
  </si>
  <si>
    <t>BCA Sahardjo to BTN</t>
  </si>
  <si>
    <t>BCA Sahardjo to BJB</t>
  </si>
  <si>
    <t>BCA Sahardjo to Bank Raya</t>
  </si>
  <si>
    <t>BCA Sahardjo to BRI Tebet</t>
  </si>
  <si>
    <t>BCA Sahardjo to Non Cash Bank</t>
  </si>
  <si>
    <t>BRI Sahardjo to BCA Sahardjo</t>
  </si>
  <si>
    <t>BTN to BCA Sahardjo</t>
  </si>
  <si>
    <t>BJB to BCA Sahardjo</t>
  </si>
  <si>
    <t>Bank Raya to BCA Sahardjo</t>
  </si>
  <si>
    <t>BRI Tebet to BCA Sahardjo</t>
  </si>
  <si>
    <t>Cash IDR to BCA Sahardjo</t>
  </si>
  <si>
    <t>Non Cash Bank to BCA Sahardjo</t>
  </si>
  <si>
    <t>Mandiri Mid Plaza</t>
  </si>
  <si>
    <t>Mandiri Plasa Mandiri</t>
  </si>
  <si>
    <t>BNI to BCA Juanda</t>
  </si>
  <si>
    <t>BCA Sahardjo to Mandiri Mid Plaza</t>
  </si>
  <si>
    <t>Mandiri Mid Plaza to BCA Sahardjo</t>
  </si>
  <si>
    <t>BCA Juanda to Mandiri Mid Plaza</t>
  </si>
  <si>
    <t>Mandiri Mid Plaza to BCA Juanda</t>
  </si>
  <si>
    <t>BNI to Mandiri Mid Plaza</t>
  </si>
  <si>
    <t>BTN to Mandiri Mid Plaza</t>
  </si>
  <si>
    <t>Mandiri Mid Plaza to BRI Sahardjo</t>
  </si>
  <si>
    <t>Mandiri Mid Plaza to BRI Tebet</t>
  </si>
  <si>
    <t>Mandiri Mid Plaza to BTN</t>
  </si>
  <si>
    <t>Mandiri Mid Plaza to Non Cash Bank</t>
  </si>
  <si>
    <t>BRI Sahardjo to Mandiri Mid Plaza</t>
  </si>
  <si>
    <t>BCA Sahardjo to Mandiri Plasa</t>
  </si>
  <si>
    <t>BCA Juanda to Mandiri Plasa</t>
  </si>
  <si>
    <t>Mandiri Mid Plaza to Mandiri Plasa</t>
  </si>
  <si>
    <t>Mandiri Mid Plaza to BJB</t>
  </si>
  <si>
    <t>Mandiri Mid Plaza to Bank Raya</t>
  </si>
  <si>
    <t>Mandiri Mid Plaza to Cash IDR</t>
  </si>
  <si>
    <t>BRI Sahardjo to Mandiri Plasa</t>
  </si>
  <si>
    <t>BTN to Mandiri Plasa</t>
  </si>
  <si>
    <t>BJB to Mandiri Mid Plaza</t>
  </si>
  <si>
    <t>BJB to Mandiri Plasa</t>
  </si>
  <si>
    <t>Bank Raya to Mandiri Mid Plaza</t>
  </si>
  <si>
    <t>Bank Raya to Mandiri Plasa</t>
  </si>
  <si>
    <t>BRI Tebet to Mandiri Mid Plaza</t>
  </si>
  <si>
    <t>BRI Tebet to Mandiri Plasa</t>
  </si>
  <si>
    <t>Cash IDR to Mandiri Mid Plaza</t>
  </si>
  <si>
    <t>Cash IDR to Mandiri Plasa</t>
  </si>
  <si>
    <t>Non Cash Bank to Mandiri Mid Plaza</t>
  </si>
  <si>
    <t>Non Cash Bank to Mandiri Plasa</t>
  </si>
  <si>
    <t>B N I</t>
  </si>
  <si>
    <t>BCA Sahardjo to BNI</t>
  </si>
  <si>
    <t>BCA Juanda to BNI</t>
  </si>
  <si>
    <t>Mandiri Mid Plaza to BNI</t>
  </si>
  <si>
    <t>BRI Sahardjo to BNI</t>
  </si>
  <si>
    <t>BJB to BNI</t>
  </si>
  <si>
    <t>Bank Raya to BNI</t>
  </si>
  <si>
    <t>BRI Tebet to BNI</t>
  </si>
  <si>
    <t>BNI to BCA Sahardjo</t>
  </si>
  <si>
    <t>BNI to BRI Sahardjo</t>
  </si>
  <si>
    <t>BNI to BTN</t>
  </si>
  <si>
    <t>BNI to BJB</t>
  </si>
  <si>
    <t>BNI to Bank Raya</t>
  </si>
  <si>
    <t>BNI to BRI Tebet</t>
  </si>
  <si>
    <t>BNI to Mandiri Plasa</t>
  </si>
  <si>
    <t>BNI to Cash IDR</t>
  </si>
  <si>
    <t>BNI to Non Cash Bank</t>
  </si>
  <si>
    <t>Cash IDR to BNI</t>
  </si>
  <si>
    <t>Non Cash Bank to BNI</t>
  </si>
  <si>
    <t>Mandiri Plasa to BCA Juanda</t>
  </si>
  <si>
    <t>Mandiri Plasa to Mandiri Mid Plaza</t>
  </si>
  <si>
    <t>Mandiri Plasa to BRI Sahardjo</t>
  </si>
  <si>
    <t>Mandiri Plasa to BTN</t>
  </si>
  <si>
    <t>Mandiri Plasa to BJB</t>
  </si>
  <si>
    <t>Mandiri Plasa to Bank Raya</t>
  </si>
  <si>
    <t>Mandiri Plasa to BRI Tebet</t>
  </si>
  <si>
    <t>Mandiri Plasa to Mandiri Plasa</t>
  </si>
  <si>
    <t>Mandiri Plasa to BNI</t>
  </si>
  <si>
    <t>Mandiri Plasa to Cash IDR</t>
  </si>
  <si>
    <t>Mandiri Plasa to Non Cash Bank</t>
  </si>
  <si>
    <t>BCA Sahardjo to AP PPN</t>
  </si>
  <si>
    <t>BRI Sahardjo to AP PPN</t>
  </si>
  <si>
    <t>BTN to AP PPN</t>
  </si>
  <si>
    <t>BJB to AP PPN</t>
  </si>
  <si>
    <t>Bank Raya to AP PPN</t>
  </si>
  <si>
    <t>BRI Tebet to AP PPN</t>
  </si>
  <si>
    <t>Mandiri Plasa to AP PPN</t>
  </si>
  <si>
    <t>BNI to AP PPN</t>
  </si>
  <si>
    <t>Cash IDR to AP PPN</t>
  </si>
  <si>
    <t>PPn In and Out to Non Cash Bank</t>
  </si>
  <si>
    <t>PPn In and Out</t>
  </si>
  <si>
    <t>BCA Juanda to AP PPN In and Out</t>
  </si>
  <si>
    <t>Mandiri Mid Plaza to PPN In and Out</t>
  </si>
  <si>
    <t>Non Cash Bank to PPN In and Out</t>
  </si>
  <si>
    <t>PPN In and Out to BCA Sahardjo</t>
  </si>
  <si>
    <t>PPn In and Out to BCA Juanda</t>
  </si>
  <si>
    <t>PPn In and Out to Mandiri Mid Plaza</t>
  </si>
  <si>
    <t>PPn In and Out to BRI Sahardjo</t>
  </si>
  <si>
    <t>PPn In and Out to BTN</t>
  </si>
  <si>
    <t>PPn In and Out to BJB</t>
  </si>
  <si>
    <t>PPn In and Out to Bank Raya</t>
  </si>
  <si>
    <t>PPn In and Out to BRI Tebet</t>
  </si>
  <si>
    <t>PPn In and Out to Mandiri Plasa</t>
  </si>
  <si>
    <t>PPn In and Out to BNI</t>
  </si>
  <si>
    <t>PPn In and Out to Cash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</si>
</sst>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4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NewRomanPSMT"/>
    </font>
    <font>
      <sz val="12"/>
      <color theme="1"/>
      <name val="Calibri"/>
      <family val="2"/>
      <scheme val="minor"/>
    </font>
    <font>
      <b/>
      <sz val="12"/>
      <color rgb="FFFF0000"/>
      <name val="TimesNewRomanPSMT"/>
    </font>
    <font>
      <sz val="11"/>
      <color theme="1"/>
      <name val="Calibri"/>
      <family val="2"/>
      <scheme val="minor"/>
    </font>
    <font>
      <sz val="12"/>
      <color rgb="FF0070C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0" fillId="0" borderId="0"/>
    <xf numFmtId="16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164" fontId="2" fillId="0" borderId="0" xfId="1" applyFont="1"/>
    <xf numFmtId="0" fontId="2" fillId="0" borderId="0" xfId="0" applyFont="1" applyAlignment="1">
      <alignment horizontal="center"/>
    </xf>
    <xf numFmtId="164" fontId="5" fillId="0" borderId="0" xfId="1" applyFont="1" applyFill="1"/>
    <xf numFmtId="164" fontId="5" fillId="0" borderId="0" xfId="1" applyFont="1"/>
    <xf numFmtId="0" fontId="6" fillId="0" borderId="0" xfId="0" applyFont="1"/>
    <xf numFmtId="164" fontId="6" fillId="0" borderId="0" xfId="0" applyNumberFormat="1" applyFont="1"/>
    <xf numFmtId="0" fontId="3" fillId="0" borderId="0" xfId="0" applyFont="1"/>
    <xf numFmtId="164" fontId="4" fillId="0" borderId="0" xfId="1" applyFont="1"/>
    <xf numFmtId="0" fontId="9" fillId="0" borderId="0" xfId="0" applyFont="1" applyAlignment="1">
      <alignment horizontal="center"/>
    </xf>
    <xf numFmtId="164" fontId="9" fillId="0" borderId="0" xfId="1" applyFont="1"/>
    <xf numFmtId="0" fontId="0" fillId="2" borderId="0" xfId="0" applyFill="1"/>
    <xf numFmtId="164" fontId="6" fillId="2" borderId="0" xfId="0" applyNumberFormat="1" applyFont="1" applyFill="1"/>
    <xf numFmtId="0" fontId="3" fillId="2" borderId="0" xfId="0" applyFont="1" applyFill="1"/>
    <xf numFmtId="164" fontId="4" fillId="0" borderId="0" xfId="1" applyFont="1" applyFill="1"/>
    <xf numFmtId="164" fontId="11" fillId="0" borderId="0" xfId="1" applyFont="1"/>
    <xf numFmtId="164" fontId="6" fillId="0" borderId="0" xfId="1" applyFont="1"/>
    <xf numFmtId="164" fontId="13" fillId="0" borderId="0" xfId="1" applyFont="1"/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66"/>
  <sheetViews>
    <sheetView tabSelected="1" topLeftCell="A125" workbookViewId="0">
      <selection sqref="A1:XFD166"/>
    </sheetView>
  </sheetViews>
  <sheetFormatPr defaultColWidth="11.5546875" defaultRowHeight="15.75"/>
  <cols>
    <col min="2" max="2" width="35" customWidth="1"/>
    <col min="3" max="5" width="20.109375" customWidth="1"/>
    <col min="6" max="10" width="20.109375" style="1" customWidth="1"/>
    <col min="11" max="11" width="20.109375" customWidth="1"/>
    <col min="12" max="15" width="20.109375" style="1" customWidth="1"/>
    <col min="16" max="16" width="16.77734375" style="6" customWidth="1"/>
  </cols>
  <sheetData>
    <row r="3" spans="2:16">
      <c r="C3" s="3" t="s">
        <v>70</v>
      </c>
      <c r="D3" s="3" t="s">
        <v>41</v>
      </c>
      <c r="E3" s="3" t="s">
        <v>83</v>
      </c>
      <c r="F3" s="10" t="s">
        <v>40</v>
      </c>
      <c r="G3" s="10" t="s">
        <v>1</v>
      </c>
      <c r="H3" s="10" t="s">
        <v>10</v>
      </c>
      <c r="I3" s="10" t="s">
        <v>9</v>
      </c>
      <c r="J3" s="10" t="s">
        <v>39</v>
      </c>
      <c r="K3" s="3" t="s">
        <v>84</v>
      </c>
      <c r="L3" s="10" t="s">
        <v>115</v>
      </c>
      <c r="M3" s="10" t="s">
        <v>2</v>
      </c>
      <c r="N3" s="10" t="s">
        <v>3</v>
      </c>
      <c r="O3" s="10" t="s">
        <v>155</v>
      </c>
    </row>
    <row r="4" spans="2:16">
      <c r="C4" s="3"/>
      <c r="D4" s="3"/>
      <c r="E4" s="3"/>
      <c r="F4" s="10"/>
      <c r="G4" s="10"/>
      <c r="H4" s="10"/>
      <c r="I4" s="10"/>
      <c r="J4" s="10"/>
      <c r="K4" s="3"/>
      <c r="L4" s="10"/>
      <c r="M4" s="10"/>
      <c r="N4" s="10"/>
      <c r="O4" s="10"/>
    </row>
    <row r="5" spans="2:16">
      <c r="B5" t="s">
        <v>36</v>
      </c>
      <c r="C5" s="5">
        <v>-168567631</v>
      </c>
      <c r="D5" s="5">
        <v>168567631</v>
      </c>
      <c r="E5" s="5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5">
        <v>0</v>
      </c>
      <c r="L5" s="9">
        <v>0</v>
      </c>
      <c r="M5" s="9">
        <v>0</v>
      </c>
      <c r="N5" s="9">
        <v>0</v>
      </c>
      <c r="O5" s="9">
        <v>0</v>
      </c>
      <c r="P5" s="7">
        <f t="shared" ref="P5:P38" si="0">SUM(C5:O5)</f>
        <v>0</v>
      </c>
    </row>
    <row r="6" spans="2:16">
      <c r="B6" t="s">
        <v>86</v>
      </c>
      <c r="C6" s="5">
        <v>-1115000000</v>
      </c>
      <c r="D6" s="5">
        <v>0</v>
      </c>
      <c r="E6" s="5">
        <v>1115000000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5">
        <v>0</v>
      </c>
      <c r="L6" s="9">
        <v>0</v>
      </c>
      <c r="M6" s="9">
        <v>0</v>
      </c>
      <c r="N6" s="9">
        <v>0</v>
      </c>
      <c r="O6" s="9">
        <v>0</v>
      </c>
      <c r="P6" s="7">
        <f t="shared" si="0"/>
        <v>0</v>
      </c>
    </row>
    <row r="7" spans="2:16">
      <c r="B7" t="s">
        <v>38</v>
      </c>
      <c r="C7" s="5">
        <v>0</v>
      </c>
      <c r="D7" s="5">
        <v>0</v>
      </c>
      <c r="E7" s="5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5">
        <v>0</v>
      </c>
      <c r="L7" s="9">
        <v>0</v>
      </c>
      <c r="M7" s="9">
        <v>0</v>
      </c>
      <c r="N7" s="9">
        <v>0</v>
      </c>
      <c r="O7" s="9">
        <v>0</v>
      </c>
      <c r="P7" s="7">
        <f t="shared" si="0"/>
        <v>0</v>
      </c>
    </row>
    <row r="8" spans="2:16">
      <c r="B8" t="s">
        <v>71</v>
      </c>
      <c r="C8" s="5">
        <v>-1750000000</v>
      </c>
      <c r="D8" s="5">
        <v>0</v>
      </c>
      <c r="E8" s="5">
        <v>0</v>
      </c>
      <c r="F8" s="9">
        <v>0</v>
      </c>
      <c r="G8" s="9">
        <v>1750000000</v>
      </c>
      <c r="H8" s="9">
        <v>0</v>
      </c>
      <c r="I8" s="9">
        <v>0</v>
      </c>
      <c r="J8" s="9">
        <v>0</v>
      </c>
      <c r="K8" s="5">
        <v>0</v>
      </c>
      <c r="L8" s="9">
        <v>0</v>
      </c>
      <c r="M8" s="9">
        <v>0</v>
      </c>
      <c r="N8" s="9">
        <v>0</v>
      </c>
      <c r="O8" s="9">
        <v>0</v>
      </c>
      <c r="P8" s="7">
        <f t="shared" si="0"/>
        <v>0</v>
      </c>
    </row>
    <row r="9" spans="2:16">
      <c r="B9" t="s">
        <v>72</v>
      </c>
      <c r="C9" s="5">
        <v>0</v>
      </c>
      <c r="D9" s="5">
        <v>0</v>
      </c>
      <c r="E9" s="5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5">
        <v>0</v>
      </c>
      <c r="L9" s="9">
        <v>0</v>
      </c>
      <c r="M9" s="9">
        <v>0</v>
      </c>
      <c r="N9" s="9">
        <v>0</v>
      </c>
      <c r="O9" s="9">
        <v>0</v>
      </c>
      <c r="P9" s="7">
        <f t="shared" si="0"/>
        <v>0</v>
      </c>
    </row>
    <row r="10" spans="2:16">
      <c r="B10" t="s">
        <v>73</v>
      </c>
      <c r="C10" s="5">
        <v>0</v>
      </c>
      <c r="D10" s="5">
        <v>0</v>
      </c>
      <c r="E10" s="5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5">
        <v>0</v>
      </c>
      <c r="L10" s="9">
        <v>0</v>
      </c>
      <c r="M10" s="9">
        <v>0</v>
      </c>
      <c r="N10" s="9">
        <v>0</v>
      </c>
      <c r="O10" s="9">
        <v>0</v>
      </c>
      <c r="P10" s="7">
        <f t="shared" si="0"/>
        <v>0</v>
      </c>
    </row>
    <row r="11" spans="2:16">
      <c r="B11" t="s">
        <v>74</v>
      </c>
      <c r="C11" s="5">
        <v>0</v>
      </c>
      <c r="D11" s="5">
        <v>0</v>
      </c>
      <c r="E11" s="5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5">
        <v>0</v>
      </c>
      <c r="L11" s="9">
        <v>0</v>
      </c>
      <c r="M11" s="9">
        <v>0</v>
      </c>
      <c r="N11" s="9">
        <v>0</v>
      </c>
      <c r="O11" s="9">
        <v>0</v>
      </c>
      <c r="P11" s="7">
        <f t="shared" si="0"/>
        <v>0</v>
      </c>
    </row>
    <row r="12" spans="2:16">
      <c r="B12" t="s">
        <v>97</v>
      </c>
      <c r="C12" s="5">
        <v>0</v>
      </c>
      <c r="D12" s="5">
        <v>0</v>
      </c>
      <c r="E12" s="5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5">
        <v>0</v>
      </c>
      <c r="L12" s="9">
        <v>0</v>
      </c>
      <c r="M12" s="9">
        <v>0</v>
      </c>
      <c r="N12" s="9">
        <v>0</v>
      </c>
      <c r="O12" s="9">
        <v>0</v>
      </c>
      <c r="P12" s="7">
        <f t="shared" si="0"/>
        <v>0</v>
      </c>
    </row>
    <row r="13" spans="2:16">
      <c r="B13" t="s">
        <v>116</v>
      </c>
      <c r="C13" s="5">
        <v>0</v>
      </c>
      <c r="D13" s="5">
        <v>0</v>
      </c>
      <c r="E13" s="5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5">
        <v>0</v>
      </c>
      <c r="L13" s="9">
        <v>0</v>
      </c>
      <c r="M13" s="9">
        <v>0</v>
      </c>
      <c r="N13" s="9">
        <v>0</v>
      </c>
      <c r="O13" s="9">
        <v>0</v>
      </c>
      <c r="P13" s="7">
        <f t="shared" si="0"/>
        <v>0</v>
      </c>
    </row>
    <row r="14" spans="2:16">
      <c r="B14" t="s">
        <v>32</v>
      </c>
      <c r="C14" s="5">
        <v>0</v>
      </c>
      <c r="D14" s="5">
        <v>0</v>
      </c>
      <c r="E14" s="5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5">
        <v>0</v>
      </c>
      <c r="L14" s="9">
        <v>0</v>
      </c>
      <c r="M14" s="9">
        <v>0</v>
      </c>
      <c r="N14" s="9">
        <v>0</v>
      </c>
      <c r="O14" s="9">
        <v>0</v>
      </c>
      <c r="P14" s="7">
        <f t="shared" si="0"/>
        <v>0</v>
      </c>
    </row>
    <row r="15" spans="2:16">
      <c r="B15" t="s">
        <v>75</v>
      </c>
      <c r="C15" s="5">
        <v>-330000000</v>
      </c>
      <c r="D15" s="5">
        <v>0</v>
      </c>
      <c r="E15" s="5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5">
        <v>0</v>
      </c>
      <c r="L15" s="9">
        <v>0</v>
      </c>
      <c r="M15" s="9">
        <v>0</v>
      </c>
      <c r="N15" s="9">
        <v>330000000</v>
      </c>
      <c r="O15" s="9">
        <v>0</v>
      </c>
      <c r="P15" s="7">
        <f t="shared" si="0"/>
        <v>0</v>
      </c>
    </row>
    <row r="16" spans="2:16">
      <c r="B16" t="s">
        <v>145</v>
      </c>
      <c r="C16" s="5">
        <v>0</v>
      </c>
      <c r="D16" s="5">
        <v>0</v>
      </c>
      <c r="E16" s="5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5">
        <v>0</v>
      </c>
      <c r="L16" s="9">
        <v>0</v>
      </c>
      <c r="M16" s="9">
        <v>0</v>
      </c>
      <c r="N16" s="9">
        <v>0</v>
      </c>
      <c r="O16" s="9">
        <v>0</v>
      </c>
      <c r="P16" s="7">
        <f t="shared" ref="P16" si="1">SUM(C16:O16)</f>
        <v>0</v>
      </c>
    </row>
    <row r="17" spans="2:16">
      <c r="B17" s="12" t="s">
        <v>33</v>
      </c>
      <c r="C17" s="5">
        <v>788340000</v>
      </c>
      <c r="D17" s="5">
        <v>-788340000</v>
      </c>
      <c r="E17" s="5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5">
        <v>0</v>
      </c>
      <c r="L17" s="9">
        <v>0</v>
      </c>
      <c r="M17" s="9">
        <v>0</v>
      </c>
      <c r="N17" s="9">
        <v>0</v>
      </c>
      <c r="O17" s="9">
        <v>0</v>
      </c>
      <c r="P17" s="13">
        <f t="shared" si="0"/>
        <v>0</v>
      </c>
    </row>
    <row r="18" spans="2:16">
      <c r="B18" s="12" t="s">
        <v>88</v>
      </c>
      <c r="C18" s="5">
        <v>0</v>
      </c>
      <c r="D18" s="5">
        <v>-2496850000</v>
      </c>
      <c r="E18" s="5">
        <v>2496850000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5">
        <v>0</v>
      </c>
      <c r="L18" s="9">
        <v>0</v>
      </c>
      <c r="M18" s="9">
        <v>0</v>
      </c>
      <c r="N18" s="9">
        <v>0</v>
      </c>
      <c r="O18" s="9">
        <v>0</v>
      </c>
      <c r="P18" s="13">
        <f t="shared" si="0"/>
        <v>0</v>
      </c>
    </row>
    <row r="19" spans="2:16">
      <c r="B19" s="12" t="s">
        <v>29</v>
      </c>
      <c r="C19" s="5">
        <v>0</v>
      </c>
      <c r="D19" s="5">
        <v>-103000000</v>
      </c>
      <c r="E19" s="5">
        <v>0</v>
      </c>
      <c r="F19" s="9">
        <v>103000000</v>
      </c>
      <c r="G19" s="9">
        <v>0</v>
      </c>
      <c r="H19" s="9">
        <v>0</v>
      </c>
      <c r="I19" s="9">
        <v>0</v>
      </c>
      <c r="J19" s="9">
        <v>0</v>
      </c>
      <c r="K19" s="5">
        <v>0</v>
      </c>
      <c r="L19" s="9">
        <v>0</v>
      </c>
      <c r="M19" s="9">
        <v>0</v>
      </c>
      <c r="N19" s="9">
        <v>0</v>
      </c>
      <c r="O19" s="9">
        <v>0</v>
      </c>
      <c r="P19" s="13">
        <f t="shared" si="0"/>
        <v>0</v>
      </c>
    </row>
    <row r="20" spans="2:16">
      <c r="B20" s="12" t="s">
        <v>42</v>
      </c>
      <c r="C20" s="5">
        <v>0</v>
      </c>
      <c r="D20" s="5">
        <v>0</v>
      </c>
      <c r="E20" s="5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5">
        <v>0</v>
      </c>
      <c r="L20" s="9">
        <v>0</v>
      </c>
      <c r="M20" s="9">
        <v>0</v>
      </c>
      <c r="N20" s="9">
        <v>0</v>
      </c>
      <c r="O20" s="9">
        <v>0</v>
      </c>
      <c r="P20" s="13">
        <f t="shared" si="0"/>
        <v>0</v>
      </c>
    </row>
    <row r="21" spans="2:16">
      <c r="B21" s="12" t="s">
        <v>43</v>
      </c>
      <c r="C21" s="5">
        <v>0</v>
      </c>
      <c r="D21" s="5">
        <v>0</v>
      </c>
      <c r="E21" s="5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5">
        <v>0</v>
      </c>
      <c r="L21" s="9">
        <v>0</v>
      </c>
      <c r="M21" s="9">
        <v>0</v>
      </c>
      <c r="N21" s="9">
        <v>0</v>
      </c>
      <c r="O21" s="9">
        <v>0</v>
      </c>
      <c r="P21" s="13">
        <f t="shared" si="0"/>
        <v>0</v>
      </c>
    </row>
    <row r="22" spans="2:16">
      <c r="B22" s="12" t="s">
        <v>44</v>
      </c>
      <c r="C22" s="5">
        <v>0</v>
      </c>
      <c r="D22" s="5">
        <v>0</v>
      </c>
      <c r="E22" s="5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5">
        <v>0</v>
      </c>
      <c r="L22" s="9">
        <v>0</v>
      </c>
      <c r="M22" s="9">
        <v>0</v>
      </c>
      <c r="N22" s="9">
        <v>0</v>
      </c>
      <c r="O22" s="9">
        <v>0</v>
      </c>
      <c r="P22" s="13">
        <f t="shared" si="0"/>
        <v>0</v>
      </c>
    </row>
    <row r="23" spans="2:16">
      <c r="B23" s="12" t="s">
        <v>58</v>
      </c>
      <c r="C23" s="5">
        <v>0</v>
      </c>
      <c r="D23" s="5">
        <v>0</v>
      </c>
      <c r="E23" s="5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5">
        <v>0</v>
      </c>
      <c r="L23" s="9">
        <v>0</v>
      </c>
      <c r="M23" s="9">
        <v>0</v>
      </c>
      <c r="N23" s="9">
        <v>0</v>
      </c>
      <c r="O23" s="9">
        <v>0</v>
      </c>
      <c r="P23" s="13">
        <f t="shared" si="0"/>
        <v>0</v>
      </c>
    </row>
    <row r="24" spans="2:16">
      <c r="B24" s="12" t="s">
        <v>98</v>
      </c>
      <c r="C24" s="5">
        <v>0</v>
      </c>
      <c r="D24" s="5">
        <v>0</v>
      </c>
      <c r="E24" s="5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5">
        <v>0</v>
      </c>
      <c r="L24" s="9">
        <v>0</v>
      </c>
      <c r="M24" s="9">
        <v>0</v>
      </c>
      <c r="N24" s="9">
        <v>0</v>
      </c>
      <c r="O24" s="9">
        <v>0</v>
      </c>
      <c r="P24" s="13">
        <f t="shared" si="0"/>
        <v>0</v>
      </c>
    </row>
    <row r="25" spans="2:16">
      <c r="B25" s="12" t="s">
        <v>117</v>
      </c>
      <c r="C25" s="5">
        <v>0</v>
      </c>
      <c r="D25" s="5">
        <v>0</v>
      </c>
      <c r="E25" s="5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5">
        <v>0</v>
      </c>
      <c r="L25" s="9">
        <v>0</v>
      </c>
      <c r="M25" s="9">
        <v>0</v>
      </c>
      <c r="N25" s="9">
        <v>0</v>
      </c>
      <c r="O25" s="9">
        <v>0</v>
      </c>
      <c r="P25" s="13">
        <f t="shared" si="0"/>
        <v>0</v>
      </c>
    </row>
    <row r="26" spans="2:16">
      <c r="B26" s="12" t="s">
        <v>34</v>
      </c>
      <c r="C26" s="5">
        <v>0</v>
      </c>
      <c r="D26" s="5">
        <v>-133832904</v>
      </c>
      <c r="E26" s="5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5">
        <v>0</v>
      </c>
      <c r="L26" s="9">
        <v>0</v>
      </c>
      <c r="M26" s="9">
        <v>133832904</v>
      </c>
      <c r="N26" s="9">
        <v>0</v>
      </c>
      <c r="O26" s="9">
        <v>0</v>
      </c>
      <c r="P26" s="13">
        <f t="shared" si="0"/>
        <v>0</v>
      </c>
    </row>
    <row r="27" spans="2:16">
      <c r="B27" s="12" t="s">
        <v>37</v>
      </c>
      <c r="C27" s="5">
        <v>0</v>
      </c>
      <c r="D27" s="5">
        <v>-1915854778</v>
      </c>
      <c r="E27" s="5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5">
        <v>0</v>
      </c>
      <c r="L27" s="9">
        <v>0</v>
      </c>
      <c r="M27" s="9">
        <v>0</v>
      </c>
      <c r="N27" s="9">
        <v>1915854778</v>
      </c>
      <c r="O27" s="9">
        <v>0</v>
      </c>
      <c r="P27" s="13">
        <f t="shared" si="0"/>
        <v>0</v>
      </c>
    </row>
    <row r="28" spans="2:16">
      <c r="B28" t="s">
        <v>156</v>
      </c>
      <c r="C28" s="5">
        <v>0</v>
      </c>
      <c r="D28" s="5">
        <v>-239778688</v>
      </c>
      <c r="E28" s="5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5">
        <v>0</v>
      </c>
      <c r="L28" s="9">
        <v>0</v>
      </c>
      <c r="M28" s="9">
        <v>0</v>
      </c>
      <c r="N28" s="9">
        <v>0</v>
      </c>
      <c r="O28" s="9">
        <v>239778688</v>
      </c>
      <c r="P28" s="7">
        <f t="shared" si="0"/>
        <v>0</v>
      </c>
    </row>
    <row r="29" spans="2:16">
      <c r="B29" t="s">
        <v>87</v>
      </c>
      <c r="C29" s="5">
        <v>750000000</v>
      </c>
      <c r="D29" s="5">
        <v>0</v>
      </c>
      <c r="E29" s="5">
        <v>-750000000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5">
        <v>0</v>
      </c>
      <c r="L29" s="9">
        <v>0</v>
      </c>
      <c r="M29" s="9">
        <v>0</v>
      </c>
      <c r="N29" s="9">
        <v>0</v>
      </c>
      <c r="O29" s="9">
        <v>0</v>
      </c>
      <c r="P29" s="7">
        <f t="shared" si="0"/>
        <v>0</v>
      </c>
    </row>
    <row r="30" spans="2:16">
      <c r="B30" t="s">
        <v>89</v>
      </c>
      <c r="C30" s="5">
        <v>0</v>
      </c>
      <c r="D30" s="5">
        <v>9024110743</v>
      </c>
      <c r="E30" s="5">
        <v>-9024110743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5">
        <v>0</v>
      </c>
      <c r="L30" s="9">
        <v>0</v>
      </c>
      <c r="M30" s="9">
        <v>0</v>
      </c>
      <c r="N30" s="9">
        <v>0</v>
      </c>
      <c r="O30" s="9">
        <v>0</v>
      </c>
      <c r="P30" s="7">
        <f t="shared" si="0"/>
        <v>0</v>
      </c>
    </row>
    <row r="31" spans="2:16">
      <c r="B31" t="s">
        <v>92</v>
      </c>
      <c r="C31" s="5">
        <v>0</v>
      </c>
      <c r="D31" s="5">
        <v>0</v>
      </c>
      <c r="E31" s="5">
        <v>-460327835</v>
      </c>
      <c r="F31" s="9">
        <v>460327835</v>
      </c>
      <c r="G31" s="9">
        <v>0</v>
      </c>
      <c r="H31" s="9">
        <v>0</v>
      </c>
      <c r="I31" s="9">
        <v>0</v>
      </c>
      <c r="J31" s="9">
        <v>0</v>
      </c>
      <c r="K31" s="5">
        <v>0</v>
      </c>
      <c r="L31" s="9">
        <v>0</v>
      </c>
      <c r="M31" s="9">
        <v>0</v>
      </c>
      <c r="N31" s="9">
        <v>0</v>
      </c>
      <c r="O31" s="9">
        <v>0</v>
      </c>
      <c r="P31" s="7">
        <f t="shared" si="0"/>
        <v>0</v>
      </c>
    </row>
    <row r="32" spans="2:16">
      <c r="B32" t="s">
        <v>94</v>
      </c>
      <c r="C32" s="5">
        <v>0</v>
      </c>
      <c r="D32" s="5">
        <v>0</v>
      </c>
      <c r="E32" s="5">
        <v>-60000</v>
      </c>
      <c r="F32" s="9">
        <v>0</v>
      </c>
      <c r="G32" s="9">
        <v>60000</v>
      </c>
      <c r="H32" s="9">
        <v>0</v>
      </c>
      <c r="I32" s="9">
        <v>0</v>
      </c>
      <c r="J32" s="9">
        <v>0</v>
      </c>
      <c r="K32" s="5">
        <v>0</v>
      </c>
      <c r="L32" s="9">
        <v>0</v>
      </c>
      <c r="M32" s="9">
        <v>0</v>
      </c>
      <c r="N32" s="9">
        <v>0</v>
      </c>
      <c r="O32" s="9">
        <v>0</v>
      </c>
      <c r="P32" s="7">
        <f t="shared" si="0"/>
        <v>0</v>
      </c>
    </row>
    <row r="33" spans="2:16">
      <c r="B33" t="s">
        <v>100</v>
      </c>
      <c r="C33" s="5">
        <v>0</v>
      </c>
      <c r="D33" s="5">
        <v>0</v>
      </c>
      <c r="E33" s="5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5">
        <v>0</v>
      </c>
      <c r="L33" s="9">
        <v>0</v>
      </c>
      <c r="M33" s="9">
        <v>0</v>
      </c>
      <c r="N33" s="9">
        <v>0</v>
      </c>
      <c r="O33" s="9">
        <v>0</v>
      </c>
      <c r="P33" s="7">
        <f t="shared" si="0"/>
        <v>0</v>
      </c>
    </row>
    <row r="34" spans="2:16">
      <c r="B34" t="s">
        <v>101</v>
      </c>
      <c r="C34" s="5">
        <v>0</v>
      </c>
      <c r="D34" s="5">
        <v>0</v>
      </c>
      <c r="E34" s="5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5">
        <v>0</v>
      </c>
      <c r="L34" s="9">
        <v>0</v>
      </c>
      <c r="M34" s="9">
        <v>0</v>
      </c>
      <c r="N34" s="9">
        <v>0</v>
      </c>
      <c r="O34" s="9">
        <v>0</v>
      </c>
      <c r="P34" s="7">
        <f t="shared" si="0"/>
        <v>0</v>
      </c>
    </row>
    <row r="35" spans="2:16">
      <c r="B35" t="s">
        <v>93</v>
      </c>
      <c r="C35" s="5">
        <v>0</v>
      </c>
      <c r="D35" s="5">
        <v>0</v>
      </c>
      <c r="E35" s="5">
        <v>-150224667</v>
      </c>
      <c r="F35" s="9">
        <v>0</v>
      </c>
      <c r="G35" s="9">
        <v>0</v>
      </c>
      <c r="H35" s="9">
        <v>0</v>
      </c>
      <c r="I35" s="9">
        <v>0</v>
      </c>
      <c r="J35" s="9">
        <v>150224667</v>
      </c>
      <c r="K35" s="5">
        <v>0</v>
      </c>
      <c r="L35" s="9">
        <v>0</v>
      </c>
      <c r="M35" s="9">
        <v>0</v>
      </c>
      <c r="N35" s="9">
        <v>0</v>
      </c>
      <c r="O35" s="9">
        <v>0</v>
      </c>
      <c r="P35" s="7">
        <f t="shared" si="0"/>
        <v>0</v>
      </c>
    </row>
    <row r="36" spans="2:16">
      <c r="B36" t="s">
        <v>99</v>
      </c>
      <c r="C36" s="5">
        <v>0</v>
      </c>
      <c r="D36" s="5">
        <v>0</v>
      </c>
      <c r="E36" s="5">
        <v>-2985065000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5">
        <v>2985065000</v>
      </c>
      <c r="L36" s="9">
        <v>0</v>
      </c>
      <c r="M36" s="9">
        <v>0</v>
      </c>
      <c r="N36" s="9">
        <v>0</v>
      </c>
      <c r="O36" s="9">
        <v>0</v>
      </c>
      <c r="P36" s="7">
        <f t="shared" si="0"/>
        <v>0</v>
      </c>
    </row>
    <row r="37" spans="2:16">
      <c r="B37" t="s">
        <v>118</v>
      </c>
      <c r="C37" s="5">
        <v>0</v>
      </c>
      <c r="D37" s="5">
        <v>0</v>
      </c>
      <c r="E37" s="5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5">
        <v>0</v>
      </c>
      <c r="L37" s="9">
        <v>0</v>
      </c>
      <c r="M37" s="9">
        <v>0</v>
      </c>
      <c r="N37" s="9">
        <v>0</v>
      </c>
      <c r="O37" s="9">
        <v>0</v>
      </c>
      <c r="P37" s="7">
        <f t="shared" si="0"/>
        <v>0</v>
      </c>
    </row>
    <row r="38" spans="2:16">
      <c r="B38" t="s">
        <v>102</v>
      </c>
      <c r="C38" s="5">
        <v>0</v>
      </c>
      <c r="D38" s="5">
        <v>0</v>
      </c>
      <c r="E38" s="5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5">
        <v>0</v>
      </c>
      <c r="L38" s="9">
        <v>0</v>
      </c>
      <c r="M38" s="9">
        <v>0</v>
      </c>
      <c r="N38" s="9">
        <v>0</v>
      </c>
      <c r="O38" s="9">
        <v>0</v>
      </c>
      <c r="P38" s="7">
        <f t="shared" si="0"/>
        <v>0</v>
      </c>
    </row>
    <row r="39" spans="2:16">
      <c r="B39" t="s">
        <v>95</v>
      </c>
      <c r="C39" s="5">
        <v>0</v>
      </c>
      <c r="D39" s="5">
        <v>0</v>
      </c>
      <c r="E39" s="5">
        <v>-3632297783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5">
        <v>0</v>
      </c>
      <c r="L39" s="9">
        <v>0</v>
      </c>
      <c r="M39" s="9">
        <v>0</v>
      </c>
      <c r="N39" s="9">
        <v>3632297783</v>
      </c>
      <c r="O39" s="9">
        <v>0</v>
      </c>
      <c r="P39" s="7">
        <f t="shared" ref="P39:P73" si="2">SUM(C39:O39)</f>
        <v>0</v>
      </c>
    </row>
    <row r="40" spans="2:16">
      <c r="B40" t="s">
        <v>157</v>
      </c>
      <c r="C40" s="5">
        <v>0</v>
      </c>
      <c r="D40" s="5">
        <v>0</v>
      </c>
      <c r="E40" s="5">
        <v>-330089699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5">
        <v>0</v>
      </c>
      <c r="L40" s="9">
        <v>0</v>
      </c>
      <c r="M40" s="9">
        <v>0</v>
      </c>
      <c r="N40" s="9">
        <v>0</v>
      </c>
      <c r="O40" s="9">
        <v>330089699</v>
      </c>
      <c r="P40" s="7">
        <f t="shared" ref="P40" si="3">SUM(C40:O40)</f>
        <v>0</v>
      </c>
    </row>
    <row r="41" spans="2:16">
      <c r="B41" s="12" t="s">
        <v>76</v>
      </c>
      <c r="C41" s="5">
        <v>0</v>
      </c>
      <c r="D41" s="5">
        <v>0</v>
      </c>
      <c r="E41" s="5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5">
        <v>0</v>
      </c>
      <c r="L41" s="9">
        <v>0</v>
      </c>
      <c r="M41" s="9">
        <v>0</v>
      </c>
      <c r="N41" s="9">
        <v>0</v>
      </c>
      <c r="O41" s="9">
        <v>0</v>
      </c>
      <c r="P41" s="13">
        <f t="shared" si="2"/>
        <v>0</v>
      </c>
    </row>
    <row r="42" spans="2:16">
      <c r="B42" s="12" t="s">
        <v>30</v>
      </c>
      <c r="C42" s="5">
        <v>0</v>
      </c>
      <c r="D42" s="5">
        <v>110000</v>
      </c>
      <c r="E42" s="5">
        <v>0</v>
      </c>
      <c r="F42" s="9">
        <v>-110000</v>
      </c>
      <c r="G42" s="9">
        <v>0</v>
      </c>
      <c r="H42" s="9">
        <v>0</v>
      </c>
      <c r="I42" s="9">
        <v>0</v>
      </c>
      <c r="J42" s="9">
        <v>0</v>
      </c>
      <c r="K42" s="5">
        <v>0</v>
      </c>
      <c r="L42" s="9">
        <v>0</v>
      </c>
      <c r="M42" s="9">
        <v>0</v>
      </c>
      <c r="N42" s="9">
        <v>0</v>
      </c>
      <c r="O42" s="9">
        <v>0</v>
      </c>
      <c r="P42" s="13">
        <f t="shared" si="2"/>
        <v>0</v>
      </c>
    </row>
    <row r="43" spans="2:16">
      <c r="B43" s="12" t="s">
        <v>96</v>
      </c>
      <c r="C43" s="5">
        <v>0</v>
      </c>
      <c r="D43" s="5">
        <v>0</v>
      </c>
      <c r="E43" s="5">
        <v>928997950</v>
      </c>
      <c r="F43" s="9">
        <v>-928997950</v>
      </c>
      <c r="G43" s="9">
        <v>0</v>
      </c>
      <c r="H43" s="9">
        <v>0</v>
      </c>
      <c r="I43" s="9">
        <v>0</v>
      </c>
      <c r="J43" s="9">
        <v>0</v>
      </c>
      <c r="K43" s="5">
        <v>0</v>
      </c>
      <c r="L43" s="9">
        <v>0</v>
      </c>
      <c r="M43" s="9">
        <v>0</v>
      </c>
      <c r="N43" s="9">
        <v>0</v>
      </c>
      <c r="O43" s="9">
        <v>0</v>
      </c>
      <c r="P43" s="13">
        <f t="shared" si="2"/>
        <v>0</v>
      </c>
    </row>
    <row r="44" spans="2:16">
      <c r="B44" s="12" t="s">
        <v>49</v>
      </c>
      <c r="C44" s="5">
        <v>0</v>
      </c>
      <c r="D44" s="5">
        <v>0</v>
      </c>
      <c r="E44" s="5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5">
        <v>0</v>
      </c>
      <c r="L44" s="9">
        <v>0</v>
      </c>
      <c r="M44" s="9">
        <v>0</v>
      </c>
      <c r="N44" s="9">
        <v>0</v>
      </c>
      <c r="O44" s="9">
        <v>0</v>
      </c>
      <c r="P44" s="13">
        <f t="shared" si="2"/>
        <v>0</v>
      </c>
    </row>
    <row r="45" spans="2:16">
      <c r="B45" s="12" t="s">
        <v>50</v>
      </c>
      <c r="C45" s="5">
        <v>0</v>
      </c>
      <c r="D45" s="5">
        <v>0</v>
      </c>
      <c r="E45" s="5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5">
        <v>0</v>
      </c>
      <c r="L45" s="9">
        <v>0</v>
      </c>
      <c r="M45" s="9">
        <v>0</v>
      </c>
      <c r="N45" s="9">
        <v>0</v>
      </c>
      <c r="O45" s="9">
        <v>0</v>
      </c>
      <c r="P45" s="13">
        <f t="shared" si="2"/>
        <v>0</v>
      </c>
    </row>
    <row r="46" spans="2:16">
      <c r="B46" s="12" t="s">
        <v>51</v>
      </c>
      <c r="C46" s="5">
        <v>0</v>
      </c>
      <c r="D46" s="5">
        <v>0</v>
      </c>
      <c r="E46" s="5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5">
        <v>0</v>
      </c>
      <c r="L46" s="9">
        <v>0</v>
      </c>
      <c r="M46" s="9">
        <v>0</v>
      </c>
      <c r="N46" s="9">
        <v>0</v>
      </c>
      <c r="O46" s="9">
        <v>0</v>
      </c>
      <c r="P46" s="13">
        <f t="shared" si="2"/>
        <v>0</v>
      </c>
    </row>
    <row r="47" spans="2:16">
      <c r="B47" s="12" t="s">
        <v>59</v>
      </c>
      <c r="C47" s="5">
        <v>0</v>
      </c>
      <c r="D47" s="5">
        <v>0</v>
      </c>
      <c r="E47" s="5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5">
        <v>0</v>
      </c>
      <c r="L47" s="9">
        <v>0</v>
      </c>
      <c r="M47" s="9">
        <v>0</v>
      </c>
      <c r="N47" s="9">
        <v>0</v>
      </c>
      <c r="O47" s="9">
        <v>0</v>
      </c>
      <c r="P47" s="13">
        <f t="shared" si="2"/>
        <v>0</v>
      </c>
    </row>
    <row r="48" spans="2:16">
      <c r="B48" s="12" t="s">
        <v>103</v>
      </c>
      <c r="C48" s="5">
        <v>0</v>
      </c>
      <c r="D48" s="5">
        <v>0</v>
      </c>
      <c r="E48" s="5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5">
        <v>0</v>
      </c>
      <c r="L48" s="9">
        <v>0</v>
      </c>
      <c r="M48" s="9">
        <v>0</v>
      </c>
      <c r="N48" s="9">
        <v>0</v>
      </c>
      <c r="O48" s="9">
        <v>0</v>
      </c>
      <c r="P48" s="13">
        <f t="shared" si="2"/>
        <v>0</v>
      </c>
    </row>
    <row r="49" spans="2:16">
      <c r="B49" s="12" t="s">
        <v>119</v>
      </c>
      <c r="C49" s="5">
        <v>0</v>
      </c>
      <c r="D49" s="5">
        <v>0</v>
      </c>
      <c r="E49" s="5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5">
        <v>0</v>
      </c>
      <c r="L49" s="9">
        <v>0</v>
      </c>
      <c r="M49" s="9">
        <v>0</v>
      </c>
      <c r="N49" s="9">
        <v>0</v>
      </c>
      <c r="O49" s="9">
        <v>0</v>
      </c>
      <c r="P49" s="13">
        <f t="shared" si="2"/>
        <v>0</v>
      </c>
    </row>
    <row r="50" spans="2:16">
      <c r="B50" s="12" t="s">
        <v>52</v>
      </c>
      <c r="C50" s="5">
        <v>0</v>
      </c>
      <c r="D50" s="5">
        <v>0</v>
      </c>
      <c r="E50" s="5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5">
        <v>0</v>
      </c>
      <c r="L50" s="9">
        <v>0</v>
      </c>
      <c r="M50" s="9">
        <v>0</v>
      </c>
      <c r="N50" s="9">
        <v>0</v>
      </c>
      <c r="O50" s="9">
        <v>0</v>
      </c>
      <c r="P50" s="13">
        <f t="shared" si="2"/>
        <v>0</v>
      </c>
    </row>
    <row r="51" spans="2:16">
      <c r="B51" s="12" t="s">
        <v>31</v>
      </c>
      <c r="C51" s="5">
        <v>0</v>
      </c>
      <c r="D51" s="5">
        <v>0</v>
      </c>
      <c r="E51" s="5">
        <v>0</v>
      </c>
      <c r="F51" s="9">
        <v>-2263471947</v>
      </c>
      <c r="G51" s="9">
        <v>0</v>
      </c>
      <c r="H51" s="9">
        <v>0</v>
      </c>
      <c r="I51" s="9">
        <v>0</v>
      </c>
      <c r="J51" s="9">
        <v>0</v>
      </c>
      <c r="K51" s="5">
        <v>0</v>
      </c>
      <c r="L51" s="9">
        <v>0</v>
      </c>
      <c r="M51" s="9">
        <v>0</v>
      </c>
      <c r="N51" s="9">
        <v>2263471947</v>
      </c>
      <c r="O51" s="9">
        <v>0</v>
      </c>
      <c r="P51" s="13">
        <f t="shared" si="2"/>
        <v>0</v>
      </c>
    </row>
    <row r="52" spans="2:16">
      <c r="B52" t="s">
        <v>146</v>
      </c>
      <c r="C52" s="5">
        <v>0</v>
      </c>
      <c r="D52" s="5">
        <v>0</v>
      </c>
      <c r="E52" s="5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5">
        <v>0</v>
      </c>
      <c r="L52" s="9">
        <v>0</v>
      </c>
      <c r="M52" s="9">
        <v>0</v>
      </c>
      <c r="N52" s="9">
        <v>0</v>
      </c>
      <c r="O52" s="9">
        <v>0</v>
      </c>
      <c r="P52" s="7">
        <f t="shared" ref="P52" si="4">SUM(C52:O52)</f>
        <v>0</v>
      </c>
    </row>
    <row r="53" spans="2:16">
      <c r="B53" t="s">
        <v>77</v>
      </c>
      <c r="C53" s="5">
        <v>2200000000</v>
      </c>
      <c r="D53" s="5">
        <v>0</v>
      </c>
      <c r="E53" s="5">
        <v>0</v>
      </c>
      <c r="F53" s="9">
        <v>0</v>
      </c>
      <c r="G53" s="9">
        <v>-2200000000</v>
      </c>
      <c r="H53" s="9">
        <v>0</v>
      </c>
      <c r="I53" s="9">
        <v>0</v>
      </c>
      <c r="J53" s="9">
        <v>0</v>
      </c>
      <c r="K53" s="5">
        <v>0</v>
      </c>
      <c r="L53" s="9">
        <v>0</v>
      </c>
      <c r="M53" s="9">
        <v>0</v>
      </c>
      <c r="N53" s="9">
        <v>0</v>
      </c>
      <c r="O53" s="9">
        <v>0</v>
      </c>
      <c r="P53" s="7">
        <f t="shared" si="2"/>
        <v>0</v>
      </c>
    </row>
    <row r="54" spans="2:16">
      <c r="B54" t="s">
        <v>45</v>
      </c>
      <c r="C54" s="5">
        <v>0</v>
      </c>
      <c r="D54" s="5">
        <v>1514645000</v>
      </c>
      <c r="E54" s="5">
        <v>0</v>
      </c>
      <c r="F54" s="9">
        <v>0</v>
      </c>
      <c r="G54" s="9">
        <v>-1514645000</v>
      </c>
      <c r="H54" s="9">
        <v>0</v>
      </c>
      <c r="I54" s="9">
        <v>0</v>
      </c>
      <c r="J54" s="9">
        <v>0</v>
      </c>
      <c r="K54" s="5">
        <v>0</v>
      </c>
      <c r="L54" s="9">
        <v>0</v>
      </c>
      <c r="M54" s="9">
        <v>0</v>
      </c>
      <c r="N54" s="9">
        <v>0</v>
      </c>
      <c r="O54" s="9">
        <v>0</v>
      </c>
      <c r="P54" s="7">
        <f t="shared" si="2"/>
        <v>0</v>
      </c>
    </row>
    <row r="55" spans="2:16">
      <c r="B55" t="s">
        <v>91</v>
      </c>
      <c r="C55" s="5">
        <v>0</v>
      </c>
      <c r="D55" s="5">
        <v>0</v>
      </c>
      <c r="E55" s="5">
        <v>4300000000</v>
      </c>
      <c r="F55" s="9">
        <v>0</v>
      </c>
      <c r="G55" s="9">
        <v>-4300000000</v>
      </c>
      <c r="H55" s="9">
        <v>0</v>
      </c>
      <c r="I55" s="9">
        <v>0</v>
      </c>
      <c r="J55" s="9">
        <v>0</v>
      </c>
      <c r="K55" s="5">
        <v>0</v>
      </c>
      <c r="L55" s="9">
        <v>0</v>
      </c>
      <c r="M55" s="9">
        <v>0</v>
      </c>
      <c r="N55" s="9">
        <v>0</v>
      </c>
      <c r="O55" s="9">
        <v>0</v>
      </c>
      <c r="P55" s="7">
        <f t="shared" si="2"/>
        <v>0</v>
      </c>
    </row>
    <row r="56" spans="2:16">
      <c r="B56" t="s">
        <v>53</v>
      </c>
      <c r="C56" s="5">
        <v>0</v>
      </c>
      <c r="D56" s="5">
        <v>0</v>
      </c>
      <c r="E56" s="5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5">
        <v>0</v>
      </c>
      <c r="L56" s="9">
        <v>0</v>
      </c>
      <c r="M56" s="9">
        <v>0</v>
      </c>
      <c r="N56" s="9">
        <v>0</v>
      </c>
      <c r="O56" s="9">
        <v>0</v>
      </c>
      <c r="P56" s="7">
        <f t="shared" si="2"/>
        <v>0</v>
      </c>
    </row>
    <row r="57" spans="2:16">
      <c r="B57" t="s">
        <v>12</v>
      </c>
      <c r="C57" s="5">
        <v>0</v>
      </c>
      <c r="D57" s="5">
        <v>0</v>
      </c>
      <c r="E57" s="5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5">
        <v>0</v>
      </c>
      <c r="L57" s="9">
        <v>0</v>
      </c>
      <c r="M57" s="9">
        <v>0</v>
      </c>
      <c r="N57" s="9">
        <v>0</v>
      </c>
      <c r="O57" s="9">
        <v>0</v>
      </c>
      <c r="P57" s="7">
        <f t="shared" si="2"/>
        <v>0</v>
      </c>
    </row>
    <row r="58" spans="2:16">
      <c r="B58" t="s">
        <v>18</v>
      </c>
      <c r="C58" s="5">
        <v>0</v>
      </c>
      <c r="D58" s="5">
        <v>0</v>
      </c>
      <c r="E58" s="5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5">
        <v>0</v>
      </c>
      <c r="L58" s="9">
        <v>0</v>
      </c>
      <c r="M58" s="9">
        <v>0</v>
      </c>
      <c r="N58" s="9">
        <v>0</v>
      </c>
      <c r="O58" s="9">
        <v>0</v>
      </c>
      <c r="P58" s="7">
        <f t="shared" si="2"/>
        <v>0</v>
      </c>
    </row>
    <row r="59" spans="2:16">
      <c r="B59" t="s">
        <v>26</v>
      </c>
      <c r="C59" s="5">
        <v>0</v>
      </c>
      <c r="D59" s="5">
        <v>0</v>
      </c>
      <c r="E59" s="5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5">
        <v>0</v>
      </c>
      <c r="L59" s="9">
        <v>0</v>
      </c>
      <c r="M59" s="9">
        <v>0</v>
      </c>
      <c r="N59" s="9">
        <v>0</v>
      </c>
      <c r="O59" s="9">
        <v>0</v>
      </c>
      <c r="P59" s="7">
        <f t="shared" si="2"/>
        <v>0</v>
      </c>
    </row>
    <row r="60" spans="2:16">
      <c r="B60" t="s">
        <v>104</v>
      </c>
      <c r="C60" s="5">
        <v>0</v>
      </c>
      <c r="D60" s="5">
        <v>0</v>
      </c>
      <c r="E60" s="5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5">
        <v>0</v>
      </c>
      <c r="L60" s="9">
        <v>0</v>
      </c>
      <c r="M60" s="9">
        <v>0</v>
      </c>
      <c r="N60" s="9">
        <v>0</v>
      </c>
      <c r="O60" s="9">
        <v>0</v>
      </c>
      <c r="P60" s="7">
        <f t="shared" si="2"/>
        <v>0</v>
      </c>
    </row>
    <row r="61" spans="2:16">
      <c r="B61" t="s">
        <v>60</v>
      </c>
      <c r="C61" s="5">
        <v>0</v>
      </c>
      <c r="D61" s="5">
        <v>0</v>
      </c>
      <c r="E61" s="5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5">
        <v>0</v>
      </c>
      <c r="L61" s="9">
        <v>0</v>
      </c>
      <c r="M61" s="9">
        <v>0</v>
      </c>
      <c r="N61" s="9">
        <v>0</v>
      </c>
      <c r="O61" s="9">
        <v>0</v>
      </c>
      <c r="P61" s="7">
        <f t="shared" si="2"/>
        <v>0</v>
      </c>
    </row>
    <row r="62" spans="2:16">
      <c r="B62" t="s">
        <v>4</v>
      </c>
      <c r="C62" s="5">
        <v>0</v>
      </c>
      <c r="D62" s="5">
        <v>0</v>
      </c>
      <c r="E62" s="5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5">
        <v>0</v>
      </c>
      <c r="L62" s="9">
        <v>0</v>
      </c>
      <c r="M62" s="9">
        <v>0</v>
      </c>
      <c r="N62" s="9">
        <v>0</v>
      </c>
      <c r="O62" s="9">
        <v>0</v>
      </c>
      <c r="P62" s="7">
        <f t="shared" si="2"/>
        <v>0</v>
      </c>
    </row>
    <row r="63" spans="2:16">
      <c r="B63" t="s">
        <v>11</v>
      </c>
      <c r="C63" s="5">
        <v>0</v>
      </c>
      <c r="D63" s="5">
        <v>0</v>
      </c>
      <c r="E63" s="5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5">
        <v>0</v>
      </c>
      <c r="L63" s="9">
        <v>0</v>
      </c>
      <c r="M63" s="9">
        <v>0</v>
      </c>
      <c r="N63" s="9">
        <v>0</v>
      </c>
      <c r="O63" s="9">
        <v>0</v>
      </c>
      <c r="P63" s="7">
        <f t="shared" si="2"/>
        <v>0</v>
      </c>
    </row>
    <row r="64" spans="2:16">
      <c r="B64" t="s">
        <v>147</v>
      </c>
      <c r="C64" s="5">
        <v>0</v>
      </c>
      <c r="D64" s="5">
        <v>0</v>
      </c>
      <c r="E64" s="5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5">
        <v>0</v>
      </c>
      <c r="L64" s="9">
        <v>0</v>
      </c>
      <c r="M64" s="9">
        <v>0</v>
      </c>
      <c r="N64" s="9">
        <v>0</v>
      </c>
      <c r="O64" s="9">
        <v>0</v>
      </c>
      <c r="P64" s="7">
        <f t="shared" ref="P64" si="5">SUM(C64:O64)</f>
        <v>0</v>
      </c>
    </row>
    <row r="65" spans="2:16">
      <c r="B65" s="14" t="s">
        <v>78</v>
      </c>
      <c r="C65" s="5">
        <v>0</v>
      </c>
      <c r="D65" s="5">
        <v>0</v>
      </c>
      <c r="E65" s="5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5">
        <v>0</v>
      </c>
      <c r="L65" s="9">
        <v>0</v>
      </c>
      <c r="M65" s="9">
        <v>0</v>
      </c>
      <c r="N65" s="9">
        <v>0</v>
      </c>
      <c r="O65" s="9">
        <v>0</v>
      </c>
      <c r="P65" s="13">
        <f t="shared" si="2"/>
        <v>0</v>
      </c>
    </row>
    <row r="66" spans="2:16">
      <c r="B66" s="14" t="s">
        <v>46</v>
      </c>
      <c r="C66" s="5">
        <v>0</v>
      </c>
      <c r="D66" s="5">
        <v>0</v>
      </c>
      <c r="E66" s="5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5">
        <v>0</v>
      </c>
      <c r="L66" s="9">
        <v>0</v>
      </c>
      <c r="M66" s="9">
        <v>0</v>
      </c>
      <c r="N66" s="9">
        <v>0</v>
      </c>
      <c r="O66" s="9">
        <v>0</v>
      </c>
      <c r="P66" s="13">
        <f t="shared" si="2"/>
        <v>0</v>
      </c>
    </row>
    <row r="67" spans="2:16">
      <c r="B67" s="14" t="s">
        <v>105</v>
      </c>
      <c r="C67" s="5">
        <v>0</v>
      </c>
      <c r="D67" s="5">
        <v>0</v>
      </c>
      <c r="E67" s="5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5">
        <v>0</v>
      </c>
      <c r="L67" s="9">
        <v>0</v>
      </c>
      <c r="M67" s="9">
        <v>0</v>
      </c>
      <c r="N67" s="9">
        <v>0</v>
      </c>
      <c r="O67" s="9">
        <v>0</v>
      </c>
      <c r="P67" s="13">
        <f t="shared" si="2"/>
        <v>0</v>
      </c>
    </row>
    <row r="68" spans="2:16">
      <c r="B68" s="14" t="s">
        <v>54</v>
      </c>
      <c r="C68" s="5">
        <v>0</v>
      </c>
      <c r="D68" s="5">
        <v>0</v>
      </c>
      <c r="E68" s="5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5">
        <v>0</v>
      </c>
      <c r="L68" s="9">
        <v>0</v>
      </c>
      <c r="M68" s="9">
        <v>0</v>
      </c>
      <c r="N68" s="9">
        <v>0</v>
      </c>
      <c r="O68" s="9">
        <v>0</v>
      </c>
      <c r="P68" s="13">
        <f t="shared" si="2"/>
        <v>0</v>
      </c>
    </row>
    <row r="69" spans="2:16">
      <c r="B69" s="14" t="s">
        <v>15</v>
      </c>
      <c r="C69" s="5">
        <v>0</v>
      </c>
      <c r="D69" s="5">
        <v>0</v>
      </c>
      <c r="E69" s="5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5">
        <v>0</v>
      </c>
      <c r="L69" s="9">
        <v>0</v>
      </c>
      <c r="M69" s="9">
        <v>0</v>
      </c>
      <c r="N69" s="9">
        <v>0</v>
      </c>
      <c r="O69" s="9">
        <v>0</v>
      </c>
      <c r="P69" s="13">
        <f t="shared" si="2"/>
        <v>0</v>
      </c>
    </row>
    <row r="70" spans="2:16">
      <c r="B70" s="14" t="s">
        <v>19</v>
      </c>
      <c r="C70" s="5">
        <v>0</v>
      </c>
      <c r="D70" s="5">
        <v>0</v>
      </c>
      <c r="E70" s="5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5">
        <v>0</v>
      </c>
      <c r="L70" s="9">
        <v>0</v>
      </c>
      <c r="M70" s="9">
        <v>0</v>
      </c>
      <c r="N70" s="9">
        <v>0</v>
      </c>
      <c r="O70" s="9">
        <v>0</v>
      </c>
      <c r="P70" s="13">
        <f t="shared" si="2"/>
        <v>0</v>
      </c>
    </row>
    <row r="71" spans="2:16">
      <c r="B71" s="14" t="s">
        <v>61</v>
      </c>
      <c r="C71" s="5">
        <v>0</v>
      </c>
      <c r="D71" s="5">
        <v>0</v>
      </c>
      <c r="E71" s="5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5">
        <v>0</v>
      </c>
      <c r="L71" s="9">
        <v>0</v>
      </c>
      <c r="M71" s="9">
        <v>0</v>
      </c>
      <c r="N71" s="9">
        <v>0</v>
      </c>
      <c r="O71" s="9">
        <v>0</v>
      </c>
      <c r="P71" s="13">
        <f t="shared" si="2"/>
        <v>0</v>
      </c>
    </row>
    <row r="72" spans="2:16">
      <c r="B72" s="14" t="s">
        <v>106</v>
      </c>
      <c r="C72" s="5">
        <v>0</v>
      </c>
      <c r="D72" s="5">
        <v>0</v>
      </c>
      <c r="E72" s="5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5">
        <v>0</v>
      </c>
      <c r="L72" s="9">
        <v>0</v>
      </c>
      <c r="M72" s="9">
        <v>0</v>
      </c>
      <c r="N72" s="9">
        <v>0</v>
      </c>
      <c r="O72" s="9">
        <v>0</v>
      </c>
      <c r="P72" s="13">
        <f t="shared" si="2"/>
        <v>0</v>
      </c>
    </row>
    <row r="73" spans="2:16">
      <c r="B73" s="14" t="s">
        <v>120</v>
      </c>
      <c r="C73" s="5">
        <v>0</v>
      </c>
      <c r="D73" s="5">
        <v>0</v>
      </c>
      <c r="E73" s="5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5">
        <v>0</v>
      </c>
      <c r="L73" s="9">
        <v>0</v>
      </c>
      <c r="M73" s="9">
        <v>0</v>
      </c>
      <c r="N73" s="9">
        <v>0</v>
      </c>
      <c r="O73" s="9">
        <v>0</v>
      </c>
      <c r="P73" s="13">
        <f t="shared" si="2"/>
        <v>0</v>
      </c>
    </row>
    <row r="74" spans="2:16">
      <c r="B74" s="14" t="s">
        <v>16</v>
      </c>
      <c r="C74" s="5">
        <v>0</v>
      </c>
      <c r="D74" s="5">
        <v>0</v>
      </c>
      <c r="E74" s="5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5">
        <v>0</v>
      </c>
      <c r="L74" s="9">
        <v>0</v>
      </c>
      <c r="M74" s="9">
        <v>0</v>
      </c>
      <c r="N74" s="9">
        <v>0</v>
      </c>
      <c r="O74" s="9">
        <v>0</v>
      </c>
      <c r="P74" s="13">
        <f t="shared" ref="P74:P99" si="6">SUM(C74:O74)</f>
        <v>0</v>
      </c>
    </row>
    <row r="75" spans="2:16">
      <c r="B75" s="14" t="s">
        <v>17</v>
      </c>
      <c r="C75" s="5">
        <v>0</v>
      </c>
      <c r="D75" s="5">
        <v>0</v>
      </c>
      <c r="E75" s="5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5">
        <v>0</v>
      </c>
      <c r="L75" s="9">
        <v>0</v>
      </c>
      <c r="M75" s="9">
        <v>0</v>
      </c>
      <c r="N75" s="9">
        <v>0</v>
      </c>
      <c r="O75" s="9">
        <v>0</v>
      </c>
      <c r="P75" s="13">
        <f t="shared" si="6"/>
        <v>0</v>
      </c>
    </row>
    <row r="76" spans="2:16">
      <c r="B76" t="s">
        <v>148</v>
      </c>
      <c r="C76" s="5">
        <v>0</v>
      </c>
      <c r="D76" s="5">
        <v>0</v>
      </c>
      <c r="E76" s="5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5">
        <v>0</v>
      </c>
      <c r="L76" s="9">
        <v>0</v>
      </c>
      <c r="M76" s="9">
        <v>0</v>
      </c>
      <c r="N76" s="9">
        <v>0</v>
      </c>
      <c r="O76" s="9">
        <v>0</v>
      </c>
      <c r="P76" s="7">
        <f t="shared" ref="P76" si="7">SUM(C76:O76)</f>
        <v>0</v>
      </c>
    </row>
    <row r="77" spans="2:16">
      <c r="B77" t="s">
        <v>79</v>
      </c>
      <c r="C77" s="5">
        <v>0</v>
      </c>
      <c r="D77" s="5">
        <v>0</v>
      </c>
      <c r="E77" s="5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5">
        <v>0</v>
      </c>
      <c r="L77" s="9">
        <v>0</v>
      </c>
      <c r="M77" s="9">
        <v>0</v>
      </c>
      <c r="N77" s="9">
        <v>0</v>
      </c>
      <c r="O77" s="9">
        <v>0</v>
      </c>
      <c r="P77" s="7">
        <f t="shared" si="6"/>
        <v>0</v>
      </c>
    </row>
    <row r="78" spans="2:16">
      <c r="B78" t="s">
        <v>47</v>
      </c>
      <c r="C78" s="5">
        <v>0</v>
      </c>
      <c r="D78" s="5">
        <v>0</v>
      </c>
      <c r="E78" s="5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5">
        <v>0</v>
      </c>
      <c r="L78" s="9">
        <v>0</v>
      </c>
      <c r="M78" s="9">
        <v>0</v>
      </c>
      <c r="N78" s="9">
        <v>0</v>
      </c>
      <c r="O78" s="9">
        <v>0</v>
      </c>
      <c r="P78" s="7">
        <f t="shared" si="6"/>
        <v>0</v>
      </c>
    </row>
    <row r="79" spans="2:16">
      <c r="B79" t="s">
        <v>107</v>
      </c>
      <c r="C79" s="5">
        <v>0</v>
      </c>
      <c r="D79" s="5">
        <v>0</v>
      </c>
      <c r="E79" s="5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5">
        <v>0</v>
      </c>
      <c r="L79" s="9">
        <v>0</v>
      </c>
      <c r="M79" s="9">
        <v>0</v>
      </c>
      <c r="N79" s="9">
        <v>0</v>
      </c>
      <c r="O79" s="9">
        <v>0</v>
      </c>
      <c r="P79" s="7">
        <f t="shared" si="6"/>
        <v>0</v>
      </c>
    </row>
    <row r="80" spans="2:16">
      <c r="B80" t="s">
        <v>55</v>
      </c>
      <c r="C80" s="5">
        <v>0</v>
      </c>
      <c r="D80" s="5">
        <v>0</v>
      </c>
      <c r="E80" s="5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5">
        <v>0</v>
      </c>
      <c r="L80" s="9">
        <v>0</v>
      </c>
      <c r="M80" s="9">
        <v>0</v>
      </c>
      <c r="N80" s="9">
        <v>0</v>
      </c>
      <c r="O80" s="9">
        <v>0</v>
      </c>
      <c r="P80" s="7">
        <f t="shared" si="6"/>
        <v>0</v>
      </c>
    </row>
    <row r="81" spans="2:16">
      <c r="B81" t="s">
        <v>22</v>
      </c>
      <c r="C81" s="5">
        <v>0</v>
      </c>
      <c r="D81" s="5">
        <v>0</v>
      </c>
      <c r="E81" s="5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5">
        <v>0</v>
      </c>
      <c r="L81" s="9">
        <v>0</v>
      </c>
      <c r="M81" s="9">
        <v>0</v>
      </c>
      <c r="N81" s="9">
        <v>0</v>
      </c>
      <c r="O81" s="9">
        <v>0</v>
      </c>
      <c r="P81" s="7">
        <f t="shared" si="6"/>
        <v>0</v>
      </c>
    </row>
    <row r="82" spans="2:16">
      <c r="B82" t="s">
        <v>23</v>
      </c>
      <c r="C82" s="5">
        <v>0</v>
      </c>
      <c r="D82" s="5">
        <v>0</v>
      </c>
      <c r="E82" s="5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5">
        <v>0</v>
      </c>
      <c r="L82" s="9">
        <v>0</v>
      </c>
      <c r="M82" s="9">
        <v>0</v>
      </c>
      <c r="N82" s="9">
        <v>0</v>
      </c>
      <c r="O82" s="9">
        <v>0</v>
      </c>
      <c r="P82" s="7">
        <f t="shared" si="6"/>
        <v>0</v>
      </c>
    </row>
    <row r="83" spans="2:16">
      <c r="B83" t="s">
        <v>62</v>
      </c>
      <c r="C83" s="5">
        <v>0</v>
      </c>
      <c r="D83" s="5">
        <v>0</v>
      </c>
      <c r="E83" s="5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5">
        <v>0</v>
      </c>
      <c r="L83" s="9">
        <v>0</v>
      </c>
      <c r="M83" s="9">
        <v>0</v>
      </c>
      <c r="N83" s="9">
        <v>0</v>
      </c>
      <c r="O83" s="9">
        <v>0</v>
      </c>
      <c r="P83" s="7">
        <f t="shared" si="6"/>
        <v>0</v>
      </c>
    </row>
    <row r="84" spans="2:16">
      <c r="B84" t="s">
        <v>108</v>
      </c>
      <c r="C84" s="5">
        <v>0</v>
      </c>
      <c r="D84" s="5">
        <v>0</v>
      </c>
      <c r="E84" s="5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5">
        <v>0</v>
      </c>
      <c r="L84" s="9">
        <v>0</v>
      </c>
      <c r="M84" s="9">
        <v>0</v>
      </c>
      <c r="N84" s="9">
        <v>0</v>
      </c>
      <c r="O84" s="9">
        <v>0</v>
      </c>
      <c r="P84" s="7">
        <f t="shared" si="6"/>
        <v>0</v>
      </c>
    </row>
    <row r="85" spans="2:16">
      <c r="B85" t="s">
        <v>121</v>
      </c>
      <c r="C85" s="5">
        <v>0</v>
      </c>
      <c r="D85" s="5">
        <v>0</v>
      </c>
      <c r="E85" s="5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5">
        <v>0</v>
      </c>
      <c r="L85" s="9">
        <v>0</v>
      </c>
      <c r="M85" s="9">
        <v>0</v>
      </c>
      <c r="N85" s="9">
        <v>0</v>
      </c>
      <c r="O85" s="9">
        <v>0</v>
      </c>
      <c r="P85" s="7">
        <f t="shared" si="6"/>
        <v>0</v>
      </c>
    </row>
    <row r="86" spans="2:16">
      <c r="B86" t="s">
        <v>24</v>
      </c>
      <c r="C86" s="5">
        <v>0</v>
      </c>
      <c r="D86" s="5">
        <v>0</v>
      </c>
      <c r="E86" s="5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5">
        <v>0</v>
      </c>
      <c r="L86" s="9">
        <v>0</v>
      </c>
      <c r="M86" s="9">
        <v>0</v>
      </c>
      <c r="N86" s="9">
        <v>0</v>
      </c>
      <c r="O86" s="9">
        <v>0</v>
      </c>
      <c r="P86" s="7">
        <f t="shared" si="6"/>
        <v>0</v>
      </c>
    </row>
    <row r="87" spans="2:16">
      <c r="B87" t="s">
        <v>25</v>
      </c>
      <c r="C87" s="5">
        <v>0</v>
      </c>
      <c r="D87" s="5">
        <v>0</v>
      </c>
      <c r="E87" s="5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5">
        <v>0</v>
      </c>
      <c r="L87" s="9">
        <v>0</v>
      </c>
      <c r="M87" s="9">
        <v>0</v>
      </c>
      <c r="N87" s="9">
        <v>0</v>
      </c>
      <c r="O87" s="9">
        <v>0</v>
      </c>
      <c r="P87" s="7">
        <f t="shared" si="6"/>
        <v>0</v>
      </c>
    </row>
    <row r="88" spans="2:16">
      <c r="B88" t="s">
        <v>149</v>
      </c>
      <c r="C88" s="5">
        <v>0</v>
      </c>
      <c r="D88" s="5">
        <v>0</v>
      </c>
      <c r="E88" s="5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5">
        <v>0</v>
      </c>
      <c r="L88" s="9">
        <v>0</v>
      </c>
      <c r="M88" s="9">
        <v>0</v>
      </c>
      <c r="N88" s="9">
        <v>0</v>
      </c>
      <c r="O88" s="9">
        <v>0</v>
      </c>
      <c r="P88" s="7">
        <f t="shared" ref="P88" si="8">SUM(C88:O88)</f>
        <v>0</v>
      </c>
    </row>
    <row r="89" spans="2:16">
      <c r="B89" s="14" t="s">
        <v>80</v>
      </c>
      <c r="C89" s="5">
        <v>1250000</v>
      </c>
      <c r="D89" s="5">
        <v>0</v>
      </c>
      <c r="E89" s="5">
        <v>0</v>
      </c>
      <c r="F89" s="9">
        <v>0</v>
      </c>
      <c r="G89" s="9">
        <v>0</v>
      </c>
      <c r="H89" s="9">
        <v>0</v>
      </c>
      <c r="I89" s="9">
        <v>0</v>
      </c>
      <c r="J89" s="9">
        <v>-1250000</v>
      </c>
      <c r="K89" s="5">
        <v>0</v>
      </c>
      <c r="L89" s="9">
        <v>0</v>
      </c>
      <c r="M89" s="9">
        <v>0</v>
      </c>
      <c r="N89" s="9">
        <v>0</v>
      </c>
      <c r="O89" s="9">
        <v>0</v>
      </c>
      <c r="P89" s="13">
        <f t="shared" si="6"/>
        <v>0</v>
      </c>
    </row>
    <row r="90" spans="2:16">
      <c r="B90" s="14" t="s">
        <v>28</v>
      </c>
      <c r="C90" s="5">
        <v>0</v>
      </c>
      <c r="D90" s="5">
        <v>0</v>
      </c>
      <c r="E90" s="5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5">
        <v>0</v>
      </c>
      <c r="L90" s="9">
        <v>0</v>
      </c>
      <c r="M90" s="9">
        <v>0</v>
      </c>
      <c r="N90" s="9">
        <v>0</v>
      </c>
      <c r="O90" s="9">
        <v>0</v>
      </c>
      <c r="P90" s="13">
        <f t="shared" si="6"/>
        <v>0</v>
      </c>
    </row>
    <row r="91" spans="2:16">
      <c r="B91" s="14" t="s">
        <v>109</v>
      </c>
      <c r="C91" s="5">
        <v>0</v>
      </c>
      <c r="D91" s="5">
        <v>0</v>
      </c>
      <c r="E91" s="5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5">
        <v>0</v>
      </c>
      <c r="L91" s="9">
        <v>0</v>
      </c>
      <c r="M91" s="9">
        <v>0</v>
      </c>
      <c r="N91" s="9">
        <v>0</v>
      </c>
      <c r="O91" s="9">
        <v>0</v>
      </c>
      <c r="P91" s="13">
        <f t="shared" si="6"/>
        <v>0</v>
      </c>
    </row>
    <row r="92" spans="2:16">
      <c r="B92" s="14" t="s">
        <v>27</v>
      </c>
      <c r="C92" s="5">
        <v>0</v>
      </c>
      <c r="D92" s="5">
        <v>0</v>
      </c>
      <c r="E92" s="5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5">
        <v>0</v>
      </c>
      <c r="L92" s="9">
        <v>0</v>
      </c>
      <c r="M92" s="9">
        <v>0</v>
      </c>
      <c r="N92" s="9">
        <v>0</v>
      </c>
      <c r="O92" s="9">
        <v>0</v>
      </c>
      <c r="P92" s="13">
        <f t="shared" si="6"/>
        <v>0</v>
      </c>
    </row>
    <row r="93" spans="2:16">
      <c r="B93" s="14" t="s">
        <v>63</v>
      </c>
      <c r="C93" s="5">
        <v>0</v>
      </c>
      <c r="D93" s="5">
        <v>0</v>
      </c>
      <c r="E93" s="5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5">
        <v>0</v>
      </c>
      <c r="L93" s="9">
        <v>0</v>
      </c>
      <c r="M93" s="9">
        <v>0</v>
      </c>
      <c r="N93" s="9">
        <v>0</v>
      </c>
      <c r="O93" s="9">
        <v>0</v>
      </c>
      <c r="P93" s="13">
        <f t="shared" si="6"/>
        <v>0</v>
      </c>
    </row>
    <row r="94" spans="2:16">
      <c r="B94" s="14" t="s">
        <v>67</v>
      </c>
      <c r="C94" s="5">
        <v>0</v>
      </c>
      <c r="D94" s="5">
        <v>0</v>
      </c>
      <c r="E94" s="5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5">
        <v>0</v>
      </c>
      <c r="L94" s="9">
        <v>0</v>
      </c>
      <c r="M94" s="9">
        <v>0</v>
      </c>
      <c r="N94" s="9">
        <v>0</v>
      </c>
      <c r="O94" s="9">
        <v>0</v>
      </c>
      <c r="P94" s="13">
        <f t="shared" si="6"/>
        <v>0</v>
      </c>
    </row>
    <row r="95" spans="2:16">
      <c r="B95" s="14" t="s">
        <v>64</v>
      </c>
      <c r="C95" s="5">
        <v>0</v>
      </c>
      <c r="D95" s="5">
        <v>0</v>
      </c>
      <c r="E95" s="5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5">
        <v>0</v>
      </c>
      <c r="L95" s="9">
        <v>0</v>
      </c>
      <c r="M95" s="9">
        <v>0</v>
      </c>
      <c r="N95" s="9">
        <v>0</v>
      </c>
      <c r="O95" s="9">
        <v>0</v>
      </c>
      <c r="P95" s="13">
        <f t="shared" si="6"/>
        <v>0</v>
      </c>
    </row>
    <row r="96" spans="2:16">
      <c r="B96" s="14" t="s">
        <v>110</v>
      </c>
      <c r="C96" s="5">
        <v>0</v>
      </c>
      <c r="D96" s="5">
        <v>0</v>
      </c>
      <c r="E96" s="5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5">
        <v>0</v>
      </c>
      <c r="L96" s="9">
        <v>0</v>
      </c>
      <c r="M96" s="9">
        <v>0</v>
      </c>
      <c r="N96" s="9">
        <v>0</v>
      </c>
      <c r="O96" s="9">
        <v>0</v>
      </c>
      <c r="P96" s="13">
        <f t="shared" si="6"/>
        <v>0</v>
      </c>
    </row>
    <row r="97" spans="2:16">
      <c r="B97" s="14" t="s">
        <v>122</v>
      </c>
      <c r="C97" s="5">
        <v>0</v>
      </c>
      <c r="D97" s="5">
        <v>0</v>
      </c>
      <c r="E97" s="5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5">
        <v>0</v>
      </c>
      <c r="L97" s="9">
        <v>0</v>
      </c>
      <c r="M97" s="9">
        <v>0</v>
      </c>
      <c r="N97" s="9">
        <v>0</v>
      </c>
      <c r="O97" s="9">
        <v>0</v>
      </c>
      <c r="P97" s="13">
        <f t="shared" si="6"/>
        <v>0</v>
      </c>
    </row>
    <row r="98" spans="2:16">
      <c r="B98" s="14" t="s">
        <v>65</v>
      </c>
      <c r="C98" s="5">
        <v>0</v>
      </c>
      <c r="D98" s="5">
        <v>0</v>
      </c>
      <c r="E98" s="5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5">
        <v>0</v>
      </c>
      <c r="L98" s="9">
        <v>0</v>
      </c>
      <c r="M98" s="9">
        <v>0</v>
      </c>
      <c r="N98" s="9">
        <v>0</v>
      </c>
      <c r="O98" s="9">
        <v>0</v>
      </c>
      <c r="P98" s="13">
        <f t="shared" si="6"/>
        <v>0</v>
      </c>
    </row>
    <row r="99" spans="2:16">
      <c r="B99" s="14" t="s">
        <v>66</v>
      </c>
      <c r="C99" s="5">
        <v>0</v>
      </c>
      <c r="D99" s="5">
        <v>0</v>
      </c>
      <c r="E99" s="5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5">
        <v>0</v>
      </c>
      <c r="L99" s="9">
        <v>0</v>
      </c>
      <c r="M99" s="9">
        <v>0</v>
      </c>
      <c r="N99" s="9">
        <v>0</v>
      </c>
      <c r="O99" s="9">
        <v>0</v>
      </c>
      <c r="P99" s="13">
        <f t="shared" si="6"/>
        <v>0</v>
      </c>
    </row>
    <row r="100" spans="2:16">
      <c r="B100" t="s">
        <v>150</v>
      </c>
      <c r="C100" s="5">
        <v>0</v>
      </c>
      <c r="D100" s="5">
        <v>0</v>
      </c>
      <c r="E100" s="5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5">
        <v>0</v>
      </c>
      <c r="L100" s="9">
        <v>0</v>
      </c>
      <c r="M100" s="9">
        <v>0</v>
      </c>
      <c r="N100" s="9">
        <v>0</v>
      </c>
      <c r="O100" s="9">
        <v>0</v>
      </c>
      <c r="P100" s="7">
        <f t="shared" ref="P100" si="9">SUM(C100:O100)</f>
        <v>0</v>
      </c>
    </row>
    <row r="101" spans="2:16">
      <c r="B101" s="14" t="s">
        <v>134</v>
      </c>
      <c r="C101" s="5">
        <v>0</v>
      </c>
      <c r="D101" s="5">
        <v>1900000000</v>
      </c>
      <c r="E101" s="5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5">
        <v>-1900000000</v>
      </c>
      <c r="L101" s="9">
        <v>0</v>
      </c>
      <c r="M101" s="9">
        <v>0</v>
      </c>
      <c r="N101" s="9">
        <v>0</v>
      </c>
      <c r="O101" s="9">
        <v>0</v>
      </c>
      <c r="P101" s="13">
        <f t="shared" ref="P101:P111" si="10">SUM(C101:O101)</f>
        <v>0</v>
      </c>
    </row>
    <row r="102" spans="2:16">
      <c r="B102" s="14" t="s">
        <v>135</v>
      </c>
      <c r="C102" s="5">
        <v>0</v>
      </c>
      <c r="D102" s="5">
        <v>0</v>
      </c>
      <c r="E102" s="5">
        <v>4228150000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5">
        <v>-4228150000</v>
      </c>
      <c r="L102" s="9">
        <v>0</v>
      </c>
      <c r="M102" s="9">
        <v>0</v>
      </c>
      <c r="N102" s="9">
        <v>0</v>
      </c>
      <c r="O102" s="9">
        <v>0</v>
      </c>
      <c r="P102" s="13">
        <f t="shared" si="10"/>
        <v>0</v>
      </c>
    </row>
    <row r="103" spans="2:16">
      <c r="B103" s="14" t="s">
        <v>136</v>
      </c>
      <c r="C103" s="5">
        <v>0</v>
      </c>
      <c r="D103" s="5">
        <v>0</v>
      </c>
      <c r="E103" s="5">
        <v>0</v>
      </c>
      <c r="F103" s="9">
        <v>500000000</v>
      </c>
      <c r="G103" s="9">
        <v>0</v>
      </c>
      <c r="H103" s="9">
        <v>0</v>
      </c>
      <c r="I103" s="9">
        <v>0</v>
      </c>
      <c r="J103" s="9">
        <v>0</v>
      </c>
      <c r="K103" s="5">
        <v>-500000000</v>
      </c>
      <c r="L103" s="9">
        <v>0</v>
      </c>
      <c r="M103" s="9">
        <v>0</v>
      </c>
      <c r="N103" s="9">
        <v>0</v>
      </c>
      <c r="O103" s="9">
        <v>0</v>
      </c>
      <c r="P103" s="13">
        <f t="shared" si="10"/>
        <v>0</v>
      </c>
    </row>
    <row r="104" spans="2:16">
      <c r="B104" s="14" t="s">
        <v>137</v>
      </c>
      <c r="C104" s="5">
        <v>0</v>
      </c>
      <c r="D104" s="5">
        <v>0</v>
      </c>
      <c r="E104" s="5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5">
        <v>0</v>
      </c>
      <c r="L104" s="9">
        <v>0</v>
      </c>
      <c r="M104" s="9">
        <v>0</v>
      </c>
      <c r="N104" s="9">
        <v>0</v>
      </c>
      <c r="O104" s="9">
        <v>0</v>
      </c>
      <c r="P104" s="13">
        <f t="shared" si="10"/>
        <v>0</v>
      </c>
    </row>
    <row r="105" spans="2:16">
      <c r="B105" s="14" t="s">
        <v>138</v>
      </c>
      <c r="C105" s="5">
        <v>0</v>
      </c>
      <c r="D105" s="5">
        <v>0</v>
      </c>
      <c r="E105" s="5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5">
        <v>0</v>
      </c>
      <c r="L105" s="9">
        <v>0</v>
      </c>
      <c r="M105" s="9">
        <v>0</v>
      </c>
      <c r="N105" s="9">
        <v>0</v>
      </c>
      <c r="O105" s="9">
        <v>0</v>
      </c>
      <c r="P105" s="13">
        <f t="shared" si="10"/>
        <v>0</v>
      </c>
    </row>
    <row r="106" spans="2:16">
      <c r="B106" s="14" t="s">
        <v>139</v>
      </c>
      <c r="C106" s="5">
        <v>0</v>
      </c>
      <c r="D106" s="5">
        <v>0</v>
      </c>
      <c r="E106" s="5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5">
        <v>0</v>
      </c>
      <c r="L106" s="9">
        <v>0</v>
      </c>
      <c r="M106" s="9">
        <v>0</v>
      </c>
      <c r="N106" s="9">
        <v>0</v>
      </c>
      <c r="O106" s="9">
        <v>0</v>
      </c>
      <c r="P106" s="13">
        <f t="shared" si="10"/>
        <v>0</v>
      </c>
    </row>
    <row r="107" spans="2:16">
      <c r="B107" s="14" t="s">
        <v>140</v>
      </c>
      <c r="C107" s="5">
        <v>0</v>
      </c>
      <c r="D107" s="5">
        <v>0</v>
      </c>
      <c r="E107" s="5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5">
        <v>0</v>
      </c>
      <c r="L107" s="9">
        <v>0</v>
      </c>
      <c r="M107" s="9">
        <v>0</v>
      </c>
      <c r="N107" s="9">
        <v>0</v>
      </c>
      <c r="O107" s="9">
        <v>0</v>
      </c>
      <c r="P107" s="13">
        <f t="shared" si="10"/>
        <v>0</v>
      </c>
    </row>
    <row r="108" spans="2:16">
      <c r="B108" s="14" t="s">
        <v>141</v>
      </c>
      <c r="C108" s="5">
        <v>0</v>
      </c>
      <c r="D108" s="5">
        <v>0</v>
      </c>
      <c r="E108" s="5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5">
        <v>0</v>
      </c>
      <c r="L108" s="9">
        <v>0</v>
      </c>
      <c r="M108" s="9">
        <v>0</v>
      </c>
      <c r="N108" s="9">
        <v>0</v>
      </c>
      <c r="O108" s="9">
        <v>0</v>
      </c>
      <c r="P108" s="13">
        <f t="shared" si="10"/>
        <v>0</v>
      </c>
    </row>
    <row r="109" spans="2:16">
      <c r="B109" s="14" t="s">
        <v>142</v>
      </c>
      <c r="C109" s="5">
        <v>0</v>
      </c>
      <c r="D109" s="5">
        <v>0</v>
      </c>
      <c r="E109" s="5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5">
        <v>0</v>
      </c>
      <c r="L109" s="9">
        <v>0</v>
      </c>
      <c r="M109" s="9">
        <v>0</v>
      </c>
      <c r="N109" s="9">
        <v>0</v>
      </c>
      <c r="O109" s="9">
        <v>0</v>
      </c>
      <c r="P109" s="13">
        <f t="shared" si="10"/>
        <v>0</v>
      </c>
    </row>
    <row r="110" spans="2:16">
      <c r="B110" s="14" t="s">
        <v>143</v>
      </c>
      <c r="C110" s="5">
        <v>0</v>
      </c>
      <c r="D110" s="5">
        <v>0</v>
      </c>
      <c r="E110" s="5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5">
        <v>0</v>
      </c>
      <c r="L110" s="9">
        <v>0</v>
      </c>
      <c r="M110" s="9">
        <v>0</v>
      </c>
      <c r="N110" s="9">
        <v>0</v>
      </c>
      <c r="O110" s="9">
        <v>0</v>
      </c>
      <c r="P110" s="13">
        <f t="shared" si="10"/>
        <v>0</v>
      </c>
    </row>
    <row r="111" spans="2:16">
      <c r="B111" s="14" t="s">
        <v>144</v>
      </c>
      <c r="C111" s="5">
        <v>0</v>
      </c>
      <c r="D111" s="5">
        <v>0</v>
      </c>
      <c r="E111" s="5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5">
        <v>-17990922</v>
      </c>
      <c r="L111" s="9">
        <v>0</v>
      </c>
      <c r="M111" s="9">
        <v>0</v>
      </c>
      <c r="N111" s="9">
        <v>17990922</v>
      </c>
      <c r="O111" s="9">
        <v>0</v>
      </c>
      <c r="P111" s="13">
        <f t="shared" si="10"/>
        <v>0</v>
      </c>
    </row>
    <row r="112" spans="2:16">
      <c r="B112" t="s">
        <v>151</v>
      </c>
      <c r="C112" s="5">
        <v>0</v>
      </c>
      <c r="D112" s="5">
        <v>0</v>
      </c>
      <c r="E112" s="5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5">
        <v>0</v>
      </c>
      <c r="L112" s="9">
        <v>0</v>
      </c>
      <c r="M112" s="9">
        <v>0</v>
      </c>
      <c r="N112" s="9">
        <v>0</v>
      </c>
      <c r="O112" s="9">
        <v>0</v>
      </c>
      <c r="P112" s="7">
        <f t="shared" ref="P112" si="11">SUM(C112:O112)</f>
        <v>0</v>
      </c>
    </row>
    <row r="113" spans="2:16">
      <c r="B113" t="s">
        <v>123</v>
      </c>
      <c r="C113" s="5">
        <v>0</v>
      </c>
      <c r="D113" s="5">
        <v>0</v>
      </c>
      <c r="E113" s="5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5">
        <v>0</v>
      </c>
      <c r="L113" s="9">
        <v>0</v>
      </c>
      <c r="M113" s="9">
        <v>0</v>
      </c>
      <c r="N113" s="9">
        <v>0</v>
      </c>
      <c r="O113" s="9">
        <v>0</v>
      </c>
      <c r="P113" s="7">
        <f t="shared" ref="P113:P148" si="12">SUM(C113:O113)</f>
        <v>0</v>
      </c>
    </row>
    <row r="114" spans="2:16">
      <c r="B114" t="s">
        <v>85</v>
      </c>
      <c r="C114" s="5">
        <v>0</v>
      </c>
      <c r="D114" s="5">
        <v>650000000</v>
      </c>
      <c r="E114" s="5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5">
        <v>0</v>
      </c>
      <c r="L114" s="9">
        <v>-650000000</v>
      </c>
      <c r="M114" s="9">
        <v>0</v>
      </c>
      <c r="N114" s="9">
        <v>0</v>
      </c>
      <c r="O114" s="9">
        <v>0</v>
      </c>
      <c r="P114" s="7">
        <f t="shared" si="12"/>
        <v>0</v>
      </c>
    </row>
    <row r="115" spans="2:16">
      <c r="B115" t="s">
        <v>90</v>
      </c>
      <c r="C115" s="5">
        <v>0</v>
      </c>
      <c r="D115" s="5">
        <v>0</v>
      </c>
      <c r="E115" s="5">
        <v>500000000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5">
        <v>0</v>
      </c>
      <c r="L115" s="9">
        <v>-500000000</v>
      </c>
      <c r="M115" s="9">
        <v>0</v>
      </c>
      <c r="N115" s="9">
        <v>0</v>
      </c>
      <c r="O115" s="9">
        <v>0</v>
      </c>
      <c r="P115" s="7">
        <f t="shared" si="12"/>
        <v>0</v>
      </c>
    </row>
    <row r="116" spans="2:16">
      <c r="B116" t="s">
        <v>124</v>
      </c>
      <c r="C116" s="5">
        <v>0</v>
      </c>
      <c r="D116" s="5">
        <v>0</v>
      </c>
      <c r="E116" s="5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5">
        <v>0</v>
      </c>
      <c r="L116" s="9">
        <v>0</v>
      </c>
      <c r="M116" s="9">
        <v>0</v>
      </c>
      <c r="N116" s="9">
        <v>0</v>
      </c>
      <c r="O116" s="9">
        <v>0</v>
      </c>
      <c r="P116" s="7">
        <f t="shared" si="12"/>
        <v>0</v>
      </c>
    </row>
    <row r="117" spans="2:16">
      <c r="B117" t="s">
        <v>125</v>
      </c>
      <c r="C117" s="5">
        <v>0</v>
      </c>
      <c r="D117" s="5">
        <v>0</v>
      </c>
      <c r="E117" s="5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5">
        <v>0</v>
      </c>
      <c r="L117" s="9">
        <v>0</v>
      </c>
      <c r="M117" s="9">
        <v>0</v>
      </c>
      <c r="N117" s="9">
        <v>0</v>
      </c>
      <c r="O117" s="9">
        <v>0</v>
      </c>
      <c r="P117" s="7">
        <f t="shared" si="12"/>
        <v>0</v>
      </c>
    </row>
    <row r="118" spans="2:16">
      <c r="B118" t="s">
        <v>126</v>
      </c>
      <c r="C118" s="5">
        <v>0</v>
      </c>
      <c r="D118" s="5">
        <v>0</v>
      </c>
      <c r="E118" s="5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5">
        <v>0</v>
      </c>
      <c r="L118" s="9">
        <v>0</v>
      </c>
      <c r="M118" s="9">
        <v>0</v>
      </c>
      <c r="N118" s="9">
        <v>0</v>
      </c>
      <c r="O118" s="9">
        <v>0</v>
      </c>
      <c r="P118" s="7">
        <f t="shared" si="12"/>
        <v>0</v>
      </c>
    </row>
    <row r="119" spans="2:16">
      <c r="B119" t="s">
        <v>127</v>
      </c>
      <c r="C119" s="5">
        <v>0</v>
      </c>
      <c r="D119" s="5">
        <v>0</v>
      </c>
      <c r="E119" s="5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5">
        <v>0</v>
      </c>
      <c r="L119" s="9">
        <v>0</v>
      </c>
      <c r="M119" s="9">
        <v>0</v>
      </c>
      <c r="N119" s="9">
        <v>0</v>
      </c>
      <c r="O119" s="9">
        <v>0</v>
      </c>
      <c r="P119" s="7">
        <f t="shared" si="12"/>
        <v>0</v>
      </c>
    </row>
    <row r="120" spans="2:16">
      <c r="B120" t="s">
        <v>128</v>
      </c>
      <c r="C120" s="5">
        <v>0</v>
      </c>
      <c r="D120" s="5">
        <v>0</v>
      </c>
      <c r="E120" s="5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5">
        <v>0</v>
      </c>
      <c r="L120" s="9">
        <v>0</v>
      </c>
      <c r="M120" s="9">
        <v>0</v>
      </c>
      <c r="N120" s="9">
        <v>0</v>
      </c>
      <c r="O120" s="9">
        <v>0</v>
      </c>
      <c r="P120" s="7">
        <f t="shared" si="12"/>
        <v>0</v>
      </c>
    </row>
    <row r="121" spans="2:16">
      <c r="B121" t="s">
        <v>129</v>
      </c>
      <c r="C121" s="5">
        <v>0</v>
      </c>
      <c r="D121" s="5">
        <v>0</v>
      </c>
      <c r="E121" s="5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5">
        <v>0</v>
      </c>
      <c r="L121" s="9">
        <v>0</v>
      </c>
      <c r="M121" s="9">
        <v>0</v>
      </c>
      <c r="N121" s="9">
        <v>0</v>
      </c>
      <c r="O121" s="9">
        <v>0</v>
      </c>
      <c r="P121" s="7">
        <f t="shared" si="12"/>
        <v>0</v>
      </c>
    </row>
    <row r="122" spans="2:16">
      <c r="B122" t="s">
        <v>130</v>
      </c>
      <c r="C122" s="5">
        <v>0</v>
      </c>
      <c r="D122" s="5">
        <v>0</v>
      </c>
      <c r="E122" s="5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5">
        <v>0</v>
      </c>
      <c r="L122" s="9">
        <v>0</v>
      </c>
      <c r="M122" s="9">
        <v>0</v>
      </c>
      <c r="N122" s="9">
        <v>0</v>
      </c>
      <c r="O122" s="9">
        <v>0</v>
      </c>
      <c r="P122" s="7">
        <f t="shared" si="12"/>
        <v>0</v>
      </c>
    </row>
    <row r="123" spans="2:16">
      <c r="B123" t="s">
        <v>131</v>
      </c>
      <c r="C123" s="5">
        <v>0</v>
      </c>
      <c r="D123" s="5">
        <v>0</v>
      </c>
      <c r="E123" s="5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5">
        <v>0</v>
      </c>
      <c r="L123" s="9">
        <v>0</v>
      </c>
      <c r="M123" s="9">
        <v>0</v>
      </c>
      <c r="N123" s="9">
        <v>0</v>
      </c>
      <c r="O123" s="9">
        <v>0</v>
      </c>
      <c r="P123" s="7">
        <f t="shared" si="12"/>
        <v>0</v>
      </c>
    </row>
    <row r="124" spans="2:16">
      <c r="B124" t="s">
        <v>152</v>
      </c>
      <c r="C124" s="5">
        <v>0</v>
      </c>
      <c r="D124" s="5">
        <v>0</v>
      </c>
      <c r="E124" s="5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5">
        <v>0</v>
      </c>
      <c r="L124" s="9">
        <v>0</v>
      </c>
      <c r="M124" s="9">
        <v>0</v>
      </c>
      <c r="N124" s="9">
        <v>0</v>
      </c>
      <c r="O124" s="9">
        <v>0</v>
      </c>
      <c r="P124" s="7">
        <f t="shared" ref="P124" si="13">SUM(C124:O124)</f>
        <v>0</v>
      </c>
    </row>
    <row r="125" spans="2:16">
      <c r="B125" s="14" t="s">
        <v>81</v>
      </c>
      <c r="C125" s="4">
        <v>1090000</v>
      </c>
      <c r="D125" s="4">
        <v>0</v>
      </c>
      <c r="E125" s="4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4">
        <v>0</v>
      </c>
      <c r="L125" s="15">
        <v>0</v>
      </c>
      <c r="M125" s="15">
        <v>-1090000</v>
      </c>
      <c r="N125" s="15">
        <v>0</v>
      </c>
      <c r="O125" s="15">
        <v>0</v>
      </c>
      <c r="P125" s="13">
        <f t="shared" si="12"/>
        <v>0</v>
      </c>
    </row>
    <row r="126" spans="2:16">
      <c r="B126" s="14" t="s">
        <v>35</v>
      </c>
      <c r="C126" s="4">
        <v>0</v>
      </c>
      <c r="D126" s="4">
        <v>56841</v>
      </c>
      <c r="E126" s="4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4">
        <v>0</v>
      </c>
      <c r="L126" s="15">
        <v>0</v>
      </c>
      <c r="M126" s="15">
        <v>-56841</v>
      </c>
      <c r="N126" s="15">
        <v>0</v>
      </c>
      <c r="O126" s="15">
        <v>0</v>
      </c>
      <c r="P126" s="13">
        <f t="shared" si="12"/>
        <v>0</v>
      </c>
    </row>
    <row r="127" spans="2:16">
      <c r="B127" s="14" t="s">
        <v>111</v>
      </c>
      <c r="C127" s="4">
        <v>0</v>
      </c>
      <c r="D127" s="4">
        <v>0</v>
      </c>
      <c r="E127" s="4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4">
        <v>0</v>
      </c>
      <c r="L127" s="15">
        <v>0</v>
      </c>
      <c r="M127" s="15">
        <v>0</v>
      </c>
      <c r="N127" s="15">
        <v>0</v>
      </c>
      <c r="O127" s="15">
        <v>0</v>
      </c>
      <c r="P127" s="13">
        <f t="shared" si="12"/>
        <v>0</v>
      </c>
    </row>
    <row r="128" spans="2:16">
      <c r="B128" s="14" t="s">
        <v>56</v>
      </c>
      <c r="C128" s="4">
        <v>0</v>
      </c>
      <c r="D128" s="4">
        <v>0</v>
      </c>
      <c r="E128" s="4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4">
        <v>0</v>
      </c>
      <c r="L128" s="15">
        <v>0</v>
      </c>
      <c r="M128" s="15">
        <v>0</v>
      </c>
      <c r="N128" s="15">
        <v>0</v>
      </c>
      <c r="O128" s="15">
        <v>0</v>
      </c>
      <c r="P128" s="13">
        <f t="shared" si="12"/>
        <v>0</v>
      </c>
    </row>
    <row r="129" spans="2:16">
      <c r="B129" s="14" t="s">
        <v>5</v>
      </c>
      <c r="C129" s="4">
        <v>0</v>
      </c>
      <c r="D129" s="4">
        <v>0</v>
      </c>
      <c r="E129" s="4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4">
        <v>0</v>
      </c>
      <c r="L129" s="15">
        <v>0</v>
      </c>
      <c r="M129" s="15">
        <v>0</v>
      </c>
      <c r="N129" s="15">
        <v>0</v>
      </c>
      <c r="O129" s="15">
        <v>0</v>
      </c>
      <c r="P129" s="13">
        <f t="shared" si="12"/>
        <v>0</v>
      </c>
    </row>
    <row r="130" spans="2:16">
      <c r="B130" s="14" t="s">
        <v>13</v>
      </c>
      <c r="C130" s="4">
        <v>0</v>
      </c>
      <c r="D130" s="4">
        <v>0</v>
      </c>
      <c r="E130" s="4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4">
        <v>0</v>
      </c>
      <c r="L130" s="15">
        <v>0</v>
      </c>
      <c r="M130" s="15">
        <v>0</v>
      </c>
      <c r="N130" s="15">
        <v>0</v>
      </c>
      <c r="O130" s="15">
        <v>0</v>
      </c>
      <c r="P130" s="13">
        <f t="shared" si="12"/>
        <v>0</v>
      </c>
    </row>
    <row r="131" spans="2:16">
      <c r="B131" s="14" t="s">
        <v>20</v>
      </c>
      <c r="C131" s="4">
        <v>0</v>
      </c>
      <c r="D131" s="4">
        <v>0</v>
      </c>
      <c r="E131" s="4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4">
        <v>0</v>
      </c>
      <c r="L131" s="15">
        <v>0</v>
      </c>
      <c r="M131" s="15">
        <v>0</v>
      </c>
      <c r="N131" s="15">
        <v>0</v>
      </c>
      <c r="O131" s="15">
        <v>0</v>
      </c>
      <c r="P131" s="13">
        <f t="shared" si="12"/>
        <v>0</v>
      </c>
    </row>
    <row r="132" spans="2:16">
      <c r="B132" s="14" t="s">
        <v>68</v>
      </c>
      <c r="C132" s="4">
        <v>0</v>
      </c>
      <c r="D132" s="4">
        <v>0</v>
      </c>
      <c r="E132" s="4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4">
        <v>0</v>
      </c>
      <c r="L132" s="15">
        <v>0</v>
      </c>
      <c r="M132" s="15">
        <v>0</v>
      </c>
      <c r="N132" s="15">
        <v>0</v>
      </c>
      <c r="O132" s="15">
        <v>0</v>
      </c>
      <c r="P132" s="13">
        <f t="shared" si="12"/>
        <v>0</v>
      </c>
    </row>
    <row r="133" spans="2:16">
      <c r="B133" s="14" t="s">
        <v>112</v>
      </c>
      <c r="C133" s="4">
        <v>0</v>
      </c>
      <c r="D133" s="4">
        <v>0</v>
      </c>
      <c r="E133" s="4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4">
        <v>0</v>
      </c>
      <c r="L133" s="15">
        <v>0</v>
      </c>
      <c r="M133" s="15">
        <v>0</v>
      </c>
      <c r="N133" s="15">
        <v>0</v>
      </c>
      <c r="O133" s="15">
        <v>0</v>
      </c>
      <c r="P133" s="13">
        <f t="shared" si="12"/>
        <v>0</v>
      </c>
    </row>
    <row r="134" spans="2:16">
      <c r="B134" s="14" t="s">
        <v>132</v>
      </c>
      <c r="C134" s="4">
        <v>0</v>
      </c>
      <c r="D134" s="4">
        <v>0</v>
      </c>
      <c r="E134" s="4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4">
        <v>0</v>
      </c>
      <c r="L134" s="15">
        <v>0</v>
      </c>
      <c r="M134" s="15">
        <v>0</v>
      </c>
      <c r="N134" s="15">
        <v>0</v>
      </c>
      <c r="O134" s="15">
        <v>0</v>
      </c>
      <c r="P134" s="13">
        <f t="shared" si="12"/>
        <v>0</v>
      </c>
    </row>
    <row r="135" spans="2:16">
      <c r="B135" s="14" t="s">
        <v>6</v>
      </c>
      <c r="C135" s="4">
        <v>0</v>
      </c>
      <c r="D135" s="4">
        <v>0</v>
      </c>
      <c r="E135" s="4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4">
        <v>0</v>
      </c>
      <c r="L135" s="15">
        <v>0</v>
      </c>
      <c r="M135" s="15">
        <v>0</v>
      </c>
      <c r="N135" s="15">
        <v>0</v>
      </c>
      <c r="O135" s="15">
        <v>0</v>
      </c>
      <c r="P135" s="13">
        <f t="shared" si="12"/>
        <v>0</v>
      </c>
    </row>
    <row r="136" spans="2:16">
      <c r="B136" s="12" t="s">
        <v>153</v>
      </c>
      <c r="C136" s="5">
        <v>0</v>
      </c>
      <c r="D136" s="5">
        <v>0</v>
      </c>
      <c r="E136" s="5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5">
        <v>0</v>
      </c>
      <c r="L136" s="9">
        <v>0</v>
      </c>
      <c r="M136" s="9">
        <v>0</v>
      </c>
      <c r="N136" s="9">
        <v>0</v>
      </c>
      <c r="O136" s="9">
        <v>0</v>
      </c>
      <c r="P136" s="13">
        <f t="shared" ref="P136" si="14">SUM(C136:O136)</f>
        <v>0</v>
      </c>
    </row>
    <row r="137" spans="2:16">
      <c r="B137" s="8" t="s">
        <v>82</v>
      </c>
      <c r="C137" s="5">
        <v>435373445</v>
      </c>
      <c r="D137" s="5">
        <v>0</v>
      </c>
      <c r="E137" s="5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5">
        <v>0</v>
      </c>
      <c r="L137" s="9">
        <v>0</v>
      </c>
      <c r="M137" s="9">
        <v>0</v>
      </c>
      <c r="N137" s="9">
        <v>-435373445</v>
      </c>
      <c r="O137" s="9">
        <v>0</v>
      </c>
      <c r="P137" s="7">
        <f t="shared" si="12"/>
        <v>0</v>
      </c>
    </row>
    <row r="138" spans="2:16">
      <c r="B138" s="8" t="s">
        <v>48</v>
      </c>
      <c r="C138" s="5">
        <v>0</v>
      </c>
      <c r="D138" s="5">
        <v>86132268</v>
      </c>
      <c r="E138" s="5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5">
        <v>0</v>
      </c>
      <c r="L138" s="9">
        <v>0</v>
      </c>
      <c r="M138" s="9">
        <v>0</v>
      </c>
      <c r="N138" s="9">
        <v>-86132268</v>
      </c>
      <c r="O138" s="9">
        <v>0</v>
      </c>
      <c r="P138" s="7">
        <f t="shared" si="12"/>
        <v>0</v>
      </c>
    </row>
    <row r="139" spans="2:16">
      <c r="B139" s="8" t="s">
        <v>113</v>
      </c>
      <c r="C139" s="5">
        <v>0</v>
      </c>
      <c r="D139" s="5">
        <v>0</v>
      </c>
      <c r="E139" s="5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5">
        <v>0</v>
      </c>
      <c r="L139" s="9">
        <v>0</v>
      </c>
      <c r="M139" s="9">
        <v>0</v>
      </c>
      <c r="N139" s="9">
        <v>0</v>
      </c>
      <c r="O139" s="9">
        <v>0</v>
      </c>
      <c r="P139" s="7">
        <f t="shared" si="12"/>
        <v>0</v>
      </c>
    </row>
    <row r="140" spans="2:16">
      <c r="B140" s="8" t="s">
        <v>57</v>
      </c>
      <c r="C140" s="5">
        <v>0</v>
      </c>
      <c r="D140" s="5">
        <v>0</v>
      </c>
      <c r="E140" s="5">
        <v>0</v>
      </c>
      <c r="F140" s="9">
        <v>98047000</v>
      </c>
      <c r="G140" s="9">
        <v>0</v>
      </c>
      <c r="H140" s="9">
        <v>0</v>
      </c>
      <c r="I140" s="9">
        <v>0</v>
      </c>
      <c r="J140" s="9">
        <v>0</v>
      </c>
      <c r="K140" s="5">
        <v>0</v>
      </c>
      <c r="L140" s="9">
        <v>0</v>
      </c>
      <c r="M140" s="9">
        <v>0</v>
      </c>
      <c r="N140" s="9">
        <v>-98047000</v>
      </c>
      <c r="O140" s="9">
        <v>0</v>
      </c>
      <c r="P140" s="7">
        <f t="shared" si="12"/>
        <v>0</v>
      </c>
    </row>
    <row r="141" spans="2:16">
      <c r="B141" s="8" t="s">
        <v>7</v>
      </c>
      <c r="C141" s="5">
        <v>0</v>
      </c>
      <c r="D141" s="5">
        <v>0</v>
      </c>
      <c r="E141" s="5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5">
        <v>0</v>
      </c>
      <c r="L141" s="9">
        <v>0</v>
      </c>
      <c r="M141" s="9">
        <v>0</v>
      </c>
      <c r="N141" s="9">
        <v>0</v>
      </c>
      <c r="O141" s="9">
        <v>0</v>
      </c>
      <c r="P141" s="7">
        <f t="shared" si="12"/>
        <v>0</v>
      </c>
    </row>
    <row r="142" spans="2:16">
      <c r="B142" s="8" t="s">
        <v>14</v>
      </c>
      <c r="C142" s="5">
        <v>0</v>
      </c>
      <c r="D142" s="5">
        <v>0</v>
      </c>
      <c r="E142" s="5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5">
        <v>0</v>
      </c>
      <c r="L142" s="9">
        <v>0</v>
      </c>
      <c r="M142" s="9">
        <v>0</v>
      </c>
      <c r="N142" s="9">
        <v>0</v>
      </c>
      <c r="O142" s="9">
        <v>0</v>
      </c>
      <c r="P142" s="7">
        <f t="shared" si="12"/>
        <v>0</v>
      </c>
    </row>
    <row r="143" spans="2:16">
      <c r="B143" s="8" t="s">
        <v>21</v>
      </c>
      <c r="C143" s="5">
        <v>0</v>
      </c>
      <c r="D143" s="5">
        <v>0</v>
      </c>
      <c r="E143" s="5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5">
        <v>0</v>
      </c>
      <c r="L143" s="9">
        <v>0</v>
      </c>
      <c r="M143" s="9">
        <v>0</v>
      </c>
      <c r="N143" s="9">
        <v>0</v>
      </c>
      <c r="O143" s="9">
        <v>0</v>
      </c>
      <c r="P143" s="7">
        <f t="shared" si="12"/>
        <v>0</v>
      </c>
    </row>
    <row r="144" spans="2:16">
      <c r="B144" s="8" t="s">
        <v>69</v>
      </c>
      <c r="C144" s="5">
        <v>0</v>
      </c>
      <c r="D144" s="5">
        <v>0</v>
      </c>
      <c r="E144" s="5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5">
        <v>0</v>
      </c>
      <c r="L144" s="9">
        <v>0</v>
      </c>
      <c r="M144" s="9">
        <v>0</v>
      </c>
      <c r="N144" s="9">
        <v>0</v>
      </c>
      <c r="O144" s="9">
        <v>0</v>
      </c>
      <c r="P144" s="7">
        <f t="shared" si="12"/>
        <v>0</v>
      </c>
    </row>
    <row r="145" spans="2:16">
      <c r="B145" s="8" t="s">
        <v>114</v>
      </c>
      <c r="C145" s="5">
        <v>0</v>
      </c>
      <c r="D145" s="5">
        <v>0</v>
      </c>
      <c r="E145" s="5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5">
        <v>0</v>
      </c>
      <c r="L145" s="9">
        <v>0</v>
      </c>
      <c r="M145" s="9">
        <v>0</v>
      </c>
      <c r="N145" s="9">
        <v>0</v>
      </c>
      <c r="O145" s="9">
        <v>0</v>
      </c>
      <c r="P145" s="7">
        <f t="shared" si="12"/>
        <v>0</v>
      </c>
    </row>
    <row r="146" spans="2:16">
      <c r="B146" s="8" t="s">
        <v>133</v>
      </c>
      <c r="C146" s="5">
        <v>0</v>
      </c>
      <c r="D146" s="5">
        <v>0</v>
      </c>
      <c r="E146" s="5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5">
        <v>0</v>
      </c>
      <c r="L146" s="9">
        <v>0</v>
      </c>
      <c r="M146" s="9">
        <v>0</v>
      </c>
      <c r="N146" s="9">
        <v>0</v>
      </c>
      <c r="O146" s="9">
        <v>0</v>
      </c>
      <c r="P146" s="7">
        <f t="shared" si="12"/>
        <v>0</v>
      </c>
    </row>
    <row r="147" spans="2:16">
      <c r="B147" s="8" t="s">
        <v>8</v>
      </c>
      <c r="C147" s="5">
        <v>0</v>
      </c>
      <c r="D147" s="5">
        <v>0</v>
      </c>
      <c r="E147" s="5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5">
        <v>0</v>
      </c>
      <c r="L147" s="9">
        <v>0</v>
      </c>
      <c r="M147" s="9">
        <v>0</v>
      </c>
      <c r="N147" s="9">
        <v>0</v>
      </c>
      <c r="O147" s="9">
        <v>0</v>
      </c>
      <c r="P147" s="7">
        <f t="shared" ref="P147" si="15">SUM(C147:O147)</f>
        <v>0</v>
      </c>
    </row>
    <row r="148" spans="2:16">
      <c r="B148" s="8" t="s">
        <v>158</v>
      </c>
      <c r="C148" s="5">
        <v>0</v>
      </c>
      <c r="D148" s="5">
        <v>0</v>
      </c>
      <c r="E148" s="5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5">
        <v>0</v>
      </c>
      <c r="L148" s="9">
        <v>0</v>
      </c>
      <c r="M148" s="9">
        <v>0</v>
      </c>
      <c r="N148" s="9">
        <v>-3370220740</v>
      </c>
      <c r="O148" s="9">
        <v>3370220740</v>
      </c>
      <c r="P148" s="7">
        <f t="shared" si="12"/>
        <v>0</v>
      </c>
    </row>
    <row r="149" spans="2:16">
      <c r="B149" s="14" t="s">
        <v>159</v>
      </c>
      <c r="C149" s="5">
        <v>0</v>
      </c>
      <c r="D149" s="5">
        <v>0</v>
      </c>
      <c r="E149" s="5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5">
        <v>0</v>
      </c>
      <c r="L149" s="9">
        <v>0</v>
      </c>
      <c r="M149" s="9">
        <v>0</v>
      </c>
      <c r="N149" s="9">
        <v>0</v>
      </c>
      <c r="O149" s="9">
        <v>0</v>
      </c>
      <c r="P149" s="13">
        <f t="shared" ref="P149:P160" si="16">SUM(C149:O149)</f>
        <v>0</v>
      </c>
    </row>
    <row r="150" spans="2:16">
      <c r="B150" s="14" t="s">
        <v>160</v>
      </c>
      <c r="C150" s="5">
        <v>0</v>
      </c>
      <c r="D150" s="5">
        <v>0</v>
      </c>
      <c r="E150" s="5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5">
        <v>0</v>
      </c>
      <c r="L150" s="9">
        <v>0</v>
      </c>
      <c r="M150" s="9">
        <v>0</v>
      </c>
      <c r="N150" s="9">
        <v>0</v>
      </c>
      <c r="O150" s="9">
        <v>0</v>
      </c>
      <c r="P150" s="13">
        <f t="shared" si="16"/>
        <v>0</v>
      </c>
    </row>
    <row r="151" spans="2:16">
      <c r="B151" s="14" t="s">
        <v>161</v>
      </c>
      <c r="C151" s="5">
        <v>0</v>
      </c>
      <c r="D151" s="5">
        <v>0</v>
      </c>
      <c r="E151" s="5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5">
        <v>0</v>
      </c>
      <c r="L151" s="9">
        <v>0</v>
      </c>
      <c r="M151" s="9">
        <v>0</v>
      </c>
      <c r="N151" s="9">
        <v>0</v>
      </c>
      <c r="O151" s="9">
        <v>0</v>
      </c>
      <c r="P151" s="13">
        <f t="shared" si="16"/>
        <v>0</v>
      </c>
    </row>
    <row r="152" spans="2:16">
      <c r="B152" s="14" t="s">
        <v>162</v>
      </c>
      <c r="C152" s="5">
        <v>0</v>
      </c>
      <c r="D152" s="5">
        <v>0</v>
      </c>
      <c r="E152" s="5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5">
        <v>0</v>
      </c>
      <c r="L152" s="9">
        <v>0</v>
      </c>
      <c r="M152" s="9">
        <v>0</v>
      </c>
      <c r="N152" s="9">
        <v>0</v>
      </c>
      <c r="O152" s="9">
        <v>0</v>
      </c>
      <c r="P152" s="13">
        <f t="shared" si="16"/>
        <v>0</v>
      </c>
    </row>
    <row r="153" spans="2:16">
      <c r="B153" s="14" t="s">
        <v>163</v>
      </c>
      <c r="C153" s="5">
        <v>0</v>
      </c>
      <c r="D153" s="5">
        <v>0</v>
      </c>
      <c r="E153" s="5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5">
        <v>0</v>
      </c>
      <c r="L153" s="9">
        <v>0</v>
      </c>
      <c r="M153" s="9">
        <v>0</v>
      </c>
      <c r="N153" s="9">
        <v>0</v>
      </c>
      <c r="O153" s="9">
        <v>0</v>
      </c>
      <c r="P153" s="13">
        <f t="shared" si="16"/>
        <v>0</v>
      </c>
    </row>
    <row r="154" spans="2:16">
      <c r="B154" s="14" t="s">
        <v>164</v>
      </c>
      <c r="C154" s="5">
        <v>0</v>
      </c>
      <c r="D154" s="5">
        <v>0</v>
      </c>
      <c r="E154" s="5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5">
        <v>0</v>
      </c>
      <c r="L154" s="9">
        <v>0</v>
      </c>
      <c r="M154" s="9">
        <v>0</v>
      </c>
      <c r="N154" s="9">
        <v>0</v>
      </c>
      <c r="O154" s="9">
        <v>0</v>
      </c>
      <c r="P154" s="13">
        <f t="shared" si="16"/>
        <v>0</v>
      </c>
    </row>
    <row r="155" spans="2:16">
      <c r="B155" s="14" t="s">
        <v>165</v>
      </c>
      <c r="C155" s="5">
        <v>0</v>
      </c>
      <c r="D155" s="5">
        <v>0</v>
      </c>
      <c r="E155" s="5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5">
        <v>0</v>
      </c>
      <c r="L155" s="9">
        <v>0</v>
      </c>
      <c r="M155" s="9">
        <v>0</v>
      </c>
      <c r="N155" s="9">
        <v>0</v>
      </c>
      <c r="O155" s="9">
        <v>0</v>
      </c>
      <c r="P155" s="13">
        <f t="shared" si="16"/>
        <v>0</v>
      </c>
    </row>
    <row r="156" spans="2:16">
      <c r="B156" s="14" t="s">
        <v>166</v>
      </c>
      <c r="C156" s="5">
        <v>0</v>
      </c>
      <c r="D156" s="5">
        <v>0</v>
      </c>
      <c r="E156" s="5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5">
        <v>0</v>
      </c>
      <c r="L156" s="9">
        <v>0</v>
      </c>
      <c r="M156" s="9">
        <v>0</v>
      </c>
      <c r="N156" s="9">
        <v>0</v>
      </c>
      <c r="O156" s="9">
        <v>0</v>
      </c>
      <c r="P156" s="13">
        <f t="shared" si="16"/>
        <v>0</v>
      </c>
    </row>
    <row r="157" spans="2:16">
      <c r="B157" s="14" t="s">
        <v>167</v>
      </c>
      <c r="C157" s="5">
        <v>0</v>
      </c>
      <c r="D157" s="5">
        <v>0</v>
      </c>
      <c r="E157" s="5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5">
        <v>0</v>
      </c>
      <c r="L157" s="9">
        <v>0</v>
      </c>
      <c r="M157" s="9">
        <v>0</v>
      </c>
      <c r="N157" s="9">
        <v>0</v>
      </c>
      <c r="O157" s="9">
        <v>0</v>
      </c>
      <c r="P157" s="13">
        <f t="shared" si="16"/>
        <v>0</v>
      </c>
    </row>
    <row r="158" spans="2:16">
      <c r="B158" s="14" t="s">
        <v>168</v>
      </c>
      <c r="C158" s="5">
        <v>0</v>
      </c>
      <c r="D158" s="5">
        <v>0</v>
      </c>
      <c r="E158" s="5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5">
        <v>0</v>
      </c>
      <c r="L158" s="9">
        <v>0</v>
      </c>
      <c r="M158" s="9">
        <v>0</v>
      </c>
      <c r="N158" s="9">
        <v>0</v>
      </c>
      <c r="O158" s="9">
        <v>0</v>
      </c>
      <c r="P158" s="13">
        <f t="shared" si="16"/>
        <v>0</v>
      </c>
    </row>
    <row r="159" spans="2:16">
      <c r="B159" s="14" t="s">
        <v>169</v>
      </c>
      <c r="C159" s="5">
        <v>0</v>
      </c>
      <c r="D159" s="5">
        <v>0</v>
      </c>
      <c r="E159" s="5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5">
        <v>0</v>
      </c>
      <c r="L159" s="9">
        <v>0</v>
      </c>
      <c r="M159" s="9">
        <v>0</v>
      </c>
      <c r="N159" s="9">
        <v>0</v>
      </c>
      <c r="O159" s="9">
        <v>0</v>
      </c>
      <c r="P159" s="13">
        <f t="shared" si="16"/>
        <v>0</v>
      </c>
    </row>
    <row r="160" spans="2:16">
      <c r="B160" s="14" t="s">
        <v>154</v>
      </c>
      <c r="C160" s="5">
        <v>0</v>
      </c>
      <c r="D160" s="5">
        <v>0</v>
      </c>
      <c r="E160" s="5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5">
        <v>0</v>
      </c>
      <c r="L160" s="9">
        <v>0</v>
      </c>
      <c r="M160" s="9">
        <v>0</v>
      </c>
      <c r="N160" s="9">
        <v>13419472</v>
      </c>
      <c r="O160" s="9">
        <v>-13419472</v>
      </c>
      <c r="P160" s="13">
        <f t="shared" si="16"/>
        <v>0</v>
      </c>
    </row>
    <row r="161" spans="2:16">
      <c r="B161" s="8"/>
      <c r="C161" s="4"/>
      <c r="D161" s="4"/>
      <c r="E161" s="4"/>
      <c r="F161" s="15"/>
      <c r="G161" s="15"/>
      <c r="H161" s="15"/>
      <c r="I161" s="15"/>
      <c r="J161" s="15"/>
      <c r="K161" s="4"/>
      <c r="L161" s="15"/>
      <c r="M161" s="15"/>
      <c r="N161" s="15"/>
      <c r="O161" s="15"/>
    </row>
    <row r="162" spans="2:16">
      <c r="C162" s="2">
        <f t="shared" ref="C162:N162" si="17">SUM(C5:C160)</f>
        <v>812485814</v>
      </c>
      <c r="D162" s="2">
        <f t="shared" si="17"/>
        <v>7665966113</v>
      </c>
      <c r="E162" s="2">
        <f t="shared" si="17"/>
        <v>-3763177777</v>
      </c>
      <c r="F162" s="2">
        <f t="shared" si="17"/>
        <v>-2031205062</v>
      </c>
      <c r="G162" s="2">
        <f t="shared" si="17"/>
        <v>-6264585000</v>
      </c>
      <c r="H162" s="2">
        <f t="shared" si="17"/>
        <v>0</v>
      </c>
      <c r="I162" s="2">
        <f t="shared" si="17"/>
        <v>0</v>
      </c>
      <c r="J162" s="2">
        <f t="shared" si="17"/>
        <v>148974667</v>
      </c>
      <c r="K162" s="2">
        <f t="shared" si="17"/>
        <v>-3661075922</v>
      </c>
      <c r="L162" s="2">
        <f t="shared" si="17"/>
        <v>-1150000000</v>
      </c>
      <c r="M162" s="2">
        <f t="shared" si="17"/>
        <v>132686063</v>
      </c>
      <c r="N162" s="2">
        <f t="shared" si="17"/>
        <v>4183261449</v>
      </c>
      <c r="O162" s="11">
        <f>SUM(O5:O148)</f>
        <v>3940089127</v>
      </c>
      <c r="P162" s="16">
        <f>SUM(P5:P148)</f>
        <v>0</v>
      </c>
    </row>
    <row r="164" spans="2:16" s="18" customFormat="1">
      <c r="C164" s="18">
        <v>812485814</v>
      </c>
      <c r="D164" s="18">
        <v>7665966113</v>
      </c>
      <c r="E164" s="18">
        <v>-3763177777</v>
      </c>
      <c r="F164" s="18">
        <v>-2031205062</v>
      </c>
      <c r="G164" s="18">
        <v>-6264585000</v>
      </c>
      <c r="H164" s="18">
        <v>0</v>
      </c>
      <c r="I164" s="18">
        <v>0</v>
      </c>
      <c r="J164" s="18">
        <v>148974667</v>
      </c>
      <c r="K164" s="18">
        <v>-3661075922</v>
      </c>
      <c r="L164" s="18">
        <v>-1150000000</v>
      </c>
      <c r="M164" s="18">
        <v>132686063</v>
      </c>
      <c r="N164" s="18">
        <v>4183261449</v>
      </c>
      <c r="O164" s="18">
        <v>3940089127</v>
      </c>
    </row>
    <row r="165" spans="2:16">
      <c r="D165" t="s">
        <v>0</v>
      </c>
      <c r="O165" s="18" t="s">
        <v>0</v>
      </c>
    </row>
    <row r="166" spans="2:16" s="17" customFormat="1" ht="15">
      <c r="C166" s="17">
        <f t="shared" ref="C166:M166" si="18">C162-C164</f>
        <v>0</v>
      </c>
      <c r="D166" s="17">
        <f t="shared" si="18"/>
        <v>0</v>
      </c>
      <c r="E166" s="17">
        <f t="shared" si="18"/>
        <v>0</v>
      </c>
      <c r="F166" s="17">
        <f t="shared" si="18"/>
        <v>0</v>
      </c>
      <c r="G166" s="17">
        <f t="shared" si="18"/>
        <v>0</v>
      </c>
      <c r="H166" s="17">
        <f t="shared" si="18"/>
        <v>0</v>
      </c>
      <c r="I166" s="17">
        <f t="shared" si="18"/>
        <v>0</v>
      </c>
      <c r="J166" s="17">
        <f t="shared" si="18"/>
        <v>0</v>
      </c>
      <c r="K166" s="17">
        <f t="shared" si="18"/>
        <v>0</v>
      </c>
      <c r="L166" s="17">
        <f t="shared" si="18"/>
        <v>0</v>
      </c>
      <c r="M166" s="17">
        <f t="shared" si="18"/>
        <v>0</v>
      </c>
      <c r="N166" s="17">
        <f t="shared" ref="N166:O166" si="19">N162-N164</f>
        <v>0</v>
      </c>
      <c r="O166" s="17">
        <f t="shared" si="19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2026-02-11T07:29:25Z</cp:lastPrinted>
  <dcterms:created xsi:type="dcterms:W3CDTF">2022-01-08T11:05:28Z</dcterms:created>
  <dcterms:modified xsi:type="dcterms:W3CDTF">2026-06-18T11:12:37Z</dcterms:modified>
</cp:coreProperties>
</file>