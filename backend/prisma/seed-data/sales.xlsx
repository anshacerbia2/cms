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-105" yWindow="-105" windowWidth="24885" windowHeight="14910"/>
  </bookViews>
  <sheets>
    <sheet name="Inv 10-Feb-26" sheetId="43" r:id="rId1"/>
  </sheets>
  <definedNames>
    <definedName name="_xlnm._FilterDatabase" localSheetId="0" hidden="1">'Inv 10-Feb-26'!$A$4:$AD$302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3" i="43" l="1"/>
  <c r="Z303" i="43"/>
  <c r="AB303" i="43" s="1"/>
  <c r="K303" i="43"/>
  <c r="X303" i="43" s="1"/>
  <c r="AA30" i="43" l="1"/>
  <c r="AA231" i="43"/>
  <c r="AA136" i="43"/>
  <c r="AA239" i="43"/>
  <c r="AA223" i="43"/>
  <c r="AA153" i="43"/>
  <c r="AA150" i="43"/>
  <c r="AA148" i="43"/>
  <c r="AA233" i="43"/>
  <c r="AA232" i="43"/>
  <c r="AA229" i="43"/>
  <c r="AA228" i="43"/>
  <c r="AA225" i="43"/>
  <c r="AA224" i="43"/>
  <c r="AA218" i="43"/>
  <c r="AA214" i="43"/>
  <c r="AA213" i="43"/>
  <c r="AA206" i="43"/>
  <c r="AA178" i="43"/>
  <c r="AA177" i="43"/>
  <c r="AA172" i="43"/>
  <c r="AA168" i="43"/>
  <c r="AA158" i="43"/>
  <c r="AA157" i="43"/>
  <c r="AA155" i="43"/>
  <c r="AA152" i="43"/>
  <c r="AA149" i="43"/>
  <c r="AA147" i="43"/>
  <c r="AA145" i="43"/>
  <c r="AA137" i="43"/>
  <c r="AA131" i="43"/>
  <c r="AA130" i="43"/>
  <c r="AA6" i="43"/>
  <c r="AA253" i="43" l="1"/>
  <c r="AA112" i="43"/>
  <c r="AA120" i="43"/>
  <c r="Z120" i="43"/>
  <c r="K120" i="43"/>
  <c r="W305" i="43"/>
  <c r="V305" i="43"/>
  <c r="U305" i="43"/>
  <c r="T305" i="43"/>
  <c r="S305" i="43"/>
  <c r="R305" i="43"/>
  <c r="Q305" i="43"/>
  <c r="P305" i="43"/>
  <c r="O305" i="43"/>
  <c r="N305" i="43"/>
  <c r="M305" i="43"/>
  <c r="I305" i="43"/>
  <c r="H305" i="43"/>
  <c r="AB120" i="43" l="1"/>
  <c r="X120" i="43"/>
  <c r="AA251" i="43"/>
  <c r="AA255" i="43" l="1"/>
  <c r="W309" i="43" l="1"/>
  <c r="U309" i="43"/>
  <c r="T309" i="43"/>
  <c r="S309" i="43"/>
  <c r="R309" i="43"/>
  <c r="P309" i="43"/>
  <c r="O309" i="43"/>
  <c r="M309" i="43"/>
  <c r="AA263" i="43"/>
  <c r="Z263" i="43"/>
  <c r="K263" i="43"/>
  <c r="AA262" i="43"/>
  <c r="Z262" i="43"/>
  <c r="K262" i="43"/>
  <c r="AA261" i="43"/>
  <c r="Z261" i="43"/>
  <c r="K261" i="43"/>
  <c r="AA260" i="43"/>
  <c r="Z260" i="43"/>
  <c r="K260" i="43"/>
  <c r="AA259" i="43"/>
  <c r="Z259" i="43"/>
  <c r="K259" i="43"/>
  <c r="AA258" i="43"/>
  <c r="Z258" i="43"/>
  <c r="K258" i="43"/>
  <c r="AA119" i="43"/>
  <c r="Z119" i="43"/>
  <c r="K119" i="43"/>
  <c r="X119" i="43" s="1"/>
  <c r="AA257" i="43"/>
  <c r="Z257" i="43"/>
  <c r="K257" i="43"/>
  <c r="AA118" i="43"/>
  <c r="Z118" i="43"/>
  <c r="K118" i="43"/>
  <c r="X118" i="43" s="1"/>
  <c r="AA117" i="43"/>
  <c r="Z117" i="43"/>
  <c r="K117" i="43"/>
  <c r="AA256" i="43"/>
  <c r="Z256" i="43"/>
  <c r="K256" i="43"/>
  <c r="AA116" i="43"/>
  <c r="Z116" i="43"/>
  <c r="K116" i="43"/>
  <c r="X116" i="43" s="1"/>
  <c r="AA115" i="43"/>
  <c r="Z115" i="43"/>
  <c r="K115" i="43"/>
  <c r="AA114" i="43"/>
  <c r="Z114" i="43"/>
  <c r="K114" i="43"/>
  <c r="X114" i="43" s="1"/>
  <c r="AA113" i="43"/>
  <c r="Z113" i="43"/>
  <c r="K113" i="43"/>
  <c r="Z112" i="43"/>
  <c r="K112" i="43"/>
  <c r="AA111" i="43"/>
  <c r="Z111" i="43"/>
  <c r="K111" i="43"/>
  <c r="AA110" i="43"/>
  <c r="Z110" i="43"/>
  <c r="K110" i="43"/>
  <c r="Z255" i="43"/>
  <c r="K255" i="43"/>
  <c r="AC255" i="43" s="1"/>
  <c r="AA109" i="43"/>
  <c r="Z109" i="43"/>
  <c r="K109" i="43"/>
  <c r="X109" i="43" s="1"/>
  <c r="AA254" i="43"/>
  <c r="Z254" i="43"/>
  <c r="K254" i="43"/>
  <c r="X254" i="43" s="1"/>
  <c r="AA108" i="43"/>
  <c r="Z108" i="43"/>
  <c r="K108" i="43"/>
  <c r="AA302" i="43"/>
  <c r="Z302" i="43"/>
  <c r="K302" i="43"/>
  <c r="X302" i="43" s="1"/>
  <c r="AA301" i="43"/>
  <c r="Z301" i="43"/>
  <c r="K301" i="43"/>
  <c r="X301" i="43" s="1"/>
  <c r="AA300" i="43"/>
  <c r="Z300" i="43"/>
  <c r="K300" i="43"/>
  <c r="X300" i="43" s="1"/>
  <c r="AA107" i="43"/>
  <c r="Z107" i="43"/>
  <c r="K107" i="43"/>
  <c r="AA299" i="43"/>
  <c r="Z299" i="43"/>
  <c r="K299" i="43"/>
  <c r="X299" i="43" s="1"/>
  <c r="AA298" i="43"/>
  <c r="Z298" i="43"/>
  <c r="K298" i="43"/>
  <c r="AA106" i="43"/>
  <c r="Z106" i="43"/>
  <c r="K106" i="43"/>
  <c r="AA105" i="43"/>
  <c r="Z105" i="43"/>
  <c r="K105" i="43"/>
  <c r="AA297" i="43"/>
  <c r="Z297" i="43"/>
  <c r="K297" i="43"/>
  <c r="X297" i="43" s="1"/>
  <c r="AA296" i="43"/>
  <c r="Z296" i="43"/>
  <c r="K296" i="43"/>
  <c r="AA295" i="43"/>
  <c r="Z295" i="43"/>
  <c r="K295" i="43"/>
  <c r="AA294" i="43"/>
  <c r="Z294" i="43"/>
  <c r="K294" i="43"/>
  <c r="AA293" i="43"/>
  <c r="Z293" i="43"/>
  <c r="K293" i="43"/>
  <c r="AA292" i="43"/>
  <c r="Z292" i="43"/>
  <c r="K292" i="43"/>
  <c r="X292" i="43" s="1"/>
  <c r="AA104" i="43"/>
  <c r="Z104" i="43"/>
  <c r="K104" i="43"/>
  <c r="AA291" i="43"/>
  <c r="Z291" i="43"/>
  <c r="K291" i="43"/>
  <c r="X291" i="43" s="1"/>
  <c r="AA290" i="43"/>
  <c r="Z290" i="43"/>
  <c r="K290" i="43"/>
  <c r="AA289" i="43"/>
  <c r="Z289" i="43"/>
  <c r="K289" i="43"/>
  <c r="AA288" i="43"/>
  <c r="Z288" i="43"/>
  <c r="K288" i="43"/>
  <c r="AA287" i="43"/>
  <c r="Z287" i="43"/>
  <c r="K287" i="43"/>
  <c r="X287" i="43" s="1"/>
  <c r="AA286" i="43"/>
  <c r="Z286" i="43"/>
  <c r="K286" i="43"/>
  <c r="AA103" i="43"/>
  <c r="Z103" i="43"/>
  <c r="K103" i="43"/>
  <c r="X103" i="43" s="1"/>
  <c r="AA102" i="43"/>
  <c r="Z102" i="43"/>
  <c r="K102" i="43"/>
  <c r="X102" i="43" s="1"/>
  <c r="AA285" i="43"/>
  <c r="Z285" i="43"/>
  <c r="K285" i="43"/>
  <c r="AA284" i="43"/>
  <c r="Z284" i="43"/>
  <c r="K284" i="43"/>
  <c r="X284" i="43" s="1"/>
  <c r="AA283" i="43"/>
  <c r="Z283" i="43"/>
  <c r="K283" i="43"/>
  <c r="AA282" i="43"/>
  <c r="Z282" i="43"/>
  <c r="K282" i="43"/>
  <c r="X282" i="43" s="1"/>
  <c r="AA281" i="43"/>
  <c r="Z281" i="43"/>
  <c r="K281" i="43"/>
  <c r="AA280" i="43"/>
  <c r="Z280" i="43"/>
  <c r="K280" i="43"/>
  <c r="AA279" i="43"/>
  <c r="Z279" i="43"/>
  <c r="K279" i="43"/>
  <c r="AA278" i="43"/>
  <c r="Z278" i="43"/>
  <c r="K278" i="43"/>
  <c r="AA277" i="43"/>
  <c r="Z277" i="43"/>
  <c r="K277" i="43"/>
  <c r="AA276" i="43"/>
  <c r="Z276" i="43"/>
  <c r="K276" i="43"/>
  <c r="X276" i="43" s="1"/>
  <c r="AA275" i="43"/>
  <c r="Z275" i="43"/>
  <c r="K275" i="43"/>
  <c r="AA274" i="43"/>
  <c r="Z274" i="43"/>
  <c r="K274" i="43"/>
  <c r="AA273" i="43"/>
  <c r="Z273" i="43"/>
  <c r="K273" i="43"/>
  <c r="X273" i="43" s="1"/>
  <c r="Z101" i="43"/>
  <c r="K101" i="43"/>
  <c r="X101" i="43" s="1"/>
  <c r="AA100" i="43"/>
  <c r="Z100" i="43"/>
  <c r="K100" i="43"/>
  <c r="AA272" i="43"/>
  <c r="Z272" i="43"/>
  <c r="K272" i="43"/>
  <c r="AA271" i="43"/>
  <c r="Z271" i="43"/>
  <c r="K271" i="43"/>
  <c r="X271" i="43" s="1"/>
  <c r="Z253" i="43"/>
  <c r="K253" i="43"/>
  <c r="AC253" i="43" s="1"/>
  <c r="AA99" i="43"/>
  <c r="Z99" i="43"/>
  <c r="K99" i="43"/>
  <c r="AA270" i="43"/>
  <c r="Z270" i="43"/>
  <c r="K270" i="43"/>
  <c r="AA98" i="43"/>
  <c r="Z98" i="43"/>
  <c r="K98" i="43"/>
  <c r="AA97" i="43"/>
  <c r="Z97" i="43"/>
  <c r="K97" i="43"/>
  <c r="AA252" i="43"/>
  <c r="Z252" i="43"/>
  <c r="K252" i="43"/>
  <c r="Z251" i="43"/>
  <c r="K251" i="43"/>
  <c r="AC251" i="43" s="1"/>
  <c r="AA96" i="43"/>
  <c r="Z96" i="43"/>
  <c r="K96" i="43"/>
  <c r="AA269" i="43"/>
  <c r="Z269" i="43"/>
  <c r="K269" i="43"/>
  <c r="AA95" i="43"/>
  <c r="Z95" i="43"/>
  <c r="K95" i="43"/>
  <c r="AA250" i="43"/>
  <c r="Z250" i="43"/>
  <c r="K250" i="43"/>
  <c r="AA268" i="43"/>
  <c r="Z268" i="43"/>
  <c r="K268" i="43"/>
  <c r="X268" i="43" s="1"/>
  <c r="AA249" i="43"/>
  <c r="Z249" i="43"/>
  <c r="K249" i="43"/>
  <c r="AA267" i="43"/>
  <c r="Z267" i="43"/>
  <c r="K267" i="43"/>
  <c r="AA266" i="43"/>
  <c r="Z266" i="43"/>
  <c r="K266" i="43"/>
  <c r="AA265" i="43"/>
  <c r="Z265" i="43"/>
  <c r="K265" i="43"/>
  <c r="AA94" i="43"/>
  <c r="Z94" i="43"/>
  <c r="K94" i="43"/>
  <c r="AA264" i="43"/>
  <c r="Z264" i="43"/>
  <c r="K264" i="43"/>
  <c r="X264" i="43" s="1"/>
  <c r="Z93" i="43"/>
  <c r="K93" i="43"/>
  <c r="Z92" i="43"/>
  <c r="K92" i="43"/>
  <c r="X92" i="43" s="1"/>
  <c r="Z91" i="43"/>
  <c r="K91" i="43"/>
  <c r="X91" i="43" s="1"/>
  <c r="AA90" i="43"/>
  <c r="Z90" i="43"/>
  <c r="K90" i="43"/>
  <c r="AA248" i="43"/>
  <c r="Z248" i="43"/>
  <c r="K248" i="43"/>
  <c r="AA247" i="43"/>
  <c r="Z247" i="43"/>
  <c r="K247" i="43"/>
  <c r="AA89" i="43"/>
  <c r="Z89" i="43"/>
  <c r="K89" i="43"/>
  <c r="X89" i="43" s="1"/>
  <c r="AA246" i="43"/>
  <c r="Z246" i="43"/>
  <c r="N246" i="43"/>
  <c r="N309" i="43" s="1"/>
  <c r="K246" i="43"/>
  <c r="AA245" i="43"/>
  <c r="Z245" i="43"/>
  <c r="K245" i="43"/>
  <c r="AA244" i="43"/>
  <c r="Z244" i="43"/>
  <c r="K244" i="43"/>
  <c r="AA243" i="43"/>
  <c r="Z243" i="43"/>
  <c r="K243" i="43"/>
  <c r="AA88" i="43"/>
  <c r="Z88" i="43"/>
  <c r="K88" i="43"/>
  <c r="X88" i="43" s="1"/>
  <c r="AA242" i="43"/>
  <c r="Z242" i="43"/>
  <c r="K242" i="43"/>
  <c r="X242" i="43" s="1"/>
  <c r="AA87" i="43"/>
  <c r="Z87" i="43"/>
  <c r="K87" i="43"/>
  <c r="AA86" i="43"/>
  <c r="Z86" i="43"/>
  <c r="K86" i="43"/>
  <c r="AA85" i="43"/>
  <c r="Z85" i="43"/>
  <c r="K85" i="43"/>
  <c r="X85" i="43" s="1"/>
  <c r="Z241" i="43"/>
  <c r="K241" i="43"/>
  <c r="AC241" i="43" s="1"/>
  <c r="Z240" i="43"/>
  <c r="K240" i="43"/>
  <c r="X240" i="43" s="1"/>
  <c r="Z239" i="43"/>
  <c r="K239" i="43"/>
  <c r="Z238" i="43"/>
  <c r="K238" i="43"/>
  <c r="X238" i="43" s="1"/>
  <c r="Z237" i="43"/>
  <c r="K237" i="43"/>
  <c r="X237" i="43" s="1"/>
  <c r="Z236" i="43"/>
  <c r="K236" i="43"/>
  <c r="X236" i="43" s="1"/>
  <c r="Z235" i="43"/>
  <c r="K235" i="43"/>
  <c r="X235" i="43" s="1"/>
  <c r="Z234" i="43"/>
  <c r="K234" i="43"/>
  <c r="AC234" i="43" s="1"/>
  <c r="Z233" i="43"/>
  <c r="K233" i="43"/>
  <c r="X233" i="43" s="1"/>
  <c r="AA84" i="43"/>
  <c r="Z84" i="43"/>
  <c r="K84" i="43"/>
  <c r="AA83" i="43"/>
  <c r="Z83" i="43"/>
  <c r="K83" i="43"/>
  <c r="X83" i="43" s="1"/>
  <c r="AA82" i="43"/>
  <c r="Z82" i="43"/>
  <c r="K82" i="43"/>
  <c r="AA81" i="43"/>
  <c r="Z81" i="43"/>
  <c r="K81" i="43"/>
  <c r="X81" i="43" s="1"/>
  <c r="Z232" i="43"/>
  <c r="K232" i="43"/>
  <c r="X232" i="43" s="1"/>
  <c r="Z231" i="43"/>
  <c r="K231" i="43"/>
  <c r="X231" i="43" s="1"/>
  <c r="AA230" i="43"/>
  <c r="Z230" i="43"/>
  <c r="K230" i="43"/>
  <c r="Z229" i="43"/>
  <c r="K229" i="43"/>
  <c r="X229" i="43" s="1"/>
  <c r="Z228" i="43"/>
  <c r="K228" i="43"/>
  <c r="X228" i="43" s="1"/>
  <c r="Z227" i="43"/>
  <c r="K227" i="43"/>
  <c r="AC227" i="43" s="1"/>
  <c r="AA80" i="43"/>
  <c r="Z80" i="43"/>
  <c r="K80" i="43"/>
  <c r="X80" i="43" s="1"/>
  <c r="Z226" i="43"/>
  <c r="K226" i="43"/>
  <c r="AC226" i="43" s="1"/>
  <c r="Z225" i="43"/>
  <c r="K225" i="43"/>
  <c r="Z224" i="43"/>
  <c r="K224" i="43"/>
  <c r="X224" i="43" s="1"/>
  <c r="Z223" i="43"/>
  <c r="K223" i="43"/>
  <c r="AA222" i="43"/>
  <c r="Z222" i="43"/>
  <c r="K222" i="43"/>
  <c r="X222" i="43" s="1"/>
  <c r="Z221" i="43"/>
  <c r="K221" i="43"/>
  <c r="X221" i="43" s="1"/>
  <c r="Z220" i="43"/>
  <c r="K220" i="43"/>
  <c r="X220" i="43" s="1"/>
  <c r="AA219" i="43"/>
  <c r="Z219" i="43"/>
  <c r="K219" i="43"/>
  <c r="X219" i="43" s="1"/>
  <c r="Z218" i="43"/>
  <c r="K218" i="43"/>
  <c r="Z217" i="43"/>
  <c r="K217" i="43"/>
  <c r="AC217" i="43" s="1"/>
  <c r="AA216" i="43"/>
  <c r="Z216" i="43"/>
  <c r="K216" i="43"/>
  <c r="Z215" i="43"/>
  <c r="K215" i="43"/>
  <c r="X215" i="43" s="1"/>
  <c r="Z214" i="43"/>
  <c r="K214" i="43"/>
  <c r="Z213" i="43"/>
  <c r="K213" i="43"/>
  <c r="AA79" i="43"/>
  <c r="Z79" i="43"/>
  <c r="K79" i="43"/>
  <c r="X79" i="43" s="1"/>
  <c r="AA78" i="43"/>
  <c r="Z78" i="43"/>
  <c r="K78" i="43"/>
  <c r="AA77" i="43"/>
  <c r="Z77" i="43"/>
  <c r="K77" i="43"/>
  <c r="X77" i="43" s="1"/>
  <c r="Z212" i="43"/>
  <c r="K212" i="43"/>
  <c r="AC212" i="43" s="1"/>
  <c r="AA211" i="43"/>
  <c r="Z211" i="43"/>
  <c r="K211" i="43"/>
  <c r="X211" i="43" s="1"/>
  <c r="AA210" i="43"/>
  <c r="Z210" i="43"/>
  <c r="K210" i="43"/>
  <c r="Z76" i="43"/>
  <c r="K76" i="43"/>
  <c r="X76" i="43" s="1"/>
  <c r="AA209" i="43"/>
  <c r="Z209" i="43"/>
  <c r="K209" i="43"/>
  <c r="AA208" i="43"/>
  <c r="Z208" i="43"/>
  <c r="K208" i="43"/>
  <c r="Z75" i="43"/>
  <c r="K75" i="43"/>
  <c r="X75" i="43" s="1"/>
  <c r="AA207" i="43"/>
  <c r="Z207" i="43"/>
  <c r="K207" i="43"/>
  <c r="X207" i="43" s="1"/>
  <c r="AA74" i="43"/>
  <c r="Z74" i="43"/>
  <c r="K74" i="43"/>
  <c r="Z206" i="43"/>
  <c r="K206" i="43"/>
  <c r="X206" i="43" s="1"/>
  <c r="Z73" i="43"/>
  <c r="K73" i="43"/>
  <c r="X73" i="43" s="1"/>
  <c r="Z72" i="43"/>
  <c r="K72" i="43"/>
  <c r="X72" i="43" s="1"/>
  <c r="Z71" i="43"/>
  <c r="K71" i="43"/>
  <c r="X71" i="43" s="1"/>
  <c r="AA205" i="43"/>
  <c r="Z205" i="43"/>
  <c r="K205" i="43"/>
  <c r="X205" i="43" s="1"/>
  <c r="Z70" i="43"/>
  <c r="K70" i="43"/>
  <c r="X70" i="43" s="1"/>
  <c r="Z69" i="43"/>
  <c r="K69" i="43"/>
  <c r="X69" i="43" s="1"/>
  <c r="Z68" i="43"/>
  <c r="K68" i="43"/>
  <c r="X68" i="43" s="1"/>
  <c r="Z204" i="43"/>
  <c r="K204" i="43"/>
  <c r="AC204" i="43" s="1"/>
  <c r="Z203" i="43"/>
  <c r="K203" i="43"/>
  <c r="AC203" i="43" s="1"/>
  <c r="Z202" i="43"/>
  <c r="K202" i="43"/>
  <c r="AC202" i="43" s="1"/>
  <c r="Z201" i="43"/>
  <c r="K201" i="43"/>
  <c r="X201" i="43" s="1"/>
  <c r="Z200" i="43"/>
  <c r="K200" i="43"/>
  <c r="AC200" i="43" s="1"/>
  <c r="Z199" i="43"/>
  <c r="K199" i="43"/>
  <c r="AC199" i="43" s="1"/>
  <c r="Z198" i="43"/>
  <c r="K198" i="43"/>
  <c r="AC198" i="43" s="1"/>
  <c r="Z197" i="43"/>
  <c r="K197" i="43"/>
  <c r="AC197" i="43" s="1"/>
  <c r="Z196" i="43"/>
  <c r="K196" i="43"/>
  <c r="Z195" i="43"/>
  <c r="K195" i="43"/>
  <c r="AC195" i="43" s="1"/>
  <c r="Z194" i="43"/>
  <c r="K194" i="43"/>
  <c r="X194" i="43" s="1"/>
  <c r="Z193" i="43"/>
  <c r="K193" i="43"/>
  <c r="AC193" i="43" s="1"/>
  <c r="Z192" i="43"/>
  <c r="K192" i="43"/>
  <c r="X192" i="43" s="1"/>
  <c r="Z191" i="43"/>
  <c r="K191" i="43"/>
  <c r="AC191" i="43" s="1"/>
  <c r="Z190" i="43"/>
  <c r="K190" i="43"/>
  <c r="AC190" i="43" s="1"/>
  <c r="Z189" i="43"/>
  <c r="K189" i="43"/>
  <c r="AC189" i="43" s="1"/>
  <c r="Z188" i="43"/>
  <c r="K188" i="43"/>
  <c r="AC188" i="43" s="1"/>
  <c r="Z187" i="43"/>
  <c r="K187" i="43"/>
  <c r="X187" i="43" s="1"/>
  <c r="Z186" i="43"/>
  <c r="K186" i="43"/>
  <c r="AC186" i="43" s="1"/>
  <c r="Z185" i="43"/>
  <c r="K185" i="43"/>
  <c r="AC185" i="43" s="1"/>
  <c r="Z184" i="43"/>
  <c r="K184" i="43"/>
  <c r="Z183" i="43"/>
  <c r="K183" i="43"/>
  <c r="X183" i="43" s="1"/>
  <c r="Z182" i="43"/>
  <c r="K182" i="43"/>
  <c r="X182" i="43" s="1"/>
  <c r="Z181" i="43"/>
  <c r="K181" i="43"/>
  <c r="AC181" i="43" s="1"/>
  <c r="Z180" i="43"/>
  <c r="K180" i="43"/>
  <c r="AC180" i="43" s="1"/>
  <c r="AA179" i="43"/>
  <c r="Z179" i="43"/>
  <c r="K179" i="43"/>
  <c r="X179" i="43" s="1"/>
  <c r="Z178" i="43"/>
  <c r="K178" i="43"/>
  <c r="AA67" i="43"/>
  <c r="Z67" i="43"/>
  <c r="K67" i="43"/>
  <c r="AA66" i="43"/>
  <c r="Z66" i="43"/>
  <c r="K66" i="43"/>
  <c r="X66" i="43" s="1"/>
  <c r="AA65" i="43"/>
  <c r="Z65" i="43"/>
  <c r="K65" i="43"/>
  <c r="AA64" i="43"/>
  <c r="Z64" i="43"/>
  <c r="K64" i="43"/>
  <c r="X64" i="43" s="1"/>
  <c r="Z177" i="43"/>
  <c r="K177" i="43"/>
  <c r="Z176" i="43"/>
  <c r="K176" i="43"/>
  <c r="X176" i="43" s="1"/>
  <c r="Z175" i="43"/>
  <c r="K175" i="43"/>
  <c r="Z174" i="43"/>
  <c r="K174" i="43"/>
  <c r="AC174" i="43" s="1"/>
  <c r="Z173" i="43"/>
  <c r="K173" i="43"/>
  <c r="X173" i="43" s="1"/>
  <c r="Z172" i="43"/>
  <c r="K172" i="43"/>
  <c r="X172" i="43" s="1"/>
  <c r="Z63" i="43"/>
  <c r="K63" i="43"/>
  <c r="X63" i="43" s="1"/>
  <c r="AA171" i="43"/>
  <c r="Z171" i="43"/>
  <c r="K171" i="43"/>
  <c r="AA170" i="43"/>
  <c r="Z170" i="43"/>
  <c r="K170" i="43"/>
  <c r="AA62" i="43"/>
  <c r="Z62" i="43"/>
  <c r="K62" i="43"/>
  <c r="X62" i="43" s="1"/>
  <c r="AA169" i="43"/>
  <c r="Z169" i="43"/>
  <c r="K169" i="43"/>
  <c r="Z168" i="43"/>
  <c r="K168" i="43"/>
  <c r="X168" i="43" s="1"/>
  <c r="AA167" i="43"/>
  <c r="Z167" i="43"/>
  <c r="K167" i="43"/>
  <c r="AA166" i="43"/>
  <c r="Z166" i="43"/>
  <c r="K166" i="43"/>
  <c r="AA165" i="43"/>
  <c r="Z165" i="43"/>
  <c r="K165" i="43"/>
  <c r="X165" i="43" s="1"/>
  <c r="AA164" i="43"/>
  <c r="Z164" i="43"/>
  <c r="K164" i="43"/>
  <c r="X164" i="43" s="1"/>
  <c r="AA163" i="43"/>
  <c r="Z163" i="43"/>
  <c r="K163" i="43"/>
  <c r="AA162" i="43"/>
  <c r="Z162" i="43"/>
  <c r="K162" i="43"/>
  <c r="AA161" i="43"/>
  <c r="Z161" i="43"/>
  <c r="K161" i="43"/>
  <c r="X161" i="43" s="1"/>
  <c r="AA61" i="43"/>
  <c r="Z61" i="43"/>
  <c r="K61" i="43"/>
  <c r="AA60" i="43"/>
  <c r="Z60" i="43"/>
  <c r="K60" i="43"/>
  <c r="X60" i="43" s="1"/>
  <c r="AA59" i="43"/>
  <c r="Z59" i="43"/>
  <c r="K59" i="43"/>
  <c r="AA58" i="43"/>
  <c r="Z58" i="43"/>
  <c r="K58" i="43"/>
  <c r="X58" i="43" s="1"/>
  <c r="AA57" i="43"/>
  <c r="Z57" i="43"/>
  <c r="K57" i="43"/>
  <c r="AA160" i="43"/>
  <c r="Z160" i="43"/>
  <c r="K160" i="43"/>
  <c r="X160" i="43" s="1"/>
  <c r="AA159" i="43"/>
  <c r="Z159" i="43"/>
  <c r="K159" i="43"/>
  <c r="X159" i="43" s="1"/>
  <c r="Z158" i="43"/>
  <c r="K158" i="43"/>
  <c r="AA56" i="43"/>
  <c r="Z56" i="43"/>
  <c r="K56" i="43"/>
  <c r="AA55" i="43"/>
  <c r="Z55" i="43"/>
  <c r="K55" i="43"/>
  <c r="Z157" i="43"/>
  <c r="K157" i="43"/>
  <c r="X157" i="43" s="1"/>
  <c r="AA156" i="43"/>
  <c r="Z156" i="43"/>
  <c r="K156" i="43"/>
  <c r="X156" i="43" s="1"/>
  <c r="Z155" i="43"/>
  <c r="K155" i="43"/>
  <c r="AA154" i="43"/>
  <c r="Z154" i="43"/>
  <c r="K154" i="43"/>
  <c r="Z153" i="43"/>
  <c r="K153" i="43"/>
  <c r="X153" i="43" s="1"/>
  <c r="Z152" i="43"/>
  <c r="K152" i="43"/>
  <c r="X152" i="43" s="1"/>
  <c r="AA151" i="43"/>
  <c r="Z151" i="43"/>
  <c r="K151" i="43"/>
  <c r="Z150" i="43"/>
  <c r="K150" i="43"/>
  <c r="Z149" i="43"/>
  <c r="K149" i="43"/>
  <c r="Z148" i="43"/>
  <c r="K148" i="43"/>
  <c r="Z147" i="43"/>
  <c r="K147" i="43"/>
  <c r="X147" i="43" s="1"/>
  <c r="AA146" i="43"/>
  <c r="Z146" i="43"/>
  <c r="K146" i="43"/>
  <c r="AA54" i="43"/>
  <c r="Z54" i="43"/>
  <c r="K54" i="43"/>
  <c r="Z145" i="43"/>
  <c r="K145" i="43"/>
  <c r="X145" i="43" s="1"/>
  <c r="AA144" i="43"/>
  <c r="Z144" i="43"/>
  <c r="K144" i="43"/>
  <c r="X144" i="43" s="1"/>
  <c r="AA143" i="43"/>
  <c r="Z143" i="43"/>
  <c r="K143" i="43"/>
  <c r="X143" i="43" s="1"/>
  <c r="AA142" i="43"/>
  <c r="Z142" i="43"/>
  <c r="K142" i="43"/>
  <c r="X142" i="43" s="1"/>
  <c r="AA141" i="43"/>
  <c r="Z141" i="43"/>
  <c r="K141" i="43"/>
  <c r="X141" i="43" s="1"/>
  <c r="AA140" i="43"/>
  <c r="Z140" i="43"/>
  <c r="K140" i="43"/>
  <c r="X140" i="43" s="1"/>
  <c r="AA139" i="43"/>
  <c r="Z139" i="43"/>
  <c r="K139" i="43"/>
  <c r="X139" i="43" s="1"/>
  <c r="AA138" i="43"/>
  <c r="Z138" i="43"/>
  <c r="K138" i="43"/>
  <c r="X138" i="43" s="1"/>
  <c r="Z137" i="43"/>
  <c r="K137" i="43"/>
  <c r="AA53" i="43"/>
  <c r="Z53" i="43"/>
  <c r="K53" i="43"/>
  <c r="X53" i="43" s="1"/>
  <c r="AA52" i="43"/>
  <c r="Z52" i="43"/>
  <c r="K52" i="43"/>
  <c r="Z51" i="43"/>
  <c r="K51" i="43"/>
  <c r="X51" i="43" s="1"/>
  <c r="Z136" i="43"/>
  <c r="K136" i="43"/>
  <c r="X136" i="43" s="1"/>
  <c r="AA135" i="43"/>
  <c r="Z135" i="43"/>
  <c r="K135" i="43"/>
  <c r="X135" i="43" s="1"/>
  <c r="AA134" i="43"/>
  <c r="Z134" i="43"/>
  <c r="K134" i="43"/>
  <c r="X134" i="43" s="1"/>
  <c r="AA133" i="43"/>
  <c r="Z133" i="43"/>
  <c r="K133" i="43"/>
  <c r="AA50" i="43"/>
  <c r="Z50" i="43"/>
  <c r="K50" i="43"/>
  <c r="X50" i="43" s="1"/>
  <c r="AA49" i="43"/>
  <c r="Z49" i="43"/>
  <c r="K49" i="43"/>
  <c r="AA132" i="43"/>
  <c r="Z132" i="43"/>
  <c r="K132" i="43"/>
  <c r="X132" i="43" s="1"/>
  <c r="Z131" i="43"/>
  <c r="K131" i="43"/>
  <c r="X131" i="43" s="1"/>
  <c r="Z48" i="43"/>
  <c r="K48" i="43"/>
  <c r="X48" i="43" s="1"/>
  <c r="AA47" i="43"/>
  <c r="Z47" i="43"/>
  <c r="K47" i="43"/>
  <c r="Z130" i="43"/>
  <c r="K130" i="43"/>
  <c r="X130" i="43" s="1"/>
  <c r="Z46" i="43"/>
  <c r="K46" i="43"/>
  <c r="X46" i="43" s="1"/>
  <c r="Z45" i="43"/>
  <c r="K45" i="43"/>
  <c r="X45" i="43" s="1"/>
  <c r="AA44" i="43"/>
  <c r="Z44" i="43"/>
  <c r="K44" i="43"/>
  <c r="AA43" i="43"/>
  <c r="Z43" i="43"/>
  <c r="K43" i="43"/>
  <c r="Z42" i="43"/>
  <c r="K42" i="43"/>
  <c r="X42" i="43" s="1"/>
  <c r="AA129" i="43"/>
  <c r="Z129" i="43"/>
  <c r="K129" i="43"/>
  <c r="AA41" i="43"/>
  <c r="Z41" i="43"/>
  <c r="K41" i="43"/>
  <c r="X41" i="43" s="1"/>
  <c r="AA40" i="43"/>
  <c r="Z40" i="43"/>
  <c r="K40" i="43"/>
  <c r="X40" i="43" s="1"/>
  <c r="AA39" i="43"/>
  <c r="Z39" i="43"/>
  <c r="K39" i="43"/>
  <c r="X39" i="43" s="1"/>
  <c r="AA38" i="43"/>
  <c r="Z38" i="43"/>
  <c r="K38" i="43"/>
  <c r="AA37" i="43"/>
  <c r="Z37" i="43"/>
  <c r="K37" i="43"/>
  <c r="X37" i="43" s="1"/>
  <c r="Z128" i="43"/>
  <c r="K128" i="43"/>
  <c r="AC128" i="43" s="1"/>
  <c r="Z127" i="43"/>
  <c r="K127" i="43"/>
  <c r="AC127" i="43" s="1"/>
  <c r="Z126" i="43"/>
  <c r="K126" i="43"/>
  <c r="X126" i="43" s="1"/>
  <c r="Z125" i="43"/>
  <c r="K125" i="43"/>
  <c r="X125" i="43" s="1"/>
  <c r="AA124" i="43"/>
  <c r="Z124" i="43"/>
  <c r="K124" i="43"/>
  <c r="X124" i="43" s="1"/>
  <c r="AA36" i="43"/>
  <c r="Z36" i="43"/>
  <c r="K36" i="43"/>
  <c r="AA35" i="43"/>
  <c r="Z35" i="43"/>
  <c r="K35" i="43"/>
  <c r="X35" i="43" s="1"/>
  <c r="AA34" i="43"/>
  <c r="Z34" i="43"/>
  <c r="K34" i="43"/>
  <c r="AA33" i="43"/>
  <c r="Z33" i="43"/>
  <c r="K33" i="43"/>
  <c r="AA32" i="43"/>
  <c r="Z32" i="43"/>
  <c r="K32" i="43"/>
  <c r="AA31" i="43"/>
  <c r="Z31" i="43"/>
  <c r="K31" i="43"/>
  <c r="Z30" i="43"/>
  <c r="K30" i="43"/>
  <c r="AA29" i="43"/>
  <c r="Z29" i="43"/>
  <c r="K29" i="43"/>
  <c r="AA28" i="43"/>
  <c r="J28" i="43"/>
  <c r="K28" i="43" s="1"/>
  <c r="AA27" i="43"/>
  <c r="Z27" i="43"/>
  <c r="K27" i="43"/>
  <c r="X27" i="43" s="1"/>
  <c r="AA26" i="43"/>
  <c r="Z26" i="43"/>
  <c r="K26" i="43"/>
  <c r="AA25" i="43"/>
  <c r="Z25" i="43"/>
  <c r="K25" i="43"/>
  <c r="X25" i="43" s="1"/>
  <c r="AA24" i="43"/>
  <c r="Z24" i="43"/>
  <c r="K24" i="43"/>
  <c r="AA23" i="43"/>
  <c r="Z23" i="43"/>
  <c r="K23" i="43"/>
  <c r="X23" i="43" s="1"/>
  <c r="AA22" i="43"/>
  <c r="Z22" i="43"/>
  <c r="K22" i="43"/>
  <c r="X22" i="43" s="1"/>
  <c r="AA21" i="43"/>
  <c r="Z21" i="43"/>
  <c r="K21" i="43"/>
  <c r="X21" i="43" s="1"/>
  <c r="AA20" i="43"/>
  <c r="Z20" i="43"/>
  <c r="K20" i="43"/>
  <c r="AA19" i="43"/>
  <c r="Z19" i="43"/>
  <c r="K19" i="43"/>
  <c r="X19" i="43" s="1"/>
  <c r="AA18" i="43"/>
  <c r="Z18" i="43"/>
  <c r="K18" i="43"/>
  <c r="AA17" i="43"/>
  <c r="Z17" i="43"/>
  <c r="K17" i="43"/>
  <c r="X17" i="43" s="1"/>
  <c r="AA16" i="43"/>
  <c r="Z16" i="43"/>
  <c r="K16" i="43"/>
  <c r="AA15" i="43"/>
  <c r="Z15" i="43"/>
  <c r="K15" i="43"/>
  <c r="X15" i="43" s="1"/>
  <c r="AA14" i="43"/>
  <c r="Z14" i="43"/>
  <c r="K14" i="43"/>
  <c r="AA13" i="43"/>
  <c r="Z13" i="43"/>
  <c r="K13" i="43"/>
  <c r="X13" i="43" s="1"/>
  <c r="AA12" i="43"/>
  <c r="Z12" i="43"/>
  <c r="K12" i="43"/>
  <c r="AA11" i="43"/>
  <c r="Z11" i="43"/>
  <c r="K11" i="43"/>
  <c r="X11" i="43" s="1"/>
  <c r="Z123" i="43"/>
  <c r="K123" i="43"/>
  <c r="AC123" i="43" s="1"/>
  <c r="Z122" i="43"/>
  <c r="K122" i="43"/>
  <c r="AA10" i="43"/>
  <c r="Z10" i="43"/>
  <c r="K10" i="43"/>
  <c r="AA121" i="43"/>
  <c r="Z121" i="43"/>
  <c r="K121" i="43"/>
  <c r="X121" i="43" s="1"/>
  <c r="AA9" i="43"/>
  <c r="Z9" i="43"/>
  <c r="K9" i="43"/>
  <c r="AA8" i="43"/>
  <c r="Z8" i="43"/>
  <c r="K8" i="43"/>
  <c r="AA7" i="43"/>
  <c r="Z7" i="43"/>
  <c r="K7" i="43"/>
  <c r="Z6" i="43"/>
  <c r="K6" i="43"/>
  <c r="A6" i="43"/>
  <c r="A7" i="43" s="1"/>
  <c r="A8" i="43" s="1"/>
  <c r="A9" i="43" s="1"/>
  <c r="AA5" i="43"/>
  <c r="J5" i="43"/>
  <c r="X6" i="43" l="1"/>
  <c r="AB6" i="43"/>
  <c r="AC150" i="43"/>
  <c r="X252" i="43"/>
  <c r="AC252" i="43"/>
  <c r="AC149" i="43"/>
  <c r="X148" i="43"/>
  <c r="AC148" i="43"/>
  <c r="X122" i="43"/>
  <c r="AC122" i="43"/>
  <c r="Z5" i="43"/>
  <c r="J305" i="43"/>
  <c r="AA305" i="43"/>
  <c r="AC210" i="43"/>
  <c r="AB261" i="43"/>
  <c r="AC125" i="43"/>
  <c r="AB78" i="43"/>
  <c r="AC178" i="43"/>
  <c r="AC216" i="43"/>
  <c r="AC225" i="43"/>
  <c r="AB110" i="43"/>
  <c r="AB274" i="43"/>
  <c r="AB278" i="43"/>
  <c r="AC214" i="43"/>
  <c r="AC147" i="43"/>
  <c r="AC137" i="43"/>
  <c r="AB44" i="43"/>
  <c r="AC218" i="43"/>
  <c r="AC223" i="43"/>
  <c r="AB268" i="43"/>
  <c r="AB16" i="43"/>
  <c r="AB160" i="43"/>
  <c r="AB250" i="43"/>
  <c r="AB272" i="43"/>
  <c r="AB151" i="43"/>
  <c r="AC155" i="43"/>
  <c r="AB57" i="43"/>
  <c r="AB61" i="43"/>
  <c r="AB242" i="43"/>
  <c r="AB248" i="43"/>
  <c r="AB54" i="43"/>
  <c r="AB86" i="43"/>
  <c r="AC162" i="43"/>
  <c r="AC166" i="43"/>
  <c r="X200" i="43"/>
  <c r="AC239" i="43"/>
  <c r="AB281" i="43"/>
  <c r="AB79" i="43"/>
  <c r="AB50" i="43"/>
  <c r="AB179" i="43"/>
  <c r="AC233" i="43"/>
  <c r="AC246" i="43"/>
  <c r="AB25" i="43"/>
  <c r="AB30" i="43"/>
  <c r="AB34" i="43"/>
  <c r="AC168" i="43"/>
  <c r="AB85" i="43"/>
  <c r="AB26" i="43"/>
  <c r="AB129" i="43"/>
  <c r="AB133" i="43"/>
  <c r="AC145" i="43"/>
  <c r="AC158" i="43"/>
  <c r="X203" i="43"/>
  <c r="AC209" i="43"/>
  <c r="AC146" i="43"/>
  <c r="AB20" i="43"/>
  <c r="AB32" i="43"/>
  <c r="AC172" i="43"/>
  <c r="AC235" i="43"/>
  <c r="AB77" i="43"/>
  <c r="AB10" i="43"/>
  <c r="AB24" i="43"/>
  <c r="AB98" i="43"/>
  <c r="AB7" i="43"/>
  <c r="AC215" i="43"/>
  <c r="AC93" i="43"/>
  <c r="AB66" i="43"/>
  <c r="AB9" i="43"/>
  <c r="AB14" i="43"/>
  <c r="AC163" i="43"/>
  <c r="AC167" i="43"/>
  <c r="AB87" i="43"/>
  <c r="AB94" i="43"/>
  <c r="AB249" i="43"/>
  <c r="AB100" i="43"/>
  <c r="AB283" i="43"/>
  <c r="AB300" i="43"/>
  <c r="AB111" i="43"/>
  <c r="AB115" i="43"/>
  <c r="AB37" i="43"/>
  <c r="AB97" i="43"/>
  <c r="AB280" i="43"/>
  <c r="AB301" i="43"/>
  <c r="AC121" i="43"/>
  <c r="AB65" i="43"/>
  <c r="AC247" i="43"/>
  <c r="AB265" i="43"/>
  <c r="AB263" i="43"/>
  <c r="AB38" i="43"/>
  <c r="AB171" i="43"/>
  <c r="AC183" i="43"/>
  <c r="AC213" i="43"/>
  <c r="AC245" i="43"/>
  <c r="AB96" i="43"/>
  <c r="AB293" i="43"/>
  <c r="AB257" i="43"/>
  <c r="AB169" i="43"/>
  <c r="AC238" i="43"/>
  <c r="AB271" i="43"/>
  <c r="AB105" i="43"/>
  <c r="AB107" i="43"/>
  <c r="AB256" i="43"/>
  <c r="Z28" i="43"/>
  <c r="AB28" i="43" s="1"/>
  <c r="AC153" i="43"/>
  <c r="AC177" i="43"/>
  <c r="X197" i="43"/>
  <c r="X78" i="43"/>
  <c r="X86" i="43"/>
  <c r="AB267" i="43"/>
  <c r="X261" i="43"/>
  <c r="AB36" i="43"/>
  <c r="AB43" i="43"/>
  <c r="AB154" i="43"/>
  <c r="AB67" i="43"/>
  <c r="AB243" i="43"/>
  <c r="AB264" i="43"/>
  <c r="AB95" i="43"/>
  <c r="AB104" i="43"/>
  <c r="AB295" i="43"/>
  <c r="AC161" i="43"/>
  <c r="AB29" i="43"/>
  <c r="AB33" i="43"/>
  <c r="AB47" i="43"/>
  <c r="AB49" i="43"/>
  <c r="AB55" i="43"/>
  <c r="AC192" i="43"/>
  <c r="AC208" i="43"/>
  <c r="AB83" i="43"/>
  <c r="AB99" i="43"/>
  <c r="AB282" i="43"/>
  <c r="AB258" i="43"/>
  <c r="X24" i="43"/>
  <c r="AB64" i="43"/>
  <c r="X199" i="43"/>
  <c r="X265" i="43"/>
  <c r="AB299" i="43"/>
  <c r="X115" i="43"/>
  <c r="AB22" i="43"/>
  <c r="AB35" i="43"/>
  <c r="AB40" i="43"/>
  <c r="AC131" i="43"/>
  <c r="AB135" i="43"/>
  <c r="AB56" i="43"/>
  <c r="AC164" i="43"/>
  <c r="AB170" i="43"/>
  <c r="AC176" i="43"/>
  <c r="AC187" i="43"/>
  <c r="AC222" i="43"/>
  <c r="AC244" i="43"/>
  <c r="AB266" i="43"/>
  <c r="AB269" i="43"/>
  <c r="AB270" i="43"/>
  <c r="AB296" i="43"/>
  <c r="AB108" i="43"/>
  <c r="AB113" i="43"/>
  <c r="AB298" i="43"/>
  <c r="X213" i="43"/>
  <c r="X223" i="43"/>
  <c r="AB260" i="43"/>
  <c r="X263" i="43"/>
  <c r="AB19" i="43"/>
  <c r="AB276" i="43"/>
  <c r="X280" i="43"/>
  <c r="X283" i="43"/>
  <c r="X110" i="43"/>
  <c r="X16" i="43"/>
  <c r="X162" i="43"/>
  <c r="X177" i="43"/>
  <c r="AC173" i="43"/>
  <c r="AC229" i="43"/>
  <c r="X267" i="43"/>
  <c r="X96" i="43"/>
  <c r="AB23" i="43"/>
  <c r="AC126" i="43"/>
  <c r="X38" i="43"/>
  <c r="X133" i="43"/>
  <c r="X54" i="43"/>
  <c r="AB60" i="43"/>
  <c r="X169" i="43"/>
  <c r="X198" i="43"/>
  <c r="X217" i="43"/>
  <c r="AC220" i="43"/>
  <c r="X247" i="43"/>
  <c r="AB288" i="43"/>
  <c r="AB297" i="43"/>
  <c r="AC130" i="43"/>
  <c r="X151" i="43"/>
  <c r="X189" i="43"/>
  <c r="AC206" i="43"/>
  <c r="AB13" i="43"/>
  <c r="X20" i="43"/>
  <c r="X33" i="43"/>
  <c r="X44" i="43"/>
  <c r="X47" i="43"/>
  <c r="AB53" i="43"/>
  <c r="AC157" i="43"/>
  <c r="X67" i="43"/>
  <c r="AC201" i="43"/>
  <c r="AB80" i="43"/>
  <c r="AC236" i="43"/>
  <c r="AB254" i="43"/>
  <c r="AB119" i="43"/>
  <c r="X26" i="43"/>
  <c r="X208" i="43"/>
  <c r="X245" i="43"/>
  <c r="X99" i="43"/>
  <c r="AC136" i="43"/>
  <c r="X181" i="43"/>
  <c r="X214" i="43"/>
  <c r="AB81" i="43"/>
  <c r="X274" i="43"/>
  <c r="X104" i="43"/>
  <c r="X29" i="43"/>
  <c r="AC165" i="43"/>
  <c r="X171" i="43"/>
  <c r="AB102" i="43"/>
  <c r="X14" i="43"/>
  <c r="X127" i="43"/>
  <c r="AB41" i="43"/>
  <c r="AB132" i="43"/>
  <c r="X195" i="43"/>
  <c r="AB17" i="43"/>
  <c r="X55" i="43"/>
  <c r="X98" i="43"/>
  <c r="X100" i="43"/>
  <c r="AB11" i="43"/>
  <c r="AB18" i="43"/>
  <c r="X49" i="43"/>
  <c r="AB159" i="43"/>
  <c r="AB58" i="43"/>
  <c r="AB284" i="43"/>
  <c r="AB286" i="43"/>
  <c r="X295" i="43"/>
  <c r="AB118" i="43"/>
  <c r="X202" i="43"/>
  <c r="AC224" i="43"/>
  <c r="AB88" i="43"/>
  <c r="X146" i="43"/>
  <c r="AB8" i="43"/>
  <c r="AB12" i="43"/>
  <c r="X18" i="43"/>
  <c r="AB27" i="43"/>
  <c r="AB31" i="43"/>
  <c r="AB59" i="43"/>
  <c r="X212" i="43"/>
  <c r="AC237" i="43"/>
  <c r="X241" i="43"/>
  <c r="AB275" i="43"/>
  <c r="AB285" i="43"/>
  <c r="X286" i="43"/>
  <c r="AB106" i="43"/>
  <c r="AB262" i="43"/>
  <c r="X155" i="43"/>
  <c r="AC240" i="43"/>
  <c r="X95" i="43"/>
  <c r="X129" i="43"/>
  <c r="X8" i="43"/>
  <c r="X12" i="43"/>
  <c r="AB15" i="43"/>
  <c r="AB21" i="43"/>
  <c r="X31" i="43"/>
  <c r="AB39" i="43"/>
  <c r="AC48" i="43"/>
  <c r="AB134" i="43"/>
  <c r="AB52" i="43"/>
  <c r="AC152" i="43"/>
  <c r="AB156" i="43"/>
  <c r="X59" i="43"/>
  <c r="AB62" i="43"/>
  <c r="AC207" i="43"/>
  <c r="AC231" i="43"/>
  <c r="AB90" i="43"/>
  <c r="AB279" i="43"/>
  <c r="AB290" i="43"/>
  <c r="AB302" i="43"/>
  <c r="AB259" i="43"/>
  <c r="AC184" i="43"/>
  <c r="X184" i="43"/>
  <c r="AB289" i="43"/>
  <c r="AB112" i="43"/>
  <c r="AC182" i="43"/>
  <c r="AC42" i="43"/>
  <c r="X149" i="43"/>
  <c r="X158" i="43"/>
  <c r="X166" i="43"/>
  <c r="X243" i="43"/>
  <c r="X278" i="43"/>
  <c r="AB287" i="43"/>
  <c r="X289" i="43"/>
  <c r="X106" i="43"/>
  <c r="X112" i="43"/>
  <c r="X259" i="43"/>
  <c r="AB103" i="43"/>
  <c r="AB109" i="43"/>
  <c r="K5" i="43"/>
  <c r="K305" i="43" s="1"/>
  <c r="X7" i="43"/>
  <c r="X9" i="43"/>
  <c r="X10" i="43"/>
  <c r="X123" i="43"/>
  <c r="X28" i="43"/>
  <c r="X30" i="43"/>
  <c r="X32" i="43"/>
  <c r="X34" i="43"/>
  <c r="X36" i="43"/>
  <c r="X43" i="43"/>
  <c r="X154" i="43"/>
  <c r="X61" i="43"/>
  <c r="X170" i="43"/>
  <c r="X174" i="43"/>
  <c r="X65" i="43"/>
  <c r="X185" i="43"/>
  <c r="X190" i="43"/>
  <c r="X218" i="43"/>
  <c r="X225" i="43"/>
  <c r="X90" i="43"/>
  <c r="X285" i="43"/>
  <c r="X293" i="43"/>
  <c r="X108" i="43"/>
  <c r="X256" i="43"/>
  <c r="X128" i="43"/>
  <c r="X137" i="43"/>
  <c r="X150" i="43"/>
  <c r="X57" i="43"/>
  <c r="X167" i="43"/>
  <c r="X188" i="43"/>
  <c r="X193" i="43"/>
  <c r="AC196" i="43"/>
  <c r="X196" i="43"/>
  <c r="X210" i="43"/>
  <c r="X216" i="43"/>
  <c r="X239" i="43"/>
  <c r="X244" i="43"/>
  <c r="X246" i="43"/>
  <c r="X93" i="43"/>
  <c r="X94" i="43"/>
  <c r="X266" i="43"/>
  <c r="X249" i="43"/>
  <c r="X250" i="43"/>
  <c r="X269" i="43"/>
  <c r="X251" i="43"/>
  <c r="X97" i="43"/>
  <c r="X270" i="43"/>
  <c r="X253" i="43"/>
  <c r="X272" i="43"/>
  <c r="X281" i="43"/>
  <c r="X290" i="43"/>
  <c r="X107" i="43"/>
  <c r="X113" i="43"/>
  <c r="X262" i="43"/>
  <c r="X52" i="43"/>
  <c r="X180" i="43"/>
  <c r="X204" i="43"/>
  <c r="X227" i="43"/>
  <c r="AB84" i="43"/>
  <c r="X234" i="43"/>
  <c r="AB277" i="43"/>
  <c r="X279" i="43"/>
  <c r="X288" i="43"/>
  <c r="X298" i="43"/>
  <c r="X111" i="43"/>
  <c r="X260" i="43"/>
  <c r="X56" i="43"/>
  <c r="X163" i="43"/>
  <c r="AC175" i="43"/>
  <c r="X175" i="43"/>
  <c r="X178" i="43"/>
  <c r="X209" i="43"/>
  <c r="AB82" i="43"/>
  <c r="X84" i="43"/>
  <c r="X87" i="43"/>
  <c r="X277" i="43"/>
  <c r="X105" i="43"/>
  <c r="X255" i="43"/>
  <c r="X258" i="43"/>
  <c r="AC124" i="43"/>
  <c r="X186" i="43"/>
  <c r="X191" i="43"/>
  <c r="X226" i="43"/>
  <c r="AC232" i="43"/>
  <c r="X82" i="43"/>
  <c r="AB273" i="43"/>
  <c r="X275" i="43"/>
  <c r="AB294" i="43"/>
  <c r="X296" i="43"/>
  <c r="AB117" i="43"/>
  <c r="X257" i="43"/>
  <c r="AB74" i="43"/>
  <c r="AB292" i="43"/>
  <c r="X294" i="43"/>
  <c r="AB116" i="43"/>
  <c r="X117" i="43"/>
  <c r="AB230" i="43"/>
  <c r="AC194" i="43"/>
  <c r="AB205" i="43"/>
  <c r="X74" i="43"/>
  <c r="AC211" i="43"/>
  <c r="AC219" i="43"/>
  <c r="AC228" i="43"/>
  <c r="X230" i="43"/>
  <c r="AB89" i="43"/>
  <c r="X248" i="43"/>
  <c r="AB291" i="43"/>
  <c r="AB114" i="43"/>
  <c r="J1" i="43" l="1"/>
  <c r="K1" i="43" s="1"/>
  <c r="Z305" i="43"/>
  <c r="AC305" i="43"/>
  <c r="X5" i="43"/>
  <c r="X305" i="43" s="1"/>
  <c r="AB5" i="43"/>
  <c r="AB305" i="43" s="1"/>
  <c r="A10" i="43" l="1"/>
  <c r="A11" i="43"/>
  <c r="A12" i="43"/>
  <c r="A13" i="43"/>
  <c r="A14" i="43"/>
  <c r="A15" i="43"/>
  <c r="A16" i="43"/>
  <c r="A17" i="43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</calcChain>
</file>

<file path=xl/sharedStrings.xml><?xml version="1.0" encoding="utf-8"?>
<sst xmlns="http://schemas.openxmlformats.org/spreadsheetml/2006/main" count="1329" uniqueCount="651">
  <si>
    <t>Account Receivable</t>
  </si>
  <si>
    <t xml:space="preserve"> </t>
  </si>
  <si>
    <t>IDR</t>
  </si>
  <si>
    <t>BTN</t>
  </si>
  <si>
    <t>Date</t>
  </si>
  <si>
    <t>Year</t>
  </si>
  <si>
    <t>Description</t>
  </si>
  <si>
    <t>Basic Price</t>
  </si>
  <si>
    <t>Management Fee</t>
  </si>
  <si>
    <t>PPN</t>
  </si>
  <si>
    <t>PPh-23</t>
  </si>
  <si>
    <t>BNI</t>
  </si>
  <si>
    <t>OUTSTANDING</t>
  </si>
  <si>
    <t>CASH IDR</t>
  </si>
  <si>
    <t>Bank Raya</t>
  </si>
  <si>
    <t>Billing to</t>
  </si>
  <si>
    <t>Sales Code</t>
  </si>
  <si>
    <t>INVOICE  IDR</t>
  </si>
  <si>
    <t>P A Y M E N T</t>
  </si>
  <si>
    <t>AP PPn</t>
  </si>
  <si>
    <t>REMARKS</t>
  </si>
  <si>
    <t>I D R</t>
  </si>
  <si>
    <t>NON CB</t>
  </si>
  <si>
    <t>WAPU</t>
  </si>
  <si>
    <t>Non WAPU</t>
  </si>
  <si>
    <t xml:space="preserve">  </t>
  </si>
  <si>
    <t>Bank Mandiri (Persero) Tbk, PT</t>
  </si>
  <si>
    <t>Pelabuhan Indonesia (Persero), PT</t>
  </si>
  <si>
    <t>Bank Rakyat Indonesia (Persero) Tbk, PT</t>
  </si>
  <si>
    <t>Perum Jasa Tirta II</t>
  </si>
  <si>
    <t>Pertamina (Persero), PT</t>
  </si>
  <si>
    <t>Perum Percetakan Uang RI</t>
  </si>
  <si>
    <t>Pupuk Indonesia (Persero), PT</t>
  </si>
  <si>
    <t>Hutama Karya (Persero), PT</t>
  </si>
  <si>
    <t>Telkom Indonesia (Persero) Tbk, PT</t>
  </si>
  <si>
    <t>Perusahaan Listrik Negara (Persero), PT</t>
  </si>
  <si>
    <t>Bukit Asam Tbk, PT</t>
  </si>
  <si>
    <t>Danareksa (Persero), PT</t>
  </si>
  <si>
    <t>Freeport Indonesia, PT</t>
  </si>
  <si>
    <t>Perum Lembaga Penyelenggara Pelayanan Navigasi Penerbangan Indonesia</t>
  </si>
  <si>
    <t>ASDP Indonesia (Persero), PT</t>
  </si>
  <si>
    <t>Perum Perhutani</t>
  </si>
  <si>
    <t>Telekomunikasi Selular (Telkomsel), PT</t>
  </si>
  <si>
    <t>Trimegah Assets Management, PT</t>
  </si>
  <si>
    <t>Bank Negara Indonesia (Persero) Tbk, PT</t>
  </si>
  <si>
    <t>Trimegah Sekuritas Indonesia Tbk, PT</t>
  </si>
  <si>
    <t>Bank Tabungan Negara (Persero) Tbk, PT</t>
  </si>
  <si>
    <t>No</t>
  </si>
  <si>
    <t>Invoice No</t>
  </si>
  <si>
    <t>Bahana Pembinaan Usaha Indonesia (Persero), PT</t>
  </si>
  <si>
    <t>Pegadaian, PT</t>
  </si>
  <si>
    <t>Semen Indonesia (Persero) Tbk, PT</t>
  </si>
  <si>
    <t>Mineral Industri Indonesia ( Persero), PT</t>
  </si>
  <si>
    <t>Indonesia Asahan Alumunium, PT</t>
  </si>
  <si>
    <t>Taspen (Persero), PT</t>
  </si>
  <si>
    <t>Pelayaran Nasional Indonesia (Persero), PT</t>
  </si>
  <si>
    <t>Professional Telekomunikasi Indonesia, PT</t>
  </si>
  <si>
    <t>Centratama Group</t>
  </si>
  <si>
    <t>Infrastruktur Telekomunikasi Indonesia, PT</t>
  </si>
  <si>
    <t>FIT Air Ticket And Others</t>
  </si>
  <si>
    <t>BRI Tebet</t>
  </si>
  <si>
    <t>BRI Sahardjo</t>
  </si>
  <si>
    <t>BCA Juanda</t>
  </si>
  <si>
    <t>BCA Sahardjo</t>
  </si>
  <si>
    <t>Dayamitra Telekomunikasi, PT</t>
  </si>
  <si>
    <t>BTN Mini Olympic 2025</t>
  </si>
  <si>
    <t>KBUMN Natal 2024</t>
  </si>
  <si>
    <t>BTN Excellence Award 2025</t>
  </si>
  <si>
    <t>Shell Network Persada</t>
  </si>
  <si>
    <t>Trimegah Training Camp Lombok</t>
  </si>
  <si>
    <t>Telkomsel IPTV Product Sales Incentives Q3 2024</t>
  </si>
  <si>
    <t>BTN Booth Hut 75</t>
  </si>
  <si>
    <t>Telkomsel Duta Budget 2025</t>
  </si>
  <si>
    <t>Telkomsel ANO Forum 2024 (Lampung)</t>
  </si>
  <si>
    <t>Shell Visit Factory Bangkok 2025</t>
  </si>
  <si>
    <t>001/PCMI/AR/I/2025</t>
  </si>
  <si>
    <t>002/PCMI/AR/I/2025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</si>
  <si>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</si>
  <si>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</si>
  <si>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</si>
  <si>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</si>
  <si>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</si>
  <si>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</si>
  <si>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</si>
  <si>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</si>
  <si>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</si>
  <si>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</si>
  <si>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013/PCMI/AR/II/2025</t>
  </si>
  <si>
    <t>014/PCMI/AR/II/2025</t>
  </si>
  <si>
    <t>015/PCMI/AR/II/2025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</si>
  <si>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</si>
  <si>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</si>
  <si>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</si>
  <si>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</si>
  <si>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</si>
  <si>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</si>
  <si>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</si>
  <si>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</si>
  <si>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</si>
  <si>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</si>
  <si>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</si>
  <si>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</si>
  <si>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</si>
  <si>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</si>
  <si>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</si>
  <si>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</si>
  <si>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</si>
  <si>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</si>
  <si>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</si>
  <si>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</si>
  <si>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</si>
  <si>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</si>
  <si>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</si>
  <si>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</si>
  <si>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</si>
  <si>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</si>
  <si>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</si>
  <si>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</si>
  <si>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</si>
  <si>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046/PCMI/AR/II/2025</t>
  </si>
  <si>
    <t>047/PCMI/AR/II/2025</t>
  </si>
  <si>
    <t>048/PCMI/AR/II/2025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</si>
  <si>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</si>
  <si>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</si>
  <si>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</si>
  <si>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</si>
  <si>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</si>
  <si>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</si>
  <si>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</si>
  <si>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056/PCMI/AR/III/2025</t>
  </si>
  <si>
    <t>057/PCMI/AR/III/2025</t>
  </si>
  <si>
    <t>058/PCMI/AR/III/2025</t>
  </si>
  <si>
    <t>060/PCMI/AR/III/2025</t>
  </si>
  <si>
    <t>061/PCMI/AR/III/2025</t>
  </si>
  <si>
    <t>062/PCMI/AR/III/2025</t>
  </si>
  <si>
    <t>063/PCMI/AR/III/2025</t>
  </si>
  <si>
    <t>064/PCMI/AR/III/2025</t>
  </si>
  <si>
    <t>065/PCMI/AR/III/2025</t>
  </si>
  <si>
    <t>066/PCMI/AR/III/2025</t>
  </si>
  <si>
    <t>067/PCMI/AR/III/2025</t>
  </si>
  <si>
    <t>068/PCMI/AR/III/2025</t>
  </si>
  <si>
    <t>069/PCMI/AR/III/2025</t>
  </si>
  <si>
    <t>070/PCMI/AR/III/2025</t>
  </si>
  <si>
    <t>071/PCMI/AR/III/2025</t>
  </si>
  <si>
    <t>072/PCMI/AR/III/2025</t>
  </si>
  <si>
    <t>073/PCMI/AR/III/2025</t>
  </si>
  <si>
    <t>074/PCMI/AR/III/2025</t>
  </si>
  <si>
    <t>075/PCMI/AR/IV/2025</t>
  </si>
  <si>
    <t>076/PCMI/AR/IV/2025</t>
  </si>
  <si>
    <t>077/PCMI/AR/IV/2025</t>
  </si>
  <si>
    <t>078/PCMI/AR/IV/2025</t>
  </si>
  <si>
    <t>079/PCMI/AR/IV/2025</t>
  </si>
  <si>
    <t>080/PCMI/AR/IV/2025</t>
  </si>
  <si>
    <t>082/PCMI/AR/IV/2025</t>
  </si>
  <si>
    <t>084/PCMI/AR/IV/2025</t>
  </si>
  <si>
    <t>085/PCMI/AR/IV/2025</t>
  </si>
  <si>
    <t>086/PCMI/AR/V/2025</t>
  </si>
  <si>
    <t>087/PCMI/AR/IV/2025</t>
  </si>
  <si>
    <t>088/PCMI/AR/V/2025</t>
  </si>
  <si>
    <t>089/PCMI/AR/V/2025</t>
  </si>
  <si>
    <t>090/PCMI/AR/V/2025</t>
  </si>
  <si>
    <t>091/PCMI/AR/V/2025</t>
  </si>
  <si>
    <t>092/PCMI/AR/V/2025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</si>
  <si>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</si>
  <si>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</si>
  <si>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</si>
  <si>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</si>
  <si>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</si>
  <si>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</si>
  <si>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</si>
  <si>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</si>
  <si>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</si>
  <si>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</si>
  <si>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</si>
  <si>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</si>
  <si>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Pembayaran Kegiatan Ibadah dan Perayaan Natal Kementerian BUMN dan BUMN 2024</t>
  </si>
  <si>
    <t>Pembayaran Booth UMKM event Natal Bersama KBUMN dan BUMN 2024</t>
  </si>
  <si>
    <t>Asuransi Jiwa IFG (IFG Life), PT</t>
  </si>
  <si>
    <t>Aneka Tambang Tbk, PT</t>
  </si>
  <si>
    <t>Perum Pembangunan Perumahan Nasional</t>
  </si>
  <si>
    <t>Timah Tbk, PT</t>
  </si>
  <si>
    <t>Asuransi Kerugian Jasa Raharja, PT</t>
  </si>
  <si>
    <t>Jaminan Kredit Indonesia, PT</t>
  </si>
  <si>
    <t>Asuransi Kredit Indonesia, PT</t>
  </si>
  <si>
    <t>Asuransi Jasa Indonesia, PT</t>
  </si>
  <si>
    <t>Jasa Marga (Persero) Tbk, PT</t>
  </si>
  <si>
    <t>Vale Indonesia Tbk, PT</t>
  </si>
  <si>
    <t>Paket Meeting Network Operations Area Sumatera Forum 2025</t>
  </si>
  <si>
    <t>Sumber Baru Ban, PT</t>
  </si>
  <si>
    <t>Pembelian Tiket SOC-CGK-SOC 19-21Feb 2025 Batik Air Economy Class</t>
  </si>
  <si>
    <t>Prestasi Pelumasindo Unggul, PT</t>
  </si>
  <si>
    <t>Pembelian Tiket BDJ-CGK-BDJ 19-21Feb 2025 Super Jet Airlines Economy Class</t>
  </si>
  <si>
    <t>Shell Indonesia, PT</t>
  </si>
  <si>
    <t>Network Persada 2025</t>
  </si>
  <si>
    <t>BTN Dekorasi HUT 75</t>
  </si>
  <si>
    <t>Pemasangan dan Produksi Dekorasi HUT BTN ke 75 tahun</t>
  </si>
  <si>
    <t>Dwidaya Nusantara Convex PT</t>
  </si>
  <si>
    <t>ANO Sumatera Forum 2025</t>
  </si>
  <si>
    <t>Hariff Daya Tunggal Engineering PT</t>
  </si>
  <si>
    <t>Program Area Network Operations Sumatera Forum 2025</t>
  </si>
  <si>
    <t>Event organizer pengadaan booth activation BTN di Grand Launching BTN Super App (Bale by BTN)</t>
  </si>
  <si>
    <t>Shell Network Persada 2025 RTM</t>
  </si>
  <si>
    <t>Aulia Ayu Asyura</t>
  </si>
  <si>
    <t>Tiket Pelita Air CGK - KNO 17 Maret 2025 inc Resv Seats 3D</t>
  </si>
  <si>
    <t>Telkomsel Polaris Palembang</t>
  </si>
  <si>
    <t>Pengadaan untuk Design Thinking Polaris Sumatera</t>
  </si>
  <si>
    <t>Area Network Operation Forum Sumatera 2025 Golden Tulip Spring Hill Lampung, 24 - 25 Februari 2025</t>
  </si>
  <si>
    <t>Pengadaan Workshop Duta Budget 2025</t>
  </si>
  <si>
    <t>Abhimata Citra Abadi PT</t>
  </si>
  <si>
    <t>Full day package meeting Telkomsel ANO Forum 2025, 24-25 Feb 2025 (1 package) &amp; add Dinner 3 Paxs 2 times</t>
  </si>
  <si>
    <t>BRI Ceremony Penyerahan BN Sar Lv Haji Thn 2025</t>
  </si>
  <si>
    <t>Pembayaran untuk Kegiatan Ceremony Penyerahan Banknotes SAR Living Cost Haji Tahun 2025</t>
  </si>
  <si>
    <t>Ticket Jakarta Lombok Jakarta by Garuda Indonesia dan Batik Air Training Camp Trimegah 2025</t>
  </si>
  <si>
    <t>Ticket Tambahan Jakarta Lombok Jakarta MC dan CSR Training Camp Trimegah 2025</t>
  </si>
  <si>
    <t>Pengadaan Support Operation &amp; Maintenance</t>
  </si>
  <si>
    <t>Pengadaan Support Colocation Dept.</t>
  </si>
  <si>
    <t>Pengadaan Support Costumer Relation Property</t>
  </si>
  <si>
    <t>Land Arrangement 70% Trimegah Training Camp 2025</t>
  </si>
  <si>
    <t>Full day package meeting Telkomsel ANO Forum 2025, 24-26 Feb 2025</t>
  </si>
  <si>
    <t>Ticket Jakarta Lombok Jakarta untuk Suara Kayu - Band Training Camp Trimegah 2025</t>
  </si>
  <si>
    <t>BRI Halal Bihalal Bersama Developer</t>
  </si>
  <si>
    <t>Pembayaran Event Halal BRI Bersama Developer</t>
  </si>
  <si>
    <t>Pembayaran Jasa Pendukung Acara Halal BRI bersama Developer</t>
  </si>
  <si>
    <t>Pelunasan Land Arrangement 30% Trimegah Training Camp 2025</t>
  </si>
  <si>
    <t>Pembayaran event BTN Excellence Award 2025</t>
  </si>
  <si>
    <t>Pembayaran Layanan Live Sreaming event BTN Excellence Award 2025</t>
  </si>
  <si>
    <t>Telkomsel PCM Academy &amp; Meeting Pengamanan Target Q1 2025 Area</t>
  </si>
  <si>
    <t>Pengadaan Sosialisasi PCM Academy &amp; Meeting Pengamanan Target Q1 2025 Region Sumbagsel</t>
  </si>
  <si>
    <t>Pengadaan Sosialisasi PCM Academy &amp; Meeting Pengamanan Target Q1 2025 Sumbagut dan Sumbagteng</t>
  </si>
  <si>
    <t>Pengadaan Sosialisasi PCM Academy &amp; Meeting Target Q1 2025 Area</t>
  </si>
  <si>
    <t>Lunch at Royal Avilla "Olive" for 78 person @Rp 1.025.750 - 25 May // Trimegah Training Camp 2025</t>
  </si>
  <si>
    <t>Lunch at BASK for 80 person @Rp 880.000 - 24 May // Trimegah Training Camp 2025</t>
  </si>
  <si>
    <t>Additional Cost - Suara Kayu // Trimegah Training Camp 2025</t>
  </si>
  <si>
    <t>Trimegah Prestige Bajo</t>
  </si>
  <si>
    <t>Hotel Photographer 4 Rooms 2 Nights Trimegah Prestige Clients Appreciation Trip 2025 - Labuan Bajo</t>
  </si>
  <si>
    <t>Tiket Photographer 8 pax @ Rp. 1.438.100 Trimegah Prestige Clients Appreciation Trip 2025 - Labuan Bajo</t>
  </si>
  <si>
    <t>Tiket MC 3 pax @ Rp. 5.030.480 Trimegah Prestige Clients Appreciation Trip 2025 - Labuan Bajo</t>
  </si>
  <si>
    <t>Tiket Band 5 pax @ Rp. 2.412.360 Trimegah Prestige Clients Appreciation Trip 2025 - Labuan Bajo</t>
  </si>
  <si>
    <t>Telkomsel Gamification Q4 2024</t>
  </si>
  <si>
    <t>Penyediaan Support Gamification Q4 2024</t>
  </si>
  <si>
    <t>Telkomsel Fiberisasi Target Sumatera</t>
  </si>
  <si>
    <t>Pengadaan  IPTV Product Sales Incentives Q3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</si>
  <si>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</si>
  <si>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</si>
  <si>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</si>
  <si>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</si>
  <si>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Pengadaan Support Evaluasi Kinerja Mitra GraPARI TOMO Tahun Pertama</t>
  </si>
  <si>
    <t>Pengadaan Support MICE Program Increase Fundamental Service to Improve Sales  Acquisition</t>
  </si>
  <si>
    <t>Telkomsel Harmoni Sumatera</t>
  </si>
  <si>
    <t>List of Invoices 2025</t>
  </si>
  <si>
    <t>Date Received</t>
  </si>
  <si>
    <t>031/PCMI/AR/VI/2025</t>
  </si>
  <si>
    <t>059/PCMI/AR/V/2025</t>
  </si>
  <si>
    <t>Pembayaran inv 76 + 77 +82 digabung dgn Total Rp 888,265,473,-</t>
  </si>
  <si>
    <t>Pembayaran inv 87 + 90 digabung dgn Total Rp 258.748.245,-</t>
  </si>
  <si>
    <t>Pembayaran inv 91 + 92 digabung dgn Total Rp 241.001.566,-, Paid 05-Jun-2025</t>
  </si>
  <si>
    <t>Pembayaran inv 95 + 96 + 97 digabung dgn Total Rp 53,654,552.00</t>
  </si>
  <si>
    <t>Pembayaran inv 98 + 99 + 100 digabung dgn Total Rp 163,365,677,-</t>
  </si>
  <si>
    <t>Pembayaran inv 101 s.d 104 digabung dgn Total Rp 47,090,390,-</t>
  </si>
  <si>
    <t>105/PCMI/AR/V/2025</t>
  </si>
  <si>
    <t>Additional Trip Visit Factory Bangkok 2025</t>
  </si>
  <si>
    <t>106/PCMI/AR/VI/2025</t>
  </si>
  <si>
    <t>107/PCMI/AR/V/2025</t>
  </si>
  <si>
    <t>Telkomsel 1 on 1 Meeting Sumatera &amp; HQ Jan 2025</t>
  </si>
  <si>
    <t>Pengadaan untuk MICE - 1on1 Meeting Target Sumatera &amp; HQ</t>
  </si>
  <si>
    <t>108/PCMI/AR/III/2025</t>
  </si>
  <si>
    <t>109/PCMI/AR/III/2025</t>
  </si>
  <si>
    <t>110/PCMI/AR/VI/2025</t>
  </si>
  <si>
    <t>Lulita Trimegah</t>
  </si>
  <si>
    <t>Pembayaran Tiket FIT Lulita Osaka - JKT by All Nippon</t>
  </si>
  <si>
    <t>111/PCMI/AR/VI/2025</t>
  </si>
  <si>
    <t>Land Arrangement 60% Trimegah Prestige Clients Appreciation Trip 2025</t>
  </si>
  <si>
    <t>112/PCMI/AR/VI/2025</t>
  </si>
  <si>
    <t>BP Jamsostek</t>
  </si>
  <si>
    <t>Lumi 2 Malam - 1 Cabin, 23 - 25 Mei 2025 Trimegah Training Camp 2025</t>
  </si>
  <si>
    <t>113/PCMI/AR/VI/2025</t>
  </si>
  <si>
    <t>Cocana 2 Malam - 1 Villa , 23 - 25 Mei 2025 Trimegah Training Camp 2025</t>
  </si>
  <si>
    <t>114/PCMI/AR/VI/2025</t>
  </si>
  <si>
    <t>115/PCMI/AR/VI/2025</t>
  </si>
  <si>
    <t>116/PCMI/AR/VI/2025</t>
  </si>
  <si>
    <t>Land Arrangement 30% Trimegah Prestige Clients Appreciation Trip 2025</t>
  </si>
  <si>
    <t>117/PCMI/AR/VI/2025</t>
  </si>
  <si>
    <t>BRI Journalist Bootcamp 2025</t>
  </si>
  <si>
    <t>Pembayaran Addcost Event BRI Journalist Bootcamp 2025</t>
  </si>
  <si>
    <t>118/PCMI/AR/VI/2025</t>
  </si>
  <si>
    <t>Telkomsel Orbit Household Q4 2024</t>
  </si>
  <si>
    <t>Pengadaan Untuk Support Sales Program Orbit Household Q4</t>
  </si>
  <si>
    <t>119/PCMI/AR/VI/2025</t>
  </si>
  <si>
    <t>Pengadaan Untuk Securing Performance RAFI 2025 Mitra SBP Area Sumatera</t>
  </si>
  <si>
    <t>120/PCMI/AR/VI/2025</t>
  </si>
  <si>
    <t>Pembayaran Event BRI Journalist Bootcamp 2025</t>
  </si>
  <si>
    <t>121/PCMI/AR/VI/2025</t>
  </si>
  <si>
    <t>Pelunasan Land Arrangement 10% Trimegah Prestige Clients Appreciation Trip 2025</t>
  </si>
  <si>
    <t>122/PCMI/AR/VII/2025</t>
  </si>
  <si>
    <t>123/PCMI/AR/VII/2025</t>
  </si>
  <si>
    <t>Additional Ticket In Favour Of Mr Thio Andrianto Mrs Joyce Dyan Indrasanty Ms Gillian Anabelle Lianto Trimegah Prestige Clients Appreciation Trip 2025</t>
  </si>
  <si>
    <t>Pembayaran inv 123 s.d 147 digabung dgn Total Rp 115.647.506,-</t>
  </si>
  <si>
    <t>124/PCMI/AR/VII/2025</t>
  </si>
  <si>
    <t>Additional Ticket In Favour Of Mrs Eliza Anggraini Mr Jaya Sejati Trimegah Prestige Clients Appreciation Trip 2025</t>
  </si>
  <si>
    <t>125/PCMI/AR/VII/2025</t>
  </si>
  <si>
    <t>Additional Ticket In Favour Of Mrs Veny Indrawati Trimegah Prestige Clients Appreciation Trip 2025</t>
  </si>
  <si>
    <t>126/PCMI/AR/VII/2025</t>
  </si>
  <si>
    <t>Additional Ticket In Favour Of Mr Johnny Hendrawan Trimegah Prestige Clients Appreciation Trip 2025</t>
  </si>
  <si>
    <t>127/PCMI/AR/VII/2025</t>
  </si>
  <si>
    <t>Additional Ticket In Favour Of Mr Adipura Sejati Mrs Daisy Putriana Santoso Trimegah Prestige Clients Appreciation Trip 2025</t>
  </si>
  <si>
    <t>128/PCMI/AR/VII/2025</t>
  </si>
  <si>
    <t>Additional Ticket In Favour Of Mrs DRA Maria Goretti Tinawati Trimegah Prestige Clients Appreciation Trip 2025</t>
  </si>
  <si>
    <t>129/PCMI/AR/VII/2025</t>
  </si>
  <si>
    <t>Additional Ticket In Favour Of Mr Yohan Kristianto Trimegah Prestige Clients Appreciation Trip 2025</t>
  </si>
  <si>
    <t>130/PCMI/AR/VII/2025</t>
  </si>
  <si>
    <t>Additional Ticket In Favour Of Mr Areey Susanto Trimegah Prestige Clients Appreciation Trip 2025</t>
  </si>
  <si>
    <t>131/PCMI/AR/VII/2025</t>
  </si>
  <si>
    <t>Additional Ticket In Favour Of Mrs Hanna Anggraini Trimegah Prestige Clients Appreciation Trip 2025</t>
  </si>
  <si>
    <t>132/PCMI/AR/VII/2025</t>
  </si>
  <si>
    <t>Additional Ticket In Favour Of Mrs Margaret Monika Tanoto Trimegah Prestige Clients Appreciation Trip 2025</t>
  </si>
  <si>
    <t>133/PCMI/AR/VII/2025</t>
  </si>
  <si>
    <t>Additional Ticket In Favour Of Mr Aditya Sejati Trimegah Prestige Clients Appreciation Trip 2025</t>
  </si>
  <si>
    <t>134/PCMI/AR/VII/2025</t>
  </si>
  <si>
    <t>Additional Ticket In Favour Of Mrs Ina Megahwati Sugihono , S.H Trimegah Prestige Clients Appreciation Trip 2025</t>
  </si>
  <si>
    <t>135/PCMI/AR/VII/2025</t>
  </si>
  <si>
    <t>Additional Ticket In Favour Of Mr Darmawan Saputro Trimegah Prestige Clients Appreciation Trip 2025</t>
  </si>
  <si>
    <t>136/PCMI/AR/VII/2025</t>
  </si>
  <si>
    <t>Additional Ticket In Favour Of Mr Sumardi Mrs Emy Tri Haryani Trimegah Prestige Clients Appreciation Trip 2025</t>
  </si>
  <si>
    <t>137/PCMI/AR/VII/2025</t>
  </si>
  <si>
    <t>Additional Ticket In Favour Of Mrs Natalia Dewi Goenadi Trimegah Prestige Clients Appreciation Trip 2025</t>
  </si>
  <si>
    <t>138/PCMI/AR/VII/2025</t>
  </si>
  <si>
    <t>Additional Ticket In Favour Of Mr Hee Renald Mamangkey Trimegah Prestige Clients Appreciation Trip 2025</t>
  </si>
  <si>
    <t>139/PCMI/AR/VII/2025</t>
  </si>
  <si>
    <t>Additional Ticket In Favour Of Mr Aloysius Primasyah Kristanto Trimegah Prestige Clients Appreciation Trip 2025</t>
  </si>
  <si>
    <t>140/PCMI/AR/VII/2025</t>
  </si>
  <si>
    <t>Additional Ticket In Favour Of Mrs Laili Ma'Muroh, SE, AK Trimegah Prestige Clients Appreciation Trip 2025</t>
  </si>
  <si>
    <t>141/PCMI/AR/VII/2025</t>
  </si>
  <si>
    <t>Additional Ticket In Favour Of Mr Benaya Kefas Kuntjoro Trimegah Prestige Clients Appreciation Trip 2025</t>
  </si>
  <si>
    <t>142/PCMI/AR/VII/2025</t>
  </si>
  <si>
    <t>Additional Ticket In Favour Of Mr Kuntjoro Handoko Mrs Sri Wahjuni Trimegah Prestige Clients Appreciation Trip 2025</t>
  </si>
  <si>
    <t>143/PCMI/AR/VII/2025</t>
  </si>
  <si>
    <t>Additional Ticket In Favour Of Mr IR.P.Sudarto - Business Class Mrs Tjhai Se Moi - Business Class Trimegah Prestige Clients Appreciation Trip 2025</t>
  </si>
  <si>
    <t>144/PCMI/AR/VII/2025</t>
  </si>
  <si>
    <t>Additional Ticket In Favour Of Ms Vincie Lim Trimegah Prestige Clients Appreciation Trip 2025</t>
  </si>
  <si>
    <t>145/PCMI/AR/VII/2025</t>
  </si>
  <si>
    <t>Additional Ticket In Favour Of Mr Joko Sutanto Fatah NG Trimegah Prestige Clients Appreciation Trip 2025</t>
  </si>
  <si>
    <t>146/PCMI/AR/VII/2025</t>
  </si>
  <si>
    <t>Additional Ticket In Favour Of Miss Gracelyn Riana Tang Trimegah Prestige Clients Appreciation Trip 2025</t>
  </si>
  <si>
    <t>147/PCMI/AR/VII/2025</t>
  </si>
  <si>
    <t>Additional Ticket In Favour Of Mr Hardi Sunjarni Trimegah Prestige Clients Appreciation Trip 2025</t>
  </si>
  <si>
    <t>148/PCMI/AR/VII/2025</t>
  </si>
  <si>
    <t>Bapak Hardy Sunjarni</t>
  </si>
  <si>
    <t>Tiket Labuan Bajo Trimegah Prestige Clients Appreciation Trip 2025</t>
  </si>
  <si>
    <t>149/PCMI/AR/VII/2025</t>
  </si>
  <si>
    <t>Bapak Michael Prasetyo</t>
  </si>
  <si>
    <t>150/PCMI/AR/VII/2025</t>
  </si>
  <si>
    <t>Bapak Joko Sutanto Fatah NG</t>
  </si>
  <si>
    <t>151/PCMI/AR/III/2025</t>
  </si>
  <si>
    <t>152/PCMI/AR/VII/2025</t>
  </si>
  <si>
    <t>Bapak Wirawan Sutiono</t>
  </si>
  <si>
    <t>153/PCMI/AR/VII/2025</t>
  </si>
  <si>
    <t>Ibu Hanna Anggraini</t>
  </si>
  <si>
    <t>154/PCMI/AR/VII/2025</t>
  </si>
  <si>
    <t>Bapak Adipura Sejati</t>
  </si>
  <si>
    <t>155/PCMI/AR/VII/2025</t>
  </si>
  <si>
    <t>Shell Shanghai Tech Private Trip 2025</t>
  </si>
  <si>
    <t>Telkomsel Visit Ringfence Mentawai dan Lampung 2025</t>
  </si>
  <si>
    <t>Insight Investments Management, PT</t>
  </si>
  <si>
    <t>Insight Goes To Vietnam</t>
  </si>
  <si>
    <t>Pembayaran Incentive Group Insight Goes to Vietnam</t>
  </si>
  <si>
    <t>Kustodian Sentral Efek Indonesia, PT</t>
  </si>
  <si>
    <t>KSEI Seminar Emiten 2025</t>
  </si>
  <si>
    <t>Telkomsel Percepatan Flush Out SA Reg. SBS</t>
  </si>
  <si>
    <t>Telkomsel Finalisasi SOP Fulfillment</t>
  </si>
  <si>
    <t>Telkomsel Sales Townhall 2025</t>
  </si>
  <si>
    <t>Telkomsel Securing Target SM 1 2025</t>
  </si>
  <si>
    <t>Sabic Broadcast Video Maker</t>
  </si>
  <si>
    <t>Broadcast Camera With Edited Video</t>
  </si>
  <si>
    <t>Telkomsel Increase Fundamental Service to Improve Sales Acquisition</t>
  </si>
  <si>
    <t>Telkomsel Visit Cluster Area Sumatera</t>
  </si>
  <si>
    <t>Cirebon Power Employee Gathering Bandung 2025</t>
  </si>
  <si>
    <t>Telkomsel Event Vandalisme Palembang 2025</t>
  </si>
  <si>
    <t>Telkomsel Farewell Liwetan Sumbagteng</t>
  </si>
  <si>
    <t>BSIN Tomo Gathering 2025</t>
  </si>
  <si>
    <t>156/PCMI/AR/VII/2025</t>
  </si>
  <si>
    <t>Pengadaan untuk Forum Finalisasi SOP Fulfillment</t>
  </si>
  <si>
    <t>157/PCMI/AR/VII/2025</t>
  </si>
  <si>
    <t>Fireworks Trimegah Prestige Clients Appreciation Trip 2025</t>
  </si>
  <si>
    <t>Pembayaran inv 157, 159, 160 digabung dgn Total Rp 122.487.600,-</t>
  </si>
  <si>
    <t>158/PCMI/AR/VII/2025</t>
  </si>
  <si>
    <t>Bapak Yamin Widjaya</t>
  </si>
  <si>
    <t>1 Room, 1 Night -Ta'Aktana Trimegah Prestige Clients Appreciation Trip 2025</t>
  </si>
  <si>
    <t>159/PCMI/AR/VII/2025</t>
  </si>
  <si>
    <t>Flower Signage Day #1, Day #2, Day #3, Photo Booth Trimegah Prestige Clients Appreciation Trip 2025</t>
  </si>
  <si>
    <t>160/PCMI/AR/VII/2025</t>
  </si>
  <si>
    <t>Flower Arangement Day #1 : Welcome Lunch - Ta'Aktana Flower Arangement Day #2 : Market Update - Le Bajo Flower Arangement Day #3 : Special Dinner - AYANA Flower Arangement Day #4 : Farewell Lunch - Ta'Aktana Trimegah Prestige Clients Appreciation Trip 2025</t>
  </si>
  <si>
    <t>161/PCMI/AR/VII/2025</t>
  </si>
  <si>
    <t>Bapak Antony Dirga</t>
  </si>
  <si>
    <t>1 Ticket JKT - LBJ - DPS - YIA Trimegah Prestige Clients Appreciation Trip 2025</t>
  </si>
  <si>
    <t>162/PCMI/AR/VIII/2025</t>
  </si>
  <si>
    <t>Tagihan Termin I (30%) untuk Kegiatan KSEI Seminar Emiten 2025</t>
  </si>
  <si>
    <t>163/PCMI/AR/VIII/2025</t>
  </si>
  <si>
    <t>Tagihan Termin II (40%) untuk Kegiatan KSEI Seminar Emiten 2025</t>
  </si>
  <si>
    <t>164/PCMI/AR/VII/2025</t>
  </si>
  <si>
    <t>Orbitnesia Niaga Mas</t>
  </si>
  <si>
    <t>Pembayaran Additional Cost Hexindo Shanghai Trip 2025</t>
  </si>
  <si>
    <t>165/PCMI/AR/VIII/2025</t>
  </si>
  <si>
    <t>Partisipasi Kegiatan Seminar Peran Industri Perbankan dalam Mendukung Pariwisata yang Inklusif dan Berkelanjutan</t>
  </si>
  <si>
    <t>166/PCMI/AR/VIII/2025</t>
  </si>
  <si>
    <t>Partisipasi Kegiatan Seminar Peran Industri Perbankan dalam Mendukung Pariwisata yang Inklusif dan Berkelanjutan</t>
  </si>
  <si>
    <t>167/PCMI/AR/VIII/2025</t>
  </si>
  <si>
    <t>Bank Syariah Indonesia Tbk, PT</t>
  </si>
  <si>
    <t>168/PCMI/AR/VIII/2025</t>
  </si>
  <si>
    <t>Pengiriman barang phase 2 Trimegah Prestige Clients Appreciation Trip 2025</t>
  </si>
  <si>
    <t>169/PCMI/AR/VIII/2025</t>
  </si>
  <si>
    <t>Pengiriman barang phase 1 Trimegah Prestige Clients Appreciation Trip 2025</t>
  </si>
  <si>
    <t>Pembayaran inv 169 s.d 175 digabung dgn Total Rp 222.704.468,-</t>
  </si>
  <si>
    <t>170/PCMI/AR/VIII/2025</t>
  </si>
  <si>
    <t>Others - Pawang Hujan, Snack on Boat, Imperial Kitchen Trimegah Prestige Clients Appreciation Trip 2025</t>
  </si>
  <si>
    <t>171/PCMI/AR/VIII/2025</t>
  </si>
  <si>
    <t>Overtime Kendaraan Day 17 Juli, 18 Juli dan 20 Juli 2025 Trimegah Prestige Clients Appreciation Trip 2025</t>
  </si>
  <si>
    <t>172/PCMI/AR/VIII/2025</t>
  </si>
  <si>
    <t>Additional Service - Hotel Trimegah Prestige Clients Appreciation Trip 2025</t>
  </si>
  <si>
    <t>173/PCMI/AR/VIII/2025</t>
  </si>
  <si>
    <t>Venue dan Lunch day #2: Market Update Trimegah Prestige Clients Appreciation Trip 2025</t>
  </si>
  <si>
    <t>174/PCMI/AR/VIII/2025</t>
  </si>
  <si>
    <t>Additional Service - Transportation Nasabah LuarJakarta Innova Trimegah Prestige Clients Appreciation Trip 2025</t>
  </si>
  <si>
    <t>175/PCMI/AR/VIII/2025</t>
  </si>
  <si>
    <t>Additional Services - Airlines Tickets Trimegah Prestige Clients Appreciation Trip 2025</t>
  </si>
  <si>
    <t>176/PCMI/AR/VIII/2025</t>
  </si>
  <si>
    <t xml:space="preserve">tbc apakah masuk ke sales 2025 atau 2023 </t>
  </si>
  <si>
    <t>177/PCMI/AR/VIII/2025</t>
  </si>
  <si>
    <t>Trimegah Training Camp 2025 Meeting and Dinner Production</t>
  </si>
  <si>
    <t>Pembayaran inv 177, 179, 180 digabung dgn Total Rp 497.292.284,-</t>
  </si>
  <si>
    <t>178/PCMI/AR/VIII/2025</t>
  </si>
  <si>
    <t>Trimegah Training Camp 2025 Additional Tickets</t>
  </si>
  <si>
    <t>179/PCMI/AR/VIII/2025</t>
  </si>
  <si>
    <t>Trimegah Training Camp 2025 CSR</t>
  </si>
  <si>
    <t>180/PCMI/AR/VIII/2025</t>
  </si>
  <si>
    <t>Trimegah Training Camp 2025 Additional Food and Services</t>
  </si>
  <si>
    <t>181/PCMI/AR/VIII/2025</t>
  </si>
  <si>
    <t>University of Waterloo</t>
  </si>
  <si>
    <t>PYC IEC 2025</t>
  </si>
  <si>
    <t>Pembayaran Produksi Plakat Juri</t>
  </si>
  <si>
    <t>182/PCMI/AR/VIII/2025</t>
  </si>
  <si>
    <t>Pengadaan untuk Event Percepatan Flush Out SA Regional Sumbagsel</t>
  </si>
  <si>
    <t>183/PCMI/AR/VIII/2025</t>
  </si>
  <si>
    <t>Mirae Asset Sekuritas Indonesia, PT</t>
  </si>
  <si>
    <t>184/PCMI/AR/VIII/2025</t>
  </si>
  <si>
    <t>185/PCMI/AR/VIII/2025</t>
  </si>
  <si>
    <t>Additional Pembayaran Incentive Group Insight Goes to Vietnam</t>
  </si>
  <si>
    <t>186/PCMI/AR/VIII/2025</t>
  </si>
  <si>
    <t>187/PCMI/AR/VIII/2025</t>
  </si>
  <si>
    <t>SABIC Asia Pacific Pte Ltd</t>
  </si>
  <si>
    <t>188/PCMI/AR/VIII/2025</t>
  </si>
  <si>
    <t>Cirebon Electric Power (CEP), PT</t>
  </si>
  <si>
    <t>Cirebon Power Employee Gathering Trip Bandung 2025</t>
  </si>
  <si>
    <t>190/PCMI/AR/IX/2025</t>
  </si>
  <si>
    <t>191/PCMI/AR/IX/2025</t>
  </si>
  <si>
    <t>Himbara FGD Balikpapan</t>
  </si>
  <si>
    <t>Pembayaran untuk Hospitality Kegiatan HIMBARA dengan DPR Komisi XI - Balikpapan 12 Agustus 2025</t>
  </si>
  <si>
    <t>192/PCMI/AR/IX/2025</t>
  </si>
  <si>
    <t>Telkomsel Mini WS Sumbagteng Q2 2025</t>
  </si>
  <si>
    <t>Pengadaan untuk Mini WS Sumbagteng Q2 2025 Reg. Sumbagteng</t>
  </si>
  <si>
    <t>193/PCMI/AR/IX/2025</t>
  </si>
  <si>
    <t>Tagihan Termin III (30%) untuk Kegiatan KSEI Seminar Emiten 2025</t>
  </si>
  <si>
    <t>Panitia Natal Kementerian BUMN</t>
  </si>
  <si>
    <t>DP Event KBUMN Natal 2024</t>
  </si>
  <si>
    <t>PYC (Purnomo Yusgiantoro Center)</t>
  </si>
  <si>
    <t>Bridgestone Tire Indonesia, PT</t>
  </si>
  <si>
    <t>Pengadaan untuk Event Vandalisme Palembang 2025</t>
  </si>
  <si>
    <t>Addcost  Telkomsel Delight &amp; Execution 2025</t>
  </si>
  <si>
    <t>Telkomsel Digital Placement Support Area Sumatera</t>
  </si>
  <si>
    <t>081/PCMI/AR/X/2025</t>
  </si>
  <si>
    <t>083/PCMI/AR/X/2025</t>
  </si>
  <si>
    <t>Pembayaran Trip Shell Visit Factory Bangkok 2025</t>
  </si>
  <si>
    <t>189/PCMI/AR/X/2025</t>
  </si>
  <si>
    <t>194/PCMI/AR/IX/2025</t>
  </si>
  <si>
    <t>Tower Bersama Group, PT</t>
  </si>
  <si>
    <t>Support Event Tsel ANO Lampung 2025 - TBG Operation Regional Lampung</t>
  </si>
  <si>
    <t>195/PCMI/AR/IX/2025</t>
  </si>
  <si>
    <t>Support Event Tsel ANO Lampung 2025 - TBG Operation Regional Sumbagsel</t>
  </si>
  <si>
    <t>196/PCMI/AR/IX/2025</t>
  </si>
  <si>
    <t>Support Event Tsel ANO Lampung 2025 - TBG Operation Regional Sumbagteng</t>
  </si>
  <si>
    <t>197/PCMI/AR/IX/2025</t>
  </si>
  <si>
    <t>Support Event Tsel ANO Lampung 2025 - TBG Operation Regional Sumbagut</t>
  </si>
  <si>
    <t>198/PCMI/AR/IX/2025</t>
  </si>
  <si>
    <t>Support Event Tsel ANO Lampung 2025 - TBG Project Regional Sumbagsel</t>
  </si>
  <si>
    <t>199/PCMI/AR/IX/2025</t>
  </si>
  <si>
    <t>Support Event Tsel ANO Lampung 2025 - TBG Project Regional Sumbagteng</t>
  </si>
  <si>
    <t>200/PCMI/AR/IX/2025</t>
  </si>
  <si>
    <t>Support Event Tsel ANO Lampung 2025 - TBG Project Regional Sumbagut</t>
  </si>
  <si>
    <t>201/PCMI/AR/IX/2025</t>
  </si>
  <si>
    <t>Support Event Tsel ANO Lampung 2025 - TBG Marketing</t>
  </si>
  <si>
    <t>202/PCMI/AR/IX/2025</t>
  </si>
  <si>
    <t>Pembayaran Partisipasi Event Economic Outlook 2025 Global and Domestic</t>
  </si>
  <si>
    <t>203/PCMI/AR/IX/2025</t>
  </si>
  <si>
    <t>204/PCMI/AR/IX/2025</t>
  </si>
  <si>
    <t>Partisipasi Kegiatan Economic Outlook 2025: Global and Domestic</t>
  </si>
  <si>
    <t>205/PCMI/AR/IX/2025</t>
  </si>
  <si>
    <t>Pembayaran inv  205 &amp; 206 digabung dgn Total Rp 139.539.868,-</t>
  </si>
  <si>
    <t>206/PCMI/AR/IX/2025</t>
  </si>
  <si>
    <t>Pengadaan Untuk Farewel Liwetan Regional Sumbagteng Agustus 2025</t>
  </si>
  <si>
    <t>207/PCMI/AR/IX/2025</t>
  </si>
  <si>
    <t>208/PCMI/AR/IX/2025</t>
  </si>
  <si>
    <t>Pembayaran Event Bridgestone TOMO Gathering 2025</t>
  </si>
  <si>
    <t>209/PCMI/AR/X/2025</t>
  </si>
  <si>
    <t>210/PCMI/AR/X/2025</t>
  </si>
  <si>
    <t>Pembayaran Event PYC IEC 2025</t>
  </si>
  <si>
    <t>client 4x transfer (3x tgl 21-10-2025 dan 1x tgl 22-10-2025)</t>
  </si>
  <si>
    <t>211/PCMI/AR/X/2025</t>
  </si>
  <si>
    <t>Pengadaan Untuk Visit Cluster Area Sumatera</t>
  </si>
  <si>
    <t>213/PCMI/AR/IV/2025</t>
  </si>
  <si>
    <t>214/PCMI/AR/XI/2025</t>
  </si>
  <si>
    <t>Himbara FGD Semarang</t>
  </si>
  <si>
    <t>Rapat Kerja Himbara dan BSI Economic Outlook 2025</t>
  </si>
  <si>
    <t>215/PCMI/AR/X/2025</t>
  </si>
  <si>
    <t>Pembayaran Tiket FIT lulita  CGK-DPS-CGK by GARUDA Indonesia</t>
  </si>
  <si>
    <t>Telkomsel Pengawalan Event Regional Sumbagut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</si>
  <si>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</si>
  <si>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</si>
  <si>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</si>
  <si>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</si>
  <si>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Program Market Visit (SBU &amp; SBS)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</si>
  <si>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</si>
  <si>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</si>
  <si>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</si>
  <si>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</si>
  <si>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Mandiri Mid Plaza</t>
  </si>
  <si>
    <t>Mandiri Plasa Mandiri</t>
  </si>
  <si>
    <t>Shell MotoGp Sepang 2025</t>
  </si>
  <si>
    <t>Telkomsel Event Direksi Visit Medan &amp; OM Consolidation</t>
  </si>
  <si>
    <t>PYC Talks</t>
  </si>
  <si>
    <t>279/PCMI/AR/XI/2025</t>
  </si>
  <si>
    <t>Payment Event PYC Talks</t>
  </si>
  <si>
    <t>283/PCMI/AR/XI/2025</t>
  </si>
  <si>
    <t>286/PCMI/AR/XI/2025</t>
  </si>
  <si>
    <t>281/PCMI/AR/XI/2025</t>
  </si>
  <si>
    <t>289/PCMI/AR/XI/2025</t>
  </si>
  <si>
    <t>276/2025 : KBUMN NATAL 2024 Tanggal 7-Nop-2025</t>
  </si>
  <si>
    <t xml:space="preserve">249/2024 : PLN Indonesia Power Inpower Festival </t>
  </si>
  <si>
    <t>192/2024 : Telkomsel Racing – Pinjam Paket 2024.</t>
  </si>
  <si>
    <t>268/2024 : Telkomsel Pembahasan Vandalisme Area Sumatera Bulan Juli 2024</t>
  </si>
  <si>
    <t>216/2024 : Telkomsel Reward Prog Racing Sellout Goes To Bali</t>
  </si>
  <si>
    <t>236/2024 : Telkomsel Event Musik Sekolah A2</t>
  </si>
  <si>
    <t>280/2024 : Telkomsel Signing PKS NGPP Vol.3 Sumatera</t>
  </si>
  <si>
    <t>207/2024 : Telkomsel Lets Win Costumers Trust Batam</t>
  </si>
  <si>
    <t>277/2024 : Telkomsel Defend Our Dominance Socialization 2024</t>
  </si>
  <si>
    <t>284/2024 : Telkomsel Meeting Koordinasi GA Semester 1 2024</t>
  </si>
  <si>
    <t>283/2024 : Telkomsel Mentawai Merdeka Sinyal</t>
  </si>
  <si>
    <t>235/2024 : Telkomsel Winning Strenghten Mobile &amp; Expand Fixed Penetration</t>
  </si>
  <si>
    <t>279/2024 : Telkomsel Safari Ramadhan Sumbagteng</t>
  </si>
  <si>
    <t>209/2024 : Telkomsel Meeting Evaluasi Sem I 2024</t>
  </si>
  <si>
    <t>194/2024 : Telkomsel CGBA Last Quartal 2024</t>
  </si>
  <si>
    <t>276/2024 : Telkomsel Leadership Area Sumatera</t>
  </si>
  <si>
    <t xml:space="preserve">217/2023 : Telkomsel Market Visit Initiative Program Q3 </t>
  </si>
  <si>
    <t>202/2024 : Telkomsel Aquabike Toba 2024</t>
  </si>
  <si>
    <t>201/2024 : Telkomsel JPP 2025 Sumatera Heart</t>
  </si>
  <si>
    <t>224/2024 : Telkomsel Leadership Area Sumatera</t>
  </si>
  <si>
    <t>237/2024 : Telkomsel Mentawai Merdeka Sinyal</t>
  </si>
  <si>
    <t>229/2024 : Telkomsel Hari Koperasi Nasional, Batam 2024</t>
  </si>
  <si>
    <t>151/2024 : PLN Indonesia Power PIKK Festival Bazaar UMKM</t>
  </si>
  <si>
    <t>153/2024 : Telkomsel BM Recovery &amp; Fundamentals Q3</t>
  </si>
  <si>
    <t>275/2024 : Telkomsel Alignment Revenue Sumatera</t>
  </si>
  <si>
    <t>232/2024 : Telkomsel API Sales Racing Program</t>
  </si>
  <si>
    <t>213/2024 : Telkomsel Lets Win Costumers Trust Batam</t>
  </si>
  <si>
    <t>276/PCMI/AR/XI/2025</t>
  </si>
  <si>
    <t>277/PCMI/AR/XI/2025</t>
  </si>
  <si>
    <t>124/2024 : Telkomsel Town Hall Sales 2024</t>
  </si>
  <si>
    <t>278/PCMI/AR/XI/2025</t>
  </si>
  <si>
    <t>280/PCMI/AR/XI/2025</t>
  </si>
  <si>
    <t>Bank Tabungan Negara (Persero) Tbk PT</t>
  </si>
  <si>
    <t>BTN Rapat Kerja Himbara dan BSI Economic Outlook 2025</t>
  </si>
  <si>
    <t>282/PCMI/AR/XI/2025</t>
  </si>
  <si>
    <t>Bank Negara Indonesia (Persero) Tbk PT</t>
  </si>
  <si>
    <t>BNI Rapat Kerja Himbara dan BSI Economic Outlook 2025</t>
  </si>
  <si>
    <t>284/PCMI/AR/XI/2025</t>
  </si>
  <si>
    <t>285/PCMI/AR/XI/2025</t>
  </si>
  <si>
    <t>Other Income : Add Cost Proyek 2021 : Telkomsel Program Workshop SubDir Sales Strategy Group</t>
  </si>
  <si>
    <t>287/PCMI/AR/XI/2025</t>
  </si>
  <si>
    <t>231/2024 : Telkomsel Hear Me at GraPARI</t>
  </si>
  <si>
    <t>288/PCMI/AR/XI/2025</t>
  </si>
  <si>
    <t>290/PCMI/AR/XI/2025</t>
  </si>
  <si>
    <t>141/2024 : Telkomsel PON XXI Aceh Sumut 2024 (Bang Hadi)</t>
  </si>
  <si>
    <t>Bank Syariah Indonesia</t>
  </si>
  <si>
    <t>BSI Rapat Kerja Himbara dan BSI Economic Outlook 2025</t>
  </si>
  <si>
    <t>294/PCMI/AR/XI/2025</t>
  </si>
  <si>
    <t>203/2024 : Telkomsel Support and Recovery Impact FMC Migrasi Sumatera</t>
  </si>
  <si>
    <t>295/PCMI/AR/XI/2025</t>
  </si>
  <si>
    <t>238/2024 : Telkomsel Focus Action Sumatera</t>
  </si>
  <si>
    <t>296/PCMI/AR/XI/2025</t>
  </si>
  <si>
    <t>142/2024 : Telkomsel PON XXI - Sumut Aceh</t>
  </si>
  <si>
    <t>297/PCMI/AR/XI/2025</t>
  </si>
  <si>
    <t>143/2024 : Telkomsel Prestige Batam 2024</t>
  </si>
  <si>
    <t>238/PCMI/AR/XII/2025</t>
  </si>
  <si>
    <t>Linda Mora Siregar, Telkomsel Medan</t>
  </si>
  <si>
    <t>Add Cost Pengadaan untuk Meeting Vandalism Area Sumatera</t>
  </si>
  <si>
    <t>291/PCMI/AR/XI/2-25</t>
  </si>
  <si>
    <t>240/2023 : Telkomsel Pembiayaan IBOS Q3 2023</t>
  </si>
  <si>
    <t>BRI FGD Semarang</t>
  </si>
  <si>
    <t>212/PCMI/AR/X/2025</t>
  </si>
  <si>
    <t>PT. Shell Indonesia</t>
  </si>
  <si>
    <t>Private Trip Shell MotoGP Sepang (24 - 26 Oct 2025) &amp; Shell Jepang - Fukuoka (09 - 13 Nov 2025)</t>
  </si>
  <si>
    <t>223/PCMI/AR/III/2025</t>
  </si>
  <si>
    <t>225/PCMI/AR/IV/2025</t>
  </si>
  <si>
    <t>269/PCMI/AR/XII/2025</t>
  </si>
  <si>
    <t>Pengadaan Program Alignment SIFA Mobile &amp; Fixed</t>
  </si>
  <si>
    <t>292/PCMI/AR/XI/2-26</t>
  </si>
  <si>
    <t>293/PCMI/AR/XI/2-27</t>
  </si>
  <si>
    <t>286/2024 : PLN Indonesia Power PIKK Festival Bazaar UMKM</t>
  </si>
  <si>
    <t>288/2024 : PLN Indonesia Power PIKK Festival Bazaar UMKM</t>
  </si>
  <si>
    <t>223/2024 : PLN NP Up Teluk KalTim Capacity Building</t>
  </si>
  <si>
    <t>225/2024 : PLN NP Up Teluk KalTim Capacity Building</t>
  </si>
  <si>
    <t>BRI Kunjungan Kerja Bogor DPR Komisi XI</t>
  </si>
  <si>
    <t>Himbara Kunjungan Kerja Bali Bajo</t>
  </si>
  <si>
    <t>Telkomsel Campaign Pelanggan Prestige MyAds SBT</t>
  </si>
  <si>
    <t>Support Campaign Pelanggan Prestige MyAds SBT</t>
  </si>
  <si>
    <t>BSIN Supplier Meeting</t>
  </si>
  <si>
    <t>226/PCMI/AR/XII/2025</t>
  </si>
  <si>
    <t>BRI Support Event DWP BKN</t>
  </si>
  <si>
    <t>268/PCMI/AR/XII/2025</t>
  </si>
  <si>
    <t>Pengadaan untuk Telkomsel Event Market Recovery &amp; City Fokus Q3</t>
  </si>
  <si>
    <t>228/PCMI/AR/XII/2025</t>
  </si>
  <si>
    <t>Pengadaan untuk MICE Piala byU Q2 2025</t>
  </si>
  <si>
    <t>Telkomsel MICE Piala byU Q2 2025</t>
  </si>
  <si>
    <t>253/PCMI/AR/XII/2025</t>
  </si>
  <si>
    <t>230/PCMI/AR/XII/2025</t>
  </si>
  <si>
    <t>Otoritas Jasa Keuangan (OJK), Kantor Pusat</t>
  </si>
  <si>
    <t>Pembayaran Produksi Kegiatan KunKer Komisi XI DPR RI ke Propinsi Banten</t>
  </si>
  <si>
    <t>231/PCMI/AR/XII/2025</t>
  </si>
  <si>
    <t>Optimalisasi Penyaluran KUR melalui Tata Kelola yang efektif dan berorientasi dampak</t>
  </si>
  <si>
    <t>232/PCMI/AR/XII/2025</t>
  </si>
  <si>
    <t>Event Sponsorship Economic Outlook 2025 dengan tema Pertumbuhan, Stabilitas dan Ketahanan Ekonomi</t>
  </si>
  <si>
    <t>234/PCMI/AR/XII/2025</t>
  </si>
  <si>
    <t>Event Sponsorship Economic Outlook 2025 dengan tema Memperkuat Ketahanan Ekonomi Domestik di Tengah Tantangan Global</t>
  </si>
  <si>
    <t>229/PCMI/AR/XII/2025</t>
  </si>
  <si>
    <t>BSIN Supplier Meeting 2025 Karawang</t>
  </si>
  <si>
    <t>BRI Peringatan Puncak HUT ke-26 DWP dan Hari Ibu ke-97 DWP BKN</t>
  </si>
  <si>
    <t xml:space="preserve">OJK Kunjungan Kerja Komisi XI DPR RI </t>
  </si>
  <si>
    <t>Pengadaan untuk Delight &amp; Excellent Execution 2025</t>
  </si>
  <si>
    <t>219/PCMI/AR/XII/2025</t>
  </si>
  <si>
    <t>254/PCMI/AR/XII/2025</t>
  </si>
  <si>
    <t>272/PCMI/AR/XII/2025</t>
  </si>
  <si>
    <t>215/2024 : Telkomsel JPP RAN Nasional Q4 2024</t>
  </si>
  <si>
    <t>261/PCMI/AR/XII/2025</t>
  </si>
  <si>
    <t>Telkomsel Pengadaan untuk visit Cluster Area Sumatera Q3</t>
  </si>
  <si>
    <t>235/PCMI/AR/XII/2025</t>
  </si>
  <si>
    <t xml:space="preserve">Add Cost </t>
  </si>
  <si>
    <t>217/PCMI/AR/XII/2025</t>
  </si>
  <si>
    <t>FIF Group</t>
  </si>
  <si>
    <t>FIF NMC ACT Handling</t>
  </si>
  <si>
    <t>Cancellation Event FIF Group Hajatan Akbar NMC ACT Handling</t>
  </si>
  <si>
    <t>298/PCMI/AR/XI/2025</t>
  </si>
  <si>
    <t>Money Bucket Farewell Bu Henny</t>
  </si>
  <si>
    <t>044/97/PCMI/AR/II/2026</t>
  </si>
  <si>
    <t>Pengadaan untuk ANO Sumatera Forum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</si>
</sst>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FF0000"/>
      <name val="TimesNewRomanPSMT"/>
      <family val="2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1" fillId="0" borderId="0"/>
  </cellStyleXfs>
  <cellXfs count="96">
    <xf numFmtId="0" fontId="0" fillId="0" borderId="0" xfId="0"/>
    <xf numFmtId="0" fontId="5" fillId="0" borderId="0" xfId="3" applyFont="1" applyAlignment="1">
      <alignment horizontal="center"/>
    </xf>
    <xf numFmtId="0" fontId="4" fillId="0" borderId="0" xfId="3" applyAlignment="1">
      <alignment horizontal="center"/>
    </xf>
    <xf numFmtId="0" fontId="4" fillId="0" borderId="0" xfId="3" applyAlignment="1">
      <alignment horizontal="left"/>
    </xf>
    <xf numFmtId="15" fontId="4" fillId="0" borderId="0" xfId="3" applyNumberFormat="1" applyAlignment="1">
      <alignment horizontal="center"/>
    </xf>
    <xf numFmtId="15" fontId="4" fillId="0" borderId="0" xfId="3" applyNumberFormat="1"/>
    <xf numFmtId="0" fontId="2" fillId="0" borderId="0" xfId="0" applyFont="1"/>
    <xf numFmtId="0" fontId="7" fillId="0" borderId="0" xfId="3" applyFont="1" applyAlignment="1">
      <alignment horizontal="left"/>
    </xf>
    <xf numFmtId="166" fontId="4" fillId="0" borderId="0" xfId="1" applyNumberFormat="1" applyFont="1" applyFill="1"/>
    <xf numFmtId="0" fontId="5" fillId="0" borderId="2" xfId="3" applyFont="1" applyBorder="1" applyAlignment="1">
      <alignment horizontal="center"/>
    </xf>
    <xf numFmtId="166" fontId="5" fillId="0" borderId="0" xfId="1" applyNumberFormat="1" applyFont="1" applyFill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0" xfId="8" applyFont="1" applyAlignment="1">
      <alignment horizontal="left" vertical="center"/>
    </xf>
    <xf numFmtId="0" fontId="8" fillId="0" borderId="0" xfId="14" applyFont="1"/>
    <xf numFmtId="0" fontId="8" fillId="0" borderId="0" xfId="14" applyFont="1" applyAlignment="1">
      <alignment horizontal="center"/>
    </xf>
    <xf numFmtId="15" fontId="5" fillId="0" borderId="2" xfId="3" applyNumberFormat="1" applyFont="1" applyBorder="1" applyAlignment="1">
      <alignment horizontal="center"/>
    </xf>
    <xf numFmtId="0" fontId="5" fillId="0" borderId="2" xfId="3" applyFont="1" applyBorder="1" applyAlignment="1">
      <alignment horizontal="centerContinuous"/>
    </xf>
    <xf numFmtId="0" fontId="5" fillId="0" borderId="10" xfId="3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0" fontId="4" fillId="0" borderId="0" xfId="14" applyFont="1" applyAlignment="1">
      <alignment horizontal="center"/>
    </xf>
    <xf numFmtId="0" fontId="4" fillId="0" borderId="0" xfId="14" applyFont="1"/>
    <xf numFmtId="0" fontId="4" fillId="0" borderId="0" xfId="14" applyFont="1" applyAlignment="1">
      <alignment horizontal="left"/>
    </xf>
    <xf numFmtId="0" fontId="7" fillId="0" borderId="0" xfId="14" applyFont="1"/>
    <xf numFmtId="166" fontId="4" fillId="0" borderId="0" xfId="1" applyNumberFormat="1" applyFont="1"/>
    <xf numFmtId="0" fontId="4" fillId="0" borderId="0" xfId="0" applyFont="1" applyAlignment="1">
      <alignment horizontal="center"/>
    </xf>
    <xf numFmtId="0" fontId="7" fillId="0" borderId="0" xfId="3" applyFont="1" applyAlignment="1">
      <alignment horizontal="center"/>
    </xf>
    <xf numFmtId="0" fontId="6" fillId="0" borderId="0" xfId="3" applyFont="1" applyAlignment="1">
      <alignment horizontal="left"/>
    </xf>
    <xf numFmtId="0" fontId="4" fillId="0" borderId="0" xfId="8" applyFont="1"/>
    <xf numFmtId="0" fontId="7" fillId="0" borderId="0" xfId="14" applyFont="1" applyAlignment="1">
      <alignment horizontal="center"/>
    </xf>
    <xf numFmtId="165" fontId="7" fillId="0" borderId="0" xfId="15" applyFont="1" applyFill="1" applyAlignment="1"/>
    <xf numFmtId="14" fontId="4" fillId="0" borderId="0" xfId="3" applyNumberFormat="1" applyAlignment="1">
      <alignment horizontal="left"/>
    </xf>
    <xf numFmtId="0" fontId="7" fillId="0" borderId="0" xfId="14" applyFont="1" applyAlignment="1">
      <alignment horizontal="left"/>
    </xf>
    <xf numFmtId="165" fontId="10" fillId="0" borderId="0" xfId="15" applyFont="1" applyFill="1" applyAlignment="1"/>
    <xf numFmtId="15" fontId="5" fillId="0" borderId="0" xfId="3" applyNumberFormat="1" applyFont="1" applyAlignment="1">
      <alignment horizontal="center"/>
    </xf>
    <xf numFmtId="15" fontId="4" fillId="0" borderId="0" xfId="14" applyNumberFormat="1" applyFont="1" applyAlignment="1">
      <alignment horizontal="center" vertical="center"/>
    </xf>
    <xf numFmtId="0" fontId="6" fillId="0" borderId="0" xfId="14" applyFont="1"/>
    <xf numFmtId="166" fontId="8" fillId="0" borderId="0" xfId="1" applyNumberFormat="1" applyFont="1" applyFill="1" applyAlignment="1"/>
    <xf numFmtId="166" fontId="10" fillId="0" borderId="3" xfId="1" applyNumberFormat="1" applyFont="1" applyFill="1" applyBorder="1" applyAlignment="1">
      <alignment horizontal="centerContinuous"/>
    </xf>
    <xf numFmtId="166" fontId="5" fillId="0" borderId="8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left"/>
    </xf>
    <xf numFmtId="166" fontId="4" fillId="0" borderId="0" xfId="1" applyNumberFormat="1" applyFont="1" applyFill="1" applyAlignment="1"/>
    <xf numFmtId="166" fontId="7" fillId="0" borderId="0" xfId="1" applyNumberFormat="1" applyFont="1" applyFill="1" applyAlignment="1"/>
    <xf numFmtId="166" fontId="7" fillId="0" borderId="0" xfId="1" applyNumberFormat="1" applyFont="1" applyFill="1" applyBorder="1" applyAlignment="1">
      <alignment horizontal="left"/>
    </xf>
    <xf numFmtId="166" fontId="8" fillId="0" borderId="0" xfId="1" applyNumberFormat="1" applyFont="1"/>
    <xf numFmtId="166" fontId="8" fillId="0" borderId="0" xfId="1" applyNumberFormat="1" applyFont="1" applyFill="1"/>
    <xf numFmtId="166" fontId="5" fillId="0" borderId="6" xfId="1" applyNumberFormat="1" applyFont="1" applyFill="1" applyBorder="1" applyAlignment="1">
      <alignment horizontal="center"/>
    </xf>
    <xf numFmtId="166" fontId="5" fillId="0" borderId="4" xfId="1" applyNumberFormat="1" applyFont="1" applyBorder="1" applyAlignment="1">
      <alignment horizontal="center"/>
    </xf>
    <xf numFmtId="166" fontId="5" fillId="0" borderId="5" xfId="1" applyNumberFormat="1" applyFont="1" applyFill="1" applyBorder="1" applyAlignment="1">
      <alignment horizontal="center"/>
    </xf>
    <xf numFmtId="166" fontId="5" fillId="0" borderId="4" xfId="1" applyNumberFormat="1" applyFont="1" applyFill="1" applyBorder="1" applyAlignment="1">
      <alignment horizontal="center"/>
    </xf>
    <xf numFmtId="166" fontId="5" fillId="0" borderId="10" xfId="1" applyNumberFormat="1" applyFont="1" applyFill="1" applyBorder="1" applyAlignment="1">
      <alignment horizontal="center"/>
    </xf>
    <xf numFmtId="166" fontId="5" fillId="0" borderId="9" xfId="1" applyNumberFormat="1" applyFont="1" applyFill="1" applyBorder="1" applyAlignment="1">
      <alignment horizontal="center"/>
    </xf>
    <xf numFmtId="166" fontId="5" fillId="0" borderId="7" xfId="1" applyNumberFormat="1" applyFont="1" applyBorder="1" applyAlignment="1">
      <alignment horizontal="center"/>
    </xf>
    <xf numFmtId="166" fontId="5" fillId="0" borderId="7" xfId="1" applyNumberFormat="1" applyFont="1" applyFill="1" applyBorder="1" applyAlignment="1">
      <alignment horizontal="center"/>
    </xf>
    <xf numFmtId="166" fontId="5" fillId="0" borderId="12" xfId="1" applyNumberFormat="1" applyFont="1" applyFill="1" applyBorder="1" applyAlignment="1">
      <alignment horizontal="center"/>
    </xf>
    <xf numFmtId="166" fontId="4" fillId="0" borderId="0" xfId="1" applyNumberFormat="1" applyFont="1" applyFill="1" applyAlignment="1">
      <alignment horizontal="left"/>
    </xf>
    <xf numFmtId="166" fontId="4" fillId="0" borderId="0" xfId="1" applyNumberFormat="1" applyFont="1" applyFill="1" applyBorder="1" applyAlignment="1"/>
    <xf numFmtId="166" fontId="7" fillId="0" borderId="0" xfId="1" applyNumberFormat="1" applyFont="1"/>
    <xf numFmtId="166" fontId="7" fillId="0" borderId="0" xfId="1" applyNumberFormat="1" applyFont="1" applyFill="1" applyAlignment="1">
      <alignment horizontal="left"/>
    </xf>
    <xf numFmtId="166" fontId="7" fillId="0" borderId="0" xfId="1" applyNumberFormat="1" applyFont="1" applyFill="1" applyBorder="1" applyAlignment="1"/>
    <xf numFmtId="166" fontId="10" fillId="0" borderId="1" xfId="1" applyNumberFormat="1" applyFont="1" applyFill="1" applyBorder="1" applyAlignment="1">
      <alignment horizontal="centerContinuous"/>
    </xf>
    <xf numFmtId="166" fontId="10" fillId="0" borderId="2" xfId="1" applyNumberFormat="1" applyFont="1" applyFill="1" applyBorder="1" applyAlignment="1">
      <alignment horizontal="centerContinuous"/>
    </xf>
    <xf numFmtId="166" fontId="10" fillId="0" borderId="11" xfId="1" applyNumberFormat="1" applyFont="1" applyFill="1" applyBorder="1" applyAlignment="1">
      <alignment horizontal="centerContinuous"/>
    </xf>
    <xf numFmtId="166" fontId="6" fillId="0" borderId="0" xfId="1" applyNumberFormat="1" applyFont="1" applyFill="1" applyBorder="1" applyAlignment="1">
      <alignment horizontal="left"/>
    </xf>
    <xf numFmtId="166" fontId="7" fillId="0" borderId="0" xfId="1" applyNumberFormat="1" applyFont="1" applyFill="1"/>
    <xf numFmtId="0" fontId="6" fillId="0" borderId="0" xfId="14" applyFont="1" applyAlignment="1">
      <alignment horizontal="center"/>
    </xf>
    <xf numFmtId="165" fontId="6" fillId="0" borderId="0" xfId="15" applyFont="1" applyFill="1" applyAlignment="1"/>
    <xf numFmtId="166" fontId="6" fillId="0" borderId="0" xfId="1" applyNumberFormat="1" applyFont="1"/>
    <xf numFmtId="15" fontId="4" fillId="0" borderId="0" xfId="14" applyNumberFormat="1" applyFont="1" applyAlignment="1">
      <alignment horizontal="center"/>
    </xf>
    <xf numFmtId="15" fontId="7" fillId="0" borderId="0" xfId="14" applyNumberFormat="1" applyFont="1" applyAlignment="1">
      <alignment horizontal="center" vertical="center"/>
    </xf>
    <xf numFmtId="15" fontId="7" fillId="0" borderId="0" xfId="14" applyNumberFormat="1" applyFont="1" applyAlignment="1">
      <alignment horizontal="center"/>
    </xf>
    <xf numFmtId="15" fontId="6" fillId="0" borderId="0" xfId="14" applyNumberFormat="1" applyFont="1" applyAlignment="1">
      <alignment horizontal="center"/>
    </xf>
    <xf numFmtId="15" fontId="6" fillId="0" borderId="0" xfId="14" applyNumberFormat="1" applyFont="1" applyAlignment="1">
      <alignment horizontal="center" vertical="center"/>
    </xf>
    <xf numFmtId="166" fontId="6" fillId="0" borderId="0" xfId="1" applyNumberFormat="1" applyFont="1" applyFill="1" applyAlignment="1"/>
    <xf numFmtId="166" fontId="6" fillId="0" borderId="0" xfId="1" applyNumberFormat="1" applyFont="1" applyFill="1"/>
    <xf numFmtId="166" fontId="6" fillId="0" borderId="0" xfId="1" applyNumberFormat="1" applyFont="1" applyFill="1" applyAlignment="1">
      <alignment horizontal="left"/>
    </xf>
    <xf numFmtId="166" fontId="6" fillId="0" borderId="0" xfId="1" applyNumberFormat="1" applyFont="1" applyFill="1" applyBorder="1" applyAlignment="1"/>
    <xf numFmtId="0" fontId="6" fillId="0" borderId="0" xfId="14" applyFont="1" applyAlignment="1">
      <alignment horizontal="left"/>
    </xf>
    <xf numFmtId="0" fontId="6" fillId="0" borderId="0" xfId="3" quotePrefix="1" applyFont="1" applyAlignment="1">
      <alignment horizontal="left"/>
    </xf>
    <xf numFmtId="0" fontId="6" fillId="0" borderId="0" xfId="19" applyFont="1"/>
    <xf numFmtId="15" fontId="6" fillId="0" borderId="0" xfId="3" applyNumberFormat="1" applyFont="1" applyAlignment="1">
      <alignment horizontal="center"/>
    </xf>
    <xf numFmtId="15" fontId="7" fillId="0" borderId="0" xfId="3" applyNumberFormat="1" applyFont="1" applyAlignment="1">
      <alignment horizontal="center"/>
    </xf>
    <xf numFmtId="15" fontId="8" fillId="0" borderId="0" xfId="14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3" applyNumberFormat="1" applyFont="1" applyAlignment="1">
      <alignment horizontal="center"/>
    </xf>
    <xf numFmtId="165" fontId="4" fillId="0" borderId="0" xfId="3" applyNumberFormat="1" applyAlignment="1">
      <alignment horizontal="left"/>
    </xf>
    <xf numFmtId="165" fontId="4" fillId="0" borderId="0" xfId="14" applyNumberFormat="1" applyFont="1" applyAlignment="1">
      <alignment horizontal="center"/>
    </xf>
    <xf numFmtId="164" fontId="10" fillId="0" borderId="0" xfId="1" applyFont="1" applyFill="1" applyAlignment="1"/>
    <xf numFmtId="166" fontId="5" fillId="0" borderId="4" xfId="1" applyNumberFormat="1" applyFont="1" applyFill="1" applyBorder="1" applyAlignment="1">
      <alignment horizontal="centerContinuous"/>
    </xf>
    <xf numFmtId="166" fontId="5" fillId="0" borderId="5" xfId="1" applyNumberFormat="1" applyFont="1" applyFill="1" applyBorder="1" applyAlignment="1">
      <alignment horizontal="centerContinuous"/>
    </xf>
    <xf numFmtId="166" fontId="5" fillId="0" borderId="10" xfId="1" applyNumberFormat="1" applyFont="1" applyFill="1" applyBorder="1" applyAlignment="1">
      <alignment horizontal="centerContinuous"/>
    </xf>
    <xf numFmtId="166" fontId="5" fillId="0" borderId="11" xfId="1" applyNumberFormat="1" applyFont="1" applyFill="1" applyBorder="1" applyAlignment="1">
      <alignment horizontal="centerContinuous"/>
    </xf>
    <xf numFmtId="166" fontId="5" fillId="0" borderId="7" xfId="1" applyNumberFormat="1" applyFont="1" applyFill="1" applyBorder="1" applyAlignment="1">
      <alignment horizontal="center" vertical="center"/>
    </xf>
    <xf numFmtId="166" fontId="5" fillId="0" borderId="8" xfId="1" applyNumberFormat="1" applyFont="1" applyFill="1" applyBorder="1" applyAlignment="1">
      <alignment horizontal="center" vertical="center"/>
    </xf>
    <xf numFmtId="166" fontId="5" fillId="0" borderId="12" xfId="1" applyNumberFormat="1" applyFont="1" applyFill="1" applyBorder="1" applyAlignment="1">
      <alignment horizontal="center" vertical="center"/>
    </xf>
    <xf numFmtId="166" fontId="5" fillId="0" borderId="9" xfId="1" applyNumberFormat="1" applyFont="1" applyFill="1" applyBorder="1" applyAlignment="1">
      <alignment horizontal="center" vertical="center"/>
    </xf>
    <xf numFmtId="166" fontId="10" fillId="0" borderId="0" xfId="1" applyNumberFormat="1" applyFont="1" applyFill="1" applyAlignment="1"/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1"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1"/>
  <sheetViews>
    <sheetView tabSelected="1" topLeftCell="E270" zoomScale="85" zoomScaleNormal="85" workbookViewId="0">
      <selection activeCell="E305" sqref="E305"/>
    </sheetView>
  </sheetViews>
  <sheetFormatPr defaultColWidth="4.33203125" defaultRowHeight="15.75"/>
  <cols>
    <col min="1" max="1" width="8" style="14" customWidth="1"/>
    <col min="2" max="2" width="23.77734375" style="13" customWidth="1"/>
    <col min="3" max="3" width="12.21875" style="81" customWidth="1"/>
    <col min="4" max="4" width="7.21875" style="14" customWidth="1"/>
    <col min="5" max="5" width="54.33203125" style="13" customWidth="1"/>
    <col min="6" max="6" width="61" style="13" customWidth="1"/>
    <col min="7" max="7" width="62.21875" style="13" customWidth="1"/>
    <col min="8" max="8" width="21" style="36" customWidth="1"/>
    <col min="9" max="9" width="20.44140625" style="36" customWidth="1"/>
    <col min="10" max="10" width="22.44140625" style="36" customWidth="1"/>
    <col min="11" max="11" width="24" style="36" bestFit="1" customWidth="1"/>
    <col min="12" max="12" width="18.6640625" style="67" customWidth="1"/>
    <col min="13" max="14" width="19" style="36" customWidth="1"/>
    <col min="15" max="15" width="24.21875" style="36" customWidth="1"/>
    <col min="16" max="16" width="25" style="36" customWidth="1"/>
    <col min="17" max="18" width="19.33203125" style="36" customWidth="1"/>
    <col min="19" max="19" width="18.6640625" style="36" customWidth="1"/>
    <col min="20" max="20" width="14.44140625" style="36" customWidth="1"/>
    <col min="21" max="21" width="18.44140625" style="36" customWidth="1"/>
    <col min="22" max="22" width="18.77734375" style="36" customWidth="1"/>
    <col min="23" max="23" width="20" style="36" customWidth="1"/>
    <col min="24" max="24" width="21.6640625" style="36" customWidth="1"/>
    <col min="25" max="25" width="6" style="43" customWidth="1"/>
    <col min="26" max="26" width="20.77734375" style="43" customWidth="1"/>
    <col min="27" max="27" width="19" style="36" customWidth="1"/>
    <col min="28" max="29" width="21.21875" style="36" customWidth="1"/>
    <col min="30" max="30" width="72.6640625" style="13" customWidth="1"/>
    <col min="31" max="16384" width="4.33203125" style="13"/>
  </cols>
  <sheetData>
    <row r="1" spans="1:38">
      <c r="A1" s="12" t="s">
        <v>249</v>
      </c>
      <c r="B1" s="20"/>
      <c r="C1" s="2"/>
      <c r="D1" s="19"/>
      <c r="F1" s="22"/>
      <c r="I1" s="36">
        <v>0.02</v>
      </c>
      <c r="J1" s="36">
        <f>K305-J305</f>
        <v>38815032737</v>
      </c>
      <c r="K1" s="36">
        <f>I1*J1</f>
        <v>776300654.74000001</v>
      </c>
      <c r="L1" s="85" t="s">
        <v>1</v>
      </c>
    </row>
    <row r="2" spans="1:38" ht="16.5" thickBot="1">
      <c r="B2" s="3" t="s">
        <v>1</v>
      </c>
      <c r="C2" s="4" t="s">
        <v>1</v>
      </c>
      <c r="D2" s="19" t="s">
        <v>1</v>
      </c>
      <c r="E2" s="20" t="s">
        <v>1</v>
      </c>
      <c r="F2" s="13" t="s">
        <v>1</v>
      </c>
      <c r="H2" s="55" t="s">
        <v>1</v>
      </c>
      <c r="I2" s="55">
        <v>0</v>
      </c>
      <c r="J2" s="40" t="s">
        <v>1</v>
      </c>
      <c r="L2" s="34" t="s">
        <v>1</v>
      </c>
      <c r="P2" s="62" t="s">
        <v>1</v>
      </c>
      <c r="Z2" s="44"/>
    </row>
    <row r="3" spans="1:38" ht="16.5" thickBot="1">
      <c r="A3" s="11" t="s">
        <v>47</v>
      </c>
      <c r="B3" s="9" t="s">
        <v>48</v>
      </c>
      <c r="C3" s="15" t="s">
        <v>4</v>
      </c>
      <c r="D3" s="9" t="s">
        <v>5</v>
      </c>
      <c r="E3" s="9" t="s">
        <v>15</v>
      </c>
      <c r="F3" s="9" t="s">
        <v>16</v>
      </c>
      <c r="G3" s="16" t="s">
        <v>6</v>
      </c>
      <c r="H3" s="87" t="s">
        <v>17</v>
      </c>
      <c r="I3" s="88"/>
      <c r="J3" s="89"/>
      <c r="K3" s="90" t="s">
        <v>0</v>
      </c>
      <c r="L3" s="34"/>
      <c r="M3" s="59" t="s">
        <v>18</v>
      </c>
      <c r="N3" s="60"/>
      <c r="O3" s="60"/>
      <c r="P3" s="60"/>
      <c r="Q3" s="60"/>
      <c r="R3" s="61"/>
      <c r="S3" s="60"/>
      <c r="T3" s="60"/>
      <c r="U3" s="60"/>
      <c r="V3" s="60"/>
      <c r="W3" s="37"/>
      <c r="X3" s="45" t="s">
        <v>12</v>
      </c>
      <c r="Y3" s="10"/>
      <c r="Z3" s="46" t="s">
        <v>19</v>
      </c>
      <c r="AA3" s="47" t="s">
        <v>10</v>
      </c>
      <c r="AB3" s="48"/>
      <c r="AC3" s="49"/>
      <c r="AD3" s="17" t="s">
        <v>20</v>
      </c>
    </row>
    <row r="4" spans="1:38" s="14" customFormat="1" ht="16.5" thickBot="1">
      <c r="A4" s="1" t="s">
        <v>1</v>
      </c>
      <c r="B4" s="1"/>
      <c r="C4" s="33"/>
      <c r="D4" s="1"/>
      <c r="E4" s="1"/>
      <c r="F4" s="1"/>
      <c r="G4" s="1"/>
      <c r="H4" s="91" t="s">
        <v>7</v>
      </c>
      <c r="I4" s="92" t="s">
        <v>8</v>
      </c>
      <c r="J4" s="93" t="s">
        <v>9</v>
      </c>
      <c r="K4" s="94" t="s">
        <v>21</v>
      </c>
      <c r="L4" s="34" t="s">
        <v>250</v>
      </c>
      <c r="M4" s="52" t="s">
        <v>63</v>
      </c>
      <c r="N4" s="38" t="s">
        <v>62</v>
      </c>
      <c r="O4" s="38" t="s">
        <v>523</v>
      </c>
      <c r="P4" s="38" t="s">
        <v>524</v>
      </c>
      <c r="Q4" s="38" t="s">
        <v>60</v>
      </c>
      <c r="R4" s="38" t="s">
        <v>61</v>
      </c>
      <c r="S4" s="38" t="s">
        <v>3</v>
      </c>
      <c r="T4" s="38" t="s">
        <v>14</v>
      </c>
      <c r="U4" s="38" t="s">
        <v>11</v>
      </c>
      <c r="V4" s="38" t="s">
        <v>13</v>
      </c>
      <c r="W4" s="38" t="s">
        <v>22</v>
      </c>
      <c r="X4" s="50" t="s">
        <v>2</v>
      </c>
      <c r="Y4" s="10"/>
      <c r="Z4" s="51"/>
      <c r="AA4" s="38"/>
      <c r="AB4" s="52" t="s">
        <v>23</v>
      </c>
      <c r="AC4" s="53" t="s">
        <v>24</v>
      </c>
      <c r="AD4" s="18"/>
    </row>
    <row r="5" spans="1:38" s="21" customFormat="1">
      <c r="A5" s="19">
        <v>1</v>
      </c>
      <c r="B5" s="3" t="s">
        <v>75</v>
      </c>
      <c r="C5" s="4">
        <v>45674</v>
      </c>
      <c r="D5" s="2">
        <v>2025</v>
      </c>
      <c r="E5" s="20" t="s">
        <v>39</v>
      </c>
      <c r="F5" s="20" t="s">
        <v>66</v>
      </c>
      <c r="G5" s="20" t="s">
        <v>175</v>
      </c>
      <c r="H5" s="40">
        <v>75000000</v>
      </c>
      <c r="I5" s="40">
        <v>0</v>
      </c>
      <c r="J5" s="40">
        <f>H5*11%</f>
        <v>8250000</v>
      </c>
      <c r="K5" s="40">
        <f t="shared" ref="K5:K68" si="0">SUM(H5:J5)</f>
        <v>83250000</v>
      </c>
      <c r="L5" s="34">
        <v>45721</v>
      </c>
      <c r="M5" s="40">
        <v>0</v>
      </c>
      <c r="N5" s="39">
        <v>0</v>
      </c>
      <c r="O5" s="39">
        <v>0</v>
      </c>
      <c r="P5" s="39">
        <v>73500000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9750000</v>
      </c>
      <c r="X5" s="39">
        <f t="shared" ref="X5:X68" si="1">K5-SUM(M5:W5)</f>
        <v>0</v>
      </c>
      <c r="Y5" s="39"/>
      <c r="Z5" s="23">
        <f t="shared" ref="Z5:Z68" si="2">-J5</f>
        <v>-8250000</v>
      </c>
      <c r="AA5" s="54">
        <f t="shared" ref="AA5:AA29" si="3">-(H5+I5)*2%</f>
        <v>-1500000</v>
      </c>
      <c r="AB5" s="39">
        <f t="shared" ref="AB5:AB41" si="4">K5+Z5+AA5</f>
        <v>73500000</v>
      </c>
      <c r="AC5" s="55">
        <v>0</v>
      </c>
      <c r="AD5" s="3"/>
    </row>
    <row r="6" spans="1:38" s="27" customFormat="1">
      <c r="A6" s="19">
        <f t="shared" ref="A6:A69" si="5">A5+1</f>
        <v>2</v>
      </c>
      <c r="B6" s="3" t="s">
        <v>76</v>
      </c>
      <c r="C6" s="4">
        <v>45689</v>
      </c>
      <c r="D6" s="2">
        <v>2025</v>
      </c>
      <c r="E6" s="20" t="s">
        <v>26</v>
      </c>
      <c r="F6" s="20" t="s">
        <v>66</v>
      </c>
      <c r="G6" s="27" t="s">
        <v>175</v>
      </c>
      <c r="H6" s="55">
        <v>675675676</v>
      </c>
      <c r="I6" s="55">
        <v>0</v>
      </c>
      <c r="J6" s="40">
        <v>74324324</v>
      </c>
      <c r="K6" s="40">
        <f t="shared" si="0"/>
        <v>750000000</v>
      </c>
      <c r="L6" s="34">
        <v>45720</v>
      </c>
      <c r="M6" s="40">
        <v>0</v>
      </c>
      <c r="N6" s="40">
        <v>0</v>
      </c>
      <c r="O6" s="39">
        <v>0</v>
      </c>
      <c r="P6" s="39">
        <v>662162163</v>
      </c>
      <c r="Q6" s="40">
        <v>0</v>
      </c>
      <c r="R6" s="40">
        <v>0</v>
      </c>
      <c r="S6" s="40">
        <v>0</v>
      </c>
      <c r="T6" s="40">
        <v>0</v>
      </c>
      <c r="U6" s="39">
        <v>0</v>
      </c>
      <c r="V6" s="40">
        <v>0</v>
      </c>
      <c r="W6" s="39">
        <v>87837837</v>
      </c>
      <c r="X6" s="39">
        <f t="shared" si="1"/>
        <v>0</v>
      </c>
      <c r="Y6" s="23"/>
      <c r="Z6" s="23">
        <f t="shared" si="2"/>
        <v>-74324324</v>
      </c>
      <c r="AA6" s="54">
        <f t="shared" si="3"/>
        <v>-13513513.52</v>
      </c>
      <c r="AB6" s="39">
        <f t="shared" si="4"/>
        <v>662162162.48000002</v>
      </c>
      <c r="AC6" s="55">
        <v>0</v>
      </c>
      <c r="AD6" s="20"/>
      <c r="AE6" s="6" t="s">
        <v>1</v>
      </c>
      <c r="AF6"/>
      <c r="AG6"/>
      <c r="AH6"/>
      <c r="AI6"/>
      <c r="AJ6"/>
      <c r="AK6"/>
      <c r="AL6"/>
    </row>
    <row r="7" spans="1:38" s="21" customFormat="1">
      <c r="A7" s="19">
        <f t="shared" si="5"/>
        <v>3</v>
      </c>
      <c r="B7" s="3" t="s">
        <v>77</v>
      </c>
      <c r="C7" s="4">
        <v>45689</v>
      </c>
      <c r="D7" s="2">
        <v>2025</v>
      </c>
      <c r="E7" s="20" t="s">
        <v>46</v>
      </c>
      <c r="F7" s="20" t="s">
        <v>66</v>
      </c>
      <c r="G7" s="20" t="s">
        <v>175</v>
      </c>
      <c r="H7" s="40">
        <v>225225225</v>
      </c>
      <c r="I7" s="40">
        <v>0</v>
      </c>
      <c r="J7" s="40">
        <v>24774775</v>
      </c>
      <c r="K7" s="40">
        <f t="shared" si="0"/>
        <v>250000000</v>
      </c>
      <c r="L7" s="34">
        <v>45705</v>
      </c>
      <c r="M7" s="40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220720720</v>
      </c>
      <c r="T7" s="39">
        <v>0</v>
      </c>
      <c r="U7" s="39">
        <v>0</v>
      </c>
      <c r="V7" s="39">
        <v>0</v>
      </c>
      <c r="W7" s="39">
        <v>29279280</v>
      </c>
      <c r="X7" s="39">
        <f t="shared" si="1"/>
        <v>0</v>
      </c>
      <c r="Y7" s="39"/>
      <c r="Z7" s="23">
        <f t="shared" si="2"/>
        <v>-24774775</v>
      </c>
      <c r="AA7" s="54">
        <f t="shared" si="3"/>
        <v>-4504504.5</v>
      </c>
      <c r="AB7" s="39">
        <f t="shared" si="4"/>
        <v>220720720.5</v>
      </c>
      <c r="AC7" s="40">
        <v>0</v>
      </c>
      <c r="AD7" s="3"/>
    </row>
    <row r="8" spans="1:38" s="21" customFormat="1">
      <c r="A8" s="19">
        <f t="shared" si="5"/>
        <v>4</v>
      </c>
      <c r="B8" s="3" t="s">
        <v>78</v>
      </c>
      <c r="C8" s="4">
        <v>45689</v>
      </c>
      <c r="D8" s="2">
        <v>2025</v>
      </c>
      <c r="E8" s="20" t="s">
        <v>51</v>
      </c>
      <c r="F8" s="20" t="s">
        <v>66</v>
      </c>
      <c r="G8" s="20" t="s">
        <v>175</v>
      </c>
      <c r="H8" s="40">
        <v>75000000</v>
      </c>
      <c r="I8" s="40">
        <v>0</v>
      </c>
      <c r="J8" s="40">
        <v>8250000</v>
      </c>
      <c r="K8" s="40">
        <f t="shared" si="0"/>
        <v>83250000</v>
      </c>
      <c r="L8" s="34">
        <v>45756</v>
      </c>
      <c r="M8" s="40">
        <v>0</v>
      </c>
      <c r="N8" s="39">
        <v>0</v>
      </c>
      <c r="O8" s="39">
        <v>0</v>
      </c>
      <c r="P8" s="39">
        <v>73500000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9750000</v>
      </c>
      <c r="X8" s="39">
        <f t="shared" si="1"/>
        <v>0</v>
      </c>
      <c r="Y8" s="39"/>
      <c r="Z8" s="23">
        <f t="shared" si="2"/>
        <v>-8250000</v>
      </c>
      <c r="AA8" s="54">
        <f t="shared" si="3"/>
        <v>-1500000</v>
      </c>
      <c r="AB8" s="39">
        <f t="shared" si="4"/>
        <v>73500000</v>
      </c>
      <c r="AC8" s="40">
        <v>0</v>
      </c>
      <c r="AD8" s="3"/>
    </row>
    <row r="9" spans="1:38" s="27" customFormat="1">
      <c r="A9" s="19">
        <f t="shared" si="5"/>
        <v>5</v>
      </c>
      <c r="B9" s="3" t="s">
        <v>79</v>
      </c>
      <c r="C9" s="4">
        <v>45687</v>
      </c>
      <c r="D9" s="2">
        <v>2025</v>
      </c>
      <c r="E9" s="27" t="s">
        <v>28</v>
      </c>
      <c r="F9" s="20" t="s">
        <v>66</v>
      </c>
      <c r="G9" s="20" t="s">
        <v>175</v>
      </c>
      <c r="H9" s="8">
        <v>675675676</v>
      </c>
      <c r="I9" s="8">
        <v>0</v>
      </c>
      <c r="J9" s="8">
        <v>74324324</v>
      </c>
      <c r="K9" s="40">
        <f t="shared" si="0"/>
        <v>750000000</v>
      </c>
      <c r="L9" s="34">
        <v>45706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662162162</v>
      </c>
      <c r="S9" s="40">
        <v>0</v>
      </c>
      <c r="T9" s="40">
        <v>0</v>
      </c>
      <c r="U9" s="39">
        <v>0</v>
      </c>
      <c r="V9" s="40">
        <v>0</v>
      </c>
      <c r="W9" s="40">
        <v>87837838</v>
      </c>
      <c r="X9" s="39">
        <f t="shared" si="1"/>
        <v>0</v>
      </c>
      <c r="Y9" s="23"/>
      <c r="Z9" s="23">
        <f t="shared" si="2"/>
        <v>-74324324</v>
      </c>
      <c r="AA9" s="54">
        <f t="shared" si="3"/>
        <v>-13513513.52</v>
      </c>
      <c r="AB9" s="39">
        <f t="shared" si="4"/>
        <v>662162162.48000002</v>
      </c>
      <c r="AC9" s="40">
        <v>0</v>
      </c>
      <c r="AD9" s="20"/>
    </row>
    <row r="10" spans="1:38" s="27" customFormat="1">
      <c r="A10" s="19">
        <f t="shared" si="5"/>
        <v>6</v>
      </c>
      <c r="B10" s="3" t="s">
        <v>81</v>
      </c>
      <c r="C10" s="4">
        <v>45692</v>
      </c>
      <c r="D10" s="2">
        <v>2025</v>
      </c>
      <c r="E10" s="20" t="s">
        <v>46</v>
      </c>
      <c r="F10" s="20" t="s">
        <v>66</v>
      </c>
      <c r="G10" s="20" t="s">
        <v>176</v>
      </c>
      <c r="H10" s="40">
        <v>11060000</v>
      </c>
      <c r="I10" s="40">
        <v>0</v>
      </c>
      <c r="J10" s="40">
        <v>1216600</v>
      </c>
      <c r="K10" s="40">
        <f t="shared" si="0"/>
        <v>12276600</v>
      </c>
      <c r="L10" s="34">
        <v>45701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10838800</v>
      </c>
      <c r="T10" s="40">
        <v>0</v>
      </c>
      <c r="U10" s="39">
        <v>0</v>
      </c>
      <c r="V10" s="40">
        <v>0</v>
      </c>
      <c r="W10" s="40">
        <v>1437800</v>
      </c>
      <c r="X10" s="39">
        <f t="shared" si="1"/>
        <v>0</v>
      </c>
      <c r="Y10" s="23"/>
      <c r="Z10" s="23">
        <f t="shared" si="2"/>
        <v>-1216600</v>
      </c>
      <c r="AA10" s="54">
        <f t="shared" si="3"/>
        <v>-221200</v>
      </c>
      <c r="AB10" s="39">
        <f t="shared" si="4"/>
        <v>10838800</v>
      </c>
      <c r="AC10" s="40">
        <v>0</v>
      </c>
      <c r="AD10" s="20"/>
    </row>
    <row r="11" spans="1:38" s="27" customFormat="1">
      <c r="A11" s="19">
        <f t="shared" si="5"/>
        <v>7</v>
      </c>
      <c r="B11" s="3" t="s">
        <v>84</v>
      </c>
      <c r="C11" s="34">
        <v>45763</v>
      </c>
      <c r="D11" s="2">
        <v>2025</v>
      </c>
      <c r="E11" s="20" t="s">
        <v>44</v>
      </c>
      <c r="F11" s="20" t="s">
        <v>66</v>
      </c>
      <c r="G11" s="20" t="s">
        <v>175</v>
      </c>
      <c r="H11" s="55">
        <v>450450450</v>
      </c>
      <c r="I11" s="55">
        <v>0</v>
      </c>
      <c r="J11" s="55">
        <v>49549550</v>
      </c>
      <c r="K11" s="40">
        <f t="shared" si="0"/>
        <v>500000000</v>
      </c>
      <c r="L11" s="34">
        <v>45902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39">
        <v>441441441</v>
      </c>
      <c r="V11" s="40">
        <v>0</v>
      </c>
      <c r="W11" s="40">
        <v>58558559</v>
      </c>
      <c r="X11" s="39">
        <f t="shared" si="1"/>
        <v>0</v>
      </c>
      <c r="Y11" s="23"/>
      <c r="Z11" s="23">
        <f t="shared" si="2"/>
        <v>-49549550</v>
      </c>
      <c r="AA11" s="54">
        <f t="shared" si="3"/>
        <v>-9009009</v>
      </c>
      <c r="AB11" s="39">
        <f t="shared" si="4"/>
        <v>441441441</v>
      </c>
      <c r="AC11" s="40">
        <v>0</v>
      </c>
      <c r="AD11" s="20"/>
    </row>
    <row r="12" spans="1:38" s="21" customFormat="1">
      <c r="A12" s="19">
        <f t="shared" si="5"/>
        <v>8</v>
      </c>
      <c r="B12" s="3" t="s">
        <v>85</v>
      </c>
      <c r="C12" s="4">
        <v>45689</v>
      </c>
      <c r="D12" s="2">
        <v>2025</v>
      </c>
      <c r="E12" s="20" t="s">
        <v>37</v>
      </c>
      <c r="F12" s="20" t="s">
        <v>66</v>
      </c>
      <c r="G12" s="20" t="s">
        <v>175</v>
      </c>
      <c r="H12" s="55">
        <v>90090090</v>
      </c>
      <c r="I12" s="55">
        <v>0</v>
      </c>
      <c r="J12" s="55">
        <v>9909910</v>
      </c>
      <c r="K12" s="40">
        <f t="shared" si="0"/>
        <v>100000000</v>
      </c>
      <c r="L12" s="34">
        <v>45706</v>
      </c>
      <c r="M12" s="40">
        <v>0</v>
      </c>
      <c r="N12" s="40">
        <v>0</v>
      </c>
      <c r="O12" s="40">
        <v>0</v>
      </c>
      <c r="P12" s="40">
        <v>90090090</v>
      </c>
      <c r="Q12" s="40">
        <v>0</v>
      </c>
      <c r="R12" s="40">
        <v>0</v>
      </c>
      <c r="S12" s="40">
        <v>0</v>
      </c>
      <c r="T12" s="40">
        <v>0</v>
      </c>
      <c r="U12" s="39">
        <v>0</v>
      </c>
      <c r="V12" s="40">
        <v>0</v>
      </c>
      <c r="W12" s="40">
        <v>9909910</v>
      </c>
      <c r="X12" s="39">
        <f t="shared" si="1"/>
        <v>0</v>
      </c>
      <c r="Y12" s="23"/>
      <c r="Z12" s="23">
        <f t="shared" si="2"/>
        <v>-9909910</v>
      </c>
      <c r="AA12" s="54">
        <f t="shared" si="3"/>
        <v>-1801801.8</v>
      </c>
      <c r="AB12" s="39">
        <f t="shared" si="4"/>
        <v>88288288.200000003</v>
      </c>
      <c r="AC12" s="40">
        <v>0</v>
      </c>
      <c r="AD12" s="20"/>
      <c r="AE12" s="21" t="s">
        <v>1</v>
      </c>
      <c r="AG12" s="21" t="s">
        <v>1</v>
      </c>
    </row>
    <row r="13" spans="1:38" s="27" customFormat="1">
      <c r="A13" s="19">
        <f t="shared" si="5"/>
        <v>9</v>
      </c>
      <c r="B13" s="3" t="s">
        <v>86</v>
      </c>
      <c r="C13" s="4">
        <v>45689</v>
      </c>
      <c r="D13" s="2">
        <v>2025</v>
      </c>
      <c r="E13" s="20" t="s">
        <v>177</v>
      </c>
      <c r="F13" s="20" t="s">
        <v>66</v>
      </c>
      <c r="G13" s="20" t="s">
        <v>175</v>
      </c>
      <c r="H13" s="55">
        <v>50000000</v>
      </c>
      <c r="I13" s="55">
        <v>0</v>
      </c>
      <c r="J13" s="55">
        <v>5500000</v>
      </c>
      <c r="K13" s="40">
        <f t="shared" si="0"/>
        <v>55500000</v>
      </c>
      <c r="L13" s="34">
        <v>45707</v>
      </c>
      <c r="M13" s="40">
        <v>0</v>
      </c>
      <c r="N13" s="40">
        <v>0</v>
      </c>
      <c r="O13" s="40">
        <v>0</v>
      </c>
      <c r="P13" s="40">
        <v>54500000</v>
      </c>
      <c r="Q13" s="40">
        <v>0</v>
      </c>
      <c r="R13" s="40">
        <v>0</v>
      </c>
      <c r="S13" s="40">
        <v>0</v>
      </c>
      <c r="T13" s="40">
        <v>0</v>
      </c>
      <c r="U13" s="39">
        <v>0</v>
      </c>
      <c r="V13" s="40">
        <v>0</v>
      </c>
      <c r="W13" s="40">
        <v>1000000</v>
      </c>
      <c r="X13" s="39">
        <f t="shared" si="1"/>
        <v>0</v>
      </c>
      <c r="Y13" s="23"/>
      <c r="Z13" s="23">
        <f t="shared" si="2"/>
        <v>-5500000</v>
      </c>
      <c r="AA13" s="54">
        <f t="shared" si="3"/>
        <v>-1000000</v>
      </c>
      <c r="AB13" s="39">
        <f t="shared" si="4"/>
        <v>49000000</v>
      </c>
      <c r="AC13" s="40">
        <v>0</v>
      </c>
      <c r="AD13" s="20"/>
    </row>
    <row r="14" spans="1:38" s="27" customFormat="1">
      <c r="A14" s="19">
        <f t="shared" si="5"/>
        <v>10</v>
      </c>
      <c r="B14" s="3" t="s">
        <v>87</v>
      </c>
      <c r="C14" s="4">
        <v>45701</v>
      </c>
      <c r="D14" s="2">
        <v>2025</v>
      </c>
      <c r="E14" s="20" t="s">
        <v>42</v>
      </c>
      <c r="F14" s="20" t="s">
        <v>610</v>
      </c>
      <c r="G14" s="20" t="s">
        <v>611</v>
      </c>
      <c r="H14" s="55">
        <v>10825000</v>
      </c>
      <c r="I14" s="55">
        <v>0</v>
      </c>
      <c r="J14" s="55">
        <v>1190750</v>
      </c>
      <c r="K14" s="40">
        <f t="shared" si="0"/>
        <v>12015750</v>
      </c>
      <c r="L14" s="34">
        <v>45737</v>
      </c>
      <c r="M14" s="40">
        <v>0</v>
      </c>
      <c r="N14" s="40">
        <v>0</v>
      </c>
      <c r="O14" s="40">
        <v>10608500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39">
        <v>0</v>
      </c>
      <c r="V14" s="40">
        <v>0</v>
      </c>
      <c r="W14" s="40">
        <v>1407250</v>
      </c>
      <c r="X14" s="39">
        <f t="shared" si="1"/>
        <v>0</v>
      </c>
      <c r="Y14" s="23"/>
      <c r="Z14" s="23">
        <f t="shared" si="2"/>
        <v>-1190750</v>
      </c>
      <c r="AA14" s="54">
        <f t="shared" si="3"/>
        <v>-216500</v>
      </c>
      <c r="AB14" s="39">
        <f t="shared" si="4"/>
        <v>10608500</v>
      </c>
      <c r="AC14" s="40">
        <v>0</v>
      </c>
      <c r="AD14" s="20"/>
    </row>
    <row r="15" spans="1:38" s="27" customFormat="1">
      <c r="A15" s="19">
        <f t="shared" si="5"/>
        <v>11</v>
      </c>
      <c r="B15" s="3" t="s">
        <v>88</v>
      </c>
      <c r="C15" s="4">
        <v>45692</v>
      </c>
      <c r="D15" s="2">
        <v>2025</v>
      </c>
      <c r="E15" s="20" t="s">
        <v>50</v>
      </c>
      <c r="F15" s="20" t="s">
        <v>66</v>
      </c>
      <c r="G15" s="20" t="s">
        <v>175</v>
      </c>
      <c r="H15" s="55">
        <v>90090090</v>
      </c>
      <c r="I15" s="55">
        <v>0</v>
      </c>
      <c r="J15" s="55">
        <v>9909910</v>
      </c>
      <c r="K15" s="40">
        <f t="shared" si="0"/>
        <v>100000000</v>
      </c>
      <c r="L15" s="34">
        <v>45719</v>
      </c>
      <c r="M15" s="40">
        <v>0</v>
      </c>
      <c r="N15" s="40">
        <v>0</v>
      </c>
      <c r="O15" s="40">
        <v>0</v>
      </c>
      <c r="P15" s="40">
        <v>88288288</v>
      </c>
      <c r="Q15" s="40">
        <v>0</v>
      </c>
      <c r="R15" s="40">
        <v>0</v>
      </c>
      <c r="S15" s="40">
        <v>0</v>
      </c>
      <c r="T15" s="40">
        <v>0</v>
      </c>
      <c r="U15" s="39">
        <v>0</v>
      </c>
      <c r="V15" s="40">
        <v>0</v>
      </c>
      <c r="W15" s="40">
        <v>11711712</v>
      </c>
      <c r="X15" s="39">
        <f t="shared" si="1"/>
        <v>0</v>
      </c>
      <c r="Y15" s="23"/>
      <c r="Z15" s="23">
        <f t="shared" si="2"/>
        <v>-9909910</v>
      </c>
      <c r="AA15" s="54">
        <f t="shared" si="3"/>
        <v>-1801801.8</v>
      </c>
      <c r="AB15" s="39">
        <f t="shared" si="4"/>
        <v>88288288.200000003</v>
      </c>
      <c r="AC15" s="40">
        <v>0</v>
      </c>
      <c r="AD15" s="20"/>
    </row>
    <row r="16" spans="1:38" s="27" customFormat="1">
      <c r="A16" s="19">
        <f t="shared" si="5"/>
        <v>12</v>
      </c>
      <c r="B16" s="3" t="s">
        <v>89</v>
      </c>
      <c r="C16" s="4">
        <v>45692</v>
      </c>
      <c r="D16" s="2">
        <v>2025</v>
      </c>
      <c r="E16" s="20" t="s">
        <v>1</v>
      </c>
      <c r="F16" s="20" t="s">
        <v>1</v>
      </c>
      <c r="G16" s="20" t="s">
        <v>534</v>
      </c>
      <c r="H16" s="55">
        <v>0</v>
      </c>
      <c r="I16" s="55">
        <v>0</v>
      </c>
      <c r="J16" s="55">
        <v>0</v>
      </c>
      <c r="K16" s="40">
        <f t="shared" si="0"/>
        <v>0</v>
      </c>
      <c r="L16" s="34"/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39">
        <v>0</v>
      </c>
      <c r="V16" s="40">
        <v>0</v>
      </c>
      <c r="W16" s="40">
        <v>0</v>
      </c>
      <c r="X16" s="39">
        <f t="shared" si="1"/>
        <v>0</v>
      </c>
      <c r="Y16" s="23"/>
      <c r="Z16" s="23">
        <f t="shared" si="2"/>
        <v>0</v>
      </c>
      <c r="AA16" s="54">
        <f t="shared" si="3"/>
        <v>0</v>
      </c>
      <c r="AB16" s="39">
        <f t="shared" si="4"/>
        <v>0</v>
      </c>
      <c r="AC16" s="40">
        <v>0</v>
      </c>
      <c r="AD16" s="20"/>
    </row>
    <row r="17" spans="1:31" s="27" customFormat="1">
      <c r="A17" s="19">
        <f t="shared" si="5"/>
        <v>13</v>
      </c>
      <c r="B17" s="3" t="s">
        <v>90</v>
      </c>
      <c r="C17" s="4">
        <v>45692</v>
      </c>
      <c r="D17" s="2">
        <v>2025</v>
      </c>
      <c r="E17" s="20" t="s">
        <v>54</v>
      </c>
      <c r="F17" s="20" t="s">
        <v>66</v>
      </c>
      <c r="G17" s="20" t="s">
        <v>175</v>
      </c>
      <c r="H17" s="40">
        <v>225225225</v>
      </c>
      <c r="I17" s="40">
        <v>0</v>
      </c>
      <c r="J17" s="40">
        <v>24774775</v>
      </c>
      <c r="K17" s="40">
        <f t="shared" si="0"/>
        <v>250000000</v>
      </c>
      <c r="L17" s="34">
        <v>45720</v>
      </c>
      <c r="M17" s="40">
        <v>0</v>
      </c>
      <c r="N17" s="39">
        <v>0</v>
      </c>
      <c r="O17" s="39">
        <v>0</v>
      </c>
      <c r="P17" s="39">
        <v>220720721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29279279</v>
      </c>
      <c r="X17" s="39">
        <f t="shared" si="1"/>
        <v>0</v>
      </c>
      <c r="Y17" s="39"/>
      <c r="Z17" s="23">
        <f t="shared" si="2"/>
        <v>-24774775</v>
      </c>
      <c r="AA17" s="54">
        <f t="shared" si="3"/>
        <v>-4504504.5</v>
      </c>
      <c r="AB17" s="39">
        <f t="shared" si="4"/>
        <v>220720720.5</v>
      </c>
      <c r="AC17" s="55">
        <v>0</v>
      </c>
      <c r="AD17" s="3"/>
    </row>
    <row r="18" spans="1:31" s="27" customFormat="1">
      <c r="A18" s="19">
        <f t="shared" si="5"/>
        <v>14</v>
      </c>
      <c r="B18" s="3" t="s">
        <v>91</v>
      </c>
      <c r="C18" s="4">
        <v>45692</v>
      </c>
      <c r="D18" s="2">
        <v>2025</v>
      </c>
      <c r="E18" s="20" t="s">
        <v>52</v>
      </c>
      <c r="F18" s="20" t="s">
        <v>66</v>
      </c>
      <c r="G18" s="20" t="s">
        <v>175</v>
      </c>
      <c r="H18" s="40">
        <v>225225225</v>
      </c>
      <c r="I18" s="40">
        <v>0</v>
      </c>
      <c r="J18" s="40">
        <v>24774775</v>
      </c>
      <c r="K18" s="40">
        <f t="shared" si="0"/>
        <v>250000000</v>
      </c>
      <c r="L18" s="34">
        <v>45721</v>
      </c>
      <c r="M18" s="40">
        <v>0</v>
      </c>
      <c r="N18" s="39">
        <v>0</v>
      </c>
      <c r="O18" s="39">
        <v>220720721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29279279</v>
      </c>
      <c r="X18" s="39">
        <f t="shared" si="1"/>
        <v>0</v>
      </c>
      <c r="Y18" s="39"/>
      <c r="Z18" s="23">
        <f t="shared" si="2"/>
        <v>-24774775</v>
      </c>
      <c r="AA18" s="54">
        <f t="shared" si="3"/>
        <v>-4504504.5</v>
      </c>
      <c r="AB18" s="39">
        <f t="shared" si="4"/>
        <v>220720720.5</v>
      </c>
      <c r="AC18" s="55">
        <v>0</v>
      </c>
      <c r="AD18" s="3"/>
    </row>
    <row r="19" spans="1:31" s="27" customFormat="1">
      <c r="A19" s="19">
        <f t="shared" si="5"/>
        <v>15</v>
      </c>
      <c r="B19" s="3" t="s">
        <v>92</v>
      </c>
      <c r="C19" s="4">
        <v>45692</v>
      </c>
      <c r="D19" s="2">
        <v>2025</v>
      </c>
      <c r="E19" s="20" t="s">
        <v>178</v>
      </c>
      <c r="F19" s="20" t="s">
        <v>66</v>
      </c>
      <c r="G19" s="20" t="s">
        <v>175</v>
      </c>
      <c r="H19" s="40">
        <v>67567568</v>
      </c>
      <c r="I19" s="40">
        <v>0</v>
      </c>
      <c r="J19" s="40">
        <v>7432432</v>
      </c>
      <c r="K19" s="40">
        <f t="shared" si="0"/>
        <v>75000000</v>
      </c>
      <c r="L19" s="34">
        <v>45777</v>
      </c>
      <c r="M19" s="40">
        <v>0</v>
      </c>
      <c r="N19" s="39">
        <v>0</v>
      </c>
      <c r="O19" s="39">
        <v>0</v>
      </c>
      <c r="P19" s="39">
        <v>66216217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8783783</v>
      </c>
      <c r="X19" s="39">
        <f t="shared" si="1"/>
        <v>0</v>
      </c>
      <c r="Y19" s="39"/>
      <c r="Z19" s="23">
        <f t="shared" si="2"/>
        <v>-7432432</v>
      </c>
      <c r="AA19" s="54">
        <f t="shared" si="3"/>
        <v>-1351351.36</v>
      </c>
      <c r="AB19" s="39">
        <f t="shared" si="4"/>
        <v>66216216.640000001</v>
      </c>
      <c r="AC19" s="55">
        <v>0</v>
      </c>
      <c r="AD19" s="3"/>
      <c r="AE19" s="27" t="s">
        <v>1</v>
      </c>
    </row>
    <row r="20" spans="1:31" s="21" customFormat="1">
      <c r="A20" s="19">
        <f t="shared" si="5"/>
        <v>16</v>
      </c>
      <c r="B20" s="3" t="s">
        <v>93</v>
      </c>
      <c r="C20" s="4">
        <v>45699</v>
      </c>
      <c r="D20" s="2">
        <v>2025</v>
      </c>
      <c r="E20" s="20" t="s">
        <v>34</v>
      </c>
      <c r="F20" s="20" t="s">
        <v>66</v>
      </c>
      <c r="G20" s="20" t="s">
        <v>175</v>
      </c>
      <c r="H20" s="40">
        <v>625000000</v>
      </c>
      <c r="I20" s="40">
        <v>0</v>
      </c>
      <c r="J20" s="40">
        <v>68750000</v>
      </c>
      <c r="K20" s="40">
        <f t="shared" si="0"/>
        <v>693750000</v>
      </c>
      <c r="L20" s="34">
        <v>45791</v>
      </c>
      <c r="M20" s="40">
        <v>0</v>
      </c>
      <c r="N20" s="39">
        <v>0</v>
      </c>
      <c r="O20" s="39">
        <v>0</v>
      </c>
      <c r="P20" s="40">
        <v>612500000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81250000</v>
      </c>
      <c r="X20" s="39">
        <f t="shared" si="1"/>
        <v>0</v>
      </c>
      <c r="Y20" s="39"/>
      <c r="Z20" s="23">
        <f t="shared" si="2"/>
        <v>-68750000</v>
      </c>
      <c r="AA20" s="54">
        <f t="shared" si="3"/>
        <v>-12500000</v>
      </c>
      <c r="AB20" s="39">
        <f t="shared" si="4"/>
        <v>612500000</v>
      </c>
      <c r="AC20" s="55">
        <v>0</v>
      </c>
      <c r="AD20" s="3"/>
    </row>
    <row r="21" spans="1:31" s="21" customFormat="1">
      <c r="A21" s="19">
        <f t="shared" si="5"/>
        <v>17</v>
      </c>
      <c r="B21" s="3" t="s">
        <v>94</v>
      </c>
      <c r="C21" s="4">
        <v>45692</v>
      </c>
      <c r="D21" s="2">
        <v>2025</v>
      </c>
      <c r="E21" s="20" t="s">
        <v>32</v>
      </c>
      <c r="F21" s="20" t="s">
        <v>66</v>
      </c>
      <c r="G21" s="20" t="s">
        <v>175</v>
      </c>
      <c r="H21" s="40">
        <v>225225225</v>
      </c>
      <c r="I21" s="40">
        <v>0</v>
      </c>
      <c r="J21" s="40">
        <v>24774775</v>
      </c>
      <c r="K21" s="40">
        <f t="shared" si="0"/>
        <v>250000000</v>
      </c>
      <c r="L21" s="34">
        <v>45705</v>
      </c>
      <c r="M21" s="40">
        <v>0</v>
      </c>
      <c r="N21" s="39">
        <v>0</v>
      </c>
      <c r="O21" s="39">
        <v>0</v>
      </c>
      <c r="P21" s="39">
        <v>220720720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29279280</v>
      </c>
      <c r="X21" s="39">
        <f t="shared" si="1"/>
        <v>0</v>
      </c>
      <c r="Y21" s="39"/>
      <c r="Z21" s="23">
        <f t="shared" si="2"/>
        <v>-24774775</v>
      </c>
      <c r="AA21" s="54">
        <f t="shared" si="3"/>
        <v>-4504504.5</v>
      </c>
      <c r="AB21" s="39">
        <f t="shared" si="4"/>
        <v>220720720.5</v>
      </c>
      <c r="AC21" s="55">
        <v>0</v>
      </c>
      <c r="AD21" s="3"/>
    </row>
    <row r="22" spans="1:31" s="21" customFormat="1">
      <c r="A22" s="19">
        <f t="shared" si="5"/>
        <v>18</v>
      </c>
      <c r="B22" s="3" t="s">
        <v>95</v>
      </c>
      <c r="C22" s="4">
        <v>45692</v>
      </c>
      <c r="D22" s="2">
        <v>2025</v>
      </c>
      <c r="E22" s="20" t="s">
        <v>27</v>
      </c>
      <c r="F22" s="20" t="s">
        <v>66</v>
      </c>
      <c r="G22" s="20" t="s">
        <v>175</v>
      </c>
      <c r="H22" s="40">
        <v>90090090</v>
      </c>
      <c r="I22" s="40">
        <v>0</v>
      </c>
      <c r="J22" s="40">
        <v>9909910</v>
      </c>
      <c r="K22" s="40">
        <f t="shared" si="0"/>
        <v>100000000</v>
      </c>
      <c r="L22" s="34">
        <v>45720</v>
      </c>
      <c r="M22" s="40">
        <v>0</v>
      </c>
      <c r="N22" s="39">
        <v>0</v>
      </c>
      <c r="O22" s="39">
        <v>0</v>
      </c>
      <c r="P22" s="39">
        <v>88288288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11711712</v>
      </c>
      <c r="X22" s="39">
        <f t="shared" si="1"/>
        <v>0</v>
      </c>
      <c r="Y22" s="39"/>
      <c r="Z22" s="23">
        <f t="shared" si="2"/>
        <v>-9909910</v>
      </c>
      <c r="AA22" s="54">
        <f t="shared" si="3"/>
        <v>-1801801.8</v>
      </c>
      <c r="AB22" s="39">
        <f t="shared" si="4"/>
        <v>88288288.200000003</v>
      </c>
      <c r="AC22" s="55">
        <v>0</v>
      </c>
      <c r="AD22" s="3"/>
    </row>
    <row r="23" spans="1:31" s="21" customFormat="1">
      <c r="A23" s="19">
        <f t="shared" si="5"/>
        <v>19</v>
      </c>
      <c r="B23" s="3" t="s">
        <v>96</v>
      </c>
      <c r="C23" s="4">
        <v>45692</v>
      </c>
      <c r="D23" s="2">
        <v>2025</v>
      </c>
      <c r="E23" s="20" t="s">
        <v>41</v>
      </c>
      <c r="F23" s="20" t="s">
        <v>66</v>
      </c>
      <c r="G23" s="20" t="s">
        <v>175</v>
      </c>
      <c r="H23" s="40">
        <v>90090090</v>
      </c>
      <c r="I23" s="40">
        <v>0</v>
      </c>
      <c r="J23" s="40">
        <v>9909910</v>
      </c>
      <c r="K23" s="40">
        <f t="shared" si="0"/>
        <v>100000000</v>
      </c>
      <c r="L23" s="34">
        <v>45911</v>
      </c>
      <c r="M23" s="40">
        <v>0</v>
      </c>
      <c r="N23" s="39">
        <v>0</v>
      </c>
      <c r="O23" s="39">
        <v>0</v>
      </c>
      <c r="P23" s="39">
        <v>88288289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11711711</v>
      </c>
      <c r="X23" s="39">
        <f t="shared" si="1"/>
        <v>0</v>
      </c>
      <c r="Y23" s="39"/>
      <c r="Z23" s="8">
        <f t="shared" si="2"/>
        <v>-9909910</v>
      </c>
      <c r="AA23" s="54">
        <f t="shared" si="3"/>
        <v>-1801801.8</v>
      </c>
      <c r="AB23" s="39">
        <f t="shared" si="4"/>
        <v>88288288.200000003</v>
      </c>
      <c r="AC23" s="55">
        <v>0</v>
      </c>
      <c r="AD23" s="3"/>
    </row>
    <row r="24" spans="1:31" s="21" customFormat="1">
      <c r="A24" s="19">
        <f t="shared" si="5"/>
        <v>20</v>
      </c>
      <c r="B24" s="3" t="s">
        <v>97</v>
      </c>
      <c r="C24" s="4">
        <v>45699</v>
      </c>
      <c r="D24" s="2">
        <v>2025</v>
      </c>
      <c r="E24" s="20" t="s">
        <v>179</v>
      </c>
      <c r="F24" s="20" t="s">
        <v>66</v>
      </c>
      <c r="G24" s="20" t="s">
        <v>175</v>
      </c>
      <c r="H24" s="40">
        <v>30000000</v>
      </c>
      <c r="I24" s="40">
        <v>0</v>
      </c>
      <c r="J24" s="40">
        <v>3300000</v>
      </c>
      <c r="K24" s="40">
        <f t="shared" si="0"/>
        <v>33300000</v>
      </c>
      <c r="L24" s="34">
        <v>45786</v>
      </c>
      <c r="M24" s="40">
        <v>0</v>
      </c>
      <c r="N24" s="39">
        <v>0</v>
      </c>
      <c r="O24" s="39">
        <v>0</v>
      </c>
      <c r="P24" s="39">
        <v>29400000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3900000</v>
      </c>
      <c r="X24" s="39">
        <f t="shared" si="1"/>
        <v>0</v>
      </c>
      <c r="Y24" s="39"/>
      <c r="Z24" s="23">
        <f t="shared" si="2"/>
        <v>-3300000</v>
      </c>
      <c r="AA24" s="54">
        <f t="shared" si="3"/>
        <v>-600000</v>
      </c>
      <c r="AB24" s="39">
        <f t="shared" si="4"/>
        <v>29400000</v>
      </c>
      <c r="AC24" s="55">
        <v>0</v>
      </c>
      <c r="AD24" s="3"/>
    </row>
    <row r="25" spans="1:31" s="21" customFormat="1">
      <c r="A25" s="19">
        <f t="shared" si="5"/>
        <v>21</v>
      </c>
      <c r="B25" s="3" t="s">
        <v>98</v>
      </c>
      <c r="C25" s="4">
        <v>45699</v>
      </c>
      <c r="D25" s="2">
        <v>2025</v>
      </c>
      <c r="E25" s="20" t="s">
        <v>35</v>
      </c>
      <c r="F25" s="20" t="s">
        <v>66</v>
      </c>
      <c r="G25" s="20" t="s">
        <v>175</v>
      </c>
      <c r="H25" s="40">
        <v>225225225</v>
      </c>
      <c r="I25" s="40">
        <v>0</v>
      </c>
      <c r="J25" s="40">
        <v>24774775</v>
      </c>
      <c r="K25" s="40">
        <f t="shared" si="0"/>
        <v>250000000</v>
      </c>
      <c r="L25" s="34">
        <v>45719</v>
      </c>
      <c r="M25" s="40">
        <v>0</v>
      </c>
      <c r="N25" s="39">
        <v>0</v>
      </c>
      <c r="O25" s="39">
        <v>0</v>
      </c>
      <c r="P25" s="39">
        <v>220720721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29279279</v>
      </c>
      <c r="X25" s="39">
        <f t="shared" si="1"/>
        <v>0</v>
      </c>
      <c r="Y25" s="39"/>
      <c r="Z25" s="23">
        <f t="shared" si="2"/>
        <v>-24774775</v>
      </c>
      <c r="AA25" s="54">
        <f t="shared" si="3"/>
        <v>-4504504.5</v>
      </c>
      <c r="AB25" s="39">
        <f t="shared" si="4"/>
        <v>220720720.5</v>
      </c>
      <c r="AC25" s="55">
        <v>0</v>
      </c>
      <c r="AD25" s="3"/>
    </row>
    <row r="26" spans="1:31" s="21" customFormat="1">
      <c r="A26" s="19">
        <f t="shared" si="5"/>
        <v>22</v>
      </c>
      <c r="B26" s="3" t="s">
        <v>99</v>
      </c>
      <c r="C26" s="4">
        <v>45699</v>
      </c>
      <c r="D26" s="2">
        <v>2025</v>
      </c>
      <c r="E26" s="20" t="s">
        <v>180</v>
      </c>
      <c r="F26" s="20" t="s">
        <v>66</v>
      </c>
      <c r="G26" s="20" t="s">
        <v>175</v>
      </c>
      <c r="H26" s="55">
        <v>45045045</v>
      </c>
      <c r="I26" s="55">
        <v>0</v>
      </c>
      <c r="J26" s="55">
        <v>4954955</v>
      </c>
      <c r="K26" s="40">
        <f t="shared" si="0"/>
        <v>50000000</v>
      </c>
      <c r="L26" s="34">
        <v>45940</v>
      </c>
      <c r="M26" s="40">
        <v>0</v>
      </c>
      <c r="N26" s="39">
        <v>0</v>
      </c>
      <c r="O26" s="39">
        <v>0</v>
      </c>
      <c r="P26" s="39">
        <v>49000000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1000000</v>
      </c>
      <c r="X26" s="39">
        <f t="shared" si="1"/>
        <v>0</v>
      </c>
      <c r="Y26" s="39"/>
      <c r="Z26" s="8">
        <f t="shared" si="2"/>
        <v>-4954955</v>
      </c>
      <c r="AA26" s="54">
        <f t="shared" si="3"/>
        <v>-900900.9</v>
      </c>
      <c r="AB26" s="39">
        <f t="shared" si="4"/>
        <v>44144144.100000001</v>
      </c>
      <c r="AC26" s="55">
        <v>0</v>
      </c>
      <c r="AD26" s="3"/>
    </row>
    <row r="27" spans="1:31" s="21" customFormat="1">
      <c r="A27" s="19">
        <f t="shared" si="5"/>
        <v>23</v>
      </c>
      <c r="B27" s="3" t="s">
        <v>100</v>
      </c>
      <c r="C27" s="4">
        <v>45692</v>
      </c>
      <c r="D27" s="2">
        <v>2025</v>
      </c>
      <c r="E27" s="21" t="s">
        <v>181</v>
      </c>
      <c r="F27" s="20" t="s">
        <v>66</v>
      </c>
      <c r="G27" s="20" t="s">
        <v>175</v>
      </c>
      <c r="H27" s="40">
        <v>45045045</v>
      </c>
      <c r="I27" s="40">
        <v>0</v>
      </c>
      <c r="J27" s="40">
        <v>4954955</v>
      </c>
      <c r="K27" s="40">
        <f t="shared" si="0"/>
        <v>50000000</v>
      </c>
      <c r="L27" s="34">
        <v>45716</v>
      </c>
      <c r="M27" s="40">
        <v>0</v>
      </c>
      <c r="N27" s="39">
        <v>0</v>
      </c>
      <c r="O27" s="39">
        <v>0</v>
      </c>
      <c r="P27" s="39">
        <v>44144145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5855855</v>
      </c>
      <c r="X27" s="39">
        <f t="shared" si="1"/>
        <v>0</v>
      </c>
      <c r="Y27" s="39"/>
      <c r="Z27" s="23">
        <f t="shared" si="2"/>
        <v>-4954955</v>
      </c>
      <c r="AA27" s="54">
        <f t="shared" si="3"/>
        <v>-900900.9</v>
      </c>
      <c r="AB27" s="39">
        <f t="shared" si="4"/>
        <v>44144144.100000001</v>
      </c>
      <c r="AC27" s="55">
        <v>0</v>
      </c>
      <c r="AD27" s="3"/>
    </row>
    <row r="28" spans="1:31" s="21" customFormat="1">
      <c r="A28" s="19">
        <f t="shared" si="5"/>
        <v>24</v>
      </c>
      <c r="B28" s="3" t="s">
        <v>101</v>
      </c>
      <c r="C28" s="4">
        <v>45699</v>
      </c>
      <c r="D28" s="2">
        <v>2025</v>
      </c>
      <c r="E28" s="21" t="s">
        <v>182</v>
      </c>
      <c r="F28" s="20" t="s">
        <v>66</v>
      </c>
      <c r="G28" s="20" t="s">
        <v>175</v>
      </c>
      <c r="H28" s="40">
        <v>50000000</v>
      </c>
      <c r="I28" s="40">
        <v>0</v>
      </c>
      <c r="J28" s="40">
        <f>H28*11%</f>
        <v>5500000</v>
      </c>
      <c r="K28" s="40">
        <f t="shared" si="0"/>
        <v>55500000</v>
      </c>
      <c r="L28" s="34">
        <v>45707</v>
      </c>
      <c r="M28" s="40">
        <v>0</v>
      </c>
      <c r="N28" s="39">
        <v>0</v>
      </c>
      <c r="O28" s="39">
        <v>0</v>
      </c>
      <c r="P28" s="39">
        <v>49000000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6500000</v>
      </c>
      <c r="X28" s="39">
        <f t="shared" si="1"/>
        <v>0</v>
      </c>
      <c r="Y28" s="39"/>
      <c r="Z28" s="23">
        <f t="shared" si="2"/>
        <v>-5500000</v>
      </c>
      <c r="AA28" s="54">
        <f t="shared" si="3"/>
        <v>-1000000</v>
      </c>
      <c r="AB28" s="39">
        <f t="shared" si="4"/>
        <v>49000000</v>
      </c>
      <c r="AC28" s="55">
        <v>0</v>
      </c>
      <c r="AD28" s="3"/>
    </row>
    <row r="29" spans="1:31" s="21" customFormat="1">
      <c r="A29" s="19">
        <f t="shared" si="5"/>
        <v>25</v>
      </c>
      <c r="B29" s="3" t="s">
        <v>102</v>
      </c>
      <c r="C29" s="4">
        <v>45692</v>
      </c>
      <c r="D29" s="2">
        <v>2025</v>
      </c>
      <c r="E29" s="21" t="s">
        <v>183</v>
      </c>
      <c r="F29" s="20" t="s">
        <v>66</v>
      </c>
      <c r="G29" s="20" t="s">
        <v>175</v>
      </c>
      <c r="H29" s="40">
        <v>45045045</v>
      </c>
      <c r="I29" s="40">
        <v>0</v>
      </c>
      <c r="J29" s="40">
        <v>4954955</v>
      </c>
      <c r="K29" s="40">
        <f t="shared" si="0"/>
        <v>50000000</v>
      </c>
      <c r="L29" s="34">
        <v>45702</v>
      </c>
      <c r="M29" s="40">
        <v>0</v>
      </c>
      <c r="N29" s="39">
        <v>0</v>
      </c>
      <c r="O29" s="39">
        <v>0</v>
      </c>
      <c r="P29" s="39">
        <v>44144144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5855856</v>
      </c>
      <c r="X29" s="39">
        <f t="shared" si="1"/>
        <v>0</v>
      </c>
      <c r="Y29" s="39"/>
      <c r="Z29" s="23">
        <f t="shared" si="2"/>
        <v>-4954955</v>
      </c>
      <c r="AA29" s="54">
        <f t="shared" si="3"/>
        <v>-900900.9</v>
      </c>
      <c r="AB29" s="39">
        <f t="shared" si="4"/>
        <v>44144144.100000001</v>
      </c>
      <c r="AC29" s="55">
        <v>0</v>
      </c>
      <c r="AD29" s="3"/>
    </row>
    <row r="30" spans="1:31" s="21" customFormat="1">
      <c r="A30" s="19">
        <f t="shared" si="5"/>
        <v>26</v>
      </c>
      <c r="B30" s="3" t="s">
        <v>103</v>
      </c>
      <c r="C30" s="4">
        <v>45699</v>
      </c>
      <c r="D30" s="2">
        <v>2025</v>
      </c>
      <c r="E30" s="21" t="s">
        <v>184</v>
      </c>
      <c r="F30" s="20" t="s">
        <v>66</v>
      </c>
      <c r="G30" s="20" t="s">
        <v>175</v>
      </c>
      <c r="H30" s="40">
        <v>45045045</v>
      </c>
      <c r="I30" s="40">
        <v>0</v>
      </c>
      <c r="J30" s="40">
        <v>4954955</v>
      </c>
      <c r="K30" s="40">
        <f t="shared" si="0"/>
        <v>50000000</v>
      </c>
      <c r="L30" s="34">
        <v>45715</v>
      </c>
      <c r="M30" s="40">
        <v>0</v>
      </c>
      <c r="N30" s="39">
        <v>0</v>
      </c>
      <c r="O30" s="39">
        <v>0</v>
      </c>
      <c r="P30" s="39">
        <v>44144144.100000001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5855855.8999999985</v>
      </c>
      <c r="X30" s="39">
        <f t="shared" si="1"/>
        <v>0</v>
      </c>
      <c r="Y30" s="39"/>
      <c r="Z30" s="23">
        <f t="shared" si="2"/>
        <v>-4954955</v>
      </c>
      <c r="AA30" s="54">
        <f>-(H30+I30)*2%+0.9</f>
        <v>-900900</v>
      </c>
      <c r="AB30" s="39">
        <f t="shared" si="4"/>
        <v>44144145</v>
      </c>
      <c r="AC30" s="55">
        <v>0</v>
      </c>
      <c r="AD30" s="3"/>
    </row>
    <row r="31" spans="1:31" s="21" customFormat="1">
      <c r="A31" s="19">
        <f t="shared" si="5"/>
        <v>27</v>
      </c>
      <c r="B31" s="3" t="s">
        <v>104</v>
      </c>
      <c r="C31" s="4">
        <v>45692</v>
      </c>
      <c r="D31" s="2">
        <v>2025</v>
      </c>
      <c r="E31" s="20" t="s">
        <v>185</v>
      </c>
      <c r="F31" s="20" t="s">
        <v>66</v>
      </c>
      <c r="G31" s="20" t="s">
        <v>175</v>
      </c>
      <c r="H31" s="40">
        <v>45045045</v>
      </c>
      <c r="I31" s="40">
        <v>0</v>
      </c>
      <c r="J31" s="40">
        <v>4954955</v>
      </c>
      <c r="K31" s="40">
        <f t="shared" si="0"/>
        <v>50000000</v>
      </c>
      <c r="L31" s="34">
        <v>45722</v>
      </c>
      <c r="M31" s="40">
        <v>0</v>
      </c>
      <c r="N31" s="39">
        <v>0</v>
      </c>
      <c r="O31" s="39">
        <v>0</v>
      </c>
      <c r="P31" s="39">
        <v>44144144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5855856</v>
      </c>
      <c r="X31" s="39">
        <f t="shared" si="1"/>
        <v>0</v>
      </c>
      <c r="Y31" s="39"/>
      <c r="Z31" s="23">
        <f t="shared" si="2"/>
        <v>-4954955</v>
      </c>
      <c r="AA31" s="54">
        <f t="shared" ref="AA31:AA41" si="6">-(H31+I31)*2%</f>
        <v>-900900.9</v>
      </c>
      <c r="AB31" s="39">
        <f t="shared" si="4"/>
        <v>44144144.100000001</v>
      </c>
      <c r="AC31" s="55">
        <v>0</v>
      </c>
      <c r="AD31" s="3"/>
    </row>
    <row r="32" spans="1:31" s="21" customFormat="1">
      <c r="A32" s="19">
        <f t="shared" si="5"/>
        <v>28</v>
      </c>
      <c r="B32" s="3" t="s">
        <v>251</v>
      </c>
      <c r="C32" s="4">
        <v>45811</v>
      </c>
      <c r="D32" s="2">
        <v>2025</v>
      </c>
      <c r="E32" s="20" t="s">
        <v>31</v>
      </c>
      <c r="F32" s="20" t="s">
        <v>66</v>
      </c>
      <c r="G32" s="20" t="s">
        <v>175</v>
      </c>
      <c r="H32" s="40">
        <v>31531531</v>
      </c>
      <c r="I32" s="40">
        <v>0</v>
      </c>
      <c r="J32" s="40">
        <v>3468469</v>
      </c>
      <c r="K32" s="40">
        <f t="shared" si="0"/>
        <v>35000000</v>
      </c>
      <c r="L32" s="34">
        <v>45824</v>
      </c>
      <c r="M32" s="40">
        <v>0</v>
      </c>
      <c r="N32" s="39">
        <v>0</v>
      </c>
      <c r="O32" s="39">
        <v>0</v>
      </c>
      <c r="P32" s="39">
        <v>30900900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4099100</v>
      </c>
      <c r="X32" s="39">
        <f t="shared" si="1"/>
        <v>0</v>
      </c>
      <c r="Y32" s="39"/>
      <c r="Z32" s="23">
        <f t="shared" si="2"/>
        <v>-3468469</v>
      </c>
      <c r="AA32" s="54">
        <f t="shared" si="6"/>
        <v>-630630.62</v>
      </c>
      <c r="AB32" s="39">
        <f t="shared" si="4"/>
        <v>30900900.379999999</v>
      </c>
      <c r="AC32" s="55">
        <v>0</v>
      </c>
      <c r="AD32" s="3"/>
    </row>
    <row r="33" spans="1:30" s="21" customFormat="1">
      <c r="A33" s="19">
        <f t="shared" si="5"/>
        <v>29</v>
      </c>
      <c r="B33" s="3" t="s">
        <v>105</v>
      </c>
      <c r="C33" s="4">
        <v>45692</v>
      </c>
      <c r="D33" s="2">
        <v>2025</v>
      </c>
      <c r="E33" s="20" t="s">
        <v>29</v>
      </c>
      <c r="F33" s="20" t="s">
        <v>66</v>
      </c>
      <c r="G33" s="20" t="s">
        <v>175</v>
      </c>
      <c r="H33" s="40">
        <v>90090090</v>
      </c>
      <c r="I33" s="40">
        <v>0</v>
      </c>
      <c r="J33" s="40">
        <v>9909910</v>
      </c>
      <c r="K33" s="40">
        <f t="shared" si="0"/>
        <v>100000000</v>
      </c>
      <c r="L33" s="34">
        <v>45709</v>
      </c>
      <c r="M33" s="40">
        <v>0</v>
      </c>
      <c r="N33" s="39">
        <v>0</v>
      </c>
      <c r="O33" s="39">
        <v>0</v>
      </c>
      <c r="P33" s="39">
        <v>88288288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11711712</v>
      </c>
      <c r="X33" s="39">
        <f t="shared" si="1"/>
        <v>0</v>
      </c>
      <c r="Y33" s="39"/>
      <c r="Z33" s="23">
        <f t="shared" si="2"/>
        <v>-9909910</v>
      </c>
      <c r="AA33" s="54">
        <f t="shared" si="6"/>
        <v>-1801801.8</v>
      </c>
      <c r="AB33" s="39">
        <f t="shared" si="4"/>
        <v>88288288.200000003</v>
      </c>
      <c r="AC33" s="55">
        <v>0</v>
      </c>
      <c r="AD33" s="3"/>
    </row>
    <row r="34" spans="1:30" s="21" customFormat="1">
      <c r="A34" s="19">
        <f t="shared" si="5"/>
        <v>30</v>
      </c>
      <c r="B34" s="3" t="s">
        <v>106</v>
      </c>
      <c r="C34" s="4">
        <v>45692</v>
      </c>
      <c r="D34" s="2">
        <v>2025</v>
      </c>
      <c r="E34" s="20" t="s">
        <v>55</v>
      </c>
      <c r="F34" s="20" t="s">
        <v>66</v>
      </c>
      <c r="G34" s="20" t="s">
        <v>175</v>
      </c>
      <c r="H34" s="40">
        <v>22522523</v>
      </c>
      <c r="I34" s="40">
        <v>0</v>
      </c>
      <c r="J34" s="40">
        <v>2477478</v>
      </c>
      <c r="K34" s="40">
        <f t="shared" si="0"/>
        <v>25000001</v>
      </c>
      <c r="L34" s="34">
        <v>45785</v>
      </c>
      <c r="M34" s="40">
        <v>0</v>
      </c>
      <c r="N34" s="39">
        <v>0</v>
      </c>
      <c r="O34" s="39">
        <v>0</v>
      </c>
      <c r="P34" s="39">
        <v>22072073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2927928</v>
      </c>
      <c r="X34" s="39">
        <f t="shared" si="1"/>
        <v>0</v>
      </c>
      <c r="Y34" s="39"/>
      <c r="Z34" s="23">
        <f t="shared" si="2"/>
        <v>-2477478</v>
      </c>
      <c r="AA34" s="54">
        <f t="shared" si="6"/>
        <v>-450450.46</v>
      </c>
      <c r="AB34" s="39">
        <f t="shared" si="4"/>
        <v>22072072.539999999</v>
      </c>
      <c r="AC34" s="55">
        <v>0</v>
      </c>
      <c r="AD34" s="3"/>
    </row>
    <row r="35" spans="1:30" s="21" customFormat="1">
      <c r="A35" s="19">
        <f t="shared" si="5"/>
        <v>31</v>
      </c>
      <c r="B35" s="3" t="s">
        <v>107</v>
      </c>
      <c r="C35" s="4">
        <v>45692</v>
      </c>
      <c r="D35" s="2">
        <v>2025</v>
      </c>
      <c r="E35" s="20" t="s">
        <v>33</v>
      </c>
      <c r="F35" s="20" t="s">
        <v>66</v>
      </c>
      <c r="G35" s="20" t="s">
        <v>175</v>
      </c>
      <c r="H35" s="40">
        <v>225225225</v>
      </c>
      <c r="I35" s="40">
        <v>0</v>
      </c>
      <c r="J35" s="40">
        <v>24774775</v>
      </c>
      <c r="K35" s="40">
        <f t="shared" si="0"/>
        <v>250000000</v>
      </c>
      <c r="L35" s="34">
        <v>45734</v>
      </c>
      <c r="M35" s="40">
        <v>0</v>
      </c>
      <c r="N35" s="39">
        <v>0</v>
      </c>
      <c r="O35" s="39">
        <v>0</v>
      </c>
      <c r="P35" s="39">
        <v>220720721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29279279</v>
      </c>
      <c r="X35" s="39">
        <f t="shared" si="1"/>
        <v>0</v>
      </c>
      <c r="Y35" s="39"/>
      <c r="Z35" s="23">
        <f t="shared" si="2"/>
        <v>-24774775</v>
      </c>
      <c r="AA35" s="54">
        <f t="shared" si="6"/>
        <v>-4504504.5</v>
      </c>
      <c r="AB35" s="39">
        <f t="shared" si="4"/>
        <v>220720720.5</v>
      </c>
      <c r="AC35" s="55">
        <v>0</v>
      </c>
      <c r="AD35" s="3"/>
    </row>
    <row r="36" spans="1:30" s="21" customFormat="1">
      <c r="A36" s="19">
        <f t="shared" si="5"/>
        <v>32</v>
      </c>
      <c r="B36" s="3" t="s">
        <v>108</v>
      </c>
      <c r="C36" s="4">
        <v>45692</v>
      </c>
      <c r="D36" s="2">
        <v>2025</v>
      </c>
      <c r="E36" s="20" t="s">
        <v>40</v>
      </c>
      <c r="F36" s="20" t="s">
        <v>66</v>
      </c>
      <c r="G36" s="20" t="s">
        <v>175</v>
      </c>
      <c r="H36" s="40">
        <v>15000000</v>
      </c>
      <c r="I36" s="40">
        <v>0</v>
      </c>
      <c r="J36" s="40">
        <v>1650000</v>
      </c>
      <c r="K36" s="40">
        <f t="shared" si="0"/>
        <v>16650000</v>
      </c>
      <c r="L36" s="34">
        <v>45715</v>
      </c>
      <c r="M36" s="40">
        <v>0</v>
      </c>
      <c r="N36" s="39">
        <v>0</v>
      </c>
      <c r="O36" s="39">
        <v>0</v>
      </c>
      <c r="P36" s="39">
        <v>14697100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1952900</v>
      </c>
      <c r="X36" s="39">
        <f t="shared" si="1"/>
        <v>0</v>
      </c>
      <c r="Y36" s="39"/>
      <c r="Z36" s="23">
        <f t="shared" si="2"/>
        <v>-1650000</v>
      </c>
      <c r="AA36" s="54">
        <f t="shared" si="6"/>
        <v>-300000</v>
      </c>
      <c r="AB36" s="39">
        <f t="shared" si="4"/>
        <v>14700000</v>
      </c>
      <c r="AC36" s="55">
        <v>0</v>
      </c>
      <c r="AD36" s="3"/>
    </row>
    <row r="37" spans="1:30" s="21" customFormat="1">
      <c r="A37" s="19">
        <f t="shared" si="5"/>
        <v>33</v>
      </c>
      <c r="B37" s="3" t="s">
        <v>114</v>
      </c>
      <c r="C37" s="4">
        <v>45692</v>
      </c>
      <c r="D37" s="2">
        <v>2025</v>
      </c>
      <c r="E37" s="20" t="s">
        <v>186</v>
      </c>
      <c r="F37" s="20" t="s">
        <v>66</v>
      </c>
      <c r="G37" s="20" t="s">
        <v>175</v>
      </c>
      <c r="H37" s="55">
        <v>50000000</v>
      </c>
      <c r="I37" s="55">
        <v>0</v>
      </c>
      <c r="J37" s="55">
        <v>5500000</v>
      </c>
      <c r="K37" s="40">
        <f t="shared" si="0"/>
        <v>55500000</v>
      </c>
      <c r="L37" s="34">
        <v>45727</v>
      </c>
      <c r="M37" s="40">
        <v>0</v>
      </c>
      <c r="N37" s="40">
        <v>0</v>
      </c>
      <c r="O37" s="40">
        <v>0</v>
      </c>
      <c r="P37" s="40">
        <v>48999999</v>
      </c>
      <c r="Q37" s="40">
        <v>0</v>
      </c>
      <c r="R37" s="40">
        <v>0</v>
      </c>
      <c r="S37" s="40">
        <v>0</v>
      </c>
      <c r="T37" s="40">
        <v>0</v>
      </c>
      <c r="U37" s="39">
        <v>0</v>
      </c>
      <c r="V37" s="40">
        <v>0</v>
      </c>
      <c r="W37" s="40">
        <v>6500001</v>
      </c>
      <c r="X37" s="39">
        <f t="shared" si="1"/>
        <v>0</v>
      </c>
      <c r="Y37" s="23"/>
      <c r="Z37" s="23">
        <f t="shared" si="2"/>
        <v>-5500000</v>
      </c>
      <c r="AA37" s="54">
        <f t="shared" si="6"/>
        <v>-1000000</v>
      </c>
      <c r="AB37" s="39">
        <f t="shared" si="4"/>
        <v>49000000</v>
      </c>
      <c r="AC37" s="40">
        <v>0</v>
      </c>
      <c r="AD37" s="20"/>
    </row>
    <row r="38" spans="1:30" s="21" customFormat="1">
      <c r="A38" s="19">
        <f t="shared" si="5"/>
        <v>34</v>
      </c>
      <c r="B38" s="3" t="s">
        <v>115</v>
      </c>
      <c r="C38" s="4">
        <v>45699</v>
      </c>
      <c r="D38" s="2">
        <v>2025</v>
      </c>
      <c r="E38" s="20" t="s">
        <v>49</v>
      </c>
      <c r="F38" s="20" t="s">
        <v>66</v>
      </c>
      <c r="G38" s="20" t="s">
        <v>175</v>
      </c>
      <c r="H38" s="55">
        <v>250000000</v>
      </c>
      <c r="I38" s="55">
        <v>0</v>
      </c>
      <c r="J38" s="55">
        <v>27500000</v>
      </c>
      <c r="K38" s="40">
        <f t="shared" si="0"/>
        <v>277500000</v>
      </c>
      <c r="L38" s="34">
        <v>45733</v>
      </c>
      <c r="M38" s="40">
        <v>0</v>
      </c>
      <c r="N38" s="40">
        <v>0</v>
      </c>
      <c r="O38" s="40">
        <v>0</v>
      </c>
      <c r="P38" s="40">
        <v>245000000</v>
      </c>
      <c r="Q38" s="40">
        <v>0</v>
      </c>
      <c r="R38" s="40">
        <v>0</v>
      </c>
      <c r="S38" s="40">
        <v>0</v>
      </c>
      <c r="T38" s="40">
        <v>0</v>
      </c>
      <c r="U38" s="39">
        <v>0</v>
      </c>
      <c r="V38" s="40">
        <v>0</v>
      </c>
      <c r="W38" s="40">
        <v>32500000</v>
      </c>
      <c r="X38" s="39">
        <f t="shared" si="1"/>
        <v>0</v>
      </c>
      <c r="Y38" s="23"/>
      <c r="Z38" s="23">
        <f t="shared" si="2"/>
        <v>-27500000</v>
      </c>
      <c r="AA38" s="54">
        <f t="shared" si="6"/>
        <v>-5000000</v>
      </c>
      <c r="AB38" s="39">
        <f t="shared" si="4"/>
        <v>245000000</v>
      </c>
      <c r="AC38" s="40">
        <v>0</v>
      </c>
      <c r="AD38" s="20"/>
    </row>
    <row r="39" spans="1:30" s="21" customFormat="1">
      <c r="A39" s="19">
        <f t="shared" si="5"/>
        <v>35</v>
      </c>
      <c r="B39" s="3" t="s">
        <v>116</v>
      </c>
      <c r="C39" s="4">
        <v>45699</v>
      </c>
      <c r="D39" s="2">
        <v>2025</v>
      </c>
      <c r="E39" s="13" t="s">
        <v>36</v>
      </c>
      <c r="F39" s="20" t="s">
        <v>66</v>
      </c>
      <c r="G39" s="20" t="s">
        <v>175</v>
      </c>
      <c r="H39" s="55">
        <v>75000000</v>
      </c>
      <c r="I39" s="55">
        <v>0</v>
      </c>
      <c r="J39" s="55">
        <v>8250000</v>
      </c>
      <c r="K39" s="40">
        <f t="shared" si="0"/>
        <v>83250000</v>
      </c>
      <c r="L39" s="34">
        <v>45713</v>
      </c>
      <c r="M39" s="40">
        <v>0</v>
      </c>
      <c r="N39" s="39">
        <v>0</v>
      </c>
      <c r="O39" s="39">
        <v>0</v>
      </c>
      <c r="P39" s="39">
        <v>73500000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9750000</v>
      </c>
      <c r="X39" s="39">
        <f t="shared" si="1"/>
        <v>0</v>
      </c>
      <c r="Y39" s="39"/>
      <c r="Z39" s="23">
        <f t="shared" si="2"/>
        <v>-8250000</v>
      </c>
      <c r="AA39" s="54">
        <f t="shared" si="6"/>
        <v>-1500000</v>
      </c>
      <c r="AB39" s="39">
        <f t="shared" si="4"/>
        <v>73500000</v>
      </c>
      <c r="AC39" s="55">
        <v>0</v>
      </c>
      <c r="AD39" s="3"/>
    </row>
    <row r="40" spans="1:30" s="21" customFormat="1">
      <c r="A40" s="19">
        <f t="shared" si="5"/>
        <v>36</v>
      </c>
      <c r="B40" s="3" t="s">
        <v>117</v>
      </c>
      <c r="C40" s="4">
        <v>45699</v>
      </c>
      <c r="D40" s="2">
        <v>2025</v>
      </c>
      <c r="E40" s="13" t="s">
        <v>53</v>
      </c>
      <c r="F40" s="20" t="s">
        <v>66</v>
      </c>
      <c r="G40" s="20" t="s">
        <v>175</v>
      </c>
      <c r="H40" s="55">
        <v>67567568</v>
      </c>
      <c r="I40" s="55">
        <v>0</v>
      </c>
      <c r="J40" s="55">
        <v>7432432</v>
      </c>
      <c r="K40" s="40">
        <f t="shared" si="0"/>
        <v>75000000</v>
      </c>
      <c r="L40" s="34">
        <v>45723</v>
      </c>
      <c r="M40" s="40">
        <v>0</v>
      </c>
      <c r="N40" s="39">
        <v>0</v>
      </c>
      <c r="O40" s="39">
        <v>0</v>
      </c>
      <c r="P40" s="39">
        <v>66216216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8783784</v>
      </c>
      <c r="X40" s="39">
        <f t="shared" si="1"/>
        <v>0</v>
      </c>
      <c r="Y40" s="39"/>
      <c r="Z40" s="23">
        <f t="shared" si="2"/>
        <v>-7432432</v>
      </c>
      <c r="AA40" s="54">
        <f t="shared" si="6"/>
        <v>-1351351.36</v>
      </c>
      <c r="AB40" s="39">
        <f t="shared" si="4"/>
        <v>66216216.640000001</v>
      </c>
      <c r="AC40" s="55">
        <v>0</v>
      </c>
      <c r="AD40" s="3"/>
    </row>
    <row r="41" spans="1:30" s="21" customFormat="1">
      <c r="A41" s="19">
        <f t="shared" si="5"/>
        <v>37</v>
      </c>
      <c r="B41" s="3" t="s">
        <v>118</v>
      </c>
      <c r="C41" s="4">
        <v>45699</v>
      </c>
      <c r="D41" s="2">
        <v>2025</v>
      </c>
      <c r="E41" s="20" t="s">
        <v>38</v>
      </c>
      <c r="F41" s="20" t="s">
        <v>66</v>
      </c>
      <c r="G41" s="20" t="s">
        <v>175</v>
      </c>
      <c r="H41" s="55">
        <v>67567568</v>
      </c>
      <c r="I41" s="55">
        <v>0</v>
      </c>
      <c r="J41" s="55">
        <v>7432432</v>
      </c>
      <c r="K41" s="40">
        <f t="shared" si="0"/>
        <v>75000000</v>
      </c>
      <c r="L41" s="34">
        <v>45723</v>
      </c>
      <c r="M41" s="40">
        <v>0</v>
      </c>
      <c r="N41" s="39">
        <v>0</v>
      </c>
      <c r="O41" s="39">
        <v>0</v>
      </c>
      <c r="P41" s="39">
        <v>66216217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8783783</v>
      </c>
      <c r="X41" s="39">
        <f t="shared" si="1"/>
        <v>0</v>
      </c>
      <c r="Y41" s="39"/>
      <c r="Z41" s="23">
        <f t="shared" si="2"/>
        <v>-7432432</v>
      </c>
      <c r="AA41" s="54">
        <f t="shared" si="6"/>
        <v>-1351351.36</v>
      </c>
      <c r="AB41" s="39">
        <f t="shared" si="4"/>
        <v>66216216.640000001</v>
      </c>
      <c r="AC41" s="55">
        <v>0</v>
      </c>
      <c r="AD41" s="3"/>
    </row>
    <row r="42" spans="1:30" s="21" customFormat="1">
      <c r="A42" s="19">
        <f t="shared" si="5"/>
        <v>38</v>
      </c>
      <c r="B42" s="3" t="s">
        <v>120</v>
      </c>
      <c r="C42" s="4">
        <v>45709</v>
      </c>
      <c r="D42" s="2">
        <v>2025</v>
      </c>
      <c r="E42" s="20" t="s">
        <v>64</v>
      </c>
      <c r="F42" s="20" t="s">
        <v>73</v>
      </c>
      <c r="G42" s="20" t="s">
        <v>187</v>
      </c>
      <c r="H42" s="55">
        <v>60000000</v>
      </c>
      <c r="I42" s="55">
        <v>0</v>
      </c>
      <c r="J42" s="55">
        <v>0</v>
      </c>
      <c r="K42" s="40">
        <f t="shared" si="0"/>
        <v>60000000</v>
      </c>
      <c r="L42" s="34">
        <v>45710</v>
      </c>
      <c r="M42" s="40">
        <v>60000000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f t="shared" si="1"/>
        <v>0</v>
      </c>
      <c r="Y42" s="39"/>
      <c r="Z42" s="23">
        <f t="shared" si="2"/>
        <v>0</v>
      </c>
      <c r="AA42" s="54">
        <v>0</v>
      </c>
      <c r="AB42" s="39">
        <v>0</v>
      </c>
      <c r="AC42" s="55">
        <f>K42+AA42</f>
        <v>60000000</v>
      </c>
      <c r="AD42" s="3"/>
    </row>
    <row r="43" spans="1:30" s="21" customFormat="1">
      <c r="A43" s="19">
        <f t="shared" si="5"/>
        <v>39</v>
      </c>
      <c r="B43" s="3" t="s">
        <v>121</v>
      </c>
      <c r="C43" s="4">
        <v>45701</v>
      </c>
      <c r="D43" s="2">
        <v>2025</v>
      </c>
      <c r="E43" s="20" t="s">
        <v>42</v>
      </c>
      <c r="F43" s="20" t="s">
        <v>610</v>
      </c>
      <c r="G43" s="20" t="s">
        <v>611</v>
      </c>
      <c r="H43" s="55">
        <v>10825000</v>
      </c>
      <c r="I43" s="55">
        <v>0</v>
      </c>
      <c r="J43" s="55">
        <v>1190750</v>
      </c>
      <c r="K43" s="40">
        <f t="shared" si="0"/>
        <v>12015750</v>
      </c>
      <c r="L43" s="34">
        <v>45737</v>
      </c>
      <c r="M43" s="40">
        <v>0</v>
      </c>
      <c r="N43" s="39">
        <v>0</v>
      </c>
      <c r="O43" s="40">
        <v>10608500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1407250</v>
      </c>
      <c r="X43" s="39">
        <f t="shared" si="1"/>
        <v>0</v>
      </c>
      <c r="Y43" s="39"/>
      <c r="Z43" s="23">
        <f t="shared" si="2"/>
        <v>-1190750</v>
      </c>
      <c r="AA43" s="54">
        <f>-(H43+I43)*2%</f>
        <v>-216500</v>
      </c>
      <c r="AB43" s="39">
        <f>K43+Z43+AA43</f>
        <v>10608500</v>
      </c>
      <c r="AC43" s="55">
        <v>0</v>
      </c>
      <c r="AD43" s="3"/>
    </row>
    <row r="44" spans="1:30" s="21" customFormat="1">
      <c r="A44" s="19">
        <f t="shared" si="5"/>
        <v>40</v>
      </c>
      <c r="B44" s="3" t="s">
        <v>122</v>
      </c>
      <c r="C44" s="4">
        <v>45737</v>
      </c>
      <c r="D44" s="2">
        <v>2025</v>
      </c>
      <c r="E44" s="20" t="s">
        <v>42</v>
      </c>
      <c r="F44" s="20" t="s">
        <v>610</v>
      </c>
      <c r="G44" s="20" t="s">
        <v>611</v>
      </c>
      <c r="H44" s="55">
        <v>10750000</v>
      </c>
      <c r="I44" s="55"/>
      <c r="J44" s="55">
        <v>1182500</v>
      </c>
      <c r="K44" s="40">
        <f t="shared" si="0"/>
        <v>11932500</v>
      </c>
      <c r="L44" s="34">
        <v>45764</v>
      </c>
      <c r="M44" s="40">
        <v>0</v>
      </c>
      <c r="N44" s="39">
        <v>0</v>
      </c>
      <c r="O44" s="39">
        <v>10535000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1397500</v>
      </c>
      <c r="X44" s="39">
        <f t="shared" si="1"/>
        <v>0</v>
      </c>
      <c r="Y44" s="39"/>
      <c r="Z44" s="23">
        <f t="shared" si="2"/>
        <v>-1182500</v>
      </c>
      <c r="AA44" s="54">
        <f>-(H44+I44)*2%</f>
        <v>-215000</v>
      </c>
      <c r="AB44" s="39">
        <f>K44+Z44+AA44</f>
        <v>10535000</v>
      </c>
      <c r="AC44" s="55">
        <v>0</v>
      </c>
      <c r="AD44" s="3"/>
    </row>
    <row r="45" spans="1:30" s="27" customFormat="1">
      <c r="A45" s="19">
        <f t="shared" si="5"/>
        <v>41</v>
      </c>
      <c r="B45" s="3" t="s">
        <v>123</v>
      </c>
      <c r="C45" s="4">
        <v>45708</v>
      </c>
      <c r="D45" s="2">
        <v>2025</v>
      </c>
      <c r="E45" s="20" t="s">
        <v>188</v>
      </c>
      <c r="F45" s="20" t="s">
        <v>68</v>
      </c>
      <c r="G45" s="20" t="s">
        <v>189</v>
      </c>
      <c r="H45" s="55">
        <v>2030000</v>
      </c>
      <c r="I45" s="55">
        <v>0</v>
      </c>
      <c r="J45" s="55">
        <v>0</v>
      </c>
      <c r="K45" s="40">
        <f t="shared" si="0"/>
        <v>2030000</v>
      </c>
      <c r="L45" s="34">
        <v>45705</v>
      </c>
      <c r="M45" s="40">
        <v>2030000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f t="shared" si="1"/>
        <v>0</v>
      </c>
      <c r="Y45" s="39"/>
      <c r="Z45" s="23">
        <f t="shared" si="2"/>
        <v>0</v>
      </c>
      <c r="AA45" s="54">
        <v>0</v>
      </c>
      <c r="AB45" s="39">
        <v>0</v>
      </c>
      <c r="AC45" s="55">
        <v>0</v>
      </c>
      <c r="AD45" s="3"/>
    </row>
    <row r="46" spans="1:30" s="27" customFormat="1">
      <c r="A46" s="19">
        <f t="shared" si="5"/>
        <v>42</v>
      </c>
      <c r="B46" s="3" t="s">
        <v>124</v>
      </c>
      <c r="C46" s="4">
        <v>45708</v>
      </c>
      <c r="D46" s="2">
        <v>2025</v>
      </c>
      <c r="E46" s="20" t="s">
        <v>190</v>
      </c>
      <c r="F46" s="20" t="s">
        <v>68</v>
      </c>
      <c r="G46" s="20" t="s">
        <v>191</v>
      </c>
      <c r="H46" s="55">
        <v>3043010</v>
      </c>
      <c r="I46" s="55">
        <v>0</v>
      </c>
      <c r="J46" s="55">
        <v>0</v>
      </c>
      <c r="K46" s="40">
        <f t="shared" si="0"/>
        <v>3043010</v>
      </c>
      <c r="L46" s="34">
        <v>45795</v>
      </c>
      <c r="M46" s="40">
        <v>3043010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f t="shared" si="1"/>
        <v>0</v>
      </c>
      <c r="Y46" s="39"/>
      <c r="Z46" s="23">
        <f t="shared" si="2"/>
        <v>0</v>
      </c>
      <c r="AA46" s="54">
        <v>0</v>
      </c>
      <c r="AB46" s="39">
        <v>0</v>
      </c>
      <c r="AC46" s="55">
        <v>0</v>
      </c>
      <c r="AD46" s="3"/>
    </row>
    <row r="47" spans="1:30" s="21" customFormat="1">
      <c r="A47" s="19">
        <f t="shared" si="5"/>
        <v>43</v>
      </c>
      <c r="B47" s="3" t="s">
        <v>126</v>
      </c>
      <c r="C47" s="4">
        <v>45719</v>
      </c>
      <c r="D47" s="2">
        <v>2025</v>
      </c>
      <c r="E47" s="20" t="s">
        <v>46</v>
      </c>
      <c r="F47" s="20" t="s">
        <v>194</v>
      </c>
      <c r="G47" s="20" t="s">
        <v>195</v>
      </c>
      <c r="H47" s="55">
        <v>154750000</v>
      </c>
      <c r="I47" s="55">
        <v>15475000</v>
      </c>
      <c r="J47" s="55">
        <v>18724750</v>
      </c>
      <c r="K47" s="40">
        <f t="shared" si="0"/>
        <v>188949750</v>
      </c>
      <c r="L47" s="34">
        <v>45728</v>
      </c>
      <c r="M47" s="40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166820500</v>
      </c>
      <c r="T47" s="39">
        <v>0</v>
      </c>
      <c r="U47" s="39">
        <v>0</v>
      </c>
      <c r="V47" s="39">
        <v>0</v>
      </c>
      <c r="W47" s="39">
        <v>22129250</v>
      </c>
      <c r="X47" s="39">
        <f t="shared" si="1"/>
        <v>0</v>
      </c>
      <c r="Y47" s="39"/>
      <c r="Z47" s="23">
        <f t="shared" si="2"/>
        <v>-18724750</v>
      </c>
      <c r="AA47" s="54">
        <f>-(H47+I47)*2%</f>
        <v>-3404500</v>
      </c>
      <c r="AB47" s="39">
        <f>K47+Z47+AA47</f>
        <v>166820500</v>
      </c>
      <c r="AC47" s="55">
        <v>0</v>
      </c>
      <c r="AD47" s="3"/>
    </row>
    <row r="48" spans="1:30" s="21" customFormat="1">
      <c r="A48" s="19">
        <f t="shared" si="5"/>
        <v>44</v>
      </c>
      <c r="B48" s="3" t="s">
        <v>127</v>
      </c>
      <c r="C48" s="4">
        <v>45723</v>
      </c>
      <c r="D48" s="2">
        <v>2025</v>
      </c>
      <c r="E48" s="20" t="s">
        <v>196</v>
      </c>
      <c r="F48" s="20" t="s">
        <v>73</v>
      </c>
      <c r="G48" s="20" t="s">
        <v>197</v>
      </c>
      <c r="H48" s="55">
        <v>68100000</v>
      </c>
      <c r="I48" s="55">
        <v>0</v>
      </c>
      <c r="J48" s="55">
        <v>0</v>
      </c>
      <c r="K48" s="40">
        <f t="shared" si="0"/>
        <v>68100000</v>
      </c>
      <c r="L48" s="34">
        <v>45768</v>
      </c>
      <c r="M48" s="40">
        <v>68100000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f t="shared" si="1"/>
        <v>0</v>
      </c>
      <c r="Y48" s="39"/>
      <c r="Z48" s="23">
        <f t="shared" si="2"/>
        <v>0</v>
      </c>
      <c r="AA48" s="54">
        <v>0</v>
      </c>
      <c r="AB48" s="39">
        <v>0</v>
      </c>
      <c r="AC48" s="55">
        <f>K48+AA48</f>
        <v>68100000</v>
      </c>
      <c r="AD48" s="3"/>
    </row>
    <row r="49" spans="1:30" s="21" customFormat="1">
      <c r="A49" s="19">
        <f t="shared" si="5"/>
        <v>45</v>
      </c>
      <c r="B49" s="3" t="s">
        <v>130</v>
      </c>
      <c r="C49" s="4">
        <v>45719</v>
      </c>
      <c r="D49" s="2">
        <v>2025</v>
      </c>
      <c r="E49" s="20" t="s">
        <v>46</v>
      </c>
      <c r="F49" s="20" t="s">
        <v>71</v>
      </c>
      <c r="G49" s="20" t="s">
        <v>200</v>
      </c>
      <c r="H49" s="55">
        <v>74900000</v>
      </c>
      <c r="I49" s="55">
        <v>5992000</v>
      </c>
      <c r="J49" s="55">
        <v>8898120</v>
      </c>
      <c r="K49" s="40">
        <f t="shared" si="0"/>
        <v>89790120</v>
      </c>
      <c r="L49" s="34">
        <v>45734</v>
      </c>
      <c r="M49" s="40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79274160</v>
      </c>
      <c r="T49" s="39">
        <v>0</v>
      </c>
      <c r="U49" s="39">
        <v>0</v>
      </c>
      <c r="V49" s="39">
        <v>0</v>
      </c>
      <c r="W49" s="39">
        <v>10515960</v>
      </c>
      <c r="X49" s="39">
        <f t="shared" si="1"/>
        <v>0</v>
      </c>
      <c r="Y49" s="39"/>
      <c r="Z49" s="23">
        <f t="shared" si="2"/>
        <v>-8898120</v>
      </c>
      <c r="AA49" s="54">
        <f>-(H49+I49)*2%</f>
        <v>-1617840</v>
      </c>
      <c r="AB49" s="39">
        <f>K49+Z49+AA49</f>
        <v>79274160</v>
      </c>
      <c r="AC49" s="55">
        <v>0</v>
      </c>
      <c r="AD49" s="3"/>
    </row>
    <row r="50" spans="1:30" s="76" customFormat="1">
      <c r="A50" s="19">
        <f t="shared" si="5"/>
        <v>46</v>
      </c>
      <c r="B50" s="3" t="s">
        <v>131</v>
      </c>
      <c r="C50" s="4">
        <v>45719</v>
      </c>
      <c r="D50" s="2">
        <v>2025</v>
      </c>
      <c r="E50" s="20" t="s">
        <v>46</v>
      </c>
      <c r="F50" s="20" t="s">
        <v>65</v>
      </c>
      <c r="G50" s="20" t="s">
        <v>65</v>
      </c>
      <c r="H50" s="55">
        <v>185275000</v>
      </c>
      <c r="I50" s="55">
        <v>14822000</v>
      </c>
      <c r="J50" s="55">
        <v>22010670</v>
      </c>
      <c r="K50" s="40">
        <f t="shared" si="0"/>
        <v>222107670</v>
      </c>
      <c r="L50" s="34">
        <v>45734</v>
      </c>
      <c r="M50" s="40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196095060</v>
      </c>
      <c r="T50" s="39">
        <v>0</v>
      </c>
      <c r="U50" s="39">
        <v>0</v>
      </c>
      <c r="V50" s="39">
        <v>0</v>
      </c>
      <c r="W50" s="39">
        <v>26012610</v>
      </c>
      <c r="X50" s="39">
        <f t="shared" si="1"/>
        <v>0</v>
      </c>
      <c r="Y50" s="39"/>
      <c r="Z50" s="23">
        <f t="shared" si="2"/>
        <v>-22010670</v>
      </c>
      <c r="AA50" s="54">
        <f>-(H50+I50)*2%</f>
        <v>-4001940</v>
      </c>
      <c r="AB50" s="39">
        <f>K50+Z50+AA50</f>
        <v>196095060</v>
      </c>
      <c r="AC50" s="55">
        <v>0</v>
      </c>
      <c r="AD50" s="3"/>
    </row>
    <row r="51" spans="1:30" s="21" customFormat="1">
      <c r="A51" s="19">
        <f t="shared" si="5"/>
        <v>47</v>
      </c>
      <c r="B51" s="3" t="s">
        <v>135</v>
      </c>
      <c r="C51" s="4">
        <v>45730</v>
      </c>
      <c r="D51" s="2">
        <v>2025</v>
      </c>
      <c r="E51" s="20" t="s">
        <v>202</v>
      </c>
      <c r="F51" s="13" t="s">
        <v>59</v>
      </c>
      <c r="G51" s="20" t="s">
        <v>203</v>
      </c>
      <c r="H51" s="55">
        <v>1550000</v>
      </c>
      <c r="I51" s="55">
        <v>0</v>
      </c>
      <c r="J51" s="55">
        <v>0</v>
      </c>
      <c r="K51" s="40">
        <f t="shared" si="0"/>
        <v>1550000</v>
      </c>
      <c r="L51" s="34">
        <v>45838</v>
      </c>
      <c r="M51" s="40">
        <v>1550000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f t="shared" si="1"/>
        <v>0</v>
      </c>
      <c r="Y51" s="39"/>
      <c r="Z51" s="23">
        <f t="shared" si="2"/>
        <v>0</v>
      </c>
      <c r="AA51" s="54">
        <v>0</v>
      </c>
      <c r="AB51" s="39">
        <v>0</v>
      </c>
      <c r="AC51" s="55">
        <v>0</v>
      </c>
      <c r="AD51" s="3"/>
    </row>
    <row r="52" spans="1:30" s="21" customFormat="1">
      <c r="A52" s="19">
        <f t="shared" si="5"/>
        <v>48</v>
      </c>
      <c r="B52" s="3" t="s">
        <v>136</v>
      </c>
      <c r="C52" s="4">
        <v>45730</v>
      </c>
      <c r="D52" s="2">
        <v>2025</v>
      </c>
      <c r="E52" s="20" t="s">
        <v>42</v>
      </c>
      <c r="F52" s="13" t="s">
        <v>204</v>
      </c>
      <c r="G52" s="20" t="s">
        <v>205</v>
      </c>
      <c r="H52" s="55">
        <v>11538217</v>
      </c>
      <c r="I52" s="55">
        <v>0</v>
      </c>
      <c r="J52" s="55">
        <v>1269204</v>
      </c>
      <c r="K52" s="40">
        <f t="shared" si="0"/>
        <v>12807421</v>
      </c>
      <c r="L52" s="34">
        <v>45758</v>
      </c>
      <c r="M52" s="40">
        <v>0</v>
      </c>
      <c r="N52" s="39">
        <v>0</v>
      </c>
      <c r="O52" s="39">
        <v>11307453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1499968</v>
      </c>
      <c r="X52" s="39">
        <f t="shared" si="1"/>
        <v>0</v>
      </c>
      <c r="Y52" s="39"/>
      <c r="Z52" s="23">
        <f t="shared" si="2"/>
        <v>-1269204</v>
      </c>
      <c r="AA52" s="54">
        <f t="shared" ref="AA52:AA62" si="7">-(H52+I52)*2%</f>
        <v>-230764.34</v>
      </c>
      <c r="AB52" s="39">
        <f t="shared" ref="AB52:AB62" si="8">K52+Z52+AA52</f>
        <v>11307452.66</v>
      </c>
      <c r="AC52" s="55">
        <v>0</v>
      </c>
      <c r="AD52" s="3"/>
    </row>
    <row r="53" spans="1:30" s="21" customFormat="1">
      <c r="A53" s="19">
        <f t="shared" si="5"/>
        <v>49</v>
      </c>
      <c r="B53" s="3" t="s">
        <v>137</v>
      </c>
      <c r="C53" s="4">
        <v>45730</v>
      </c>
      <c r="D53" s="2">
        <v>2025</v>
      </c>
      <c r="E53" s="13" t="s">
        <v>58</v>
      </c>
      <c r="F53" s="13" t="s">
        <v>73</v>
      </c>
      <c r="G53" s="20" t="s">
        <v>206</v>
      </c>
      <c r="H53" s="55">
        <v>42980500</v>
      </c>
      <c r="I53" s="55">
        <v>4298050</v>
      </c>
      <c r="J53" s="55">
        <v>5200641</v>
      </c>
      <c r="K53" s="40">
        <f t="shared" si="0"/>
        <v>52479191</v>
      </c>
      <c r="L53" s="34">
        <v>45771</v>
      </c>
      <c r="M53" s="40">
        <v>0</v>
      </c>
      <c r="N53" s="39">
        <v>46332979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6146212</v>
      </c>
      <c r="X53" s="39">
        <f t="shared" si="1"/>
        <v>0</v>
      </c>
      <c r="Y53" s="39"/>
      <c r="Z53" s="23">
        <f t="shared" si="2"/>
        <v>-5200641</v>
      </c>
      <c r="AA53" s="54">
        <f t="shared" si="7"/>
        <v>-945571</v>
      </c>
      <c r="AB53" s="39">
        <f t="shared" si="8"/>
        <v>46332979</v>
      </c>
      <c r="AC53" s="55">
        <v>0</v>
      </c>
      <c r="AD53" s="3"/>
    </row>
    <row r="54" spans="1:30" s="21" customFormat="1">
      <c r="A54" s="19">
        <f t="shared" si="5"/>
        <v>50</v>
      </c>
      <c r="B54" s="3" t="s">
        <v>147</v>
      </c>
      <c r="C54" s="4">
        <v>45763</v>
      </c>
      <c r="D54" s="2">
        <v>2025</v>
      </c>
      <c r="E54" s="20" t="s">
        <v>28</v>
      </c>
      <c r="F54" s="13" t="s">
        <v>210</v>
      </c>
      <c r="G54" s="13" t="s">
        <v>211</v>
      </c>
      <c r="H54" s="55">
        <v>74550000</v>
      </c>
      <c r="I54" s="55">
        <v>7455000</v>
      </c>
      <c r="J54" s="55">
        <v>9020550</v>
      </c>
      <c r="K54" s="40">
        <f t="shared" si="0"/>
        <v>91025550</v>
      </c>
      <c r="L54" s="34">
        <v>45776</v>
      </c>
      <c r="M54" s="40">
        <v>0</v>
      </c>
      <c r="N54" s="39">
        <v>0</v>
      </c>
      <c r="O54" s="39">
        <v>0</v>
      </c>
      <c r="P54" s="39">
        <v>0</v>
      </c>
      <c r="Q54" s="39">
        <v>0</v>
      </c>
      <c r="R54" s="39">
        <v>80364900</v>
      </c>
      <c r="S54" s="39">
        <v>0</v>
      </c>
      <c r="T54" s="39">
        <v>0</v>
      </c>
      <c r="U54" s="39">
        <v>0</v>
      </c>
      <c r="V54" s="39">
        <v>0</v>
      </c>
      <c r="W54" s="39">
        <v>10660650</v>
      </c>
      <c r="X54" s="39">
        <f t="shared" si="1"/>
        <v>0</v>
      </c>
      <c r="Y54" s="39"/>
      <c r="Z54" s="23">
        <f t="shared" si="2"/>
        <v>-9020550</v>
      </c>
      <c r="AA54" s="54">
        <f t="shared" si="7"/>
        <v>-1640100</v>
      </c>
      <c r="AB54" s="39">
        <f t="shared" si="8"/>
        <v>80364900</v>
      </c>
      <c r="AC54" s="55">
        <v>0</v>
      </c>
      <c r="AD54" s="3"/>
    </row>
    <row r="55" spans="1:30" s="21" customFormat="1">
      <c r="A55" s="19">
        <f t="shared" si="5"/>
        <v>51</v>
      </c>
      <c r="B55" s="3" t="s">
        <v>158</v>
      </c>
      <c r="C55" s="4">
        <v>45782</v>
      </c>
      <c r="D55" s="2">
        <v>2025</v>
      </c>
      <c r="E55" s="20" t="s">
        <v>28</v>
      </c>
      <c r="F55" s="13" t="s">
        <v>220</v>
      </c>
      <c r="G55" s="20" t="s">
        <v>221</v>
      </c>
      <c r="H55" s="55">
        <v>186560000</v>
      </c>
      <c r="I55" s="55">
        <v>18656000</v>
      </c>
      <c r="J55" s="55">
        <v>22573760</v>
      </c>
      <c r="K55" s="40">
        <f t="shared" si="0"/>
        <v>227789760</v>
      </c>
      <c r="L55" s="34">
        <v>45791</v>
      </c>
      <c r="M55" s="40">
        <v>0</v>
      </c>
      <c r="N55" s="39">
        <v>0</v>
      </c>
      <c r="O55" s="39">
        <v>0</v>
      </c>
      <c r="P55" s="39">
        <v>0</v>
      </c>
      <c r="Q55" s="39">
        <v>0</v>
      </c>
      <c r="R55" s="39">
        <v>205216000</v>
      </c>
      <c r="S55" s="39">
        <v>0</v>
      </c>
      <c r="T55" s="39">
        <v>0</v>
      </c>
      <c r="U55" s="39">
        <v>0</v>
      </c>
      <c r="V55" s="39">
        <v>0</v>
      </c>
      <c r="W55" s="39">
        <v>22573760</v>
      </c>
      <c r="X55" s="39">
        <f t="shared" si="1"/>
        <v>0</v>
      </c>
      <c r="Y55" s="39"/>
      <c r="Z55" s="23">
        <f t="shared" si="2"/>
        <v>-22573760</v>
      </c>
      <c r="AA55" s="54">
        <f t="shared" si="7"/>
        <v>-4104320</v>
      </c>
      <c r="AB55" s="39">
        <f t="shared" si="8"/>
        <v>201111680</v>
      </c>
      <c r="AC55" s="55">
        <v>0</v>
      </c>
      <c r="AD55" s="3"/>
    </row>
    <row r="56" spans="1:30" s="21" customFormat="1">
      <c r="A56" s="19">
        <f t="shared" si="5"/>
        <v>52</v>
      </c>
      <c r="B56" s="3" t="s">
        <v>159</v>
      </c>
      <c r="C56" s="4">
        <v>45782</v>
      </c>
      <c r="D56" s="2">
        <v>2025</v>
      </c>
      <c r="E56" s="20" t="s">
        <v>28</v>
      </c>
      <c r="F56" s="13" t="s">
        <v>220</v>
      </c>
      <c r="G56" s="20" t="s">
        <v>222</v>
      </c>
      <c r="H56" s="55">
        <v>241125000</v>
      </c>
      <c r="I56" s="55">
        <v>24112500</v>
      </c>
      <c r="J56" s="55">
        <v>29176125</v>
      </c>
      <c r="K56" s="40">
        <f t="shared" si="0"/>
        <v>294413625</v>
      </c>
      <c r="L56" s="34">
        <v>45804</v>
      </c>
      <c r="M56" s="40">
        <v>0</v>
      </c>
      <c r="N56" s="39">
        <v>0</v>
      </c>
      <c r="O56" s="39">
        <v>0</v>
      </c>
      <c r="P56" s="39">
        <v>0</v>
      </c>
      <c r="Q56" s="39">
        <v>0</v>
      </c>
      <c r="R56" s="39">
        <v>259932750</v>
      </c>
      <c r="S56" s="39">
        <v>0</v>
      </c>
      <c r="T56" s="39">
        <v>0</v>
      </c>
      <c r="U56" s="39">
        <v>0</v>
      </c>
      <c r="V56" s="39">
        <v>0</v>
      </c>
      <c r="W56" s="39">
        <v>34480875</v>
      </c>
      <c r="X56" s="39">
        <f t="shared" si="1"/>
        <v>0</v>
      </c>
      <c r="Y56" s="39"/>
      <c r="Z56" s="23">
        <f t="shared" si="2"/>
        <v>-29176125</v>
      </c>
      <c r="AA56" s="54">
        <f t="shared" si="7"/>
        <v>-5304750</v>
      </c>
      <c r="AB56" s="39">
        <f t="shared" si="8"/>
        <v>259932750</v>
      </c>
      <c r="AC56" s="55">
        <v>0</v>
      </c>
      <c r="AD56" s="3"/>
    </row>
    <row r="57" spans="1:30" s="21" customFormat="1">
      <c r="A57" s="19">
        <f t="shared" si="5"/>
        <v>53</v>
      </c>
      <c r="B57" s="3" t="s">
        <v>163</v>
      </c>
      <c r="C57" s="4">
        <v>45785</v>
      </c>
      <c r="D57" s="2">
        <v>2025</v>
      </c>
      <c r="E57" s="20" t="s">
        <v>46</v>
      </c>
      <c r="F57" s="20" t="s">
        <v>67</v>
      </c>
      <c r="G57" s="20" t="s">
        <v>224</v>
      </c>
      <c r="H57" s="55">
        <v>479646313</v>
      </c>
      <c r="I57" s="55">
        <v>38371705</v>
      </c>
      <c r="J57" s="55">
        <v>56981982</v>
      </c>
      <c r="K57" s="40">
        <f t="shared" si="0"/>
        <v>575000000</v>
      </c>
      <c r="L57" s="34">
        <v>45805</v>
      </c>
      <c r="M57" s="40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507657658</v>
      </c>
      <c r="T57" s="39">
        <v>0</v>
      </c>
      <c r="U57" s="39">
        <v>0</v>
      </c>
      <c r="V57" s="39">
        <v>0</v>
      </c>
      <c r="W57" s="39">
        <v>67342342</v>
      </c>
      <c r="X57" s="39">
        <f t="shared" si="1"/>
        <v>0</v>
      </c>
      <c r="Y57" s="39"/>
      <c r="Z57" s="23">
        <f t="shared" si="2"/>
        <v>-56981982</v>
      </c>
      <c r="AA57" s="54">
        <f t="shared" si="7"/>
        <v>-10360360.359999999</v>
      </c>
      <c r="AB57" s="39">
        <f t="shared" si="8"/>
        <v>507657657.63999999</v>
      </c>
      <c r="AC57" s="55">
        <v>0</v>
      </c>
      <c r="AD57" s="3"/>
    </row>
    <row r="58" spans="1:30" s="21" customFormat="1">
      <c r="A58" s="19">
        <f t="shared" si="5"/>
        <v>54</v>
      </c>
      <c r="B58" s="3" t="s">
        <v>164</v>
      </c>
      <c r="C58" s="4">
        <v>45785</v>
      </c>
      <c r="D58" s="2">
        <v>2025</v>
      </c>
      <c r="E58" s="20" t="s">
        <v>46</v>
      </c>
      <c r="F58" s="20" t="s">
        <v>67</v>
      </c>
      <c r="G58" s="20" t="s">
        <v>225</v>
      </c>
      <c r="H58" s="55">
        <v>29195863</v>
      </c>
      <c r="I58" s="55">
        <v>2335669</v>
      </c>
      <c r="J58" s="55">
        <v>3468468</v>
      </c>
      <c r="K58" s="40">
        <f t="shared" si="0"/>
        <v>35000000</v>
      </c>
      <c r="L58" s="34">
        <v>45810</v>
      </c>
      <c r="M58" s="40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55">
        <v>30900901</v>
      </c>
      <c r="T58" s="39">
        <v>0</v>
      </c>
      <c r="U58" s="39">
        <v>0</v>
      </c>
      <c r="V58" s="39">
        <v>0</v>
      </c>
      <c r="W58" s="39">
        <v>4099099</v>
      </c>
      <c r="X58" s="39">
        <f t="shared" si="1"/>
        <v>0</v>
      </c>
      <c r="Y58" s="39"/>
      <c r="Z58" s="23">
        <f t="shared" si="2"/>
        <v>-3468468</v>
      </c>
      <c r="AA58" s="54">
        <f t="shared" si="7"/>
        <v>-630630.64</v>
      </c>
      <c r="AB58" s="39">
        <f t="shared" si="8"/>
        <v>30900901.359999999</v>
      </c>
      <c r="AC58" s="55">
        <v>0</v>
      </c>
      <c r="AD58" s="3"/>
    </row>
    <row r="59" spans="1:30" s="21" customFormat="1">
      <c r="A59" s="19">
        <f t="shared" si="5"/>
        <v>55</v>
      </c>
      <c r="B59" s="3" t="s">
        <v>165</v>
      </c>
      <c r="C59" s="4">
        <v>45786</v>
      </c>
      <c r="D59" s="2">
        <v>2025</v>
      </c>
      <c r="E59" s="20" t="s">
        <v>42</v>
      </c>
      <c r="F59" s="20" t="s">
        <v>226</v>
      </c>
      <c r="G59" s="20" t="s">
        <v>227</v>
      </c>
      <c r="H59" s="55">
        <v>16773550</v>
      </c>
      <c r="I59" s="55">
        <v>0</v>
      </c>
      <c r="J59" s="55">
        <v>1845091</v>
      </c>
      <c r="K59" s="40">
        <f t="shared" si="0"/>
        <v>18618641</v>
      </c>
      <c r="L59" s="34">
        <v>45821</v>
      </c>
      <c r="M59" s="40">
        <v>0</v>
      </c>
      <c r="N59" s="39">
        <v>0</v>
      </c>
      <c r="O59" s="39">
        <v>16438079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2180562</v>
      </c>
      <c r="X59" s="39">
        <f t="shared" si="1"/>
        <v>0</v>
      </c>
      <c r="Y59" s="39"/>
      <c r="Z59" s="23">
        <f t="shared" si="2"/>
        <v>-1845091</v>
      </c>
      <c r="AA59" s="54">
        <f t="shared" si="7"/>
        <v>-335471</v>
      </c>
      <c r="AB59" s="39">
        <f t="shared" si="8"/>
        <v>16438079</v>
      </c>
      <c r="AC59" s="55">
        <v>0</v>
      </c>
      <c r="AD59" s="13" t="s">
        <v>256</v>
      </c>
    </row>
    <row r="60" spans="1:30" s="76" customFormat="1">
      <c r="A60" s="19">
        <f t="shared" si="5"/>
        <v>56</v>
      </c>
      <c r="B60" s="3" t="s">
        <v>166</v>
      </c>
      <c r="C60" s="4">
        <v>45786</v>
      </c>
      <c r="D60" s="2">
        <v>2025</v>
      </c>
      <c r="E60" s="20" t="s">
        <v>42</v>
      </c>
      <c r="F60" s="20" t="s">
        <v>226</v>
      </c>
      <c r="G60" s="20" t="s">
        <v>228</v>
      </c>
      <c r="H60" s="55">
        <v>19301697</v>
      </c>
      <c r="I60" s="55">
        <v>0</v>
      </c>
      <c r="J60" s="55">
        <v>2123187</v>
      </c>
      <c r="K60" s="40">
        <f t="shared" si="0"/>
        <v>21424884</v>
      </c>
      <c r="L60" s="34">
        <v>45821</v>
      </c>
      <c r="M60" s="40">
        <v>0</v>
      </c>
      <c r="N60" s="39">
        <v>0</v>
      </c>
      <c r="O60" s="39">
        <v>18915663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2509221</v>
      </c>
      <c r="X60" s="39">
        <f t="shared" si="1"/>
        <v>0</v>
      </c>
      <c r="Y60" s="39"/>
      <c r="Z60" s="23">
        <f t="shared" si="2"/>
        <v>-2123187</v>
      </c>
      <c r="AA60" s="54">
        <f t="shared" si="7"/>
        <v>-386033.94</v>
      </c>
      <c r="AB60" s="39">
        <f t="shared" si="8"/>
        <v>18915663.059999999</v>
      </c>
      <c r="AC60" s="55">
        <v>0</v>
      </c>
      <c r="AD60" s="13" t="s">
        <v>256</v>
      </c>
    </row>
    <row r="61" spans="1:30" s="21" customFormat="1">
      <c r="A61" s="19">
        <f t="shared" si="5"/>
        <v>57</v>
      </c>
      <c r="B61" s="3" t="s">
        <v>167</v>
      </c>
      <c r="C61" s="4">
        <v>45786</v>
      </c>
      <c r="D61" s="2">
        <v>2025</v>
      </c>
      <c r="E61" s="20" t="s">
        <v>42</v>
      </c>
      <c r="F61" s="20" t="s">
        <v>226</v>
      </c>
      <c r="G61" s="20" t="s">
        <v>229</v>
      </c>
      <c r="H61" s="55">
        <v>18674296</v>
      </c>
      <c r="I61" s="55">
        <v>0</v>
      </c>
      <c r="J61" s="55">
        <v>2054173</v>
      </c>
      <c r="K61" s="40">
        <f t="shared" si="0"/>
        <v>20728469</v>
      </c>
      <c r="L61" s="34">
        <v>45821</v>
      </c>
      <c r="M61" s="40">
        <v>0</v>
      </c>
      <c r="N61" s="39">
        <v>0</v>
      </c>
      <c r="O61" s="39">
        <v>18300810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2427659</v>
      </c>
      <c r="X61" s="39">
        <f t="shared" si="1"/>
        <v>0</v>
      </c>
      <c r="Y61" s="39"/>
      <c r="Z61" s="23">
        <f t="shared" si="2"/>
        <v>-2054173</v>
      </c>
      <c r="AA61" s="54">
        <f t="shared" si="7"/>
        <v>-373485.92</v>
      </c>
      <c r="AB61" s="39">
        <f t="shared" si="8"/>
        <v>18300810.079999998</v>
      </c>
      <c r="AC61" s="55">
        <v>0</v>
      </c>
      <c r="AD61" s="13" t="s">
        <v>256</v>
      </c>
    </row>
    <row r="62" spans="1:30" s="21" customFormat="1">
      <c r="A62" s="19">
        <f t="shared" si="5"/>
        <v>58</v>
      </c>
      <c r="B62" s="3" t="s">
        <v>262</v>
      </c>
      <c r="C62" s="4">
        <v>45799</v>
      </c>
      <c r="D62" s="2">
        <v>2025</v>
      </c>
      <c r="E62" s="20" t="s">
        <v>42</v>
      </c>
      <c r="F62" s="13" t="s">
        <v>263</v>
      </c>
      <c r="G62" s="20" t="s">
        <v>264</v>
      </c>
      <c r="H62" s="55">
        <v>55000474</v>
      </c>
      <c r="I62" s="55">
        <v>0</v>
      </c>
      <c r="J62" s="55">
        <v>6050052</v>
      </c>
      <c r="K62" s="40">
        <f t="shared" si="0"/>
        <v>61050526</v>
      </c>
      <c r="L62" s="34">
        <v>45831</v>
      </c>
      <c r="M62" s="40">
        <v>0</v>
      </c>
      <c r="N62" s="39">
        <v>0</v>
      </c>
      <c r="O62" s="39">
        <v>53900465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7150061</v>
      </c>
      <c r="X62" s="39">
        <f t="shared" si="1"/>
        <v>0</v>
      </c>
      <c r="Y62" s="39"/>
      <c r="Z62" s="23">
        <f t="shared" si="2"/>
        <v>-6050052</v>
      </c>
      <c r="AA62" s="54">
        <f t="shared" si="7"/>
        <v>-1100009.48</v>
      </c>
      <c r="AB62" s="39">
        <f t="shared" si="8"/>
        <v>53900464.520000003</v>
      </c>
      <c r="AC62" s="55">
        <v>0</v>
      </c>
      <c r="AD62" s="3"/>
    </row>
    <row r="63" spans="1:30" s="76" customFormat="1">
      <c r="A63" s="19">
        <f t="shared" si="5"/>
        <v>59</v>
      </c>
      <c r="B63" s="3" t="s">
        <v>267</v>
      </c>
      <c r="C63" s="4">
        <v>45810</v>
      </c>
      <c r="D63" s="2">
        <v>2025</v>
      </c>
      <c r="E63" s="20" t="s">
        <v>268</v>
      </c>
      <c r="F63" s="13" t="s">
        <v>59</v>
      </c>
      <c r="G63" s="20" t="s">
        <v>269</v>
      </c>
      <c r="H63" s="55">
        <v>28750953</v>
      </c>
      <c r="I63" s="55">
        <v>0</v>
      </c>
      <c r="J63" s="55">
        <v>0</v>
      </c>
      <c r="K63" s="40">
        <f t="shared" si="0"/>
        <v>28750953</v>
      </c>
      <c r="L63" s="34">
        <v>45810</v>
      </c>
      <c r="M63" s="40">
        <v>28750953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f t="shared" si="1"/>
        <v>0</v>
      </c>
      <c r="Y63" s="39"/>
      <c r="Z63" s="23">
        <f t="shared" si="2"/>
        <v>0</v>
      </c>
      <c r="AA63" s="54">
        <v>0</v>
      </c>
      <c r="AB63" s="39">
        <v>0</v>
      </c>
      <c r="AC63" s="55">
        <v>0</v>
      </c>
      <c r="AD63" s="3"/>
    </row>
    <row r="64" spans="1:30" s="76" customFormat="1">
      <c r="A64" s="19">
        <f t="shared" si="5"/>
        <v>60</v>
      </c>
      <c r="B64" s="3" t="s">
        <v>281</v>
      </c>
      <c r="C64" s="4">
        <v>45827</v>
      </c>
      <c r="D64" s="2">
        <v>2025</v>
      </c>
      <c r="E64" s="20" t="s">
        <v>28</v>
      </c>
      <c r="F64" s="20" t="s">
        <v>282</v>
      </c>
      <c r="G64" s="13" t="s">
        <v>283</v>
      </c>
      <c r="H64" s="55">
        <v>24570024</v>
      </c>
      <c r="I64" s="55">
        <v>2457003</v>
      </c>
      <c r="J64" s="55">
        <v>2972973</v>
      </c>
      <c r="K64" s="40">
        <f t="shared" si="0"/>
        <v>30000000</v>
      </c>
      <c r="L64" s="34">
        <v>45840</v>
      </c>
      <c r="M64" s="40">
        <v>0</v>
      </c>
      <c r="N64" s="39">
        <v>0</v>
      </c>
      <c r="O64" s="39">
        <v>0</v>
      </c>
      <c r="P64" s="39">
        <v>0</v>
      </c>
      <c r="Q64" s="39">
        <v>0</v>
      </c>
      <c r="R64" s="39">
        <v>26486486</v>
      </c>
      <c r="S64" s="39">
        <v>0</v>
      </c>
      <c r="T64" s="39">
        <v>0</v>
      </c>
      <c r="U64" s="39">
        <v>0</v>
      </c>
      <c r="V64" s="39">
        <v>0</v>
      </c>
      <c r="W64" s="39">
        <v>3513514</v>
      </c>
      <c r="X64" s="39">
        <f t="shared" si="1"/>
        <v>0</v>
      </c>
      <c r="Y64" s="39"/>
      <c r="Z64" s="23">
        <f t="shared" si="2"/>
        <v>-2972973</v>
      </c>
      <c r="AA64" s="54">
        <f>-(H64+I64)*2%</f>
        <v>-540540.54</v>
      </c>
      <c r="AB64" s="39">
        <f>K64+Z64+AA64</f>
        <v>26486486.460000001</v>
      </c>
      <c r="AC64" s="55">
        <v>0</v>
      </c>
      <c r="AD64" s="3"/>
    </row>
    <row r="65" spans="1:30" s="76" customFormat="1">
      <c r="A65" s="19">
        <f t="shared" si="5"/>
        <v>61</v>
      </c>
      <c r="B65" s="3" t="s">
        <v>284</v>
      </c>
      <c r="C65" s="4">
        <v>45827</v>
      </c>
      <c r="D65" s="2">
        <v>2025</v>
      </c>
      <c r="E65" s="20" t="s">
        <v>42</v>
      </c>
      <c r="F65" s="13" t="s">
        <v>285</v>
      </c>
      <c r="G65" s="13" t="s">
        <v>286</v>
      </c>
      <c r="H65" s="55">
        <v>281640000</v>
      </c>
      <c r="I65" s="55">
        <v>0</v>
      </c>
      <c r="J65" s="55">
        <v>30980400</v>
      </c>
      <c r="K65" s="40">
        <f t="shared" si="0"/>
        <v>312620400</v>
      </c>
      <c r="L65" s="34">
        <v>45859</v>
      </c>
      <c r="M65" s="40">
        <v>0</v>
      </c>
      <c r="N65" s="39">
        <v>0</v>
      </c>
      <c r="O65" s="39">
        <v>276007200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36613200</v>
      </c>
      <c r="X65" s="39">
        <f t="shared" si="1"/>
        <v>0</v>
      </c>
      <c r="Y65" s="39"/>
      <c r="Z65" s="23">
        <f t="shared" si="2"/>
        <v>-30980400</v>
      </c>
      <c r="AA65" s="54">
        <f>-(H65+I65)*2%</f>
        <v>-5632800</v>
      </c>
      <c r="AB65" s="39">
        <f>K65+Z65+AA65</f>
        <v>276007200</v>
      </c>
      <c r="AC65" s="55">
        <v>0</v>
      </c>
      <c r="AD65" s="3"/>
    </row>
    <row r="66" spans="1:30" s="21" customFormat="1">
      <c r="A66" s="19">
        <f t="shared" si="5"/>
        <v>62</v>
      </c>
      <c r="B66" s="3" t="s">
        <v>287</v>
      </c>
      <c r="C66" s="4">
        <v>45828</v>
      </c>
      <c r="D66" s="2">
        <v>2025</v>
      </c>
      <c r="E66" s="20" t="s">
        <v>42</v>
      </c>
      <c r="F66" s="13" t="s">
        <v>244</v>
      </c>
      <c r="G66" s="13" t="s">
        <v>288</v>
      </c>
      <c r="H66" s="55">
        <v>49904186</v>
      </c>
      <c r="I66" s="55">
        <v>0</v>
      </c>
      <c r="J66" s="55">
        <v>5489460</v>
      </c>
      <c r="K66" s="40">
        <f t="shared" si="0"/>
        <v>55393646</v>
      </c>
      <c r="L66" s="34">
        <v>45859</v>
      </c>
      <c r="M66" s="40">
        <v>0</v>
      </c>
      <c r="N66" s="39">
        <v>0</v>
      </c>
      <c r="O66" s="39">
        <v>48906102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6487544</v>
      </c>
      <c r="X66" s="39">
        <f t="shared" si="1"/>
        <v>0</v>
      </c>
      <c r="Y66" s="39"/>
      <c r="Z66" s="23">
        <f t="shared" si="2"/>
        <v>-5489460</v>
      </c>
      <c r="AA66" s="54">
        <f>-(H66+I66)*2%</f>
        <v>-998083.72</v>
      </c>
      <c r="AB66" s="39">
        <f>K66+Z66+AA66</f>
        <v>48906102.280000001</v>
      </c>
      <c r="AC66" s="55">
        <v>0</v>
      </c>
      <c r="AD66" s="3"/>
    </row>
    <row r="67" spans="1:30" s="21" customFormat="1">
      <c r="A67" s="19">
        <f t="shared" si="5"/>
        <v>63</v>
      </c>
      <c r="B67" s="3" t="s">
        <v>289</v>
      </c>
      <c r="C67" s="4">
        <v>45833</v>
      </c>
      <c r="D67" s="2">
        <v>2025</v>
      </c>
      <c r="E67" s="20" t="s">
        <v>28</v>
      </c>
      <c r="F67" s="20" t="s">
        <v>282</v>
      </c>
      <c r="G67" s="13" t="s">
        <v>290</v>
      </c>
      <c r="H67" s="55">
        <v>199017200</v>
      </c>
      <c r="I67" s="55">
        <v>19901719</v>
      </c>
      <c r="J67" s="55">
        <v>24081081</v>
      </c>
      <c r="K67" s="40">
        <f t="shared" si="0"/>
        <v>243000000</v>
      </c>
      <c r="L67" s="34">
        <v>45840</v>
      </c>
      <c r="M67" s="40">
        <v>0</v>
      </c>
      <c r="N67" s="39">
        <v>0</v>
      </c>
      <c r="O67" s="39">
        <v>0</v>
      </c>
      <c r="P67" s="39">
        <v>0</v>
      </c>
      <c r="Q67" s="39">
        <v>0</v>
      </c>
      <c r="R67" s="39">
        <v>214540541</v>
      </c>
      <c r="S67" s="39">
        <v>0</v>
      </c>
      <c r="T67" s="39">
        <v>0</v>
      </c>
      <c r="U67" s="39">
        <v>0</v>
      </c>
      <c r="V67" s="39">
        <v>0</v>
      </c>
      <c r="W67" s="39">
        <v>28459459</v>
      </c>
      <c r="X67" s="39">
        <f t="shared" si="1"/>
        <v>0</v>
      </c>
      <c r="Y67" s="39"/>
      <c r="Z67" s="23">
        <f t="shared" si="2"/>
        <v>-24081081</v>
      </c>
      <c r="AA67" s="54">
        <f>-(H67+I67)*2%</f>
        <v>-4378378.38</v>
      </c>
      <c r="AB67" s="39">
        <f>K67+Z67+AA67</f>
        <v>214540540.62</v>
      </c>
      <c r="AC67" s="55">
        <v>0</v>
      </c>
      <c r="AD67" s="3"/>
    </row>
    <row r="68" spans="1:30" s="21" customFormat="1">
      <c r="A68" s="19">
        <f t="shared" si="5"/>
        <v>64</v>
      </c>
      <c r="B68" s="3" t="s">
        <v>345</v>
      </c>
      <c r="C68" s="4">
        <v>45845</v>
      </c>
      <c r="D68" s="24">
        <v>2025</v>
      </c>
      <c r="E68" s="20" t="s">
        <v>346</v>
      </c>
      <c r="F68" s="13" t="s">
        <v>233</v>
      </c>
      <c r="G68" s="20" t="s">
        <v>347</v>
      </c>
      <c r="H68" s="55">
        <v>12158989</v>
      </c>
      <c r="I68" s="55">
        <v>0</v>
      </c>
      <c r="J68" s="55">
        <v>0</v>
      </c>
      <c r="K68" s="40">
        <f t="shared" si="0"/>
        <v>12158989</v>
      </c>
      <c r="L68" s="34">
        <v>45846</v>
      </c>
      <c r="M68" s="40">
        <v>12158989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f t="shared" si="1"/>
        <v>0</v>
      </c>
      <c r="Y68" s="39"/>
      <c r="Z68" s="23">
        <f t="shared" si="2"/>
        <v>0</v>
      </c>
      <c r="AA68" s="54">
        <v>0</v>
      </c>
      <c r="AB68" s="39">
        <v>0</v>
      </c>
      <c r="AC68" s="55">
        <v>0</v>
      </c>
      <c r="AD68" s="3"/>
    </row>
    <row r="69" spans="1:30" s="21" customFormat="1">
      <c r="A69" s="19">
        <f t="shared" si="5"/>
        <v>65</v>
      </c>
      <c r="B69" s="3" t="s">
        <v>348</v>
      </c>
      <c r="C69" s="4">
        <v>45845</v>
      </c>
      <c r="D69" s="24">
        <v>2025</v>
      </c>
      <c r="E69" s="20" t="s">
        <v>349</v>
      </c>
      <c r="F69" s="13" t="s">
        <v>233</v>
      </c>
      <c r="G69" s="20" t="s">
        <v>347</v>
      </c>
      <c r="H69" s="55">
        <v>5349022</v>
      </c>
      <c r="I69" s="55">
        <v>0</v>
      </c>
      <c r="J69" s="55">
        <v>0</v>
      </c>
      <c r="K69" s="40">
        <f t="shared" ref="K69:K132" si="9">SUM(H69:J69)</f>
        <v>5349022</v>
      </c>
      <c r="L69" s="34">
        <v>45846</v>
      </c>
      <c r="M69" s="40">
        <v>5349022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f t="shared" ref="X69:X132" si="10">K69-SUM(M69:W69)</f>
        <v>0</v>
      </c>
      <c r="Y69" s="39"/>
      <c r="Z69" s="23">
        <f t="shared" ref="Z69:Z132" si="11">-J69</f>
        <v>0</v>
      </c>
      <c r="AA69" s="54">
        <v>0</v>
      </c>
      <c r="AB69" s="39">
        <v>0</v>
      </c>
      <c r="AC69" s="55">
        <v>0</v>
      </c>
      <c r="AD69" s="3"/>
    </row>
    <row r="70" spans="1:30" s="21" customFormat="1">
      <c r="A70" s="19">
        <f t="shared" ref="A70:A133" si="12">A69+1</f>
        <v>66</v>
      </c>
      <c r="B70" s="3" t="s">
        <v>350</v>
      </c>
      <c r="C70" s="4">
        <v>45845</v>
      </c>
      <c r="D70" s="24">
        <v>2025</v>
      </c>
      <c r="E70" s="20" t="s">
        <v>351</v>
      </c>
      <c r="F70" s="13" t="s">
        <v>233</v>
      </c>
      <c r="G70" s="20" t="s">
        <v>347</v>
      </c>
      <c r="H70" s="55">
        <v>5349022</v>
      </c>
      <c r="I70" s="55">
        <v>0</v>
      </c>
      <c r="J70" s="55">
        <v>0</v>
      </c>
      <c r="K70" s="40">
        <f t="shared" si="9"/>
        <v>5349022</v>
      </c>
      <c r="L70" s="34">
        <v>45849</v>
      </c>
      <c r="M70" s="40">
        <v>5349022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f t="shared" si="10"/>
        <v>0</v>
      </c>
      <c r="Y70" s="39"/>
      <c r="Z70" s="23">
        <f t="shared" si="11"/>
        <v>0</v>
      </c>
      <c r="AA70" s="54">
        <v>0</v>
      </c>
      <c r="AB70" s="39">
        <v>0</v>
      </c>
      <c r="AC70" s="55">
        <v>0</v>
      </c>
      <c r="AD70" s="3"/>
    </row>
    <row r="71" spans="1:30" s="76" customFormat="1">
      <c r="A71" s="19">
        <f t="shared" si="12"/>
        <v>67</v>
      </c>
      <c r="B71" s="3" t="s">
        <v>353</v>
      </c>
      <c r="C71" s="4">
        <v>45845</v>
      </c>
      <c r="D71" s="24">
        <v>2025</v>
      </c>
      <c r="E71" s="20" t="s">
        <v>354</v>
      </c>
      <c r="F71" s="13" t="s">
        <v>233</v>
      </c>
      <c r="G71" s="20" t="s">
        <v>347</v>
      </c>
      <c r="H71" s="55">
        <v>10698044</v>
      </c>
      <c r="I71" s="55">
        <v>0</v>
      </c>
      <c r="J71" s="55">
        <v>0</v>
      </c>
      <c r="K71" s="40">
        <f t="shared" si="9"/>
        <v>10698044</v>
      </c>
      <c r="L71" s="34">
        <v>45847</v>
      </c>
      <c r="M71" s="40">
        <v>10698044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f t="shared" si="10"/>
        <v>0</v>
      </c>
      <c r="Y71" s="39"/>
      <c r="Z71" s="23">
        <f t="shared" si="11"/>
        <v>0</v>
      </c>
      <c r="AA71" s="54">
        <v>0</v>
      </c>
      <c r="AB71" s="39">
        <v>0</v>
      </c>
      <c r="AC71" s="55">
        <v>0</v>
      </c>
      <c r="AD71" s="3"/>
    </row>
    <row r="72" spans="1:30" s="76" customFormat="1">
      <c r="A72" s="19">
        <f t="shared" si="12"/>
        <v>68</v>
      </c>
      <c r="B72" s="3" t="s">
        <v>355</v>
      </c>
      <c r="C72" s="4">
        <v>45845</v>
      </c>
      <c r="D72" s="24">
        <v>2025</v>
      </c>
      <c r="E72" s="20" t="s">
        <v>356</v>
      </c>
      <c r="F72" s="13" t="s">
        <v>233</v>
      </c>
      <c r="G72" s="20" t="s">
        <v>347</v>
      </c>
      <c r="H72" s="55">
        <v>7775522</v>
      </c>
      <c r="I72" s="55">
        <v>0</v>
      </c>
      <c r="J72" s="55">
        <v>0</v>
      </c>
      <c r="K72" s="40">
        <f t="shared" si="9"/>
        <v>7775522</v>
      </c>
      <c r="L72" s="34">
        <v>45847</v>
      </c>
      <c r="M72" s="40">
        <v>7775522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f t="shared" si="10"/>
        <v>0</v>
      </c>
      <c r="Y72" s="39"/>
      <c r="Z72" s="23">
        <f t="shared" si="11"/>
        <v>0</v>
      </c>
      <c r="AA72" s="54">
        <v>0</v>
      </c>
      <c r="AB72" s="39">
        <v>0</v>
      </c>
      <c r="AC72" s="55">
        <v>0</v>
      </c>
      <c r="AD72" s="3"/>
    </row>
    <row r="73" spans="1:30" s="76" customFormat="1">
      <c r="A73" s="19">
        <f t="shared" si="12"/>
        <v>69</v>
      </c>
      <c r="B73" s="3" t="s">
        <v>357</v>
      </c>
      <c r="C73" s="4">
        <v>45845</v>
      </c>
      <c r="D73" s="24">
        <v>2025</v>
      </c>
      <c r="E73" s="20" t="s">
        <v>358</v>
      </c>
      <c r="F73" s="13" t="s">
        <v>233</v>
      </c>
      <c r="G73" s="20" t="s">
        <v>347</v>
      </c>
      <c r="H73" s="55">
        <v>7775522</v>
      </c>
      <c r="I73" s="55">
        <v>0</v>
      </c>
      <c r="J73" s="55">
        <v>0</v>
      </c>
      <c r="K73" s="40">
        <f t="shared" si="9"/>
        <v>7775522</v>
      </c>
      <c r="L73" s="34">
        <v>45847</v>
      </c>
      <c r="M73" s="40">
        <v>7775522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f t="shared" si="10"/>
        <v>0</v>
      </c>
      <c r="Y73" s="39"/>
      <c r="Z73" s="23">
        <f t="shared" si="11"/>
        <v>0</v>
      </c>
      <c r="AA73" s="54">
        <v>0</v>
      </c>
      <c r="AB73" s="39">
        <v>0</v>
      </c>
      <c r="AC73" s="55">
        <v>0</v>
      </c>
      <c r="AD73" s="3"/>
    </row>
    <row r="74" spans="1:30" s="76" customFormat="1">
      <c r="A74" s="19">
        <f t="shared" si="12"/>
        <v>70</v>
      </c>
      <c r="B74" s="3" t="s">
        <v>379</v>
      </c>
      <c r="C74" s="4">
        <v>45859</v>
      </c>
      <c r="D74" s="24">
        <v>2025</v>
      </c>
      <c r="E74" s="20" t="s">
        <v>42</v>
      </c>
      <c r="F74" s="13" t="s">
        <v>368</v>
      </c>
      <c r="G74" s="20" t="s">
        <v>380</v>
      </c>
      <c r="H74" s="55">
        <v>30064660</v>
      </c>
      <c r="I74" s="55">
        <v>0</v>
      </c>
      <c r="J74" s="55">
        <v>3307113</v>
      </c>
      <c r="K74" s="40">
        <f t="shared" si="9"/>
        <v>33371773</v>
      </c>
      <c r="L74" s="34">
        <v>45891</v>
      </c>
      <c r="M74" s="40">
        <v>0</v>
      </c>
      <c r="N74" s="39">
        <v>0</v>
      </c>
      <c r="O74" s="39">
        <v>29463367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3908406</v>
      </c>
      <c r="X74" s="39">
        <f t="shared" si="10"/>
        <v>0</v>
      </c>
      <c r="Y74" s="39"/>
      <c r="Z74" s="23">
        <f t="shared" si="11"/>
        <v>-3307113</v>
      </c>
      <c r="AA74" s="54">
        <f>-(H74+I74)*2%</f>
        <v>-601293.20000000007</v>
      </c>
      <c r="AB74" s="39">
        <f>K74+Z74+AA74</f>
        <v>29463366.800000001</v>
      </c>
      <c r="AC74" s="55">
        <v>0</v>
      </c>
      <c r="AD74" s="3"/>
    </row>
    <row r="75" spans="1:30" s="76" customFormat="1">
      <c r="A75" s="19">
        <f t="shared" si="12"/>
        <v>71</v>
      </c>
      <c r="B75" s="3" t="s">
        <v>384</v>
      </c>
      <c r="C75" s="4">
        <v>45860</v>
      </c>
      <c r="D75" s="24">
        <v>2025</v>
      </c>
      <c r="E75" s="20" t="s">
        <v>385</v>
      </c>
      <c r="F75" s="13" t="s">
        <v>233</v>
      </c>
      <c r="G75" s="20" t="s">
        <v>386</v>
      </c>
      <c r="H75" s="55">
        <v>4500000</v>
      </c>
      <c r="I75" s="55">
        <v>0</v>
      </c>
      <c r="J75" s="55">
        <v>0</v>
      </c>
      <c r="K75" s="40">
        <f t="shared" si="9"/>
        <v>4500000</v>
      </c>
      <c r="L75" s="34">
        <v>45861</v>
      </c>
      <c r="M75" s="40">
        <v>4500000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f t="shared" si="10"/>
        <v>0</v>
      </c>
      <c r="Y75" s="39"/>
      <c r="Z75" s="23">
        <f t="shared" si="11"/>
        <v>0</v>
      </c>
      <c r="AA75" s="54">
        <v>0</v>
      </c>
      <c r="AB75" s="39">
        <v>0</v>
      </c>
      <c r="AC75" s="55">
        <v>0</v>
      </c>
      <c r="AD75" s="3"/>
    </row>
    <row r="76" spans="1:30" s="76" customFormat="1">
      <c r="A76" s="19">
        <f t="shared" si="12"/>
        <v>72</v>
      </c>
      <c r="B76" s="3" t="s">
        <v>391</v>
      </c>
      <c r="C76" s="4">
        <v>45862</v>
      </c>
      <c r="D76" s="24">
        <v>2025</v>
      </c>
      <c r="E76" s="20" t="s">
        <v>392</v>
      </c>
      <c r="F76" s="13" t="s">
        <v>233</v>
      </c>
      <c r="G76" s="20" t="s">
        <v>393</v>
      </c>
      <c r="H76" s="55">
        <v>5568158</v>
      </c>
      <c r="I76" s="55">
        <v>0</v>
      </c>
      <c r="J76" s="55">
        <v>0</v>
      </c>
      <c r="K76" s="40">
        <f t="shared" si="9"/>
        <v>5568158</v>
      </c>
      <c r="L76" s="34">
        <v>45863</v>
      </c>
      <c r="M76" s="40">
        <v>5568158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f t="shared" si="10"/>
        <v>0</v>
      </c>
      <c r="Y76" s="39"/>
      <c r="Z76" s="23">
        <f t="shared" si="11"/>
        <v>0</v>
      </c>
      <c r="AA76" s="54">
        <v>0</v>
      </c>
      <c r="AB76" s="39">
        <v>0</v>
      </c>
      <c r="AC76" s="55">
        <v>0</v>
      </c>
      <c r="AD76" s="3"/>
    </row>
    <row r="77" spans="1:30" s="76" customFormat="1">
      <c r="A77" s="19">
        <f t="shared" si="12"/>
        <v>73</v>
      </c>
      <c r="B77" s="3" t="s">
        <v>401</v>
      </c>
      <c r="C77" s="4">
        <v>45870</v>
      </c>
      <c r="D77" s="24">
        <v>2025</v>
      </c>
      <c r="E77" s="20" t="s">
        <v>44</v>
      </c>
      <c r="F77" s="13" t="s">
        <v>609</v>
      </c>
      <c r="G77" s="20" t="s">
        <v>402</v>
      </c>
      <c r="H77" s="55">
        <v>421113514</v>
      </c>
      <c r="I77" s="55">
        <v>42111352</v>
      </c>
      <c r="J77" s="55">
        <v>50954735</v>
      </c>
      <c r="K77" s="40">
        <f t="shared" si="9"/>
        <v>514179601</v>
      </c>
      <c r="L77" s="34">
        <v>45894</v>
      </c>
      <c r="M77" s="40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462382639</v>
      </c>
      <c r="V77" s="39">
        <v>0</v>
      </c>
      <c r="W77" s="39">
        <v>51796962</v>
      </c>
      <c r="X77" s="39">
        <f t="shared" si="10"/>
        <v>0</v>
      </c>
      <c r="Y77" s="39"/>
      <c r="Z77" s="23">
        <f t="shared" si="11"/>
        <v>-50954735</v>
      </c>
      <c r="AA77" s="54">
        <f>-(I77)*2%</f>
        <v>-842227.04</v>
      </c>
      <c r="AB77" s="39">
        <f t="shared" ref="AB77:AB90" si="13">K77+Z77+AA77</f>
        <v>462382638.95999998</v>
      </c>
      <c r="AC77" s="55">
        <v>0</v>
      </c>
      <c r="AD77" s="3"/>
    </row>
    <row r="78" spans="1:30" s="21" customFormat="1">
      <c r="A78" s="19">
        <f t="shared" si="12"/>
        <v>74</v>
      </c>
      <c r="B78" s="3" t="s">
        <v>403</v>
      </c>
      <c r="C78" s="4">
        <v>45870</v>
      </c>
      <c r="D78" s="24">
        <v>2025</v>
      </c>
      <c r="E78" s="20" t="s">
        <v>46</v>
      </c>
      <c r="F78" s="13" t="s">
        <v>609</v>
      </c>
      <c r="G78" s="20" t="s">
        <v>404</v>
      </c>
      <c r="H78" s="55">
        <v>737100737</v>
      </c>
      <c r="I78" s="55">
        <v>73710074</v>
      </c>
      <c r="J78" s="55">
        <v>89189189</v>
      </c>
      <c r="K78" s="40">
        <f t="shared" si="9"/>
        <v>900000000</v>
      </c>
      <c r="L78" s="34">
        <v>45903</v>
      </c>
      <c r="M78" s="40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794594595</v>
      </c>
      <c r="T78" s="39">
        <v>0</v>
      </c>
      <c r="U78" s="39">
        <v>0</v>
      </c>
      <c r="V78" s="39">
        <v>0</v>
      </c>
      <c r="W78" s="39">
        <v>105405405</v>
      </c>
      <c r="X78" s="39">
        <f t="shared" si="10"/>
        <v>0</v>
      </c>
      <c r="Y78" s="39"/>
      <c r="Z78" s="8">
        <f t="shared" si="11"/>
        <v>-89189189</v>
      </c>
      <c r="AA78" s="54">
        <f>-(H78+I78)*2%</f>
        <v>-16216216.220000001</v>
      </c>
      <c r="AB78" s="39">
        <f t="shared" si="13"/>
        <v>794594594.77999997</v>
      </c>
      <c r="AC78" s="55">
        <v>0</v>
      </c>
      <c r="AD78" s="3"/>
    </row>
    <row r="79" spans="1:30" s="21" customFormat="1">
      <c r="A79" s="19">
        <f t="shared" si="12"/>
        <v>75</v>
      </c>
      <c r="B79" s="3" t="s">
        <v>405</v>
      </c>
      <c r="C79" s="4">
        <v>45870</v>
      </c>
      <c r="D79" s="24">
        <v>2025</v>
      </c>
      <c r="E79" s="13" t="s">
        <v>406</v>
      </c>
      <c r="F79" s="13" t="s">
        <v>609</v>
      </c>
      <c r="G79" s="20" t="s">
        <v>404</v>
      </c>
      <c r="H79" s="55">
        <v>619885941</v>
      </c>
      <c r="I79" s="55">
        <v>55789735</v>
      </c>
      <c r="J79" s="55">
        <v>74324324</v>
      </c>
      <c r="K79" s="40">
        <f t="shared" si="9"/>
        <v>750000000</v>
      </c>
      <c r="L79" s="34">
        <v>45889</v>
      </c>
      <c r="M79" s="40">
        <v>0</v>
      </c>
      <c r="N79" s="39">
        <v>0</v>
      </c>
      <c r="O79" s="39">
        <v>674559880.89999998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75440119.100000024</v>
      </c>
      <c r="X79" s="39">
        <f t="shared" si="10"/>
        <v>0</v>
      </c>
      <c r="Y79" s="39"/>
      <c r="Z79" s="23">
        <f t="shared" si="11"/>
        <v>-74324324</v>
      </c>
      <c r="AA79" s="54">
        <f>-(I79)*2%</f>
        <v>-1115794.7</v>
      </c>
      <c r="AB79" s="39">
        <f t="shared" si="13"/>
        <v>674559881.29999995</v>
      </c>
      <c r="AC79" s="55">
        <v>0</v>
      </c>
      <c r="AD79" s="3"/>
    </row>
    <row r="80" spans="1:30" s="21" customFormat="1">
      <c r="A80" s="19">
        <f t="shared" si="12"/>
        <v>76</v>
      </c>
      <c r="B80" s="3" t="s">
        <v>439</v>
      </c>
      <c r="C80" s="4">
        <v>45887</v>
      </c>
      <c r="D80" s="24">
        <v>2025</v>
      </c>
      <c r="E80" s="20" t="s">
        <v>42</v>
      </c>
      <c r="F80" s="20" t="s">
        <v>367</v>
      </c>
      <c r="G80" s="20" t="s">
        <v>440</v>
      </c>
      <c r="H80" s="55">
        <v>63346343</v>
      </c>
      <c r="I80" s="55">
        <v>0</v>
      </c>
      <c r="J80" s="55">
        <v>6968098</v>
      </c>
      <c r="K80" s="40">
        <f t="shared" si="9"/>
        <v>70314441</v>
      </c>
      <c r="L80" s="34">
        <v>45917</v>
      </c>
      <c r="M80" s="40">
        <v>0</v>
      </c>
      <c r="N80" s="39">
        <v>0</v>
      </c>
      <c r="O80" s="39">
        <v>62079416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8235025</v>
      </c>
      <c r="X80" s="39">
        <f t="shared" si="10"/>
        <v>0</v>
      </c>
      <c r="Y80" s="39"/>
      <c r="Z80" s="8">
        <f t="shared" si="11"/>
        <v>-6968098</v>
      </c>
      <c r="AA80" s="54">
        <f t="shared" ref="AA80:AA90" si="14">-(H80+I80)*2%</f>
        <v>-1266926.8600000001</v>
      </c>
      <c r="AB80" s="39">
        <f t="shared" si="13"/>
        <v>62079416.140000001</v>
      </c>
      <c r="AC80" s="55">
        <v>0</v>
      </c>
      <c r="AD80" s="13"/>
    </row>
    <row r="81" spans="1:31" s="21" customFormat="1">
      <c r="A81" s="19">
        <f t="shared" si="12"/>
        <v>77</v>
      </c>
      <c r="B81" s="3" t="s">
        <v>471</v>
      </c>
      <c r="C81" s="4">
        <v>45936</v>
      </c>
      <c r="D81" s="24">
        <v>2025</v>
      </c>
      <c r="E81" s="20" t="s">
        <v>26</v>
      </c>
      <c r="F81" s="13" t="s">
        <v>609</v>
      </c>
      <c r="G81" s="20" t="s">
        <v>402</v>
      </c>
      <c r="H81" s="55">
        <v>727203036</v>
      </c>
      <c r="I81" s="55">
        <v>58176243</v>
      </c>
      <c r="J81" s="55">
        <v>86391721</v>
      </c>
      <c r="K81" s="40">
        <f t="shared" si="9"/>
        <v>871771000</v>
      </c>
      <c r="L81" s="34">
        <v>45968</v>
      </c>
      <c r="M81" s="40">
        <v>0</v>
      </c>
      <c r="N81" s="39">
        <v>0</v>
      </c>
      <c r="O81" s="39">
        <v>769671695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102099305</v>
      </c>
      <c r="X81" s="39">
        <f t="shared" si="10"/>
        <v>0</v>
      </c>
      <c r="Y81" s="39"/>
      <c r="Z81" s="23">
        <f t="shared" si="11"/>
        <v>-86391721</v>
      </c>
      <c r="AA81" s="54">
        <f t="shared" si="14"/>
        <v>-15707585.58</v>
      </c>
      <c r="AB81" s="39">
        <f t="shared" si="13"/>
        <v>769671693.41999996</v>
      </c>
      <c r="AC81" s="55">
        <v>0</v>
      </c>
      <c r="AD81" s="3"/>
    </row>
    <row r="82" spans="1:31" s="21" customFormat="1">
      <c r="A82" s="19">
        <f t="shared" si="12"/>
        <v>78</v>
      </c>
      <c r="B82" s="3" t="s">
        <v>452</v>
      </c>
      <c r="C82" s="4">
        <v>45901</v>
      </c>
      <c r="D82" s="24">
        <v>2025</v>
      </c>
      <c r="E82" s="20" t="s">
        <v>28</v>
      </c>
      <c r="F82" s="13" t="s">
        <v>609</v>
      </c>
      <c r="G82" s="20" t="s">
        <v>402</v>
      </c>
      <c r="H82" s="55">
        <v>475020475</v>
      </c>
      <c r="I82" s="55">
        <v>47502047</v>
      </c>
      <c r="J82" s="55">
        <v>57477478</v>
      </c>
      <c r="K82" s="40">
        <f t="shared" si="9"/>
        <v>580000000</v>
      </c>
      <c r="L82" s="34">
        <v>45919</v>
      </c>
      <c r="M82" s="40">
        <v>0</v>
      </c>
      <c r="N82" s="39">
        <v>0</v>
      </c>
      <c r="O82" s="39">
        <v>0</v>
      </c>
      <c r="P82" s="39">
        <v>0</v>
      </c>
      <c r="Q82" s="39">
        <v>0</v>
      </c>
      <c r="R82" s="39">
        <v>512072072</v>
      </c>
      <c r="S82" s="39">
        <v>0</v>
      </c>
      <c r="T82" s="39">
        <v>0</v>
      </c>
      <c r="U82" s="39">
        <v>0</v>
      </c>
      <c r="V82" s="39">
        <v>0</v>
      </c>
      <c r="W82" s="39">
        <v>67927928</v>
      </c>
      <c r="X82" s="39">
        <f t="shared" si="10"/>
        <v>0</v>
      </c>
      <c r="Y82" s="39"/>
      <c r="Z82" s="23">
        <f t="shared" si="11"/>
        <v>-57477478</v>
      </c>
      <c r="AA82" s="54">
        <f t="shared" si="14"/>
        <v>-10450450.439999999</v>
      </c>
      <c r="AB82" s="39">
        <f t="shared" si="13"/>
        <v>512072071.56</v>
      </c>
      <c r="AC82" s="55">
        <v>0</v>
      </c>
      <c r="AD82" s="3"/>
    </row>
    <row r="83" spans="1:31" s="21" customFormat="1">
      <c r="A83" s="19">
        <f t="shared" si="12"/>
        <v>79</v>
      </c>
      <c r="B83" s="3" t="s">
        <v>453</v>
      </c>
      <c r="C83" s="4">
        <v>45902</v>
      </c>
      <c r="D83" s="24">
        <v>2025</v>
      </c>
      <c r="E83" s="20" t="s">
        <v>28</v>
      </c>
      <c r="F83" s="20" t="s">
        <v>454</v>
      </c>
      <c r="G83" s="20" t="s">
        <v>455</v>
      </c>
      <c r="H83" s="55">
        <v>211083682</v>
      </c>
      <c r="I83" s="55">
        <v>21108368</v>
      </c>
      <c r="J83" s="55">
        <v>25541126</v>
      </c>
      <c r="K83" s="40">
        <f t="shared" si="9"/>
        <v>257733176</v>
      </c>
      <c r="L83" s="34">
        <v>45923</v>
      </c>
      <c r="M83" s="40">
        <v>0</v>
      </c>
      <c r="N83" s="39">
        <v>0</v>
      </c>
      <c r="O83" s="39">
        <v>0</v>
      </c>
      <c r="P83" s="39">
        <v>0</v>
      </c>
      <c r="Q83" s="39">
        <v>0</v>
      </c>
      <c r="R83" s="39">
        <v>227548209</v>
      </c>
      <c r="S83" s="39">
        <v>0</v>
      </c>
      <c r="T83" s="39">
        <v>0</v>
      </c>
      <c r="U83" s="39">
        <v>0</v>
      </c>
      <c r="V83" s="39">
        <v>0</v>
      </c>
      <c r="W83" s="39">
        <v>30184967</v>
      </c>
      <c r="X83" s="39">
        <f t="shared" si="10"/>
        <v>0</v>
      </c>
      <c r="Y83" s="39"/>
      <c r="Z83" s="23">
        <f t="shared" si="11"/>
        <v>-25541126</v>
      </c>
      <c r="AA83" s="54">
        <f t="shared" si="14"/>
        <v>-4643841</v>
      </c>
      <c r="AB83" s="39">
        <f t="shared" si="13"/>
        <v>227548209</v>
      </c>
      <c r="AC83" s="55">
        <v>0</v>
      </c>
      <c r="AD83" s="3"/>
    </row>
    <row r="84" spans="1:31" s="21" customFormat="1">
      <c r="A84" s="19">
        <f t="shared" si="12"/>
        <v>80</v>
      </c>
      <c r="B84" s="3" t="s">
        <v>456</v>
      </c>
      <c r="C84" s="4">
        <v>45902</v>
      </c>
      <c r="D84" s="24">
        <v>2025</v>
      </c>
      <c r="E84" s="20" t="s">
        <v>42</v>
      </c>
      <c r="F84" s="20" t="s">
        <v>457</v>
      </c>
      <c r="G84" s="20" t="s">
        <v>458</v>
      </c>
      <c r="H84" s="55">
        <v>37957708</v>
      </c>
      <c r="I84" s="55">
        <v>2846828</v>
      </c>
      <c r="J84" s="55">
        <v>4488499</v>
      </c>
      <c r="K84" s="40">
        <f t="shared" si="9"/>
        <v>45293035</v>
      </c>
      <c r="L84" s="34">
        <v>45931</v>
      </c>
      <c r="M84" s="40">
        <v>0</v>
      </c>
      <c r="N84" s="39">
        <v>0</v>
      </c>
      <c r="O84" s="39">
        <v>39988445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5304590</v>
      </c>
      <c r="X84" s="39">
        <f t="shared" si="10"/>
        <v>0</v>
      </c>
      <c r="Y84" s="39"/>
      <c r="Z84" s="8">
        <f t="shared" si="11"/>
        <v>-4488499</v>
      </c>
      <c r="AA84" s="54">
        <f t="shared" si="14"/>
        <v>-816090.72</v>
      </c>
      <c r="AB84" s="39">
        <f t="shared" si="13"/>
        <v>39988445.280000001</v>
      </c>
      <c r="AC84" s="55">
        <v>0</v>
      </c>
      <c r="AD84" s="3"/>
    </row>
    <row r="85" spans="1:31" s="76" customFormat="1">
      <c r="A85" s="19">
        <f t="shared" si="12"/>
        <v>81</v>
      </c>
      <c r="B85" s="3" t="s">
        <v>489</v>
      </c>
      <c r="C85" s="4">
        <v>45911</v>
      </c>
      <c r="D85" s="24">
        <v>2025</v>
      </c>
      <c r="E85" s="13" t="s">
        <v>46</v>
      </c>
      <c r="F85" s="13" t="s">
        <v>454</v>
      </c>
      <c r="G85" s="20" t="s">
        <v>490</v>
      </c>
      <c r="H85" s="55">
        <v>245700246</v>
      </c>
      <c r="I85" s="55">
        <v>24570024</v>
      </c>
      <c r="J85" s="40">
        <v>29729730</v>
      </c>
      <c r="K85" s="40">
        <f t="shared" si="9"/>
        <v>300000000</v>
      </c>
      <c r="L85" s="34">
        <v>45915</v>
      </c>
      <c r="M85" s="40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264864865</v>
      </c>
      <c r="T85" s="39">
        <v>0</v>
      </c>
      <c r="U85" s="39">
        <v>0</v>
      </c>
      <c r="V85" s="39">
        <v>0</v>
      </c>
      <c r="W85" s="39">
        <v>35135135</v>
      </c>
      <c r="X85" s="39">
        <f t="shared" si="10"/>
        <v>0</v>
      </c>
      <c r="Y85" s="39"/>
      <c r="Z85" s="8">
        <f t="shared" si="11"/>
        <v>-29729730</v>
      </c>
      <c r="AA85" s="54">
        <f t="shared" si="14"/>
        <v>-5405405.4000000004</v>
      </c>
      <c r="AB85" s="39">
        <f t="shared" si="13"/>
        <v>264864864.59999999</v>
      </c>
      <c r="AC85" s="55">
        <v>0</v>
      </c>
      <c r="AD85" s="3"/>
      <c r="AE85" s="35" t="s">
        <v>1</v>
      </c>
    </row>
    <row r="86" spans="1:31" s="21" customFormat="1">
      <c r="A86" s="19">
        <f t="shared" si="12"/>
        <v>82</v>
      </c>
      <c r="B86" s="3" t="s">
        <v>491</v>
      </c>
      <c r="C86" s="4">
        <v>45911</v>
      </c>
      <c r="D86" s="24">
        <v>2025</v>
      </c>
      <c r="E86" s="13" t="s">
        <v>26</v>
      </c>
      <c r="F86" s="13" t="s">
        <v>454</v>
      </c>
      <c r="G86" s="20" t="s">
        <v>490</v>
      </c>
      <c r="H86" s="55">
        <v>186321738</v>
      </c>
      <c r="I86" s="55">
        <v>14905739</v>
      </c>
      <c r="J86" s="40">
        <v>22135023</v>
      </c>
      <c r="K86" s="40">
        <f t="shared" si="9"/>
        <v>223362500</v>
      </c>
      <c r="L86" s="34">
        <v>45923</v>
      </c>
      <c r="M86" s="40">
        <v>0</v>
      </c>
      <c r="N86" s="39">
        <v>0</v>
      </c>
      <c r="O86" s="39">
        <v>197202929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26159571</v>
      </c>
      <c r="X86" s="39">
        <f t="shared" si="10"/>
        <v>0</v>
      </c>
      <c r="Y86" s="39"/>
      <c r="Z86" s="8">
        <f t="shared" si="11"/>
        <v>-22135023</v>
      </c>
      <c r="AA86" s="54">
        <f t="shared" si="14"/>
        <v>-4024549.54</v>
      </c>
      <c r="AB86" s="39">
        <f t="shared" si="13"/>
        <v>197202927.46000001</v>
      </c>
      <c r="AC86" s="55">
        <v>0</v>
      </c>
      <c r="AD86" s="3"/>
    </row>
    <row r="87" spans="1:31" s="21" customFormat="1">
      <c r="A87" s="19">
        <f t="shared" si="12"/>
        <v>83</v>
      </c>
      <c r="B87" s="3" t="s">
        <v>492</v>
      </c>
      <c r="C87" s="4">
        <v>45916</v>
      </c>
      <c r="D87" s="24">
        <v>2025</v>
      </c>
      <c r="E87" s="13" t="s">
        <v>44</v>
      </c>
      <c r="F87" s="13" t="s">
        <v>454</v>
      </c>
      <c r="G87" s="20" t="s">
        <v>493</v>
      </c>
      <c r="H87" s="55">
        <v>252252252</v>
      </c>
      <c r="I87" s="55">
        <v>0</v>
      </c>
      <c r="J87" s="40">
        <v>27747748</v>
      </c>
      <c r="K87" s="40">
        <f t="shared" si="9"/>
        <v>280000000</v>
      </c>
      <c r="L87" s="34">
        <v>45933</v>
      </c>
      <c r="M87" s="40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247207207</v>
      </c>
      <c r="V87" s="39">
        <v>0</v>
      </c>
      <c r="W87" s="39">
        <v>32792793</v>
      </c>
      <c r="X87" s="39">
        <f t="shared" si="10"/>
        <v>0</v>
      </c>
      <c r="Y87" s="39"/>
      <c r="Z87" s="8">
        <f t="shared" si="11"/>
        <v>-27747748</v>
      </c>
      <c r="AA87" s="54">
        <f t="shared" si="14"/>
        <v>-5045045.04</v>
      </c>
      <c r="AB87" s="39">
        <f t="shared" si="13"/>
        <v>247207206.96000001</v>
      </c>
      <c r="AC87" s="55">
        <v>0</v>
      </c>
      <c r="AD87" s="3"/>
    </row>
    <row r="88" spans="1:31" s="76" customFormat="1">
      <c r="A88" s="19">
        <f t="shared" si="12"/>
        <v>84</v>
      </c>
      <c r="B88" s="3" t="s">
        <v>496</v>
      </c>
      <c r="C88" s="4">
        <v>45918</v>
      </c>
      <c r="D88" s="24">
        <v>2025</v>
      </c>
      <c r="E88" s="20" t="s">
        <v>42</v>
      </c>
      <c r="F88" s="20" t="s">
        <v>377</v>
      </c>
      <c r="G88" s="20" t="s">
        <v>497</v>
      </c>
      <c r="H88" s="55">
        <v>58859523</v>
      </c>
      <c r="I88" s="55">
        <v>0</v>
      </c>
      <c r="J88" s="55">
        <v>6474548</v>
      </c>
      <c r="K88" s="40">
        <f t="shared" si="9"/>
        <v>65334071</v>
      </c>
      <c r="L88" s="34">
        <v>45947</v>
      </c>
      <c r="M88" s="40">
        <v>0</v>
      </c>
      <c r="N88" s="39">
        <v>0</v>
      </c>
      <c r="O88" s="39">
        <v>57682333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7651738</v>
      </c>
      <c r="X88" s="39">
        <f t="shared" si="10"/>
        <v>0</v>
      </c>
      <c r="Y88" s="39"/>
      <c r="Z88" s="8">
        <f t="shared" si="11"/>
        <v>-6474548</v>
      </c>
      <c r="AA88" s="54">
        <f t="shared" si="14"/>
        <v>-1177190.46</v>
      </c>
      <c r="AB88" s="39">
        <f t="shared" si="13"/>
        <v>57682332.539999999</v>
      </c>
      <c r="AC88" s="55">
        <v>0</v>
      </c>
      <c r="AD88" s="3" t="s">
        <v>495</v>
      </c>
    </row>
    <row r="89" spans="1:31" s="21" customFormat="1">
      <c r="A89" s="19">
        <f t="shared" si="12"/>
        <v>85</v>
      </c>
      <c r="B89" s="3" t="s">
        <v>505</v>
      </c>
      <c r="C89" s="4">
        <v>45945</v>
      </c>
      <c r="D89" s="24">
        <v>2025</v>
      </c>
      <c r="E89" s="20" t="s">
        <v>42</v>
      </c>
      <c r="F89" s="20" t="s">
        <v>374</v>
      </c>
      <c r="G89" s="20" t="s">
        <v>506</v>
      </c>
      <c r="H89" s="55">
        <v>26270047</v>
      </c>
      <c r="I89" s="55">
        <v>1370871</v>
      </c>
      <c r="J89" s="55">
        <v>3040501</v>
      </c>
      <c r="K89" s="40">
        <f t="shared" si="9"/>
        <v>30681419</v>
      </c>
      <c r="L89" s="34">
        <v>45982</v>
      </c>
      <c r="M89" s="40">
        <v>0</v>
      </c>
      <c r="N89" s="39">
        <v>0</v>
      </c>
      <c r="O89" s="39">
        <v>27088100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3593319</v>
      </c>
      <c r="X89" s="39">
        <f t="shared" si="10"/>
        <v>0</v>
      </c>
      <c r="Y89" s="39"/>
      <c r="Z89" s="8">
        <f t="shared" si="11"/>
        <v>-3040501</v>
      </c>
      <c r="AA89" s="54">
        <f t="shared" si="14"/>
        <v>-552818.36</v>
      </c>
      <c r="AB89" s="39">
        <f t="shared" si="13"/>
        <v>27088099.640000001</v>
      </c>
      <c r="AC89" s="55">
        <v>0</v>
      </c>
      <c r="AD89" s="3"/>
    </row>
    <row r="90" spans="1:31" s="76" customFormat="1">
      <c r="A90" s="19">
        <f t="shared" si="12"/>
        <v>86</v>
      </c>
      <c r="B90" s="3" t="s">
        <v>508</v>
      </c>
      <c r="C90" s="4">
        <v>45964</v>
      </c>
      <c r="D90" s="24">
        <v>2025</v>
      </c>
      <c r="E90" s="20" t="s">
        <v>26</v>
      </c>
      <c r="F90" s="20" t="s">
        <v>509</v>
      </c>
      <c r="G90" s="20" t="s">
        <v>510</v>
      </c>
      <c r="H90" s="55">
        <v>700996750</v>
      </c>
      <c r="I90" s="55">
        <v>70099675</v>
      </c>
      <c r="J90" s="40">
        <v>84820607</v>
      </c>
      <c r="K90" s="40">
        <f t="shared" si="9"/>
        <v>855917032</v>
      </c>
      <c r="L90" s="34">
        <v>45993</v>
      </c>
      <c r="M90" s="40">
        <v>0</v>
      </c>
      <c r="N90" s="39">
        <v>0</v>
      </c>
      <c r="O90" s="39">
        <v>755674498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100242534</v>
      </c>
      <c r="X90" s="39">
        <f t="shared" si="10"/>
        <v>0</v>
      </c>
      <c r="Y90" s="39"/>
      <c r="Z90" s="8">
        <f t="shared" si="11"/>
        <v>-84820607</v>
      </c>
      <c r="AA90" s="54">
        <f t="shared" si="14"/>
        <v>-15421928.5</v>
      </c>
      <c r="AB90" s="39">
        <f t="shared" si="13"/>
        <v>755674496.5</v>
      </c>
      <c r="AC90" s="55">
        <v>0</v>
      </c>
      <c r="AD90" s="3"/>
    </row>
    <row r="91" spans="1:31" s="21" customFormat="1">
      <c r="A91" s="19">
        <f t="shared" si="12"/>
        <v>87</v>
      </c>
      <c r="B91" s="3" t="s">
        <v>511</v>
      </c>
      <c r="C91" s="67">
        <v>45960</v>
      </c>
      <c r="D91" s="24">
        <v>2025</v>
      </c>
      <c r="E91" s="20" t="s">
        <v>268</v>
      </c>
      <c r="F91" s="20" t="s">
        <v>59</v>
      </c>
      <c r="G91" s="20" t="s">
        <v>512</v>
      </c>
      <c r="H91" s="8">
        <v>7586640</v>
      </c>
      <c r="I91" s="8">
        <v>0</v>
      </c>
      <c r="J91" s="40">
        <v>0</v>
      </c>
      <c r="K91" s="40">
        <f t="shared" si="9"/>
        <v>7586640</v>
      </c>
      <c r="L91" s="67">
        <v>45957</v>
      </c>
      <c r="M91" s="40">
        <v>7586640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f t="shared" si="10"/>
        <v>0</v>
      </c>
      <c r="Y91" s="39"/>
      <c r="Z91" s="8">
        <f t="shared" si="11"/>
        <v>0</v>
      </c>
      <c r="AA91" s="39">
        <v>0</v>
      </c>
      <c r="AB91" s="39">
        <v>0</v>
      </c>
      <c r="AC91" s="55">
        <v>0</v>
      </c>
      <c r="AD91" s="3"/>
    </row>
    <row r="92" spans="1:31" s="21" customFormat="1">
      <c r="A92" s="19">
        <f t="shared" si="12"/>
        <v>88</v>
      </c>
      <c r="B92" s="3">
        <v>216</v>
      </c>
      <c r="C92" s="4"/>
      <c r="D92" s="24">
        <v>2025</v>
      </c>
      <c r="E92" s="20" t="s">
        <v>461</v>
      </c>
      <c r="F92" s="20" t="s">
        <v>66</v>
      </c>
      <c r="G92" s="20" t="s">
        <v>462</v>
      </c>
      <c r="H92" s="55">
        <v>2985000000</v>
      </c>
      <c r="I92" s="55">
        <v>0</v>
      </c>
      <c r="J92" s="55">
        <v>0</v>
      </c>
      <c r="K92" s="40">
        <f t="shared" si="9"/>
        <v>2985000000</v>
      </c>
      <c r="L92" s="34">
        <v>45860</v>
      </c>
      <c r="M92" s="40">
        <v>2985000000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f t="shared" si="10"/>
        <v>0</v>
      </c>
      <c r="Y92" s="39"/>
      <c r="Z92" s="8">
        <f t="shared" si="11"/>
        <v>0</v>
      </c>
      <c r="AA92" s="39">
        <v>0</v>
      </c>
      <c r="AB92" s="39">
        <v>0</v>
      </c>
      <c r="AC92" s="55">
        <v>0</v>
      </c>
      <c r="AD92" s="3"/>
    </row>
    <row r="93" spans="1:31" s="21" customFormat="1">
      <c r="A93" s="19">
        <f t="shared" si="12"/>
        <v>89</v>
      </c>
      <c r="B93" s="3" t="s">
        <v>643</v>
      </c>
      <c r="C93" s="4">
        <v>46057</v>
      </c>
      <c r="D93" s="2">
        <v>2025</v>
      </c>
      <c r="E93" s="20" t="s">
        <v>644</v>
      </c>
      <c r="F93" s="20" t="s">
        <v>645</v>
      </c>
      <c r="G93" s="20" t="s">
        <v>646</v>
      </c>
      <c r="H93" s="55">
        <v>84355056</v>
      </c>
      <c r="I93" s="55">
        <v>8435506</v>
      </c>
      <c r="J93" s="55">
        <v>0</v>
      </c>
      <c r="K93" s="40">
        <f t="shared" si="9"/>
        <v>92790562</v>
      </c>
      <c r="L93" s="34"/>
      <c r="M93" s="40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f t="shared" si="10"/>
        <v>92790562</v>
      </c>
      <c r="Y93" s="39"/>
      <c r="Z93" s="8">
        <f t="shared" si="11"/>
        <v>0</v>
      </c>
      <c r="AA93" s="39">
        <v>0</v>
      </c>
      <c r="AB93" s="39">
        <v>0</v>
      </c>
      <c r="AC93" s="55">
        <f>K93+AA93</f>
        <v>92790562</v>
      </c>
      <c r="AD93" s="3"/>
    </row>
    <row r="94" spans="1:31" s="21" customFormat="1">
      <c r="A94" s="19">
        <f t="shared" si="12"/>
        <v>90</v>
      </c>
      <c r="B94" s="3" t="s">
        <v>635</v>
      </c>
      <c r="C94" s="4">
        <v>46013</v>
      </c>
      <c r="D94" s="24">
        <v>2025</v>
      </c>
      <c r="E94" s="20" t="s">
        <v>42</v>
      </c>
      <c r="F94" s="20" t="s">
        <v>242</v>
      </c>
      <c r="G94" s="20" t="s">
        <v>634</v>
      </c>
      <c r="H94" s="55">
        <v>128247024</v>
      </c>
      <c r="I94" s="55">
        <v>2819018</v>
      </c>
      <c r="J94" s="55">
        <v>14417265</v>
      </c>
      <c r="K94" s="40">
        <f t="shared" si="9"/>
        <v>145483307</v>
      </c>
      <c r="L94" s="34"/>
      <c r="M94" s="40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f t="shared" si="10"/>
        <v>145483307</v>
      </c>
      <c r="Y94" s="39"/>
      <c r="Z94" s="8">
        <f t="shared" si="11"/>
        <v>-14417265</v>
      </c>
      <c r="AA94" s="39">
        <f t="shared" ref="AA94:AA100" si="15">-(H94+I94)*2%</f>
        <v>-2621320.84</v>
      </c>
      <c r="AB94" s="39">
        <f t="shared" ref="AB94:AB100" si="16">K94+Z94+AA94</f>
        <v>128444721.16</v>
      </c>
      <c r="AC94" s="55">
        <v>0</v>
      </c>
      <c r="AD94" s="84" t="s">
        <v>1</v>
      </c>
    </row>
    <row r="95" spans="1:31" s="76" customFormat="1">
      <c r="A95" s="19">
        <f t="shared" si="12"/>
        <v>91</v>
      </c>
      <c r="B95" s="3" t="s">
        <v>613</v>
      </c>
      <c r="C95" s="4">
        <v>46006</v>
      </c>
      <c r="D95" s="2">
        <v>2025</v>
      </c>
      <c r="E95" s="20" t="s">
        <v>28</v>
      </c>
      <c r="F95" s="20" t="s">
        <v>632</v>
      </c>
      <c r="G95" s="20" t="s">
        <v>614</v>
      </c>
      <c r="H95" s="40">
        <v>140700000</v>
      </c>
      <c r="I95" s="40">
        <v>14070000</v>
      </c>
      <c r="J95" s="40">
        <v>17024700</v>
      </c>
      <c r="K95" s="40">
        <f t="shared" si="9"/>
        <v>171794700</v>
      </c>
      <c r="L95" s="34"/>
      <c r="M95" s="40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f t="shared" si="10"/>
        <v>171794700</v>
      </c>
      <c r="Y95" s="39"/>
      <c r="Z95" s="8">
        <f t="shared" si="11"/>
        <v>-17024700</v>
      </c>
      <c r="AA95" s="39">
        <f t="shared" si="15"/>
        <v>-3095400</v>
      </c>
      <c r="AB95" s="39">
        <f t="shared" si="16"/>
        <v>151674600</v>
      </c>
      <c r="AC95" s="55">
        <v>0</v>
      </c>
      <c r="AD95" s="3"/>
    </row>
    <row r="96" spans="1:31" s="76" customFormat="1">
      <c r="A96" s="19">
        <f t="shared" si="12"/>
        <v>92</v>
      </c>
      <c r="B96" s="3" t="s">
        <v>617</v>
      </c>
      <c r="C96" s="4">
        <v>46002</v>
      </c>
      <c r="D96" s="2">
        <v>2025</v>
      </c>
      <c r="E96" s="20" t="s">
        <v>42</v>
      </c>
      <c r="F96" s="20" t="s">
        <v>619</v>
      </c>
      <c r="G96" s="20" t="s">
        <v>618</v>
      </c>
      <c r="H96" s="55">
        <v>40236000</v>
      </c>
      <c r="I96" s="55">
        <v>2816520</v>
      </c>
      <c r="J96" s="55">
        <v>4735777</v>
      </c>
      <c r="K96" s="40">
        <f t="shared" si="9"/>
        <v>47788297</v>
      </c>
      <c r="L96" s="34"/>
      <c r="M96" s="40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f t="shared" si="10"/>
        <v>47788297</v>
      </c>
      <c r="Y96" s="39"/>
      <c r="Z96" s="8">
        <f t="shared" si="11"/>
        <v>-4735777</v>
      </c>
      <c r="AA96" s="39">
        <f t="shared" si="15"/>
        <v>-861050.4</v>
      </c>
      <c r="AB96" s="39">
        <f t="shared" si="16"/>
        <v>42191469.600000001</v>
      </c>
      <c r="AC96" s="55">
        <v>0</v>
      </c>
      <c r="AD96" s="3"/>
    </row>
    <row r="97" spans="1:30" s="21" customFormat="1">
      <c r="A97" s="19">
        <f t="shared" si="12"/>
        <v>93</v>
      </c>
      <c r="B97" s="3" t="s">
        <v>624</v>
      </c>
      <c r="C97" s="4">
        <v>46009</v>
      </c>
      <c r="D97" s="24">
        <v>2025</v>
      </c>
      <c r="E97" s="20" t="s">
        <v>28</v>
      </c>
      <c r="F97" s="20" t="s">
        <v>608</v>
      </c>
      <c r="G97" s="20" t="s">
        <v>625</v>
      </c>
      <c r="H97" s="55">
        <v>532350532</v>
      </c>
      <c r="I97" s="55">
        <v>53235053</v>
      </c>
      <c r="J97" s="55">
        <v>64414415</v>
      </c>
      <c r="K97" s="40">
        <f t="shared" si="9"/>
        <v>650000000</v>
      </c>
      <c r="L97" s="34"/>
      <c r="M97" s="40">
        <v>0</v>
      </c>
      <c r="N97" s="39">
        <v>0</v>
      </c>
      <c r="O97" s="39">
        <v>0</v>
      </c>
      <c r="P97" s="39">
        <v>0</v>
      </c>
      <c r="Q97" s="39">
        <v>0</v>
      </c>
      <c r="R97" s="39">
        <v>573873873</v>
      </c>
      <c r="S97" s="39">
        <v>0</v>
      </c>
      <c r="T97" s="39">
        <v>0</v>
      </c>
      <c r="U97" s="39">
        <v>0</v>
      </c>
      <c r="V97" s="39">
        <v>0</v>
      </c>
      <c r="W97" s="39">
        <v>76126127</v>
      </c>
      <c r="X97" s="39">
        <f t="shared" si="10"/>
        <v>0</v>
      </c>
      <c r="Y97" s="39"/>
      <c r="Z97" s="8">
        <f t="shared" si="11"/>
        <v>-64414415</v>
      </c>
      <c r="AA97" s="39">
        <f t="shared" si="15"/>
        <v>-11711711.700000001</v>
      </c>
      <c r="AB97" s="39">
        <f t="shared" si="16"/>
        <v>573873873.29999995</v>
      </c>
      <c r="AC97" s="55">
        <v>0</v>
      </c>
      <c r="AD97" s="3"/>
    </row>
    <row r="98" spans="1:30" s="21" customFormat="1">
      <c r="A98" s="19">
        <f t="shared" si="12"/>
        <v>94</v>
      </c>
      <c r="B98" s="3" t="s">
        <v>626</v>
      </c>
      <c r="C98" s="4">
        <v>46009</v>
      </c>
      <c r="D98" s="24">
        <v>2025</v>
      </c>
      <c r="E98" s="20" t="s">
        <v>28</v>
      </c>
      <c r="F98" s="20" t="s">
        <v>594</v>
      </c>
      <c r="G98" s="20" t="s">
        <v>627</v>
      </c>
      <c r="H98" s="55">
        <v>409500410</v>
      </c>
      <c r="I98" s="55">
        <v>40950040</v>
      </c>
      <c r="J98" s="55">
        <v>49549550</v>
      </c>
      <c r="K98" s="40">
        <f t="shared" si="9"/>
        <v>500000000</v>
      </c>
      <c r="L98" s="34"/>
      <c r="M98" s="40">
        <v>0</v>
      </c>
      <c r="N98" s="39">
        <v>0</v>
      </c>
      <c r="O98" s="39">
        <v>0</v>
      </c>
      <c r="P98" s="39">
        <v>0</v>
      </c>
      <c r="Q98" s="39">
        <v>0</v>
      </c>
      <c r="R98" s="39">
        <v>441441441</v>
      </c>
      <c r="S98" s="39">
        <v>0</v>
      </c>
      <c r="T98" s="39">
        <v>0</v>
      </c>
      <c r="U98" s="39">
        <v>0</v>
      </c>
      <c r="V98" s="39">
        <v>0</v>
      </c>
      <c r="W98" s="39">
        <v>58558559</v>
      </c>
      <c r="X98" s="39">
        <f t="shared" si="10"/>
        <v>0</v>
      </c>
      <c r="Y98" s="39"/>
      <c r="Z98" s="8">
        <f t="shared" si="11"/>
        <v>-49549550</v>
      </c>
      <c r="AA98" s="39">
        <f t="shared" si="15"/>
        <v>-9009009</v>
      </c>
      <c r="AB98" s="39">
        <f t="shared" si="16"/>
        <v>441441441</v>
      </c>
      <c r="AC98" s="55">
        <v>0</v>
      </c>
      <c r="AD98" s="3"/>
    </row>
    <row r="99" spans="1:30" s="21" customFormat="1">
      <c r="A99" s="19">
        <f t="shared" si="12"/>
        <v>95</v>
      </c>
      <c r="B99" s="3" t="s">
        <v>628</v>
      </c>
      <c r="C99" s="4">
        <v>46009</v>
      </c>
      <c r="D99" s="24">
        <v>2025</v>
      </c>
      <c r="E99" s="20" t="s">
        <v>28</v>
      </c>
      <c r="F99" s="20" t="s">
        <v>509</v>
      </c>
      <c r="G99" s="20" t="s">
        <v>629</v>
      </c>
      <c r="H99" s="55">
        <v>655200655</v>
      </c>
      <c r="I99" s="55">
        <v>65520066</v>
      </c>
      <c r="J99" s="55">
        <v>79279279</v>
      </c>
      <c r="K99" s="40">
        <f t="shared" si="9"/>
        <v>800000000</v>
      </c>
      <c r="L99" s="34"/>
      <c r="M99" s="40">
        <v>0</v>
      </c>
      <c r="N99" s="39">
        <v>0</v>
      </c>
      <c r="O99" s="39">
        <v>0</v>
      </c>
      <c r="P99" s="39">
        <v>0</v>
      </c>
      <c r="Q99" s="39">
        <v>0</v>
      </c>
      <c r="R99" s="39">
        <v>706306307</v>
      </c>
      <c r="S99" s="39">
        <v>0</v>
      </c>
      <c r="T99" s="39">
        <v>0</v>
      </c>
      <c r="U99" s="39">
        <v>0</v>
      </c>
      <c r="V99" s="39">
        <v>0</v>
      </c>
      <c r="W99" s="39">
        <v>93693693</v>
      </c>
      <c r="X99" s="39">
        <f t="shared" si="10"/>
        <v>0</v>
      </c>
      <c r="Y99" s="39"/>
      <c r="Z99" s="8">
        <f t="shared" si="11"/>
        <v>-79279279</v>
      </c>
      <c r="AA99" s="39">
        <f t="shared" si="15"/>
        <v>-14414414.42</v>
      </c>
      <c r="AB99" s="39">
        <f t="shared" si="16"/>
        <v>706306306.58000004</v>
      </c>
      <c r="AC99" s="55">
        <v>0</v>
      </c>
      <c r="AD99" s="3"/>
    </row>
    <row r="100" spans="1:30" s="21" customFormat="1">
      <c r="A100" s="19">
        <f t="shared" si="12"/>
        <v>96</v>
      </c>
      <c r="B100" s="3" t="s">
        <v>589</v>
      </c>
      <c r="C100" s="4">
        <v>45996</v>
      </c>
      <c r="D100" s="24">
        <v>2025</v>
      </c>
      <c r="E100" s="20" t="s">
        <v>590</v>
      </c>
      <c r="F100" s="20" t="s">
        <v>376</v>
      </c>
      <c r="G100" s="20" t="s">
        <v>591</v>
      </c>
      <c r="H100" s="55">
        <v>910000</v>
      </c>
      <c r="I100" s="55">
        <v>0</v>
      </c>
      <c r="J100" s="55">
        <v>0</v>
      </c>
      <c r="K100" s="40">
        <f t="shared" si="9"/>
        <v>910000</v>
      </c>
      <c r="L100" s="34">
        <v>45922</v>
      </c>
      <c r="M100" s="40">
        <v>910000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f t="shared" si="10"/>
        <v>0</v>
      </c>
      <c r="Y100" s="39"/>
      <c r="Z100" s="23">
        <f t="shared" si="11"/>
        <v>0</v>
      </c>
      <c r="AA100" s="39">
        <f t="shared" si="15"/>
        <v>-18200</v>
      </c>
      <c r="AB100" s="39">
        <f t="shared" si="16"/>
        <v>891800</v>
      </c>
      <c r="AC100" s="55">
        <v>0</v>
      </c>
      <c r="AD100" s="3"/>
    </row>
    <row r="101" spans="1:30" s="21" customFormat="1">
      <c r="A101" s="19">
        <f t="shared" si="12"/>
        <v>97</v>
      </c>
      <c r="B101" s="3" t="s">
        <v>1</v>
      </c>
      <c r="C101" s="4"/>
      <c r="D101" s="24" t="s">
        <v>1</v>
      </c>
      <c r="E101" s="20" t="s">
        <v>1</v>
      </c>
      <c r="F101" s="20" t="s">
        <v>1</v>
      </c>
      <c r="G101" s="20" t="s">
        <v>1</v>
      </c>
      <c r="H101" s="54">
        <v>0</v>
      </c>
      <c r="I101" s="40">
        <v>0</v>
      </c>
      <c r="J101" s="40">
        <v>0</v>
      </c>
      <c r="K101" s="40">
        <f t="shared" si="9"/>
        <v>0</v>
      </c>
      <c r="L101" s="34" t="s">
        <v>1</v>
      </c>
      <c r="M101" s="40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f t="shared" si="10"/>
        <v>0</v>
      </c>
      <c r="Y101" s="39"/>
      <c r="Z101" s="23">
        <f t="shared" si="11"/>
        <v>0</v>
      </c>
      <c r="AA101" s="39">
        <v>0</v>
      </c>
      <c r="AB101" s="39">
        <v>0</v>
      </c>
      <c r="AC101" s="55">
        <v>0</v>
      </c>
      <c r="AD101" s="3"/>
    </row>
    <row r="102" spans="1:30" s="21" customFormat="1">
      <c r="A102" s="19">
        <f t="shared" si="12"/>
        <v>98</v>
      </c>
      <c r="B102" s="3" t="s">
        <v>620</v>
      </c>
      <c r="C102" s="4">
        <v>46013</v>
      </c>
      <c r="D102" s="2">
        <v>2025</v>
      </c>
      <c r="E102" s="20" t="s">
        <v>42</v>
      </c>
      <c r="F102" s="21" t="s">
        <v>515</v>
      </c>
      <c r="G102" s="20" t="s">
        <v>1</v>
      </c>
      <c r="H102" s="55">
        <v>70552968</v>
      </c>
      <c r="I102" s="55">
        <v>3607691</v>
      </c>
      <c r="J102" s="55">
        <v>8157672</v>
      </c>
      <c r="K102" s="40">
        <f t="shared" si="9"/>
        <v>82318331</v>
      </c>
      <c r="L102" s="67"/>
      <c r="M102" s="40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f t="shared" si="10"/>
        <v>82318331</v>
      </c>
      <c r="Y102" s="39"/>
      <c r="Z102" s="8">
        <f t="shared" si="11"/>
        <v>-8157672</v>
      </c>
      <c r="AA102" s="39">
        <f t="shared" ref="AA102:AA111" si="17">-(H102+I102)*2%</f>
        <v>-1483213.18</v>
      </c>
      <c r="AB102" s="39">
        <f t="shared" ref="AB102:AB120" si="18">K102+Z102+AA102</f>
        <v>72677445.819999993</v>
      </c>
      <c r="AC102" s="55">
        <v>0</v>
      </c>
      <c r="AD102" s="3"/>
    </row>
    <row r="103" spans="1:30" s="21" customFormat="1">
      <c r="A103" s="19">
        <f t="shared" si="12"/>
        <v>99</v>
      </c>
      <c r="B103" s="3" t="s">
        <v>636</v>
      </c>
      <c r="C103" s="4">
        <v>46013</v>
      </c>
      <c r="D103" s="2">
        <v>2025</v>
      </c>
      <c r="E103" s="20" t="s">
        <v>42</v>
      </c>
      <c r="F103" s="20" t="s">
        <v>526</v>
      </c>
      <c r="G103" s="20" t="s">
        <v>1</v>
      </c>
      <c r="H103" s="55">
        <v>11109554</v>
      </c>
      <c r="I103" s="55">
        <v>150000</v>
      </c>
      <c r="J103" s="55">
        <v>1238551</v>
      </c>
      <c r="K103" s="40">
        <f t="shared" si="9"/>
        <v>12498105</v>
      </c>
      <c r="L103" s="67"/>
      <c r="M103" s="40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f t="shared" si="10"/>
        <v>12498105</v>
      </c>
      <c r="Y103" s="39"/>
      <c r="Z103" s="8">
        <f t="shared" si="11"/>
        <v>-1238551</v>
      </c>
      <c r="AA103" s="39">
        <f t="shared" si="17"/>
        <v>-225191.08000000002</v>
      </c>
      <c r="AB103" s="39">
        <f t="shared" si="18"/>
        <v>11034362.92</v>
      </c>
      <c r="AC103" s="55">
        <v>0</v>
      </c>
      <c r="AD103" s="3"/>
    </row>
    <row r="104" spans="1:30" s="21" customFormat="1">
      <c r="A104" s="19">
        <f t="shared" si="12"/>
        <v>100</v>
      </c>
      <c r="B104" s="3" t="s">
        <v>639</v>
      </c>
      <c r="C104" s="4">
        <v>46013</v>
      </c>
      <c r="D104" s="2">
        <v>2025</v>
      </c>
      <c r="E104" s="20" t="s">
        <v>42</v>
      </c>
      <c r="F104" s="20" t="s">
        <v>640</v>
      </c>
      <c r="G104" s="20" t="s">
        <v>1</v>
      </c>
      <c r="H104" s="55">
        <v>21836850</v>
      </c>
      <c r="I104" s="55">
        <v>478726</v>
      </c>
      <c r="J104" s="55">
        <v>2454713</v>
      </c>
      <c r="K104" s="40">
        <f t="shared" si="9"/>
        <v>24770289</v>
      </c>
      <c r="L104" s="34"/>
      <c r="M104" s="40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f t="shared" si="10"/>
        <v>24770289</v>
      </c>
      <c r="Y104" s="39"/>
      <c r="Z104" s="8">
        <f t="shared" si="11"/>
        <v>-2454713</v>
      </c>
      <c r="AA104" s="39">
        <f t="shared" si="17"/>
        <v>-446311.52</v>
      </c>
      <c r="AB104" s="39">
        <f t="shared" si="18"/>
        <v>21869264.48</v>
      </c>
      <c r="AC104" s="55">
        <v>0</v>
      </c>
      <c r="AD104" s="3"/>
    </row>
    <row r="105" spans="1:30" s="21" customFormat="1">
      <c r="A105" s="19">
        <f t="shared" si="12"/>
        <v>101</v>
      </c>
      <c r="B105" s="3" t="s">
        <v>615</v>
      </c>
      <c r="C105" s="4">
        <v>46001</v>
      </c>
      <c r="D105" s="2">
        <v>2025</v>
      </c>
      <c r="E105" s="20" t="s">
        <v>42</v>
      </c>
      <c r="F105" s="20" t="s">
        <v>521</v>
      </c>
      <c r="G105" s="20" t="s">
        <v>616</v>
      </c>
      <c r="H105" s="55">
        <v>57889046</v>
      </c>
      <c r="I105" s="55">
        <v>3011259</v>
      </c>
      <c r="J105" s="55">
        <v>6699034</v>
      </c>
      <c r="K105" s="40">
        <f t="shared" si="9"/>
        <v>67599339</v>
      </c>
      <c r="L105" s="34" t="s">
        <v>1</v>
      </c>
      <c r="M105" s="40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f t="shared" si="10"/>
        <v>67599339</v>
      </c>
      <c r="Y105" s="39"/>
      <c r="Z105" s="8">
        <f t="shared" si="11"/>
        <v>-6699034</v>
      </c>
      <c r="AA105" s="39">
        <f t="shared" si="17"/>
        <v>-1218006.1000000001</v>
      </c>
      <c r="AB105" s="39">
        <f t="shared" si="18"/>
        <v>59682298.899999999</v>
      </c>
      <c r="AC105" s="55">
        <v>0</v>
      </c>
      <c r="AD105" s="3"/>
    </row>
    <row r="106" spans="1:30" s="21" customFormat="1">
      <c r="A106" s="19">
        <f t="shared" si="12"/>
        <v>102</v>
      </c>
      <c r="B106" s="3" t="s">
        <v>600</v>
      </c>
      <c r="C106" s="4">
        <v>45994</v>
      </c>
      <c r="D106" s="2">
        <v>2025</v>
      </c>
      <c r="E106" s="20" t="s">
        <v>42</v>
      </c>
      <c r="F106" s="20" t="s">
        <v>522</v>
      </c>
      <c r="G106" s="20" t="s">
        <v>601</v>
      </c>
      <c r="H106" s="55">
        <v>25500000</v>
      </c>
      <c r="I106" s="55">
        <v>2550000</v>
      </c>
      <c r="J106" s="55">
        <v>3085500</v>
      </c>
      <c r="K106" s="40">
        <f t="shared" si="9"/>
        <v>31135500</v>
      </c>
      <c r="L106" s="34" t="s">
        <v>1</v>
      </c>
      <c r="M106" s="40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f t="shared" si="10"/>
        <v>31135500</v>
      </c>
      <c r="Y106" s="39"/>
      <c r="Z106" s="8">
        <f t="shared" si="11"/>
        <v>-3085500</v>
      </c>
      <c r="AA106" s="39">
        <f t="shared" si="17"/>
        <v>-561000</v>
      </c>
      <c r="AB106" s="39">
        <f t="shared" si="18"/>
        <v>27489000</v>
      </c>
      <c r="AC106" s="55">
        <v>0</v>
      </c>
      <c r="AD106" s="3"/>
    </row>
    <row r="107" spans="1:30" s="21" customFormat="1">
      <c r="A107" s="19">
        <f t="shared" si="12"/>
        <v>103</v>
      </c>
      <c r="B107" s="3" t="s">
        <v>637</v>
      </c>
      <c r="C107" s="4">
        <v>46022</v>
      </c>
      <c r="D107" s="2">
        <v>2025</v>
      </c>
      <c r="E107" s="20" t="s">
        <v>202</v>
      </c>
      <c r="F107" s="20" t="s">
        <v>242</v>
      </c>
      <c r="G107" s="20" t="s">
        <v>466</v>
      </c>
      <c r="H107" s="54">
        <v>3465049</v>
      </c>
      <c r="I107" s="40">
        <v>0</v>
      </c>
      <c r="J107" s="40">
        <v>0</v>
      </c>
      <c r="K107" s="40">
        <f t="shared" si="9"/>
        <v>3465049</v>
      </c>
      <c r="L107" s="34">
        <v>45734</v>
      </c>
      <c r="M107" s="40">
        <v>3465049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f t="shared" si="10"/>
        <v>0</v>
      </c>
      <c r="Y107" s="39"/>
      <c r="Z107" s="8">
        <f t="shared" si="11"/>
        <v>0</v>
      </c>
      <c r="AA107" s="39">
        <f t="shared" si="17"/>
        <v>-69300.98</v>
      </c>
      <c r="AB107" s="39">
        <f t="shared" si="18"/>
        <v>3395748.02</v>
      </c>
      <c r="AC107" s="55">
        <v>0</v>
      </c>
      <c r="AD107" s="3"/>
    </row>
    <row r="108" spans="1:30" s="21" customFormat="1">
      <c r="A108" s="19">
        <f t="shared" si="12"/>
        <v>104</v>
      </c>
      <c r="B108" s="3" t="s">
        <v>561</v>
      </c>
      <c r="C108" s="4">
        <v>45968</v>
      </c>
      <c r="D108" s="24">
        <v>2025</v>
      </c>
      <c r="E108" s="20" t="s">
        <v>30</v>
      </c>
      <c r="F108" s="20" t="s">
        <v>66</v>
      </c>
      <c r="G108" s="21" t="s">
        <v>175</v>
      </c>
      <c r="H108" s="55">
        <v>1000000000</v>
      </c>
      <c r="I108" s="40">
        <v>0</v>
      </c>
      <c r="J108" s="40">
        <v>110000000</v>
      </c>
      <c r="K108" s="40">
        <f t="shared" si="9"/>
        <v>1110000000</v>
      </c>
      <c r="L108" s="34">
        <v>45986</v>
      </c>
      <c r="M108" s="40">
        <v>0</v>
      </c>
      <c r="N108" s="39">
        <v>0</v>
      </c>
      <c r="O108" s="39">
        <v>980000000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130000000</v>
      </c>
      <c r="X108" s="39">
        <f t="shared" si="10"/>
        <v>0</v>
      </c>
      <c r="Y108" s="39"/>
      <c r="Z108" s="8">
        <f t="shared" si="11"/>
        <v>-110000000</v>
      </c>
      <c r="AA108" s="39">
        <f t="shared" si="17"/>
        <v>-20000000</v>
      </c>
      <c r="AB108" s="39">
        <f t="shared" si="18"/>
        <v>980000000</v>
      </c>
      <c r="AC108" s="55">
        <v>0</v>
      </c>
      <c r="AD108" s="3"/>
    </row>
    <row r="109" spans="1:30" s="21" customFormat="1">
      <c r="A109" s="19">
        <f t="shared" si="12"/>
        <v>105</v>
      </c>
      <c r="B109" s="3" t="s">
        <v>564</v>
      </c>
      <c r="C109" s="4">
        <v>46007</v>
      </c>
      <c r="D109" s="2">
        <v>2025</v>
      </c>
      <c r="E109" s="20" t="s">
        <v>35</v>
      </c>
      <c r="F109" s="20" t="s">
        <v>519</v>
      </c>
      <c r="G109" s="21" t="s">
        <v>1</v>
      </c>
      <c r="H109" s="55">
        <v>315727100</v>
      </c>
      <c r="I109" s="40">
        <v>0</v>
      </c>
      <c r="J109" s="40">
        <v>34729981</v>
      </c>
      <c r="K109" s="40">
        <f t="shared" si="9"/>
        <v>350457081</v>
      </c>
      <c r="L109" s="34"/>
      <c r="M109" s="40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f t="shared" si="10"/>
        <v>350457081</v>
      </c>
      <c r="Y109" s="39"/>
      <c r="Z109" s="8">
        <f t="shared" si="11"/>
        <v>-34729981</v>
      </c>
      <c r="AA109" s="39">
        <f t="shared" si="17"/>
        <v>-6314542</v>
      </c>
      <c r="AB109" s="39">
        <f t="shared" si="18"/>
        <v>309412558</v>
      </c>
      <c r="AC109" s="55">
        <v>0</v>
      </c>
      <c r="AD109" s="3"/>
    </row>
    <row r="110" spans="1:30" s="76" customFormat="1">
      <c r="A110" s="19">
        <f t="shared" si="12"/>
        <v>106</v>
      </c>
      <c r="B110" s="3" t="s">
        <v>565</v>
      </c>
      <c r="C110" s="4">
        <v>45972</v>
      </c>
      <c r="D110" s="24">
        <v>2025</v>
      </c>
      <c r="E110" s="20" t="s">
        <v>566</v>
      </c>
      <c r="F110" s="20" t="s">
        <v>509</v>
      </c>
      <c r="G110" s="21" t="s">
        <v>567</v>
      </c>
      <c r="H110" s="55">
        <v>655200655</v>
      </c>
      <c r="I110" s="40">
        <v>65520066</v>
      </c>
      <c r="J110" s="40">
        <v>79279279</v>
      </c>
      <c r="K110" s="40">
        <f t="shared" si="9"/>
        <v>800000000</v>
      </c>
      <c r="L110" s="34">
        <v>45975</v>
      </c>
      <c r="M110" s="40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706306307</v>
      </c>
      <c r="T110" s="39">
        <v>0</v>
      </c>
      <c r="U110" s="39">
        <v>0</v>
      </c>
      <c r="V110" s="39">
        <v>0</v>
      </c>
      <c r="W110" s="39">
        <v>93693693</v>
      </c>
      <c r="X110" s="39">
        <f t="shared" si="10"/>
        <v>0</v>
      </c>
      <c r="Y110" s="39"/>
      <c r="Z110" s="8">
        <f t="shared" si="11"/>
        <v>-79279279</v>
      </c>
      <c r="AA110" s="39">
        <f t="shared" si="17"/>
        <v>-14414414.42</v>
      </c>
      <c r="AB110" s="39">
        <f t="shared" si="18"/>
        <v>706306306.58000004</v>
      </c>
      <c r="AC110" s="55">
        <v>0</v>
      </c>
      <c r="AD110" s="3"/>
    </row>
    <row r="111" spans="1:30" s="21" customFormat="1">
      <c r="A111" s="19">
        <f t="shared" si="12"/>
        <v>107</v>
      </c>
      <c r="B111" s="3" t="s">
        <v>532</v>
      </c>
      <c r="C111" s="4">
        <v>45972</v>
      </c>
      <c r="D111" s="24">
        <v>2025</v>
      </c>
      <c r="E111" s="20" t="s">
        <v>42</v>
      </c>
      <c r="F111" s="20" t="s">
        <v>373</v>
      </c>
      <c r="G111" s="21" t="s">
        <v>247</v>
      </c>
      <c r="H111" s="55">
        <v>40000000</v>
      </c>
      <c r="I111" s="40">
        <v>4000000</v>
      </c>
      <c r="J111" s="40">
        <v>4840000</v>
      </c>
      <c r="K111" s="40">
        <f t="shared" si="9"/>
        <v>48840000</v>
      </c>
      <c r="L111" s="34"/>
      <c r="M111" s="40">
        <v>0</v>
      </c>
      <c r="N111" s="39">
        <v>0</v>
      </c>
      <c r="O111" s="39">
        <v>43120000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5720000</v>
      </c>
      <c r="X111" s="39">
        <f t="shared" si="10"/>
        <v>0</v>
      </c>
      <c r="Y111" s="39"/>
      <c r="Z111" s="8">
        <f t="shared" si="11"/>
        <v>-4840000</v>
      </c>
      <c r="AA111" s="39">
        <f t="shared" si="17"/>
        <v>-880000</v>
      </c>
      <c r="AB111" s="39">
        <f t="shared" si="18"/>
        <v>43120000</v>
      </c>
      <c r="AC111" s="55">
        <v>0</v>
      </c>
      <c r="AD111" s="3"/>
    </row>
    <row r="112" spans="1:30" s="76" customFormat="1">
      <c r="A112" s="19">
        <f t="shared" si="12"/>
        <v>108</v>
      </c>
      <c r="B112" s="3" t="s">
        <v>568</v>
      </c>
      <c r="C112" s="4">
        <v>45972</v>
      </c>
      <c r="D112" s="2">
        <v>2025</v>
      </c>
      <c r="E112" s="20" t="s">
        <v>569</v>
      </c>
      <c r="F112" s="20" t="s">
        <v>509</v>
      </c>
      <c r="G112" s="21" t="s">
        <v>570</v>
      </c>
      <c r="H112" s="55">
        <v>675675676</v>
      </c>
      <c r="I112" s="40">
        <v>54054054</v>
      </c>
      <c r="J112" s="40">
        <v>80270270</v>
      </c>
      <c r="K112" s="40">
        <f t="shared" si="9"/>
        <v>810000000</v>
      </c>
      <c r="L112" s="34"/>
      <c r="M112" s="40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f t="shared" si="10"/>
        <v>810000000</v>
      </c>
      <c r="Y112" s="39"/>
      <c r="Z112" s="8">
        <f t="shared" si="11"/>
        <v>-80270270</v>
      </c>
      <c r="AA112" s="39">
        <f>-(I112)*2%+0.08</f>
        <v>-1081081</v>
      </c>
      <c r="AB112" s="39">
        <f t="shared" si="18"/>
        <v>728648649</v>
      </c>
      <c r="AC112" s="55">
        <v>0</v>
      </c>
      <c r="AD112" s="3"/>
    </row>
    <row r="113" spans="1:30" s="76" customFormat="1">
      <c r="A113" s="19">
        <f t="shared" si="12"/>
        <v>109</v>
      </c>
      <c r="B113" s="3" t="s">
        <v>530</v>
      </c>
      <c r="C113" s="4">
        <v>45974</v>
      </c>
      <c r="D113" s="24">
        <v>2025</v>
      </c>
      <c r="E113" s="20" t="s">
        <v>42</v>
      </c>
      <c r="F113" s="20" t="s">
        <v>238</v>
      </c>
      <c r="G113" s="20" t="s">
        <v>239</v>
      </c>
      <c r="H113" s="40">
        <v>90750000</v>
      </c>
      <c r="I113" s="40">
        <v>6300000</v>
      </c>
      <c r="J113" s="40">
        <v>10675500</v>
      </c>
      <c r="K113" s="40">
        <f t="shared" si="9"/>
        <v>107725500</v>
      </c>
      <c r="L113" s="34"/>
      <c r="M113" s="40">
        <v>0</v>
      </c>
      <c r="N113" s="39">
        <v>0</v>
      </c>
      <c r="O113" s="39">
        <v>95109000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12616500</v>
      </c>
      <c r="X113" s="39">
        <f t="shared" si="10"/>
        <v>0</v>
      </c>
      <c r="Y113" s="39"/>
      <c r="Z113" s="8">
        <f t="shared" si="11"/>
        <v>-10675500</v>
      </c>
      <c r="AA113" s="39">
        <f t="shared" ref="AA113:AA121" si="19">-(H113+I113)*2%</f>
        <v>-1941000</v>
      </c>
      <c r="AB113" s="39">
        <f t="shared" si="18"/>
        <v>95109000</v>
      </c>
      <c r="AC113" s="55">
        <v>0</v>
      </c>
      <c r="AD113" s="3"/>
    </row>
    <row r="114" spans="1:30" s="21" customFormat="1">
      <c r="A114" s="19">
        <f t="shared" si="12"/>
        <v>110</v>
      </c>
      <c r="B114" s="3" t="s">
        <v>571</v>
      </c>
      <c r="C114" s="4">
        <v>45975</v>
      </c>
      <c r="D114" s="24">
        <v>2025</v>
      </c>
      <c r="E114" s="20" t="s">
        <v>26</v>
      </c>
      <c r="F114" s="20" t="s">
        <v>520</v>
      </c>
      <c r="G114" s="21" t="s">
        <v>1</v>
      </c>
      <c r="H114" s="55">
        <v>5670326000</v>
      </c>
      <c r="I114" s="40">
        <v>396922820</v>
      </c>
      <c r="J114" s="40">
        <v>667397370</v>
      </c>
      <c r="K114" s="40">
        <f t="shared" si="9"/>
        <v>6734646190</v>
      </c>
      <c r="L114" s="34">
        <v>45994</v>
      </c>
      <c r="M114" s="40">
        <v>0</v>
      </c>
      <c r="N114" s="39">
        <v>0</v>
      </c>
      <c r="O114" s="39">
        <v>5915567599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819078591</v>
      </c>
      <c r="X114" s="39">
        <f t="shared" si="10"/>
        <v>0</v>
      </c>
      <c r="Y114" s="39"/>
      <c r="Z114" s="8">
        <f t="shared" si="11"/>
        <v>-667397370</v>
      </c>
      <c r="AA114" s="39">
        <f t="shared" si="19"/>
        <v>-121344976.40000001</v>
      </c>
      <c r="AB114" s="39">
        <f t="shared" si="18"/>
        <v>5945903843.6000004</v>
      </c>
      <c r="AC114" s="55">
        <v>0</v>
      </c>
      <c r="AD114" s="3"/>
    </row>
    <row r="115" spans="1:30" s="21" customFormat="1">
      <c r="A115" s="19">
        <f t="shared" si="12"/>
        <v>111</v>
      </c>
      <c r="B115" s="3" t="s">
        <v>572</v>
      </c>
      <c r="C115" s="4">
        <v>45975</v>
      </c>
      <c r="D115" s="2">
        <v>2025</v>
      </c>
      <c r="E115" s="20" t="s">
        <v>1</v>
      </c>
      <c r="F115" s="20" t="s">
        <v>1</v>
      </c>
      <c r="G115" s="21" t="s">
        <v>573</v>
      </c>
      <c r="H115" s="55">
        <v>0</v>
      </c>
      <c r="I115" s="40">
        <v>0</v>
      </c>
      <c r="J115" s="40">
        <v>0</v>
      </c>
      <c r="K115" s="40">
        <f t="shared" si="9"/>
        <v>0</v>
      </c>
      <c r="L115" s="34"/>
      <c r="M115" s="40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f t="shared" si="10"/>
        <v>0</v>
      </c>
      <c r="Y115" s="39"/>
      <c r="Z115" s="8">
        <f t="shared" si="11"/>
        <v>0</v>
      </c>
      <c r="AA115" s="39">
        <f t="shared" si="19"/>
        <v>0</v>
      </c>
      <c r="AB115" s="39">
        <f t="shared" si="18"/>
        <v>0</v>
      </c>
      <c r="AC115" s="55">
        <v>0</v>
      </c>
      <c r="AD115" s="3"/>
    </row>
    <row r="116" spans="1:30" s="21" customFormat="1">
      <c r="A116" s="19">
        <f t="shared" si="12"/>
        <v>112</v>
      </c>
      <c r="B116" s="3" t="s">
        <v>531</v>
      </c>
      <c r="C116" s="4">
        <v>45979</v>
      </c>
      <c r="D116" s="24">
        <v>2025</v>
      </c>
      <c r="E116" s="20" t="s">
        <v>42</v>
      </c>
      <c r="F116" s="20" t="s">
        <v>245</v>
      </c>
      <c r="G116" s="21" t="s">
        <v>246</v>
      </c>
      <c r="H116" s="55">
        <v>199962000</v>
      </c>
      <c r="I116" s="40">
        <v>19996200</v>
      </c>
      <c r="J116" s="40">
        <v>24195402</v>
      </c>
      <c r="K116" s="40">
        <f t="shared" si="9"/>
        <v>244153602</v>
      </c>
      <c r="L116" s="34">
        <v>46008</v>
      </c>
      <c r="M116" s="40">
        <v>0</v>
      </c>
      <c r="N116" s="39">
        <v>0</v>
      </c>
      <c r="O116" s="39">
        <v>215559036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28594566</v>
      </c>
      <c r="X116" s="39">
        <f t="shared" si="10"/>
        <v>0</v>
      </c>
      <c r="Y116" s="39"/>
      <c r="Z116" s="8">
        <f t="shared" si="11"/>
        <v>-24195402</v>
      </c>
      <c r="AA116" s="39">
        <f t="shared" si="19"/>
        <v>-4399164</v>
      </c>
      <c r="AB116" s="39">
        <f t="shared" si="18"/>
        <v>215559036</v>
      </c>
      <c r="AC116" s="55">
        <v>0</v>
      </c>
      <c r="AD116" s="3"/>
    </row>
    <row r="117" spans="1:30" s="21" customFormat="1">
      <c r="A117" s="19">
        <f t="shared" si="12"/>
        <v>113</v>
      </c>
      <c r="B117" s="3" t="s">
        <v>576</v>
      </c>
      <c r="C117" s="4">
        <v>45979</v>
      </c>
      <c r="D117" s="24">
        <v>2025</v>
      </c>
      <c r="E117" s="20" t="s">
        <v>42</v>
      </c>
      <c r="F117" s="20" t="s">
        <v>376</v>
      </c>
      <c r="G117" s="21" t="s">
        <v>465</v>
      </c>
      <c r="H117" s="55">
        <v>51940430</v>
      </c>
      <c r="I117" s="40">
        <v>1446800</v>
      </c>
      <c r="J117" s="40">
        <v>5872595</v>
      </c>
      <c r="K117" s="40">
        <f t="shared" si="9"/>
        <v>59259825</v>
      </c>
      <c r="L117" s="34"/>
      <c r="M117" s="40">
        <v>0</v>
      </c>
      <c r="N117" s="39">
        <v>0</v>
      </c>
      <c r="O117" s="39">
        <v>52319485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6940340</v>
      </c>
      <c r="X117" s="39">
        <f t="shared" si="10"/>
        <v>0</v>
      </c>
      <c r="Y117" s="39"/>
      <c r="Z117" s="8">
        <f t="shared" si="11"/>
        <v>-5872595</v>
      </c>
      <c r="AA117" s="39">
        <f t="shared" si="19"/>
        <v>-1067744.6000000001</v>
      </c>
      <c r="AB117" s="39">
        <f t="shared" si="18"/>
        <v>52319485.399999999</v>
      </c>
      <c r="AC117" s="55">
        <v>0</v>
      </c>
      <c r="AD117" s="3"/>
    </row>
    <row r="118" spans="1:30" s="21" customFormat="1">
      <c r="A118" s="19">
        <f t="shared" si="12"/>
        <v>114</v>
      </c>
      <c r="B118" s="3" t="s">
        <v>533</v>
      </c>
      <c r="C118" s="4">
        <v>45980</v>
      </c>
      <c r="D118" s="24">
        <v>2025</v>
      </c>
      <c r="E118" s="20" t="s">
        <v>42</v>
      </c>
      <c r="F118" s="20" t="s">
        <v>70</v>
      </c>
      <c r="G118" s="21" t="s">
        <v>241</v>
      </c>
      <c r="H118" s="55">
        <v>163950000</v>
      </c>
      <c r="I118" s="40">
        <v>10829250</v>
      </c>
      <c r="J118" s="40">
        <v>19225718</v>
      </c>
      <c r="K118" s="40">
        <f t="shared" si="9"/>
        <v>194004968</v>
      </c>
      <c r="L118" s="34"/>
      <c r="M118" s="40">
        <v>0</v>
      </c>
      <c r="N118" s="39">
        <v>0</v>
      </c>
      <c r="O118" s="39">
        <v>171283665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22721303</v>
      </c>
      <c r="X118" s="39">
        <f t="shared" si="10"/>
        <v>0</v>
      </c>
      <c r="Y118" s="39"/>
      <c r="Z118" s="8">
        <f t="shared" si="11"/>
        <v>-19225718</v>
      </c>
      <c r="AA118" s="39">
        <f t="shared" si="19"/>
        <v>-3495585</v>
      </c>
      <c r="AB118" s="39">
        <f t="shared" si="18"/>
        <v>171283665</v>
      </c>
      <c r="AC118" s="55">
        <v>0</v>
      </c>
      <c r="AD118" s="3"/>
    </row>
    <row r="119" spans="1:30" s="21" customFormat="1">
      <c r="A119" s="19">
        <f t="shared" si="12"/>
        <v>115</v>
      </c>
      <c r="B119" s="3" t="s">
        <v>592</v>
      </c>
      <c r="C119" s="4">
        <v>45981</v>
      </c>
      <c r="D119" s="24">
        <v>2025</v>
      </c>
      <c r="E119" s="20" t="s">
        <v>579</v>
      </c>
      <c r="F119" s="20" t="s">
        <v>509</v>
      </c>
      <c r="G119" s="21" t="s">
        <v>580</v>
      </c>
      <c r="H119" s="55">
        <v>625625626</v>
      </c>
      <c r="I119" s="40">
        <v>50050050</v>
      </c>
      <c r="J119" s="40">
        <v>74324324</v>
      </c>
      <c r="K119" s="40">
        <f t="shared" si="9"/>
        <v>750000000</v>
      </c>
      <c r="L119" s="34">
        <v>45995</v>
      </c>
      <c r="M119" s="40">
        <v>0</v>
      </c>
      <c r="N119" s="39">
        <v>0</v>
      </c>
      <c r="O119" s="39">
        <v>662162162.44000006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87837837.559999943</v>
      </c>
      <c r="X119" s="39">
        <f t="shared" si="10"/>
        <v>0</v>
      </c>
      <c r="Y119" s="39"/>
      <c r="Z119" s="8">
        <f t="shared" si="11"/>
        <v>-74324324</v>
      </c>
      <c r="AA119" s="39">
        <f t="shared" si="19"/>
        <v>-13513513.52</v>
      </c>
      <c r="AB119" s="39">
        <f t="shared" si="18"/>
        <v>662162162.48000002</v>
      </c>
      <c r="AC119" s="55">
        <v>0</v>
      </c>
      <c r="AD119" s="3"/>
    </row>
    <row r="120" spans="1:30" s="21" customFormat="1">
      <c r="A120" s="19">
        <f t="shared" si="12"/>
        <v>116</v>
      </c>
      <c r="B120" s="3" t="s">
        <v>647</v>
      </c>
      <c r="C120" s="4">
        <v>46077</v>
      </c>
      <c r="D120" s="24">
        <v>2025</v>
      </c>
      <c r="E120" s="20" t="s">
        <v>42</v>
      </c>
      <c r="F120" s="20" t="s">
        <v>285</v>
      </c>
      <c r="G120" s="21" t="s">
        <v>648</v>
      </c>
      <c r="H120" s="55">
        <v>5355000</v>
      </c>
      <c r="I120" s="40">
        <v>0</v>
      </c>
      <c r="J120" s="40">
        <v>0</v>
      </c>
      <c r="K120" s="40">
        <f t="shared" si="9"/>
        <v>5355000</v>
      </c>
      <c r="L120" s="34"/>
      <c r="M120" s="40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f t="shared" si="10"/>
        <v>5355000</v>
      </c>
      <c r="Y120" s="39"/>
      <c r="Z120" s="8">
        <f t="shared" si="11"/>
        <v>0</v>
      </c>
      <c r="AA120" s="39">
        <f t="shared" si="19"/>
        <v>-107100</v>
      </c>
      <c r="AB120" s="39">
        <f t="shared" si="18"/>
        <v>5247900</v>
      </c>
      <c r="AC120" s="55">
        <v>0</v>
      </c>
      <c r="AD120" s="3"/>
    </row>
    <row r="121" spans="1:30" s="21" customFormat="1">
      <c r="A121" s="19">
        <f t="shared" si="12"/>
        <v>117</v>
      </c>
      <c r="B121" s="3" t="s">
        <v>80</v>
      </c>
      <c r="C121" s="4">
        <v>45687</v>
      </c>
      <c r="D121" s="2">
        <v>2025</v>
      </c>
      <c r="E121" s="27" t="s">
        <v>28</v>
      </c>
      <c r="F121" s="27" t="s">
        <v>66</v>
      </c>
      <c r="G121" s="27" t="s">
        <v>176</v>
      </c>
      <c r="H121" s="8">
        <v>5000000</v>
      </c>
      <c r="I121" s="8">
        <v>0</v>
      </c>
      <c r="J121" s="73">
        <v>550000</v>
      </c>
      <c r="K121" s="40">
        <f t="shared" si="9"/>
        <v>5550000</v>
      </c>
      <c r="L121" s="34">
        <v>45708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5450000</v>
      </c>
      <c r="S121" s="40">
        <v>0</v>
      </c>
      <c r="T121" s="40">
        <v>0</v>
      </c>
      <c r="U121" s="39">
        <v>0</v>
      </c>
      <c r="V121" s="40">
        <v>0</v>
      </c>
      <c r="W121" s="40">
        <v>100000</v>
      </c>
      <c r="X121" s="39">
        <f t="shared" si="10"/>
        <v>0</v>
      </c>
      <c r="Y121" s="23"/>
      <c r="Z121" s="23">
        <f t="shared" si="11"/>
        <v>-550000</v>
      </c>
      <c r="AA121" s="54">
        <f t="shared" si="19"/>
        <v>-100000</v>
      </c>
      <c r="AB121" s="39">
        <v>0</v>
      </c>
      <c r="AC121" s="55">
        <f t="shared" ref="AC121:AC128" si="20">K121+AA121</f>
        <v>5450000</v>
      </c>
      <c r="AD121" s="20"/>
    </row>
    <row r="122" spans="1:30" s="21" customFormat="1">
      <c r="A122" s="19">
        <f t="shared" si="12"/>
        <v>118</v>
      </c>
      <c r="B122" s="3" t="s">
        <v>82</v>
      </c>
      <c r="C122" s="4">
        <v>45679</v>
      </c>
      <c r="D122" s="2">
        <v>2025</v>
      </c>
      <c r="E122" s="20" t="s">
        <v>52</v>
      </c>
      <c r="F122" s="20" t="s">
        <v>66</v>
      </c>
      <c r="G122" s="20" t="s">
        <v>175</v>
      </c>
      <c r="H122" s="40">
        <v>5000000</v>
      </c>
      <c r="I122" s="40">
        <v>0</v>
      </c>
      <c r="J122" s="72">
        <v>550000</v>
      </c>
      <c r="K122" s="40">
        <f t="shared" si="9"/>
        <v>5550000</v>
      </c>
      <c r="L122" s="34">
        <v>45693</v>
      </c>
      <c r="M122" s="40">
        <v>0</v>
      </c>
      <c r="N122" s="39">
        <v>0</v>
      </c>
      <c r="O122" s="39">
        <v>0</v>
      </c>
      <c r="P122" s="39">
        <v>5550000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f t="shared" si="10"/>
        <v>0</v>
      </c>
      <c r="Y122" s="39"/>
      <c r="Z122" s="23">
        <f t="shared" si="11"/>
        <v>-550000</v>
      </c>
      <c r="AA122" s="54">
        <v>0</v>
      </c>
      <c r="AB122" s="39">
        <v>0</v>
      </c>
      <c r="AC122" s="55">
        <f t="shared" si="20"/>
        <v>5550000</v>
      </c>
      <c r="AD122" s="3"/>
    </row>
    <row r="123" spans="1:30" s="21" customFormat="1">
      <c r="A123" s="19">
        <f t="shared" si="12"/>
        <v>119</v>
      </c>
      <c r="B123" s="3" t="s">
        <v>83</v>
      </c>
      <c r="C123" s="4">
        <v>45692</v>
      </c>
      <c r="D123" s="2">
        <v>2025</v>
      </c>
      <c r="E123" s="20" t="s">
        <v>44</v>
      </c>
      <c r="F123" s="20" t="s">
        <v>66</v>
      </c>
      <c r="G123" s="20" t="s">
        <v>176</v>
      </c>
      <c r="H123" s="55">
        <v>5600000</v>
      </c>
      <c r="I123" s="55">
        <v>0</v>
      </c>
      <c r="J123" s="75">
        <v>616000</v>
      </c>
      <c r="K123" s="40">
        <f t="shared" si="9"/>
        <v>6216000</v>
      </c>
      <c r="L123" s="34">
        <v>45698</v>
      </c>
      <c r="M123" s="40">
        <v>0</v>
      </c>
      <c r="N123" s="40">
        <v>0</v>
      </c>
      <c r="O123" s="40">
        <v>0</v>
      </c>
      <c r="P123" s="40">
        <v>6216000</v>
      </c>
      <c r="Q123" s="40">
        <v>0</v>
      </c>
      <c r="R123" s="40">
        <v>0</v>
      </c>
      <c r="S123" s="40">
        <v>0</v>
      </c>
      <c r="T123" s="40">
        <v>0</v>
      </c>
      <c r="U123" s="39">
        <v>0</v>
      </c>
      <c r="V123" s="40">
        <v>0</v>
      </c>
      <c r="W123" s="40">
        <v>0</v>
      </c>
      <c r="X123" s="39">
        <f t="shared" si="10"/>
        <v>0</v>
      </c>
      <c r="Y123" s="23"/>
      <c r="Z123" s="23">
        <f t="shared" si="11"/>
        <v>-616000</v>
      </c>
      <c r="AA123" s="54">
        <v>0</v>
      </c>
      <c r="AB123" s="39">
        <v>0</v>
      </c>
      <c r="AC123" s="55">
        <f t="shared" si="20"/>
        <v>6216000</v>
      </c>
      <c r="AD123" s="20"/>
    </row>
    <row r="124" spans="1:30" s="21" customFormat="1">
      <c r="A124" s="19">
        <f t="shared" si="12"/>
        <v>120</v>
      </c>
      <c r="B124" s="3" t="s">
        <v>109</v>
      </c>
      <c r="C124" s="4">
        <v>45692</v>
      </c>
      <c r="D124" s="2">
        <v>2025</v>
      </c>
      <c r="E124" s="20" t="s">
        <v>32</v>
      </c>
      <c r="F124" s="20" t="s">
        <v>66</v>
      </c>
      <c r="G124" s="20" t="s">
        <v>176</v>
      </c>
      <c r="H124" s="40">
        <v>6300000</v>
      </c>
      <c r="I124" s="40">
        <v>0</v>
      </c>
      <c r="J124" s="72">
        <v>693000</v>
      </c>
      <c r="K124" s="40">
        <f t="shared" si="9"/>
        <v>6993000</v>
      </c>
      <c r="L124" s="34">
        <v>45709</v>
      </c>
      <c r="M124" s="40">
        <v>0</v>
      </c>
      <c r="N124" s="39">
        <v>0</v>
      </c>
      <c r="O124" s="39">
        <v>0</v>
      </c>
      <c r="P124" s="39">
        <v>6867000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126000</v>
      </c>
      <c r="X124" s="39">
        <f t="shared" si="10"/>
        <v>0</v>
      </c>
      <c r="Y124" s="39"/>
      <c r="Z124" s="23">
        <f t="shared" si="11"/>
        <v>-693000</v>
      </c>
      <c r="AA124" s="54">
        <f>-(H124+I124)*2%</f>
        <v>-126000</v>
      </c>
      <c r="AB124" s="39">
        <v>0</v>
      </c>
      <c r="AC124" s="55">
        <f t="shared" si="20"/>
        <v>6867000</v>
      </c>
      <c r="AD124" s="3"/>
    </row>
    <row r="125" spans="1:30" s="21" customFormat="1">
      <c r="A125" s="19">
        <f t="shared" si="12"/>
        <v>121</v>
      </c>
      <c r="B125" s="3" t="s">
        <v>110</v>
      </c>
      <c r="C125" s="4">
        <v>45692</v>
      </c>
      <c r="D125" s="2">
        <v>2025</v>
      </c>
      <c r="E125" s="20" t="s">
        <v>35</v>
      </c>
      <c r="F125" s="20" t="s">
        <v>66</v>
      </c>
      <c r="G125" s="20" t="s">
        <v>176</v>
      </c>
      <c r="H125" s="40">
        <v>5200000</v>
      </c>
      <c r="I125" s="40">
        <v>0</v>
      </c>
      <c r="J125" s="72">
        <v>572000</v>
      </c>
      <c r="K125" s="40">
        <f t="shared" si="9"/>
        <v>5772000</v>
      </c>
      <c r="L125" s="34">
        <v>45694</v>
      </c>
      <c r="M125" s="40">
        <v>0</v>
      </c>
      <c r="N125" s="39">
        <v>0</v>
      </c>
      <c r="O125" s="39">
        <v>0</v>
      </c>
      <c r="P125" s="39">
        <v>5772000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f t="shared" si="10"/>
        <v>0</v>
      </c>
      <c r="Y125" s="39"/>
      <c r="Z125" s="23">
        <f t="shared" si="11"/>
        <v>-572000</v>
      </c>
      <c r="AA125" s="54">
        <v>0</v>
      </c>
      <c r="AB125" s="39">
        <v>0</v>
      </c>
      <c r="AC125" s="55">
        <f t="shared" si="20"/>
        <v>5772000</v>
      </c>
      <c r="AD125" s="3"/>
    </row>
    <row r="126" spans="1:30" s="76" customFormat="1">
      <c r="A126" s="19">
        <f t="shared" si="12"/>
        <v>122</v>
      </c>
      <c r="B126" s="3" t="s">
        <v>111</v>
      </c>
      <c r="C126" s="4">
        <v>45692</v>
      </c>
      <c r="D126" s="2">
        <v>2025</v>
      </c>
      <c r="E126" s="20" t="s">
        <v>34</v>
      </c>
      <c r="F126" s="20" t="s">
        <v>66</v>
      </c>
      <c r="G126" s="20" t="s">
        <v>176</v>
      </c>
      <c r="H126" s="40">
        <v>5250000</v>
      </c>
      <c r="I126" s="40">
        <v>0</v>
      </c>
      <c r="J126" s="72">
        <v>577500</v>
      </c>
      <c r="K126" s="40">
        <f t="shared" si="9"/>
        <v>5827500</v>
      </c>
      <c r="L126" s="34">
        <v>45708</v>
      </c>
      <c r="M126" s="40">
        <v>0</v>
      </c>
      <c r="N126" s="39">
        <v>0</v>
      </c>
      <c r="O126" s="39">
        <v>0</v>
      </c>
      <c r="P126" s="39">
        <v>5827500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f t="shared" si="10"/>
        <v>0</v>
      </c>
      <c r="Y126" s="39"/>
      <c r="Z126" s="23">
        <f t="shared" si="11"/>
        <v>-577500</v>
      </c>
      <c r="AA126" s="54">
        <v>0</v>
      </c>
      <c r="AB126" s="39">
        <v>0</v>
      </c>
      <c r="AC126" s="55">
        <f t="shared" si="20"/>
        <v>5827500</v>
      </c>
      <c r="AD126" s="3"/>
    </row>
    <row r="127" spans="1:30" s="21" customFormat="1">
      <c r="A127" s="19">
        <f t="shared" si="12"/>
        <v>123</v>
      </c>
      <c r="B127" s="3" t="s">
        <v>112</v>
      </c>
      <c r="C127" s="4">
        <v>45705</v>
      </c>
      <c r="D127" s="2">
        <v>2025</v>
      </c>
      <c r="E127" s="20" t="s">
        <v>27</v>
      </c>
      <c r="F127" s="20" t="s">
        <v>66</v>
      </c>
      <c r="G127" s="20" t="s">
        <v>176</v>
      </c>
      <c r="H127" s="40">
        <v>5000000</v>
      </c>
      <c r="I127" s="40">
        <v>0</v>
      </c>
      <c r="J127" s="72">
        <v>550000</v>
      </c>
      <c r="K127" s="40">
        <f t="shared" si="9"/>
        <v>5550000</v>
      </c>
      <c r="L127" s="34">
        <v>45721</v>
      </c>
      <c r="M127" s="40">
        <v>0</v>
      </c>
      <c r="N127" s="39">
        <v>0</v>
      </c>
      <c r="O127" s="39">
        <v>0</v>
      </c>
      <c r="P127" s="39">
        <v>5550000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f t="shared" si="10"/>
        <v>0</v>
      </c>
      <c r="Y127" s="39"/>
      <c r="Z127" s="23">
        <f t="shared" si="11"/>
        <v>-550000</v>
      </c>
      <c r="AA127" s="54">
        <v>0</v>
      </c>
      <c r="AB127" s="39">
        <v>0</v>
      </c>
      <c r="AC127" s="55">
        <f t="shared" si="20"/>
        <v>5550000</v>
      </c>
      <c r="AD127" s="3"/>
    </row>
    <row r="128" spans="1:30" s="21" customFormat="1">
      <c r="A128" s="19">
        <f t="shared" si="12"/>
        <v>124</v>
      </c>
      <c r="B128" s="3" t="s">
        <v>113</v>
      </c>
      <c r="C128" s="4">
        <v>45692</v>
      </c>
      <c r="D128" s="2">
        <v>2025</v>
      </c>
      <c r="E128" s="20" t="s">
        <v>30</v>
      </c>
      <c r="F128" s="20" t="s">
        <v>66</v>
      </c>
      <c r="G128" s="20" t="s">
        <v>176</v>
      </c>
      <c r="H128" s="40">
        <v>5000000</v>
      </c>
      <c r="I128" s="40">
        <v>0</v>
      </c>
      <c r="J128" s="72">
        <v>550000</v>
      </c>
      <c r="K128" s="40">
        <f t="shared" si="9"/>
        <v>5550000</v>
      </c>
      <c r="L128" s="34">
        <v>45783</v>
      </c>
      <c r="M128" s="40">
        <v>0</v>
      </c>
      <c r="N128" s="39">
        <v>0</v>
      </c>
      <c r="O128" s="39">
        <v>0</v>
      </c>
      <c r="P128" s="39">
        <v>5550000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f t="shared" si="10"/>
        <v>0</v>
      </c>
      <c r="Y128" s="39"/>
      <c r="Z128" s="23">
        <f t="shared" si="11"/>
        <v>-550000</v>
      </c>
      <c r="AA128" s="54">
        <v>0</v>
      </c>
      <c r="AB128" s="39">
        <v>0</v>
      </c>
      <c r="AC128" s="55">
        <f t="shared" si="20"/>
        <v>5550000</v>
      </c>
      <c r="AD128" s="3"/>
    </row>
    <row r="129" spans="1:30" s="21" customFormat="1">
      <c r="A129" s="64">
        <f t="shared" si="12"/>
        <v>125</v>
      </c>
      <c r="B129" s="77" t="s">
        <v>119</v>
      </c>
      <c r="C129" s="79">
        <v>45709</v>
      </c>
      <c r="D129" s="2">
        <v>2024</v>
      </c>
      <c r="E129" s="35" t="s">
        <v>1</v>
      </c>
      <c r="F129" s="35" t="s">
        <v>1</v>
      </c>
      <c r="G129" s="35" t="s">
        <v>535</v>
      </c>
      <c r="H129" s="75">
        <v>0</v>
      </c>
      <c r="I129" s="75">
        <v>0</v>
      </c>
      <c r="J129" s="75">
        <v>0</v>
      </c>
      <c r="K129" s="72">
        <f t="shared" si="9"/>
        <v>0</v>
      </c>
      <c r="L129" s="71"/>
      <c r="M129" s="72">
        <v>0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f t="shared" si="10"/>
        <v>0</v>
      </c>
      <c r="Y129" s="62"/>
      <c r="Z129" s="66">
        <f t="shared" si="11"/>
        <v>0</v>
      </c>
      <c r="AA129" s="74">
        <f>-(H129+I129)*2%</f>
        <v>0</v>
      </c>
      <c r="AB129" s="62">
        <f>K129+Z129+AA129</f>
        <v>0</v>
      </c>
      <c r="AC129" s="75">
        <v>0</v>
      </c>
      <c r="AD129" s="26"/>
    </row>
    <row r="130" spans="1:30" s="21" customFormat="1">
      <c r="A130" s="19">
        <f t="shared" si="12"/>
        <v>126</v>
      </c>
      <c r="B130" s="3" t="s">
        <v>125</v>
      </c>
      <c r="C130" s="4">
        <v>45713</v>
      </c>
      <c r="D130" s="2">
        <v>2025</v>
      </c>
      <c r="E130" s="20" t="s">
        <v>192</v>
      </c>
      <c r="F130" s="20" t="s">
        <v>68</v>
      </c>
      <c r="G130" s="20" t="s">
        <v>193</v>
      </c>
      <c r="H130" s="55">
        <v>709220286</v>
      </c>
      <c r="I130" s="55">
        <v>0</v>
      </c>
      <c r="J130" s="75">
        <v>78014231</v>
      </c>
      <c r="K130" s="40">
        <f t="shared" si="9"/>
        <v>787234517</v>
      </c>
      <c r="L130" s="67">
        <v>45779</v>
      </c>
      <c r="M130" s="40">
        <v>0</v>
      </c>
      <c r="N130" s="39">
        <v>0</v>
      </c>
      <c r="O130" s="39">
        <v>773050110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14184407</v>
      </c>
      <c r="X130" s="39">
        <f t="shared" si="10"/>
        <v>0</v>
      </c>
      <c r="Y130" s="39"/>
      <c r="Z130" s="23">
        <f t="shared" si="11"/>
        <v>-78014231</v>
      </c>
      <c r="AA130" s="54">
        <f>-(H130+I130)*2%-1.28</f>
        <v>-14184407</v>
      </c>
      <c r="AB130" s="39">
        <v>0</v>
      </c>
      <c r="AC130" s="55">
        <f>K130+AA130</f>
        <v>773050110</v>
      </c>
      <c r="AD130" s="3"/>
    </row>
    <row r="131" spans="1:30" s="21" customFormat="1">
      <c r="A131" s="19">
        <f t="shared" si="12"/>
        <v>127</v>
      </c>
      <c r="B131" s="3" t="s">
        <v>128</v>
      </c>
      <c r="C131" s="4">
        <v>45714</v>
      </c>
      <c r="D131" s="2">
        <v>2025</v>
      </c>
      <c r="E131" s="5" t="s">
        <v>198</v>
      </c>
      <c r="F131" s="30" t="s">
        <v>73</v>
      </c>
      <c r="G131" s="20" t="s">
        <v>199</v>
      </c>
      <c r="H131" s="55">
        <v>33261480</v>
      </c>
      <c r="I131" s="55">
        <v>0</v>
      </c>
      <c r="J131" s="75">
        <v>3658763</v>
      </c>
      <c r="K131" s="40">
        <f t="shared" si="9"/>
        <v>36920243</v>
      </c>
      <c r="L131" s="34">
        <v>45757</v>
      </c>
      <c r="M131" s="40">
        <v>0</v>
      </c>
      <c r="N131" s="39">
        <v>36255013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665230</v>
      </c>
      <c r="X131" s="39">
        <f t="shared" si="10"/>
        <v>0</v>
      </c>
      <c r="Y131" s="39"/>
      <c r="Z131" s="23">
        <f t="shared" si="11"/>
        <v>-3658763</v>
      </c>
      <c r="AA131" s="54">
        <f>-(H131+I131)*2%-0.4</f>
        <v>-665230</v>
      </c>
      <c r="AB131" s="39">
        <v>0</v>
      </c>
      <c r="AC131" s="55">
        <f>K131+AA131</f>
        <v>36255013</v>
      </c>
      <c r="AD131" s="3"/>
    </row>
    <row r="132" spans="1:30" s="21" customFormat="1">
      <c r="A132" s="64">
        <f t="shared" si="12"/>
        <v>128</v>
      </c>
      <c r="B132" s="26" t="s">
        <v>129</v>
      </c>
      <c r="C132" s="79">
        <v>45723</v>
      </c>
      <c r="D132" s="2">
        <v>2024</v>
      </c>
      <c r="E132" s="35" t="s">
        <v>1</v>
      </c>
      <c r="F132" s="35" t="s">
        <v>1</v>
      </c>
      <c r="G132" s="35" t="s">
        <v>536</v>
      </c>
      <c r="H132" s="75">
        <v>0</v>
      </c>
      <c r="I132" s="75">
        <v>0</v>
      </c>
      <c r="J132" s="75">
        <v>0</v>
      </c>
      <c r="K132" s="72">
        <f t="shared" si="9"/>
        <v>0</v>
      </c>
      <c r="L132" s="71"/>
      <c r="M132" s="72">
        <v>0</v>
      </c>
      <c r="N132" s="62">
        <v>0</v>
      </c>
      <c r="O132" s="62">
        <v>0</v>
      </c>
      <c r="P132" s="62">
        <v>0</v>
      </c>
      <c r="Q132" s="62">
        <v>0</v>
      </c>
      <c r="R132" s="62">
        <v>0</v>
      </c>
      <c r="S132" s="62">
        <v>0</v>
      </c>
      <c r="T132" s="62">
        <v>0</v>
      </c>
      <c r="U132" s="62">
        <v>0</v>
      </c>
      <c r="V132" s="62">
        <v>0</v>
      </c>
      <c r="W132" s="62">
        <v>0</v>
      </c>
      <c r="X132" s="62">
        <f t="shared" si="10"/>
        <v>0</v>
      </c>
      <c r="Y132" s="62"/>
      <c r="Z132" s="66">
        <f t="shared" si="11"/>
        <v>0</v>
      </c>
      <c r="AA132" s="74">
        <f>-(H132+I132)*2%</f>
        <v>0</v>
      </c>
      <c r="AB132" s="62">
        <f>K132+Z132+AA132</f>
        <v>0</v>
      </c>
      <c r="AC132" s="75">
        <v>0</v>
      </c>
      <c r="AD132" s="26"/>
    </row>
    <row r="133" spans="1:30" s="21" customFormat="1">
      <c r="A133" s="64">
        <f t="shared" si="12"/>
        <v>129</v>
      </c>
      <c r="B133" s="77" t="s">
        <v>252</v>
      </c>
      <c r="C133" s="79">
        <v>45798</v>
      </c>
      <c r="D133" s="2">
        <v>2024</v>
      </c>
      <c r="E133" s="35" t="s">
        <v>1</v>
      </c>
      <c r="F133" s="35" t="s">
        <v>1</v>
      </c>
      <c r="G133" s="35" t="s">
        <v>537</v>
      </c>
      <c r="H133" s="75">
        <v>0</v>
      </c>
      <c r="I133" s="75">
        <v>0</v>
      </c>
      <c r="J133" s="75">
        <v>0</v>
      </c>
      <c r="K133" s="72">
        <f t="shared" ref="K133:K196" si="21">SUM(H133:J133)</f>
        <v>0</v>
      </c>
      <c r="L133" s="71"/>
      <c r="M133" s="7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f t="shared" ref="X133:X196" si="22">K133-SUM(M133:W133)</f>
        <v>0</v>
      </c>
      <c r="Y133" s="62"/>
      <c r="Z133" s="66">
        <f t="shared" ref="Z133:Z196" si="23">-J133</f>
        <v>0</v>
      </c>
      <c r="AA133" s="74">
        <f>-(H133+I133)*2%</f>
        <v>0</v>
      </c>
      <c r="AB133" s="62">
        <f>K133+Z133+AA133</f>
        <v>0</v>
      </c>
      <c r="AC133" s="75">
        <v>0</v>
      </c>
      <c r="AD133" s="26"/>
    </row>
    <row r="134" spans="1:30" s="21" customFormat="1">
      <c r="A134" s="64">
        <f t="shared" ref="A134:A197" si="24">A133+1</f>
        <v>130</v>
      </c>
      <c r="B134" s="26" t="s">
        <v>132</v>
      </c>
      <c r="C134" s="79">
        <v>45727</v>
      </c>
      <c r="D134" s="2">
        <v>2024</v>
      </c>
      <c r="E134" s="35" t="s">
        <v>1</v>
      </c>
      <c r="F134" s="35" t="s">
        <v>1</v>
      </c>
      <c r="G134" s="35" t="s">
        <v>538</v>
      </c>
      <c r="H134" s="75">
        <v>0</v>
      </c>
      <c r="I134" s="75">
        <v>0</v>
      </c>
      <c r="J134" s="75">
        <v>0</v>
      </c>
      <c r="K134" s="72">
        <f t="shared" si="21"/>
        <v>0</v>
      </c>
      <c r="L134" s="71"/>
      <c r="M134" s="72">
        <v>0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f t="shared" si="22"/>
        <v>0</v>
      </c>
      <c r="Y134" s="62"/>
      <c r="Z134" s="66">
        <f t="shared" si="23"/>
        <v>0</v>
      </c>
      <c r="AA134" s="74">
        <f>-(H134+I134)*2%</f>
        <v>0</v>
      </c>
      <c r="AB134" s="62">
        <f>K134+Z134+AA134</f>
        <v>0</v>
      </c>
      <c r="AC134" s="75">
        <v>0</v>
      </c>
      <c r="AD134" s="26"/>
    </row>
    <row r="135" spans="1:30" s="21" customFormat="1">
      <c r="A135" s="64">
        <f t="shared" si="24"/>
        <v>131</v>
      </c>
      <c r="B135" s="26" t="s">
        <v>133</v>
      </c>
      <c r="C135" s="79">
        <v>45728</v>
      </c>
      <c r="D135" s="2">
        <v>2024</v>
      </c>
      <c r="E135" s="35" t="s">
        <v>1</v>
      </c>
      <c r="F135" s="35" t="s">
        <v>1</v>
      </c>
      <c r="G135" s="35" t="s">
        <v>539</v>
      </c>
      <c r="H135" s="75">
        <v>0</v>
      </c>
      <c r="I135" s="75">
        <v>0</v>
      </c>
      <c r="J135" s="75">
        <v>0</v>
      </c>
      <c r="K135" s="72">
        <f t="shared" si="21"/>
        <v>0</v>
      </c>
      <c r="L135" s="71"/>
      <c r="M135" s="72">
        <v>0</v>
      </c>
      <c r="N135" s="62">
        <v>0</v>
      </c>
      <c r="O135" s="62">
        <v>0</v>
      </c>
      <c r="P135" s="62">
        <v>0</v>
      </c>
      <c r="Q135" s="62">
        <v>0</v>
      </c>
      <c r="R135" s="62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v>0</v>
      </c>
      <c r="X135" s="62">
        <f t="shared" si="22"/>
        <v>0</v>
      </c>
      <c r="Y135" s="62"/>
      <c r="Z135" s="66">
        <f t="shared" si="23"/>
        <v>0</v>
      </c>
      <c r="AA135" s="74">
        <f>-(H135+I135)*2%</f>
        <v>0</v>
      </c>
      <c r="AB135" s="62">
        <f>K135+Z135+AA135</f>
        <v>0</v>
      </c>
      <c r="AC135" s="75">
        <v>0</v>
      </c>
      <c r="AD135" s="26"/>
    </row>
    <row r="136" spans="1:30" s="21" customFormat="1">
      <c r="A136" s="19">
        <f t="shared" si="24"/>
        <v>132</v>
      </c>
      <c r="B136" s="3" t="s">
        <v>134</v>
      </c>
      <c r="C136" s="4">
        <v>45729</v>
      </c>
      <c r="D136" s="2">
        <v>2025</v>
      </c>
      <c r="E136" s="20" t="s">
        <v>192</v>
      </c>
      <c r="F136" s="20" t="s">
        <v>68</v>
      </c>
      <c r="G136" s="20" t="s">
        <v>201</v>
      </c>
      <c r="H136" s="55">
        <v>134673961</v>
      </c>
      <c r="I136" s="55">
        <v>0</v>
      </c>
      <c r="J136" s="75">
        <v>14814136</v>
      </c>
      <c r="K136" s="40">
        <f t="shared" si="21"/>
        <v>149488097</v>
      </c>
      <c r="L136" s="67">
        <v>45832</v>
      </c>
      <c r="M136" s="40">
        <v>0</v>
      </c>
      <c r="N136" s="39">
        <v>0</v>
      </c>
      <c r="O136" s="39">
        <v>146792657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2695440</v>
      </c>
      <c r="X136" s="39">
        <f t="shared" si="22"/>
        <v>0</v>
      </c>
      <c r="Y136" s="39"/>
      <c r="Z136" s="23">
        <f t="shared" si="23"/>
        <v>-14814136</v>
      </c>
      <c r="AA136" s="54">
        <f>-(H136+I136)*2%-0.78</f>
        <v>-2693480</v>
      </c>
      <c r="AB136" s="39">
        <v>0</v>
      </c>
      <c r="AC136" s="55">
        <f>K136+AA136</f>
        <v>146794617</v>
      </c>
      <c r="AD136" s="3"/>
    </row>
    <row r="137" spans="1:30" s="21" customFormat="1">
      <c r="A137" s="19">
        <f t="shared" si="24"/>
        <v>133</v>
      </c>
      <c r="B137" s="3" t="s">
        <v>138</v>
      </c>
      <c r="C137" s="4">
        <v>45734</v>
      </c>
      <c r="D137" s="2">
        <v>2025</v>
      </c>
      <c r="E137" s="20" t="s">
        <v>42</v>
      </c>
      <c r="F137" s="13" t="s">
        <v>72</v>
      </c>
      <c r="G137" s="20" t="s">
        <v>207</v>
      </c>
      <c r="H137" s="55">
        <v>8236635</v>
      </c>
      <c r="I137" s="55">
        <v>0</v>
      </c>
      <c r="J137" s="75">
        <v>906030</v>
      </c>
      <c r="K137" s="40">
        <f t="shared" si="21"/>
        <v>9142665</v>
      </c>
      <c r="L137" s="34">
        <v>45768</v>
      </c>
      <c r="M137" s="40">
        <v>0</v>
      </c>
      <c r="N137" s="39">
        <v>0</v>
      </c>
      <c r="O137" s="39">
        <v>8977933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164732</v>
      </c>
      <c r="X137" s="39">
        <f t="shared" si="22"/>
        <v>0</v>
      </c>
      <c r="Y137" s="39"/>
      <c r="Z137" s="23">
        <f t="shared" si="23"/>
        <v>-906030</v>
      </c>
      <c r="AA137" s="54">
        <f>-(H137+I137)*2%+0.7</f>
        <v>-164732</v>
      </c>
      <c r="AB137" s="39">
        <v>0</v>
      </c>
      <c r="AC137" s="55">
        <f>K137+AA137</f>
        <v>8977933</v>
      </c>
      <c r="AD137" s="3"/>
    </row>
    <row r="138" spans="1:30" s="21" customFormat="1">
      <c r="A138" s="64">
        <f t="shared" si="24"/>
        <v>134</v>
      </c>
      <c r="B138" s="26" t="s">
        <v>139</v>
      </c>
      <c r="C138" s="79">
        <v>45735</v>
      </c>
      <c r="D138" s="2">
        <v>2024</v>
      </c>
      <c r="E138" s="35" t="s">
        <v>1</v>
      </c>
      <c r="F138" s="35" t="s">
        <v>1</v>
      </c>
      <c r="G138" s="35" t="s">
        <v>540</v>
      </c>
      <c r="H138" s="75">
        <v>0</v>
      </c>
      <c r="I138" s="75">
        <v>0</v>
      </c>
      <c r="J138" s="75">
        <v>0</v>
      </c>
      <c r="K138" s="72">
        <f t="shared" si="21"/>
        <v>0</v>
      </c>
      <c r="L138" s="71"/>
      <c r="M138" s="72">
        <v>0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0</v>
      </c>
      <c r="V138" s="62">
        <v>0</v>
      </c>
      <c r="W138" s="62">
        <v>0</v>
      </c>
      <c r="X138" s="62">
        <f t="shared" si="22"/>
        <v>0</v>
      </c>
      <c r="Y138" s="62"/>
      <c r="Z138" s="66">
        <f t="shared" si="23"/>
        <v>0</v>
      </c>
      <c r="AA138" s="74">
        <f t="shared" ref="AA138:AA144" si="25">-(H138+I138)*2%</f>
        <v>0</v>
      </c>
      <c r="AB138" s="62">
        <v>0</v>
      </c>
      <c r="AC138" s="75">
        <v>0</v>
      </c>
      <c r="AD138" s="26"/>
    </row>
    <row r="139" spans="1:30" s="21" customFormat="1">
      <c r="A139" s="64">
        <f t="shared" si="24"/>
        <v>135</v>
      </c>
      <c r="B139" s="26" t="s">
        <v>140</v>
      </c>
      <c r="C139" s="79">
        <v>45736</v>
      </c>
      <c r="D139" s="2">
        <v>2024</v>
      </c>
      <c r="E139" s="35" t="s">
        <v>1</v>
      </c>
      <c r="F139" s="35" t="s">
        <v>1</v>
      </c>
      <c r="G139" s="35" t="s">
        <v>541</v>
      </c>
      <c r="H139" s="75">
        <v>0</v>
      </c>
      <c r="I139" s="75">
        <v>0</v>
      </c>
      <c r="J139" s="75">
        <v>0</v>
      </c>
      <c r="K139" s="72">
        <f t="shared" si="21"/>
        <v>0</v>
      </c>
      <c r="L139" s="71"/>
      <c r="M139" s="72">
        <v>0</v>
      </c>
      <c r="N139" s="62">
        <v>0</v>
      </c>
      <c r="O139" s="62">
        <v>0</v>
      </c>
      <c r="P139" s="62">
        <v>0</v>
      </c>
      <c r="Q139" s="62">
        <v>0</v>
      </c>
      <c r="R139" s="62">
        <v>0</v>
      </c>
      <c r="S139" s="62">
        <v>0</v>
      </c>
      <c r="T139" s="62">
        <v>0</v>
      </c>
      <c r="U139" s="62">
        <v>0</v>
      </c>
      <c r="V139" s="62">
        <v>0</v>
      </c>
      <c r="W139" s="62">
        <v>0</v>
      </c>
      <c r="X139" s="62">
        <f t="shared" si="22"/>
        <v>0</v>
      </c>
      <c r="Y139" s="62"/>
      <c r="Z139" s="66">
        <f t="shared" si="23"/>
        <v>0</v>
      </c>
      <c r="AA139" s="74">
        <f t="shared" si="25"/>
        <v>0</v>
      </c>
      <c r="AB139" s="62">
        <v>0</v>
      </c>
      <c r="AC139" s="75">
        <v>0</v>
      </c>
      <c r="AD139" s="26"/>
    </row>
    <row r="140" spans="1:30" s="21" customFormat="1">
      <c r="A140" s="64">
        <f t="shared" si="24"/>
        <v>136</v>
      </c>
      <c r="B140" s="26" t="s">
        <v>141</v>
      </c>
      <c r="C140" s="79">
        <v>45736</v>
      </c>
      <c r="D140" s="2">
        <v>2024</v>
      </c>
      <c r="E140" s="35" t="s">
        <v>1</v>
      </c>
      <c r="F140" s="35" t="s">
        <v>1</v>
      </c>
      <c r="G140" s="35" t="s">
        <v>542</v>
      </c>
      <c r="H140" s="75">
        <v>0</v>
      </c>
      <c r="I140" s="75">
        <v>0</v>
      </c>
      <c r="J140" s="75">
        <v>0</v>
      </c>
      <c r="K140" s="72">
        <f t="shared" si="21"/>
        <v>0</v>
      </c>
      <c r="L140" s="71"/>
      <c r="M140" s="72">
        <v>0</v>
      </c>
      <c r="N140" s="62">
        <v>0</v>
      </c>
      <c r="O140" s="62">
        <v>0</v>
      </c>
      <c r="P140" s="62">
        <v>0</v>
      </c>
      <c r="Q140" s="62">
        <v>0</v>
      </c>
      <c r="R140" s="62">
        <v>0</v>
      </c>
      <c r="S140" s="62">
        <v>0</v>
      </c>
      <c r="T140" s="62">
        <v>0</v>
      </c>
      <c r="U140" s="62">
        <v>0</v>
      </c>
      <c r="V140" s="62">
        <v>0</v>
      </c>
      <c r="W140" s="62">
        <v>0</v>
      </c>
      <c r="X140" s="62">
        <f t="shared" si="22"/>
        <v>0</v>
      </c>
      <c r="Y140" s="62"/>
      <c r="Z140" s="66">
        <f t="shared" si="23"/>
        <v>0</v>
      </c>
      <c r="AA140" s="74">
        <f t="shared" si="25"/>
        <v>0</v>
      </c>
      <c r="AB140" s="62">
        <v>0</v>
      </c>
      <c r="AC140" s="75">
        <v>0</v>
      </c>
      <c r="AD140" s="26"/>
    </row>
    <row r="141" spans="1:30" s="21" customFormat="1">
      <c r="A141" s="64">
        <f t="shared" si="24"/>
        <v>137</v>
      </c>
      <c r="B141" s="26" t="s">
        <v>142</v>
      </c>
      <c r="C141" s="79">
        <v>45737</v>
      </c>
      <c r="D141" s="2">
        <v>2024</v>
      </c>
      <c r="E141" s="35" t="s">
        <v>1</v>
      </c>
      <c r="F141" s="35" t="s">
        <v>1</v>
      </c>
      <c r="G141" s="35" t="s">
        <v>543</v>
      </c>
      <c r="H141" s="75">
        <v>0</v>
      </c>
      <c r="I141" s="75">
        <v>0</v>
      </c>
      <c r="J141" s="75">
        <v>0</v>
      </c>
      <c r="K141" s="72">
        <f t="shared" si="21"/>
        <v>0</v>
      </c>
      <c r="L141" s="71"/>
      <c r="M141" s="72">
        <v>0</v>
      </c>
      <c r="N141" s="62">
        <v>0</v>
      </c>
      <c r="O141" s="62">
        <v>0</v>
      </c>
      <c r="P141" s="62">
        <v>0</v>
      </c>
      <c r="Q141" s="62">
        <v>0</v>
      </c>
      <c r="R141" s="62">
        <v>0</v>
      </c>
      <c r="S141" s="62">
        <v>0</v>
      </c>
      <c r="T141" s="62">
        <v>0</v>
      </c>
      <c r="U141" s="62">
        <v>0</v>
      </c>
      <c r="V141" s="62">
        <v>0</v>
      </c>
      <c r="W141" s="62">
        <v>0</v>
      </c>
      <c r="X141" s="62">
        <f t="shared" si="22"/>
        <v>0</v>
      </c>
      <c r="Y141" s="62"/>
      <c r="Z141" s="66">
        <f t="shared" si="23"/>
        <v>0</v>
      </c>
      <c r="AA141" s="74">
        <f t="shared" si="25"/>
        <v>0</v>
      </c>
      <c r="AB141" s="62">
        <v>0</v>
      </c>
      <c r="AC141" s="75">
        <v>0</v>
      </c>
      <c r="AD141" s="26"/>
    </row>
    <row r="142" spans="1:30" s="21" customFormat="1">
      <c r="A142" s="64">
        <f t="shared" si="24"/>
        <v>138</v>
      </c>
      <c r="B142" s="26" t="s">
        <v>143</v>
      </c>
      <c r="C142" s="79">
        <v>45740</v>
      </c>
      <c r="D142" s="2">
        <v>2024</v>
      </c>
      <c r="E142" s="35" t="s">
        <v>1</v>
      </c>
      <c r="F142" s="35" t="s">
        <v>1</v>
      </c>
      <c r="G142" s="35" t="s">
        <v>544</v>
      </c>
      <c r="H142" s="75">
        <v>0</v>
      </c>
      <c r="I142" s="75">
        <v>0</v>
      </c>
      <c r="J142" s="75">
        <v>0</v>
      </c>
      <c r="K142" s="72">
        <f t="shared" si="21"/>
        <v>0</v>
      </c>
      <c r="L142" s="71"/>
      <c r="M142" s="72">
        <v>0</v>
      </c>
      <c r="N142" s="62">
        <v>0</v>
      </c>
      <c r="O142" s="62">
        <v>0</v>
      </c>
      <c r="P142" s="62">
        <v>0</v>
      </c>
      <c r="Q142" s="62">
        <v>0</v>
      </c>
      <c r="R142" s="62">
        <v>0</v>
      </c>
      <c r="S142" s="62">
        <v>0</v>
      </c>
      <c r="T142" s="62">
        <v>0</v>
      </c>
      <c r="U142" s="62">
        <v>0</v>
      </c>
      <c r="V142" s="62">
        <v>0</v>
      </c>
      <c r="W142" s="62">
        <v>0</v>
      </c>
      <c r="X142" s="62">
        <f t="shared" si="22"/>
        <v>0</v>
      </c>
      <c r="Y142" s="62"/>
      <c r="Z142" s="66">
        <f t="shared" si="23"/>
        <v>0</v>
      </c>
      <c r="AA142" s="74">
        <f t="shared" si="25"/>
        <v>0</v>
      </c>
      <c r="AB142" s="62">
        <v>0</v>
      </c>
      <c r="AC142" s="75">
        <v>0</v>
      </c>
      <c r="AD142" s="26"/>
    </row>
    <row r="143" spans="1:30" s="21" customFormat="1">
      <c r="A143" s="64">
        <f t="shared" si="24"/>
        <v>139</v>
      </c>
      <c r="B143" s="26" t="s">
        <v>144</v>
      </c>
      <c r="C143" s="79">
        <v>45741</v>
      </c>
      <c r="D143" s="2">
        <v>2024</v>
      </c>
      <c r="E143" s="35" t="s">
        <v>1</v>
      </c>
      <c r="F143" s="35" t="s">
        <v>1</v>
      </c>
      <c r="G143" s="35" t="s">
        <v>545</v>
      </c>
      <c r="H143" s="75">
        <v>0</v>
      </c>
      <c r="I143" s="75">
        <v>0</v>
      </c>
      <c r="J143" s="75">
        <v>0</v>
      </c>
      <c r="K143" s="72">
        <f t="shared" si="21"/>
        <v>0</v>
      </c>
      <c r="L143" s="71"/>
      <c r="M143" s="72">
        <v>0</v>
      </c>
      <c r="N143" s="62">
        <v>0</v>
      </c>
      <c r="O143" s="62">
        <v>0</v>
      </c>
      <c r="P143" s="62">
        <v>0</v>
      </c>
      <c r="Q143" s="62">
        <v>0</v>
      </c>
      <c r="R143" s="62">
        <v>0</v>
      </c>
      <c r="S143" s="62">
        <v>0</v>
      </c>
      <c r="T143" s="62">
        <v>0</v>
      </c>
      <c r="U143" s="62">
        <v>0</v>
      </c>
      <c r="V143" s="62">
        <v>0</v>
      </c>
      <c r="W143" s="62">
        <v>0</v>
      </c>
      <c r="X143" s="62">
        <f t="shared" si="22"/>
        <v>0</v>
      </c>
      <c r="Y143" s="62"/>
      <c r="Z143" s="66">
        <f t="shared" si="23"/>
        <v>0</v>
      </c>
      <c r="AA143" s="74">
        <f t="shared" si="25"/>
        <v>0</v>
      </c>
      <c r="AB143" s="62">
        <v>0</v>
      </c>
      <c r="AC143" s="75">
        <v>0</v>
      </c>
      <c r="AD143" s="26"/>
    </row>
    <row r="144" spans="1:30" s="21" customFormat="1">
      <c r="A144" s="64">
        <f t="shared" si="24"/>
        <v>140</v>
      </c>
      <c r="B144" s="26" t="s">
        <v>145</v>
      </c>
      <c r="C144" s="79">
        <v>45741</v>
      </c>
      <c r="D144" s="2">
        <v>2024</v>
      </c>
      <c r="E144" s="35" t="s">
        <v>1</v>
      </c>
      <c r="F144" s="35" t="s">
        <v>1</v>
      </c>
      <c r="G144" s="35" t="s">
        <v>546</v>
      </c>
      <c r="H144" s="75">
        <v>0</v>
      </c>
      <c r="I144" s="75">
        <v>0</v>
      </c>
      <c r="J144" s="75">
        <v>0</v>
      </c>
      <c r="K144" s="72">
        <f t="shared" si="21"/>
        <v>0</v>
      </c>
      <c r="L144" s="71"/>
      <c r="M144" s="72">
        <v>0</v>
      </c>
      <c r="N144" s="62">
        <v>0</v>
      </c>
      <c r="O144" s="62">
        <v>0</v>
      </c>
      <c r="P144" s="62">
        <v>0</v>
      </c>
      <c r="Q144" s="62">
        <v>0</v>
      </c>
      <c r="R144" s="62">
        <v>0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f t="shared" si="22"/>
        <v>0</v>
      </c>
      <c r="Y144" s="62"/>
      <c r="Z144" s="66">
        <f t="shared" si="23"/>
        <v>0</v>
      </c>
      <c r="AA144" s="74">
        <f t="shared" si="25"/>
        <v>0</v>
      </c>
      <c r="AB144" s="62">
        <v>0</v>
      </c>
      <c r="AC144" s="75">
        <v>0</v>
      </c>
      <c r="AD144" s="26"/>
    </row>
    <row r="145" spans="1:31" s="21" customFormat="1">
      <c r="A145" s="19">
        <f t="shared" si="24"/>
        <v>141</v>
      </c>
      <c r="B145" s="3" t="s">
        <v>146</v>
      </c>
      <c r="C145" s="4">
        <v>45741</v>
      </c>
      <c r="D145" s="2">
        <v>2025</v>
      </c>
      <c r="E145" s="20" t="s">
        <v>208</v>
      </c>
      <c r="F145" s="20" t="s">
        <v>73</v>
      </c>
      <c r="G145" s="13" t="s">
        <v>209</v>
      </c>
      <c r="H145" s="55">
        <v>45884535</v>
      </c>
      <c r="I145" s="55">
        <v>0</v>
      </c>
      <c r="J145" s="75">
        <v>5047299</v>
      </c>
      <c r="K145" s="40">
        <f t="shared" si="21"/>
        <v>50931834</v>
      </c>
      <c r="L145" s="34">
        <v>45763</v>
      </c>
      <c r="M145" s="40">
        <v>0</v>
      </c>
      <c r="N145" s="39">
        <v>50014144</v>
      </c>
      <c r="O145" s="39">
        <v>0</v>
      </c>
      <c r="P145" s="39">
        <v>0</v>
      </c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917690</v>
      </c>
      <c r="X145" s="39">
        <f t="shared" si="22"/>
        <v>0</v>
      </c>
      <c r="Y145" s="39"/>
      <c r="Z145" s="23">
        <f t="shared" si="23"/>
        <v>-5047299</v>
      </c>
      <c r="AA145" s="54">
        <f>-(H145+I145)*2%+0.7</f>
        <v>-917690.00000000012</v>
      </c>
      <c r="AB145" s="39">
        <v>0</v>
      </c>
      <c r="AC145" s="55">
        <f t="shared" ref="AC145:AC150" si="26">K145+AA145</f>
        <v>50014144</v>
      </c>
      <c r="AD145" s="3"/>
    </row>
    <row r="146" spans="1:31" s="21" customFormat="1">
      <c r="A146" s="19">
        <f t="shared" si="24"/>
        <v>142</v>
      </c>
      <c r="B146" s="3" t="s">
        <v>148</v>
      </c>
      <c r="C146" s="4">
        <v>45764</v>
      </c>
      <c r="D146" s="2">
        <v>2025</v>
      </c>
      <c r="E146" s="20" t="s">
        <v>43</v>
      </c>
      <c r="F146" s="20" t="s">
        <v>69</v>
      </c>
      <c r="G146" s="13" t="s">
        <v>212</v>
      </c>
      <c r="H146" s="55">
        <v>347895000</v>
      </c>
      <c r="I146" s="55">
        <v>38655000</v>
      </c>
      <c r="J146" s="75">
        <v>4252050</v>
      </c>
      <c r="K146" s="40">
        <f t="shared" si="21"/>
        <v>390802050</v>
      </c>
      <c r="L146" s="34">
        <v>45771</v>
      </c>
      <c r="M146" s="40">
        <v>0</v>
      </c>
      <c r="N146" s="39">
        <v>0</v>
      </c>
      <c r="O146" s="39">
        <v>390028950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773100</v>
      </c>
      <c r="X146" s="39">
        <f t="shared" si="22"/>
        <v>0</v>
      </c>
      <c r="Y146" s="39"/>
      <c r="Z146" s="23">
        <f t="shared" si="23"/>
        <v>-4252050</v>
      </c>
      <c r="AA146" s="54">
        <f>-(I146)*2%</f>
        <v>-773100</v>
      </c>
      <c r="AB146" s="39">
        <v>0</v>
      </c>
      <c r="AC146" s="55">
        <f t="shared" si="26"/>
        <v>390028950</v>
      </c>
      <c r="AD146" s="13" t="s">
        <v>253</v>
      </c>
    </row>
    <row r="147" spans="1:31" s="21" customFormat="1">
      <c r="A147" s="19">
        <f t="shared" si="24"/>
        <v>143</v>
      </c>
      <c r="B147" s="3" t="s">
        <v>149</v>
      </c>
      <c r="C147" s="4">
        <v>45764</v>
      </c>
      <c r="D147" s="2">
        <v>2025</v>
      </c>
      <c r="E147" s="20" t="s">
        <v>43</v>
      </c>
      <c r="F147" s="20" t="s">
        <v>69</v>
      </c>
      <c r="G147" s="13" t="s">
        <v>213</v>
      </c>
      <c r="H147" s="55">
        <v>15377544</v>
      </c>
      <c r="I147" s="55">
        <v>1708616</v>
      </c>
      <c r="J147" s="75">
        <v>187948</v>
      </c>
      <c r="K147" s="40">
        <f t="shared" si="21"/>
        <v>17274108</v>
      </c>
      <c r="L147" s="34">
        <v>45771</v>
      </c>
      <c r="M147" s="40">
        <v>0</v>
      </c>
      <c r="N147" s="39">
        <v>0</v>
      </c>
      <c r="O147" s="39">
        <v>17239936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34172</v>
      </c>
      <c r="X147" s="39">
        <f t="shared" si="22"/>
        <v>0</v>
      </c>
      <c r="Y147" s="39"/>
      <c r="Z147" s="23">
        <f t="shared" si="23"/>
        <v>-187948</v>
      </c>
      <c r="AA147" s="54">
        <f>-(I147)*2%+0.32</f>
        <v>-34172</v>
      </c>
      <c r="AB147" s="39">
        <v>0</v>
      </c>
      <c r="AC147" s="55">
        <f t="shared" si="26"/>
        <v>17239936</v>
      </c>
      <c r="AD147" s="13" t="s">
        <v>253</v>
      </c>
    </row>
    <row r="148" spans="1:31" s="21" customFormat="1">
      <c r="A148" s="19">
        <f t="shared" si="24"/>
        <v>144</v>
      </c>
      <c r="B148" s="3" t="s">
        <v>150</v>
      </c>
      <c r="C148" s="4">
        <v>45768</v>
      </c>
      <c r="D148" s="2">
        <v>2025</v>
      </c>
      <c r="E148" s="20" t="s">
        <v>56</v>
      </c>
      <c r="F148" s="20" t="s">
        <v>73</v>
      </c>
      <c r="G148" s="13" t="s">
        <v>214</v>
      </c>
      <c r="H148" s="55">
        <v>13784592</v>
      </c>
      <c r="I148" s="55">
        <v>0</v>
      </c>
      <c r="J148" s="75">
        <v>1516305</v>
      </c>
      <c r="K148" s="40">
        <f t="shared" si="21"/>
        <v>15300897</v>
      </c>
      <c r="L148" s="34"/>
      <c r="M148" s="40">
        <v>0</v>
      </c>
      <c r="N148" s="39">
        <v>0</v>
      </c>
      <c r="O148" s="39">
        <v>0</v>
      </c>
      <c r="P148" s="39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f t="shared" si="22"/>
        <v>15300897</v>
      </c>
      <c r="Y148" s="39"/>
      <c r="Z148" s="23">
        <f t="shared" si="23"/>
        <v>-1516305</v>
      </c>
      <c r="AA148" s="54">
        <f>-(H148+I148)*2%-0.16</f>
        <v>-275692</v>
      </c>
      <c r="AB148" s="39">
        <v>0</v>
      </c>
      <c r="AC148" s="55">
        <f t="shared" si="26"/>
        <v>15025205</v>
      </c>
      <c r="AD148" s="3"/>
    </row>
    <row r="149" spans="1:31" s="21" customFormat="1">
      <c r="A149" s="19">
        <f t="shared" si="24"/>
        <v>145</v>
      </c>
      <c r="B149" s="3" t="s">
        <v>151</v>
      </c>
      <c r="C149" s="4">
        <v>45768</v>
      </c>
      <c r="D149" s="2">
        <v>2025</v>
      </c>
      <c r="E149" s="20" t="s">
        <v>56</v>
      </c>
      <c r="F149" s="20" t="s">
        <v>73</v>
      </c>
      <c r="G149" s="13" t="s">
        <v>215</v>
      </c>
      <c r="H149" s="55">
        <v>13784592</v>
      </c>
      <c r="I149" s="55">
        <v>0</v>
      </c>
      <c r="J149" s="75">
        <v>1516305</v>
      </c>
      <c r="K149" s="40">
        <f t="shared" si="21"/>
        <v>15300897</v>
      </c>
      <c r="L149" s="34">
        <v>45826</v>
      </c>
      <c r="M149" s="40">
        <v>0</v>
      </c>
      <c r="N149" s="39">
        <v>15025205</v>
      </c>
      <c r="O149" s="39">
        <v>0</v>
      </c>
      <c r="P149" s="39">
        <v>0</v>
      </c>
      <c r="Q149" s="39">
        <v>0</v>
      </c>
      <c r="R149" s="39">
        <v>0</v>
      </c>
      <c r="S149" s="39">
        <v>0</v>
      </c>
      <c r="T149" s="39">
        <v>0</v>
      </c>
      <c r="U149" s="39">
        <v>0</v>
      </c>
      <c r="V149" s="39">
        <v>0</v>
      </c>
      <c r="W149" s="39">
        <v>275692</v>
      </c>
      <c r="X149" s="39">
        <f t="shared" si="22"/>
        <v>0</v>
      </c>
      <c r="Y149" s="39"/>
      <c r="Z149" s="23">
        <f t="shared" si="23"/>
        <v>-1516305</v>
      </c>
      <c r="AA149" s="54">
        <f>-(H149+I149)*2%-0.16</f>
        <v>-275692</v>
      </c>
      <c r="AB149" s="39">
        <v>0</v>
      </c>
      <c r="AC149" s="55">
        <f t="shared" si="26"/>
        <v>15025205</v>
      </c>
      <c r="AD149" s="3"/>
    </row>
    <row r="150" spans="1:31" s="21" customFormat="1">
      <c r="A150" s="19">
        <f t="shared" si="24"/>
        <v>146</v>
      </c>
      <c r="B150" s="3" t="s">
        <v>152</v>
      </c>
      <c r="C150" s="4">
        <v>45768</v>
      </c>
      <c r="D150" s="2">
        <v>2025</v>
      </c>
      <c r="E150" s="20" t="s">
        <v>56</v>
      </c>
      <c r="F150" s="20" t="s">
        <v>73</v>
      </c>
      <c r="G150" s="13" t="s">
        <v>216</v>
      </c>
      <c r="H150" s="55">
        <v>6892296</v>
      </c>
      <c r="I150" s="55">
        <v>0</v>
      </c>
      <c r="J150" s="75">
        <v>758153</v>
      </c>
      <c r="K150" s="40">
        <f t="shared" si="21"/>
        <v>7650449</v>
      </c>
      <c r="L150" s="34"/>
      <c r="M150" s="40">
        <v>0</v>
      </c>
      <c r="N150" s="39">
        <v>0</v>
      </c>
      <c r="O150" s="39">
        <v>0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f t="shared" si="22"/>
        <v>7650449</v>
      </c>
      <c r="Y150" s="39"/>
      <c r="Z150" s="23">
        <f t="shared" si="23"/>
        <v>-758153</v>
      </c>
      <c r="AA150" s="54">
        <f>-(H150+I150)*2%-0.08</f>
        <v>-137846</v>
      </c>
      <c r="AB150" s="39">
        <v>0</v>
      </c>
      <c r="AC150" s="55">
        <f t="shared" si="26"/>
        <v>7512603</v>
      </c>
      <c r="AD150" s="3"/>
    </row>
    <row r="151" spans="1:31" s="21" customFormat="1">
      <c r="A151" s="64">
        <f t="shared" si="24"/>
        <v>147</v>
      </c>
      <c r="B151" s="26" t="s">
        <v>468</v>
      </c>
      <c r="C151" s="79">
        <v>45940</v>
      </c>
      <c r="D151" s="2">
        <v>2024</v>
      </c>
      <c r="E151" s="35" t="s">
        <v>1</v>
      </c>
      <c r="F151" s="35" t="s">
        <v>1</v>
      </c>
      <c r="G151" s="35" t="s">
        <v>547</v>
      </c>
      <c r="H151" s="75">
        <v>0</v>
      </c>
      <c r="I151" s="75">
        <v>0</v>
      </c>
      <c r="J151" s="75">
        <v>0</v>
      </c>
      <c r="K151" s="72">
        <f t="shared" si="21"/>
        <v>0</v>
      </c>
      <c r="L151" s="71"/>
      <c r="M151" s="7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f t="shared" si="22"/>
        <v>0</v>
      </c>
      <c r="Y151" s="62"/>
      <c r="Z151" s="66">
        <f t="shared" si="23"/>
        <v>0</v>
      </c>
      <c r="AA151" s="74">
        <f>-(H151+I151)*2%</f>
        <v>0</v>
      </c>
      <c r="AB151" s="62">
        <f>K151+Z151+AA151</f>
        <v>0</v>
      </c>
      <c r="AC151" s="75">
        <v>0</v>
      </c>
      <c r="AD151" s="26"/>
    </row>
    <row r="152" spans="1:31" s="21" customFormat="1">
      <c r="A152" s="19">
        <f t="shared" si="24"/>
        <v>148</v>
      </c>
      <c r="B152" s="3" t="s">
        <v>153</v>
      </c>
      <c r="C152" s="4">
        <v>45768</v>
      </c>
      <c r="D152" s="2">
        <v>2025</v>
      </c>
      <c r="E152" s="20" t="s">
        <v>43</v>
      </c>
      <c r="F152" s="20" t="s">
        <v>69</v>
      </c>
      <c r="G152" s="13" t="s">
        <v>217</v>
      </c>
      <c r="H152" s="55">
        <v>429035608</v>
      </c>
      <c r="I152" s="55">
        <v>47670623</v>
      </c>
      <c r="J152" s="75">
        <v>5243769</v>
      </c>
      <c r="K152" s="40">
        <f t="shared" si="21"/>
        <v>481950000</v>
      </c>
      <c r="L152" s="34">
        <v>45771</v>
      </c>
      <c r="M152" s="40">
        <v>0</v>
      </c>
      <c r="N152" s="39">
        <v>0</v>
      </c>
      <c r="O152" s="39">
        <v>480996587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953413</v>
      </c>
      <c r="X152" s="39">
        <f t="shared" si="22"/>
        <v>0</v>
      </c>
      <c r="Y152" s="39"/>
      <c r="Z152" s="23">
        <f t="shared" si="23"/>
        <v>-5243769</v>
      </c>
      <c r="AA152" s="54">
        <f>-(I152)*2%-0.54</f>
        <v>-953413</v>
      </c>
      <c r="AB152" s="39">
        <v>0</v>
      </c>
      <c r="AC152" s="55">
        <f>K152+AA152</f>
        <v>480996587</v>
      </c>
      <c r="AD152" s="13" t="s">
        <v>253</v>
      </c>
    </row>
    <row r="153" spans="1:31" s="21" customFormat="1">
      <c r="A153" s="19">
        <f t="shared" si="24"/>
        <v>149</v>
      </c>
      <c r="B153" s="3" t="s">
        <v>469</v>
      </c>
      <c r="C153" s="4">
        <v>45959</v>
      </c>
      <c r="D153" s="2">
        <v>2025</v>
      </c>
      <c r="E153" s="20" t="s">
        <v>192</v>
      </c>
      <c r="F153" s="20" t="s">
        <v>74</v>
      </c>
      <c r="G153" s="20" t="s">
        <v>470</v>
      </c>
      <c r="H153" s="55">
        <v>62907319</v>
      </c>
      <c r="I153" s="55">
        <v>6290732</v>
      </c>
      <c r="J153" s="75">
        <v>761179</v>
      </c>
      <c r="K153" s="40">
        <f t="shared" si="21"/>
        <v>69959230</v>
      </c>
      <c r="L153" s="34"/>
      <c r="M153" s="40">
        <v>0</v>
      </c>
      <c r="N153" s="39">
        <v>0</v>
      </c>
      <c r="O153" s="39">
        <v>0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f t="shared" si="22"/>
        <v>69959230</v>
      </c>
      <c r="Y153" s="39"/>
      <c r="Z153" s="8">
        <f t="shared" si="23"/>
        <v>-761179</v>
      </c>
      <c r="AA153" s="54">
        <f>-(H153+I153)*2%+0.02</f>
        <v>-1383961</v>
      </c>
      <c r="AB153" s="39">
        <v>0</v>
      </c>
      <c r="AC153" s="55">
        <f>K153+AA153</f>
        <v>68575269</v>
      </c>
      <c r="AD153" s="3"/>
    </row>
    <row r="154" spans="1:31" s="21" customFormat="1">
      <c r="A154" s="64">
        <f t="shared" si="24"/>
        <v>150</v>
      </c>
      <c r="B154" s="26" t="s">
        <v>154</v>
      </c>
      <c r="C154" s="79">
        <v>45769</v>
      </c>
      <c r="D154" s="2">
        <v>2024</v>
      </c>
      <c r="E154" s="35" t="s">
        <v>1</v>
      </c>
      <c r="F154" s="35" t="s">
        <v>1</v>
      </c>
      <c r="G154" s="35" t="s">
        <v>548</v>
      </c>
      <c r="H154" s="75">
        <v>0</v>
      </c>
      <c r="I154" s="75">
        <v>0</v>
      </c>
      <c r="J154" s="75">
        <v>0</v>
      </c>
      <c r="K154" s="72">
        <f t="shared" si="21"/>
        <v>0</v>
      </c>
      <c r="L154" s="71"/>
      <c r="M154" s="7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0</v>
      </c>
      <c r="X154" s="62">
        <f t="shared" si="22"/>
        <v>0</v>
      </c>
      <c r="Y154" s="62"/>
      <c r="Z154" s="66">
        <f t="shared" si="23"/>
        <v>0</v>
      </c>
      <c r="AA154" s="74">
        <f>-(H154+I154)*2%</f>
        <v>0</v>
      </c>
      <c r="AB154" s="62">
        <f>K154+Z154+AA154</f>
        <v>0</v>
      </c>
      <c r="AC154" s="75">
        <v>0</v>
      </c>
      <c r="AD154" s="26"/>
    </row>
    <row r="155" spans="1:31" s="76" customFormat="1">
      <c r="A155" s="19">
        <f t="shared" si="24"/>
        <v>151</v>
      </c>
      <c r="B155" s="3" t="s">
        <v>155</v>
      </c>
      <c r="C155" s="4">
        <v>45769</v>
      </c>
      <c r="D155" s="2">
        <v>2025</v>
      </c>
      <c r="E155" s="20" t="s">
        <v>57</v>
      </c>
      <c r="F155" s="20" t="s">
        <v>73</v>
      </c>
      <c r="G155" s="20" t="s">
        <v>218</v>
      </c>
      <c r="H155" s="55">
        <v>17830740</v>
      </c>
      <c r="I155" s="55">
        <v>0</v>
      </c>
      <c r="J155" s="75">
        <v>1961381</v>
      </c>
      <c r="K155" s="40">
        <f t="shared" si="21"/>
        <v>19792121</v>
      </c>
      <c r="L155" s="34">
        <v>45792</v>
      </c>
      <c r="M155" s="40">
        <v>0</v>
      </c>
      <c r="N155" s="39">
        <v>19435506</v>
      </c>
      <c r="O155" s="39">
        <v>0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356615</v>
      </c>
      <c r="X155" s="39">
        <f t="shared" si="22"/>
        <v>0</v>
      </c>
      <c r="Y155" s="39"/>
      <c r="Z155" s="23">
        <f t="shared" si="23"/>
        <v>-1961381</v>
      </c>
      <c r="AA155" s="54">
        <f>-(H155+I155)*2%-0.2</f>
        <v>-356615</v>
      </c>
      <c r="AB155" s="39">
        <v>0</v>
      </c>
      <c r="AC155" s="55">
        <f>K155+AA155</f>
        <v>19435506</v>
      </c>
      <c r="AD155" s="3"/>
      <c r="AE155" s="76" t="s">
        <v>1</v>
      </c>
    </row>
    <row r="156" spans="1:31" s="21" customFormat="1">
      <c r="A156" s="64">
        <f t="shared" si="24"/>
        <v>152</v>
      </c>
      <c r="B156" s="26" t="s">
        <v>156</v>
      </c>
      <c r="C156" s="79">
        <v>45779</v>
      </c>
      <c r="D156" s="2">
        <v>2024</v>
      </c>
      <c r="E156" s="35" t="s">
        <v>1</v>
      </c>
      <c r="F156" s="35" t="s">
        <v>1</v>
      </c>
      <c r="G156" s="35" t="s">
        <v>549</v>
      </c>
      <c r="H156" s="75">
        <v>0</v>
      </c>
      <c r="I156" s="75">
        <v>0</v>
      </c>
      <c r="J156" s="75">
        <v>0</v>
      </c>
      <c r="K156" s="72">
        <f t="shared" si="21"/>
        <v>0</v>
      </c>
      <c r="L156" s="71"/>
      <c r="M156" s="72">
        <v>0</v>
      </c>
      <c r="N156" s="62">
        <v>0</v>
      </c>
      <c r="O156" s="62">
        <v>0</v>
      </c>
      <c r="P156" s="62">
        <v>0</v>
      </c>
      <c r="Q156" s="62">
        <v>0</v>
      </c>
      <c r="R156" s="62">
        <v>0</v>
      </c>
      <c r="S156" s="62">
        <v>0</v>
      </c>
      <c r="T156" s="62">
        <v>0</v>
      </c>
      <c r="U156" s="62">
        <v>0</v>
      </c>
      <c r="V156" s="62">
        <v>0</v>
      </c>
      <c r="W156" s="62">
        <v>0</v>
      </c>
      <c r="X156" s="62">
        <f t="shared" si="22"/>
        <v>0</v>
      </c>
      <c r="Y156" s="62"/>
      <c r="Z156" s="66">
        <f t="shared" si="23"/>
        <v>0</v>
      </c>
      <c r="AA156" s="74">
        <f>-(H156+I156)*2%</f>
        <v>0</v>
      </c>
      <c r="AB156" s="62">
        <f>K156+Z156+AA156</f>
        <v>0</v>
      </c>
      <c r="AC156" s="75">
        <v>0</v>
      </c>
      <c r="AD156" s="26"/>
    </row>
    <row r="157" spans="1:31" s="21" customFormat="1">
      <c r="A157" s="19">
        <f t="shared" si="24"/>
        <v>153</v>
      </c>
      <c r="B157" s="3" t="s">
        <v>157</v>
      </c>
      <c r="C157" s="4">
        <v>45772</v>
      </c>
      <c r="D157" s="2">
        <v>2025</v>
      </c>
      <c r="E157" s="20" t="s">
        <v>43</v>
      </c>
      <c r="F157" s="20" t="s">
        <v>69</v>
      </c>
      <c r="G157" s="13" t="s">
        <v>219</v>
      </c>
      <c r="H157" s="55">
        <v>46923850</v>
      </c>
      <c r="I157" s="55">
        <v>5213761</v>
      </c>
      <c r="J157" s="75">
        <v>573514</v>
      </c>
      <c r="K157" s="40">
        <f t="shared" si="21"/>
        <v>52711125</v>
      </c>
      <c r="L157" s="34">
        <v>45785</v>
      </c>
      <c r="M157" s="40">
        <v>0</v>
      </c>
      <c r="N157" s="39">
        <v>0</v>
      </c>
      <c r="O157" s="39">
        <v>52606850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104275</v>
      </c>
      <c r="X157" s="39">
        <f t="shared" si="22"/>
        <v>0</v>
      </c>
      <c r="Y157" s="39"/>
      <c r="Z157" s="23">
        <f t="shared" si="23"/>
        <v>-573514</v>
      </c>
      <c r="AA157" s="54">
        <f>-(I157)*2%+0.22</f>
        <v>-104275</v>
      </c>
      <c r="AB157" s="39">
        <v>0</v>
      </c>
      <c r="AC157" s="55">
        <f>K157+AA157</f>
        <v>52606850</v>
      </c>
      <c r="AD157" s="13" t="s">
        <v>254</v>
      </c>
    </row>
    <row r="158" spans="1:31" s="21" customFormat="1">
      <c r="A158" s="19">
        <f t="shared" si="24"/>
        <v>154</v>
      </c>
      <c r="B158" s="3" t="s">
        <v>160</v>
      </c>
      <c r="C158" s="4">
        <v>45783</v>
      </c>
      <c r="D158" s="2">
        <v>2025</v>
      </c>
      <c r="E158" s="20" t="s">
        <v>43</v>
      </c>
      <c r="F158" s="20" t="s">
        <v>69</v>
      </c>
      <c r="G158" s="13" t="s">
        <v>223</v>
      </c>
      <c r="H158" s="55">
        <v>183872404</v>
      </c>
      <c r="I158" s="55">
        <v>20430267</v>
      </c>
      <c r="J158" s="75">
        <v>2247329</v>
      </c>
      <c r="K158" s="40">
        <f t="shared" si="21"/>
        <v>206550000</v>
      </c>
      <c r="L158" s="34">
        <v>45785</v>
      </c>
      <c r="M158" s="40">
        <v>0</v>
      </c>
      <c r="N158" s="39">
        <v>0</v>
      </c>
      <c r="O158" s="39">
        <v>206141395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408605</v>
      </c>
      <c r="X158" s="39">
        <f t="shared" si="22"/>
        <v>0</v>
      </c>
      <c r="Y158" s="39"/>
      <c r="Z158" s="23">
        <f t="shared" si="23"/>
        <v>-2247329</v>
      </c>
      <c r="AA158" s="54">
        <f>-(I158)*2%+0.34</f>
        <v>-408605</v>
      </c>
      <c r="AB158" s="39">
        <v>0</v>
      </c>
      <c r="AC158" s="55">
        <f>K158+AA158</f>
        <v>206141395</v>
      </c>
      <c r="AD158" s="13" t="s">
        <v>254</v>
      </c>
    </row>
    <row r="159" spans="1:31" s="21" customFormat="1">
      <c r="A159" s="64">
        <f t="shared" si="24"/>
        <v>155</v>
      </c>
      <c r="B159" s="26" t="s">
        <v>161</v>
      </c>
      <c r="C159" s="79">
        <v>45783</v>
      </c>
      <c r="D159" s="2">
        <v>2024</v>
      </c>
      <c r="E159" s="35" t="s">
        <v>1</v>
      </c>
      <c r="F159" s="35" t="s">
        <v>1</v>
      </c>
      <c r="G159" s="35" t="s">
        <v>550</v>
      </c>
      <c r="H159" s="75">
        <v>0</v>
      </c>
      <c r="I159" s="75">
        <v>0</v>
      </c>
      <c r="J159" s="75">
        <v>0</v>
      </c>
      <c r="K159" s="72">
        <f t="shared" si="21"/>
        <v>0</v>
      </c>
      <c r="L159" s="71"/>
      <c r="M159" s="72">
        <v>0</v>
      </c>
      <c r="N159" s="62">
        <v>0</v>
      </c>
      <c r="O159" s="62">
        <v>0</v>
      </c>
      <c r="P159" s="62">
        <v>0</v>
      </c>
      <c r="Q159" s="62">
        <v>0</v>
      </c>
      <c r="R159" s="62">
        <v>0</v>
      </c>
      <c r="S159" s="62">
        <v>0</v>
      </c>
      <c r="T159" s="62">
        <v>0</v>
      </c>
      <c r="U159" s="62">
        <v>0</v>
      </c>
      <c r="V159" s="62">
        <v>0</v>
      </c>
      <c r="W159" s="62">
        <v>0</v>
      </c>
      <c r="X159" s="62">
        <f t="shared" si="22"/>
        <v>0</v>
      </c>
      <c r="Y159" s="62"/>
      <c r="Z159" s="66">
        <f t="shared" si="23"/>
        <v>0</v>
      </c>
      <c r="AA159" s="74">
        <f>-(H159+I159)*2%</f>
        <v>0</v>
      </c>
      <c r="AB159" s="62">
        <f>K159+Z159+AA159</f>
        <v>0</v>
      </c>
      <c r="AC159" s="75">
        <v>0</v>
      </c>
      <c r="AD159" s="26" t="s">
        <v>255</v>
      </c>
    </row>
    <row r="160" spans="1:31" s="21" customFormat="1">
      <c r="A160" s="64">
        <f t="shared" si="24"/>
        <v>156</v>
      </c>
      <c r="B160" s="26" t="s">
        <v>162</v>
      </c>
      <c r="C160" s="79">
        <v>45784</v>
      </c>
      <c r="D160" s="2">
        <v>2024</v>
      </c>
      <c r="E160" s="35" t="s">
        <v>1</v>
      </c>
      <c r="F160" s="35" t="s">
        <v>1</v>
      </c>
      <c r="G160" s="35" t="s">
        <v>551</v>
      </c>
      <c r="H160" s="75">
        <v>0</v>
      </c>
      <c r="I160" s="75">
        <v>0</v>
      </c>
      <c r="J160" s="75">
        <v>0</v>
      </c>
      <c r="K160" s="72">
        <f t="shared" si="21"/>
        <v>0</v>
      </c>
      <c r="L160" s="71"/>
      <c r="M160" s="72">
        <v>0</v>
      </c>
      <c r="N160" s="62">
        <v>0</v>
      </c>
      <c r="O160" s="62">
        <v>0</v>
      </c>
      <c r="P160" s="62">
        <v>0</v>
      </c>
      <c r="Q160" s="62">
        <v>0</v>
      </c>
      <c r="R160" s="62">
        <v>0</v>
      </c>
      <c r="S160" s="62">
        <v>0</v>
      </c>
      <c r="T160" s="62">
        <v>0</v>
      </c>
      <c r="U160" s="62">
        <v>0</v>
      </c>
      <c r="V160" s="62">
        <v>0</v>
      </c>
      <c r="W160" s="62">
        <v>0</v>
      </c>
      <c r="X160" s="62">
        <f t="shared" si="22"/>
        <v>0</v>
      </c>
      <c r="Y160" s="62"/>
      <c r="Z160" s="66">
        <f t="shared" si="23"/>
        <v>0</v>
      </c>
      <c r="AA160" s="74">
        <f>-(H160+I160)*2%</f>
        <v>0</v>
      </c>
      <c r="AB160" s="62">
        <f>K160+Z160+AA160</f>
        <v>0</v>
      </c>
      <c r="AC160" s="75">
        <v>0</v>
      </c>
      <c r="AD160" s="26"/>
    </row>
    <row r="161" spans="1:31" s="21" customFormat="1">
      <c r="A161" s="19">
        <f t="shared" si="24"/>
        <v>157</v>
      </c>
      <c r="B161" s="3" t="s">
        <v>168</v>
      </c>
      <c r="C161" s="4">
        <v>45791</v>
      </c>
      <c r="D161" s="2">
        <v>2025</v>
      </c>
      <c r="E161" s="20" t="s">
        <v>43</v>
      </c>
      <c r="F161" s="20" t="s">
        <v>69</v>
      </c>
      <c r="G161" s="13" t="s">
        <v>230</v>
      </c>
      <c r="H161" s="55">
        <v>72007650</v>
      </c>
      <c r="I161" s="55">
        <v>8000850</v>
      </c>
      <c r="J161" s="75">
        <v>880094</v>
      </c>
      <c r="K161" s="40">
        <f t="shared" si="21"/>
        <v>80888594</v>
      </c>
      <c r="L161" s="34">
        <v>45799</v>
      </c>
      <c r="M161" s="40">
        <v>0</v>
      </c>
      <c r="N161" s="39">
        <v>0</v>
      </c>
      <c r="O161" s="39">
        <v>80728577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160017</v>
      </c>
      <c r="X161" s="39">
        <f t="shared" si="22"/>
        <v>0</v>
      </c>
      <c r="Y161" s="39"/>
      <c r="Z161" s="23">
        <f t="shared" si="23"/>
        <v>-880094</v>
      </c>
      <c r="AA161" s="54">
        <f t="shared" ref="AA161:AA167" si="27">-(I161)*2%</f>
        <v>-160017</v>
      </c>
      <c r="AB161" s="39">
        <v>0</v>
      </c>
      <c r="AC161" s="55">
        <f t="shared" ref="AC161:AC168" si="28">K161+AA161</f>
        <v>80728577</v>
      </c>
      <c r="AD161" s="13" t="s">
        <v>257</v>
      </c>
      <c r="AE161" s="31" t="s">
        <v>1</v>
      </c>
    </row>
    <row r="162" spans="1:31" s="21" customFormat="1">
      <c r="A162" s="19">
        <f t="shared" si="24"/>
        <v>158</v>
      </c>
      <c r="B162" s="3" t="s">
        <v>169</v>
      </c>
      <c r="C162" s="4">
        <v>45791</v>
      </c>
      <c r="D162" s="2">
        <v>2025</v>
      </c>
      <c r="E162" s="20" t="s">
        <v>43</v>
      </c>
      <c r="F162" s="20" t="s">
        <v>69</v>
      </c>
      <c r="G162" s="13" t="s">
        <v>231</v>
      </c>
      <c r="H162" s="55">
        <v>63360000</v>
      </c>
      <c r="I162" s="55">
        <v>7040000</v>
      </c>
      <c r="J162" s="75">
        <v>774400</v>
      </c>
      <c r="K162" s="40">
        <f t="shared" si="21"/>
        <v>71174400</v>
      </c>
      <c r="L162" s="34">
        <v>45799</v>
      </c>
      <c r="M162" s="40">
        <v>0</v>
      </c>
      <c r="N162" s="39">
        <v>0</v>
      </c>
      <c r="O162" s="39">
        <v>71033600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140800</v>
      </c>
      <c r="X162" s="39">
        <f t="shared" si="22"/>
        <v>0</v>
      </c>
      <c r="Y162" s="39"/>
      <c r="Z162" s="23">
        <f t="shared" si="23"/>
        <v>-774400</v>
      </c>
      <c r="AA162" s="54">
        <f t="shared" si="27"/>
        <v>-140800</v>
      </c>
      <c r="AB162" s="39">
        <v>0</v>
      </c>
      <c r="AC162" s="55">
        <f t="shared" si="28"/>
        <v>71033600</v>
      </c>
      <c r="AD162" s="13" t="s">
        <v>257</v>
      </c>
      <c r="AE162" s="31" t="s">
        <v>1</v>
      </c>
    </row>
    <row r="163" spans="1:31" s="21" customFormat="1">
      <c r="A163" s="19">
        <f t="shared" si="24"/>
        <v>159</v>
      </c>
      <c r="B163" s="3" t="s">
        <v>170</v>
      </c>
      <c r="C163" s="4">
        <v>45791</v>
      </c>
      <c r="D163" s="2">
        <v>2025</v>
      </c>
      <c r="E163" s="20" t="s">
        <v>43</v>
      </c>
      <c r="F163" s="20" t="s">
        <v>69</v>
      </c>
      <c r="G163" s="13" t="s">
        <v>232</v>
      </c>
      <c r="H163" s="55">
        <v>10350000</v>
      </c>
      <c r="I163" s="55">
        <v>1150000</v>
      </c>
      <c r="J163" s="75">
        <v>126500</v>
      </c>
      <c r="K163" s="40">
        <f t="shared" si="21"/>
        <v>11626500</v>
      </c>
      <c r="L163" s="34">
        <v>45799</v>
      </c>
      <c r="M163" s="40">
        <v>0</v>
      </c>
      <c r="N163" s="39">
        <v>0</v>
      </c>
      <c r="O163" s="39">
        <v>11603500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23000</v>
      </c>
      <c r="X163" s="39">
        <f t="shared" si="22"/>
        <v>0</v>
      </c>
      <c r="Y163" s="39"/>
      <c r="Z163" s="23">
        <f t="shared" si="23"/>
        <v>-126500</v>
      </c>
      <c r="AA163" s="54">
        <f t="shared" si="27"/>
        <v>-23000</v>
      </c>
      <c r="AB163" s="39">
        <v>0</v>
      </c>
      <c r="AC163" s="55">
        <f t="shared" si="28"/>
        <v>11603500</v>
      </c>
      <c r="AD163" s="13" t="s">
        <v>257</v>
      </c>
      <c r="AE163" s="31" t="s">
        <v>1</v>
      </c>
    </row>
    <row r="164" spans="1:31" s="21" customFormat="1">
      <c r="A164" s="19">
        <f t="shared" si="24"/>
        <v>160</v>
      </c>
      <c r="B164" s="3" t="s">
        <v>171</v>
      </c>
      <c r="C164" s="4">
        <v>45792</v>
      </c>
      <c r="D164" s="2">
        <v>2025</v>
      </c>
      <c r="E164" s="20" t="s">
        <v>45</v>
      </c>
      <c r="F164" s="20" t="s">
        <v>233</v>
      </c>
      <c r="G164" s="13" t="s">
        <v>234</v>
      </c>
      <c r="H164" s="55">
        <v>7919991</v>
      </c>
      <c r="I164" s="55">
        <v>0</v>
      </c>
      <c r="J164" s="72">
        <v>87120</v>
      </c>
      <c r="K164" s="40">
        <f t="shared" si="21"/>
        <v>8007111</v>
      </c>
      <c r="L164" s="34">
        <v>45803</v>
      </c>
      <c r="M164" s="40">
        <v>0</v>
      </c>
      <c r="N164" s="39">
        <v>0</v>
      </c>
      <c r="O164" s="39">
        <v>8007111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f t="shared" si="22"/>
        <v>0</v>
      </c>
      <c r="Y164" s="39"/>
      <c r="Z164" s="23">
        <f t="shared" si="23"/>
        <v>-87120</v>
      </c>
      <c r="AA164" s="54">
        <f t="shared" si="27"/>
        <v>0</v>
      </c>
      <c r="AB164" s="39">
        <v>0</v>
      </c>
      <c r="AC164" s="55">
        <f t="shared" si="28"/>
        <v>8007111</v>
      </c>
      <c r="AD164" s="13" t="s">
        <v>258</v>
      </c>
      <c r="AE164" s="31" t="s">
        <v>1</v>
      </c>
    </row>
    <row r="165" spans="1:31" s="21" customFormat="1">
      <c r="A165" s="19">
        <f t="shared" si="24"/>
        <v>161</v>
      </c>
      <c r="B165" s="3" t="s">
        <v>172</v>
      </c>
      <c r="C165" s="4">
        <v>45792</v>
      </c>
      <c r="D165" s="2">
        <v>2025</v>
      </c>
      <c r="E165" s="20" t="s">
        <v>45</v>
      </c>
      <c r="F165" s="20" t="s">
        <v>233</v>
      </c>
      <c r="G165" s="13" t="s">
        <v>235</v>
      </c>
      <c r="H165" s="55">
        <v>11504800</v>
      </c>
      <c r="I165" s="55">
        <v>0</v>
      </c>
      <c r="J165" s="75">
        <v>126553</v>
      </c>
      <c r="K165" s="40">
        <f t="shared" si="21"/>
        <v>11631353</v>
      </c>
      <c r="L165" s="34">
        <v>45803</v>
      </c>
      <c r="M165" s="40">
        <v>0</v>
      </c>
      <c r="N165" s="39">
        <v>0</v>
      </c>
      <c r="O165" s="39">
        <v>11631353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f t="shared" si="22"/>
        <v>0</v>
      </c>
      <c r="Y165" s="39"/>
      <c r="Z165" s="23">
        <f t="shared" si="23"/>
        <v>-126553</v>
      </c>
      <c r="AA165" s="54">
        <f t="shared" si="27"/>
        <v>0</v>
      </c>
      <c r="AB165" s="39">
        <v>0</v>
      </c>
      <c r="AC165" s="55">
        <f t="shared" si="28"/>
        <v>11631353</v>
      </c>
      <c r="AD165" s="13" t="s">
        <v>258</v>
      </c>
    </row>
    <row r="166" spans="1:31" s="21" customFormat="1">
      <c r="A166" s="19">
        <f t="shared" si="24"/>
        <v>162</v>
      </c>
      <c r="B166" s="3" t="s">
        <v>173</v>
      </c>
      <c r="C166" s="4">
        <v>45792</v>
      </c>
      <c r="D166" s="2">
        <v>2025</v>
      </c>
      <c r="E166" s="20" t="s">
        <v>45</v>
      </c>
      <c r="F166" s="20" t="s">
        <v>233</v>
      </c>
      <c r="G166" s="13" t="s">
        <v>236</v>
      </c>
      <c r="H166" s="55">
        <v>15091440</v>
      </c>
      <c r="I166" s="55">
        <v>0</v>
      </c>
      <c r="J166" s="75">
        <v>166006</v>
      </c>
      <c r="K166" s="40">
        <f t="shared" si="21"/>
        <v>15257446</v>
      </c>
      <c r="L166" s="34">
        <v>45803</v>
      </c>
      <c r="M166" s="40">
        <v>0</v>
      </c>
      <c r="N166" s="39">
        <v>0</v>
      </c>
      <c r="O166" s="39">
        <v>15257446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f t="shared" si="22"/>
        <v>0</v>
      </c>
      <c r="Y166" s="39"/>
      <c r="Z166" s="23">
        <f t="shared" si="23"/>
        <v>-166006</v>
      </c>
      <c r="AA166" s="54">
        <f t="shared" si="27"/>
        <v>0</v>
      </c>
      <c r="AB166" s="39">
        <v>0</v>
      </c>
      <c r="AC166" s="55">
        <f t="shared" si="28"/>
        <v>15257446</v>
      </c>
      <c r="AD166" s="13" t="s">
        <v>258</v>
      </c>
    </row>
    <row r="167" spans="1:31" s="21" customFormat="1">
      <c r="A167" s="19">
        <f t="shared" si="24"/>
        <v>163</v>
      </c>
      <c r="B167" s="3" t="s">
        <v>174</v>
      </c>
      <c r="C167" s="4">
        <v>45792</v>
      </c>
      <c r="D167" s="2">
        <v>2025</v>
      </c>
      <c r="E167" s="20" t="s">
        <v>45</v>
      </c>
      <c r="F167" s="20" t="s">
        <v>233</v>
      </c>
      <c r="G167" s="13" t="s">
        <v>237</v>
      </c>
      <c r="H167" s="55">
        <v>12061800</v>
      </c>
      <c r="I167" s="55">
        <v>0</v>
      </c>
      <c r="J167" s="75">
        <v>132680</v>
      </c>
      <c r="K167" s="40">
        <f t="shared" si="21"/>
        <v>12194480</v>
      </c>
      <c r="L167" s="34">
        <v>45803</v>
      </c>
      <c r="M167" s="40">
        <v>0</v>
      </c>
      <c r="N167" s="39">
        <v>0</v>
      </c>
      <c r="O167" s="39">
        <v>12194480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f t="shared" si="22"/>
        <v>0</v>
      </c>
      <c r="Y167" s="39"/>
      <c r="Z167" s="23">
        <f t="shared" si="23"/>
        <v>-132680</v>
      </c>
      <c r="AA167" s="54">
        <f t="shared" si="27"/>
        <v>0</v>
      </c>
      <c r="AB167" s="39">
        <v>0</v>
      </c>
      <c r="AC167" s="55">
        <f t="shared" si="28"/>
        <v>12194480</v>
      </c>
      <c r="AD167" s="13" t="s">
        <v>258</v>
      </c>
    </row>
    <row r="168" spans="1:31" s="21" customFormat="1">
      <c r="A168" s="19">
        <f t="shared" si="24"/>
        <v>164</v>
      </c>
      <c r="B168" s="3" t="s">
        <v>259</v>
      </c>
      <c r="C168" s="4">
        <v>45793</v>
      </c>
      <c r="D168" s="2">
        <v>2025</v>
      </c>
      <c r="E168" s="20" t="s">
        <v>192</v>
      </c>
      <c r="F168" s="20" t="s">
        <v>74</v>
      </c>
      <c r="G168" s="13" t="s">
        <v>260</v>
      </c>
      <c r="H168" s="55">
        <v>5753850</v>
      </c>
      <c r="I168" s="55">
        <v>575385</v>
      </c>
      <c r="J168" s="75">
        <v>69622</v>
      </c>
      <c r="K168" s="40">
        <f t="shared" si="21"/>
        <v>6398857</v>
      </c>
      <c r="L168" s="34">
        <v>45880</v>
      </c>
      <c r="M168" s="40">
        <v>0</v>
      </c>
      <c r="N168" s="39">
        <v>0</v>
      </c>
      <c r="O168" s="39">
        <v>6272271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126586</v>
      </c>
      <c r="X168" s="39">
        <f t="shared" si="22"/>
        <v>0</v>
      </c>
      <c r="Y168" s="39"/>
      <c r="Z168" s="23">
        <f t="shared" si="23"/>
        <v>-69622</v>
      </c>
      <c r="AA168" s="54">
        <f>-(H168+I168)*2%-1.3</f>
        <v>-126586</v>
      </c>
      <c r="AB168" s="39">
        <v>0</v>
      </c>
      <c r="AC168" s="55">
        <f t="shared" si="28"/>
        <v>6272271</v>
      </c>
      <c r="AD168" s="13"/>
    </row>
    <row r="169" spans="1:31" s="21" customFormat="1">
      <c r="A169" s="64">
        <f t="shared" si="24"/>
        <v>165</v>
      </c>
      <c r="B169" s="26" t="s">
        <v>261</v>
      </c>
      <c r="C169" s="79">
        <v>45825</v>
      </c>
      <c r="D169" s="2">
        <v>2024</v>
      </c>
      <c r="E169" s="35" t="s">
        <v>1</v>
      </c>
      <c r="F169" s="35" t="s">
        <v>1</v>
      </c>
      <c r="G169" s="35" t="s">
        <v>552</v>
      </c>
      <c r="H169" s="75">
        <v>0</v>
      </c>
      <c r="I169" s="75">
        <v>0</v>
      </c>
      <c r="J169" s="75">
        <v>0</v>
      </c>
      <c r="K169" s="72">
        <f t="shared" si="21"/>
        <v>0</v>
      </c>
      <c r="L169" s="71"/>
      <c r="M169" s="72">
        <v>0</v>
      </c>
      <c r="N169" s="62">
        <v>0</v>
      </c>
      <c r="O169" s="62">
        <v>0</v>
      </c>
      <c r="P169" s="62">
        <v>0</v>
      </c>
      <c r="Q169" s="62">
        <v>0</v>
      </c>
      <c r="R169" s="62">
        <v>0</v>
      </c>
      <c r="S169" s="62">
        <v>0</v>
      </c>
      <c r="T169" s="62">
        <v>0</v>
      </c>
      <c r="U169" s="62">
        <v>0</v>
      </c>
      <c r="V169" s="62">
        <v>0</v>
      </c>
      <c r="W169" s="62">
        <v>0</v>
      </c>
      <c r="X169" s="62">
        <f t="shared" si="22"/>
        <v>0</v>
      </c>
      <c r="Y169" s="62"/>
      <c r="Z169" s="66">
        <f t="shared" si="23"/>
        <v>0</v>
      </c>
      <c r="AA169" s="74">
        <f>-(H169+I169)*2%</f>
        <v>0</v>
      </c>
      <c r="AB169" s="62">
        <f>K169+Z169+AA169</f>
        <v>0</v>
      </c>
      <c r="AC169" s="75">
        <v>0</v>
      </c>
      <c r="AD169" s="26"/>
    </row>
    <row r="170" spans="1:31" s="21" customFormat="1">
      <c r="A170" s="64">
        <f t="shared" si="24"/>
        <v>166</v>
      </c>
      <c r="B170" s="26" t="s">
        <v>265</v>
      </c>
      <c r="C170" s="79">
        <v>45737</v>
      </c>
      <c r="D170" s="2">
        <v>2024</v>
      </c>
      <c r="E170" s="35" t="s">
        <v>1</v>
      </c>
      <c r="F170" s="35" t="s">
        <v>1</v>
      </c>
      <c r="G170" s="35" t="s">
        <v>553</v>
      </c>
      <c r="H170" s="75">
        <v>0</v>
      </c>
      <c r="I170" s="75">
        <v>0</v>
      </c>
      <c r="J170" s="75">
        <v>0</v>
      </c>
      <c r="K170" s="72">
        <f t="shared" si="21"/>
        <v>0</v>
      </c>
      <c r="L170" s="71"/>
      <c r="M170" s="72">
        <v>0</v>
      </c>
      <c r="N170" s="62">
        <v>0</v>
      </c>
      <c r="O170" s="62">
        <v>0</v>
      </c>
      <c r="P170" s="62">
        <v>0</v>
      </c>
      <c r="Q170" s="62">
        <v>0</v>
      </c>
      <c r="R170" s="62">
        <v>0</v>
      </c>
      <c r="S170" s="62">
        <v>0</v>
      </c>
      <c r="T170" s="62">
        <v>0</v>
      </c>
      <c r="U170" s="62">
        <v>0</v>
      </c>
      <c r="V170" s="62">
        <v>0</v>
      </c>
      <c r="W170" s="62">
        <v>0</v>
      </c>
      <c r="X170" s="62">
        <f t="shared" si="22"/>
        <v>0</v>
      </c>
      <c r="Y170" s="62"/>
      <c r="Z170" s="66">
        <f t="shared" si="23"/>
        <v>0</v>
      </c>
      <c r="AA170" s="74">
        <f>-(H170+I170)*2%</f>
        <v>0</v>
      </c>
      <c r="AB170" s="62">
        <f>K170+Z170+AA170</f>
        <v>0</v>
      </c>
      <c r="AC170" s="75">
        <v>0</v>
      </c>
      <c r="AD170" s="26"/>
    </row>
    <row r="171" spans="1:31" s="21" customFormat="1">
      <c r="A171" s="64">
        <f t="shared" si="24"/>
        <v>167</v>
      </c>
      <c r="B171" s="26" t="s">
        <v>266</v>
      </c>
      <c r="C171" s="79">
        <v>45740</v>
      </c>
      <c r="D171" s="2">
        <v>2024</v>
      </c>
      <c r="E171" s="35" t="s">
        <v>1</v>
      </c>
      <c r="F171" s="35" t="s">
        <v>1</v>
      </c>
      <c r="G171" s="35" t="s">
        <v>554</v>
      </c>
      <c r="H171" s="75">
        <v>0</v>
      </c>
      <c r="I171" s="75">
        <v>0</v>
      </c>
      <c r="J171" s="75">
        <v>0</v>
      </c>
      <c r="K171" s="72">
        <f t="shared" si="21"/>
        <v>0</v>
      </c>
      <c r="L171" s="71"/>
      <c r="M171" s="72">
        <v>0</v>
      </c>
      <c r="N171" s="62">
        <v>0</v>
      </c>
      <c r="O171" s="62">
        <v>0</v>
      </c>
      <c r="P171" s="62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f t="shared" si="22"/>
        <v>0</v>
      </c>
      <c r="Y171" s="62"/>
      <c r="Z171" s="66">
        <f t="shared" si="23"/>
        <v>0</v>
      </c>
      <c r="AA171" s="74">
        <f>-(H171+I171)*2%</f>
        <v>0</v>
      </c>
      <c r="AB171" s="62">
        <f>K171+Z171+AA171</f>
        <v>0</v>
      </c>
      <c r="AC171" s="75">
        <v>0</v>
      </c>
      <c r="AD171" s="26"/>
    </row>
    <row r="172" spans="1:31" s="21" customFormat="1">
      <c r="A172" s="19">
        <f t="shared" si="24"/>
        <v>168</v>
      </c>
      <c r="B172" s="3" t="s">
        <v>270</v>
      </c>
      <c r="C172" s="4">
        <v>45810</v>
      </c>
      <c r="D172" s="2">
        <v>2025</v>
      </c>
      <c r="E172" s="20" t="s">
        <v>45</v>
      </c>
      <c r="F172" s="20" t="s">
        <v>233</v>
      </c>
      <c r="G172" s="13" t="s">
        <v>271</v>
      </c>
      <c r="H172" s="55">
        <v>648783383</v>
      </c>
      <c r="I172" s="55">
        <v>0</v>
      </c>
      <c r="J172" s="75">
        <v>7136617</v>
      </c>
      <c r="K172" s="40">
        <f t="shared" si="21"/>
        <v>655920000</v>
      </c>
      <c r="L172" s="34">
        <v>45818</v>
      </c>
      <c r="M172" s="40">
        <v>0</v>
      </c>
      <c r="N172" s="39">
        <v>0</v>
      </c>
      <c r="O172" s="39">
        <v>642944332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12975668</v>
      </c>
      <c r="X172" s="39">
        <f t="shared" si="22"/>
        <v>0</v>
      </c>
      <c r="Y172" s="39"/>
      <c r="Z172" s="23">
        <f t="shared" si="23"/>
        <v>-7136617</v>
      </c>
      <c r="AA172" s="54">
        <f>-(H172+I172)*2%-0.34</f>
        <v>-12975668</v>
      </c>
      <c r="AB172" s="39">
        <v>0</v>
      </c>
      <c r="AC172" s="55">
        <f t="shared" ref="AC172:AC178" si="29">K172+AA172</f>
        <v>642944332</v>
      </c>
      <c r="AD172" s="13"/>
    </row>
    <row r="173" spans="1:31" s="21" customFormat="1">
      <c r="A173" s="19">
        <f t="shared" si="24"/>
        <v>169</v>
      </c>
      <c r="B173" s="3" t="s">
        <v>272</v>
      </c>
      <c r="C173" s="4">
        <v>45811</v>
      </c>
      <c r="D173" s="2">
        <v>2025</v>
      </c>
      <c r="E173" s="20" t="s">
        <v>273</v>
      </c>
      <c r="F173" s="20" t="s">
        <v>69</v>
      </c>
      <c r="G173" s="13" t="s">
        <v>274</v>
      </c>
      <c r="H173" s="55">
        <v>1900000</v>
      </c>
      <c r="I173" s="55">
        <v>0</v>
      </c>
      <c r="J173" s="75">
        <v>20900</v>
      </c>
      <c r="K173" s="40">
        <f t="shared" si="21"/>
        <v>1920900</v>
      </c>
      <c r="L173" s="34">
        <v>45918</v>
      </c>
      <c r="M173" s="40">
        <v>0</v>
      </c>
      <c r="N173" s="39">
        <v>0</v>
      </c>
      <c r="O173" s="39">
        <v>1920900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f t="shared" si="22"/>
        <v>0</v>
      </c>
      <c r="Y173" s="39"/>
      <c r="Z173" s="8">
        <f t="shared" si="23"/>
        <v>-20900</v>
      </c>
      <c r="AA173" s="54">
        <v>0</v>
      </c>
      <c r="AB173" s="39">
        <v>0</v>
      </c>
      <c r="AC173" s="55">
        <f t="shared" si="29"/>
        <v>1920900</v>
      </c>
      <c r="AD173" s="13"/>
    </row>
    <row r="174" spans="1:31" s="21" customFormat="1">
      <c r="A174" s="19">
        <f t="shared" si="24"/>
        <v>170</v>
      </c>
      <c r="B174" s="3" t="s">
        <v>275</v>
      </c>
      <c r="C174" s="4">
        <v>45811</v>
      </c>
      <c r="D174" s="2">
        <v>2025</v>
      </c>
      <c r="E174" s="20" t="s">
        <v>273</v>
      </c>
      <c r="F174" s="20" t="s">
        <v>69</v>
      </c>
      <c r="G174" s="13" t="s">
        <v>276</v>
      </c>
      <c r="H174" s="55">
        <v>12800000</v>
      </c>
      <c r="I174" s="55">
        <v>0</v>
      </c>
      <c r="J174" s="75">
        <v>140800</v>
      </c>
      <c r="K174" s="40">
        <f t="shared" si="21"/>
        <v>12940800</v>
      </c>
      <c r="L174" s="34">
        <v>45839</v>
      </c>
      <c r="M174" s="40">
        <v>0</v>
      </c>
      <c r="N174" s="39">
        <v>0</v>
      </c>
      <c r="O174" s="40">
        <v>12940800</v>
      </c>
      <c r="P174" s="39">
        <v>0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f t="shared" si="22"/>
        <v>0</v>
      </c>
      <c r="Y174" s="39"/>
      <c r="Z174" s="23">
        <f t="shared" si="23"/>
        <v>-140800</v>
      </c>
      <c r="AA174" s="54">
        <v>0</v>
      </c>
      <c r="AB174" s="39">
        <v>0</v>
      </c>
      <c r="AC174" s="55">
        <f t="shared" si="29"/>
        <v>12940800</v>
      </c>
      <c r="AD174" s="13"/>
    </row>
    <row r="175" spans="1:31" s="21" customFormat="1">
      <c r="A175" s="19">
        <f t="shared" si="24"/>
        <v>171</v>
      </c>
      <c r="B175" s="3" t="s">
        <v>277</v>
      </c>
      <c r="C175" s="4">
        <v>45811</v>
      </c>
      <c r="D175" s="2">
        <v>2025</v>
      </c>
      <c r="E175" s="20" t="s">
        <v>273</v>
      </c>
      <c r="F175" s="20" t="s">
        <v>69</v>
      </c>
      <c r="G175" s="13" t="s">
        <v>276</v>
      </c>
      <c r="H175" s="55">
        <v>12800000</v>
      </c>
      <c r="I175" s="55">
        <v>0</v>
      </c>
      <c r="J175" s="75">
        <v>140800</v>
      </c>
      <c r="K175" s="40">
        <f t="shared" si="21"/>
        <v>12940800</v>
      </c>
      <c r="L175" s="34">
        <v>45833</v>
      </c>
      <c r="M175" s="40">
        <v>0</v>
      </c>
      <c r="N175" s="39">
        <v>0</v>
      </c>
      <c r="O175" s="40">
        <v>12940800</v>
      </c>
      <c r="P175" s="39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f t="shared" si="22"/>
        <v>0</v>
      </c>
      <c r="Y175" s="39"/>
      <c r="Z175" s="23">
        <f t="shared" si="23"/>
        <v>-140800</v>
      </c>
      <c r="AA175" s="54">
        <v>0</v>
      </c>
      <c r="AB175" s="39">
        <v>0</v>
      </c>
      <c r="AC175" s="55">
        <f t="shared" si="29"/>
        <v>12940800</v>
      </c>
      <c r="AD175" s="13"/>
    </row>
    <row r="176" spans="1:31" s="21" customFormat="1">
      <c r="A176" s="19">
        <f t="shared" si="24"/>
        <v>172</v>
      </c>
      <c r="B176" s="3" t="s">
        <v>278</v>
      </c>
      <c r="C176" s="4">
        <v>45811</v>
      </c>
      <c r="D176" s="2">
        <v>2025</v>
      </c>
      <c r="E176" s="20" t="s">
        <v>273</v>
      </c>
      <c r="F176" s="20" t="s">
        <v>69</v>
      </c>
      <c r="G176" s="13" t="s">
        <v>276</v>
      </c>
      <c r="H176" s="55">
        <v>12800000</v>
      </c>
      <c r="I176" s="55">
        <v>0</v>
      </c>
      <c r="J176" s="75">
        <v>140800</v>
      </c>
      <c r="K176" s="40">
        <f t="shared" si="21"/>
        <v>12940800</v>
      </c>
      <c r="L176" s="34">
        <v>45856</v>
      </c>
      <c r="M176" s="40">
        <v>0</v>
      </c>
      <c r="N176" s="39">
        <v>0</v>
      </c>
      <c r="O176" s="39">
        <v>12940800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f t="shared" si="22"/>
        <v>0</v>
      </c>
      <c r="Y176" s="39"/>
      <c r="Z176" s="23">
        <f t="shared" si="23"/>
        <v>-140800</v>
      </c>
      <c r="AA176" s="54">
        <v>0</v>
      </c>
      <c r="AB176" s="39">
        <v>0</v>
      </c>
      <c r="AC176" s="55">
        <f t="shared" si="29"/>
        <v>12940800</v>
      </c>
      <c r="AD176" s="13"/>
    </row>
    <row r="177" spans="1:31" s="21" customFormat="1">
      <c r="A177" s="19">
        <f t="shared" si="24"/>
        <v>173</v>
      </c>
      <c r="B177" s="3" t="s">
        <v>279</v>
      </c>
      <c r="C177" s="4">
        <v>45824</v>
      </c>
      <c r="D177" s="2">
        <v>2025</v>
      </c>
      <c r="E177" s="20" t="s">
        <v>45</v>
      </c>
      <c r="F177" s="20" t="s">
        <v>233</v>
      </c>
      <c r="G177" s="13" t="s">
        <v>280</v>
      </c>
      <c r="H177" s="55">
        <v>324391691</v>
      </c>
      <c r="I177" s="55">
        <v>0</v>
      </c>
      <c r="J177" s="75">
        <v>3568309</v>
      </c>
      <c r="K177" s="40">
        <f t="shared" si="21"/>
        <v>327960000</v>
      </c>
      <c r="L177" s="34">
        <v>45833</v>
      </c>
      <c r="M177" s="40">
        <v>0</v>
      </c>
      <c r="N177" s="39">
        <v>0</v>
      </c>
      <c r="O177" s="39">
        <v>321472166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6487834</v>
      </c>
      <c r="X177" s="39">
        <f t="shared" si="22"/>
        <v>0</v>
      </c>
      <c r="Y177" s="39"/>
      <c r="Z177" s="23">
        <f t="shared" si="23"/>
        <v>-3568309</v>
      </c>
      <c r="AA177" s="54">
        <f>-(H177+I177)*2%-0.18</f>
        <v>-6487834</v>
      </c>
      <c r="AB177" s="39">
        <v>0</v>
      </c>
      <c r="AC177" s="55">
        <f t="shared" si="29"/>
        <v>321472166</v>
      </c>
      <c r="AD177" s="13"/>
    </row>
    <row r="178" spans="1:31" s="21" customFormat="1">
      <c r="A178" s="19">
        <f t="shared" si="24"/>
        <v>174</v>
      </c>
      <c r="B178" s="3" t="s">
        <v>291</v>
      </c>
      <c r="C178" s="4">
        <v>45838</v>
      </c>
      <c r="D178" s="24">
        <v>2025</v>
      </c>
      <c r="E178" s="20" t="s">
        <v>45</v>
      </c>
      <c r="F178" s="20" t="s">
        <v>233</v>
      </c>
      <c r="G178" s="13" t="s">
        <v>292</v>
      </c>
      <c r="H178" s="55">
        <v>108131553</v>
      </c>
      <c r="I178" s="55">
        <v>0</v>
      </c>
      <c r="J178" s="75">
        <v>1189447</v>
      </c>
      <c r="K178" s="40">
        <f t="shared" si="21"/>
        <v>109321000</v>
      </c>
      <c r="L178" s="34">
        <v>45848</v>
      </c>
      <c r="M178" s="40">
        <v>0</v>
      </c>
      <c r="N178" s="39">
        <v>0</v>
      </c>
      <c r="O178" s="39">
        <v>107158369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2162631</v>
      </c>
      <c r="X178" s="39">
        <f t="shared" si="22"/>
        <v>0</v>
      </c>
      <c r="Y178" s="39"/>
      <c r="Z178" s="23">
        <f t="shared" si="23"/>
        <v>-1189447</v>
      </c>
      <c r="AA178" s="54">
        <f>-(H178+I178)*2%+0.06</f>
        <v>-2162631</v>
      </c>
      <c r="AB178" s="39">
        <v>0</v>
      </c>
      <c r="AC178" s="55">
        <f t="shared" si="29"/>
        <v>107158369</v>
      </c>
      <c r="AD178" s="3"/>
    </row>
    <row r="179" spans="1:31" s="21" customFormat="1">
      <c r="A179" s="64">
        <f t="shared" si="24"/>
        <v>175</v>
      </c>
      <c r="B179" s="26" t="s">
        <v>293</v>
      </c>
      <c r="C179" s="79">
        <v>45842</v>
      </c>
      <c r="D179" s="2">
        <v>2024</v>
      </c>
      <c r="E179" s="35" t="s">
        <v>1</v>
      </c>
      <c r="F179" s="35" t="s">
        <v>1</v>
      </c>
      <c r="G179" s="35" t="s">
        <v>555</v>
      </c>
      <c r="H179" s="75">
        <v>0</v>
      </c>
      <c r="I179" s="75">
        <v>0</v>
      </c>
      <c r="J179" s="75">
        <v>0</v>
      </c>
      <c r="K179" s="72">
        <f t="shared" si="21"/>
        <v>0</v>
      </c>
      <c r="L179" s="71"/>
      <c r="M179" s="72">
        <v>0</v>
      </c>
      <c r="N179" s="62">
        <v>0</v>
      </c>
      <c r="O179" s="62">
        <v>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f t="shared" si="22"/>
        <v>0</v>
      </c>
      <c r="Y179" s="62"/>
      <c r="Z179" s="66">
        <f t="shared" si="23"/>
        <v>0</v>
      </c>
      <c r="AA179" s="74">
        <f>-(H179+I179)*2%</f>
        <v>0</v>
      </c>
      <c r="AB179" s="62">
        <f>K179+Z179+AA179</f>
        <v>0</v>
      </c>
      <c r="AC179" s="75">
        <v>0</v>
      </c>
      <c r="AD179" s="26" t="s">
        <v>1</v>
      </c>
      <c r="AE179" s="31" t="s">
        <v>1</v>
      </c>
    </row>
    <row r="180" spans="1:31" s="76" customFormat="1">
      <c r="A180" s="19">
        <f t="shared" si="24"/>
        <v>176</v>
      </c>
      <c r="B180" s="3" t="s">
        <v>294</v>
      </c>
      <c r="C180" s="4">
        <v>45845</v>
      </c>
      <c r="D180" s="24">
        <v>2025</v>
      </c>
      <c r="E180" s="20" t="s">
        <v>45</v>
      </c>
      <c r="F180" s="13" t="s">
        <v>233</v>
      </c>
      <c r="G180" s="20" t="s">
        <v>295</v>
      </c>
      <c r="H180" s="55">
        <v>8234580</v>
      </c>
      <c r="I180" s="55">
        <v>0</v>
      </c>
      <c r="J180" s="75">
        <v>90580</v>
      </c>
      <c r="K180" s="40">
        <f t="shared" si="21"/>
        <v>8325160</v>
      </c>
      <c r="L180" s="34">
        <v>45848</v>
      </c>
      <c r="M180" s="40">
        <v>0</v>
      </c>
      <c r="N180" s="39">
        <v>0</v>
      </c>
      <c r="O180" s="39">
        <v>8325160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f t="shared" si="22"/>
        <v>0</v>
      </c>
      <c r="Y180" s="39"/>
      <c r="Z180" s="23">
        <f t="shared" si="23"/>
        <v>-90580</v>
      </c>
      <c r="AA180" s="54">
        <v>0</v>
      </c>
      <c r="AB180" s="39">
        <v>0</v>
      </c>
      <c r="AC180" s="55">
        <f t="shared" ref="AC180:AC204" si="30">K180+AA180</f>
        <v>8325160</v>
      </c>
      <c r="AD180" s="13" t="s">
        <v>296</v>
      </c>
    </row>
    <row r="181" spans="1:31" s="21" customFormat="1">
      <c r="A181" s="19">
        <f t="shared" si="24"/>
        <v>177</v>
      </c>
      <c r="B181" s="3" t="s">
        <v>297</v>
      </c>
      <c r="C181" s="4">
        <v>45845</v>
      </c>
      <c r="D181" s="24">
        <v>2025</v>
      </c>
      <c r="E181" s="20" t="s">
        <v>45</v>
      </c>
      <c r="F181" s="13" t="s">
        <v>233</v>
      </c>
      <c r="G181" s="20" t="s">
        <v>298</v>
      </c>
      <c r="H181" s="55">
        <v>22632818</v>
      </c>
      <c r="I181" s="55">
        <v>0</v>
      </c>
      <c r="J181" s="75">
        <v>248961</v>
      </c>
      <c r="K181" s="40">
        <f t="shared" si="21"/>
        <v>22881779</v>
      </c>
      <c r="L181" s="34">
        <v>45848</v>
      </c>
      <c r="M181" s="40">
        <v>0</v>
      </c>
      <c r="N181" s="39">
        <v>0</v>
      </c>
      <c r="O181" s="39">
        <v>22881779</v>
      </c>
      <c r="P181" s="39">
        <v>0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f t="shared" si="22"/>
        <v>0</v>
      </c>
      <c r="Y181" s="39"/>
      <c r="Z181" s="23">
        <f t="shared" si="23"/>
        <v>-248961</v>
      </c>
      <c r="AA181" s="54">
        <v>0</v>
      </c>
      <c r="AB181" s="39">
        <v>0</v>
      </c>
      <c r="AC181" s="55">
        <f t="shared" si="30"/>
        <v>22881779</v>
      </c>
      <c r="AD181" s="13" t="s">
        <v>296</v>
      </c>
    </row>
    <row r="182" spans="1:31" s="21" customFormat="1">
      <c r="A182" s="19">
        <f t="shared" si="24"/>
        <v>178</v>
      </c>
      <c r="B182" s="3" t="s">
        <v>299</v>
      </c>
      <c r="C182" s="4">
        <v>45845</v>
      </c>
      <c r="D182" s="24">
        <v>2025</v>
      </c>
      <c r="E182" s="20" t="s">
        <v>45</v>
      </c>
      <c r="F182" s="13" t="s">
        <v>233</v>
      </c>
      <c r="G182" s="20" t="s">
        <v>300</v>
      </c>
      <c r="H182" s="55">
        <v>1326500</v>
      </c>
      <c r="I182" s="55">
        <v>0</v>
      </c>
      <c r="J182" s="75">
        <v>14592</v>
      </c>
      <c r="K182" s="40">
        <f t="shared" si="21"/>
        <v>1341092</v>
      </c>
      <c r="L182" s="34">
        <v>45848</v>
      </c>
      <c r="M182" s="40">
        <v>0</v>
      </c>
      <c r="N182" s="39">
        <v>0</v>
      </c>
      <c r="O182" s="39">
        <v>1341092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f t="shared" si="22"/>
        <v>0</v>
      </c>
      <c r="Y182" s="39"/>
      <c r="Z182" s="23">
        <f t="shared" si="23"/>
        <v>-14592</v>
      </c>
      <c r="AA182" s="54">
        <v>0</v>
      </c>
      <c r="AB182" s="39">
        <v>0</v>
      </c>
      <c r="AC182" s="55">
        <f t="shared" si="30"/>
        <v>1341092</v>
      </c>
      <c r="AD182" s="13" t="s">
        <v>296</v>
      </c>
    </row>
    <row r="183" spans="1:31" s="21" customFormat="1">
      <c r="A183" s="19">
        <f t="shared" si="24"/>
        <v>179</v>
      </c>
      <c r="B183" s="3" t="s">
        <v>301</v>
      </c>
      <c r="C183" s="4">
        <v>45845</v>
      </c>
      <c r="D183" s="24">
        <v>2025</v>
      </c>
      <c r="E183" s="20" t="s">
        <v>45</v>
      </c>
      <c r="F183" s="13" t="s">
        <v>233</v>
      </c>
      <c r="G183" s="20" t="s">
        <v>302</v>
      </c>
      <c r="H183" s="55">
        <v>1326500</v>
      </c>
      <c r="I183" s="55">
        <v>0</v>
      </c>
      <c r="J183" s="75">
        <v>14592</v>
      </c>
      <c r="K183" s="40">
        <f t="shared" si="21"/>
        <v>1341092</v>
      </c>
      <c r="L183" s="34">
        <v>45848</v>
      </c>
      <c r="M183" s="40">
        <v>0</v>
      </c>
      <c r="N183" s="39">
        <v>0</v>
      </c>
      <c r="O183" s="39">
        <v>1341092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f t="shared" si="22"/>
        <v>0</v>
      </c>
      <c r="Y183" s="39"/>
      <c r="Z183" s="23">
        <f t="shared" si="23"/>
        <v>-14592</v>
      </c>
      <c r="AA183" s="54">
        <v>0</v>
      </c>
      <c r="AB183" s="39">
        <v>0</v>
      </c>
      <c r="AC183" s="55">
        <f t="shared" si="30"/>
        <v>1341092</v>
      </c>
      <c r="AD183" s="13" t="s">
        <v>296</v>
      </c>
    </row>
    <row r="184" spans="1:31" s="21" customFormat="1">
      <c r="A184" s="19">
        <f t="shared" si="24"/>
        <v>180</v>
      </c>
      <c r="B184" s="3" t="s">
        <v>303</v>
      </c>
      <c r="C184" s="4">
        <v>45845</v>
      </c>
      <c r="D184" s="24">
        <v>2025</v>
      </c>
      <c r="E184" s="20" t="s">
        <v>45</v>
      </c>
      <c r="F184" s="13" t="s">
        <v>233</v>
      </c>
      <c r="G184" s="20" t="s">
        <v>304</v>
      </c>
      <c r="H184" s="55">
        <v>2653000</v>
      </c>
      <c r="I184" s="55">
        <v>0</v>
      </c>
      <c r="J184" s="75">
        <v>29183</v>
      </c>
      <c r="K184" s="40">
        <f t="shared" si="21"/>
        <v>2682183</v>
      </c>
      <c r="L184" s="34">
        <v>45848</v>
      </c>
      <c r="M184" s="40">
        <v>0</v>
      </c>
      <c r="N184" s="39">
        <v>0</v>
      </c>
      <c r="O184" s="39">
        <v>2682183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f t="shared" si="22"/>
        <v>0</v>
      </c>
      <c r="Y184" s="39"/>
      <c r="Z184" s="23">
        <f t="shared" si="23"/>
        <v>-29183</v>
      </c>
      <c r="AA184" s="54">
        <v>0</v>
      </c>
      <c r="AB184" s="39">
        <v>0</v>
      </c>
      <c r="AC184" s="55">
        <f t="shared" si="30"/>
        <v>2682183</v>
      </c>
      <c r="AD184" s="13" t="s">
        <v>296</v>
      </c>
    </row>
    <row r="185" spans="1:31" s="21" customFormat="1">
      <c r="A185" s="19">
        <f t="shared" si="24"/>
        <v>181</v>
      </c>
      <c r="B185" s="3" t="s">
        <v>305</v>
      </c>
      <c r="C185" s="4">
        <v>45845</v>
      </c>
      <c r="D185" s="24">
        <v>2025</v>
      </c>
      <c r="E185" s="20" t="s">
        <v>45</v>
      </c>
      <c r="F185" s="13" t="s">
        <v>233</v>
      </c>
      <c r="G185" s="20" t="s">
        <v>306</v>
      </c>
      <c r="H185" s="55">
        <v>1326500</v>
      </c>
      <c r="I185" s="55">
        <v>0</v>
      </c>
      <c r="J185" s="75">
        <v>14592</v>
      </c>
      <c r="K185" s="40">
        <f t="shared" si="21"/>
        <v>1341092</v>
      </c>
      <c r="L185" s="34">
        <v>45848</v>
      </c>
      <c r="M185" s="40">
        <v>0</v>
      </c>
      <c r="N185" s="39">
        <v>0</v>
      </c>
      <c r="O185" s="39">
        <v>1341092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f t="shared" si="22"/>
        <v>0</v>
      </c>
      <c r="Y185" s="39"/>
      <c r="Z185" s="23">
        <f t="shared" si="23"/>
        <v>-14592</v>
      </c>
      <c r="AA185" s="54">
        <v>0</v>
      </c>
      <c r="AB185" s="39">
        <v>0</v>
      </c>
      <c r="AC185" s="55">
        <f t="shared" si="30"/>
        <v>1341092</v>
      </c>
      <c r="AD185" s="13" t="s">
        <v>296</v>
      </c>
    </row>
    <row r="186" spans="1:31" s="21" customFormat="1">
      <c r="A186" s="19">
        <f t="shared" si="24"/>
        <v>182</v>
      </c>
      <c r="B186" s="3" t="s">
        <v>307</v>
      </c>
      <c r="C186" s="4">
        <v>45845</v>
      </c>
      <c r="D186" s="24">
        <v>2025</v>
      </c>
      <c r="E186" s="20" t="s">
        <v>45</v>
      </c>
      <c r="F186" s="13" t="s">
        <v>233</v>
      </c>
      <c r="G186" s="20" t="s">
        <v>308</v>
      </c>
      <c r="H186" s="55">
        <v>1326500</v>
      </c>
      <c r="I186" s="55">
        <v>0</v>
      </c>
      <c r="J186" s="75">
        <v>14592</v>
      </c>
      <c r="K186" s="40">
        <f t="shared" si="21"/>
        <v>1341092</v>
      </c>
      <c r="L186" s="34">
        <v>45848</v>
      </c>
      <c r="M186" s="40">
        <v>0</v>
      </c>
      <c r="N186" s="39">
        <v>0</v>
      </c>
      <c r="O186" s="39">
        <v>1341092</v>
      </c>
      <c r="P186" s="39">
        <v>0</v>
      </c>
      <c r="Q186" s="39">
        <v>0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0</v>
      </c>
      <c r="X186" s="39">
        <f t="shared" si="22"/>
        <v>0</v>
      </c>
      <c r="Y186" s="39"/>
      <c r="Z186" s="23">
        <f t="shared" si="23"/>
        <v>-14592</v>
      </c>
      <c r="AA186" s="54">
        <v>0</v>
      </c>
      <c r="AB186" s="39">
        <v>0</v>
      </c>
      <c r="AC186" s="55">
        <f t="shared" si="30"/>
        <v>1341092</v>
      </c>
      <c r="AD186" s="13" t="s">
        <v>296</v>
      </c>
    </row>
    <row r="187" spans="1:31" s="21" customFormat="1">
      <c r="A187" s="19">
        <f t="shared" si="24"/>
        <v>183</v>
      </c>
      <c r="B187" s="3" t="s">
        <v>309</v>
      </c>
      <c r="C187" s="4">
        <v>45845</v>
      </c>
      <c r="D187" s="24">
        <v>2025</v>
      </c>
      <c r="E187" s="20" t="s">
        <v>45</v>
      </c>
      <c r="F187" s="13" t="s">
        <v>233</v>
      </c>
      <c r="G187" s="20" t="s">
        <v>310</v>
      </c>
      <c r="H187" s="55">
        <v>1326500</v>
      </c>
      <c r="I187" s="55">
        <v>0</v>
      </c>
      <c r="J187" s="75">
        <v>14592</v>
      </c>
      <c r="K187" s="40">
        <f t="shared" si="21"/>
        <v>1341092</v>
      </c>
      <c r="L187" s="34">
        <v>45848</v>
      </c>
      <c r="M187" s="40">
        <v>0</v>
      </c>
      <c r="N187" s="39">
        <v>0</v>
      </c>
      <c r="O187" s="39">
        <v>1341092</v>
      </c>
      <c r="P187" s="39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f t="shared" si="22"/>
        <v>0</v>
      </c>
      <c r="Y187" s="39"/>
      <c r="Z187" s="23">
        <f t="shared" si="23"/>
        <v>-14592</v>
      </c>
      <c r="AA187" s="54">
        <v>0</v>
      </c>
      <c r="AB187" s="39">
        <v>0</v>
      </c>
      <c r="AC187" s="55">
        <f t="shared" si="30"/>
        <v>1341092</v>
      </c>
      <c r="AD187" s="13" t="s">
        <v>296</v>
      </c>
    </row>
    <row r="188" spans="1:31" s="21" customFormat="1">
      <c r="A188" s="19">
        <f t="shared" si="24"/>
        <v>184</v>
      </c>
      <c r="B188" s="3" t="s">
        <v>311</v>
      </c>
      <c r="C188" s="4">
        <v>45845</v>
      </c>
      <c r="D188" s="24">
        <v>2025</v>
      </c>
      <c r="E188" s="20" t="s">
        <v>45</v>
      </c>
      <c r="F188" s="13" t="s">
        <v>233</v>
      </c>
      <c r="G188" s="20" t="s">
        <v>312</v>
      </c>
      <c r="H188" s="55">
        <v>1326500</v>
      </c>
      <c r="I188" s="55">
        <v>0</v>
      </c>
      <c r="J188" s="75">
        <v>14592</v>
      </c>
      <c r="K188" s="40">
        <f t="shared" si="21"/>
        <v>1341092</v>
      </c>
      <c r="L188" s="34">
        <v>45848</v>
      </c>
      <c r="M188" s="40">
        <v>0</v>
      </c>
      <c r="N188" s="39">
        <v>0</v>
      </c>
      <c r="O188" s="39">
        <v>1341092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f t="shared" si="22"/>
        <v>0</v>
      </c>
      <c r="Y188" s="39"/>
      <c r="Z188" s="23">
        <f t="shared" si="23"/>
        <v>-14592</v>
      </c>
      <c r="AA188" s="54">
        <v>0</v>
      </c>
      <c r="AB188" s="39">
        <v>0</v>
      </c>
      <c r="AC188" s="55">
        <f t="shared" si="30"/>
        <v>1341092</v>
      </c>
      <c r="AD188" s="13" t="s">
        <v>296</v>
      </c>
    </row>
    <row r="189" spans="1:31" s="21" customFormat="1">
      <c r="A189" s="19">
        <f t="shared" si="24"/>
        <v>185</v>
      </c>
      <c r="B189" s="3" t="s">
        <v>313</v>
      </c>
      <c r="C189" s="4">
        <v>45845</v>
      </c>
      <c r="D189" s="24">
        <v>2025</v>
      </c>
      <c r="E189" s="20" t="s">
        <v>45</v>
      </c>
      <c r="F189" s="13" t="s">
        <v>233</v>
      </c>
      <c r="G189" s="20" t="s">
        <v>314</v>
      </c>
      <c r="H189" s="55">
        <v>1326500</v>
      </c>
      <c r="I189" s="55">
        <v>0</v>
      </c>
      <c r="J189" s="75">
        <v>14592</v>
      </c>
      <c r="K189" s="40">
        <f t="shared" si="21"/>
        <v>1341092</v>
      </c>
      <c r="L189" s="34">
        <v>45848</v>
      </c>
      <c r="M189" s="40">
        <v>0</v>
      </c>
      <c r="N189" s="39">
        <v>0</v>
      </c>
      <c r="O189" s="39">
        <v>1341092</v>
      </c>
      <c r="P189" s="39">
        <v>0</v>
      </c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f t="shared" si="22"/>
        <v>0</v>
      </c>
      <c r="Y189" s="39"/>
      <c r="Z189" s="23">
        <f t="shared" si="23"/>
        <v>-14592</v>
      </c>
      <c r="AA189" s="54">
        <v>0</v>
      </c>
      <c r="AB189" s="39">
        <v>0</v>
      </c>
      <c r="AC189" s="55">
        <f t="shared" si="30"/>
        <v>1341092</v>
      </c>
      <c r="AD189" s="13" t="s">
        <v>296</v>
      </c>
    </row>
    <row r="190" spans="1:31" s="76" customFormat="1">
      <c r="A190" s="19">
        <f t="shared" si="24"/>
        <v>186</v>
      </c>
      <c r="B190" s="3" t="s">
        <v>315</v>
      </c>
      <c r="C190" s="4">
        <v>45845</v>
      </c>
      <c r="D190" s="24">
        <v>2025</v>
      </c>
      <c r="E190" s="20" t="s">
        <v>45</v>
      </c>
      <c r="F190" s="13" t="s">
        <v>233</v>
      </c>
      <c r="G190" s="20" t="s">
        <v>316</v>
      </c>
      <c r="H190" s="55">
        <v>1326500</v>
      </c>
      <c r="I190" s="55">
        <v>0</v>
      </c>
      <c r="J190" s="75">
        <v>14592</v>
      </c>
      <c r="K190" s="40">
        <f t="shared" si="21"/>
        <v>1341092</v>
      </c>
      <c r="L190" s="34">
        <v>45848</v>
      </c>
      <c r="M190" s="40">
        <v>0</v>
      </c>
      <c r="N190" s="39">
        <v>0</v>
      </c>
      <c r="O190" s="39">
        <v>1341092</v>
      </c>
      <c r="P190" s="39">
        <v>0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f t="shared" si="22"/>
        <v>0</v>
      </c>
      <c r="Y190" s="39"/>
      <c r="Z190" s="23">
        <f t="shared" si="23"/>
        <v>-14592</v>
      </c>
      <c r="AA190" s="54">
        <v>0</v>
      </c>
      <c r="AB190" s="39">
        <v>0</v>
      </c>
      <c r="AC190" s="55">
        <f t="shared" si="30"/>
        <v>1341092</v>
      </c>
      <c r="AD190" s="13" t="s">
        <v>296</v>
      </c>
    </row>
    <row r="191" spans="1:31" s="21" customFormat="1">
      <c r="A191" s="19">
        <f t="shared" si="24"/>
        <v>187</v>
      </c>
      <c r="B191" s="3" t="s">
        <v>317</v>
      </c>
      <c r="C191" s="4">
        <v>45845</v>
      </c>
      <c r="D191" s="24">
        <v>2025</v>
      </c>
      <c r="E191" s="20" t="s">
        <v>45</v>
      </c>
      <c r="F191" s="13" t="s">
        <v>233</v>
      </c>
      <c r="G191" s="20" t="s">
        <v>318</v>
      </c>
      <c r="H191" s="55">
        <v>1326500</v>
      </c>
      <c r="I191" s="55">
        <v>0</v>
      </c>
      <c r="J191" s="75">
        <v>14592</v>
      </c>
      <c r="K191" s="40">
        <f t="shared" si="21"/>
        <v>1341092</v>
      </c>
      <c r="L191" s="34">
        <v>45848</v>
      </c>
      <c r="M191" s="40">
        <v>0</v>
      </c>
      <c r="N191" s="39">
        <v>0</v>
      </c>
      <c r="O191" s="39">
        <v>1341092</v>
      </c>
      <c r="P191" s="39">
        <v>0</v>
      </c>
      <c r="Q191" s="39">
        <v>0</v>
      </c>
      <c r="R191" s="39">
        <v>0</v>
      </c>
      <c r="S191" s="39">
        <v>0</v>
      </c>
      <c r="T191" s="39">
        <v>0</v>
      </c>
      <c r="U191" s="39">
        <v>0</v>
      </c>
      <c r="V191" s="39">
        <v>0</v>
      </c>
      <c r="W191" s="39">
        <v>0</v>
      </c>
      <c r="X191" s="39">
        <f t="shared" si="22"/>
        <v>0</v>
      </c>
      <c r="Y191" s="39"/>
      <c r="Z191" s="23">
        <f t="shared" si="23"/>
        <v>-14592</v>
      </c>
      <c r="AA191" s="54">
        <v>0</v>
      </c>
      <c r="AB191" s="39">
        <v>0</v>
      </c>
      <c r="AC191" s="55">
        <f t="shared" si="30"/>
        <v>1341092</v>
      </c>
      <c r="AD191" s="13" t="s">
        <v>296</v>
      </c>
    </row>
    <row r="192" spans="1:31" s="21" customFormat="1">
      <c r="A192" s="19">
        <f t="shared" si="24"/>
        <v>188</v>
      </c>
      <c r="B192" s="3" t="s">
        <v>319</v>
      </c>
      <c r="C192" s="4">
        <v>45845</v>
      </c>
      <c r="D192" s="24">
        <v>2025</v>
      </c>
      <c r="E192" s="20" t="s">
        <v>45</v>
      </c>
      <c r="F192" s="13" t="s">
        <v>233</v>
      </c>
      <c r="G192" s="20" t="s">
        <v>320</v>
      </c>
      <c r="H192" s="55">
        <v>1326500</v>
      </c>
      <c r="I192" s="55">
        <v>0</v>
      </c>
      <c r="J192" s="75">
        <v>14592</v>
      </c>
      <c r="K192" s="40">
        <f t="shared" si="21"/>
        <v>1341092</v>
      </c>
      <c r="L192" s="34">
        <v>45848</v>
      </c>
      <c r="M192" s="40">
        <v>0</v>
      </c>
      <c r="N192" s="39">
        <v>0</v>
      </c>
      <c r="O192" s="39">
        <v>1341092</v>
      </c>
      <c r="P192" s="39">
        <v>0</v>
      </c>
      <c r="Q192" s="39">
        <v>0</v>
      </c>
      <c r="R192" s="39">
        <v>0</v>
      </c>
      <c r="S192" s="39">
        <v>0</v>
      </c>
      <c r="T192" s="39">
        <v>0</v>
      </c>
      <c r="U192" s="39">
        <v>0</v>
      </c>
      <c r="V192" s="39">
        <v>0</v>
      </c>
      <c r="W192" s="39">
        <v>0</v>
      </c>
      <c r="X192" s="39">
        <f t="shared" si="22"/>
        <v>0</v>
      </c>
      <c r="Y192" s="39"/>
      <c r="Z192" s="23">
        <f t="shared" si="23"/>
        <v>-14592</v>
      </c>
      <c r="AA192" s="54">
        <v>0</v>
      </c>
      <c r="AB192" s="39">
        <v>0</v>
      </c>
      <c r="AC192" s="55">
        <f t="shared" si="30"/>
        <v>1341092</v>
      </c>
      <c r="AD192" s="13" t="s">
        <v>296</v>
      </c>
    </row>
    <row r="193" spans="1:31" s="21" customFormat="1">
      <c r="A193" s="19">
        <f t="shared" si="24"/>
        <v>189</v>
      </c>
      <c r="B193" s="3" t="s">
        <v>321</v>
      </c>
      <c r="C193" s="4">
        <v>45845</v>
      </c>
      <c r="D193" s="24">
        <v>2025</v>
      </c>
      <c r="E193" s="20" t="s">
        <v>45</v>
      </c>
      <c r="F193" s="13" t="s">
        <v>233</v>
      </c>
      <c r="G193" s="20" t="s">
        <v>322</v>
      </c>
      <c r="H193" s="55">
        <v>6400860</v>
      </c>
      <c r="I193" s="55">
        <v>0</v>
      </c>
      <c r="J193" s="75">
        <v>70409</v>
      </c>
      <c r="K193" s="40">
        <f t="shared" si="21"/>
        <v>6471269</v>
      </c>
      <c r="L193" s="34">
        <v>45848</v>
      </c>
      <c r="M193" s="40">
        <v>0</v>
      </c>
      <c r="N193" s="39">
        <v>0</v>
      </c>
      <c r="O193" s="39">
        <v>6471269</v>
      </c>
      <c r="P193" s="39">
        <v>0</v>
      </c>
      <c r="Q193" s="39">
        <v>0</v>
      </c>
      <c r="R193" s="39">
        <v>0</v>
      </c>
      <c r="S193" s="39">
        <v>0</v>
      </c>
      <c r="T193" s="39">
        <v>0</v>
      </c>
      <c r="U193" s="39">
        <v>0</v>
      </c>
      <c r="V193" s="39">
        <v>0</v>
      </c>
      <c r="W193" s="39">
        <v>0</v>
      </c>
      <c r="X193" s="39">
        <f t="shared" si="22"/>
        <v>0</v>
      </c>
      <c r="Y193" s="39"/>
      <c r="Z193" s="23">
        <f t="shared" si="23"/>
        <v>-70409</v>
      </c>
      <c r="AA193" s="54">
        <v>0</v>
      </c>
      <c r="AB193" s="39">
        <v>0</v>
      </c>
      <c r="AC193" s="55">
        <f t="shared" si="30"/>
        <v>6471269</v>
      </c>
      <c r="AD193" s="13" t="s">
        <v>296</v>
      </c>
    </row>
    <row r="194" spans="1:31" s="21" customFormat="1">
      <c r="A194" s="19">
        <f t="shared" si="24"/>
        <v>190</v>
      </c>
      <c r="B194" s="3" t="s">
        <v>323</v>
      </c>
      <c r="C194" s="4">
        <v>45845</v>
      </c>
      <c r="D194" s="24">
        <v>2025</v>
      </c>
      <c r="E194" s="20" t="s">
        <v>45</v>
      </c>
      <c r="F194" s="13" t="s">
        <v>233</v>
      </c>
      <c r="G194" s="20" t="s">
        <v>324</v>
      </c>
      <c r="H194" s="55">
        <v>1200430</v>
      </c>
      <c r="I194" s="55">
        <v>0</v>
      </c>
      <c r="J194" s="75">
        <v>13205</v>
      </c>
      <c r="K194" s="40">
        <f t="shared" si="21"/>
        <v>1213635</v>
      </c>
      <c r="L194" s="34">
        <v>45848</v>
      </c>
      <c r="M194" s="40">
        <v>0</v>
      </c>
      <c r="N194" s="39">
        <v>0</v>
      </c>
      <c r="O194" s="39">
        <v>1213635</v>
      </c>
      <c r="P194" s="39">
        <v>0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f t="shared" si="22"/>
        <v>0</v>
      </c>
      <c r="Y194" s="39"/>
      <c r="Z194" s="23">
        <f t="shared" si="23"/>
        <v>-13205</v>
      </c>
      <c r="AA194" s="54">
        <v>0</v>
      </c>
      <c r="AB194" s="39">
        <v>0</v>
      </c>
      <c r="AC194" s="55">
        <f t="shared" si="30"/>
        <v>1213635</v>
      </c>
      <c r="AD194" s="13" t="s">
        <v>296</v>
      </c>
    </row>
    <row r="195" spans="1:31" s="21" customFormat="1">
      <c r="A195" s="19">
        <f t="shared" si="24"/>
        <v>191</v>
      </c>
      <c r="B195" s="3" t="s">
        <v>325</v>
      </c>
      <c r="C195" s="4">
        <v>45845</v>
      </c>
      <c r="D195" s="24">
        <v>2025</v>
      </c>
      <c r="E195" s="20" t="s">
        <v>45</v>
      </c>
      <c r="F195" s="13" t="s">
        <v>233</v>
      </c>
      <c r="G195" s="20" t="s">
        <v>326</v>
      </c>
      <c r="H195" s="55">
        <v>1200430</v>
      </c>
      <c r="I195" s="55">
        <v>0</v>
      </c>
      <c r="J195" s="75">
        <v>13205</v>
      </c>
      <c r="K195" s="40">
        <f t="shared" si="21"/>
        <v>1213635</v>
      </c>
      <c r="L195" s="34">
        <v>45848</v>
      </c>
      <c r="M195" s="40">
        <v>0</v>
      </c>
      <c r="N195" s="39">
        <v>0</v>
      </c>
      <c r="O195" s="39">
        <v>1213635</v>
      </c>
      <c r="P195" s="39">
        <v>0</v>
      </c>
      <c r="Q195" s="39">
        <v>0</v>
      </c>
      <c r="R195" s="39">
        <v>0</v>
      </c>
      <c r="S195" s="39">
        <v>0</v>
      </c>
      <c r="T195" s="39">
        <v>0</v>
      </c>
      <c r="U195" s="39">
        <v>0</v>
      </c>
      <c r="V195" s="39">
        <v>0</v>
      </c>
      <c r="W195" s="39">
        <v>0</v>
      </c>
      <c r="X195" s="39">
        <f t="shared" si="22"/>
        <v>0</v>
      </c>
      <c r="Y195" s="39"/>
      <c r="Z195" s="23">
        <f t="shared" si="23"/>
        <v>-13205</v>
      </c>
      <c r="AA195" s="54">
        <v>0</v>
      </c>
      <c r="AB195" s="39">
        <v>0</v>
      </c>
      <c r="AC195" s="55">
        <f t="shared" si="30"/>
        <v>1213635</v>
      </c>
      <c r="AD195" s="13" t="s">
        <v>296</v>
      </c>
    </row>
    <row r="196" spans="1:31" s="21" customFormat="1">
      <c r="A196" s="19">
        <f t="shared" si="24"/>
        <v>192</v>
      </c>
      <c r="B196" s="3" t="s">
        <v>327</v>
      </c>
      <c r="C196" s="4">
        <v>45845</v>
      </c>
      <c r="D196" s="24">
        <v>2025</v>
      </c>
      <c r="E196" s="20" t="s">
        <v>45</v>
      </c>
      <c r="F196" s="13" t="s">
        <v>233</v>
      </c>
      <c r="G196" s="20" t="s">
        <v>328</v>
      </c>
      <c r="H196" s="55">
        <v>1200430</v>
      </c>
      <c r="I196" s="55">
        <v>0</v>
      </c>
      <c r="J196" s="75">
        <v>13205</v>
      </c>
      <c r="K196" s="40">
        <f t="shared" si="21"/>
        <v>1213635</v>
      </c>
      <c r="L196" s="34">
        <v>45848</v>
      </c>
      <c r="M196" s="40">
        <v>0</v>
      </c>
      <c r="N196" s="39">
        <v>0</v>
      </c>
      <c r="O196" s="39">
        <v>1213635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f t="shared" si="22"/>
        <v>0</v>
      </c>
      <c r="Y196" s="39"/>
      <c r="Z196" s="23">
        <f t="shared" si="23"/>
        <v>-13205</v>
      </c>
      <c r="AA196" s="54">
        <v>0</v>
      </c>
      <c r="AB196" s="39">
        <v>0</v>
      </c>
      <c r="AC196" s="55">
        <f t="shared" si="30"/>
        <v>1213635</v>
      </c>
      <c r="AD196" s="13" t="s">
        <v>296</v>
      </c>
    </row>
    <row r="197" spans="1:31" s="21" customFormat="1">
      <c r="A197" s="19">
        <f t="shared" si="24"/>
        <v>193</v>
      </c>
      <c r="B197" s="3" t="s">
        <v>329</v>
      </c>
      <c r="C197" s="4">
        <v>45845</v>
      </c>
      <c r="D197" s="24">
        <v>2025</v>
      </c>
      <c r="E197" s="20" t="s">
        <v>45</v>
      </c>
      <c r="F197" s="13" t="s">
        <v>233</v>
      </c>
      <c r="G197" s="20" t="s">
        <v>330</v>
      </c>
      <c r="H197" s="55">
        <v>2588534</v>
      </c>
      <c r="I197" s="55">
        <v>0</v>
      </c>
      <c r="J197" s="75">
        <v>28474</v>
      </c>
      <c r="K197" s="40">
        <f t="shared" ref="K197:K260" si="31">SUM(H197:J197)</f>
        <v>2617008</v>
      </c>
      <c r="L197" s="34">
        <v>45848</v>
      </c>
      <c r="M197" s="40">
        <v>0</v>
      </c>
      <c r="N197" s="39">
        <v>0</v>
      </c>
      <c r="O197" s="39">
        <v>2617008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0</v>
      </c>
      <c r="X197" s="39">
        <f t="shared" ref="X197:X260" si="32">K197-SUM(M197:W197)</f>
        <v>0</v>
      </c>
      <c r="Y197" s="39"/>
      <c r="Z197" s="23">
        <f t="shared" ref="Z197:Z260" si="33">-J197</f>
        <v>-28474</v>
      </c>
      <c r="AA197" s="54">
        <v>0</v>
      </c>
      <c r="AB197" s="39">
        <v>0</v>
      </c>
      <c r="AC197" s="55">
        <f t="shared" si="30"/>
        <v>2617008</v>
      </c>
      <c r="AD197" s="13" t="s">
        <v>296</v>
      </c>
      <c r="AE197" s="21" t="s">
        <v>1</v>
      </c>
    </row>
    <row r="198" spans="1:31" s="21" customFormat="1">
      <c r="A198" s="19">
        <f t="shared" ref="A198:A261" si="34">A197+1</f>
        <v>194</v>
      </c>
      <c r="B198" s="3" t="s">
        <v>331</v>
      </c>
      <c r="C198" s="4">
        <v>45845</v>
      </c>
      <c r="D198" s="24">
        <v>2025</v>
      </c>
      <c r="E198" s="20" t="s">
        <v>45</v>
      </c>
      <c r="F198" s="13" t="s">
        <v>233</v>
      </c>
      <c r="G198" s="20" t="s">
        <v>332</v>
      </c>
      <c r="H198" s="55">
        <v>9249022</v>
      </c>
      <c r="I198" s="55">
        <v>0</v>
      </c>
      <c r="J198" s="75">
        <v>101739</v>
      </c>
      <c r="K198" s="40">
        <f t="shared" si="31"/>
        <v>9350761</v>
      </c>
      <c r="L198" s="34">
        <v>45848</v>
      </c>
      <c r="M198" s="40">
        <v>0</v>
      </c>
      <c r="N198" s="39">
        <v>0</v>
      </c>
      <c r="O198" s="39">
        <v>9350761</v>
      </c>
      <c r="P198" s="39">
        <v>0</v>
      </c>
      <c r="Q198" s="39">
        <v>0</v>
      </c>
      <c r="R198" s="39">
        <v>0</v>
      </c>
      <c r="S198" s="39">
        <v>0</v>
      </c>
      <c r="T198" s="39">
        <v>0</v>
      </c>
      <c r="U198" s="39">
        <v>0</v>
      </c>
      <c r="V198" s="39">
        <v>0</v>
      </c>
      <c r="W198" s="39">
        <v>0</v>
      </c>
      <c r="X198" s="39">
        <f t="shared" si="32"/>
        <v>0</v>
      </c>
      <c r="Y198" s="39"/>
      <c r="Z198" s="23">
        <f t="shared" si="33"/>
        <v>-101739</v>
      </c>
      <c r="AA198" s="54">
        <v>0</v>
      </c>
      <c r="AB198" s="39">
        <v>0</v>
      </c>
      <c r="AC198" s="55">
        <f t="shared" si="30"/>
        <v>9350761</v>
      </c>
      <c r="AD198" s="13" t="s">
        <v>296</v>
      </c>
    </row>
    <row r="199" spans="1:31" s="21" customFormat="1">
      <c r="A199" s="19">
        <f t="shared" si="34"/>
        <v>195</v>
      </c>
      <c r="B199" s="3" t="s">
        <v>333</v>
      </c>
      <c r="C199" s="4">
        <v>45845</v>
      </c>
      <c r="D199" s="24">
        <v>2025</v>
      </c>
      <c r="E199" s="20" t="s">
        <v>45</v>
      </c>
      <c r="F199" s="13" t="s">
        <v>233</v>
      </c>
      <c r="G199" s="20" t="s">
        <v>334</v>
      </c>
      <c r="H199" s="55">
        <v>1800000</v>
      </c>
      <c r="I199" s="55">
        <v>0</v>
      </c>
      <c r="J199" s="75">
        <v>19800</v>
      </c>
      <c r="K199" s="40">
        <f t="shared" si="31"/>
        <v>1819800</v>
      </c>
      <c r="L199" s="34">
        <v>45848</v>
      </c>
      <c r="M199" s="40">
        <v>0</v>
      </c>
      <c r="N199" s="39">
        <v>0</v>
      </c>
      <c r="O199" s="39">
        <v>1819800</v>
      </c>
      <c r="P199" s="39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f t="shared" si="32"/>
        <v>0</v>
      </c>
      <c r="Y199" s="39"/>
      <c r="Z199" s="23">
        <f t="shared" si="33"/>
        <v>-19800</v>
      </c>
      <c r="AA199" s="54">
        <v>0</v>
      </c>
      <c r="AB199" s="39">
        <v>0</v>
      </c>
      <c r="AC199" s="55">
        <f t="shared" si="30"/>
        <v>1819800</v>
      </c>
      <c r="AD199" s="13" t="s">
        <v>296</v>
      </c>
    </row>
    <row r="200" spans="1:31" s="21" customFormat="1">
      <c r="A200" s="19">
        <f t="shared" si="34"/>
        <v>196</v>
      </c>
      <c r="B200" s="3" t="s">
        <v>335</v>
      </c>
      <c r="C200" s="4">
        <v>45845</v>
      </c>
      <c r="D200" s="24">
        <v>2025</v>
      </c>
      <c r="E200" s="20" t="s">
        <v>45</v>
      </c>
      <c r="F200" s="13" t="s">
        <v>233</v>
      </c>
      <c r="G200" s="20" t="s">
        <v>336</v>
      </c>
      <c r="H200" s="55">
        <v>26941560</v>
      </c>
      <c r="I200" s="55">
        <v>0</v>
      </c>
      <c r="J200" s="75">
        <v>296357</v>
      </c>
      <c r="K200" s="40">
        <f t="shared" si="31"/>
        <v>27237917</v>
      </c>
      <c r="L200" s="34">
        <v>45848</v>
      </c>
      <c r="M200" s="40">
        <v>0</v>
      </c>
      <c r="N200" s="39">
        <v>0</v>
      </c>
      <c r="O200" s="39">
        <v>27237917</v>
      </c>
      <c r="P200" s="39">
        <v>0</v>
      </c>
      <c r="Q200" s="39">
        <v>0</v>
      </c>
      <c r="R200" s="39">
        <v>0</v>
      </c>
      <c r="S200" s="39">
        <v>0</v>
      </c>
      <c r="T200" s="39">
        <v>0</v>
      </c>
      <c r="U200" s="39">
        <v>0</v>
      </c>
      <c r="V200" s="39">
        <v>0</v>
      </c>
      <c r="W200" s="39">
        <v>0</v>
      </c>
      <c r="X200" s="39">
        <f t="shared" si="32"/>
        <v>0</v>
      </c>
      <c r="Y200" s="39"/>
      <c r="Z200" s="23">
        <f t="shared" si="33"/>
        <v>-296357</v>
      </c>
      <c r="AA200" s="54">
        <v>0</v>
      </c>
      <c r="AB200" s="39">
        <v>0</v>
      </c>
      <c r="AC200" s="55">
        <f t="shared" si="30"/>
        <v>27237917</v>
      </c>
      <c r="AD200" s="13" t="s">
        <v>296</v>
      </c>
    </row>
    <row r="201" spans="1:31" s="21" customFormat="1">
      <c r="A201" s="19">
        <f t="shared" si="34"/>
        <v>197</v>
      </c>
      <c r="B201" s="3" t="s">
        <v>337</v>
      </c>
      <c r="C201" s="4">
        <v>45845</v>
      </c>
      <c r="D201" s="24">
        <v>2025</v>
      </c>
      <c r="E201" s="20" t="s">
        <v>45</v>
      </c>
      <c r="F201" s="13" t="s">
        <v>233</v>
      </c>
      <c r="G201" s="20" t="s">
        <v>338</v>
      </c>
      <c r="H201" s="55">
        <v>4701311</v>
      </c>
      <c r="I201" s="55">
        <v>0</v>
      </c>
      <c r="J201" s="75">
        <v>51714</v>
      </c>
      <c r="K201" s="40">
        <f t="shared" si="31"/>
        <v>4753025</v>
      </c>
      <c r="L201" s="34">
        <v>45848</v>
      </c>
      <c r="M201" s="40">
        <v>0</v>
      </c>
      <c r="N201" s="39">
        <v>0</v>
      </c>
      <c r="O201" s="39">
        <v>4753025</v>
      </c>
      <c r="P201" s="39">
        <v>0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f t="shared" si="32"/>
        <v>0</v>
      </c>
      <c r="Y201" s="39"/>
      <c r="Z201" s="23">
        <f t="shared" si="33"/>
        <v>-51714</v>
      </c>
      <c r="AA201" s="54">
        <v>0</v>
      </c>
      <c r="AB201" s="39">
        <v>0</v>
      </c>
      <c r="AC201" s="55">
        <f t="shared" si="30"/>
        <v>4753025</v>
      </c>
      <c r="AD201" s="13" t="s">
        <v>296</v>
      </c>
    </row>
    <row r="202" spans="1:31" s="21" customFormat="1">
      <c r="A202" s="19">
        <f t="shared" si="34"/>
        <v>198</v>
      </c>
      <c r="B202" s="3" t="s">
        <v>339</v>
      </c>
      <c r="C202" s="4">
        <v>45845</v>
      </c>
      <c r="D202" s="24">
        <v>2025</v>
      </c>
      <c r="E202" s="20" t="s">
        <v>45</v>
      </c>
      <c r="F202" s="13" t="s">
        <v>233</v>
      </c>
      <c r="G202" s="20" t="s">
        <v>340</v>
      </c>
      <c r="H202" s="55">
        <v>4701311</v>
      </c>
      <c r="I202" s="55">
        <v>0</v>
      </c>
      <c r="J202" s="75">
        <v>51714</v>
      </c>
      <c r="K202" s="40">
        <f t="shared" si="31"/>
        <v>4753025</v>
      </c>
      <c r="L202" s="34">
        <v>45848</v>
      </c>
      <c r="M202" s="40">
        <v>0</v>
      </c>
      <c r="N202" s="39">
        <v>0</v>
      </c>
      <c r="O202" s="39">
        <v>4753025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f t="shared" si="32"/>
        <v>0</v>
      </c>
      <c r="Y202" s="39"/>
      <c r="Z202" s="23">
        <f t="shared" si="33"/>
        <v>-51714</v>
      </c>
      <c r="AA202" s="54">
        <v>0</v>
      </c>
      <c r="AB202" s="39">
        <v>0</v>
      </c>
      <c r="AC202" s="55">
        <f t="shared" si="30"/>
        <v>4753025</v>
      </c>
      <c r="AD202" s="13" t="s">
        <v>296</v>
      </c>
    </row>
    <row r="203" spans="1:31" s="21" customFormat="1">
      <c r="A203" s="19">
        <f t="shared" si="34"/>
        <v>199</v>
      </c>
      <c r="B203" s="3" t="s">
        <v>341</v>
      </c>
      <c r="C203" s="4">
        <v>45845</v>
      </c>
      <c r="D203" s="24">
        <v>2025</v>
      </c>
      <c r="E203" s="20" t="s">
        <v>45</v>
      </c>
      <c r="F203" s="13" t="s">
        <v>233</v>
      </c>
      <c r="G203" s="20" t="s">
        <v>342</v>
      </c>
      <c r="H203" s="55">
        <v>3809967</v>
      </c>
      <c r="I203" s="55">
        <v>0</v>
      </c>
      <c r="J203" s="75">
        <v>41910</v>
      </c>
      <c r="K203" s="40">
        <f t="shared" si="31"/>
        <v>3851877</v>
      </c>
      <c r="L203" s="34">
        <v>45848</v>
      </c>
      <c r="M203" s="40">
        <v>0</v>
      </c>
      <c r="N203" s="39">
        <v>0</v>
      </c>
      <c r="O203" s="39">
        <v>3851877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f t="shared" si="32"/>
        <v>0</v>
      </c>
      <c r="Y203" s="39"/>
      <c r="Z203" s="23">
        <f t="shared" si="33"/>
        <v>-41910</v>
      </c>
      <c r="AA203" s="54">
        <v>0</v>
      </c>
      <c r="AB203" s="39">
        <v>0</v>
      </c>
      <c r="AC203" s="55">
        <f t="shared" si="30"/>
        <v>3851877</v>
      </c>
      <c r="AD203" s="13" t="s">
        <v>296</v>
      </c>
    </row>
    <row r="204" spans="1:31" s="21" customFormat="1">
      <c r="A204" s="19">
        <f t="shared" si="34"/>
        <v>200</v>
      </c>
      <c r="B204" s="3" t="s">
        <v>343</v>
      </c>
      <c r="C204" s="4">
        <v>45845</v>
      </c>
      <c r="D204" s="24">
        <v>2025</v>
      </c>
      <c r="E204" s="20" t="s">
        <v>45</v>
      </c>
      <c r="F204" s="13" t="s">
        <v>233</v>
      </c>
      <c r="G204" s="20" t="s">
        <v>344</v>
      </c>
      <c r="H204" s="55">
        <v>3809967</v>
      </c>
      <c r="I204" s="55">
        <v>0</v>
      </c>
      <c r="J204" s="75">
        <v>41910</v>
      </c>
      <c r="K204" s="40">
        <f t="shared" si="31"/>
        <v>3851877</v>
      </c>
      <c r="L204" s="34">
        <v>45848</v>
      </c>
      <c r="M204" s="40">
        <v>0</v>
      </c>
      <c r="N204" s="39">
        <v>0</v>
      </c>
      <c r="O204" s="39">
        <v>3851877</v>
      </c>
      <c r="P204" s="39">
        <v>0</v>
      </c>
      <c r="Q204" s="39">
        <v>0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f t="shared" si="32"/>
        <v>0</v>
      </c>
      <c r="Y204" s="39"/>
      <c r="Z204" s="23">
        <f t="shared" si="33"/>
        <v>-41910</v>
      </c>
      <c r="AA204" s="54">
        <v>0</v>
      </c>
      <c r="AB204" s="39">
        <v>0</v>
      </c>
      <c r="AC204" s="55">
        <f t="shared" si="30"/>
        <v>3851877</v>
      </c>
      <c r="AD204" s="13" t="s">
        <v>296</v>
      </c>
    </row>
    <row r="205" spans="1:31" s="21" customFormat="1">
      <c r="A205" s="64">
        <f t="shared" si="34"/>
        <v>201</v>
      </c>
      <c r="B205" s="26" t="s">
        <v>352</v>
      </c>
      <c r="C205" s="79">
        <v>45721</v>
      </c>
      <c r="D205" s="2">
        <v>2024</v>
      </c>
      <c r="E205" s="35" t="s">
        <v>1</v>
      </c>
      <c r="F205" s="35" t="s">
        <v>1</v>
      </c>
      <c r="G205" s="35" t="s">
        <v>556</v>
      </c>
      <c r="H205" s="75">
        <v>0</v>
      </c>
      <c r="I205" s="75">
        <v>0</v>
      </c>
      <c r="J205" s="75">
        <v>0</v>
      </c>
      <c r="K205" s="72">
        <f t="shared" si="31"/>
        <v>0</v>
      </c>
      <c r="L205" s="71"/>
      <c r="M205" s="72">
        <v>0</v>
      </c>
      <c r="N205" s="62">
        <v>0</v>
      </c>
      <c r="O205" s="62">
        <v>0</v>
      </c>
      <c r="P205" s="62">
        <v>0</v>
      </c>
      <c r="Q205" s="62">
        <v>0</v>
      </c>
      <c r="R205" s="62">
        <v>0</v>
      </c>
      <c r="S205" s="62">
        <v>0</v>
      </c>
      <c r="T205" s="62">
        <v>0</v>
      </c>
      <c r="U205" s="62">
        <v>0</v>
      </c>
      <c r="V205" s="62">
        <v>0</v>
      </c>
      <c r="W205" s="62">
        <v>0</v>
      </c>
      <c r="X205" s="62">
        <f t="shared" si="32"/>
        <v>0</v>
      </c>
      <c r="Y205" s="62"/>
      <c r="Z205" s="73">
        <f t="shared" si="33"/>
        <v>0</v>
      </c>
      <c r="AA205" s="74">
        <f>-(H205+I205)*2%</f>
        <v>0</v>
      </c>
      <c r="AB205" s="62">
        <f>K205+Z205+AA205</f>
        <v>0</v>
      </c>
      <c r="AC205" s="75">
        <v>0</v>
      </c>
      <c r="AD205" s="26"/>
    </row>
    <row r="206" spans="1:31" s="21" customFormat="1">
      <c r="A206" s="19">
        <f t="shared" si="34"/>
        <v>202</v>
      </c>
      <c r="B206" s="3" t="s">
        <v>359</v>
      </c>
      <c r="C206" s="4">
        <v>45848</v>
      </c>
      <c r="D206" s="24">
        <v>2025</v>
      </c>
      <c r="E206" s="20" t="s">
        <v>192</v>
      </c>
      <c r="F206" s="13" t="s">
        <v>360</v>
      </c>
      <c r="G206" s="20" t="s">
        <v>360</v>
      </c>
      <c r="H206" s="55">
        <v>105119540</v>
      </c>
      <c r="I206" s="55">
        <v>10511954</v>
      </c>
      <c r="J206" s="75">
        <v>1271946</v>
      </c>
      <c r="K206" s="40">
        <f t="shared" si="31"/>
        <v>116903440</v>
      </c>
      <c r="L206" s="34">
        <v>45929</v>
      </c>
      <c r="M206" s="40">
        <v>0</v>
      </c>
      <c r="N206" s="39">
        <v>0</v>
      </c>
      <c r="O206" s="39">
        <v>114590809</v>
      </c>
      <c r="P206" s="39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2312631</v>
      </c>
      <c r="X206" s="39">
        <f t="shared" si="32"/>
        <v>0</v>
      </c>
      <c r="Y206" s="39"/>
      <c r="Z206" s="23">
        <f t="shared" si="33"/>
        <v>-1271946</v>
      </c>
      <c r="AA206" s="54">
        <f>-(H206+I206)*2%-1.12</f>
        <v>-2312631</v>
      </c>
      <c r="AB206" s="39">
        <v>0</v>
      </c>
      <c r="AC206" s="55">
        <f t="shared" ref="AC206:AC220" si="35">K206+AA206</f>
        <v>114590809</v>
      </c>
      <c r="AD206" s="3"/>
    </row>
    <row r="207" spans="1:31" s="21" customFormat="1">
      <c r="A207" s="19">
        <f t="shared" si="34"/>
        <v>203</v>
      </c>
      <c r="B207" s="3" t="s">
        <v>381</v>
      </c>
      <c r="C207" s="4">
        <v>45860</v>
      </c>
      <c r="D207" s="24">
        <v>2025</v>
      </c>
      <c r="E207" s="20" t="s">
        <v>45</v>
      </c>
      <c r="F207" s="13" t="s">
        <v>233</v>
      </c>
      <c r="G207" s="20" t="s">
        <v>382</v>
      </c>
      <c r="H207" s="55">
        <v>30000000</v>
      </c>
      <c r="I207" s="55">
        <v>0</v>
      </c>
      <c r="J207" s="75">
        <v>330000</v>
      </c>
      <c r="K207" s="40">
        <f t="shared" si="31"/>
        <v>30330000</v>
      </c>
      <c r="L207" s="34">
        <v>45863</v>
      </c>
      <c r="M207" s="40">
        <v>0</v>
      </c>
      <c r="N207" s="39">
        <v>0</v>
      </c>
      <c r="O207" s="39">
        <v>29730000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600000</v>
      </c>
      <c r="X207" s="39">
        <f t="shared" si="32"/>
        <v>0</v>
      </c>
      <c r="Y207" s="39"/>
      <c r="Z207" s="23">
        <f t="shared" si="33"/>
        <v>-330000</v>
      </c>
      <c r="AA207" s="54">
        <f>-(H207+I207)*2%</f>
        <v>-600000</v>
      </c>
      <c r="AB207" s="39">
        <v>0</v>
      </c>
      <c r="AC207" s="55">
        <f t="shared" si="35"/>
        <v>29730000</v>
      </c>
      <c r="AD207" s="13" t="s">
        <v>383</v>
      </c>
    </row>
    <row r="208" spans="1:31" s="21" customFormat="1">
      <c r="A208" s="19">
        <f t="shared" si="34"/>
        <v>204</v>
      </c>
      <c r="B208" s="3" t="s">
        <v>387</v>
      </c>
      <c r="C208" s="4">
        <v>45860</v>
      </c>
      <c r="D208" s="24">
        <v>2025</v>
      </c>
      <c r="E208" s="20" t="s">
        <v>45</v>
      </c>
      <c r="F208" s="13" t="s">
        <v>233</v>
      </c>
      <c r="G208" s="20" t="s">
        <v>388</v>
      </c>
      <c r="H208" s="55">
        <v>26200000</v>
      </c>
      <c r="I208" s="55">
        <v>0</v>
      </c>
      <c r="J208" s="75">
        <v>288200</v>
      </c>
      <c r="K208" s="40">
        <f t="shared" si="31"/>
        <v>26488200</v>
      </c>
      <c r="L208" s="34">
        <v>45863</v>
      </c>
      <c r="M208" s="40">
        <v>0</v>
      </c>
      <c r="N208" s="39">
        <v>0</v>
      </c>
      <c r="O208" s="39">
        <v>25964200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524000</v>
      </c>
      <c r="X208" s="39">
        <f t="shared" si="32"/>
        <v>0</v>
      </c>
      <c r="Y208" s="39"/>
      <c r="Z208" s="23">
        <f t="shared" si="33"/>
        <v>-288200</v>
      </c>
      <c r="AA208" s="54">
        <f>-(H208+I208)*2%</f>
        <v>-524000</v>
      </c>
      <c r="AB208" s="39">
        <v>0</v>
      </c>
      <c r="AC208" s="55">
        <f t="shared" si="35"/>
        <v>25964200</v>
      </c>
      <c r="AD208" s="13" t="s">
        <v>383</v>
      </c>
    </row>
    <row r="209" spans="1:31" s="76" customFormat="1">
      <c r="A209" s="19">
        <f t="shared" si="34"/>
        <v>205</v>
      </c>
      <c r="B209" s="3" t="s">
        <v>389</v>
      </c>
      <c r="C209" s="4">
        <v>45860</v>
      </c>
      <c r="D209" s="24">
        <v>2025</v>
      </c>
      <c r="E209" s="20" t="s">
        <v>45</v>
      </c>
      <c r="F209" s="13" t="s">
        <v>233</v>
      </c>
      <c r="G209" s="20" t="s">
        <v>390</v>
      </c>
      <c r="H209" s="55">
        <v>67400000</v>
      </c>
      <c r="I209" s="55">
        <v>0</v>
      </c>
      <c r="J209" s="75">
        <v>741400</v>
      </c>
      <c r="K209" s="40">
        <f t="shared" si="31"/>
        <v>68141400</v>
      </c>
      <c r="L209" s="34">
        <v>45863</v>
      </c>
      <c r="M209" s="40">
        <v>0</v>
      </c>
      <c r="N209" s="39">
        <v>0</v>
      </c>
      <c r="O209" s="39">
        <v>66793400</v>
      </c>
      <c r="P209" s="39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1348000</v>
      </c>
      <c r="X209" s="39">
        <f t="shared" si="32"/>
        <v>0</v>
      </c>
      <c r="Y209" s="39"/>
      <c r="Z209" s="23">
        <f t="shared" si="33"/>
        <v>-741400</v>
      </c>
      <c r="AA209" s="54">
        <f>-(H209+I209)*2%</f>
        <v>-1348000</v>
      </c>
      <c r="AB209" s="39">
        <v>0</v>
      </c>
      <c r="AC209" s="55">
        <f t="shared" si="35"/>
        <v>66793400</v>
      </c>
      <c r="AD209" s="13" t="s">
        <v>383</v>
      </c>
    </row>
    <row r="210" spans="1:31" s="21" customFormat="1">
      <c r="A210" s="19">
        <f t="shared" si="34"/>
        <v>206</v>
      </c>
      <c r="B210" s="3" t="s">
        <v>394</v>
      </c>
      <c r="C210" s="4">
        <v>45870</v>
      </c>
      <c r="D210" s="24">
        <v>2025</v>
      </c>
      <c r="E210" s="20" t="s">
        <v>365</v>
      </c>
      <c r="F210" s="20" t="s">
        <v>366</v>
      </c>
      <c r="G210" s="20" t="s">
        <v>395</v>
      </c>
      <c r="H210" s="55">
        <v>280376250</v>
      </c>
      <c r="I210" s="55">
        <v>22430100</v>
      </c>
      <c r="J210" s="75">
        <v>33308699</v>
      </c>
      <c r="K210" s="40">
        <f t="shared" si="31"/>
        <v>336115049</v>
      </c>
      <c r="L210" s="34">
        <v>45888</v>
      </c>
      <c r="M210" s="40">
        <v>0</v>
      </c>
      <c r="N210" s="39">
        <v>335666447</v>
      </c>
      <c r="O210" s="39">
        <v>0</v>
      </c>
      <c r="P210" s="39">
        <v>0</v>
      </c>
      <c r="Q210" s="39">
        <v>0</v>
      </c>
      <c r="R210" s="39">
        <v>0</v>
      </c>
      <c r="S210" s="39">
        <v>0</v>
      </c>
      <c r="T210" s="39">
        <v>0</v>
      </c>
      <c r="U210" s="39">
        <v>0</v>
      </c>
      <c r="V210" s="39">
        <v>0</v>
      </c>
      <c r="W210" s="39">
        <v>448602</v>
      </c>
      <c r="X210" s="39">
        <f t="shared" si="32"/>
        <v>0</v>
      </c>
      <c r="Y210" s="39"/>
      <c r="Z210" s="8">
        <f t="shared" si="33"/>
        <v>-33308699</v>
      </c>
      <c r="AA210" s="54">
        <f>-(I210)*2%</f>
        <v>-448602</v>
      </c>
      <c r="AB210" s="39">
        <v>0</v>
      </c>
      <c r="AC210" s="55">
        <f t="shared" si="35"/>
        <v>335666447</v>
      </c>
      <c r="AD210" s="3"/>
    </row>
    <row r="211" spans="1:31" s="76" customFormat="1">
      <c r="A211" s="19">
        <f t="shared" si="34"/>
        <v>207</v>
      </c>
      <c r="B211" s="3" t="s">
        <v>396</v>
      </c>
      <c r="C211" s="4">
        <v>45870</v>
      </c>
      <c r="D211" s="24">
        <v>2025</v>
      </c>
      <c r="E211" s="13" t="s">
        <v>365</v>
      </c>
      <c r="F211" s="13" t="s">
        <v>366</v>
      </c>
      <c r="G211" s="20" t="s">
        <v>397</v>
      </c>
      <c r="H211" s="55">
        <v>373835000</v>
      </c>
      <c r="I211" s="55">
        <v>29906800</v>
      </c>
      <c r="J211" s="75">
        <v>44411598</v>
      </c>
      <c r="K211" s="40">
        <f t="shared" si="31"/>
        <v>448153398</v>
      </c>
      <c r="L211" s="34">
        <v>45888</v>
      </c>
      <c r="M211" s="40">
        <v>0</v>
      </c>
      <c r="N211" s="39">
        <v>447555262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6">
        <v>598136</v>
      </c>
      <c r="X211" s="39">
        <f t="shared" si="32"/>
        <v>0</v>
      </c>
      <c r="Y211" s="39"/>
      <c r="Z211" s="8">
        <f t="shared" si="33"/>
        <v>-44411598</v>
      </c>
      <c r="AA211" s="54">
        <f>-(I211)*2%</f>
        <v>-598136</v>
      </c>
      <c r="AB211" s="39">
        <v>0</v>
      </c>
      <c r="AC211" s="55">
        <f t="shared" si="35"/>
        <v>447555262</v>
      </c>
      <c r="AD211" s="3"/>
    </row>
    <row r="212" spans="1:31" s="21" customFormat="1">
      <c r="A212" s="19">
        <f t="shared" si="34"/>
        <v>208</v>
      </c>
      <c r="B212" s="3" t="s">
        <v>398</v>
      </c>
      <c r="C212" s="4">
        <v>45867</v>
      </c>
      <c r="D212" s="24">
        <v>2025</v>
      </c>
      <c r="E212" s="13" t="s">
        <v>399</v>
      </c>
      <c r="F212" s="13" t="s">
        <v>360</v>
      </c>
      <c r="G212" s="20" t="s">
        <v>400</v>
      </c>
      <c r="H212" s="55">
        <v>13552600</v>
      </c>
      <c r="I212" s="55">
        <v>1355260</v>
      </c>
      <c r="J212" s="75">
        <v>163986</v>
      </c>
      <c r="K212" s="40">
        <f t="shared" si="31"/>
        <v>15071846</v>
      </c>
      <c r="L212" s="34">
        <v>45869</v>
      </c>
      <c r="M212" s="40">
        <v>0</v>
      </c>
      <c r="N212" s="39">
        <v>0</v>
      </c>
      <c r="O212" s="39">
        <v>15071846</v>
      </c>
      <c r="P212" s="39">
        <v>0</v>
      </c>
      <c r="Q212" s="39">
        <v>0</v>
      </c>
      <c r="R212" s="39">
        <v>0</v>
      </c>
      <c r="S212" s="39">
        <v>0</v>
      </c>
      <c r="T212" s="39">
        <v>0</v>
      </c>
      <c r="U212" s="39">
        <v>0</v>
      </c>
      <c r="V212" s="39">
        <v>0</v>
      </c>
      <c r="W212" s="39">
        <v>0</v>
      </c>
      <c r="X212" s="39">
        <f t="shared" si="32"/>
        <v>0</v>
      </c>
      <c r="Y212" s="39"/>
      <c r="Z212" s="23">
        <f t="shared" si="33"/>
        <v>-163986</v>
      </c>
      <c r="AA212" s="54">
        <v>0</v>
      </c>
      <c r="AB212" s="39">
        <v>0</v>
      </c>
      <c r="AC212" s="55">
        <f t="shared" si="35"/>
        <v>15071846</v>
      </c>
      <c r="AD212" s="3"/>
    </row>
    <row r="213" spans="1:31" s="76" customFormat="1">
      <c r="A213" s="19">
        <f t="shared" si="34"/>
        <v>209</v>
      </c>
      <c r="B213" s="3" t="s">
        <v>407</v>
      </c>
      <c r="C213" s="4">
        <v>45877</v>
      </c>
      <c r="D213" s="24">
        <v>2025</v>
      </c>
      <c r="E213" s="20" t="s">
        <v>45</v>
      </c>
      <c r="F213" s="13" t="s">
        <v>233</v>
      </c>
      <c r="G213" s="20" t="s">
        <v>408</v>
      </c>
      <c r="H213" s="55">
        <v>23950123</v>
      </c>
      <c r="I213" s="55">
        <v>0</v>
      </c>
      <c r="J213" s="75">
        <v>263451</v>
      </c>
      <c r="K213" s="40">
        <f t="shared" si="31"/>
        <v>24213574</v>
      </c>
      <c r="L213" s="34">
        <v>45911</v>
      </c>
      <c r="M213" s="40">
        <v>0</v>
      </c>
      <c r="N213" s="39">
        <v>0</v>
      </c>
      <c r="O213" s="39">
        <v>23734572</v>
      </c>
      <c r="P213" s="39">
        <v>0</v>
      </c>
      <c r="Q213" s="39">
        <v>0</v>
      </c>
      <c r="R213" s="39">
        <v>0</v>
      </c>
      <c r="S213" s="39">
        <v>0</v>
      </c>
      <c r="T213" s="39">
        <v>0</v>
      </c>
      <c r="U213" s="39">
        <v>0</v>
      </c>
      <c r="V213" s="39">
        <v>0</v>
      </c>
      <c r="W213" s="39">
        <v>479002</v>
      </c>
      <c r="X213" s="39">
        <f t="shared" si="32"/>
        <v>0</v>
      </c>
      <c r="Y213" s="39"/>
      <c r="Z213" s="8">
        <f t="shared" si="33"/>
        <v>-263451</v>
      </c>
      <c r="AA213" s="54">
        <f>-(H213+I213)*2%+0.46</f>
        <v>-479002</v>
      </c>
      <c r="AB213" s="39">
        <v>0</v>
      </c>
      <c r="AC213" s="55">
        <f t="shared" si="35"/>
        <v>23734572</v>
      </c>
      <c r="AD213" s="13"/>
    </row>
    <row r="214" spans="1:31" s="21" customFormat="1">
      <c r="A214" s="19">
        <f t="shared" si="34"/>
        <v>210</v>
      </c>
      <c r="B214" s="3" t="s">
        <v>409</v>
      </c>
      <c r="C214" s="4">
        <v>45877</v>
      </c>
      <c r="D214" s="24">
        <v>2025</v>
      </c>
      <c r="E214" s="20" t="s">
        <v>45</v>
      </c>
      <c r="F214" s="13" t="s">
        <v>233</v>
      </c>
      <c r="G214" s="20" t="s">
        <v>410</v>
      </c>
      <c r="H214" s="55">
        <v>23636289</v>
      </c>
      <c r="I214" s="55">
        <v>0</v>
      </c>
      <c r="J214" s="75">
        <v>259999</v>
      </c>
      <c r="K214" s="40">
        <f t="shared" si="31"/>
        <v>23896288</v>
      </c>
      <c r="L214" s="34">
        <v>45894</v>
      </c>
      <c r="M214" s="40">
        <v>0</v>
      </c>
      <c r="N214" s="39">
        <v>0</v>
      </c>
      <c r="O214" s="39">
        <v>23423562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472726</v>
      </c>
      <c r="X214" s="39">
        <f t="shared" si="32"/>
        <v>0</v>
      </c>
      <c r="Y214" s="39"/>
      <c r="Z214" s="23">
        <f t="shared" si="33"/>
        <v>-259999</v>
      </c>
      <c r="AA214" s="54">
        <f>-(H214+I214)*2%-0.22</f>
        <v>-472726</v>
      </c>
      <c r="AB214" s="39">
        <v>0</v>
      </c>
      <c r="AC214" s="55">
        <f t="shared" si="35"/>
        <v>23423562</v>
      </c>
      <c r="AD214" s="13" t="s">
        <v>411</v>
      </c>
    </row>
    <row r="215" spans="1:31" s="21" customFormat="1">
      <c r="A215" s="19">
        <f t="shared" si="34"/>
        <v>211</v>
      </c>
      <c r="B215" s="3" t="s">
        <v>412</v>
      </c>
      <c r="C215" s="4">
        <v>45877</v>
      </c>
      <c r="D215" s="24">
        <v>2025</v>
      </c>
      <c r="E215" s="20" t="s">
        <v>45</v>
      </c>
      <c r="F215" s="13" t="s">
        <v>233</v>
      </c>
      <c r="G215" s="20" t="s">
        <v>413</v>
      </c>
      <c r="H215" s="55">
        <v>14686464</v>
      </c>
      <c r="I215" s="55">
        <v>0</v>
      </c>
      <c r="J215" s="75">
        <v>161551</v>
      </c>
      <c r="K215" s="40">
        <f t="shared" si="31"/>
        <v>14848015</v>
      </c>
      <c r="L215" s="34">
        <v>45894</v>
      </c>
      <c r="M215" s="40">
        <v>0</v>
      </c>
      <c r="N215" s="39">
        <v>0</v>
      </c>
      <c r="O215" s="39">
        <v>14848015</v>
      </c>
      <c r="P215" s="39">
        <v>0</v>
      </c>
      <c r="Q215" s="39">
        <v>0</v>
      </c>
      <c r="R215" s="39">
        <v>0</v>
      </c>
      <c r="S215" s="39">
        <v>0</v>
      </c>
      <c r="T215" s="39">
        <v>0</v>
      </c>
      <c r="U215" s="39">
        <v>0</v>
      </c>
      <c r="V215" s="39">
        <v>0</v>
      </c>
      <c r="W215" s="39">
        <v>0</v>
      </c>
      <c r="X215" s="39">
        <f t="shared" si="32"/>
        <v>0</v>
      </c>
      <c r="Y215" s="39"/>
      <c r="Z215" s="23">
        <f t="shared" si="33"/>
        <v>-161551</v>
      </c>
      <c r="AA215" s="54">
        <v>0</v>
      </c>
      <c r="AB215" s="39">
        <v>0</v>
      </c>
      <c r="AC215" s="55">
        <f t="shared" si="35"/>
        <v>14848015</v>
      </c>
      <c r="AD215" s="13" t="s">
        <v>411</v>
      </c>
    </row>
    <row r="216" spans="1:31" s="21" customFormat="1">
      <c r="A216" s="19">
        <f t="shared" si="34"/>
        <v>212</v>
      </c>
      <c r="B216" s="3" t="s">
        <v>414</v>
      </c>
      <c r="C216" s="4">
        <v>45877</v>
      </c>
      <c r="D216" s="24">
        <v>2025</v>
      </c>
      <c r="E216" s="20" t="s">
        <v>45</v>
      </c>
      <c r="F216" s="13" t="s">
        <v>233</v>
      </c>
      <c r="G216" s="20" t="s">
        <v>415</v>
      </c>
      <c r="H216" s="55">
        <v>48592500</v>
      </c>
      <c r="I216" s="55">
        <v>0</v>
      </c>
      <c r="J216" s="75">
        <v>534518</v>
      </c>
      <c r="K216" s="40">
        <f t="shared" si="31"/>
        <v>49127018</v>
      </c>
      <c r="L216" s="34">
        <v>45894</v>
      </c>
      <c r="M216" s="40">
        <v>0</v>
      </c>
      <c r="N216" s="39">
        <v>0</v>
      </c>
      <c r="O216" s="39">
        <v>48155168</v>
      </c>
      <c r="P216" s="39">
        <v>0</v>
      </c>
      <c r="Q216" s="39">
        <v>0</v>
      </c>
      <c r="R216" s="39">
        <v>0</v>
      </c>
      <c r="S216" s="39">
        <v>0</v>
      </c>
      <c r="T216" s="39">
        <v>0</v>
      </c>
      <c r="U216" s="39">
        <v>0</v>
      </c>
      <c r="V216" s="39">
        <v>0</v>
      </c>
      <c r="W216" s="39">
        <v>971850</v>
      </c>
      <c r="X216" s="39">
        <f t="shared" si="32"/>
        <v>0</v>
      </c>
      <c r="Y216" s="39"/>
      <c r="Z216" s="23">
        <f t="shared" si="33"/>
        <v>-534518</v>
      </c>
      <c r="AA216" s="54">
        <f>-(H216+I216)*2%</f>
        <v>-971850</v>
      </c>
      <c r="AB216" s="39">
        <v>0</v>
      </c>
      <c r="AC216" s="55">
        <f t="shared" si="35"/>
        <v>48155168</v>
      </c>
      <c r="AD216" s="13" t="s">
        <v>411</v>
      </c>
      <c r="AE216" s="21" t="s">
        <v>1</v>
      </c>
    </row>
    <row r="217" spans="1:31" s="76" customFormat="1">
      <c r="A217" s="19">
        <f t="shared" si="34"/>
        <v>213</v>
      </c>
      <c r="B217" s="3" t="s">
        <v>416</v>
      </c>
      <c r="C217" s="4">
        <v>45877</v>
      </c>
      <c r="D217" s="24">
        <v>2025</v>
      </c>
      <c r="E217" s="20" t="s">
        <v>45</v>
      </c>
      <c r="F217" s="13" t="s">
        <v>233</v>
      </c>
      <c r="G217" s="20" t="s">
        <v>417</v>
      </c>
      <c r="H217" s="55">
        <v>1045000</v>
      </c>
      <c r="I217" s="55">
        <v>0</v>
      </c>
      <c r="J217" s="75">
        <v>11495</v>
      </c>
      <c r="K217" s="40">
        <f t="shared" si="31"/>
        <v>1056495</v>
      </c>
      <c r="L217" s="34">
        <v>45894</v>
      </c>
      <c r="M217" s="40">
        <v>0</v>
      </c>
      <c r="N217" s="39">
        <v>0</v>
      </c>
      <c r="O217" s="39">
        <v>1056495</v>
      </c>
      <c r="P217" s="39">
        <v>0</v>
      </c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>
        <v>0</v>
      </c>
      <c r="W217" s="39">
        <v>0</v>
      </c>
      <c r="X217" s="39">
        <f t="shared" si="32"/>
        <v>0</v>
      </c>
      <c r="Y217" s="39"/>
      <c r="Z217" s="23">
        <f t="shared" si="33"/>
        <v>-11495</v>
      </c>
      <c r="AA217" s="54">
        <v>0</v>
      </c>
      <c r="AB217" s="39">
        <v>0</v>
      </c>
      <c r="AC217" s="55">
        <f t="shared" si="35"/>
        <v>1056495</v>
      </c>
      <c r="AD217" s="13" t="s">
        <v>411</v>
      </c>
      <c r="AE217" s="76" t="s">
        <v>1</v>
      </c>
    </row>
    <row r="218" spans="1:31" s="21" customFormat="1">
      <c r="A218" s="19">
        <f t="shared" si="34"/>
        <v>214</v>
      </c>
      <c r="B218" s="3" t="s">
        <v>418</v>
      </c>
      <c r="C218" s="4">
        <v>45877</v>
      </c>
      <c r="D218" s="24">
        <v>2025</v>
      </c>
      <c r="E218" s="20" t="s">
        <v>45</v>
      </c>
      <c r="F218" s="13" t="s">
        <v>233</v>
      </c>
      <c r="G218" s="20" t="s">
        <v>419</v>
      </c>
      <c r="H218" s="55">
        <v>91475934</v>
      </c>
      <c r="I218" s="55">
        <v>0</v>
      </c>
      <c r="J218" s="75">
        <v>1006235</v>
      </c>
      <c r="K218" s="40">
        <f t="shared" si="31"/>
        <v>92482169</v>
      </c>
      <c r="L218" s="34">
        <v>45894</v>
      </c>
      <c r="M218" s="40">
        <v>0</v>
      </c>
      <c r="N218" s="39">
        <v>0</v>
      </c>
      <c r="O218" s="39">
        <v>90652650</v>
      </c>
      <c r="P218" s="39">
        <v>0</v>
      </c>
      <c r="Q218" s="39">
        <v>0</v>
      </c>
      <c r="R218" s="39">
        <v>0</v>
      </c>
      <c r="S218" s="39">
        <v>0</v>
      </c>
      <c r="T218" s="39">
        <v>0</v>
      </c>
      <c r="U218" s="39">
        <v>0</v>
      </c>
      <c r="V218" s="39">
        <v>0</v>
      </c>
      <c r="W218" s="39">
        <v>1829519</v>
      </c>
      <c r="X218" s="39">
        <f t="shared" si="32"/>
        <v>0</v>
      </c>
      <c r="Y218" s="39"/>
      <c r="Z218" s="23">
        <f t="shared" si="33"/>
        <v>-1006235</v>
      </c>
      <c r="AA218" s="54">
        <f>-(H218+I218)*2%-0.32</f>
        <v>-1829519</v>
      </c>
      <c r="AB218" s="39">
        <v>0</v>
      </c>
      <c r="AC218" s="55">
        <f t="shared" si="35"/>
        <v>90652650</v>
      </c>
      <c r="AD218" s="13" t="s">
        <v>411</v>
      </c>
      <c r="AE218" s="21" t="s">
        <v>1</v>
      </c>
    </row>
    <row r="219" spans="1:31" s="21" customFormat="1">
      <c r="A219" s="19">
        <f t="shared" si="34"/>
        <v>215</v>
      </c>
      <c r="B219" s="3" t="s">
        <v>420</v>
      </c>
      <c r="C219" s="4">
        <v>45877</v>
      </c>
      <c r="D219" s="24">
        <v>2025</v>
      </c>
      <c r="E219" s="20" t="s">
        <v>45</v>
      </c>
      <c r="F219" s="13" t="s">
        <v>233</v>
      </c>
      <c r="G219" s="20" t="s">
        <v>421</v>
      </c>
      <c r="H219" s="55">
        <v>18865000</v>
      </c>
      <c r="I219" s="55">
        <v>0</v>
      </c>
      <c r="J219" s="75">
        <v>207515</v>
      </c>
      <c r="K219" s="40">
        <f t="shared" si="31"/>
        <v>19072515</v>
      </c>
      <c r="L219" s="34">
        <v>45894</v>
      </c>
      <c r="M219" s="40">
        <v>0</v>
      </c>
      <c r="N219" s="39">
        <v>0</v>
      </c>
      <c r="O219" s="39">
        <v>18695215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377300</v>
      </c>
      <c r="X219" s="39">
        <f t="shared" si="32"/>
        <v>0</v>
      </c>
      <c r="Y219" s="39"/>
      <c r="Z219" s="23">
        <f t="shared" si="33"/>
        <v>-207515</v>
      </c>
      <c r="AA219" s="54">
        <f>-(H219+I219)*2%</f>
        <v>-377300</v>
      </c>
      <c r="AB219" s="39">
        <v>0</v>
      </c>
      <c r="AC219" s="55">
        <f t="shared" si="35"/>
        <v>18695215</v>
      </c>
      <c r="AD219" s="13" t="s">
        <v>411</v>
      </c>
      <c r="AE219" s="21" t="s">
        <v>1</v>
      </c>
    </row>
    <row r="220" spans="1:31" s="21" customFormat="1">
      <c r="A220" s="19">
        <f t="shared" si="34"/>
        <v>216</v>
      </c>
      <c r="B220" s="3" t="s">
        <v>422</v>
      </c>
      <c r="C220" s="4">
        <v>45880</v>
      </c>
      <c r="D220" s="24">
        <v>2025</v>
      </c>
      <c r="E220" s="20" t="s">
        <v>45</v>
      </c>
      <c r="F220" s="13" t="s">
        <v>233</v>
      </c>
      <c r="G220" s="20" t="s">
        <v>423</v>
      </c>
      <c r="H220" s="55">
        <v>25591853</v>
      </c>
      <c r="I220" s="55">
        <v>0</v>
      </c>
      <c r="J220" s="75">
        <v>281510</v>
      </c>
      <c r="K220" s="40">
        <f t="shared" si="31"/>
        <v>25873363</v>
      </c>
      <c r="L220" s="34">
        <v>45894</v>
      </c>
      <c r="M220" s="40">
        <v>0</v>
      </c>
      <c r="N220" s="39">
        <v>0</v>
      </c>
      <c r="O220" s="39">
        <v>25873363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f t="shared" si="32"/>
        <v>0</v>
      </c>
      <c r="Y220" s="39"/>
      <c r="Z220" s="23">
        <f t="shared" si="33"/>
        <v>-281510</v>
      </c>
      <c r="AA220" s="54">
        <v>0</v>
      </c>
      <c r="AB220" s="39">
        <v>0</v>
      </c>
      <c r="AC220" s="55">
        <f t="shared" si="35"/>
        <v>25873363</v>
      </c>
      <c r="AD220" s="13" t="s">
        <v>411</v>
      </c>
      <c r="AE220" s="21" t="s">
        <v>1</v>
      </c>
    </row>
    <row r="221" spans="1:31" s="21" customFormat="1" ht="15" customHeight="1">
      <c r="A221" s="64">
        <f t="shared" si="34"/>
        <v>217</v>
      </c>
      <c r="B221" s="26" t="s">
        <v>424</v>
      </c>
      <c r="C221" s="79">
        <v>45880</v>
      </c>
      <c r="D221" s="2">
        <v>2024</v>
      </c>
      <c r="E221" s="35" t="s">
        <v>1</v>
      </c>
      <c r="F221" s="35" t="s">
        <v>1</v>
      </c>
      <c r="G221" s="35" t="s">
        <v>593</v>
      </c>
      <c r="H221" s="75">
        <v>0</v>
      </c>
      <c r="I221" s="75">
        <v>0</v>
      </c>
      <c r="J221" s="75">
        <v>0</v>
      </c>
      <c r="K221" s="72">
        <f t="shared" si="31"/>
        <v>0</v>
      </c>
      <c r="L221" s="71" t="s">
        <v>1</v>
      </c>
      <c r="M221" s="72">
        <v>0</v>
      </c>
      <c r="N221" s="62">
        <v>0</v>
      </c>
      <c r="O221" s="62">
        <v>0</v>
      </c>
      <c r="P221" s="62">
        <v>0</v>
      </c>
      <c r="Q221" s="62">
        <v>0</v>
      </c>
      <c r="R221" s="62">
        <v>0</v>
      </c>
      <c r="S221" s="62">
        <v>0</v>
      </c>
      <c r="T221" s="62">
        <v>0</v>
      </c>
      <c r="U221" s="62">
        <v>0</v>
      </c>
      <c r="V221" s="62">
        <v>0</v>
      </c>
      <c r="W221" s="62">
        <v>0</v>
      </c>
      <c r="X221" s="62">
        <f t="shared" si="32"/>
        <v>0</v>
      </c>
      <c r="Y221" s="62"/>
      <c r="Z221" s="73">
        <f t="shared" si="33"/>
        <v>0</v>
      </c>
      <c r="AA221" s="74">
        <v>0</v>
      </c>
      <c r="AB221" s="62">
        <v>0</v>
      </c>
      <c r="AC221" s="75">
        <v>0</v>
      </c>
      <c r="AD221" s="26" t="s">
        <v>425</v>
      </c>
    </row>
    <row r="222" spans="1:31" s="31" customFormat="1">
      <c r="A222" s="19">
        <f t="shared" si="34"/>
        <v>218</v>
      </c>
      <c r="B222" s="3" t="s">
        <v>426</v>
      </c>
      <c r="C222" s="4">
        <v>45884</v>
      </c>
      <c r="D222" s="24">
        <v>2025</v>
      </c>
      <c r="E222" s="20" t="s">
        <v>43</v>
      </c>
      <c r="F222" s="20" t="s">
        <v>69</v>
      </c>
      <c r="G222" s="20" t="s">
        <v>427</v>
      </c>
      <c r="H222" s="55">
        <v>178200000</v>
      </c>
      <c r="I222" s="55">
        <v>19800000</v>
      </c>
      <c r="J222" s="75">
        <v>2178000</v>
      </c>
      <c r="K222" s="40">
        <f t="shared" si="31"/>
        <v>200178000</v>
      </c>
      <c r="L222" s="34">
        <v>45889</v>
      </c>
      <c r="M222" s="40">
        <v>0</v>
      </c>
      <c r="N222" s="39">
        <v>0</v>
      </c>
      <c r="O222" s="39">
        <v>199782000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396000</v>
      </c>
      <c r="X222" s="39">
        <f t="shared" si="32"/>
        <v>0</v>
      </c>
      <c r="Y222" s="39"/>
      <c r="Z222" s="23">
        <f t="shared" si="33"/>
        <v>-2178000</v>
      </c>
      <c r="AA222" s="54">
        <f>-(I222)*2%</f>
        <v>-396000</v>
      </c>
      <c r="AB222" s="39">
        <v>0</v>
      </c>
      <c r="AC222" s="55">
        <f t="shared" ref="AC222:AC229" si="36">K222+AA222</f>
        <v>199782000</v>
      </c>
      <c r="AD222" s="13" t="s">
        <v>428</v>
      </c>
    </row>
    <row r="223" spans="1:31" s="21" customFormat="1">
      <c r="A223" s="19">
        <f t="shared" si="34"/>
        <v>219</v>
      </c>
      <c r="B223" s="3" t="s">
        <v>429</v>
      </c>
      <c r="C223" s="4">
        <v>45884</v>
      </c>
      <c r="D223" s="2">
        <v>2025</v>
      </c>
      <c r="E223" s="20" t="s">
        <v>43</v>
      </c>
      <c r="F223" s="20" t="s">
        <v>69</v>
      </c>
      <c r="G223" s="20" t="s">
        <v>430</v>
      </c>
      <c r="H223" s="55">
        <v>17691020</v>
      </c>
      <c r="I223" s="55">
        <v>1965669</v>
      </c>
      <c r="J223" s="75">
        <v>216224</v>
      </c>
      <c r="K223" s="40">
        <f t="shared" si="31"/>
        <v>19872913</v>
      </c>
      <c r="L223" s="34"/>
      <c r="M223" s="40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f t="shared" si="32"/>
        <v>19872913</v>
      </c>
      <c r="Y223" s="39"/>
      <c r="Z223" s="23">
        <f t="shared" si="33"/>
        <v>-216224</v>
      </c>
      <c r="AA223" s="54">
        <f>-(I223)*2%+0.38</f>
        <v>-39313</v>
      </c>
      <c r="AB223" s="39">
        <v>0</v>
      </c>
      <c r="AC223" s="55">
        <f t="shared" si="36"/>
        <v>19833600</v>
      </c>
      <c r="AD223" s="13"/>
    </row>
    <row r="224" spans="1:31" s="31" customFormat="1">
      <c r="A224" s="19">
        <f t="shared" si="34"/>
        <v>220</v>
      </c>
      <c r="B224" s="3" t="s">
        <v>431</v>
      </c>
      <c r="C224" s="4">
        <v>45884</v>
      </c>
      <c r="D224" s="24">
        <v>2025</v>
      </c>
      <c r="E224" s="20" t="s">
        <v>43</v>
      </c>
      <c r="F224" s="20" t="s">
        <v>69</v>
      </c>
      <c r="G224" s="20" t="s">
        <v>432</v>
      </c>
      <c r="H224" s="55">
        <v>132042312</v>
      </c>
      <c r="I224" s="55">
        <v>14671368</v>
      </c>
      <c r="J224" s="75">
        <v>1613850</v>
      </c>
      <c r="K224" s="40">
        <f t="shared" si="31"/>
        <v>148327530</v>
      </c>
      <c r="L224" s="34">
        <v>45889</v>
      </c>
      <c r="M224" s="40">
        <v>0</v>
      </c>
      <c r="N224" s="39">
        <v>0</v>
      </c>
      <c r="O224" s="39">
        <v>148034103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293427</v>
      </c>
      <c r="X224" s="39">
        <f t="shared" si="32"/>
        <v>0</v>
      </c>
      <c r="Y224" s="39"/>
      <c r="Z224" s="23">
        <f t="shared" si="33"/>
        <v>-1613850</v>
      </c>
      <c r="AA224" s="54">
        <f>-(I224)*2%+0.36</f>
        <v>-293427</v>
      </c>
      <c r="AB224" s="39">
        <v>0</v>
      </c>
      <c r="AC224" s="55">
        <f t="shared" si="36"/>
        <v>148034103</v>
      </c>
      <c r="AD224" s="13" t="s">
        <v>428</v>
      </c>
    </row>
    <row r="225" spans="1:30" s="31" customFormat="1">
      <c r="A225" s="19">
        <f t="shared" si="34"/>
        <v>221</v>
      </c>
      <c r="B225" s="3" t="s">
        <v>433</v>
      </c>
      <c r="C225" s="4">
        <v>45884</v>
      </c>
      <c r="D225" s="24">
        <v>2025</v>
      </c>
      <c r="E225" s="20" t="s">
        <v>43</v>
      </c>
      <c r="F225" s="20" t="s">
        <v>69</v>
      </c>
      <c r="G225" s="20" t="s">
        <v>434</v>
      </c>
      <c r="H225" s="55">
        <v>133328606</v>
      </c>
      <c r="I225" s="55">
        <v>14814289</v>
      </c>
      <c r="J225" s="75">
        <v>1629572</v>
      </c>
      <c r="K225" s="40">
        <f t="shared" si="31"/>
        <v>149772467</v>
      </c>
      <c r="L225" s="34">
        <v>45889</v>
      </c>
      <c r="M225" s="40">
        <v>0</v>
      </c>
      <c r="N225" s="39">
        <v>0</v>
      </c>
      <c r="O225" s="39">
        <v>149476181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296286</v>
      </c>
      <c r="X225" s="39">
        <f t="shared" si="32"/>
        <v>0</v>
      </c>
      <c r="Y225" s="39"/>
      <c r="Z225" s="23">
        <f t="shared" si="33"/>
        <v>-1629572</v>
      </c>
      <c r="AA225" s="54">
        <f>-(I225)*2%-0.22</f>
        <v>-296286</v>
      </c>
      <c r="AB225" s="39">
        <v>0</v>
      </c>
      <c r="AC225" s="55">
        <f t="shared" si="36"/>
        <v>149476181</v>
      </c>
      <c r="AD225" s="13" t="s">
        <v>428</v>
      </c>
    </row>
    <row r="226" spans="1:30" s="31" customFormat="1">
      <c r="A226" s="19">
        <f t="shared" si="34"/>
        <v>222</v>
      </c>
      <c r="B226" s="3" t="s">
        <v>435</v>
      </c>
      <c r="C226" s="4">
        <v>45884</v>
      </c>
      <c r="D226" s="24">
        <v>2025</v>
      </c>
      <c r="E226" s="20" t="s">
        <v>436</v>
      </c>
      <c r="F226" s="20" t="s">
        <v>437</v>
      </c>
      <c r="G226" s="20" t="s">
        <v>438</v>
      </c>
      <c r="H226" s="55">
        <v>6000000</v>
      </c>
      <c r="I226" s="55">
        <v>600000</v>
      </c>
      <c r="J226" s="75">
        <v>726000</v>
      </c>
      <c r="K226" s="40">
        <f t="shared" si="31"/>
        <v>7326000</v>
      </c>
      <c r="L226" s="34">
        <v>45889</v>
      </c>
      <c r="M226" s="40">
        <v>0</v>
      </c>
      <c r="N226" s="39">
        <v>7326000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f t="shared" si="32"/>
        <v>0</v>
      </c>
      <c r="Y226" s="39"/>
      <c r="Z226" s="23">
        <f t="shared" si="33"/>
        <v>-726000</v>
      </c>
      <c r="AA226" s="54">
        <v>0</v>
      </c>
      <c r="AB226" s="39">
        <v>0</v>
      </c>
      <c r="AC226" s="55">
        <f t="shared" si="36"/>
        <v>7326000</v>
      </c>
      <c r="AD226" s="13"/>
    </row>
    <row r="227" spans="1:30" s="76" customFormat="1">
      <c r="A227" s="19">
        <f t="shared" si="34"/>
        <v>223</v>
      </c>
      <c r="B227" s="3" t="s">
        <v>441</v>
      </c>
      <c r="C227" s="4">
        <v>45891</v>
      </c>
      <c r="D227" s="24">
        <v>2025</v>
      </c>
      <c r="E227" s="20" t="s">
        <v>442</v>
      </c>
      <c r="F227" s="20" t="s">
        <v>363</v>
      </c>
      <c r="G227" s="20" t="s">
        <v>364</v>
      </c>
      <c r="H227" s="55">
        <v>68932417</v>
      </c>
      <c r="I227" s="55">
        <v>6893242</v>
      </c>
      <c r="J227" s="75">
        <v>834082</v>
      </c>
      <c r="K227" s="40">
        <f t="shared" si="31"/>
        <v>76659741</v>
      </c>
      <c r="L227" s="34">
        <v>45953</v>
      </c>
      <c r="M227" s="40">
        <v>0</v>
      </c>
      <c r="N227" s="39">
        <v>76659742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-1</v>
      </c>
      <c r="X227" s="39">
        <f t="shared" si="32"/>
        <v>0</v>
      </c>
      <c r="Y227" s="39"/>
      <c r="Z227" s="8">
        <f t="shared" si="33"/>
        <v>-834082</v>
      </c>
      <c r="AA227" s="54">
        <v>0</v>
      </c>
      <c r="AB227" s="39">
        <v>0</v>
      </c>
      <c r="AC227" s="55">
        <f t="shared" si="36"/>
        <v>76659741</v>
      </c>
      <c r="AD227" s="20"/>
    </row>
    <row r="228" spans="1:30" s="31" customFormat="1">
      <c r="A228" s="19">
        <f t="shared" si="34"/>
        <v>224</v>
      </c>
      <c r="B228" s="3" t="s">
        <v>443</v>
      </c>
      <c r="C228" s="4">
        <v>45891</v>
      </c>
      <c r="D228" s="24">
        <v>2025</v>
      </c>
      <c r="E228" s="20" t="s">
        <v>362</v>
      </c>
      <c r="F228" s="20" t="s">
        <v>363</v>
      </c>
      <c r="G228" s="20" t="s">
        <v>364</v>
      </c>
      <c r="H228" s="55">
        <v>172857233</v>
      </c>
      <c r="I228" s="55">
        <v>17285723</v>
      </c>
      <c r="J228" s="75">
        <v>2091573</v>
      </c>
      <c r="K228" s="40">
        <f t="shared" si="31"/>
        <v>192234529</v>
      </c>
      <c r="L228" s="34">
        <v>45898</v>
      </c>
      <c r="M228" s="40">
        <v>0</v>
      </c>
      <c r="N228" s="39">
        <v>191888814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345715</v>
      </c>
      <c r="X228" s="39">
        <f t="shared" si="32"/>
        <v>0</v>
      </c>
      <c r="Y228" s="39"/>
      <c r="Z228" s="23">
        <f t="shared" si="33"/>
        <v>-2091573</v>
      </c>
      <c r="AA228" s="54">
        <f>-(I228)*2%-0.54</f>
        <v>-345715</v>
      </c>
      <c r="AB228" s="39">
        <v>0</v>
      </c>
      <c r="AC228" s="55">
        <f t="shared" si="36"/>
        <v>191888814</v>
      </c>
      <c r="AD228" s="13"/>
    </row>
    <row r="229" spans="1:30" s="76" customFormat="1">
      <c r="A229" s="19">
        <f t="shared" si="34"/>
        <v>225</v>
      </c>
      <c r="B229" s="3" t="s">
        <v>444</v>
      </c>
      <c r="C229" s="4">
        <v>45891</v>
      </c>
      <c r="D229" s="24">
        <v>2025</v>
      </c>
      <c r="E229" s="20" t="s">
        <v>362</v>
      </c>
      <c r="F229" s="20" t="s">
        <v>363</v>
      </c>
      <c r="G229" s="20" t="s">
        <v>445</v>
      </c>
      <c r="H229" s="55">
        <v>18562550</v>
      </c>
      <c r="I229" s="55">
        <v>1856255</v>
      </c>
      <c r="J229" s="75">
        <v>224607</v>
      </c>
      <c r="K229" s="40">
        <f t="shared" si="31"/>
        <v>20643412</v>
      </c>
      <c r="L229" s="34">
        <v>45940</v>
      </c>
      <c r="M229" s="40">
        <v>0</v>
      </c>
      <c r="N229" s="39">
        <v>20606287</v>
      </c>
      <c r="O229" s="39">
        <v>0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37125</v>
      </c>
      <c r="X229" s="39">
        <f t="shared" si="32"/>
        <v>0</v>
      </c>
      <c r="Y229" s="39"/>
      <c r="Z229" s="8">
        <f t="shared" si="33"/>
        <v>-224607</v>
      </c>
      <c r="AA229" s="54">
        <f>-(I229)*2%+0.1</f>
        <v>-37125</v>
      </c>
      <c r="AB229" s="39">
        <v>0</v>
      </c>
      <c r="AC229" s="55">
        <f t="shared" si="36"/>
        <v>20606287</v>
      </c>
      <c r="AD229" s="13"/>
    </row>
    <row r="230" spans="1:30" s="21" customFormat="1">
      <c r="A230" s="64">
        <f t="shared" si="34"/>
        <v>226</v>
      </c>
      <c r="B230" s="26" t="s">
        <v>446</v>
      </c>
      <c r="C230" s="79">
        <v>45891</v>
      </c>
      <c r="D230" s="2">
        <v>2024</v>
      </c>
      <c r="E230" s="35" t="s">
        <v>1</v>
      </c>
      <c r="F230" s="35" t="s">
        <v>1</v>
      </c>
      <c r="G230" s="35" t="s">
        <v>557</v>
      </c>
      <c r="H230" s="75">
        <v>0</v>
      </c>
      <c r="I230" s="75">
        <v>0</v>
      </c>
      <c r="J230" s="75">
        <v>0</v>
      </c>
      <c r="K230" s="72">
        <f t="shared" si="31"/>
        <v>0</v>
      </c>
      <c r="L230" s="71"/>
      <c r="M230" s="72">
        <v>0</v>
      </c>
      <c r="N230" s="62">
        <v>0</v>
      </c>
      <c r="O230" s="62">
        <v>0</v>
      </c>
      <c r="P230" s="62">
        <v>0</v>
      </c>
      <c r="Q230" s="62">
        <v>0</v>
      </c>
      <c r="R230" s="62">
        <v>0</v>
      </c>
      <c r="S230" s="62">
        <v>0</v>
      </c>
      <c r="T230" s="62">
        <v>0</v>
      </c>
      <c r="U230" s="62">
        <v>0</v>
      </c>
      <c r="V230" s="62">
        <v>0</v>
      </c>
      <c r="W230" s="62">
        <v>0</v>
      </c>
      <c r="X230" s="62">
        <f t="shared" si="32"/>
        <v>0</v>
      </c>
      <c r="Y230" s="62"/>
      <c r="Z230" s="73">
        <f t="shared" si="33"/>
        <v>0</v>
      </c>
      <c r="AA230" s="74">
        <f>-(H230+I230)*2%</f>
        <v>0</v>
      </c>
      <c r="AB230" s="62">
        <f>K230+Z230+AA230</f>
        <v>0</v>
      </c>
      <c r="AC230" s="75">
        <v>0</v>
      </c>
      <c r="AD230" s="26"/>
    </row>
    <row r="231" spans="1:30" s="31" customFormat="1">
      <c r="A231" s="19">
        <f t="shared" si="34"/>
        <v>227</v>
      </c>
      <c r="B231" s="3" t="s">
        <v>447</v>
      </c>
      <c r="C231" s="4">
        <v>45891</v>
      </c>
      <c r="D231" s="24">
        <v>2025</v>
      </c>
      <c r="E231" s="20" t="s">
        <v>448</v>
      </c>
      <c r="F231" s="20" t="s">
        <v>371</v>
      </c>
      <c r="G231" s="20" t="s">
        <v>372</v>
      </c>
      <c r="H231" s="55">
        <v>31250000</v>
      </c>
      <c r="I231" s="55">
        <v>3125000</v>
      </c>
      <c r="J231" s="75">
        <v>3781250</v>
      </c>
      <c r="K231" s="40">
        <f t="shared" si="31"/>
        <v>38156250</v>
      </c>
      <c r="L231" s="34">
        <v>45938</v>
      </c>
      <c r="M231" s="40">
        <v>0</v>
      </c>
      <c r="N231" s="39">
        <v>0</v>
      </c>
      <c r="O231" s="39">
        <v>0</v>
      </c>
      <c r="P231" s="39">
        <v>38093750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62500</v>
      </c>
      <c r="X231" s="39">
        <f t="shared" si="32"/>
        <v>0</v>
      </c>
      <c r="Y231" s="39"/>
      <c r="Z231" s="23">
        <f t="shared" si="33"/>
        <v>-3781250</v>
      </c>
      <c r="AA231" s="54">
        <f>-(I231)*2%</f>
        <v>-62500</v>
      </c>
      <c r="AB231" s="39">
        <v>0</v>
      </c>
      <c r="AC231" s="55">
        <f t="shared" ref="AC231:AC241" si="37">K231+AA231</f>
        <v>38093750</v>
      </c>
      <c r="AD231" s="13"/>
    </row>
    <row r="232" spans="1:30" s="21" customFormat="1">
      <c r="A232" s="19">
        <f t="shared" si="34"/>
        <v>228</v>
      </c>
      <c r="B232" s="3" t="s">
        <v>449</v>
      </c>
      <c r="C232" s="4">
        <v>45896</v>
      </c>
      <c r="D232" s="24">
        <v>2025</v>
      </c>
      <c r="E232" s="20" t="s">
        <v>450</v>
      </c>
      <c r="F232" s="20" t="s">
        <v>375</v>
      </c>
      <c r="G232" s="20" t="s">
        <v>451</v>
      </c>
      <c r="H232" s="55">
        <v>638626500</v>
      </c>
      <c r="I232" s="55">
        <v>51090120</v>
      </c>
      <c r="J232" s="75">
        <v>7586883</v>
      </c>
      <c r="K232" s="40">
        <f t="shared" si="31"/>
        <v>697303503</v>
      </c>
      <c r="L232" s="34">
        <v>45916</v>
      </c>
      <c r="M232" s="40">
        <v>0</v>
      </c>
      <c r="N232" s="39">
        <v>696281701</v>
      </c>
      <c r="O232" s="39">
        <v>0</v>
      </c>
      <c r="P232" s="39">
        <v>0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1021802</v>
      </c>
      <c r="X232" s="39">
        <f t="shared" si="32"/>
        <v>0</v>
      </c>
      <c r="Y232" s="39"/>
      <c r="Z232" s="8">
        <f t="shared" si="33"/>
        <v>-7586883</v>
      </c>
      <c r="AA232" s="54">
        <f>-(I232)*2%+0.4</f>
        <v>-1021802</v>
      </c>
      <c r="AB232" s="39">
        <v>0</v>
      </c>
      <c r="AC232" s="55">
        <f t="shared" si="37"/>
        <v>696281701</v>
      </c>
      <c r="AD232" s="13"/>
    </row>
    <row r="233" spans="1:30" s="21" customFormat="1">
      <c r="A233" s="19">
        <f t="shared" si="34"/>
        <v>229</v>
      </c>
      <c r="B233" s="3" t="s">
        <v>459</v>
      </c>
      <c r="C233" s="4">
        <v>45986</v>
      </c>
      <c r="D233" s="24">
        <v>2025</v>
      </c>
      <c r="E233" s="20" t="s">
        <v>365</v>
      </c>
      <c r="F233" s="20" t="s">
        <v>366</v>
      </c>
      <c r="G233" s="20" t="s">
        <v>460</v>
      </c>
      <c r="H233" s="55">
        <v>323027750</v>
      </c>
      <c r="I233" s="55">
        <v>25842220</v>
      </c>
      <c r="J233" s="72">
        <v>38375697</v>
      </c>
      <c r="K233" s="40">
        <f t="shared" si="31"/>
        <v>387245667</v>
      </c>
      <c r="L233" s="34">
        <v>45996</v>
      </c>
      <c r="M233" s="40">
        <v>0</v>
      </c>
      <c r="N233" s="39">
        <v>386728824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516843</v>
      </c>
      <c r="X233" s="39">
        <f t="shared" si="32"/>
        <v>0</v>
      </c>
      <c r="Y233" s="39"/>
      <c r="Z233" s="23">
        <f t="shared" si="33"/>
        <v>-38375697</v>
      </c>
      <c r="AA233" s="54">
        <f>-(I233)*2%+1.4</f>
        <v>-516843</v>
      </c>
      <c r="AB233" s="39">
        <v>0</v>
      </c>
      <c r="AC233" s="55">
        <f t="shared" si="37"/>
        <v>386728824</v>
      </c>
      <c r="AD233" s="20"/>
    </row>
    <row r="234" spans="1:30" s="21" customFormat="1">
      <c r="A234" s="19">
        <f t="shared" si="34"/>
        <v>230</v>
      </c>
      <c r="B234" s="3" t="s">
        <v>472</v>
      </c>
      <c r="C234" s="4">
        <v>45904</v>
      </c>
      <c r="D234" s="24">
        <v>2025</v>
      </c>
      <c r="E234" s="13" t="s">
        <v>473</v>
      </c>
      <c r="F234" s="13" t="s">
        <v>73</v>
      </c>
      <c r="G234" s="20" t="s">
        <v>474</v>
      </c>
      <c r="H234" s="55">
        <v>4041667</v>
      </c>
      <c r="I234" s="55">
        <v>0</v>
      </c>
      <c r="J234" s="72">
        <v>444583</v>
      </c>
      <c r="K234" s="40">
        <f t="shared" si="31"/>
        <v>4486250</v>
      </c>
      <c r="L234" s="34">
        <v>45931</v>
      </c>
      <c r="M234" s="40">
        <v>0</v>
      </c>
      <c r="N234" s="39">
        <v>4486250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0</v>
      </c>
      <c r="V234" s="39">
        <v>0</v>
      </c>
      <c r="W234" s="39">
        <v>0</v>
      </c>
      <c r="X234" s="39">
        <f t="shared" si="32"/>
        <v>0</v>
      </c>
      <c r="Y234" s="39"/>
      <c r="Z234" s="8">
        <f t="shared" si="33"/>
        <v>-444583</v>
      </c>
      <c r="AA234" s="54">
        <v>0</v>
      </c>
      <c r="AB234" s="39">
        <v>0</v>
      </c>
      <c r="AC234" s="55">
        <f t="shared" si="37"/>
        <v>4486250</v>
      </c>
      <c r="AD234" s="13"/>
    </row>
    <row r="235" spans="1:30" s="21" customFormat="1">
      <c r="A235" s="19">
        <f t="shared" si="34"/>
        <v>231</v>
      </c>
      <c r="B235" s="3" t="s">
        <v>475</v>
      </c>
      <c r="C235" s="4">
        <v>45904</v>
      </c>
      <c r="D235" s="24">
        <v>2025</v>
      </c>
      <c r="E235" s="13" t="s">
        <v>473</v>
      </c>
      <c r="F235" s="13" t="s">
        <v>73</v>
      </c>
      <c r="G235" s="20" t="s">
        <v>476</v>
      </c>
      <c r="H235" s="55">
        <v>4041667</v>
      </c>
      <c r="I235" s="55">
        <v>0</v>
      </c>
      <c r="J235" s="72">
        <v>444583</v>
      </c>
      <c r="K235" s="40">
        <f t="shared" si="31"/>
        <v>4486250</v>
      </c>
      <c r="L235" s="34">
        <v>45939</v>
      </c>
      <c r="M235" s="40">
        <v>0</v>
      </c>
      <c r="N235" s="39">
        <v>4486250</v>
      </c>
      <c r="O235" s="39">
        <v>0</v>
      </c>
      <c r="P235" s="39">
        <v>0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>
        <v>0</v>
      </c>
      <c r="W235" s="39">
        <v>0</v>
      </c>
      <c r="X235" s="39">
        <f t="shared" si="32"/>
        <v>0</v>
      </c>
      <c r="Y235" s="39"/>
      <c r="Z235" s="8">
        <f t="shared" si="33"/>
        <v>-444583</v>
      </c>
      <c r="AA235" s="54">
        <v>0</v>
      </c>
      <c r="AB235" s="39">
        <v>0</v>
      </c>
      <c r="AC235" s="55">
        <f t="shared" si="37"/>
        <v>4486250</v>
      </c>
      <c r="AD235" s="13"/>
    </row>
    <row r="236" spans="1:30" s="21" customFormat="1">
      <c r="A236" s="19">
        <f t="shared" si="34"/>
        <v>232</v>
      </c>
      <c r="B236" s="3" t="s">
        <v>477</v>
      </c>
      <c r="C236" s="4">
        <v>45904</v>
      </c>
      <c r="D236" s="24">
        <v>2025</v>
      </c>
      <c r="E236" s="13" t="s">
        <v>473</v>
      </c>
      <c r="F236" s="13" t="s">
        <v>73</v>
      </c>
      <c r="G236" s="20" t="s">
        <v>478</v>
      </c>
      <c r="H236" s="55">
        <v>4041667</v>
      </c>
      <c r="I236" s="55">
        <v>0</v>
      </c>
      <c r="J236" s="72">
        <v>444583</v>
      </c>
      <c r="K236" s="40">
        <f t="shared" si="31"/>
        <v>4486250</v>
      </c>
      <c r="L236" s="34">
        <v>45945</v>
      </c>
      <c r="M236" s="40">
        <v>0</v>
      </c>
      <c r="N236" s="39">
        <v>4486250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f t="shared" si="32"/>
        <v>0</v>
      </c>
      <c r="Y236" s="39"/>
      <c r="Z236" s="8">
        <f t="shared" si="33"/>
        <v>-444583</v>
      </c>
      <c r="AA236" s="54">
        <v>0</v>
      </c>
      <c r="AB236" s="39">
        <v>0</v>
      </c>
      <c r="AC236" s="55">
        <f t="shared" si="37"/>
        <v>4486250</v>
      </c>
      <c r="AD236" s="13"/>
    </row>
    <row r="237" spans="1:30" s="31" customFormat="1">
      <c r="A237" s="19">
        <f t="shared" si="34"/>
        <v>233</v>
      </c>
      <c r="B237" s="3" t="s">
        <v>479</v>
      </c>
      <c r="C237" s="4">
        <v>45904</v>
      </c>
      <c r="D237" s="24">
        <v>2025</v>
      </c>
      <c r="E237" s="13" t="s">
        <v>473</v>
      </c>
      <c r="F237" s="13" t="s">
        <v>73</v>
      </c>
      <c r="G237" s="20" t="s">
        <v>480</v>
      </c>
      <c r="H237" s="55">
        <v>4041667</v>
      </c>
      <c r="I237" s="55">
        <v>0</v>
      </c>
      <c r="J237" s="72">
        <v>444583</v>
      </c>
      <c r="K237" s="40">
        <f t="shared" si="31"/>
        <v>4486250</v>
      </c>
      <c r="L237" s="34">
        <v>45959</v>
      </c>
      <c r="M237" s="40">
        <v>0</v>
      </c>
      <c r="N237" s="39">
        <v>4486250</v>
      </c>
      <c r="O237" s="39">
        <v>0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f t="shared" si="32"/>
        <v>0</v>
      </c>
      <c r="Y237" s="39"/>
      <c r="Z237" s="8">
        <f t="shared" si="33"/>
        <v>-444583</v>
      </c>
      <c r="AA237" s="54">
        <v>0</v>
      </c>
      <c r="AB237" s="39">
        <v>0</v>
      </c>
      <c r="AC237" s="55">
        <f t="shared" si="37"/>
        <v>4486250</v>
      </c>
      <c r="AD237" s="13"/>
    </row>
    <row r="238" spans="1:30" s="21" customFormat="1">
      <c r="A238" s="19">
        <f t="shared" si="34"/>
        <v>234</v>
      </c>
      <c r="B238" s="3" t="s">
        <v>481</v>
      </c>
      <c r="C238" s="4">
        <v>45904</v>
      </c>
      <c r="D238" s="24">
        <v>2025</v>
      </c>
      <c r="E238" s="13" t="s">
        <v>473</v>
      </c>
      <c r="F238" s="13" t="s">
        <v>73</v>
      </c>
      <c r="G238" s="20" t="s">
        <v>482</v>
      </c>
      <c r="H238" s="55">
        <v>5388889</v>
      </c>
      <c r="I238" s="55">
        <v>0</v>
      </c>
      <c r="J238" s="72">
        <v>592778</v>
      </c>
      <c r="K238" s="40">
        <f t="shared" si="31"/>
        <v>5981667</v>
      </c>
      <c r="L238" s="34">
        <v>45946</v>
      </c>
      <c r="M238" s="40">
        <v>0</v>
      </c>
      <c r="N238" s="39">
        <v>5981667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f t="shared" si="32"/>
        <v>0</v>
      </c>
      <c r="Y238" s="39"/>
      <c r="Z238" s="8">
        <f t="shared" si="33"/>
        <v>-592778</v>
      </c>
      <c r="AA238" s="54">
        <v>0</v>
      </c>
      <c r="AB238" s="39">
        <v>0</v>
      </c>
      <c r="AC238" s="55">
        <f t="shared" si="37"/>
        <v>5981667</v>
      </c>
      <c r="AD238" s="13"/>
    </row>
    <row r="239" spans="1:30" s="21" customFormat="1">
      <c r="A239" s="19">
        <f t="shared" si="34"/>
        <v>235</v>
      </c>
      <c r="B239" s="3" t="s">
        <v>483</v>
      </c>
      <c r="C239" s="4">
        <v>45904</v>
      </c>
      <c r="D239" s="2">
        <v>2025</v>
      </c>
      <c r="E239" s="13" t="s">
        <v>473</v>
      </c>
      <c r="F239" s="13" t="s">
        <v>73</v>
      </c>
      <c r="G239" s="20" t="s">
        <v>484</v>
      </c>
      <c r="H239" s="55">
        <v>5388889</v>
      </c>
      <c r="I239" s="55">
        <v>0</v>
      </c>
      <c r="J239" s="72">
        <v>592778</v>
      </c>
      <c r="K239" s="40">
        <f t="shared" si="31"/>
        <v>5981667</v>
      </c>
      <c r="L239" s="34"/>
      <c r="M239" s="40">
        <v>0</v>
      </c>
      <c r="N239" s="39">
        <v>0</v>
      </c>
      <c r="O239" s="39">
        <v>0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f t="shared" si="32"/>
        <v>5981667</v>
      </c>
      <c r="Y239" s="39"/>
      <c r="Z239" s="8">
        <f t="shared" si="33"/>
        <v>-592778</v>
      </c>
      <c r="AA239" s="54">
        <f>-(H239+I239)*2%-0.22</f>
        <v>-107778</v>
      </c>
      <c r="AB239" s="39">
        <v>0</v>
      </c>
      <c r="AC239" s="55">
        <f t="shared" si="37"/>
        <v>5873889</v>
      </c>
      <c r="AD239" s="13"/>
    </row>
    <row r="240" spans="1:30" s="31" customFormat="1">
      <c r="A240" s="19">
        <f t="shared" si="34"/>
        <v>236</v>
      </c>
      <c r="B240" s="3" t="s">
        <v>485</v>
      </c>
      <c r="C240" s="4">
        <v>45904</v>
      </c>
      <c r="D240" s="24">
        <v>2025</v>
      </c>
      <c r="E240" s="13" t="s">
        <v>473</v>
      </c>
      <c r="F240" s="13" t="s">
        <v>73</v>
      </c>
      <c r="G240" s="20" t="s">
        <v>486</v>
      </c>
      <c r="H240" s="55">
        <v>5388889</v>
      </c>
      <c r="I240" s="55">
        <v>0</v>
      </c>
      <c r="J240" s="72">
        <v>592778</v>
      </c>
      <c r="K240" s="40">
        <f t="shared" si="31"/>
        <v>5981667</v>
      </c>
      <c r="L240" s="34"/>
      <c r="M240" s="40">
        <v>0</v>
      </c>
      <c r="N240" s="39">
        <v>5981667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f t="shared" si="32"/>
        <v>0</v>
      </c>
      <c r="Y240" s="39"/>
      <c r="Z240" s="8">
        <f t="shared" si="33"/>
        <v>-592778</v>
      </c>
      <c r="AA240" s="54">
        <v>0</v>
      </c>
      <c r="AB240" s="39">
        <v>0</v>
      </c>
      <c r="AC240" s="55">
        <f t="shared" si="37"/>
        <v>5981667</v>
      </c>
      <c r="AD240" s="13"/>
    </row>
    <row r="241" spans="1:30" s="31" customFormat="1">
      <c r="A241" s="19">
        <f t="shared" si="34"/>
        <v>237</v>
      </c>
      <c r="B241" s="3" t="s">
        <v>487</v>
      </c>
      <c r="C241" s="4">
        <v>45904</v>
      </c>
      <c r="D241" s="24">
        <v>2025</v>
      </c>
      <c r="E241" s="13" t="s">
        <v>473</v>
      </c>
      <c r="F241" s="13" t="s">
        <v>73</v>
      </c>
      <c r="G241" s="20" t="s">
        <v>488</v>
      </c>
      <c r="H241" s="55">
        <v>16166665</v>
      </c>
      <c r="I241" s="55">
        <v>0</v>
      </c>
      <c r="J241" s="72">
        <v>1778333</v>
      </c>
      <c r="K241" s="40">
        <f t="shared" si="31"/>
        <v>17944998</v>
      </c>
      <c r="L241" s="34">
        <v>45943</v>
      </c>
      <c r="M241" s="40">
        <v>0</v>
      </c>
      <c r="N241" s="39">
        <v>17944998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f t="shared" si="32"/>
        <v>0</v>
      </c>
      <c r="Y241" s="39"/>
      <c r="Z241" s="8">
        <f t="shared" si="33"/>
        <v>-1778333</v>
      </c>
      <c r="AA241" s="54">
        <v>0</v>
      </c>
      <c r="AB241" s="39">
        <v>0</v>
      </c>
      <c r="AC241" s="55">
        <f t="shared" si="37"/>
        <v>17944998</v>
      </c>
      <c r="AD241" s="13"/>
    </row>
    <row r="242" spans="1:30" s="21" customFormat="1">
      <c r="A242" s="64">
        <f t="shared" si="34"/>
        <v>238</v>
      </c>
      <c r="B242" s="26" t="s">
        <v>494</v>
      </c>
      <c r="C242" s="79">
        <v>45918</v>
      </c>
      <c r="D242" s="2">
        <v>2024</v>
      </c>
      <c r="E242" s="35" t="s">
        <v>1</v>
      </c>
      <c r="F242" s="35" t="s">
        <v>1</v>
      </c>
      <c r="G242" s="35" t="s">
        <v>558</v>
      </c>
      <c r="H242" s="75">
        <v>0</v>
      </c>
      <c r="I242" s="75">
        <v>0</v>
      </c>
      <c r="J242" s="75">
        <v>0</v>
      </c>
      <c r="K242" s="72">
        <f t="shared" si="31"/>
        <v>0</v>
      </c>
      <c r="L242" s="71"/>
      <c r="M242" s="72">
        <v>0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0</v>
      </c>
      <c r="W242" s="62">
        <v>0</v>
      </c>
      <c r="X242" s="62">
        <f t="shared" si="32"/>
        <v>0</v>
      </c>
      <c r="Y242" s="62"/>
      <c r="Z242" s="73">
        <f t="shared" si="33"/>
        <v>0</v>
      </c>
      <c r="AA242" s="74">
        <f>-(H242+I242)*2%</f>
        <v>0</v>
      </c>
      <c r="AB242" s="62">
        <f>K242+Z242+AA242</f>
        <v>0</v>
      </c>
      <c r="AC242" s="75">
        <v>0</v>
      </c>
      <c r="AD242" s="26" t="s">
        <v>495</v>
      </c>
    </row>
    <row r="243" spans="1:30" s="21" customFormat="1">
      <c r="A243" s="64">
        <f t="shared" si="34"/>
        <v>239</v>
      </c>
      <c r="B243" s="26" t="s">
        <v>498</v>
      </c>
      <c r="C243" s="79">
        <v>45922</v>
      </c>
      <c r="D243" s="2">
        <v>2024</v>
      </c>
      <c r="E243" s="35" t="s">
        <v>1</v>
      </c>
      <c r="F243" s="35" t="s">
        <v>1</v>
      </c>
      <c r="G243" s="35" t="s">
        <v>559</v>
      </c>
      <c r="H243" s="75">
        <v>0</v>
      </c>
      <c r="I243" s="75">
        <v>0</v>
      </c>
      <c r="J243" s="75">
        <v>0</v>
      </c>
      <c r="K243" s="72">
        <f t="shared" si="31"/>
        <v>0</v>
      </c>
      <c r="L243" s="71"/>
      <c r="M243" s="72">
        <v>0</v>
      </c>
      <c r="N243" s="62">
        <v>0</v>
      </c>
      <c r="O243" s="62">
        <v>0</v>
      </c>
      <c r="P243" s="62">
        <v>0</v>
      </c>
      <c r="Q243" s="62">
        <v>0</v>
      </c>
      <c r="R243" s="62">
        <v>0</v>
      </c>
      <c r="S243" s="62">
        <v>0</v>
      </c>
      <c r="T243" s="62">
        <v>0</v>
      </c>
      <c r="U243" s="62">
        <v>0</v>
      </c>
      <c r="V243" s="62">
        <v>0</v>
      </c>
      <c r="W243" s="62">
        <v>0</v>
      </c>
      <c r="X243" s="62">
        <f t="shared" si="32"/>
        <v>0</v>
      </c>
      <c r="Y243" s="62"/>
      <c r="Z243" s="73">
        <f t="shared" si="33"/>
        <v>0</v>
      </c>
      <c r="AA243" s="74">
        <f>-(H243+I243)*2%</f>
        <v>0</v>
      </c>
      <c r="AB243" s="62">
        <f>K243+Z243+AA243</f>
        <v>0</v>
      </c>
      <c r="AC243" s="75">
        <v>0</v>
      </c>
      <c r="AD243" s="26"/>
    </row>
    <row r="244" spans="1:30" s="31" customFormat="1">
      <c r="A244" s="19">
        <f t="shared" si="34"/>
        <v>240</v>
      </c>
      <c r="B244" s="3" t="s">
        <v>499</v>
      </c>
      <c r="C244" s="4">
        <v>45929</v>
      </c>
      <c r="D244" s="24">
        <v>2025</v>
      </c>
      <c r="E244" s="20" t="s">
        <v>464</v>
      </c>
      <c r="F244" s="20" t="s">
        <v>378</v>
      </c>
      <c r="G244" s="20" t="s">
        <v>500</v>
      </c>
      <c r="H244" s="55">
        <v>709185000</v>
      </c>
      <c r="I244" s="55">
        <v>49642950</v>
      </c>
      <c r="J244" s="75">
        <v>83471075</v>
      </c>
      <c r="K244" s="40">
        <f t="shared" si="31"/>
        <v>842299025</v>
      </c>
      <c r="L244" s="34">
        <v>45960</v>
      </c>
      <c r="M244" s="40">
        <v>0</v>
      </c>
      <c r="N244" s="39">
        <v>0</v>
      </c>
      <c r="O244" s="39">
        <v>827122466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15176559</v>
      </c>
      <c r="X244" s="39">
        <f t="shared" si="32"/>
        <v>0</v>
      </c>
      <c r="Y244" s="39"/>
      <c r="Z244" s="8">
        <f t="shared" si="33"/>
        <v>-83471075</v>
      </c>
      <c r="AA244" s="54">
        <f>-(H244+I244)*2%</f>
        <v>-15176559</v>
      </c>
      <c r="AB244" s="39">
        <v>0</v>
      </c>
      <c r="AC244" s="55">
        <f>K244+AA244</f>
        <v>827122466</v>
      </c>
      <c r="AD244" s="3"/>
    </row>
    <row r="245" spans="1:30" s="31" customFormat="1">
      <c r="A245" s="64">
        <f t="shared" si="34"/>
        <v>241</v>
      </c>
      <c r="B245" s="26" t="s">
        <v>501</v>
      </c>
      <c r="C245" s="79">
        <v>45943</v>
      </c>
      <c r="D245" s="2">
        <v>2024</v>
      </c>
      <c r="E245" s="35" t="s">
        <v>1</v>
      </c>
      <c r="F245" s="35" t="s">
        <v>1</v>
      </c>
      <c r="G245" s="35" t="s">
        <v>638</v>
      </c>
      <c r="H245" s="75">
        <v>0</v>
      </c>
      <c r="I245" s="75">
        <v>0</v>
      </c>
      <c r="J245" s="75">
        <v>0</v>
      </c>
      <c r="K245" s="72">
        <f t="shared" si="31"/>
        <v>0</v>
      </c>
      <c r="L245" s="71"/>
      <c r="M245" s="72">
        <v>0</v>
      </c>
      <c r="N245" s="62">
        <v>0</v>
      </c>
      <c r="O245" s="62">
        <v>0</v>
      </c>
      <c r="P245" s="62">
        <v>0</v>
      </c>
      <c r="Q245" s="62">
        <v>0</v>
      </c>
      <c r="R245" s="62">
        <v>0</v>
      </c>
      <c r="S245" s="62">
        <v>0</v>
      </c>
      <c r="T245" s="62">
        <v>0</v>
      </c>
      <c r="U245" s="62">
        <v>0</v>
      </c>
      <c r="V245" s="62">
        <v>0</v>
      </c>
      <c r="W245" s="62">
        <v>0</v>
      </c>
      <c r="X245" s="62">
        <f t="shared" si="32"/>
        <v>0</v>
      </c>
      <c r="Y245" s="62"/>
      <c r="Z245" s="73">
        <f t="shared" si="33"/>
        <v>0</v>
      </c>
      <c r="AA245" s="74">
        <f>-(H245+I245)*2%</f>
        <v>0</v>
      </c>
      <c r="AB245" s="62">
        <v>0</v>
      </c>
      <c r="AC245" s="75">
        <f>K245+AA245</f>
        <v>0</v>
      </c>
      <c r="AD245" s="26"/>
    </row>
    <row r="246" spans="1:30" s="31" customFormat="1">
      <c r="A246" s="19">
        <f t="shared" si="34"/>
        <v>242</v>
      </c>
      <c r="B246" s="3" t="s">
        <v>502</v>
      </c>
      <c r="C246" s="4">
        <v>45944</v>
      </c>
      <c r="D246" s="24">
        <v>2025</v>
      </c>
      <c r="E246" s="20" t="s">
        <v>463</v>
      </c>
      <c r="F246" s="20" t="s">
        <v>437</v>
      </c>
      <c r="G246" s="20" t="s">
        <v>503</v>
      </c>
      <c r="H246" s="55">
        <v>1592675000</v>
      </c>
      <c r="I246" s="55">
        <v>127414000</v>
      </c>
      <c r="J246" s="75">
        <v>189209790</v>
      </c>
      <c r="K246" s="40">
        <f t="shared" si="31"/>
        <v>1909298790</v>
      </c>
      <c r="L246" s="34">
        <v>45951</v>
      </c>
      <c r="M246" s="40">
        <v>0</v>
      </c>
      <c r="N246" s="39">
        <f>500000000+500000000+406750510+500000000</f>
        <v>1906750510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2548280</v>
      </c>
      <c r="X246" s="39">
        <f t="shared" si="32"/>
        <v>0</v>
      </c>
      <c r="Y246" s="39"/>
      <c r="Z246" s="8">
        <f t="shared" si="33"/>
        <v>-189209790</v>
      </c>
      <c r="AA246" s="54">
        <f>-(I246)*2%</f>
        <v>-2548280</v>
      </c>
      <c r="AB246" s="39">
        <v>0</v>
      </c>
      <c r="AC246" s="55">
        <f>K246+AA246</f>
        <v>1906750510</v>
      </c>
      <c r="AD246" s="3" t="s">
        <v>504</v>
      </c>
    </row>
    <row r="247" spans="1:30" s="31" customFormat="1">
      <c r="A247" s="19">
        <f t="shared" si="34"/>
        <v>243</v>
      </c>
      <c r="B247" s="3" t="s">
        <v>595</v>
      </c>
      <c r="C247" s="4">
        <v>45999</v>
      </c>
      <c r="D247" s="2">
        <v>2025</v>
      </c>
      <c r="E247" s="20" t="s">
        <v>596</v>
      </c>
      <c r="F247" s="20" t="s">
        <v>525</v>
      </c>
      <c r="G247" s="20" t="s">
        <v>597</v>
      </c>
      <c r="H247" s="55">
        <v>326442500</v>
      </c>
      <c r="I247" s="55">
        <v>32644250</v>
      </c>
      <c r="J247" s="75">
        <v>3949954</v>
      </c>
      <c r="K247" s="40">
        <f t="shared" si="31"/>
        <v>363036704</v>
      </c>
      <c r="L247" s="34"/>
      <c r="M247" s="40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0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f t="shared" si="32"/>
        <v>363036704</v>
      </c>
      <c r="Y247" s="39"/>
      <c r="Z247" s="8">
        <f t="shared" si="33"/>
        <v>-3949954</v>
      </c>
      <c r="AA247" s="54">
        <f>-(H247+I247)*2%</f>
        <v>-7181735</v>
      </c>
      <c r="AB247" s="39">
        <v>0</v>
      </c>
      <c r="AC247" s="55">
        <f>K247+AA247</f>
        <v>355854969</v>
      </c>
      <c r="AD247" s="3" t="s">
        <v>1</v>
      </c>
    </row>
    <row r="248" spans="1:30" s="31" customFormat="1">
      <c r="A248" s="64">
        <f t="shared" si="34"/>
        <v>244</v>
      </c>
      <c r="B248" s="26" t="s">
        <v>507</v>
      </c>
      <c r="C248" s="79">
        <v>45768</v>
      </c>
      <c r="D248" s="2">
        <v>2024</v>
      </c>
      <c r="E248" s="35" t="s">
        <v>1</v>
      </c>
      <c r="F248" s="35" t="s">
        <v>1</v>
      </c>
      <c r="G248" s="35" t="s">
        <v>560</v>
      </c>
      <c r="H248" s="75">
        <v>0</v>
      </c>
      <c r="I248" s="75">
        <v>0</v>
      </c>
      <c r="J248" s="75">
        <v>0</v>
      </c>
      <c r="K248" s="72">
        <f t="shared" si="31"/>
        <v>0</v>
      </c>
      <c r="L248" s="71"/>
      <c r="M248" s="72">
        <v>0</v>
      </c>
      <c r="N248" s="62">
        <v>0</v>
      </c>
      <c r="O248" s="62">
        <v>0</v>
      </c>
      <c r="P248" s="62">
        <v>0</v>
      </c>
      <c r="Q248" s="62">
        <v>0</v>
      </c>
      <c r="R248" s="62">
        <v>0</v>
      </c>
      <c r="S248" s="62">
        <v>0</v>
      </c>
      <c r="T248" s="62">
        <v>0</v>
      </c>
      <c r="U248" s="62">
        <v>0</v>
      </c>
      <c r="V248" s="62">
        <v>0</v>
      </c>
      <c r="W248" s="62">
        <v>0</v>
      </c>
      <c r="X248" s="62">
        <f t="shared" si="32"/>
        <v>0</v>
      </c>
      <c r="Y248" s="62"/>
      <c r="Z248" s="73">
        <f t="shared" si="33"/>
        <v>0</v>
      </c>
      <c r="AA248" s="74">
        <f>-(H248+I248)*2%</f>
        <v>0</v>
      </c>
      <c r="AB248" s="62">
        <f>K248+Z248+AA248</f>
        <v>0</v>
      </c>
      <c r="AC248" s="75">
        <v>0</v>
      </c>
      <c r="AD248" s="26"/>
    </row>
    <row r="249" spans="1:30" s="31" customFormat="1">
      <c r="A249" s="64">
        <f t="shared" si="34"/>
        <v>245</v>
      </c>
      <c r="B249" s="26" t="s">
        <v>598</v>
      </c>
      <c r="C249" s="79">
        <v>45729</v>
      </c>
      <c r="D249" s="2">
        <v>2024</v>
      </c>
      <c r="E249" s="35" t="s">
        <v>1</v>
      </c>
      <c r="F249" s="35" t="s">
        <v>1</v>
      </c>
      <c r="G249" s="35" t="s">
        <v>606</v>
      </c>
      <c r="H249" s="75">
        <v>0</v>
      </c>
      <c r="I249" s="75">
        <v>0</v>
      </c>
      <c r="J249" s="75">
        <v>0</v>
      </c>
      <c r="K249" s="72">
        <f t="shared" si="31"/>
        <v>0</v>
      </c>
      <c r="L249" s="71"/>
      <c r="M249" s="72">
        <v>0</v>
      </c>
      <c r="N249" s="62">
        <v>0</v>
      </c>
      <c r="O249" s="62">
        <v>0</v>
      </c>
      <c r="P249" s="62">
        <v>0</v>
      </c>
      <c r="Q249" s="62">
        <v>0</v>
      </c>
      <c r="R249" s="62">
        <v>0</v>
      </c>
      <c r="S249" s="62">
        <v>0</v>
      </c>
      <c r="T249" s="62">
        <v>0</v>
      </c>
      <c r="U249" s="62">
        <v>0</v>
      </c>
      <c r="V249" s="62">
        <v>0</v>
      </c>
      <c r="W249" s="62">
        <v>0</v>
      </c>
      <c r="X249" s="62">
        <f t="shared" si="32"/>
        <v>0</v>
      </c>
      <c r="Y249" s="62"/>
      <c r="Z249" s="66">
        <f t="shared" si="33"/>
        <v>0</v>
      </c>
      <c r="AA249" s="62">
        <f>-(H249+I249)*2%</f>
        <v>0</v>
      </c>
      <c r="AB249" s="62">
        <f>K249+Z249+AA249</f>
        <v>0</v>
      </c>
      <c r="AC249" s="75">
        <v>0</v>
      </c>
      <c r="AD249" s="26"/>
    </row>
    <row r="250" spans="1:30" s="31" customFormat="1">
      <c r="A250" s="64">
        <f t="shared" si="34"/>
        <v>246</v>
      </c>
      <c r="B250" s="26" t="s">
        <v>599</v>
      </c>
      <c r="C250" s="79">
        <v>45756</v>
      </c>
      <c r="D250" s="2">
        <v>2024</v>
      </c>
      <c r="E250" s="35" t="s">
        <v>1</v>
      </c>
      <c r="F250" s="78" t="s">
        <v>1</v>
      </c>
      <c r="G250" s="35" t="s">
        <v>607</v>
      </c>
      <c r="H250" s="74">
        <v>0</v>
      </c>
      <c r="I250" s="72">
        <v>0</v>
      </c>
      <c r="J250" s="72">
        <v>0</v>
      </c>
      <c r="K250" s="72">
        <f t="shared" si="31"/>
        <v>0</v>
      </c>
      <c r="L250" s="71"/>
      <c r="M250" s="72">
        <v>0</v>
      </c>
      <c r="N250" s="62">
        <v>0</v>
      </c>
      <c r="O250" s="62">
        <v>0</v>
      </c>
      <c r="P250" s="62">
        <v>0</v>
      </c>
      <c r="Q250" s="62">
        <v>0</v>
      </c>
      <c r="R250" s="62">
        <v>0</v>
      </c>
      <c r="S250" s="62">
        <v>0</v>
      </c>
      <c r="T250" s="62">
        <v>0</v>
      </c>
      <c r="U250" s="62">
        <v>0</v>
      </c>
      <c r="V250" s="62">
        <v>0</v>
      </c>
      <c r="W250" s="62">
        <v>0</v>
      </c>
      <c r="X250" s="62">
        <f t="shared" si="32"/>
        <v>0</v>
      </c>
      <c r="Y250" s="62"/>
      <c r="Z250" s="66">
        <f t="shared" si="33"/>
        <v>0</v>
      </c>
      <c r="AA250" s="62">
        <f>-(H250+I250)*2%</f>
        <v>0</v>
      </c>
      <c r="AB250" s="62">
        <f>K250+Z250+AA250</f>
        <v>0</v>
      </c>
      <c r="AC250" s="75">
        <v>0</v>
      </c>
      <c r="AD250" s="26"/>
    </row>
    <row r="251" spans="1:30" s="31" customFormat="1">
      <c r="A251" s="19">
        <f t="shared" si="34"/>
        <v>247</v>
      </c>
      <c r="B251" s="3" t="s">
        <v>630</v>
      </c>
      <c r="C251" s="4">
        <v>46009</v>
      </c>
      <c r="D251" s="2">
        <v>2025</v>
      </c>
      <c r="E251" s="20" t="s">
        <v>464</v>
      </c>
      <c r="F251" s="20" t="s">
        <v>612</v>
      </c>
      <c r="G251" s="20" t="s">
        <v>631</v>
      </c>
      <c r="H251" s="55">
        <v>93218500</v>
      </c>
      <c r="I251" s="55">
        <v>6525295</v>
      </c>
      <c r="J251" s="75">
        <v>10971817</v>
      </c>
      <c r="K251" s="40">
        <f t="shared" si="31"/>
        <v>110715612</v>
      </c>
      <c r="L251" s="34"/>
      <c r="M251" s="40">
        <v>0</v>
      </c>
      <c r="N251" s="39">
        <v>0</v>
      </c>
      <c r="O251" s="39">
        <v>0</v>
      </c>
      <c r="P251" s="39">
        <v>0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f t="shared" si="32"/>
        <v>110715612</v>
      </c>
      <c r="Y251" s="39"/>
      <c r="Z251" s="8">
        <f t="shared" si="33"/>
        <v>-10971817</v>
      </c>
      <c r="AA251" s="39">
        <f>-(I251)*2%</f>
        <v>-130505.90000000001</v>
      </c>
      <c r="AB251" s="39">
        <v>0</v>
      </c>
      <c r="AC251" s="55">
        <f>K251+AA251</f>
        <v>110585106.09999999</v>
      </c>
      <c r="AD251" s="3"/>
    </row>
    <row r="252" spans="1:30" s="31" customFormat="1">
      <c r="A252" s="19">
        <f t="shared" si="34"/>
        <v>248</v>
      </c>
      <c r="B252" s="3" t="s">
        <v>621</v>
      </c>
      <c r="C252" s="4">
        <v>46009</v>
      </c>
      <c r="D252" s="24">
        <v>2025</v>
      </c>
      <c r="E252" s="20" t="s">
        <v>622</v>
      </c>
      <c r="F252" s="20" t="s">
        <v>633</v>
      </c>
      <c r="G252" s="20" t="s">
        <v>623</v>
      </c>
      <c r="H252" s="55">
        <v>44812500</v>
      </c>
      <c r="I252" s="55">
        <v>0</v>
      </c>
      <c r="J252" s="75">
        <v>4929375</v>
      </c>
      <c r="K252" s="40">
        <f t="shared" si="31"/>
        <v>49741875</v>
      </c>
      <c r="L252" s="34"/>
      <c r="M252" s="40">
        <v>0</v>
      </c>
      <c r="N252" s="39">
        <v>0</v>
      </c>
      <c r="O252" s="39">
        <v>48845625</v>
      </c>
      <c r="P252" s="39">
        <v>0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>
        <v>0</v>
      </c>
      <c r="W252" s="39">
        <v>896250</v>
      </c>
      <c r="X252" s="39">
        <f t="shared" si="32"/>
        <v>0</v>
      </c>
      <c r="Y252" s="39"/>
      <c r="Z252" s="8">
        <f t="shared" si="33"/>
        <v>-4929375</v>
      </c>
      <c r="AA252" s="39">
        <f>-(H252+I252)*2%</f>
        <v>-896250</v>
      </c>
      <c r="AB252" s="39">
        <v>0</v>
      </c>
      <c r="AC252" s="55">
        <f>K252+AA252</f>
        <v>48845625</v>
      </c>
      <c r="AD252" s="3"/>
    </row>
    <row r="253" spans="1:30" s="31" customFormat="1">
      <c r="A253" s="19">
        <f t="shared" si="34"/>
        <v>249</v>
      </c>
      <c r="B253" s="3" t="s">
        <v>641</v>
      </c>
      <c r="C253" s="4">
        <v>46020</v>
      </c>
      <c r="D253" s="24">
        <v>2025</v>
      </c>
      <c r="E253" s="20" t="s">
        <v>464</v>
      </c>
      <c r="F253" s="20" t="s">
        <v>612</v>
      </c>
      <c r="G253" s="20" t="s">
        <v>642</v>
      </c>
      <c r="H253" s="55">
        <v>4500000</v>
      </c>
      <c r="I253" s="55">
        <v>315000</v>
      </c>
      <c r="J253" s="75">
        <v>529650</v>
      </c>
      <c r="K253" s="40">
        <f t="shared" si="31"/>
        <v>5344650</v>
      </c>
      <c r="L253" s="34"/>
      <c r="M253" s="40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f t="shared" si="32"/>
        <v>5344650</v>
      </c>
      <c r="Y253" s="39"/>
      <c r="Z253" s="8">
        <f t="shared" si="33"/>
        <v>-529650</v>
      </c>
      <c r="AA253" s="39">
        <f>-(H253+I253)*2%</f>
        <v>-96300</v>
      </c>
      <c r="AB253" s="39">
        <v>0</v>
      </c>
      <c r="AC253" s="55">
        <f>K253+AA253</f>
        <v>5248350</v>
      </c>
      <c r="AD253" s="3"/>
    </row>
    <row r="254" spans="1:30" s="31" customFormat="1">
      <c r="A254" s="64">
        <f t="shared" si="34"/>
        <v>250</v>
      </c>
      <c r="B254" s="26" t="s">
        <v>562</v>
      </c>
      <c r="C254" s="79">
        <v>46002</v>
      </c>
      <c r="D254" s="24">
        <v>2024</v>
      </c>
      <c r="E254" s="35" t="s">
        <v>1</v>
      </c>
      <c r="F254" s="35" t="s">
        <v>1</v>
      </c>
      <c r="G254" s="76" t="s">
        <v>563</v>
      </c>
      <c r="H254" s="75">
        <v>0</v>
      </c>
      <c r="I254" s="72">
        <v>0</v>
      </c>
      <c r="J254" s="72">
        <v>0</v>
      </c>
      <c r="K254" s="72">
        <f t="shared" si="31"/>
        <v>0</v>
      </c>
      <c r="L254" s="71"/>
      <c r="M254" s="72">
        <v>0</v>
      </c>
      <c r="N254" s="62">
        <v>0</v>
      </c>
      <c r="O254" s="62">
        <v>0</v>
      </c>
      <c r="P254" s="62">
        <v>0</v>
      </c>
      <c r="Q254" s="62">
        <v>0</v>
      </c>
      <c r="R254" s="62">
        <v>0</v>
      </c>
      <c r="S254" s="62">
        <v>0</v>
      </c>
      <c r="T254" s="62">
        <v>0</v>
      </c>
      <c r="U254" s="62">
        <v>0</v>
      </c>
      <c r="V254" s="62">
        <v>0</v>
      </c>
      <c r="W254" s="62">
        <v>0</v>
      </c>
      <c r="X254" s="62">
        <f t="shared" si="32"/>
        <v>0</v>
      </c>
      <c r="Y254" s="62"/>
      <c r="Z254" s="73">
        <f t="shared" si="33"/>
        <v>0</v>
      </c>
      <c r="AA254" s="62">
        <f>-(H254+I254)*2%</f>
        <v>0</v>
      </c>
      <c r="AB254" s="62">
        <f>K254+Z254+AA254</f>
        <v>0</v>
      </c>
      <c r="AC254" s="75">
        <v>0</v>
      </c>
      <c r="AD254" s="26"/>
    </row>
    <row r="255" spans="1:30" s="31" customFormat="1">
      <c r="A255" s="19">
        <f t="shared" si="34"/>
        <v>251</v>
      </c>
      <c r="B255" s="3" t="s">
        <v>528</v>
      </c>
      <c r="C255" s="4">
        <v>46002</v>
      </c>
      <c r="D255" s="24">
        <v>2025</v>
      </c>
      <c r="E255" s="20" t="s">
        <v>463</v>
      </c>
      <c r="F255" s="20" t="s">
        <v>527</v>
      </c>
      <c r="G255" s="21" t="s">
        <v>529</v>
      </c>
      <c r="H255" s="55">
        <v>166400000</v>
      </c>
      <c r="I255" s="40">
        <v>16640000</v>
      </c>
      <c r="J255" s="72">
        <v>20134400</v>
      </c>
      <c r="K255" s="40">
        <f t="shared" si="31"/>
        <v>203174400</v>
      </c>
      <c r="L255" s="34"/>
      <c r="M255" s="40">
        <v>0</v>
      </c>
      <c r="N255" s="39">
        <v>202841600</v>
      </c>
      <c r="O255" s="39">
        <v>0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332800</v>
      </c>
      <c r="X255" s="39">
        <f t="shared" si="32"/>
        <v>0</v>
      </c>
      <c r="Y255" s="39"/>
      <c r="Z255" s="8">
        <f t="shared" si="33"/>
        <v>-20134400</v>
      </c>
      <c r="AA255" s="39">
        <f>-(I255)*2%</f>
        <v>-332800</v>
      </c>
      <c r="AB255" s="39">
        <v>0</v>
      </c>
      <c r="AC255" s="55">
        <f>K255+AA255</f>
        <v>202841600</v>
      </c>
      <c r="AD255" s="3"/>
    </row>
    <row r="256" spans="1:30" s="31" customFormat="1">
      <c r="A256" s="64">
        <f t="shared" si="34"/>
        <v>252</v>
      </c>
      <c r="B256" s="26" t="s">
        <v>574</v>
      </c>
      <c r="C256" s="79">
        <v>45979</v>
      </c>
      <c r="D256" s="24">
        <v>2024</v>
      </c>
      <c r="E256" s="35" t="s">
        <v>1</v>
      </c>
      <c r="F256" s="35" t="s">
        <v>1</v>
      </c>
      <c r="G256" s="76" t="s">
        <v>575</v>
      </c>
      <c r="H256" s="75">
        <v>0</v>
      </c>
      <c r="I256" s="72">
        <v>0</v>
      </c>
      <c r="J256" s="72">
        <v>0</v>
      </c>
      <c r="K256" s="72">
        <f t="shared" si="31"/>
        <v>0</v>
      </c>
      <c r="L256" s="71"/>
      <c r="M256" s="72">
        <v>0</v>
      </c>
      <c r="N256" s="62">
        <v>0</v>
      </c>
      <c r="O256" s="62">
        <v>0</v>
      </c>
      <c r="P256" s="62">
        <v>0</v>
      </c>
      <c r="Q256" s="62">
        <v>0</v>
      </c>
      <c r="R256" s="62">
        <v>0</v>
      </c>
      <c r="S256" s="62">
        <v>0</v>
      </c>
      <c r="T256" s="62">
        <v>0</v>
      </c>
      <c r="U256" s="62">
        <v>0</v>
      </c>
      <c r="V256" s="62">
        <v>0</v>
      </c>
      <c r="W256" s="62">
        <v>0</v>
      </c>
      <c r="X256" s="62">
        <f t="shared" si="32"/>
        <v>0</v>
      </c>
      <c r="Y256" s="62"/>
      <c r="Z256" s="73">
        <f t="shared" si="33"/>
        <v>0</v>
      </c>
      <c r="AA256" s="62">
        <f t="shared" ref="AA256:AA303" si="38">-(H256+I256)*2%</f>
        <v>0</v>
      </c>
      <c r="AB256" s="62">
        <f t="shared" ref="AB256:AB303" si="39">K256+Z256+AA256</f>
        <v>0</v>
      </c>
      <c r="AC256" s="75">
        <v>0</v>
      </c>
      <c r="AD256" s="26"/>
    </row>
    <row r="257" spans="1:30" s="21" customFormat="1">
      <c r="A257" s="64">
        <f t="shared" si="34"/>
        <v>253</v>
      </c>
      <c r="B257" s="26" t="s">
        <v>577</v>
      </c>
      <c r="C257" s="79">
        <v>45980</v>
      </c>
      <c r="D257" s="24">
        <v>2024</v>
      </c>
      <c r="E257" s="35" t="s">
        <v>1</v>
      </c>
      <c r="F257" s="35" t="s">
        <v>1</v>
      </c>
      <c r="G257" s="76" t="s">
        <v>578</v>
      </c>
      <c r="H257" s="75">
        <v>0</v>
      </c>
      <c r="I257" s="72">
        <v>0</v>
      </c>
      <c r="J257" s="72">
        <v>0</v>
      </c>
      <c r="K257" s="72">
        <f t="shared" si="31"/>
        <v>0</v>
      </c>
      <c r="L257" s="71"/>
      <c r="M257" s="72">
        <v>0</v>
      </c>
      <c r="N257" s="62">
        <v>0</v>
      </c>
      <c r="O257" s="62">
        <v>0</v>
      </c>
      <c r="P257" s="62">
        <v>0</v>
      </c>
      <c r="Q257" s="62">
        <v>0</v>
      </c>
      <c r="R257" s="62">
        <v>0</v>
      </c>
      <c r="S257" s="62">
        <v>0</v>
      </c>
      <c r="T257" s="62">
        <v>0</v>
      </c>
      <c r="U257" s="62">
        <v>0</v>
      </c>
      <c r="V257" s="62">
        <v>0</v>
      </c>
      <c r="W257" s="62">
        <v>0</v>
      </c>
      <c r="X257" s="62">
        <f t="shared" si="32"/>
        <v>0</v>
      </c>
      <c r="Y257" s="62"/>
      <c r="Z257" s="73">
        <f t="shared" si="33"/>
        <v>0</v>
      </c>
      <c r="AA257" s="62">
        <f t="shared" si="38"/>
        <v>0</v>
      </c>
      <c r="AB257" s="62">
        <f t="shared" si="39"/>
        <v>0</v>
      </c>
      <c r="AC257" s="75">
        <v>0</v>
      </c>
      <c r="AD257" s="26"/>
    </row>
    <row r="258" spans="1:30" s="21" customFormat="1">
      <c r="A258" s="64">
        <f t="shared" si="34"/>
        <v>254</v>
      </c>
      <c r="B258" s="26" t="s">
        <v>602</v>
      </c>
      <c r="C258" s="79">
        <v>45999</v>
      </c>
      <c r="D258" s="24">
        <v>2024</v>
      </c>
      <c r="E258" s="35" t="s">
        <v>1</v>
      </c>
      <c r="F258" s="35" t="s">
        <v>1</v>
      </c>
      <c r="G258" s="76" t="s">
        <v>604</v>
      </c>
      <c r="H258" s="75">
        <v>0</v>
      </c>
      <c r="I258" s="72">
        <v>0</v>
      </c>
      <c r="J258" s="72">
        <v>0</v>
      </c>
      <c r="K258" s="72">
        <f t="shared" si="31"/>
        <v>0</v>
      </c>
      <c r="L258" s="71"/>
      <c r="M258" s="72">
        <v>0</v>
      </c>
      <c r="N258" s="62">
        <v>0</v>
      </c>
      <c r="O258" s="62">
        <v>0</v>
      </c>
      <c r="P258" s="62">
        <v>0</v>
      </c>
      <c r="Q258" s="62">
        <v>0</v>
      </c>
      <c r="R258" s="62">
        <v>0</v>
      </c>
      <c r="S258" s="62">
        <v>0</v>
      </c>
      <c r="T258" s="62">
        <v>0</v>
      </c>
      <c r="U258" s="62">
        <v>0</v>
      </c>
      <c r="V258" s="62">
        <v>0</v>
      </c>
      <c r="W258" s="62">
        <v>0</v>
      </c>
      <c r="X258" s="62">
        <f t="shared" si="32"/>
        <v>0</v>
      </c>
      <c r="Y258" s="62"/>
      <c r="Z258" s="73">
        <f t="shared" si="33"/>
        <v>0</v>
      </c>
      <c r="AA258" s="62">
        <f t="shared" si="38"/>
        <v>0</v>
      </c>
      <c r="AB258" s="62">
        <f t="shared" si="39"/>
        <v>0</v>
      </c>
      <c r="AC258" s="75">
        <v>0</v>
      </c>
      <c r="AD258" s="26"/>
    </row>
    <row r="259" spans="1:30" s="31" customFormat="1">
      <c r="A259" s="64">
        <f t="shared" si="34"/>
        <v>255</v>
      </c>
      <c r="B259" s="26" t="s">
        <v>603</v>
      </c>
      <c r="C259" s="79">
        <v>45999</v>
      </c>
      <c r="D259" s="24">
        <v>2024</v>
      </c>
      <c r="E259" s="35" t="s">
        <v>1</v>
      </c>
      <c r="F259" s="35" t="s">
        <v>1</v>
      </c>
      <c r="G259" s="76" t="s">
        <v>605</v>
      </c>
      <c r="H259" s="75">
        <v>0</v>
      </c>
      <c r="I259" s="72">
        <v>0</v>
      </c>
      <c r="J259" s="72">
        <v>0</v>
      </c>
      <c r="K259" s="72">
        <f t="shared" si="31"/>
        <v>0</v>
      </c>
      <c r="L259" s="71"/>
      <c r="M259" s="72">
        <v>0</v>
      </c>
      <c r="N259" s="62">
        <v>0</v>
      </c>
      <c r="O259" s="62">
        <v>0</v>
      </c>
      <c r="P259" s="62">
        <v>0</v>
      </c>
      <c r="Q259" s="62">
        <v>0</v>
      </c>
      <c r="R259" s="62">
        <v>0</v>
      </c>
      <c r="S259" s="62">
        <v>0</v>
      </c>
      <c r="T259" s="62">
        <v>0</v>
      </c>
      <c r="U259" s="62">
        <v>0</v>
      </c>
      <c r="V259" s="62">
        <v>0</v>
      </c>
      <c r="W259" s="62">
        <v>0</v>
      </c>
      <c r="X259" s="62">
        <f t="shared" si="32"/>
        <v>0</v>
      </c>
      <c r="Y259" s="62"/>
      <c r="Z259" s="73">
        <f t="shared" si="33"/>
        <v>0</v>
      </c>
      <c r="AA259" s="62">
        <f t="shared" si="38"/>
        <v>0</v>
      </c>
      <c r="AB259" s="62">
        <f t="shared" si="39"/>
        <v>0</v>
      </c>
      <c r="AC259" s="75">
        <v>0</v>
      </c>
      <c r="AD259" s="26"/>
    </row>
    <row r="260" spans="1:30" s="31" customFormat="1">
      <c r="A260" s="64">
        <f t="shared" si="34"/>
        <v>256</v>
      </c>
      <c r="B260" s="26" t="s">
        <v>581</v>
      </c>
      <c r="C260" s="79">
        <v>45982</v>
      </c>
      <c r="D260" s="24">
        <v>2024</v>
      </c>
      <c r="E260" s="35" t="s">
        <v>1</v>
      </c>
      <c r="F260" s="35" t="s">
        <v>1</v>
      </c>
      <c r="G260" s="76" t="s">
        <v>582</v>
      </c>
      <c r="H260" s="75">
        <v>0</v>
      </c>
      <c r="I260" s="72">
        <v>0</v>
      </c>
      <c r="J260" s="72">
        <v>0</v>
      </c>
      <c r="K260" s="72">
        <f t="shared" si="31"/>
        <v>0</v>
      </c>
      <c r="L260" s="71"/>
      <c r="M260" s="72">
        <v>0</v>
      </c>
      <c r="N260" s="62">
        <v>0</v>
      </c>
      <c r="O260" s="62">
        <v>0</v>
      </c>
      <c r="P260" s="62">
        <v>0</v>
      </c>
      <c r="Q260" s="62">
        <v>0</v>
      </c>
      <c r="R260" s="62">
        <v>0</v>
      </c>
      <c r="S260" s="62">
        <v>0</v>
      </c>
      <c r="T260" s="62">
        <v>0</v>
      </c>
      <c r="U260" s="62">
        <v>0</v>
      </c>
      <c r="V260" s="62">
        <v>0</v>
      </c>
      <c r="W260" s="62">
        <v>0</v>
      </c>
      <c r="X260" s="62">
        <f t="shared" si="32"/>
        <v>0</v>
      </c>
      <c r="Y260" s="62"/>
      <c r="Z260" s="73">
        <f t="shared" si="33"/>
        <v>0</v>
      </c>
      <c r="AA260" s="62">
        <f t="shared" si="38"/>
        <v>0</v>
      </c>
      <c r="AB260" s="62">
        <f t="shared" si="39"/>
        <v>0</v>
      </c>
      <c r="AC260" s="75">
        <v>0</v>
      </c>
      <c r="AD260" s="26"/>
    </row>
    <row r="261" spans="1:30" s="31" customFormat="1">
      <c r="A261" s="64">
        <f t="shared" si="34"/>
        <v>257</v>
      </c>
      <c r="B261" s="26" t="s">
        <v>583</v>
      </c>
      <c r="C261" s="79">
        <v>45982</v>
      </c>
      <c r="D261" s="24">
        <v>2024</v>
      </c>
      <c r="E261" s="35" t="s">
        <v>1</v>
      </c>
      <c r="F261" s="35" t="s">
        <v>1</v>
      </c>
      <c r="G261" s="76" t="s">
        <v>584</v>
      </c>
      <c r="H261" s="75">
        <v>0</v>
      </c>
      <c r="I261" s="72">
        <v>0</v>
      </c>
      <c r="J261" s="72">
        <v>0</v>
      </c>
      <c r="K261" s="72">
        <f t="shared" ref="K261:K303" si="40">SUM(H261:J261)</f>
        <v>0</v>
      </c>
      <c r="L261" s="71"/>
      <c r="M261" s="72">
        <v>0</v>
      </c>
      <c r="N261" s="62">
        <v>0</v>
      </c>
      <c r="O261" s="62">
        <v>0</v>
      </c>
      <c r="P261" s="62">
        <v>0</v>
      </c>
      <c r="Q261" s="62">
        <v>0</v>
      </c>
      <c r="R261" s="62">
        <v>0</v>
      </c>
      <c r="S261" s="62">
        <v>0</v>
      </c>
      <c r="T261" s="62">
        <v>0</v>
      </c>
      <c r="U261" s="62">
        <v>0</v>
      </c>
      <c r="V261" s="62">
        <v>0</v>
      </c>
      <c r="W261" s="62">
        <v>0</v>
      </c>
      <c r="X261" s="62">
        <f t="shared" ref="X261:X303" si="41">K261-SUM(M261:W261)</f>
        <v>0</v>
      </c>
      <c r="Y261" s="62"/>
      <c r="Z261" s="73">
        <f t="shared" ref="Z261:Z303" si="42">-J261</f>
        <v>0</v>
      </c>
      <c r="AA261" s="62">
        <f t="shared" si="38"/>
        <v>0</v>
      </c>
      <c r="AB261" s="62">
        <f t="shared" si="39"/>
        <v>0</v>
      </c>
      <c r="AC261" s="75">
        <v>0</v>
      </c>
      <c r="AD261" s="26"/>
    </row>
    <row r="262" spans="1:30" s="31" customFormat="1">
      <c r="A262" s="64">
        <f t="shared" ref="A262:A302" si="43">A261+1</f>
        <v>258</v>
      </c>
      <c r="B262" s="26" t="s">
        <v>585</v>
      </c>
      <c r="C262" s="79">
        <v>45983</v>
      </c>
      <c r="D262" s="24">
        <v>2024</v>
      </c>
      <c r="E262" s="35" t="s">
        <v>1</v>
      </c>
      <c r="F262" s="35" t="s">
        <v>25</v>
      </c>
      <c r="G262" s="76" t="s">
        <v>586</v>
      </c>
      <c r="H262" s="75">
        <v>0</v>
      </c>
      <c r="I262" s="72">
        <v>0</v>
      </c>
      <c r="J262" s="72">
        <v>0</v>
      </c>
      <c r="K262" s="72">
        <f t="shared" si="40"/>
        <v>0</v>
      </c>
      <c r="L262" s="71"/>
      <c r="M262" s="72">
        <v>0</v>
      </c>
      <c r="N262" s="62">
        <v>0</v>
      </c>
      <c r="O262" s="62">
        <v>0</v>
      </c>
      <c r="P262" s="62">
        <v>0</v>
      </c>
      <c r="Q262" s="62">
        <v>0</v>
      </c>
      <c r="R262" s="62">
        <v>0</v>
      </c>
      <c r="S262" s="62">
        <v>0</v>
      </c>
      <c r="T262" s="62">
        <v>0</v>
      </c>
      <c r="U262" s="62">
        <v>0</v>
      </c>
      <c r="V262" s="62">
        <v>0</v>
      </c>
      <c r="W262" s="62">
        <v>0</v>
      </c>
      <c r="X262" s="62">
        <f t="shared" si="41"/>
        <v>0</v>
      </c>
      <c r="Y262" s="62"/>
      <c r="Z262" s="73">
        <f t="shared" si="42"/>
        <v>0</v>
      </c>
      <c r="AA262" s="62">
        <f t="shared" si="38"/>
        <v>0</v>
      </c>
      <c r="AB262" s="62">
        <f t="shared" si="39"/>
        <v>0</v>
      </c>
      <c r="AC262" s="75">
        <v>0</v>
      </c>
      <c r="AD262" s="26"/>
    </row>
    <row r="263" spans="1:30" s="31" customFormat="1">
      <c r="A263" s="64">
        <f t="shared" si="43"/>
        <v>259</v>
      </c>
      <c r="B263" s="26" t="s">
        <v>587</v>
      </c>
      <c r="C263" s="79">
        <v>45983</v>
      </c>
      <c r="D263" s="24">
        <v>2024</v>
      </c>
      <c r="E263" s="35" t="s">
        <v>1</v>
      </c>
      <c r="F263" s="35" t="s">
        <v>1</v>
      </c>
      <c r="G263" s="76" t="s">
        <v>588</v>
      </c>
      <c r="H263" s="75">
        <v>0</v>
      </c>
      <c r="I263" s="72">
        <v>0</v>
      </c>
      <c r="J263" s="72">
        <v>0</v>
      </c>
      <c r="K263" s="72">
        <f t="shared" si="40"/>
        <v>0</v>
      </c>
      <c r="L263" s="71"/>
      <c r="M263" s="72">
        <v>0</v>
      </c>
      <c r="N263" s="62">
        <v>0</v>
      </c>
      <c r="O263" s="62">
        <v>0</v>
      </c>
      <c r="P263" s="62">
        <v>0</v>
      </c>
      <c r="Q263" s="62">
        <v>0</v>
      </c>
      <c r="R263" s="62">
        <v>0</v>
      </c>
      <c r="S263" s="62">
        <v>0</v>
      </c>
      <c r="T263" s="62">
        <v>0</v>
      </c>
      <c r="U263" s="62">
        <v>0</v>
      </c>
      <c r="V263" s="62">
        <v>0</v>
      </c>
      <c r="W263" s="62">
        <v>0</v>
      </c>
      <c r="X263" s="62">
        <f t="shared" si="41"/>
        <v>0</v>
      </c>
      <c r="Y263" s="62"/>
      <c r="Z263" s="73">
        <f t="shared" si="42"/>
        <v>0</v>
      </c>
      <c r="AA263" s="62">
        <f t="shared" si="38"/>
        <v>0</v>
      </c>
      <c r="AB263" s="62">
        <f t="shared" si="39"/>
        <v>0</v>
      </c>
      <c r="AC263" s="75">
        <v>0</v>
      </c>
      <c r="AD263" s="26"/>
    </row>
    <row r="264" spans="1:30" s="31" customFormat="1">
      <c r="A264" s="19">
        <f t="shared" si="43"/>
        <v>260</v>
      </c>
      <c r="B264" s="7" t="s">
        <v>1</v>
      </c>
      <c r="C264" s="80"/>
      <c r="D264" s="24" t="s">
        <v>1</v>
      </c>
      <c r="E264" s="22" t="s">
        <v>1</v>
      </c>
      <c r="F264" s="22" t="s">
        <v>1</v>
      </c>
      <c r="G264" s="22" t="s">
        <v>1</v>
      </c>
      <c r="H264" s="58">
        <v>0</v>
      </c>
      <c r="I264" s="58">
        <v>0</v>
      </c>
      <c r="J264" s="58">
        <v>0</v>
      </c>
      <c r="K264" s="41">
        <f t="shared" si="40"/>
        <v>0</v>
      </c>
      <c r="L264" s="68"/>
      <c r="M264" s="41">
        <v>0</v>
      </c>
      <c r="N264" s="42">
        <v>0</v>
      </c>
      <c r="O264" s="39">
        <v>0</v>
      </c>
      <c r="P264" s="39">
        <v>0</v>
      </c>
      <c r="Q264" s="42">
        <v>0</v>
      </c>
      <c r="R264" s="39">
        <v>0</v>
      </c>
      <c r="S264" s="42">
        <v>0</v>
      </c>
      <c r="T264" s="42">
        <v>0</v>
      </c>
      <c r="U264" s="39">
        <v>0</v>
      </c>
      <c r="V264" s="42">
        <v>0</v>
      </c>
      <c r="W264" s="42">
        <v>0</v>
      </c>
      <c r="X264" s="42">
        <f t="shared" si="41"/>
        <v>0</v>
      </c>
      <c r="Y264" s="42"/>
      <c r="Z264" s="56">
        <f t="shared" si="42"/>
        <v>0</v>
      </c>
      <c r="AA264" s="57">
        <f t="shared" si="38"/>
        <v>0</v>
      </c>
      <c r="AB264" s="42">
        <f t="shared" si="39"/>
        <v>0</v>
      </c>
      <c r="AC264" s="58">
        <v>0</v>
      </c>
      <c r="AD264" s="7"/>
    </row>
    <row r="265" spans="1:30" s="21" customFormat="1">
      <c r="A265" s="19">
        <f t="shared" si="43"/>
        <v>261</v>
      </c>
      <c r="B265" s="7" t="s">
        <v>1</v>
      </c>
      <c r="C265" s="80"/>
      <c r="D265" s="83"/>
      <c r="E265" s="22" t="s">
        <v>1</v>
      </c>
      <c r="F265" s="22" t="s">
        <v>1</v>
      </c>
      <c r="G265" s="22" t="s">
        <v>1</v>
      </c>
      <c r="H265" s="58">
        <v>0</v>
      </c>
      <c r="I265" s="58">
        <v>0</v>
      </c>
      <c r="J265" s="58">
        <v>0</v>
      </c>
      <c r="K265" s="41">
        <f t="shared" si="40"/>
        <v>0</v>
      </c>
      <c r="L265" s="68"/>
      <c r="M265" s="41">
        <v>0</v>
      </c>
      <c r="N265" s="42">
        <v>0</v>
      </c>
      <c r="O265" s="39">
        <v>0</v>
      </c>
      <c r="P265" s="39">
        <v>0</v>
      </c>
      <c r="Q265" s="42">
        <v>0</v>
      </c>
      <c r="R265" s="39">
        <v>0</v>
      </c>
      <c r="S265" s="42">
        <v>0</v>
      </c>
      <c r="T265" s="42">
        <v>0</v>
      </c>
      <c r="U265" s="39">
        <v>0</v>
      </c>
      <c r="V265" s="42">
        <v>0</v>
      </c>
      <c r="W265" s="42">
        <v>0</v>
      </c>
      <c r="X265" s="42">
        <f t="shared" si="41"/>
        <v>0</v>
      </c>
      <c r="Y265" s="42"/>
      <c r="Z265" s="56">
        <f t="shared" si="42"/>
        <v>0</v>
      </c>
      <c r="AA265" s="42">
        <f t="shared" si="38"/>
        <v>0</v>
      </c>
      <c r="AB265" s="42">
        <f t="shared" si="39"/>
        <v>0</v>
      </c>
      <c r="AC265" s="58">
        <v>0</v>
      </c>
      <c r="AD265" s="7"/>
    </row>
    <row r="266" spans="1:30" s="31" customFormat="1">
      <c r="A266" s="19">
        <f t="shared" si="43"/>
        <v>262</v>
      </c>
      <c r="B266" s="3"/>
      <c r="C266" s="80"/>
      <c r="D266" s="25"/>
      <c r="E266" s="22" t="s">
        <v>1</v>
      </c>
      <c r="F266" s="22" t="s">
        <v>1</v>
      </c>
      <c r="G266" s="22" t="s">
        <v>1</v>
      </c>
      <c r="H266" s="41">
        <v>0</v>
      </c>
      <c r="I266" s="41">
        <v>0</v>
      </c>
      <c r="J266" s="41">
        <v>0</v>
      </c>
      <c r="K266" s="41">
        <f t="shared" si="40"/>
        <v>0</v>
      </c>
      <c r="L266" s="68"/>
      <c r="M266" s="41">
        <v>0</v>
      </c>
      <c r="N266" s="42">
        <v>0</v>
      </c>
      <c r="O266" s="39">
        <v>0</v>
      </c>
      <c r="P266" s="39">
        <v>0</v>
      </c>
      <c r="Q266" s="42">
        <v>0</v>
      </c>
      <c r="R266" s="39">
        <v>0</v>
      </c>
      <c r="S266" s="42">
        <v>0</v>
      </c>
      <c r="T266" s="42">
        <v>0</v>
      </c>
      <c r="U266" s="39">
        <v>0</v>
      </c>
      <c r="V266" s="42">
        <v>0</v>
      </c>
      <c r="W266" s="42">
        <v>0</v>
      </c>
      <c r="X266" s="42">
        <f t="shared" si="41"/>
        <v>0</v>
      </c>
      <c r="Y266" s="42"/>
      <c r="Z266" s="56">
        <f t="shared" si="42"/>
        <v>0</v>
      </c>
      <c r="AA266" s="42">
        <f t="shared" si="38"/>
        <v>0</v>
      </c>
      <c r="AB266" s="42">
        <f t="shared" si="39"/>
        <v>0</v>
      </c>
      <c r="AC266" s="58">
        <v>0</v>
      </c>
      <c r="AD266" s="7"/>
    </row>
    <row r="267" spans="1:30" s="31" customFormat="1">
      <c r="A267" s="19">
        <f t="shared" si="43"/>
        <v>263</v>
      </c>
      <c r="B267" s="3"/>
      <c r="C267" s="80"/>
      <c r="D267" s="25"/>
      <c r="E267" s="22" t="s">
        <v>1</v>
      </c>
      <c r="F267" s="22" t="s">
        <v>1</v>
      </c>
      <c r="G267" s="22" t="s">
        <v>1</v>
      </c>
      <c r="H267" s="57">
        <v>0</v>
      </c>
      <c r="I267" s="41">
        <v>0</v>
      </c>
      <c r="J267" s="41">
        <v>0</v>
      </c>
      <c r="K267" s="41">
        <f t="shared" si="40"/>
        <v>0</v>
      </c>
      <c r="L267" s="68"/>
      <c r="M267" s="41">
        <v>0</v>
      </c>
      <c r="N267" s="42">
        <v>0</v>
      </c>
      <c r="O267" s="39">
        <v>0</v>
      </c>
      <c r="P267" s="39">
        <v>0</v>
      </c>
      <c r="Q267" s="42">
        <v>0</v>
      </c>
      <c r="R267" s="39">
        <v>0</v>
      </c>
      <c r="S267" s="42">
        <v>0</v>
      </c>
      <c r="T267" s="42">
        <v>0</v>
      </c>
      <c r="U267" s="39">
        <v>0</v>
      </c>
      <c r="V267" s="42">
        <v>0</v>
      </c>
      <c r="W267" s="42">
        <v>0</v>
      </c>
      <c r="X267" s="42">
        <f t="shared" si="41"/>
        <v>0</v>
      </c>
      <c r="Y267" s="42"/>
      <c r="Z267" s="56">
        <f t="shared" si="42"/>
        <v>0</v>
      </c>
      <c r="AA267" s="42">
        <f t="shared" si="38"/>
        <v>0</v>
      </c>
      <c r="AB267" s="42">
        <f t="shared" si="39"/>
        <v>0</v>
      </c>
      <c r="AC267" s="58">
        <v>0</v>
      </c>
      <c r="AD267" s="7"/>
    </row>
    <row r="268" spans="1:30" s="31" customFormat="1">
      <c r="A268" s="19">
        <f t="shared" si="43"/>
        <v>264</v>
      </c>
      <c r="B268" s="7" t="s">
        <v>1</v>
      </c>
      <c r="C268" s="80"/>
      <c r="D268" s="83"/>
      <c r="E268" s="22" t="s">
        <v>1</v>
      </c>
      <c r="F268" s="22" t="s">
        <v>1</v>
      </c>
      <c r="G268" s="20" t="s">
        <v>1</v>
      </c>
      <c r="H268" s="58">
        <v>0</v>
      </c>
      <c r="I268" s="58">
        <v>0</v>
      </c>
      <c r="J268" s="58">
        <v>0</v>
      </c>
      <c r="K268" s="41">
        <f t="shared" si="40"/>
        <v>0</v>
      </c>
      <c r="L268" s="68"/>
      <c r="M268" s="41">
        <v>0</v>
      </c>
      <c r="N268" s="42">
        <v>0</v>
      </c>
      <c r="O268" s="39">
        <v>0</v>
      </c>
      <c r="P268" s="39">
        <v>0</v>
      </c>
      <c r="Q268" s="42">
        <v>0</v>
      </c>
      <c r="R268" s="39">
        <v>0</v>
      </c>
      <c r="S268" s="42">
        <v>0</v>
      </c>
      <c r="T268" s="42">
        <v>0</v>
      </c>
      <c r="U268" s="39">
        <v>0</v>
      </c>
      <c r="V268" s="42">
        <v>0</v>
      </c>
      <c r="W268" s="42">
        <v>0</v>
      </c>
      <c r="X268" s="42">
        <f t="shared" si="41"/>
        <v>0</v>
      </c>
      <c r="Y268" s="42"/>
      <c r="Z268" s="56">
        <f t="shared" si="42"/>
        <v>0</v>
      </c>
      <c r="AA268" s="42">
        <f t="shared" si="38"/>
        <v>0</v>
      </c>
      <c r="AB268" s="42">
        <f t="shared" si="39"/>
        <v>0</v>
      </c>
      <c r="AC268" s="58">
        <v>0</v>
      </c>
      <c r="AD268" s="7"/>
    </row>
    <row r="269" spans="1:30" s="31" customFormat="1">
      <c r="A269" s="19">
        <f t="shared" si="43"/>
        <v>265</v>
      </c>
      <c r="B269" s="7" t="s">
        <v>1</v>
      </c>
      <c r="C269" s="80"/>
      <c r="D269" s="24" t="s">
        <v>1</v>
      </c>
      <c r="E269" s="22" t="s">
        <v>1</v>
      </c>
      <c r="F269" s="22" t="s">
        <v>1</v>
      </c>
      <c r="G269" s="22" t="s">
        <v>1</v>
      </c>
      <c r="H269" s="58">
        <v>0</v>
      </c>
      <c r="I269" s="58">
        <v>0</v>
      </c>
      <c r="J269" s="58">
        <v>0</v>
      </c>
      <c r="K269" s="41">
        <f t="shared" si="40"/>
        <v>0</v>
      </c>
      <c r="L269" s="68"/>
      <c r="M269" s="41">
        <v>0</v>
      </c>
      <c r="N269" s="42">
        <v>0</v>
      </c>
      <c r="O269" s="39">
        <v>0</v>
      </c>
      <c r="P269" s="39">
        <v>0</v>
      </c>
      <c r="Q269" s="42">
        <v>0</v>
      </c>
      <c r="R269" s="39">
        <v>0</v>
      </c>
      <c r="S269" s="42">
        <v>0</v>
      </c>
      <c r="T269" s="42">
        <v>0</v>
      </c>
      <c r="U269" s="39">
        <v>0</v>
      </c>
      <c r="V269" s="42">
        <v>0</v>
      </c>
      <c r="W269" s="42">
        <v>0</v>
      </c>
      <c r="X269" s="42">
        <f t="shared" si="41"/>
        <v>0</v>
      </c>
      <c r="Y269" s="42"/>
      <c r="Z269" s="56">
        <f t="shared" si="42"/>
        <v>0</v>
      </c>
      <c r="AA269" s="42">
        <f t="shared" si="38"/>
        <v>0</v>
      </c>
      <c r="AB269" s="42">
        <f t="shared" si="39"/>
        <v>0</v>
      </c>
      <c r="AC269" s="58">
        <v>0</v>
      </c>
      <c r="AD269" s="7"/>
    </row>
    <row r="270" spans="1:30" s="31" customFormat="1">
      <c r="A270" s="19">
        <f t="shared" si="43"/>
        <v>266</v>
      </c>
      <c r="B270" s="7" t="s">
        <v>1</v>
      </c>
      <c r="C270" s="80"/>
      <c r="D270" s="24" t="s">
        <v>1</v>
      </c>
      <c r="E270" s="22" t="s">
        <v>1</v>
      </c>
      <c r="F270" s="22" t="s">
        <v>1</v>
      </c>
      <c r="G270" s="22" t="s">
        <v>1</v>
      </c>
      <c r="H270" s="58">
        <v>0</v>
      </c>
      <c r="I270" s="58">
        <v>0</v>
      </c>
      <c r="J270" s="58">
        <v>0</v>
      </c>
      <c r="K270" s="41">
        <f t="shared" si="40"/>
        <v>0</v>
      </c>
      <c r="L270" s="68"/>
      <c r="M270" s="41">
        <v>0</v>
      </c>
      <c r="N270" s="42">
        <v>0</v>
      </c>
      <c r="O270" s="39">
        <v>0</v>
      </c>
      <c r="P270" s="39">
        <v>0</v>
      </c>
      <c r="Q270" s="42">
        <v>0</v>
      </c>
      <c r="R270" s="39">
        <v>0</v>
      </c>
      <c r="S270" s="42">
        <v>0</v>
      </c>
      <c r="T270" s="42">
        <v>0</v>
      </c>
      <c r="U270" s="39">
        <v>0</v>
      </c>
      <c r="V270" s="42">
        <v>0</v>
      </c>
      <c r="W270" s="42">
        <v>0</v>
      </c>
      <c r="X270" s="42">
        <f t="shared" si="41"/>
        <v>0</v>
      </c>
      <c r="Y270" s="42"/>
      <c r="Z270" s="56">
        <f t="shared" si="42"/>
        <v>0</v>
      </c>
      <c r="AA270" s="42">
        <f t="shared" si="38"/>
        <v>0</v>
      </c>
      <c r="AB270" s="42">
        <f t="shared" si="39"/>
        <v>0</v>
      </c>
      <c r="AC270" s="58">
        <v>0</v>
      </c>
      <c r="AD270" s="7"/>
    </row>
    <row r="271" spans="1:30" s="31" customFormat="1">
      <c r="A271" s="19">
        <f t="shared" si="43"/>
        <v>267</v>
      </c>
      <c r="B271" s="7" t="s">
        <v>1</v>
      </c>
      <c r="C271" s="80"/>
      <c r="D271" s="24" t="s">
        <v>1</v>
      </c>
      <c r="E271" s="22" t="s">
        <v>1</v>
      </c>
      <c r="F271" s="22" t="s">
        <v>1</v>
      </c>
      <c r="G271" s="22" t="s">
        <v>1</v>
      </c>
      <c r="H271" s="58">
        <v>0</v>
      </c>
      <c r="I271" s="58">
        <v>0</v>
      </c>
      <c r="J271" s="58">
        <v>0</v>
      </c>
      <c r="K271" s="41">
        <f t="shared" si="40"/>
        <v>0</v>
      </c>
      <c r="L271" s="68"/>
      <c r="M271" s="41">
        <v>0</v>
      </c>
      <c r="N271" s="42">
        <v>0</v>
      </c>
      <c r="O271" s="39">
        <v>0</v>
      </c>
      <c r="P271" s="39">
        <v>0</v>
      </c>
      <c r="Q271" s="42">
        <v>0</v>
      </c>
      <c r="R271" s="39">
        <v>0</v>
      </c>
      <c r="S271" s="42">
        <v>0</v>
      </c>
      <c r="T271" s="42">
        <v>0</v>
      </c>
      <c r="U271" s="39">
        <v>0</v>
      </c>
      <c r="V271" s="42">
        <v>0</v>
      </c>
      <c r="W271" s="42">
        <v>0</v>
      </c>
      <c r="X271" s="42">
        <f t="shared" si="41"/>
        <v>0</v>
      </c>
      <c r="Y271" s="42"/>
      <c r="Z271" s="56">
        <f t="shared" si="42"/>
        <v>0</v>
      </c>
      <c r="AA271" s="42">
        <f t="shared" si="38"/>
        <v>0</v>
      </c>
      <c r="AB271" s="42">
        <f t="shared" si="39"/>
        <v>0</v>
      </c>
      <c r="AC271" s="58">
        <v>0</v>
      </c>
      <c r="AD271" s="7"/>
    </row>
    <row r="272" spans="1:30" s="21" customFormat="1">
      <c r="A272" s="19">
        <f t="shared" si="43"/>
        <v>268</v>
      </c>
      <c r="B272" s="7" t="s">
        <v>1</v>
      </c>
      <c r="C272" s="80"/>
      <c r="D272" s="24" t="s">
        <v>1</v>
      </c>
      <c r="E272" s="22" t="s">
        <v>1</v>
      </c>
      <c r="F272" s="22" t="s">
        <v>1</v>
      </c>
      <c r="G272" s="22" t="s">
        <v>1</v>
      </c>
      <c r="H272" s="58">
        <v>0</v>
      </c>
      <c r="I272" s="58">
        <v>0</v>
      </c>
      <c r="J272" s="58">
        <v>0</v>
      </c>
      <c r="K272" s="41">
        <f t="shared" si="40"/>
        <v>0</v>
      </c>
      <c r="L272" s="68"/>
      <c r="M272" s="41">
        <v>0</v>
      </c>
      <c r="N272" s="42">
        <v>0</v>
      </c>
      <c r="O272" s="39">
        <v>0</v>
      </c>
      <c r="P272" s="39">
        <v>0</v>
      </c>
      <c r="Q272" s="42">
        <v>0</v>
      </c>
      <c r="R272" s="39">
        <v>0</v>
      </c>
      <c r="S272" s="42">
        <v>0</v>
      </c>
      <c r="T272" s="42">
        <v>0</v>
      </c>
      <c r="U272" s="39">
        <v>0</v>
      </c>
      <c r="V272" s="42">
        <v>0</v>
      </c>
      <c r="W272" s="42">
        <v>0</v>
      </c>
      <c r="X272" s="42">
        <f t="shared" si="41"/>
        <v>0</v>
      </c>
      <c r="Y272" s="42"/>
      <c r="Z272" s="56">
        <f t="shared" si="42"/>
        <v>0</v>
      </c>
      <c r="AA272" s="42">
        <f t="shared" si="38"/>
        <v>0</v>
      </c>
      <c r="AB272" s="42">
        <f t="shared" si="39"/>
        <v>0</v>
      </c>
      <c r="AC272" s="58">
        <v>0</v>
      </c>
      <c r="AD272" s="7"/>
    </row>
    <row r="273" spans="1:30" s="21" customFormat="1">
      <c r="A273" s="19">
        <f t="shared" si="43"/>
        <v>269</v>
      </c>
      <c r="B273" s="7" t="s">
        <v>1</v>
      </c>
      <c r="C273" s="80"/>
      <c r="D273" s="83"/>
      <c r="E273" s="22" t="s">
        <v>1</v>
      </c>
      <c r="F273" s="22" t="s">
        <v>1</v>
      </c>
      <c r="G273" s="22" t="s">
        <v>1</v>
      </c>
      <c r="H273" s="58">
        <v>0</v>
      </c>
      <c r="I273" s="58">
        <v>0</v>
      </c>
      <c r="J273" s="58">
        <v>0</v>
      </c>
      <c r="K273" s="41">
        <f t="shared" si="40"/>
        <v>0</v>
      </c>
      <c r="L273" s="68"/>
      <c r="M273" s="41">
        <v>0</v>
      </c>
      <c r="N273" s="42">
        <v>0</v>
      </c>
      <c r="O273" s="39">
        <v>0</v>
      </c>
      <c r="P273" s="39">
        <v>0</v>
      </c>
      <c r="Q273" s="42">
        <v>0</v>
      </c>
      <c r="R273" s="39">
        <v>0</v>
      </c>
      <c r="S273" s="42">
        <v>0</v>
      </c>
      <c r="T273" s="42">
        <v>0</v>
      </c>
      <c r="U273" s="39">
        <v>0</v>
      </c>
      <c r="V273" s="42">
        <v>0</v>
      </c>
      <c r="W273" s="42">
        <v>0</v>
      </c>
      <c r="X273" s="42">
        <f t="shared" si="41"/>
        <v>0</v>
      </c>
      <c r="Y273" s="42"/>
      <c r="Z273" s="56">
        <f t="shared" si="42"/>
        <v>0</v>
      </c>
      <c r="AA273" s="42">
        <f t="shared" si="38"/>
        <v>0</v>
      </c>
      <c r="AB273" s="42">
        <f t="shared" si="39"/>
        <v>0</v>
      </c>
      <c r="AC273" s="58">
        <v>0</v>
      </c>
      <c r="AD273" s="7"/>
    </row>
    <row r="274" spans="1:30" s="31" customFormat="1">
      <c r="A274" s="28">
        <f t="shared" si="43"/>
        <v>270</v>
      </c>
      <c r="B274" s="7" t="s">
        <v>1</v>
      </c>
      <c r="C274" s="80"/>
      <c r="D274" s="82">
        <v>2026</v>
      </c>
      <c r="E274" s="22" t="s">
        <v>1</v>
      </c>
      <c r="F274" s="22" t="s">
        <v>467</v>
      </c>
      <c r="G274" s="22" t="s">
        <v>1</v>
      </c>
      <c r="H274" s="58">
        <v>0</v>
      </c>
      <c r="I274" s="58">
        <v>0</v>
      </c>
      <c r="J274" s="58">
        <v>0</v>
      </c>
      <c r="K274" s="41">
        <f t="shared" si="40"/>
        <v>0</v>
      </c>
      <c r="L274" s="68"/>
      <c r="M274" s="41">
        <v>0</v>
      </c>
      <c r="N274" s="42">
        <v>0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>
        <f t="shared" si="41"/>
        <v>0</v>
      </c>
      <c r="Y274" s="42"/>
      <c r="Z274" s="56">
        <f t="shared" si="42"/>
        <v>0</v>
      </c>
      <c r="AA274" s="42">
        <f t="shared" si="38"/>
        <v>0</v>
      </c>
      <c r="AB274" s="42">
        <f t="shared" si="39"/>
        <v>0</v>
      </c>
      <c r="AC274" s="58">
        <v>0</v>
      </c>
      <c r="AD274" s="7"/>
    </row>
    <row r="275" spans="1:30" s="31" customFormat="1">
      <c r="A275" s="28">
        <f t="shared" si="43"/>
        <v>271</v>
      </c>
      <c r="B275" s="7" t="s">
        <v>1</v>
      </c>
      <c r="C275" s="80"/>
      <c r="D275" s="82" t="s">
        <v>1</v>
      </c>
      <c r="E275" s="22" t="s">
        <v>1</v>
      </c>
      <c r="F275" s="22" t="s">
        <v>1</v>
      </c>
      <c r="G275" s="22" t="s">
        <v>1</v>
      </c>
      <c r="H275" s="58">
        <v>0</v>
      </c>
      <c r="I275" s="58">
        <v>0</v>
      </c>
      <c r="J275" s="58">
        <v>0</v>
      </c>
      <c r="K275" s="41">
        <f t="shared" si="40"/>
        <v>0</v>
      </c>
      <c r="L275" s="68"/>
      <c r="M275" s="41">
        <v>0</v>
      </c>
      <c r="N275" s="42">
        <v>0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>
        <f t="shared" si="41"/>
        <v>0</v>
      </c>
      <c r="Y275" s="42"/>
      <c r="Z275" s="56">
        <f t="shared" si="42"/>
        <v>0</v>
      </c>
      <c r="AA275" s="42">
        <f t="shared" si="38"/>
        <v>0</v>
      </c>
      <c r="AB275" s="42">
        <f t="shared" si="39"/>
        <v>0</v>
      </c>
      <c r="AC275" s="58">
        <v>0</v>
      </c>
      <c r="AD275" s="7"/>
    </row>
    <row r="276" spans="1:30" s="21" customFormat="1">
      <c r="A276" s="28">
        <f t="shared" si="43"/>
        <v>272</v>
      </c>
      <c r="B276" s="7" t="s">
        <v>1</v>
      </c>
      <c r="C276" s="80"/>
      <c r="D276" s="82">
        <v>2026</v>
      </c>
      <c r="E276" s="22" t="s">
        <v>1</v>
      </c>
      <c r="F276" s="22" t="s">
        <v>516</v>
      </c>
      <c r="G276" s="22" t="s">
        <v>1</v>
      </c>
      <c r="H276" s="58">
        <v>0</v>
      </c>
      <c r="I276" s="58">
        <v>0</v>
      </c>
      <c r="J276" s="58">
        <v>0</v>
      </c>
      <c r="K276" s="41">
        <f t="shared" si="40"/>
        <v>0</v>
      </c>
      <c r="L276" s="69"/>
      <c r="M276" s="41">
        <v>0</v>
      </c>
      <c r="N276" s="42">
        <v>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>
        <f t="shared" si="41"/>
        <v>0</v>
      </c>
      <c r="Y276" s="42"/>
      <c r="Z276" s="56">
        <f t="shared" si="42"/>
        <v>0</v>
      </c>
      <c r="AA276" s="42">
        <f t="shared" si="38"/>
        <v>0</v>
      </c>
      <c r="AB276" s="42">
        <f t="shared" si="39"/>
        <v>0</v>
      </c>
      <c r="AC276" s="58">
        <v>0</v>
      </c>
      <c r="AD276" s="7"/>
    </row>
    <row r="277" spans="1:30" s="31" customFormat="1">
      <c r="A277" s="28">
        <f t="shared" si="43"/>
        <v>273</v>
      </c>
      <c r="B277" s="7" t="s">
        <v>1</v>
      </c>
      <c r="C277" s="80"/>
      <c r="D277" s="82">
        <v>2026</v>
      </c>
      <c r="E277" s="22" t="s">
        <v>1</v>
      </c>
      <c r="F277" s="22" t="s">
        <v>240</v>
      </c>
      <c r="G277" s="22" t="s">
        <v>1</v>
      </c>
      <c r="H277" s="58">
        <v>0</v>
      </c>
      <c r="I277" s="58">
        <v>0</v>
      </c>
      <c r="J277" s="58">
        <v>0</v>
      </c>
      <c r="K277" s="41">
        <f t="shared" si="40"/>
        <v>0</v>
      </c>
      <c r="L277" s="69"/>
      <c r="M277" s="41">
        <v>0</v>
      </c>
      <c r="N277" s="42"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>
        <f t="shared" si="41"/>
        <v>0</v>
      </c>
      <c r="Y277" s="42"/>
      <c r="Z277" s="56">
        <f t="shared" si="42"/>
        <v>0</v>
      </c>
      <c r="AA277" s="42">
        <f t="shared" si="38"/>
        <v>0</v>
      </c>
      <c r="AB277" s="42">
        <f t="shared" si="39"/>
        <v>0</v>
      </c>
      <c r="AC277" s="58">
        <v>0</v>
      </c>
      <c r="AD277" s="7"/>
    </row>
    <row r="278" spans="1:30" s="31" customFormat="1">
      <c r="A278" s="28">
        <f t="shared" si="43"/>
        <v>274</v>
      </c>
      <c r="B278" s="7" t="s">
        <v>1</v>
      </c>
      <c r="C278" s="80"/>
      <c r="D278" s="82">
        <v>2026</v>
      </c>
      <c r="E278" s="22" t="s">
        <v>1</v>
      </c>
      <c r="F278" s="22" t="s">
        <v>248</v>
      </c>
      <c r="G278" s="22" t="s">
        <v>1</v>
      </c>
      <c r="H278" s="58">
        <v>0</v>
      </c>
      <c r="I278" s="58">
        <v>0</v>
      </c>
      <c r="J278" s="58">
        <v>0</v>
      </c>
      <c r="K278" s="41">
        <f t="shared" si="40"/>
        <v>0</v>
      </c>
      <c r="L278" s="69"/>
      <c r="M278" s="41">
        <v>0</v>
      </c>
      <c r="N278" s="42"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>
        <f t="shared" si="41"/>
        <v>0</v>
      </c>
      <c r="Y278" s="42"/>
      <c r="Z278" s="56">
        <f t="shared" si="42"/>
        <v>0</v>
      </c>
      <c r="AA278" s="42">
        <f t="shared" si="38"/>
        <v>0</v>
      </c>
      <c r="AB278" s="42">
        <f t="shared" si="39"/>
        <v>0</v>
      </c>
      <c r="AC278" s="58">
        <v>0</v>
      </c>
      <c r="AD278" s="7"/>
    </row>
    <row r="279" spans="1:30" s="31" customFormat="1">
      <c r="A279" s="28">
        <f t="shared" si="43"/>
        <v>275</v>
      </c>
      <c r="B279" s="7" t="s">
        <v>1</v>
      </c>
      <c r="C279" s="80"/>
      <c r="D279" s="82">
        <v>2026</v>
      </c>
      <c r="E279" s="22" t="s">
        <v>1</v>
      </c>
      <c r="F279" s="22" t="s">
        <v>517</v>
      </c>
      <c r="G279" s="22" t="s">
        <v>1</v>
      </c>
      <c r="H279" s="58">
        <v>0</v>
      </c>
      <c r="I279" s="58">
        <v>0</v>
      </c>
      <c r="J279" s="58">
        <v>0</v>
      </c>
      <c r="K279" s="41">
        <f t="shared" si="40"/>
        <v>0</v>
      </c>
      <c r="L279" s="69"/>
      <c r="M279" s="41">
        <v>0</v>
      </c>
      <c r="N279" s="42">
        <v>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>
        <f t="shared" si="41"/>
        <v>0</v>
      </c>
      <c r="Y279" s="42"/>
      <c r="Z279" s="56">
        <f t="shared" si="42"/>
        <v>0</v>
      </c>
      <c r="AA279" s="42">
        <f t="shared" si="38"/>
        <v>0</v>
      </c>
      <c r="AB279" s="42">
        <f t="shared" si="39"/>
        <v>0</v>
      </c>
      <c r="AC279" s="58">
        <v>0</v>
      </c>
      <c r="AD279" s="7"/>
    </row>
    <row r="280" spans="1:30" s="21" customFormat="1">
      <c r="A280" s="28">
        <f t="shared" si="43"/>
        <v>276</v>
      </c>
      <c r="B280" s="7" t="s">
        <v>1</v>
      </c>
      <c r="C280" s="80"/>
      <c r="D280" s="82">
        <v>2026</v>
      </c>
      <c r="E280" s="22" t="s">
        <v>1</v>
      </c>
      <c r="F280" s="22" t="s">
        <v>513</v>
      </c>
      <c r="G280" s="22" t="s">
        <v>1</v>
      </c>
      <c r="H280" s="58">
        <v>0</v>
      </c>
      <c r="I280" s="58">
        <v>0</v>
      </c>
      <c r="J280" s="58">
        <v>0</v>
      </c>
      <c r="K280" s="41">
        <f t="shared" si="40"/>
        <v>0</v>
      </c>
      <c r="L280" s="69"/>
      <c r="M280" s="41">
        <v>0</v>
      </c>
      <c r="N280" s="42"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>
        <f t="shared" si="41"/>
        <v>0</v>
      </c>
      <c r="Y280" s="42"/>
      <c r="Z280" s="56">
        <f t="shared" si="42"/>
        <v>0</v>
      </c>
      <c r="AA280" s="42">
        <f t="shared" si="38"/>
        <v>0</v>
      </c>
      <c r="AB280" s="42">
        <f t="shared" si="39"/>
        <v>0</v>
      </c>
      <c r="AC280" s="58">
        <v>0</v>
      </c>
      <c r="AD280" s="7"/>
    </row>
    <row r="281" spans="1:30" s="76" customFormat="1">
      <c r="A281" s="28">
        <f t="shared" si="43"/>
        <v>277</v>
      </c>
      <c r="B281" s="7" t="s">
        <v>1</v>
      </c>
      <c r="C281" s="80"/>
      <c r="D281" s="83"/>
      <c r="E281" s="22" t="s">
        <v>1</v>
      </c>
      <c r="F281" s="22" t="s">
        <v>1</v>
      </c>
      <c r="G281" s="22" t="s">
        <v>1</v>
      </c>
      <c r="H281" s="58">
        <v>0</v>
      </c>
      <c r="I281" s="58">
        <v>0</v>
      </c>
      <c r="J281" s="58">
        <v>0</v>
      </c>
      <c r="K281" s="41">
        <f t="shared" si="40"/>
        <v>0</v>
      </c>
      <c r="L281" s="69"/>
      <c r="M281" s="41">
        <v>0</v>
      </c>
      <c r="N281" s="42"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f t="shared" si="41"/>
        <v>0</v>
      </c>
      <c r="Y281" s="42"/>
      <c r="Z281" s="63">
        <f t="shared" si="42"/>
        <v>0</v>
      </c>
      <c r="AA281" s="42">
        <f t="shared" si="38"/>
        <v>0</v>
      </c>
      <c r="AB281" s="42">
        <f t="shared" si="39"/>
        <v>0</v>
      </c>
      <c r="AC281" s="58">
        <v>0</v>
      </c>
      <c r="AD281" s="7"/>
    </row>
    <row r="282" spans="1:30" s="21" customFormat="1">
      <c r="A282" s="28">
        <f t="shared" si="43"/>
        <v>278</v>
      </c>
      <c r="B282" s="7" t="s">
        <v>1</v>
      </c>
      <c r="C282" s="80"/>
      <c r="D282" s="82">
        <v>2026</v>
      </c>
      <c r="E282" s="22" t="s">
        <v>1</v>
      </c>
      <c r="F282" s="22" t="s">
        <v>518</v>
      </c>
      <c r="G282" s="22" t="s">
        <v>1</v>
      </c>
      <c r="H282" s="58">
        <v>0</v>
      </c>
      <c r="I282" s="58">
        <v>0</v>
      </c>
      <c r="J282" s="58">
        <v>0</v>
      </c>
      <c r="K282" s="41">
        <f t="shared" si="40"/>
        <v>0</v>
      </c>
      <c r="L282" s="69"/>
      <c r="M282" s="41">
        <v>0</v>
      </c>
      <c r="N282" s="42"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>
        <f t="shared" si="41"/>
        <v>0</v>
      </c>
      <c r="Y282" s="42"/>
      <c r="Z282" s="63">
        <f t="shared" si="42"/>
        <v>0</v>
      </c>
      <c r="AA282" s="42">
        <f t="shared" si="38"/>
        <v>0</v>
      </c>
      <c r="AB282" s="42">
        <f t="shared" si="39"/>
        <v>0</v>
      </c>
      <c r="AC282" s="58">
        <v>0</v>
      </c>
      <c r="AD282" s="7"/>
    </row>
    <row r="283" spans="1:30" s="21" customFormat="1">
      <c r="A283" s="28">
        <f t="shared" si="43"/>
        <v>279</v>
      </c>
      <c r="B283" s="7" t="s">
        <v>1</v>
      </c>
      <c r="C283" s="80"/>
      <c r="D283" s="82">
        <v>2026</v>
      </c>
      <c r="E283" s="22" t="s">
        <v>1</v>
      </c>
      <c r="F283" s="22" t="s">
        <v>243</v>
      </c>
      <c r="G283" s="22" t="s">
        <v>1</v>
      </c>
      <c r="H283" s="58">
        <v>0</v>
      </c>
      <c r="I283" s="58">
        <v>0</v>
      </c>
      <c r="J283" s="58">
        <v>0</v>
      </c>
      <c r="K283" s="41">
        <f t="shared" si="40"/>
        <v>0</v>
      </c>
      <c r="L283" s="69"/>
      <c r="M283" s="41">
        <v>0</v>
      </c>
      <c r="N283" s="42"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>
        <f t="shared" si="41"/>
        <v>0</v>
      </c>
      <c r="Y283" s="42"/>
      <c r="Z283" s="63">
        <f t="shared" si="42"/>
        <v>0</v>
      </c>
      <c r="AA283" s="42">
        <f t="shared" si="38"/>
        <v>0</v>
      </c>
      <c r="AB283" s="42">
        <f t="shared" si="39"/>
        <v>0</v>
      </c>
      <c r="AC283" s="58">
        <v>0</v>
      </c>
      <c r="AD283" s="7"/>
    </row>
    <row r="284" spans="1:30" s="21" customFormat="1">
      <c r="A284" s="28">
        <f t="shared" si="43"/>
        <v>280</v>
      </c>
      <c r="B284" s="7" t="s">
        <v>1</v>
      </c>
      <c r="C284" s="80"/>
      <c r="D284" s="82">
        <v>2026</v>
      </c>
      <c r="E284" s="22" t="s">
        <v>1</v>
      </c>
      <c r="F284" s="22" t="s">
        <v>369</v>
      </c>
      <c r="G284" s="22" t="s">
        <v>1</v>
      </c>
      <c r="H284" s="58">
        <v>0</v>
      </c>
      <c r="I284" s="58">
        <v>0</v>
      </c>
      <c r="J284" s="58">
        <v>0</v>
      </c>
      <c r="K284" s="41">
        <f t="shared" si="40"/>
        <v>0</v>
      </c>
      <c r="L284" s="69"/>
      <c r="M284" s="41">
        <v>0</v>
      </c>
      <c r="N284" s="42"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>
        <f t="shared" si="41"/>
        <v>0</v>
      </c>
      <c r="Y284" s="42"/>
      <c r="Z284" s="63">
        <f t="shared" si="42"/>
        <v>0</v>
      </c>
      <c r="AA284" s="42">
        <f t="shared" si="38"/>
        <v>0</v>
      </c>
      <c r="AB284" s="42">
        <f t="shared" si="39"/>
        <v>0</v>
      </c>
      <c r="AC284" s="58">
        <v>0</v>
      </c>
      <c r="AD284" s="7"/>
    </row>
    <row r="285" spans="1:30" s="21" customFormat="1">
      <c r="A285" s="28">
        <f t="shared" si="43"/>
        <v>281</v>
      </c>
      <c r="B285" s="7" t="s">
        <v>1</v>
      </c>
      <c r="C285" s="80"/>
      <c r="D285" s="82">
        <v>2026</v>
      </c>
      <c r="E285" s="22" t="s">
        <v>1</v>
      </c>
      <c r="F285" s="22" t="s">
        <v>370</v>
      </c>
      <c r="G285" s="22" t="s">
        <v>1</v>
      </c>
      <c r="H285" s="58">
        <v>0</v>
      </c>
      <c r="I285" s="58">
        <v>0</v>
      </c>
      <c r="J285" s="58">
        <v>0</v>
      </c>
      <c r="K285" s="41">
        <f t="shared" si="40"/>
        <v>0</v>
      </c>
      <c r="L285" s="69"/>
      <c r="M285" s="41">
        <v>0</v>
      </c>
      <c r="N285" s="42"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>
        <f t="shared" si="41"/>
        <v>0</v>
      </c>
      <c r="Y285" s="42"/>
      <c r="Z285" s="63">
        <f t="shared" si="42"/>
        <v>0</v>
      </c>
      <c r="AA285" s="42">
        <f t="shared" si="38"/>
        <v>0</v>
      </c>
      <c r="AB285" s="42">
        <f t="shared" si="39"/>
        <v>0</v>
      </c>
      <c r="AC285" s="58">
        <v>0</v>
      </c>
      <c r="AD285" s="7"/>
    </row>
    <row r="286" spans="1:30" s="21" customFormat="1">
      <c r="A286" s="28">
        <f t="shared" si="43"/>
        <v>282</v>
      </c>
      <c r="B286" s="7" t="s">
        <v>1</v>
      </c>
      <c r="C286" s="80"/>
      <c r="D286" s="82">
        <v>2026</v>
      </c>
      <c r="E286" s="22" t="s">
        <v>1</v>
      </c>
      <c r="F286" s="22" t="s">
        <v>514</v>
      </c>
      <c r="G286" s="22" t="s">
        <v>1</v>
      </c>
      <c r="H286" s="58">
        <v>0</v>
      </c>
      <c r="I286" s="58">
        <v>0</v>
      </c>
      <c r="J286" s="58">
        <v>0</v>
      </c>
      <c r="K286" s="41">
        <f t="shared" si="40"/>
        <v>0</v>
      </c>
      <c r="L286" s="69"/>
      <c r="M286" s="41">
        <v>0</v>
      </c>
      <c r="N286" s="42"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>
        <f t="shared" si="41"/>
        <v>0</v>
      </c>
      <c r="Y286" s="42"/>
      <c r="Z286" s="63">
        <f t="shared" si="42"/>
        <v>0</v>
      </c>
      <c r="AA286" s="42">
        <f t="shared" si="38"/>
        <v>0</v>
      </c>
      <c r="AB286" s="42">
        <f t="shared" si="39"/>
        <v>0</v>
      </c>
      <c r="AC286" s="58">
        <v>0</v>
      </c>
      <c r="AD286" s="7"/>
    </row>
    <row r="287" spans="1:30" s="21" customFormat="1">
      <c r="A287" s="28">
        <f t="shared" si="43"/>
        <v>283</v>
      </c>
      <c r="B287" s="7" t="s">
        <v>1</v>
      </c>
      <c r="C287" s="80"/>
      <c r="D287" s="82">
        <v>2026</v>
      </c>
      <c r="E287" s="22" t="s">
        <v>1</v>
      </c>
      <c r="F287" s="22" t="s">
        <v>361</v>
      </c>
      <c r="G287" s="22" t="s">
        <v>1</v>
      </c>
      <c r="H287" s="58">
        <v>0</v>
      </c>
      <c r="I287" s="58">
        <v>0</v>
      </c>
      <c r="J287" s="58">
        <v>0</v>
      </c>
      <c r="K287" s="41">
        <f t="shared" si="40"/>
        <v>0</v>
      </c>
      <c r="L287" s="68"/>
      <c r="M287" s="41">
        <v>0</v>
      </c>
      <c r="N287" s="42"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>
        <f t="shared" si="41"/>
        <v>0</v>
      </c>
      <c r="Y287" s="42"/>
      <c r="Z287" s="63">
        <f t="shared" si="42"/>
        <v>0</v>
      </c>
      <c r="AA287" s="42">
        <f t="shared" si="38"/>
        <v>0</v>
      </c>
      <c r="AB287" s="42">
        <f t="shared" si="39"/>
        <v>0</v>
      </c>
      <c r="AC287" s="58">
        <v>0</v>
      </c>
      <c r="AD287" s="7"/>
    </row>
    <row r="288" spans="1:30" s="21" customFormat="1">
      <c r="A288" s="19">
        <f t="shared" si="43"/>
        <v>284</v>
      </c>
      <c r="B288" s="7" t="s">
        <v>1</v>
      </c>
      <c r="C288" s="80"/>
      <c r="D288" s="83"/>
      <c r="E288" s="22" t="s">
        <v>1</v>
      </c>
      <c r="F288" s="22" t="s">
        <v>1</v>
      </c>
      <c r="G288" s="22" t="s">
        <v>1</v>
      </c>
      <c r="H288" s="58">
        <v>0</v>
      </c>
      <c r="I288" s="58">
        <v>0</v>
      </c>
      <c r="J288" s="58">
        <v>0</v>
      </c>
      <c r="K288" s="41">
        <f t="shared" si="40"/>
        <v>0</v>
      </c>
      <c r="L288" s="68"/>
      <c r="M288" s="41">
        <v>0</v>
      </c>
      <c r="N288" s="42">
        <v>0</v>
      </c>
      <c r="O288" s="39">
        <v>0</v>
      </c>
      <c r="P288" s="39">
        <v>0</v>
      </c>
      <c r="Q288" s="42">
        <v>0</v>
      </c>
      <c r="R288" s="39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>
        <f t="shared" si="41"/>
        <v>0</v>
      </c>
      <c r="Y288" s="42"/>
      <c r="Z288" s="63">
        <f t="shared" si="42"/>
        <v>0</v>
      </c>
      <c r="AA288" s="42">
        <f t="shared" si="38"/>
        <v>0</v>
      </c>
      <c r="AB288" s="42">
        <f t="shared" si="39"/>
        <v>0</v>
      </c>
      <c r="AC288" s="58">
        <v>0</v>
      </c>
      <c r="AD288" s="7"/>
    </row>
    <row r="289" spans="1:30" s="21" customFormat="1">
      <c r="A289" s="19">
        <f t="shared" si="43"/>
        <v>285</v>
      </c>
      <c r="B289" s="7" t="s">
        <v>1</v>
      </c>
      <c r="C289" s="80"/>
      <c r="D289" s="83"/>
      <c r="E289" s="22" t="s">
        <v>1</v>
      </c>
      <c r="F289" s="22" t="s">
        <v>1</v>
      </c>
      <c r="G289" s="22" t="s">
        <v>1</v>
      </c>
      <c r="H289" s="58">
        <v>0</v>
      </c>
      <c r="I289" s="58">
        <v>0</v>
      </c>
      <c r="J289" s="58">
        <v>0</v>
      </c>
      <c r="K289" s="41">
        <f t="shared" si="40"/>
        <v>0</v>
      </c>
      <c r="L289" s="68"/>
      <c r="M289" s="41">
        <v>0</v>
      </c>
      <c r="N289" s="42">
        <v>0</v>
      </c>
      <c r="O289" s="39">
        <v>0</v>
      </c>
      <c r="P289" s="39">
        <v>0</v>
      </c>
      <c r="Q289" s="42">
        <v>0</v>
      </c>
      <c r="R289" s="39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>
        <f t="shared" si="41"/>
        <v>0</v>
      </c>
      <c r="Y289" s="42"/>
      <c r="Z289" s="63">
        <f t="shared" si="42"/>
        <v>0</v>
      </c>
      <c r="AA289" s="42">
        <f t="shared" si="38"/>
        <v>0</v>
      </c>
      <c r="AB289" s="42">
        <f t="shared" si="39"/>
        <v>0</v>
      </c>
      <c r="AC289" s="58">
        <v>0</v>
      </c>
      <c r="AD289" s="7"/>
    </row>
    <row r="290" spans="1:30" s="21" customFormat="1">
      <c r="A290" s="19">
        <f t="shared" si="43"/>
        <v>286</v>
      </c>
      <c r="B290" s="7" t="s">
        <v>1</v>
      </c>
      <c r="C290" s="80"/>
      <c r="D290" s="83"/>
      <c r="E290" s="22" t="s">
        <v>1</v>
      </c>
      <c r="F290" s="31"/>
      <c r="G290" s="22" t="s">
        <v>1</v>
      </c>
      <c r="H290" s="58">
        <v>0</v>
      </c>
      <c r="I290" s="58">
        <v>0</v>
      </c>
      <c r="J290" s="58">
        <v>0</v>
      </c>
      <c r="K290" s="41">
        <f t="shared" si="40"/>
        <v>0</v>
      </c>
      <c r="L290" s="68"/>
      <c r="M290" s="41">
        <v>0</v>
      </c>
      <c r="N290" s="42">
        <v>0</v>
      </c>
      <c r="O290" s="39">
        <v>0</v>
      </c>
      <c r="P290" s="39">
        <v>0</v>
      </c>
      <c r="Q290" s="42">
        <v>0</v>
      </c>
      <c r="R290" s="39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>
        <f t="shared" si="41"/>
        <v>0</v>
      </c>
      <c r="Y290" s="42"/>
      <c r="Z290" s="63">
        <f t="shared" si="42"/>
        <v>0</v>
      </c>
      <c r="AA290" s="42">
        <f t="shared" si="38"/>
        <v>0</v>
      </c>
      <c r="AB290" s="42">
        <f t="shared" si="39"/>
        <v>0</v>
      </c>
      <c r="AC290" s="58">
        <v>0</v>
      </c>
      <c r="AD290" s="7"/>
    </row>
    <row r="291" spans="1:30" s="76" customFormat="1">
      <c r="A291" s="19">
        <f t="shared" si="43"/>
        <v>287</v>
      </c>
      <c r="B291" s="7" t="s">
        <v>1</v>
      </c>
      <c r="C291" s="80"/>
      <c r="D291" s="83"/>
      <c r="E291" s="22" t="s">
        <v>1</v>
      </c>
      <c r="F291" s="22" t="s">
        <v>1</v>
      </c>
      <c r="G291" s="22" t="s">
        <v>1</v>
      </c>
      <c r="H291" s="58">
        <v>0</v>
      </c>
      <c r="I291" s="58">
        <v>0</v>
      </c>
      <c r="J291" s="58">
        <v>0</v>
      </c>
      <c r="K291" s="41">
        <f t="shared" si="40"/>
        <v>0</v>
      </c>
      <c r="L291" s="68"/>
      <c r="M291" s="41">
        <v>0</v>
      </c>
      <c r="N291" s="42">
        <v>0</v>
      </c>
      <c r="O291" s="39">
        <v>0</v>
      </c>
      <c r="P291" s="39">
        <v>0</v>
      </c>
      <c r="Q291" s="42">
        <v>0</v>
      </c>
      <c r="R291" s="39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>
        <f t="shared" si="41"/>
        <v>0</v>
      </c>
      <c r="Y291" s="42"/>
      <c r="Z291" s="63">
        <f t="shared" si="42"/>
        <v>0</v>
      </c>
      <c r="AA291" s="42">
        <f t="shared" si="38"/>
        <v>0</v>
      </c>
      <c r="AB291" s="42">
        <f t="shared" si="39"/>
        <v>0</v>
      </c>
      <c r="AC291" s="58">
        <v>0</v>
      </c>
      <c r="AD291" s="7"/>
    </row>
    <row r="292" spans="1:30" s="21" customFormat="1">
      <c r="A292" s="19">
        <f t="shared" si="43"/>
        <v>288</v>
      </c>
      <c r="B292" s="7" t="s">
        <v>1</v>
      </c>
      <c r="C292" s="80"/>
      <c r="D292" s="83"/>
      <c r="E292" s="22" t="s">
        <v>1</v>
      </c>
      <c r="F292" s="22" t="s">
        <v>1</v>
      </c>
      <c r="G292" s="22" t="s">
        <v>1</v>
      </c>
      <c r="H292" s="58">
        <v>0</v>
      </c>
      <c r="I292" s="58">
        <v>0</v>
      </c>
      <c r="J292" s="58">
        <v>0</v>
      </c>
      <c r="K292" s="41">
        <f t="shared" si="40"/>
        <v>0</v>
      </c>
      <c r="L292" s="68"/>
      <c r="M292" s="41">
        <v>0</v>
      </c>
      <c r="N292" s="42">
        <v>0</v>
      </c>
      <c r="O292" s="39">
        <v>0</v>
      </c>
      <c r="P292" s="39">
        <v>0</v>
      </c>
      <c r="Q292" s="42">
        <v>0</v>
      </c>
      <c r="R292" s="39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>
        <f t="shared" si="41"/>
        <v>0</v>
      </c>
      <c r="Y292" s="42"/>
      <c r="Z292" s="63">
        <f t="shared" si="42"/>
        <v>0</v>
      </c>
      <c r="AA292" s="42">
        <f t="shared" si="38"/>
        <v>0</v>
      </c>
      <c r="AB292" s="42">
        <f t="shared" si="39"/>
        <v>0</v>
      </c>
      <c r="AC292" s="58">
        <v>0</v>
      </c>
      <c r="AD292" s="7"/>
    </row>
    <row r="293" spans="1:30" s="21" customFormat="1">
      <c r="A293" s="19">
        <f t="shared" si="43"/>
        <v>289</v>
      </c>
      <c r="B293" s="7" t="s">
        <v>1</v>
      </c>
      <c r="C293" s="80"/>
      <c r="D293" s="83"/>
      <c r="E293" s="22" t="s">
        <v>1</v>
      </c>
      <c r="F293" s="22" t="s">
        <v>1</v>
      </c>
      <c r="G293" s="22" t="s">
        <v>1</v>
      </c>
      <c r="H293" s="58">
        <v>0</v>
      </c>
      <c r="I293" s="58">
        <v>0</v>
      </c>
      <c r="J293" s="58">
        <v>0</v>
      </c>
      <c r="K293" s="41">
        <f t="shared" si="40"/>
        <v>0</v>
      </c>
      <c r="L293" s="68"/>
      <c r="M293" s="41">
        <v>0</v>
      </c>
      <c r="N293" s="42">
        <v>0</v>
      </c>
      <c r="O293" s="39">
        <v>0</v>
      </c>
      <c r="P293" s="39">
        <v>0</v>
      </c>
      <c r="Q293" s="42">
        <v>0</v>
      </c>
      <c r="R293" s="39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>
        <f t="shared" si="41"/>
        <v>0</v>
      </c>
      <c r="Y293" s="42"/>
      <c r="Z293" s="63">
        <f t="shared" si="42"/>
        <v>0</v>
      </c>
      <c r="AA293" s="42">
        <f t="shared" si="38"/>
        <v>0</v>
      </c>
      <c r="AB293" s="42">
        <f t="shared" si="39"/>
        <v>0</v>
      </c>
      <c r="AC293" s="58">
        <v>0</v>
      </c>
      <c r="AD293" s="7"/>
    </row>
    <row r="294" spans="1:30" s="76" customFormat="1">
      <c r="A294" s="19">
        <f t="shared" si="43"/>
        <v>290</v>
      </c>
      <c r="B294" s="7" t="s">
        <v>1</v>
      </c>
      <c r="C294" s="80"/>
      <c r="D294" s="83"/>
      <c r="E294" s="22" t="s">
        <v>1</v>
      </c>
      <c r="F294" s="22" t="s">
        <v>1</v>
      </c>
      <c r="G294" s="22" t="s">
        <v>1</v>
      </c>
      <c r="H294" s="58">
        <v>0</v>
      </c>
      <c r="I294" s="58">
        <v>0</v>
      </c>
      <c r="J294" s="58">
        <v>0</v>
      </c>
      <c r="K294" s="41">
        <f t="shared" si="40"/>
        <v>0</v>
      </c>
      <c r="L294" s="68"/>
      <c r="M294" s="41">
        <v>0</v>
      </c>
      <c r="N294" s="42">
        <v>0</v>
      </c>
      <c r="O294" s="39">
        <v>0</v>
      </c>
      <c r="P294" s="39">
        <v>0</v>
      </c>
      <c r="Q294" s="42">
        <v>0</v>
      </c>
      <c r="R294" s="39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>
        <f t="shared" si="41"/>
        <v>0</v>
      </c>
      <c r="Y294" s="42"/>
      <c r="Z294" s="63">
        <f t="shared" si="42"/>
        <v>0</v>
      </c>
      <c r="AA294" s="42">
        <f t="shared" si="38"/>
        <v>0</v>
      </c>
      <c r="AB294" s="42">
        <f t="shared" si="39"/>
        <v>0</v>
      </c>
      <c r="AC294" s="58">
        <v>0</v>
      </c>
      <c r="AD294" s="7"/>
    </row>
    <row r="295" spans="1:30" s="21" customFormat="1">
      <c r="A295" s="19">
        <f t="shared" si="43"/>
        <v>291</v>
      </c>
      <c r="B295" s="7" t="s">
        <v>1</v>
      </c>
      <c r="C295" s="80"/>
      <c r="D295" s="83"/>
      <c r="E295" s="22" t="s">
        <v>1</v>
      </c>
      <c r="F295" s="22" t="s">
        <v>1</v>
      </c>
      <c r="G295" s="22" t="s">
        <v>1</v>
      </c>
      <c r="H295" s="58">
        <v>0</v>
      </c>
      <c r="I295" s="58">
        <v>0</v>
      </c>
      <c r="J295" s="58">
        <v>0</v>
      </c>
      <c r="K295" s="41">
        <f t="shared" si="40"/>
        <v>0</v>
      </c>
      <c r="L295" s="68"/>
      <c r="M295" s="41">
        <v>0</v>
      </c>
      <c r="N295" s="42">
        <v>0</v>
      </c>
      <c r="O295" s="39">
        <v>0</v>
      </c>
      <c r="P295" s="39">
        <v>0</v>
      </c>
      <c r="Q295" s="42">
        <v>0</v>
      </c>
      <c r="R295" s="39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>
        <f t="shared" si="41"/>
        <v>0</v>
      </c>
      <c r="Y295" s="42"/>
      <c r="Z295" s="63">
        <f t="shared" si="42"/>
        <v>0</v>
      </c>
      <c r="AA295" s="42">
        <f t="shared" si="38"/>
        <v>0</v>
      </c>
      <c r="AB295" s="42">
        <f t="shared" si="39"/>
        <v>0</v>
      </c>
      <c r="AC295" s="58">
        <v>0</v>
      </c>
      <c r="AD295" s="7"/>
    </row>
    <row r="296" spans="1:30" s="76" customFormat="1">
      <c r="A296" s="19">
        <f t="shared" si="43"/>
        <v>292</v>
      </c>
      <c r="B296" s="7"/>
      <c r="C296" s="80"/>
      <c r="D296" s="25"/>
      <c r="E296" s="22" t="s">
        <v>1</v>
      </c>
      <c r="F296" s="22" t="s">
        <v>1</v>
      </c>
      <c r="G296" s="22" t="s">
        <v>1</v>
      </c>
      <c r="H296" s="58">
        <v>0</v>
      </c>
      <c r="I296" s="41">
        <v>0</v>
      </c>
      <c r="J296" s="41">
        <v>0</v>
      </c>
      <c r="K296" s="41">
        <f t="shared" si="40"/>
        <v>0</v>
      </c>
      <c r="L296" s="68"/>
      <c r="M296" s="41">
        <v>0</v>
      </c>
      <c r="N296" s="42">
        <v>0</v>
      </c>
      <c r="O296" s="39">
        <v>0</v>
      </c>
      <c r="P296" s="39">
        <v>0</v>
      </c>
      <c r="Q296" s="42">
        <v>0</v>
      </c>
      <c r="R296" s="39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>
        <f t="shared" si="41"/>
        <v>0</v>
      </c>
      <c r="Y296" s="42"/>
      <c r="Z296" s="63">
        <f t="shared" si="42"/>
        <v>0</v>
      </c>
      <c r="AA296" s="42">
        <f t="shared" si="38"/>
        <v>0</v>
      </c>
      <c r="AB296" s="42">
        <f t="shared" si="39"/>
        <v>0</v>
      </c>
      <c r="AC296" s="58">
        <v>0</v>
      </c>
      <c r="AD296" s="7"/>
    </row>
    <row r="297" spans="1:30" s="76" customFormat="1">
      <c r="A297" s="19">
        <f t="shared" si="43"/>
        <v>293</v>
      </c>
      <c r="B297" s="7" t="s">
        <v>1</v>
      </c>
      <c r="C297" s="80"/>
      <c r="D297" s="83"/>
      <c r="E297" s="22" t="s">
        <v>1</v>
      </c>
      <c r="F297" s="22" t="s">
        <v>1</v>
      </c>
      <c r="G297" s="22" t="s">
        <v>1</v>
      </c>
      <c r="H297" s="58">
        <v>0</v>
      </c>
      <c r="I297" s="58">
        <v>0</v>
      </c>
      <c r="J297" s="58">
        <v>0</v>
      </c>
      <c r="K297" s="41">
        <f t="shared" si="40"/>
        <v>0</v>
      </c>
      <c r="L297" s="68"/>
      <c r="M297" s="41">
        <v>0</v>
      </c>
      <c r="N297" s="42">
        <v>0</v>
      </c>
      <c r="O297" s="39">
        <v>0</v>
      </c>
      <c r="P297" s="39">
        <v>0</v>
      </c>
      <c r="Q297" s="42">
        <v>0</v>
      </c>
      <c r="R297" s="39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>
        <f t="shared" si="41"/>
        <v>0</v>
      </c>
      <c r="Y297" s="42"/>
      <c r="Z297" s="63">
        <f t="shared" si="42"/>
        <v>0</v>
      </c>
      <c r="AA297" s="42">
        <f t="shared" si="38"/>
        <v>0</v>
      </c>
      <c r="AB297" s="42">
        <f t="shared" si="39"/>
        <v>0</v>
      </c>
      <c r="AC297" s="58">
        <v>0</v>
      </c>
      <c r="AD297" s="7"/>
    </row>
    <row r="298" spans="1:30" s="76" customFormat="1">
      <c r="A298" s="19">
        <f t="shared" si="43"/>
        <v>294</v>
      </c>
      <c r="B298" s="7" t="s">
        <v>1</v>
      </c>
      <c r="C298" s="80"/>
      <c r="D298" s="83"/>
      <c r="E298" s="22" t="s">
        <v>1</v>
      </c>
      <c r="F298" s="22" t="s">
        <v>1</v>
      </c>
      <c r="G298" s="22" t="s">
        <v>1</v>
      </c>
      <c r="H298" s="58">
        <v>0</v>
      </c>
      <c r="I298" s="58">
        <v>0</v>
      </c>
      <c r="J298" s="58">
        <v>0</v>
      </c>
      <c r="K298" s="41">
        <f t="shared" si="40"/>
        <v>0</v>
      </c>
      <c r="L298" s="68"/>
      <c r="M298" s="41">
        <v>0</v>
      </c>
      <c r="N298" s="42">
        <v>0</v>
      </c>
      <c r="O298" s="39">
        <v>0</v>
      </c>
      <c r="P298" s="39">
        <v>0</v>
      </c>
      <c r="Q298" s="42">
        <v>0</v>
      </c>
      <c r="R298" s="39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>
        <f t="shared" si="41"/>
        <v>0</v>
      </c>
      <c r="Y298" s="42"/>
      <c r="Z298" s="63">
        <f t="shared" si="42"/>
        <v>0</v>
      </c>
      <c r="AA298" s="42">
        <f t="shared" si="38"/>
        <v>0</v>
      </c>
      <c r="AB298" s="42">
        <f t="shared" si="39"/>
        <v>0</v>
      </c>
      <c r="AC298" s="58">
        <v>0</v>
      </c>
      <c r="AD298" s="7"/>
    </row>
    <row r="299" spans="1:30" s="76" customFormat="1">
      <c r="A299" s="19">
        <f t="shared" si="43"/>
        <v>295</v>
      </c>
      <c r="B299" s="7" t="s">
        <v>1</v>
      </c>
      <c r="C299" s="80"/>
      <c r="D299" s="83"/>
      <c r="E299" s="22" t="s">
        <v>1</v>
      </c>
      <c r="F299" s="22" t="s">
        <v>1</v>
      </c>
      <c r="G299" s="22" t="s">
        <v>1</v>
      </c>
      <c r="H299" s="58">
        <v>0</v>
      </c>
      <c r="I299" s="58">
        <v>0</v>
      </c>
      <c r="J299" s="58">
        <v>0</v>
      </c>
      <c r="K299" s="41">
        <f t="shared" si="40"/>
        <v>0</v>
      </c>
      <c r="L299" s="68"/>
      <c r="M299" s="41">
        <v>0</v>
      </c>
      <c r="N299" s="42">
        <v>0</v>
      </c>
      <c r="O299" s="39">
        <v>0</v>
      </c>
      <c r="P299" s="39">
        <v>0</v>
      </c>
      <c r="Q299" s="42">
        <v>0</v>
      </c>
      <c r="R299" s="39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>
        <f t="shared" si="41"/>
        <v>0</v>
      </c>
      <c r="Y299" s="42"/>
      <c r="Z299" s="63">
        <f t="shared" si="42"/>
        <v>0</v>
      </c>
      <c r="AA299" s="42">
        <f t="shared" si="38"/>
        <v>0</v>
      </c>
      <c r="AB299" s="42">
        <f t="shared" si="39"/>
        <v>0</v>
      </c>
      <c r="AC299" s="58">
        <v>0</v>
      </c>
      <c r="AD299" s="7"/>
    </row>
    <row r="300" spans="1:30" s="76" customFormat="1">
      <c r="A300" s="19">
        <f t="shared" si="43"/>
        <v>296</v>
      </c>
      <c r="B300" s="7"/>
      <c r="C300" s="80"/>
      <c r="D300" s="25"/>
      <c r="E300" s="22" t="s">
        <v>1</v>
      </c>
      <c r="F300" s="22" t="s">
        <v>1</v>
      </c>
      <c r="G300" s="31" t="s">
        <v>1</v>
      </c>
      <c r="H300" s="58">
        <v>0</v>
      </c>
      <c r="I300" s="41">
        <v>0</v>
      </c>
      <c r="J300" s="41">
        <v>0</v>
      </c>
      <c r="K300" s="41">
        <f t="shared" si="40"/>
        <v>0</v>
      </c>
      <c r="L300" s="68"/>
      <c r="M300" s="41">
        <v>0</v>
      </c>
      <c r="N300" s="42">
        <v>0</v>
      </c>
      <c r="O300" s="39">
        <v>0</v>
      </c>
      <c r="P300" s="39">
        <v>0</v>
      </c>
      <c r="Q300" s="42">
        <v>0</v>
      </c>
      <c r="R300" s="39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>
        <f t="shared" si="41"/>
        <v>0</v>
      </c>
      <c r="Y300" s="42"/>
      <c r="Z300" s="63">
        <f t="shared" si="42"/>
        <v>0</v>
      </c>
      <c r="AA300" s="42">
        <f t="shared" si="38"/>
        <v>0</v>
      </c>
      <c r="AB300" s="42">
        <f t="shared" si="39"/>
        <v>0</v>
      </c>
      <c r="AC300" s="58">
        <v>0</v>
      </c>
      <c r="AD300" s="7"/>
    </row>
    <row r="301" spans="1:30" s="76" customFormat="1">
      <c r="A301" s="19">
        <f t="shared" si="43"/>
        <v>297</v>
      </c>
      <c r="B301" s="7"/>
      <c r="C301" s="80"/>
      <c r="D301" s="25"/>
      <c r="E301" s="22" t="s">
        <v>1</v>
      </c>
      <c r="F301" s="22" t="s">
        <v>1</v>
      </c>
      <c r="G301" s="31" t="s">
        <v>1</v>
      </c>
      <c r="H301" s="58">
        <v>0</v>
      </c>
      <c r="I301" s="41">
        <v>0</v>
      </c>
      <c r="J301" s="41">
        <v>0</v>
      </c>
      <c r="K301" s="41">
        <f t="shared" si="40"/>
        <v>0</v>
      </c>
      <c r="L301" s="68"/>
      <c r="M301" s="41">
        <v>0</v>
      </c>
      <c r="N301" s="42">
        <v>0</v>
      </c>
      <c r="O301" s="39">
        <v>0</v>
      </c>
      <c r="P301" s="39">
        <v>0</v>
      </c>
      <c r="Q301" s="42">
        <v>0</v>
      </c>
      <c r="R301" s="39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>
        <f t="shared" si="41"/>
        <v>0</v>
      </c>
      <c r="Y301" s="42"/>
      <c r="Z301" s="63">
        <f t="shared" si="42"/>
        <v>0</v>
      </c>
      <c r="AA301" s="42">
        <f t="shared" si="38"/>
        <v>0</v>
      </c>
      <c r="AB301" s="42">
        <f t="shared" si="39"/>
        <v>0</v>
      </c>
      <c r="AC301" s="58">
        <v>0</v>
      </c>
      <c r="AD301" s="7"/>
    </row>
    <row r="302" spans="1:30" s="21" customFormat="1">
      <c r="A302" s="19">
        <f t="shared" si="43"/>
        <v>298</v>
      </c>
      <c r="B302" s="7"/>
      <c r="C302" s="80"/>
      <c r="D302" s="25"/>
      <c r="E302" s="22" t="s">
        <v>1</v>
      </c>
      <c r="F302" s="22" t="s">
        <v>1</v>
      </c>
      <c r="G302" s="31" t="s">
        <v>1</v>
      </c>
      <c r="H302" s="58">
        <v>0</v>
      </c>
      <c r="I302" s="41">
        <v>0</v>
      </c>
      <c r="J302" s="41">
        <v>0</v>
      </c>
      <c r="K302" s="41">
        <f t="shared" si="40"/>
        <v>0</v>
      </c>
      <c r="L302" s="68"/>
      <c r="M302" s="41">
        <v>0</v>
      </c>
      <c r="N302" s="42">
        <v>0</v>
      </c>
      <c r="O302" s="39">
        <v>0</v>
      </c>
      <c r="P302" s="39">
        <v>0</v>
      </c>
      <c r="Q302" s="42">
        <v>0</v>
      </c>
      <c r="R302" s="39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>
        <f t="shared" si="41"/>
        <v>0</v>
      </c>
      <c r="Y302" s="42"/>
      <c r="Z302" s="63">
        <f t="shared" si="42"/>
        <v>0</v>
      </c>
      <c r="AA302" s="42">
        <f t="shared" si="38"/>
        <v>0</v>
      </c>
      <c r="AB302" s="42">
        <f t="shared" si="39"/>
        <v>0</v>
      </c>
      <c r="AC302" s="58">
        <v>0</v>
      </c>
      <c r="AD302" s="7"/>
    </row>
    <row r="303" spans="1:30" s="21" customFormat="1">
      <c r="A303" s="19"/>
      <c r="B303" s="7" t="s">
        <v>649</v>
      </c>
      <c r="C303" s="79">
        <v>46097</v>
      </c>
      <c r="D303" s="25">
        <v>2026</v>
      </c>
      <c r="E303" s="22" t="s">
        <v>42</v>
      </c>
      <c r="F303" s="22" t="s">
        <v>73</v>
      </c>
      <c r="G303" s="31" t="s">
        <v>650</v>
      </c>
      <c r="H303" s="55">
        <v>196018396</v>
      </c>
      <c r="I303" s="55">
        <v>3339160</v>
      </c>
      <c r="J303" s="55">
        <v>21929331</v>
      </c>
      <c r="K303" s="40">
        <f t="shared" si="40"/>
        <v>221286887</v>
      </c>
      <c r="L303" s="55"/>
      <c r="M303" s="55">
        <v>0</v>
      </c>
      <c r="N303" s="55">
        <v>0</v>
      </c>
      <c r="O303" s="55">
        <v>0</v>
      </c>
      <c r="P303" s="55">
        <v>0</v>
      </c>
      <c r="Q303" s="55">
        <v>0</v>
      </c>
      <c r="R303" s="55">
        <v>0</v>
      </c>
      <c r="S303" s="55">
        <v>0</v>
      </c>
      <c r="T303" s="55">
        <v>0</v>
      </c>
      <c r="U303" s="55">
        <v>0</v>
      </c>
      <c r="V303" s="55">
        <v>0</v>
      </c>
      <c r="W303" s="55">
        <v>0</v>
      </c>
      <c r="X303" s="39">
        <f t="shared" si="41"/>
        <v>221286887</v>
      </c>
      <c r="Y303" s="42"/>
      <c r="Z303" s="8">
        <f t="shared" si="42"/>
        <v>-21929331</v>
      </c>
      <c r="AA303" s="42">
        <f t="shared" si="38"/>
        <v>-3987151.12</v>
      </c>
      <c r="AB303" s="42">
        <f t="shared" si="39"/>
        <v>195370404.88</v>
      </c>
      <c r="AC303" s="55">
        <v>0</v>
      </c>
      <c r="AD303" s="7"/>
    </row>
    <row r="305" spans="1:29">
      <c r="H305" s="95">
        <f>SUBTOTAL(9,H5:H304)</f>
        <v>36846798127</v>
      </c>
      <c r="I305" s="95">
        <f>SUBTOTAL(9,I5:I304)</f>
        <v>1968234610</v>
      </c>
      <c r="J305" s="95">
        <f>SUBTOTAL(9,J5:J304)</f>
        <v>3409059096</v>
      </c>
      <c r="K305" s="95">
        <f>SUBTOTAL(9,K5:K304)</f>
        <v>42224091833</v>
      </c>
      <c r="M305" s="32">
        <f t="shared" ref="M305:X305" si="44">SUBTOTAL(9,M5:M304)</f>
        <v>3219609931</v>
      </c>
      <c r="N305" s="32">
        <f t="shared" si="44"/>
        <v>4487221366</v>
      </c>
      <c r="O305" s="32">
        <f t="shared" si="44"/>
        <v>16837158203.34</v>
      </c>
      <c r="P305" s="32">
        <f t="shared" si="44"/>
        <v>3819509838.0999999</v>
      </c>
      <c r="Q305" s="86">
        <f t="shared" si="44"/>
        <v>0</v>
      </c>
      <c r="R305" s="32">
        <f t="shared" si="44"/>
        <v>3915394741</v>
      </c>
      <c r="S305" s="32">
        <f t="shared" si="44"/>
        <v>2978073566</v>
      </c>
      <c r="T305" s="86">
        <f t="shared" si="44"/>
        <v>0</v>
      </c>
      <c r="U305" s="32">
        <f t="shared" si="44"/>
        <v>1151031287</v>
      </c>
      <c r="V305" s="86">
        <f t="shared" si="44"/>
        <v>0</v>
      </c>
      <c r="W305" s="32">
        <f t="shared" si="44"/>
        <v>3154953380.5599999</v>
      </c>
      <c r="X305" s="32">
        <f t="shared" si="44"/>
        <v>2661139520</v>
      </c>
      <c r="Z305" s="32">
        <f>SUBTOTAL(9,Z5:Z304)</f>
        <v>-3409059096</v>
      </c>
      <c r="AA305" s="32">
        <f>SUBTOTAL(9,AA5:AA304)</f>
        <v>-561106685.36000001</v>
      </c>
      <c r="AB305" s="32">
        <f>SUBTOTAL(9,AB5:AB304)</f>
        <v>25042353648.540001</v>
      </c>
      <c r="AC305" s="32">
        <f>SUBTOTAL(9,AC5:AC304)</f>
        <v>10727544248.1</v>
      </c>
    </row>
    <row r="306" spans="1:29">
      <c r="H306" s="95"/>
      <c r="I306" s="95"/>
      <c r="J306" s="95"/>
      <c r="K306" s="95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Z306" s="32"/>
      <c r="AA306" s="32"/>
      <c r="AB306" s="32"/>
      <c r="AC306" s="32"/>
    </row>
    <row r="307" spans="1:29" s="35" customFormat="1">
      <c r="A307" s="64"/>
      <c r="C307" s="70"/>
      <c r="D307" s="64"/>
      <c r="H307" s="72"/>
      <c r="I307" s="72"/>
      <c r="J307" s="72"/>
      <c r="K307" s="72"/>
      <c r="L307" s="70"/>
      <c r="M307" s="65">
        <v>3219609931</v>
      </c>
      <c r="N307" s="65">
        <v>4487221366</v>
      </c>
      <c r="O307" s="65">
        <v>16837158203.34</v>
      </c>
      <c r="P307" s="65">
        <v>3819509838.0999999</v>
      </c>
      <c r="Q307" s="65"/>
      <c r="R307" s="65">
        <v>3915394741</v>
      </c>
      <c r="S307" s="65">
        <v>2978073566</v>
      </c>
      <c r="T307" s="65"/>
      <c r="U307" s="65">
        <v>1151031287</v>
      </c>
      <c r="V307" s="65"/>
      <c r="W307" s="65">
        <v>3154953380.5599999</v>
      </c>
      <c r="X307" s="65"/>
      <c r="Y307" s="66"/>
      <c r="Z307" s="65"/>
      <c r="AA307" s="65"/>
      <c r="AB307" s="65"/>
      <c r="AC307" s="65"/>
    </row>
    <row r="308" spans="1:29">
      <c r="H308" s="95"/>
      <c r="I308" s="95"/>
      <c r="J308" s="95"/>
      <c r="K308" s="95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Z308" s="32"/>
      <c r="AA308" s="32"/>
      <c r="AB308" s="32"/>
      <c r="AC308" s="32"/>
    </row>
    <row r="309" spans="1:29" s="22" customFormat="1">
      <c r="A309" s="28"/>
      <c r="C309" s="69"/>
      <c r="D309" s="28"/>
      <c r="H309" s="41"/>
      <c r="I309" s="41"/>
      <c r="J309" s="41"/>
      <c r="K309" s="41"/>
      <c r="L309" s="69"/>
      <c r="M309" s="29">
        <f>M305-M307</f>
        <v>0</v>
      </c>
      <c r="N309" s="29">
        <f>N305-N307</f>
        <v>0</v>
      </c>
      <c r="O309" s="29">
        <f>O305-O307</f>
        <v>0</v>
      </c>
      <c r="P309" s="29">
        <f>P305-P307</f>
        <v>0</v>
      </c>
      <c r="Q309" s="29"/>
      <c r="R309" s="29">
        <f>R305-R307</f>
        <v>0</v>
      </c>
      <c r="S309" s="29">
        <f>S305-S307</f>
        <v>0</v>
      </c>
      <c r="T309" s="29">
        <f>T305-T307</f>
        <v>0</v>
      </c>
      <c r="U309" s="29">
        <f>U305-U307</f>
        <v>0</v>
      </c>
      <c r="V309" s="29"/>
      <c r="W309" s="29">
        <f>W305-W307</f>
        <v>0</v>
      </c>
      <c r="X309" s="29"/>
      <c r="Y309" s="56"/>
      <c r="Z309" s="29"/>
      <c r="AA309" s="29"/>
      <c r="AB309" s="29"/>
      <c r="AC309" s="29"/>
    </row>
    <row r="310" spans="1:29">
      <c r="H310" s="95"/>
      <c r="I310" s="95"/>
      <c r="J310" s="95"/>
      <c r="K310" s="95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Z310" s="32"/>
      <c r="AA310" s="32"/>
      <c r="AB310" s="32"/>
      <c r="AC310" s="32"/>
    </row>
    <row r="311" spans="1:29" s="22" customFormat="1">
      <c r="A311" s="28"/>
      <c r="B311" s="7" t="s">
        <v>1</v>
      </c>
      <c r="C311" s="80" t="s">
        <v>1</v>
      </c>
      <c r="D311" s="25" t="s">
        <v>1</v>
      </c>
      <c r="E311" s="22" t="s">
        <v>1</v>
      </c>
      <c r="F311" s="22" t="s">
        <v>1</v>
      </c>
      <c r="G311" s="22" t="s">
        <v>1</v>
      </c>
      <c r="H311" s="41" t="s">
        <v>1</v>
      </c>
      <c r="I311" s="41"/>
      <c r="J311" s="41"/>
      <c r="K311" s="41"/>
      <c r="L311" s="69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63"/>
      <c r="Z311" s="63"/>
      <c r="AA311" s="41"/>
      <c r="AB311" s="41"/>
      <c r="AC311" s="41"/>
    </row>
  </sheetData>
  <autoFilter ref="A4:AD302">
    <sortState ref="A5:AD302">
      <sortCondition sortBy="fontColor" ref="J4:J302" dxfId="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 10-Feb-26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2026-07-14T07:50:50Z</dcterms:modified>
</cp:coreProperties>
</file>